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04" codeName="{643B0D74-A683-FBA9-23B4-8A0AA6E0B6B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crescentbayholdings-my.sharepoint.com/personal/wolin_crescentbayholdings_com/Documents/2Pursuit/_Clarendon - SunValley/_CBHDiligence/"/>
    </mc:Choice>
  </mc:AlternateContent>
  <xr:revisionPtr revIDLastSave="10" documentId="8_{CDC4F918-3D94-4AE2-873D-FF8760037BC8}" xr6:coauthVersionLast="47" xr6:coauthVersionMax="47" xr10:uidLastSave="{FB4EF096-6333-4AA8-8702-EC3F548D3757}"/>
  <bookViews>
    <workbookView xWindow="5620" yWindow="720" windowWidth="32440" windowHeight="19880" activeTab="3" xr2:uid="{8E1F36A4-4716-46D5-87B5-98B773D58FD9}"/>
  </bookViews>
  <sheets>
    <sheet name="iProject" sheetId="9" r:id="rId1"/>
    <sheet name="iBudget" sheetId="11" r:id="rId2"/>
    <sheet name="iOption" sheetId="14" r:id="rId3"/>
    <sheet name="mOption" sheetId="17" r:id="rId4"/>
    <sheet name="mPrtnership" sheetId="19" state="hidden" r:id="rId5"/>
    <sheet name="rOption" sheetId="16" r:id="rId6"/>
    <sheet name="rClarendonPartners" sheetId="20" r:id="rId7"/>
    <sheet name="Reports" sheetId="15" r:id="rId8"/>
    <sheet name="rSummary" sheetId="18" r:id="rId9"/>
    <sheet name="GPT cache" sheetId="10" state="veryHidden" r:id="rId10"/>
  </sheets>
  <definedNames>
    <definedName name="c_EquityShare.LP" localSheetId="4">1-mPrtnership!$H$11</definedName>
    <definedName name="c_hurdle1">mOption!$AD$5*c_maxEquity</definedName>
    <definedName name="c_hurdle1.gross">((c_maxEquity*mOption!$AD$5)-c_maxEquity)/mOption!$AC$6</definedName>
    <definedName name="c_Hurdle1.Share_GP" localSheetId="4">mPrtnership!$I$17</definedName>
    <definedName name="c_Hurdle2.Share_GP" localSheetId="4">mPrtnership!$I$18</definedName>
    <definedName name="c_Hurdle3.Share_GP" localSheetId="4">mPrtnership!$I$19</definedName>
    <definedName name="c_maxEquity">-SUMIF(mOption!$Y$8:$Y$374,"&lt;0")</definedName>
    <definedName name="c_Rate.Hurdle1.MO" localSheetId="4">(1+mPrtnership!i_Rate.Hurdle1)^(1/12)-1</definedName>
    <definedName name="c_Rate.Hurdle2.MO" localSheetId="4">(1+mPrtnership!i_Rate.Hurdle2)^(1/12)-1</definedName>
    <definedName name="c_Rate.Hurdle3.MO" localSheetId="4">(1+mPrtnership!i_Rate.Hurdle3)^(1/12)-1</definedName>
    <definedName name="c_Rate.Pref_MO" localSheetId="4">(1+mPrtnership!i_Rate.Pref)^(1/12)-1</definedName>
    <definedName name="c_Residual.Share_GP" localSheetId="4">mPrtnership!$I$20</definedName>
    <definedName name="date.Start">iProject!$G$30</definedName>
    <definedName name="i_cost.Dev">iBudget!$H$6</definedName>
    <definedName name="i_dev.Periods">iBudget!$H$8</definedName>
    <definedName name="i_dev.Start">iBudget!$H$7</definedName>
    <definedName name="i_EquityShare.GP" localSheetId="4">mPrtnership!$H$11</definedName>
    <definedName name="i_Rate.Hurdle1" localSheetId="4">mPrtnership!$G$17</definedName>
    <definedName name="i_Rate.Hurdle2" localSheetId="4">mPrtnership!$G$18</definedName>
    <definedName name="i_Rate.Hurdle3" localSheetId="4">mPrtnership!$G$19</definedName>
    <definedName name="i_Rate.Pref" localSheetId="4">mPrtnership!$G$16</definedName>
    <definedName name="list_Period.Mo">_xlfn.ANCHORARRAY(mOption!$F$8)</definedName>
    <definedName name="list.datesMo">_xlfn.ANCHORARRAY(mOption!$G$8)</definedName>
    <definedName name="list.datesYear">_xlfn.ANCHORARRAY(mOption!$K$8)</definedName>
    <definedName name="list.MonthNames">TEXT(_xlfn.SEQUENCE(12, 1, 1, 1) * 30, "mmm")</definedName>
    <definedName name="list.Period.Qtr">_xlfn.ANCHORARRAY(mOption!$H$8)</definedName>
    <definedName name="_xlnm.Print_Area" localSheetId="5">rOption!$F$6:$R$82</definedName>
    <definedName name="_xlnm.Print_Area" localSheetId="8">rSummary!$C$56:$J$129</definedName>
    <definedName name="prnt_Option1">rOption!$F$6:$R$82</definedName>
  </definedNames>
  <calcPr calcId="191029" calcMode="manual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9" i="16" l="1"/>
  <c r="H8" i="16" s="1"/>
  <c r="L8" i="17"/>
  <c r="F19" i="14"/>
  <c r="F20" i="14"/>
  <c r="F21" i="14"/>
  <c r="F10" i="14"/>
  <c r="F9" i="14"/>
  <c r="F8" i="14"/>
  <c r="E10" i="11"/>
  <c r="N7" i="14"/>
  <c r="O7" i="14" s="1"/>
  <c r="P7" i="14" s="1"/>
  <c r="Q7" i="14" s="1"/>
  <c r="R7" i="14" s="1"/>
  <c r="S7" i="14" s="1"/>
  <c r="AK375" i="17"/>
  <c r="AK374" i="17"/>
  <c r="AK373" i="17"/>
  <c r="AK372" i="17"/>
  <c r="AK371" i="17"/>
  <c r="AK370" i="17"/>
  <c r="AK369" i="17"/>
  <c r="AK368" i="17"/>
  <c r="AK367" i="17"/>
  <c r="AK366" i="17"/>
  <c r="AK365" i="17"/>
  <c r="AK364" i="17"/>
  <c r="AK363" i="17"/>
  <c r="AK362" i="17"/>
  <c r="AK361" i="17"/>
  <c r="AK360" i="17"/>
  <c r="AK359" i="17"/>
  <c r="AK358" i="17"/>
  <c r="AK357" i="17"/>
  <c r="AK356" i="17"/>
  <c r="AK355" i="17"/>
  <c r="AK354" i="17"/>
  <c r="AK353" i="17"/>
  <c r="AK352" i="17"/>
  <c r="AK351" i="17"/>
  <c r="AK350" i="17"/>
  <c r="AK349" i="17"/>
  <c r="AK348" i="17"/>
  <c r="AK347" i="17"/>
  <c r="AK346" i="17"/>
  <c r="AK345" i="17"/>
  <c r="AK344" i="17"/>
  <c r="AK343" i="17"/>
  <c r="AK342" i="17"/>
  <c r="AK341" i="17"/>
  <c r="AK340" i="17"/>
  <c r="AK339" i="17"/>
  <c r="AK338" i="17"/>
  <c r="AK337" i="17"/>
  <c r="AK336" i="17"/>
  <c r="AK335" i="17"/>
  <c r="AK334" i="17"/>
  <c r="AK333" i="17"/>
  <c r="AK332" i="17"/>
  <c r="AK331" i="17"/>
  <c r="AK330" i="17"/>
  <c r="AK329" i="17"/>
  <c r="AK328" i="17"/>
  <c r="AK327" i="17"/>
  <c r="AK326" i="17"/>
  <c r="AK325" i="17"/>
  <c r="AK324" i="17"/>
  <c r="AK323" i="17"/>
  <c r="AK322" i="17"/>
  <c r="AK321" i="17"/>
  <c r="AK320" i="17"/>
  <c r="AK319" i="17"/>
  <c r="AK318" i="17"/>
  <c r="AK317" i="17"/>
  <c r="AK316" i="17"/>
  <c r="AK315" i="17"/>
  <c r="AK314" i="17"/>
  <c r="AK313" i="17"/>
  <c r="AK312" i="17"/>
  <c r="AK311" i="17"/>
  <c r="AK310" i="17"/>
  <c r="AK309" i="17"/>
  <c r="AK308" i="17"/>
  <c r="AK307" i="17"/>
  <c r="AK306" i="17"/>
  <c r="AK305" i="17"/>
  <c r="AK304" i="17"/>
  <c r="AK303" i="17"/>
  <c r="AK302" i="17"/>
  <c r="AK301" i="17"/>
  <c r="AK300" i="17"/>
  <c r="AK299" i="17"/>
  <c r="AK298" i="17"/>
  <c r="AK297" i="17"/>
  <c r="AK296" i="17"/>
  <c r="AK295" i="17"/>
  <c r="AK294" i="17"/>
  <c r="AK293" i="17"/>
  <c r="AK292" i="17"/>
  <c r="AK291" i="17"/>
  <c r="AK290" i="17"/>
  <c r="AK289" i="17"/>
  <c r="AK288" i="17"/>
  <c r="AK287" i="17"/>
  <c r="AK286" i="17"/>
  <c r="AK285" i="17"/>
  <c r="AK284" i="17"/>
  <c r="AK283" i="17"/>
  <c r="AK282" i="17"/>
  <c r="AK281" i="17"/>
  <c r="AK280" i="17"/>
  <c r="AK279" i="17"/>
  <c r="AK278" i="17"/>
  <c r="AK277" i="17"/>
  <c r="AK276" i="17"/>
  <c r="AK275" i="17"/>
  <c r="AK274" i="17"/>
  <c r="AK273" i="17"/>
  <c r="AK272" i="17"/>
  <c r="AK271" i="17"/>
  <c r="AK270" i="17"/>
  <c r="AK269" i="17"/>
  <c r="AK268" i="17"/>
  <c r="AK267" i="17"/>
  <c r="AK266" i="17"/>
  <c r="AK265" i="17"/>
  <c r="AK264" i="17"/>
  <c r="AK263" i="17"/>
  <c r="AK262" i="17"/>
  <c r="AK261" i="17"/>
  <c r="AK260" i="17"/>
  <c r="AK259" i="17"/>
  <c r="AK258" i="17"/>
  <c r="AK257" i="17"/>
  <c r="AK256" i="17"/>
  <c r="AK255" i="17"/>
  <c r="AK254" i="17"/>
  <c r="AK253" i="17"/>
  <c r="AK252" i="17"/>
  <c r="AK251" i="17"/>
  <c r="AK250" i="17"/>
  <c r="AK249" i="17"/>
  <c r="AK248" i="17"/>
  <c r="AK247" i="17"/>
  <c r="AK246" i="17"/>
  <c r="AK245" i="17"/>
  <c r="AK244" i="17"/>
  <c r="AK243" i="17"/>
  <c r="AK242" i="17"/>
  <c r="AK241" i="17"/>
  <c r="AK240" i="17"/>
  <c r="AK239" i="17"/>
  <c r="AK238" i="17"/>
  <c r="AK237" i="17"/>
  <c r="AK236" i="17"/>
  <c r="AK235" i="17"/>
  <c r="AK234" i="17"/>
  <c r="AK233" i="17"/>
  <c r="AK232" i="17"/>
  <c r="AK231" i="17"/>
  <c r="AK230" i="17"/>
  <c r="AK229" i="17"/>
  <c r="AK228" i="17"/>
  <c r="AK227" i="17"/>
  <c r="AK226" i="17"/>
  <c r="AK225" i="17"/>
  <c r="AK224" i="17"/>
  <c r="AK223" i="17"/>
  <c r="AK222" i="17"/>
  <c r="AK221" i="17"/>
  <c r="AK220" i="17"/>
  <c r="AK219" i="17"/>
  <c r="AK218" i="17"/>
  <c r="AK217" i="17"/>
  <c r="AK216" i="17"/>
  <c r="AK215" i="17"/>
  <c r="AK214" i="17"/>
  <c r="AK213" i="17"/>
  <c r="AK212" i="17"/>
  <c r="AK211" i="17"/>
  <c r="AK210" i="17"/>
  <c r="AK209" i="17"/>
  <c r="AK208" i="17"/>
  <c r="AK207" i="17"/>
  <c r="AK206" i="17"/>
  <c r="AK205" i="17"/>
  <c r="AK204" i="17"/>
  <c r="AK203" i="17"/>
  <c r="AK202" i="17"/>
  <c r="AK201" i="17"/>
  <c r="AK200" i="17"/>
  <c r="AK199" i="17"/>
  <c r="AK198" i="17"/>
  <c r="AK197" i="17"/>
  <c r="AK196" i="17"/>
  <c r="AK195" i="17"/>
  <c r="AK194" i="17"/>
  <c r="AK193" i="17"/>
  <c r="AK192" i="17"/>
  <c r="AK191" i="17"/>
  <c r="AK190" i="17"/>
  <c r="AK189" i="17"/>
  <c r="AK188" i="17"/>
  <c r="AK187" i="17"/>
  <c r="AK186" i="17"/>
  <c r="AK185" i="17"/>
  <c r="AK184" i="17"/>
  <c r="AK183" i="17"/>
  <c r="AK182" i="17"/>
  <c r="AK181" i="17"/>
  <c r="AK180" i="17"/>
  <c r="AK179" i="17"/>
  <c r="AK178" i="17"/>
  <c r="AK177" i="17"/>
  <c r="AK176" i="17"/>
  <c r="AK175" i="17"/>
  <c r="AK174" i="17"/>
  <c r="AK173" i="17"/>
  <c r="AK172" i="17"/>
  <c r="AK171" i="17"/>
  <c r="AK170" i="17"/>
  <c r="AK169" i="17"/>
  <c r="AK168" i="17"/>
  <c r="AK167" i="17"/>
  <c r="AK166" i="17"/>
  <c r="AK165" i="17"/>
  <c r="AK164" i="17"/>
  <c r="AK163" i="17"/>
  <c r="AK162" i="17"/>
  <c r="AK161" i="17"/>
  <c r="AK160" i="17"/>
  <c r="AK159" i="17"/>
  <c r="AK158" i="17"/>
  <c r="AK157" i="17"/>
  <c r="AK156" i="17"/>
  <c r="AK155" i="17"/>
  <c r="AK154" i="17"/>
  <c r="AK153" i="17"/>
  <c r="AK152" i="17"/>
  <c r="AK151" i="17"/>
  <c r="AK150" i="17"/>
  <c r="AK149" i="17"/>
  <c r="AK148" i="17"/>
  <c r="AK147" i="17"/>
  <c r="AK146" i="17"/>
  <c r="AK145" i="17"/>
  <c r="AK144" i="17"/>
  <c r="AK143" i="17"/>
  <c r="AK142" i="17"/>
  <c r="AK141" i="17"/>
  <c r="AK140" i="17"/>
  <c r="AK139" i="17"/>
  <c r="AK138" i="17"/>
  <c r="AK137" i="17"/>
  <c r="AK136" i="17"/>
  <c r="AK135" i="17"/>
  <c r="AK134" i="17"/>
  <c r="AK133" i="17"/>
  <c r="AK132" i="17"/>
  <c r="AK131" i="17"/>
  <c r="AK130" i="17"/>
  <c r="AK129" i="17"/>
  <c r="AK128" i="17"/>
  <c r="AK127" i="17"/>
  <c r="AK126" i="17"/>
  <c r="AK125" i="17"/>
  <c r="AK124" i="17"/>
  <c r="AK123" i="17"/>
  <c r="AK122" i="17"/>
  <c r="AK121" i="17"/>
  <c r="AK120" i="17"/>
  <c r="AK119" i="17"/>
  <c r="AK118" i="17"/>
  <c r="AK117" i="17"/>
  <c r="AK116" i="17"/>
  <c r="AK115" i="17"/>
  <c r="AK114" i="17"/>
  <c r="AK113" i="17"/>
  <c r="AK112" i="17"/>
  <c r="AK111" i="17"/>
  <c r="AK110" i="17"/>
  <c r="AK109" i="17"/>
  <c r="AK108" i="17"/>
  <c r="AK107" i="17"/>
  <c r="AK106" i="17"/>
  <c r="AK105" i="17"/>
  <c r="AK104" i="17"/>
  <c r="AK103" i="17"/>
  <c r="AK102" i="17"/>
  <c r="AK101" i="17"/>
  <c r="AK100" i="17"/>
  <c r="AK99" i="17"/>
  <c r="AK98" i="17"/>
  <c r="AK97" i="17"/>
  <c r="AK96" i="17"/>
  <c r="AK95" i="17"/>
  <c r="AK94" i="17"/>
  <c r="AK93" i="17"/>
  <c r="AK92" i="17"/>
  <c r="AK91" i="17"/>
  <c r="AK90" i="17"/>
  <c r="AK89" i="17"/>
  <c r="AK88" i="17"/>
  <c r="AK87" i="17"/>
  <c r="AK86" i="17"/>
  <c r="AK85" i="17"/>
  <c r="AK84" i="17"/>
  <c r="AK83" i="17"/>
  <c r="AK82" i="17"/>
  <c r="AK81" i="17"/>
  <c r="R82" i="16"/>
  <c r="Q82" i="16"/>
  <c r="P82" i="16"/>
  <c r="O82" i="16"/>
  <c r="N82" i="16"/>
  <c r="M82" i="16"/>
  <c r="L82" i="16"/>
  <c r="K82" i="16"/>
  <c r="J82" i="16"/>
  <c r="I82" i="16"/>
  <c r="H82" i="16"/>
  <c r="K81" i="16"/>
  <c r="H81" i="16"/>
  <c r="K80" i="16"/>
  <c r="H80" i="16"/>
  <c r="K79" i="16"/>
  <c r="H79" i="16"/>
  <c r="K78" i="16"/>
  <c r="H78" i="16"/>
  <c r="K77" i="16"/>
  <c r="H77" i="16"/>
  <c r="K76" i="16"/>
  <c r="H76" i="16"/>
  <c r="K75" i="16"/>
  <c r="H75" i="16"/>
  <c r="K74" i="16"/>
  <c r="H74" i="16"/>
  <c r="K73" i="16"/>
  <c r="H73" i="16"/>
  <c r="H72" i="16"/>
  <c r="K71" i="16"/>
  <c r="H71" i="16"/>
  <c r="K70" i="16"/>
  <c r="H70" i="16"/>
  <c r="K69" i="16"/>
  <c r="H69" i="16"/>
  <c r="K68" i="16"/>
  <c r="H68" i="16"/>
  <c r="K67" i="16"/>
  <c r="H67" i="16"/>
  <c r="K66" i="16"/>
  <c r="H66" i="16"/>
  <c r="K65" i="16"/>
  <c r="H65" i="16"/>
  <c r="K64" i="16"/>
  <c r="H64" i="16"/>
  <c r="K63" i="16"/>
  <c r="H63" i="16"/>
  <c r="K62" i="16"/>
  <c r="H62" i="16"/>
  <c r="K61" i="16"/>
  <c r="H61" i="16"/>
  <c r="K60" i="16"/>
  <c r="H60" i="16"/>
  <c r="K59" i="16"/>
  <c r="H59" i="16"/>
  <c r="K58" i="16"/>
  <c r="H58" i="16"/>
  <c r="K57" i="16"/>
  <c r="H57" i="16"/>
  <c r="K56" i="16"/>
  <c r="H56" i="16"/>
  <c r="K55" i="16"/>
  <c r="H55" i="16"/>
  <c r="K54" i="16"/>
  <c r="H54" i="16"/>
  <c r="K53" i="16"/>
  <c r="H53" i="16"/>
  <c r="K52" i="16"/>
  <c r="H52" i="16"/>
  <c r="K51" i="16"/>
  <c r="H51" i="16"/>
  <c r="K50" i="16"/>
  <c r="H50" i="16"/>
  <c r="K49" i="16"/>
  <c r="H49" i="16"/>
  <c r="K48" i="16"/>
  <c r="H48" i="16"/>
  <c r="K47" i="16"/>
  <c r="H47" i="16"/>
  <c r="K46" i="16"/>
  <c r="H46" i="16"/>
  <c r="K45" i="16"/>
  <c r="H45" i="16"/>
  <c r="K44" i="16"/>
  <c r="H44" i="16"/>
  <c r="K43" i="16"/>
  <c r="H43" i="16"/>
  <c r="K42" i="16"/>
  <c r="H42" i="16"/>
  <c r="K41" i="16"/>
  <c r="H41" i="16"/>
  <c r="K40" i="16"/>
  <c r="H40" i="16"/>
  <c r="K39" i="16"/>
  <c r="H39" i="16"/>
  <c r="K38" i="16"/>
  <c r="H38" i="16"/>
  <c r="K37" i="16"/>
  <c r="H37" i="16"/>
  <c r="K36" i="16"/>
  <c r="H36" i="16"/>
  <c r="K35" i="16"/>
  <c r="H35" i="16"/>
  <c r="K34" i="16"/>
  <c r="H34" i="16"/>
  <c r="K33" i="16"/>
  <c r="H33" i="16"/>
  <c r="K32" i="16"/>
  <c r="H32" i="16"/>
  <c r="K31" i="16"/>
  <c r="H31" i="16"/>
  <c r="K30" i="16"/>
  <c r="H30" i="16"/>
  <c r="K29" i="16"/>
  <c r="H29" i="16"/>
  <c r="K28" i="16"/>
  <c r="H28" i="16"/>
  <c r="K27" i="16"/>
  <c r="H27" i="16"/>
  <c r="K26" i="16"/>
  <c r="H26" i="16"/>
  <c r="K25" i="16"/>
  <c r="H25" i="16"/>
  <c r="K24" i="16"/>
  <c r="H24" i="16"/>
  <c r="K23" i="16"/>
  <c r="H23" i="16"/>
  <c r="K22" i="16"/>
  <c r="H22" i="16"/>
  <c r="K21" i="16"/>
  <c r="H21" i="16"/>
  <c r="K20" i="16"/>
  <c r="H20" i="16"/>
  <c r="K19" i="16"/>
  <c r="H19" i="16"/>
  <c r="K18" i="16"/>
  <c r="H18" i="16"/>
  <c r="K17" i="16"/>
  <c r="H17" i="16"/>
  <c r="K16" i="16"/>
  <c r="H16" i="16"/>
  <c r="K15" i="16"/>
  <c r="H15" i="16"/>
  <c r="K14" i="16"/>
  <c r="H14" i="16"/>
  <c r="K13" i="16"/>
  <c r="H13" i="16"/>
  <c r="K12" i="16"/>
  <c r="H12" i="16"/>
  <c r="K11" i="16"/>
  <c r="H11" i="16"/>
  <c r="K10" i="16"/>
  <c r="H10" i="16"/>
  <c r="K9" i="16"/>
  <c r="G9" i="16" a="1"/>
  <c r="G9" i="16" s="1"/>
  <c r="F9" i="16" a="1"/>
  <c r="AG6" i="17"/>
  <c r="I8" i="14" a="1"/>
  <c r="I8" i="14" s="1"/>
  <c r="V12" i="14"/>
  <c r="V52" i="14"/>
  <c r="V51" i="14"/>
  <c r="V50" i="14"/>
  <c r="V49" i="14"/>
  <c r="V48" i="14"/>
  <c r="V47" i="14"/>
  <c r="V46" i="14"/>
  <c r="V45" i="14"/>
  <c r="V44" i="14"/>
  <c r="V43" i="14"/>
  <c r="V42" i="14"/>
  <c r="V41" i="14"/>
  <c r="V40" i="14"/>
  <c r="V39" i="14"/>
  <c r="V38" i="14"/>
  <c r="V37" i="14"/>
  <c r="V36" i="14"/>
  <c r="V35" i="14"/>
  <c r="V34" i="14"/>
  <c r="V33" i="14"/>
  <c r="V32" i="14"/>
  <c r="V31" i="14"/>
  <c r="V30" i="14"/>
  <c r="V29" i="14"/>
  <c r="V28" i="14"/>
  <c r="V27" i="14"/>
  <c r="V26" i="14"/>
  <c r="V25" i="14"/>
  <c r="V24" i="14"/>
  <c r="V23" i="14"/>
  <c r="V22" i="14"/>
  <c r="V21" i="14"/>
  <c r="V20" i="14"/>
  <c r="V19" i="14"/>
  <c r="V18" i="14"/>
  <c r="V17" i="14"/>
  <c r="V16" i="14"/>
  <c r="V15" i="14"/>
  <c r="V14" i="14"/>
  <c r="V13" i="14"/>
  <c r="V11" i="14"/>
  <c r="V10" i="14"/>
  <c r="V9" i="14"/>
  <c r="V8" i="14"/>
  <c r="M8" i="17"/>
  <c r="G16" i="9"/>
  <c r="AB54" i="11"/>
  <c r="F9" i="16" l="1"/>
  <c r="O57" i="14"/>
  <c r="R17" i="9"/>
  <c r="Q13" i="9"/>
  <c r="N8" i="11" a="1"/>
  <c r="N8" i="11" s="1"/>
  <c r="AC29" i="11"/>
  <c r="C17" i="11"/>
  <c r="G12" i="11"/>
  <c r="C13" i="11" s="1"/>
  <c r="I43" i="11"/>
  <c r="I12" i="11" s="1"/>
  <c r="E13" i="11" s="1"/>
  <c r="E46" i="18"/>
  <c r="F46" i="18"/>
  <c r="G46" i="18"/>
  <c r="H46" i="18"/>
  <c r="I46" i="18"/>
  <c r="E47" i="18"/>
  <c r="F47" i="18"/>
  <c r="G47" i="18"/>
  <c r="H47" i="18"/>
  <c r="I47" i="18"/>
  <c r="E48" i="18"/>
  <c r="F48" i="18"/>
  <c r="G48" i="18"/>
  <c r="H48" i="18"/>
  <c r="I48" i="18"/>
  <c r="E49" i="18"/>
  <c r="E53" i="18" s="1"/>
  <c r="F49" i="18"/>
  <c r="F53" i="18" s="1"/>
  <c r="G49" i="18"/>
  <c r="G53" i="18" s="1"/>
  <c r="H49" i="18"/>
  <c r="H53" i="18" s="1"/>
  <c r="I49" i="18"/>
  <c r="I53" i="18" s="1"/>
  <c r="E52" i="18"/>
  <c r="J52" i="18" s="1"/>
  <c r="D45" i="18" s="1"/>
  <c r="F52" i="18"/>
  <c r="G52" i="18"/>
  <c r="H52" i="18"/>
  <c r="I52" i="18"/>
  <c r="R9" i="20" a="1"/>
  <c r="A105" i="20"/>
  <c r="A104" i="20"/>
  <c r="A99" i="20"/>
  <c r="A97" i="20"/>
  <c r="A96" i="20"/>
  <c r="A91" i="20"/>
  <c r="A89" i="20"/>
  <c r="A88" i="20"/>
  <c r="A83" i="20"/>
  <c r="A81" i="20"/>
  <c r="A80" i="20"/>
  <c r="A75" i="20"/>
  <c r="A73" i="20"/>
  <c r="A72" i="20"/>
  <c r="A67" i="20"/>
  <c r="A65" i="20"/>
  <c r="A64" i="20"/>
  <c r="W53" i="20"/>
  <c r="F53" i="20"/>
  <c r="E53" i="20"/>
  <c r="D53" i="20"/>
  <c r="C53" i="20"/>
  <c r="W52" i="20"/>
  <c r="F52" i="20"/>
  <c r="E52" i="20"/>
  <c r="D52" i="20"/>
  <c r="C52" i="20"/>
  <c r="W51" i="20"/>
  <c r="F51" i="20"/>
  <c r="E51" i="20"/>
  <c r="D51" i="20"/>
  <c r="C51" i="20"/>
  <c r="W50" i="20"/>
  <c r="F50" i="20"/>
  <c r="E50" i="20"/>
  <c r="D50" i="20"/>
  <c r="C50" i="20"/>
  <c r="W49" i="20"/>
  <c r="F49" i="20"/>
  <c r="E49" i="20"/>
  <c r="D49" i="20"/>
  <c r="C49" i="20"/>
  <c r="W48" i="20"/>
  <c r="F48" i="20"/>
  <c r="E48" i="20"/>
  <c r="D48" i="20"/>
  <c r="C48" i="20"/>
  <c r="W47" i="20"/>
  <c r="F47" i="20"/>
  <c r="E47" i="20"/>
  <c r="D47" i="20"/>
  <c r="C47" i="20"/>
  <c r="W46" i="20"/>
  <c r="F46" i="20"/>
  <c r="E46" i="20"/>
  <c r="D46" i="20"/>
  <c r="C46" i="20"/>
  <c r="W45" i="20"/>
  <c r="F45" i="20"/>
  <c r="E45" i="20"/>
  <c r="D45" i="20"/>
  <c r="C45" i="20"/>
  <c r="W44" i="20"/>
  <c r="F44" i="20"/>
  <c r="E44" i="20"/>
  <c r="D44" i="20"/>
  <c r="C44" i="20"/>
  <c r="W43" i="20"/>
  <c r="F43" i="20"/>
  <c r="E43" i="20"/>
  <c r="D43" i="20"/>
  <c r="C43" i="20"/>
  <c r="W42" i="20"/>
  <c r="F42" i="20"/>
  <c r="E42" i="20"/>
  <c r="D42" i="20"/>
  <c r="C42" i="20"/>
  <c r="W41" i="20"/>
  <c r="F41" i="20"/>
  <c r="E41" i="20"/>
  <c r="D41" i="20"/>
  <c r="C41" i="20"/>
  <c r="W40" i="20"/>
  <c r="F40" i="20"/>
  <c r="E40" i="20"/>
  <c r="D40" i="20"/>
  <c r="C40" i="20"/>
  <c r="W39" i="20"/>
  <c r="F39" i="20"/>
  <c r="E39" i="20"/>
  <c r="D39" i="20"/>
  <c r="C39" i="20"/>
  <c r="W38" i="20"/>
  <c r="F38" i="20"/>
  <c r="E38" i="20"/>
  <c r="D38" i="20"/>
  <c r="C38" i="20"/>
  <c r="W37" i="20"/>
  <c r="F37" i="20"/>
  <c r="E37" i="20"/>
  <c r="D37" i="20"/>
  <c r="C37" i="20"/>
  <c r="W36" i="20"/>
  <c r="F36" i="20"/>
  <c r="E36" i="20"/>
  <c r="D36" i="20"/>
  <c r="C36" i="20"/>
  <c r="W35" i="20"/>
  <c r="F35" i="20"/>
  <c r="E35" i="20"/>
  <c r="D35" i="20"/>
  <c r="C35" i="20"/>
  <c r="W34" i="20"/>
  <c r="F34" i="20"/>
  <c r="E34" i="20"/>
  <c r="D34" i="20"/>
  <c r="C34" i="20"/>
  <c r="W33" i="20"/>
  <c r="F33" i="20"/>
  <c r="E33" i="20"/>
  <c r="D33" i="20"/>
  <c r="C33" i="20"/>
  <c r="W32" i="20"/>
  <c r="F32" i="20"/>
  <c r="E32" i="20"/>
  <c r="D32" i="20"/>
  <c r="C32" i="20"/>
  <c r="AD31" i="20"/>
  <c r="W31" i="20"/>
  <c r="F31" i="20"/>
  <c r="E31" i="20"/>
  <c r="D31" i="20"/>
  <c r="C31" i="20"/>
  <c r="W30" i="20"/>
  <c r="F30" i="20"/>
  <c r="E30" i="20"/>
  <c r="D30" i="20"/>
  <c r="C30" i="20"/>
  <c r="AD29" i="20"/>
  <c r="W29" i="20"/>
  <c r="F29" i="20"/>
  <c r="E29" i="20"/>
  <c r="D29" i="20"/>
  <c r="C29" i="20"/>
  <c r="W28" i="20"/>
  <c r="F28" i="20"/>
  <c r="E28" i="20"/>
  <c r="D28" i="20"/>
  <c r="C28" i="20"/>
  <c r="W27" i="20"/>
  <c r="F27" i="20"/>
  <c r="E27" i="20"/>
  <c r="D27" i="20"/>
  <c r="C27" i="20"/>
  <c r="W26" i="20"/>
  <c r="F26" i="20"/>
  <c r="E26" i="20"/>
  <c r="D26" i="20"/>
  <c r="C26" i="20"/>
  <c r="W25" i="20"/>
  <c r="F25" i="20"/>
  <c r="E25" i="20"/>
  <c r="D25" i="20"/>
  <c r="C25" i="20"/>
  <c r="W24" i="20"/>
  <c r="F24" i="20"/>
  <c r="E24" i="20"/>
  <c r="D24" i="20"/>
  <c r="C24" i="20"/>
  <c r="AD23" i="20"/>
  <c r="W23" i="20"/>
  <c r="F23" i="20"/>
  <c r="E23" i="20"/>
  <c r="D23" i="20"/>
  <c r="C23" i="20"/>
  <c r="W22" i="20"/>
  <c r="F22" i="20"/>
  <c r="E22" i="20"/>
  <c r="D22" i="20"/>
  <c r="C22" i="20"/>
  <c r="W21" i="20"/>
  <c r="F21" i="20"/>
  <c r="E21" i="20"/>
  <c r="D21" i="20"/>
  <c r="C21" i="20"/>
  <c r="W20" i="20"/>
  <c r="F20" i="20"/>
  <c r="E20" i="20"/>
  <c r="D20" i="20"/>
  <c r="C20" i="20"/>
  <c r="W19" i="20"/>
  <c r="F19" i="20"/>
  <c r="E19" i="20"/>
  <c r="D19" i="20"/>
  <c r="C19" i="20"/>
  <c r="AD18" i="20"/>
  <c r="W18" i="20"/>
  <c r="F18" i="20"/>
  <c r="E18" i="20"/>
  <c r="D18" i="20"/>
  <c r="C18" i="20"/>
  <c r="W17" i="20"/>
  <c r="F17" i="20"/>
  <c r="E17" i="20"/>
  <c r="D17" i="20"/>
  <c r="C17" i="20"/>
  <c r="W16" i="20"/>
  <c r="F16" i="20"/>
  <c r="E16" i="20"/>
  <c r="D16" i="20"/>
  <c r="C16" i="20"/>
  <c r="W15" i="20"/>
  <c r="F15" i="20"/>
  <c r="E15" i="20"/>
  <c r="D15" i="20"/>
  <c r="C15" i="20"/>
  <c r="W14" i="20"/>
  <c r="F14" i="20"/>
  <c r="E14" i="20"/>
  <c r="D14" i="20"/>
  <c r="C14" i="20"/>
  <c r="W13" i="20"/>
  <c r="F13" i="20"/>
  <c r="E13" i="20"/>
  <c r="D13" i="20"/>
  <c r="C13" i="20"/>
  <c r="W12" i="20"/>
  <c r="F12" i="20"/>
  <c r="E12" i="20"/>
  <c r="D12" i="20"/>
  <c r="C12" i="20"/>
  <c r="W11" i="20"/>
  <c r="F11" i="20"/>
  <c r="E11" i="20"/>
  <c r="D11" i="20"/>
  <c r="C11" i="20"/>
  <c r="W10" i="20"/>
  <c r="F10" i="20"/>
  <c r="E10" i="20"/>
  <c r="D10" i="20"/>
  <c r="C10" i="20"/>
  <c r="W9" i="20"/>
  <c r="F9" i="20"/>
  <c r="E9" i="20"/>
  <c r="D9" i="20"/>
  <c r="C9" i="20"/>
  <c r="AA8" i="20"/>
  <c r="Z8" i="20"/>
  <c r="Y8" i="20"/>
  <c r="X8" i="20"/>
  <c r="W8" i="20"/>
  <c r="K8" i="20"/>
  <c r="J8" i="20"/>
  <c r="I8" i="20"/>
  <c r="H8" i="20"/>
  <c r="G8" i="20"/>
  <c r="F8" i="20"/>
  <c r="E8" i="20"/>
  <c r="D8" i="20"/>
  <c r="AK7" i="20"/>
  <c r="AJ7" i="20"/>
  <c r="AI7" i="20"/>
  <c r="AH7" i="20"/>
  <c r="AG7" i="20"/>
  <c r="AF7" i="20"/>
  <c r="AD7" i="20"/>
  <c r="W7" i="20"/>
  <c r="P71" i="17"/>
  <c r="U54" i="14"/>
  <c r="F56" i="15"/>
  <c r="P7" i="17" l="1"/>
  <c r="K8" i="16" s="1"/>
  <c r="K72" i="16"/>
  <c r="P57" i="14"/>
  <c r="R9" i="20"/>
  <c r="S9" i="20" s="1"/>
  <c r="S53" i="20"/>
  <c r="S52" i="20"/>
  <c r="S51" i="20"/>
  <c r="S50" i="20"/>
  <c r="S45" i="20"/>
  <c r="S44" i="20"/>
  <c r="S43" i="20"/>
  <c r="S42" i="20"/>
  <c r="S37" i="20"/>
  <c r="S36" i="20"/>
  <c r="S35" i="20"/>
  <c r="S34" i="20"/>
  <c r="S30" i="20"/>
  <c r="S29" i="20"/>
  <c r="S28" i="20"/>
  <c r="S27" i="20"/>
  <c r="S26" i="20"/>
  <c r="S22" i="20"/>
  <c r="S21" i="20"/>
  <c r="S20" i="20"/>
  <c r="S19" i="20"/>
  <c r="S18" i="20"/>
  <c r="S14" i="20"/>
  <c r="S13" i="20"/>
  <c r="S12" i="20"/>
  <c r="S11" i="20"/>
  <c r="S10" i="20"/>
  <c r="AC26" i="11"/>
  <c r="AC14" i="11"/>
  <c r="AC22" i="11"/>
  <c r="AC30" i="11"/>
  <c r="AC15" i="11"/>
  <c r="AC23" i="11"/>
  <c r="AC31" i="11"/>
  <c r="AC24" i="11"/>
  <c r="AC9" i="11"/>
  <c r="AC17" i="11"/>
  <c r="AC25" i="11"/>
  <c r="AC16" i="11"/>
  <c r="AC10" i="11"/>
  <c r="AC11" i="11"/>
  <c r="AC19" i="11"/>
  <c r="AC27" i="11"/>
  <c r="AC8" i="11"/>
  <c r="AC18" i="11"/>
  <c r="AC12" i="11"/>
  <c r="AC20" i="11"/>
  <c r="AC28" i="11"/>
  <c r="AC13" i="11"/>
  <c r="AC21" i="11"/>
  <c r="AC32" i="11"/>
  <c r="AC34" i="11"/>
  <c r="AC36" i="11"/>
  <c r="AC35" i="11"/>
  <c r="AC33" i="11"/>
  <c r="AC45" i="11"/>
  <c r="AC42" i="11"/>
  <c r="AC40" i="11"/>
  <c r="AC38" i="11"/>
  <c r="AC37" i="11"/>
  <c r="AC46" i="11"/>
  <c r="AC44" i="11"/>
  <c r="AC43" i="11"/>
  <c r="AC41" i="11"/>
  <c r="AC39" i="11"/>
  <c r="AC49" i="11"/>
  <c r="AC47" i="11"/>
  <c r="AC50" i="11"/>
  <c r="AC51" i="11"/>
  <c r="AC48" i="11"/>
  <c r="AC52" i="11"/>
  <c r="J53" i="18"/>
  <c r="D49" i="18" s="1"/>
  <c r="C55" i="20"/>
  <c r="S17" i="20"/>
  <c r="S25" i="20"/>
  <c r="S33" i="20"/>
  <c r="S41" i="20"/>
  <c r="S49" i="20"/>
  <c r="F55" i="20"/>
  <c r="S38" i="20"/>
  <c r="S46" i="20"/>
  <c r="W55" i="20"/>
  <c r="S15" i="20"/>
  <c r="S23" i="20"/>
  <c r="S31" i="20"/>
  <c r="S39" i="20"/>
  <c r="S47" i="20"/>
  <c r="S16" i="20"/>
  <c r="S24" i="20"/>
  <c r="S32" i="20"/>
  <c r="S40" i="20"/>
  <c r="S48" i="20"/>
  <c r="A101" i="20"/>
  <c r="A93" i="20"/>
  <c r="A85" i="20"/>
  <c r="A77" i="20"/>
  <c r="A69" i="20"/>
  <c r="A106" i="20"/>
  <c r="A98" i="20"/>
  <c r="A90" i="20"/>
  <c r="A82" i="20"/>
  <c r="A74" i="20"/>
  <c r="A66" i="20"/>
  <c r="A103" i="20"/>
  <c r="A95" i="20"/>
  <c r="A87" i="20"/>
  <c r="A79" i="20"/>
  <c r="A71" i="20"/>
  <c r="A63" i="20"/>
  <c r="A100" i="20"/>
  <c r="A92" i="20"/>
  <c r="A84" i="20"/>
  <c r="A76" i="20"/>
  <c r="A68" i="20"/>
  <c r="A70" i="20"/>
  <c r="A78" i="20"/>
  <c r="A86" i="20"/>
  <c r="A94" i="20"/>
  <c r="A102" i="20"/>
  <c r="A62" i="20"/>
  <c r="Q57" i="14" l="1"/>
  <c r="AD6" i="17"/>
  <c r="R57" i="14" l="1"/>
  <c r="F419" i="19"/>
  <c r="CC416" i="19"/>
  <c r="BY416" i="19"/>
  <c r="AR416" i="19" a="1"/>
  <c r="AR416" i="19" s="1"/>
  <c r="AQ416" i="19"/>
  <c r="AF416" i="19" a="1"/>
  <c r="AF416" i="19" s="1"/>
  <c r="AE416" i="19"/>
  <c r="U416" i="19" a="1"/>
  <c r="U416" i="19" s="1"/>
  <c r="T416" i="19" a="1"/>
  <c r="T416" i="19" s="1"/>
  <c r="Q416" i="19"/>
  <c r="L416" i="19"/>
  <c r="V416" i="19" s="1"/>
  <c r="J416" i="19"/>
  <c r="I416" i="19"/>
  <c r="O416" i="19" s="1" a="1"/>
  <c r="O416" i="19" s="1"/>
  <c r="F416" i="19"/>
  <c r="AR415" i="19" a="1"/>
  <c r="AR415" i="19" s="1"/>
  <c r="AQ415" i="19"/>
  <c r="AF415" i="19" a="1"/>
  <c r="AF415" i="19" s="1"/>
  <c r="AE415" i="19"/>
  <c r="U415" i="19" a="1"/>
  <c r="U415" i="19" s="1"/>
  <c r="T415" i="19" a="1"/>
  <c r="T415" i="19" s="1"/>
  <c r="Q415" i="19"/>
  <c r="L415" i="19"/>
  <c r="J415" i="19"/>
  <c r="I415" i="19"/>
  <c r="K415" i="19" s="1"/>
  <c r="F415" i="19"/>
  <c r="AR414" i="19" a="1"/>
  <c r="AR414" i="19" s="1"/>
  <c r="AQ414" i="19"/>
  <c r="AF414" i="19" a="1"/>
  <c r="AF414" i="19" s="1"/>
  <c r="AE414" i="19"/>
  <c r="U414" i="19" a="1"/>
  <c r="U414" i="19" s="1"/>
  <c r="T414" i="19" a="1"/>
  <c r="T414" i="19" s="1"/>
  <c r="Q414" i="19"/>
  <c r="L414" i="19"/>
  <c r="V414" i="19" s="1"/>
  <c r="J414" i="19"/>
  <c r="I414" i="19"/>
  <c r="K414" i="19" s="1"/>
  <c r="F414" i="19"/>
  <c r="AR413" i="19" a="1"/>
  <c r="AR413" i="19" s="1"/>
  <c r="AQ413" i="19"/>
  <c r="AF413" i="19" a="1"/>
  <c r="AF413" i="19" s="1"/>
  <c r="AE413" i="19"/>
  <c r="U413" i="19" a="1"/>
  <c r="U413" i="19" s="1"/>
  <c r="T413" i="19" a="1"/>
  <c r="T413" i="19" s="1"/>
  <c r="Q413" i="19"/>
  <c r="L413" i="19"/>
  <c r="V413" i="19" s="1"/>
  <c r="J413" i="19"/>
  <c r="I413" i="19"/>
  <c r="K413" i="19" s="1"/>
  <c r="F413" i="19"/>
  <c r="AR412" i="19" a="1"/>
  <c r="AR412" i="19" s="1"/>
  <c r="AQ412" i="19"/>
  <c r="AF412" i="19" a="1"/>
  <c r="AF412" i="19" s="1"/>
  <c r="AE412" i="19"/>
  <c r="U412" i="19" a="1"/>
  <c r="U412" i="19" s="1"/>
  <c r="T412" i="19" a="1"/>
  <c r="T412" i="19" s="1"/>
  <c r="Q412" i="19"/>
  <c r="L412" i="19"/>
  <c r="V412" i="19" s="1"/>
  <c r="J412" i="19"/>
  <c r="I412" i="19"/>
  <c r="K412" i="19" s="1"/>
  <c r="F412" i="19"/>
  <c r="AR411" i="19" a="1"/>
  <c r="AR411" i="19" s="1"/>
  <c r="AQ411" i="19"/>
  <c r="AF411" i="19" a="1"/>
  <c r="AF411" i="19" s="1"/>
  <c r="AE411" i="19"/>
  <c r="U411" i="19" a="1"/>
  <c r="U411" i="19" s="1"/>
  <c r="T411" i="19" a="1"/>
  <c r="T411" i="19" s="1"/>
  <c r="Q411" i="19"/>
  <c r="L411" i="19"/>
  <c r="V411" i="19" s="1"/>
  <c r="J411" i="19"/>
  <c r="I411" i="19"/>
  <c r="O411" i="19" s="1" a="1"/>
  <c r="O411" i="19" s="1"/>
  <c r="F411" i="19"/>
  <c r="AR410" i="19" a="1"/>
  <c r="AR410" i="19" s="1"/>
  <c r="AQ410" i="19"/>
  <c r="AF410" i="19" a="1"/>
  <c r="AF410" i="19" s="1"/>
  <c r="AE410" i="19"/>
  <c r="U410" i="19" a="1"/>
  <c r="U410" i="19" s="1"/>
  <c r="T410" i="19" a="1"/>
  <c r="T410" i="19" s="1"/>
  <c r="Q410" i="19"/>
  <c r="L410" i="19"/>
  <c r="V410" i="19" s="1"/>
  <c r="J410" i="19"/>
  <c r="I410" i="19"/>
  <c r="F410" i="19"/>
  <c r="AR409" i="19" a="1"/>
  <c r="AR409" i="19" s="1"/>
  <c r="AQ409" i="19"/>
  <c r="AF409" i="19" a="1"/>
  <c r="AF409" i="19" s="1"/>
  <c r="AE409" i="19"/>
  <c r="U409" i="19" a="1"/>
  <c r="U409" i="19" s="1"/>
  <c r="T409" i="19" a="1"/>
  <c r="T409" i="19" s="1"/>
  <c r="Q409" i="19"/>
  <c r="L409" i="19"/>
  <c r="J409" i="19"/>
  <c r="I409" i="19"/>
  <c r="K409" i="19" s="1"/>
  <c r="F409" i="19"/>
  <c r="AR408" i="19" a="1"/>
  <c r="AR408" i="19" s="1"/>
  <c r="AQ408" i="19"/>
  <c r="AF408" i="19" a="1"/>
  <c r="AF408" i="19" s="1"/>
  <c r="AE408" i="19"/>
  <c r="U408" i="19" a="1"/>
  <c r="U408" i="19" s="1"/>
  <c r="T408" i="19" a="1"/>
  <c r="T408" i="19" s="1"/>
  <c r="Q408" i="19"/>
  <c r="L408" i="19"/>
  <c r="V408" i="19" s="1"/>
  <c r="J408" i="19"/>
  <c r="I408" i="19"/>
  <c r="K408" i="19" s="1"/>
  <c r="F408" i="19"/>
  <c r="AR407" i="19" a="1"/>
  <c r="AR407" i="19" s="1"/>
  <c r="AQ407" i="19"/>
  <c r="AF407" i="19" a="1"/>
  <c r="AF407" i="19" s="1"/>
  <c r="AE407" i="19"/>
  <c r="U407" i="19" a="1"/>
  <c r="U407" i="19" s="1"/>
  <c r="T407" i="19" a="1"/>
  <c r="T407" i="19" s="1"/>
  <c r="Q407" i="19"/>
  <c r="L407" i="19"/>
  <c r="V407" i="19" s="1"/>
  <c r="J407" i="19"/>
  <c r="I407" i="19"/>
  <c r="F407" i="19"/>
  <c r="AR406" i="19" a="1"/>
  <c r="AR406" i="19" s="1"/>
  <c r="AQ406" i="19"/>
  <c r="AF406" i="19" a="1"/>
  <c r="AF406" i="19" s="1"/>
  <c r="AE406" i="19"/>
  <c r="U406" i="19" a="1"/>
  <c r="U406" i="19" s="1"/>
  <c r="T406" i="19" a="1"/>
  <c r="T406" i="19" s="1"/>
  <c r="Q406" i="19"/>
  <c r="L406" i="19"/>
  <c r="J406" i="19"/>
  <c r="I406" i="19"/>
  <c r="O406" i="19" s="1" a="1"/>
  <c r="O406" i="19" s="1"/>
  <c r="F406" i="19"/>
  <c r="AR405" i="19" a="1"/>
  <c r="AR405" i="19" s="1"/>
  <c r="AQ405" i="19"/>
  <c r="AF405" i="19" a="1"/>
  <c r="AF405" i="19" s="1"/>
  <c r="AE405" i="19"/>
  <c r="U405" i="19" a="1"/>
  <c r="U405" i="19" s="1"/>
  <c r="T405" i="19" a="1"/>
  <c r="T405" i="19" s="1"/>
  <c r="Q405" i="19"/>
  <c r="L405" i="19"/>
  <c r="V405" i="19" s="1"/>
  <c r="J405" i="19"/>
  <c r="I405" i="19"/>
  <c r="O405" i="19" s="1" a="1"/>
  <c r="O405" i="19" s="1"/>
  <c r="F405" i="19"/>
  <c r="AR404" i="19" a="1"/>
  <c r="AR404" i="19" s="1"/>
  <c r="AQ404" i="19"/>
  <c r="AF404" i="19" a="1"/>
  <c r="AF404" i="19" s="1"/>
  <c r="AE404" i="19"/>
  <c r="U404" i="19" a="1"/>
  <c r="U404" i="19" s="1"/>
  <c r="T404" i="19" a="1"/>
  <c r="T404" i="19" s="1"/>
  <c r="Q404" i="19"/>
  <c r="L404" i="19"/>
  <c r="V404" i="19" s="1"/>
  <c r="J404" i="19"/>
  <c r="I404" i="19"/>
  <c r="F404" i="19"/>
  <c r="AR403" i="19" a="1"/>
  <c r="AR403" i="19" s="1"/>
  <c r="AQ403" i="19"/>
  <c r="AF403" i="19" a="1"/>
  <c r="AF403" i="19" s="1"/>
  <c r="AE403" i="19"/>
  <c r="U403" i="19" a="1"/>
  <c r="U403" i="19" s="1"/>
  <c r="T403" i="19" a="1"/>
  <c r="T403" i="19" s="1"/>
  <c r="Q403" i="19"/>
  <c r="L403" i="19"/>
  <c r="J403" i="19"/>
  <c r="I403" i="19"/>
  <c r="K403" i="19" s="1"/>
  <c r="F403" i="19"/>
  <c r="AR402" i="19" a="1"/>
  <c r="AR402" i="19" s="1"/>
  <c r="AQ402" i="19"/>
  <c r="AF402" i="19" a="1"/>
  <c r="AF402" i="19" s="1"/>
  <c r="AE402" i="19"/>
  <c r="U402" i="19" a="1"/>
  <c r="U402" i="19" s="1"/>
  <c r="T402" i="19" a="1"/>
  <c r="T402" i="19" s="1"/>
  <c r="Q402" i="19"/>
  <c r="L402" i="19"/>
  <c r="V402" i="19" s="1"/>
  <c r="J402" i="19"/>
  <c r="I402" i="19"/>
  <c r="F402" i="19"/>
  <c r="AR401" i="19" a="1"/>
  <c r="AR401" i="19" s="1"/>
  <c r="AQ401" i="19"/>
  <c r="AF401" i="19" a="1"/>
  <c r="AF401" i="19" s="1"/>
  <c r="AE401" i="19"/>
  <c r="U401" i="19" a="1"/>
  <c r="U401" i="19" s="1"/>
  <c r="T401" i="19" a="1"/>
  <c r="T401" i="19" s="1"/>
  <c r="Q401" i="19"/>
  <c r="L401" i="19"/>
  <c r="J401" i="19"/>
  <c r="I401" i="19"/>
  <c r="O401" i="19" s="1" a="1"/>
  <c r="O401" i="19" s="1"/>
  <c r="F401" i="19"/>
  <c r="AR400" i="19" a="1"/>
  <c r="AR400" i="19" s="1"/>
  <c r="AQ400" i="19"/>
  <c r="AF400" i="19" a="1"/>
  <c r="AF400" i="19" s="1"/>
  <c r="AE400" i="19"/>
  <c r="U400" i="19" a="1"/>
  <c r="U400" i="19" s="1"/>
  <c r="T400" i="19" a="1"/>
  <c r="T400" i="19" s="1"/>
  <c r="Q400" i="19"/>
  <c r="L400" i="19"/>
  <c r="J400" i="19"/>
  <c r="I400" i="19"/>
  <c r="O400" i="19" s="1" a="1"/>
  <c r="O400" i="19" s="1"/>
  <c r="F400" i="19"/>
  <c r="AR399" i="19" a="1"/>
  <c r="AR399" i="19" s="1"/>
  <c r="AQ399" i="19"/>
  <c r="AF399" i="19" a="1"/>
  <c r="AF399" i="19" s="1"/>
  <c r="AE399" i="19"/>
  <c r="U399" i="19" a="1"/>
  <c r="U399" i="19" s="1"/>
  <c r="T399" i="19" a="1"/>
  <c r="T399" i="19" s="1"/>
  <c r="Q399" i="19"/>
  <c r="L399" i="19"/>
  <c r="J399" i="19"/>
  <c r="I399" i="19"/>
  <c r="F399" i="19"/>
  <c r="AR398" i="19" a="1"/>
  <c r="AR398" i="19" s="1"/>
  <c r="AQ398" i="19"/>
  <c r="AF398" i="19" a="1"/>
  <c r="AF398" i="19" s="1"/>
  <c r="AE398" i="19"/>
  <c r="U398" i="19" a="1"/>
  <c r="U398" i="19" s="1"/>
  <c r="T398" i="19" a="1"/>
  <c r="T398" i="19" s="1"/>
  <c r="Q398" i="19"/>
  <c r="L398" i="19"/>
  <c r="J398" i="19"/>
  <c r="I398" i="19"/>
  <c r="F398" i="19"/>
  <c r="AR397" i="19" a="1"/>
  <c r="AR397" i="19" s="1"/>
  <c r="AQ397" i="19"/>
  <c r="AF397" i="19" a="1"/>
  <c r="AF397" i="19" s="1"/>
  <c r="AE397" i="19"/>
  <c r="U397" i="19" a="1"/>
  <c r="U397" i="19" s="1"/>
  <c r="T397" i="19" a="1"/>
  <c r="T397" i="19" s="1"/>
  <c r="Q397" i="19"/>
  <c r="L397" i="19"/>
  <c r="V397" i="19" s="1"/>
  <c r="J397" i="19"/>
  <c r="I397" i="19"/>
  <c r="F397" i="19"/>
  <c r="AR396" i="19" a="1"/>
  <c r="AR396" i="19" s="1"/>
  <c r="AQ396" i="19"/>
  <c r="AF396" i="19" a="1"/>
  <c r="AF396" i="19" s="1"/>
  <c r="AE396" i="19"/>
  <c r="U396" i="19" a="1"/>
  <c r="U396" i="19" s="1"/>
  <c r="T396" i="19" a="1"/>
  <c r="T396" i="19" s="1"/>
  <c r="Q396" i="19"/>
  <c r="L396" i="19"/>
  <c r="J396" i="19"/>
  <c r="I396" i="19"/>
  <c r="O396" i="19" s="1" a="1"/>
  <c r="O396" i="19" s="1"/>
  <c r="F396" i="19"/>
  <c r="AR395" i="19" a="1"/>
  <c r="AR395" i="19" s="1"/>
  <c r="AQ395" i="19"/>
  <c r="AF395" i="19" a="1"/>
  <c r="AF395" i="19" s="1"/>
  <c r="AE395" i="19"/>
  <c r="U395" i="19" a="1"/>
  <c r="U395" i="19" s="1"/>
  <c r="T395" i="19" a="1"/>
  <c r="T395" i="19" s="1"/>
  <c r="Q395" i="19"/>
  <c r="L395" i="19"/>
  <c r="J395" i="19"/>
  <c r="I395" i="19"/>
  <c r="F395" i="19"/>
  <c r="AR394" i="19" a="1"/>
  <c r="AR394" i="19" s="1"/>
  <c r="AQ394" i="19"/>
  <c r="AF394" i="19" a="1"/>
  <c r="AF394" i="19" s="1"/>
  <c r="AE394" i="19"/>
  <c r="U394" i="19" a="1"/>
  <c r="U394" i="19" s="1"/>
  <c r="T394" i="19" a="1"/>
  <c r="T394" i="19" s="1"/>
  <c r="Q394" i="19"/>
  <c r="L394" i="19"/>
  <c r="V394" i="19" s="1"/>
  <c r="J394" i="19"/>
  <c r="I394" i="19"/>
  <c r="K394" i="19" s="1"/>
  <c r="F394" i="19"/>
  <c r="AR393" i="19" a="1"/>
  <c r="AR393" i="19" s="1"/>
  <c r="AQ393" i="19"/>
  <c r="AF393" i="19" a="1"/>
  <c r="AF393" i="19" s="1"/>
  <c r="AE393" i="19"/>
  <c r="U393" i="19" a="1"/>
  <c r="U393" i="19" s="1"/>
  <c r="T393" i="19" a="1"/>
  <c r="T393" i="19" s="1"/>
  <c r="Q393" i="19"/>
  <c r="L393" i="19"/>
  <c r="V393" i="19" s="1"/>
  <c r="J393" i="19"/>
  <c r="I393" i="19"/>
  <c r="F393" i="19"/>
  <c r="AR392" i="19" a="1"/>
  <c r="AR392" i="19" s="1"/>
  <c r="AQ392" i="19"/>
  <c r="AF392" i="19" a="1"/>
  <c r="AF392" i="19" s="1"/>
  <c r="AE392" i="19"/>
  <c r="U392" i="19" a="1"/>
  <c r="U392" i="19" s="1"/>
  <c r="T392" i="19" a="1"/>
  <c r="T392" i="19" s="1"/>
  <c r="Q392" i="19"/>
  <c r="L392" i="19"/>
  <c r="V392" i="19" s="1"/>
  <c r="J392" i="19"/>
  <c r="I392" i="19"/>
  <c r="O392" i="19" s="1" a="1"/>
  <c r="O392" i="19" s="1"/>
  <c r="F392" i="19"/>
  <c r="AR391" i="19" a="1"/>
  <c r="AR391" i="19" s="1"/>
  <c r="AQ391" i="19"/>
  <c r="AF391" i="19" a="1"/>
  <c r="AF391" i="19" s="1"/>
  <c r="AE391" i="19"/>
  <c r="U391" i="19" a="1"/>
  <c r="U391" i="19" s="1"/>
  <c r="T391" i="19" a="1"/>
  <c r="T391" i="19" s="1"/>
  <c r="Q391" i="19"/>
  <c r="L391" i="19"/>
  <c r="J391" i="19"/>
  <c r="I391" i="19"/>
  <c r="O391" i="19" s="1" a="1"/>
  <c r="O391" i="19" s="1"/>
  <c r="F391" i="19"/>
  <c r="AR390" i="19" a="1"/>
  <c r="AR390" i="19" s="1"/>
  <c r="AQ390" i="19"/>
  <c r="AF390" i="19" a="1"/>
  <c r="AF390" i="19" s="1"/>
  <c r="AE390" i="19"/>
  <c r="U390" i="19" a="1"/>
  <c r="U390" i="19" s="1"/>
  <c r="T390" i="19" a="1"/>
  <c r="T390" i="19" s="1"/>
  <c r="Q390" i="19"/>
  <c r="L390" i="19"/>
  <c r="J390" i="19"/>
  <c r="I390" i="19"/>
  <c r="O390" i="19" s="1" a="1"/>
  <c r="O390" i="19" s="1"/>
  <c r="F390" i="19"/>
  <c r="AR389" i="19" a="1"/>
  <c r="AR389" i="19" s="1"/>
  <c r="AQ389" i="19"/>
  <c r="AF389" i="19" a="1"/>
  <c r="AF389" i="19" s="1"/>
  <c r="AE389" i="19"/>
  <c r="U389" i="19" a="1"/>
  <c r="U389" i="19" s="1"/>
  <c r="T389" i="19" a="1"/>
  <c r="T389" i="19" s="1"/>
  <c r="Q389" i="19"/>
  <c r="L389" i="19"/>
  <c r="J389" i="19"/>
  <c r="I389" i="19"/>
  <c r="O389" i="19" s="1" a="1"/>
  <c r="O389" i="19" s="1"/>
  <c r="F389" i="19"/>
  <c r="AR388" i="19" a="1"/>
  <c r="AR388" i="19" s="1"/>
  <c r="AQ388" i="19"/>
  <c r="AF388" i="19" a="1"/>
  <c r="AF388" i="19" s="1"/>
  <c r="AE388" i="19"/>
  <c r="U388" i="19" a="1"/>
  <c r="U388" i="19" s="1"/>
  <c r="T388" i="19" a="1"/>
  <c r="T388" i="19" s="1"/>
  <c r="Q388" i="19"/>
  <c r="L388" i="19"/>
  <c r="V388" i="19" s="1"/>
  <c r="J388" i="19"/>
  <c r="I388" i="19"/>
  <c r="O388" i="19" s="1" a="1"/>
  <c r="O388" i="19" s="1"/>
  <c r="F388" i="19"/>
  <c r="AR387" i="19" a="1"/>
  <c r="AR387" i="19" s="1"/>
  <c r="AQ387" i="19"/>
  <c r="AF387" i="19" a="1"/>
  <c r="AF387" i="19" s="1"/>
  <c r="AE387" i="19"/>
  <c r="U387" i="19" a="1"/>
  <c r="U387" i="19" s="1"/>
  <c r="T387" i="19" a="1"/>
  <c r="T387" i="19" s="1"/>
  <c r="Q387" i="19"/>
  <c r="L387" i="19"/>
  <c r="V387" i="19" s="1"/>
  <c r="J387" i="19"/>
  <c r="I387" i="19"/>
  <c r="K387" i="19" s="1"/>
  <c r="F387" i="19"/>
  <c r="AR386" i="19" a="1"/>
  <c r="AR386" i="19" s="1"/>
  <c r="AQ386" i="19"/>
  <c r="AF386" i="19" a="1"/>
  <c r="AF386" i="19" s="1"/>
  <c r="AE386" i="19"/>
  <c r="U386" i="19" a="1"/>
  <c r="U386" i="19" s="1"/>
  <c r="T386" i="19" a="1"/>
  <c r="T386" i="19" s="1"/>
  <c r="Q386" i="19"/>
  <c r="L386" i="19"/>
  <c r="J386" i="19"/>
  <c r="I386" i="19"/>
  <c r="K386" i="19" s="1"/>
  <c r="F386" i="19"/>
  <c r="AR385" i="19" a="1"/>
  <c r="AR385" i="19" s="1"/>
  <c r="AQ385" i="19"/>
  <c r="AF385" i="19" a="1"/>
  <c r="AF385" i="19" s="1"/>
  <c r="AE385" i="19"/>
  <c r="U385" i="19" a="1"/>
  <c r="U385" i="19" s="1"/>
  <c r="T385" i="19" a="1"/>
  <c r="T385" i="19" s="1"/>
  <c r="Q385" i="19"/>
  <c r="L385" i="19"/>
  <c r="V385" i="19" s="1"/>
  <c r="J385" i="19"/>
  <c r="I385" i="19"/>
  <c r="F385" i="19"/>
  <c r="AR384" i="19" a="1"/>
  <c r="AR384" i="19" s="1"/>
  <c r="AQ384" i="19"/>
  <c r="AF384" i="19" a="1"/>
  <c r="AF384" i="19" s="1"/>
  <c r="AE384" i="19"/>
  <c r="U384" i="19" a="1"/>
  <c r="U384" i="19" s="1"/>
  <c r="T384" i="19" a="1"/>
  <c r="T384" i="19" s="1"/>
  <c r="Q384" i="19"/>
  <c r="L384" i="19"/>
  <c r="J384" i="19"/>
  <c r="I384" i="19"/>
  <c r="K384" i="19" s="1"/>
  <c r="F384" i="19"/>
  <c r="AR383" i="19" a="1"/>
  <c r="AR383" i="19" s="1"/>
  <c r="AQ383" i="19"/>
  <c r="AF383" i="19" a="1"/>
  <c r="AF383" i="19" s="1"/>
  <c r="AE383" i="19"/>
  <c r="U383" i="19" a="1"/>
  <c r="U383" i="19" s="1"/>
  <c r="T383" i="19" a="1"/>
  <c r="T383" i="19" s="1"/>
  <c r="Q383" i="19"/>
  <c r="L383" i="19"/>
  <c r="V383" i="19" s="1"/>
  <c r="J383" i="19"/>
  <c r="I383" i="19"/>
  <c r="F383" i="19"/>
  <c r="AR382" i="19" a="1"/>
  <c r="AR382" i="19" s="1"/>
  <c r="AQ382" i="19"/>
  <c r="AF382" i="19" a="1"/>
  <c r="AF382" i="19" s="1"/>
  <c r="AE382" i="19"/>
  <c r="U382" i="19" a="1"/>
  <c r="U382" i="19" s="1"/>
  <c r="T382" i="19" a="1"/>
  <c r="T382" i="19" s="1"/>
  <c r="Q382" i="19"/>
  <c r="L382" i="19"/>
  <c r="J382" i="19"/>
  <c r="I382" i="19"/>
  <c r="O382" i="19" s="1" a="1"/>
  <c r="O382" i="19" s="1"/>
  <c r="F382" i="19"/>
  <c r="AR381" i="19" a="1"/>
  <c r="AR381" i="19" s="1"/>
  <c r="AQ381" i="19"/>
  <c r="AF381" i="19" a="1"/>
  <c r="AF381" i="19" s="1"/>
  <c r="AE381" i="19"/>
  <c r="U381" i="19" a="1"/>
  <c r="U381" i="19" s="1"/>
  <c r="T381" i="19" a="1"/>
  <c r="T381" i="19" s="1"/>
  <c r="Q381" i="19"/>
  <c r="L381" i="19"/>
  <c r="V381" i="19" s="1"/>
  <c r="J381" i="19"/>
  <c r="I381" i="19"/>
  <c r="O381" i="19" s="1" a="1"/>
  <c r="O381" i="19" s="1"/>
  <c r="F381" i="19"/>
  <c r="AR380" i="19" a="1"/>
  <c r="AR380" i="19" s="1"/>
  <c r="AQ380" i="19"/>
  <c r="AF380" i="19" a="1"/>
  <c r="AF380" i="19" s="1"/>
  <c r="AE380" i="19"/>
  <c r="U380" i="19" a="1"/>
  <c r="U380" i="19" s="1"/>
  <c r="T380" i="19" a="1"/>
  <c r="T380" i="19" s="1"/>
  <c r="Q380" i="19"/>
  <c r="L380" i="19"/>
  <c r="J380" i="19"/>
  <c r="I380" i="19"/>
  <c r="K380" i="19" s="1"/>
  <c r="F380" i="19"/>
  <c r="AR379" i="19" a="1"/>
  <c r="AR379" i="19" s="1"/>
  <c r="AQ379" i="19"/>
  <c r="AF379" i="19" a="1"/>
  <c r="AF379" i="19" s="1"/>
  <c r="AE379" i="19"/>
  <c r="U379" i="19" a="1"/>
  <c r="U379" i="19" s="1"/>
  <c r="T379" i="19" a="1"/>
  <c r="T379" i="19" s="1"/>
  <c r="Q379" i="19"/>
  <c r="L379" i="19"/>
  <c r="J379" i="19"/>
  <c r="I379" i="19"/>
  <c r="K379" i="19" s="1"/>
  <c r="F379" i="19"/>
  <c r="AR378" i="19" a="1"/>
  <c r="AR378" i="19" s="1"/>
  <c r="AQ378" i="19"/>
  <c r="AF378" i="19" a="1"/>
  <c r="AF378" i="19" s="1"/>
  <c r="AE378" i="19"/>
  <c r="U378" i="19" a="1"/>
  <c r="U378" i="19" s="1"/>
  <c r="T378" i="19" a="1"/>
  <c r="T378" i="19" s="1"/>
  <c r="Q378" i="19"/>
  <c r="L378" i="19"/>
  <c r="V378" i="19" s="1"/>
  <c r="J378" i="19"/>
  <c r="I378" i="19"/>
  <c r="O378" i="19" s="1" a="1"/>
  <c r="O378" i="19" s="1"/>
  <c r="F378" i="19"/>
  <c r="AR377" i="19" a="1"/>
  <c r="AR377" i="19" s="1"/>
  <c r="AQ377" i="19"/>
  <c r="AF377" i="19" a="1"/>
  <c r="AF377" i="19" s="1"/>
  <c r="AE377" i="19"/>
  <c r="U377" i="19" a="1"/>
  <c r="U377" i="19" s="1"/>
  <c r="T377" i="19" a="1"/>
  <c r="T377" i="19" s="1"/>
  <c r="Q377" i="19"/>
  <c r="L377" i="19"/>
  <c r="V377" i="19" s="1"/>
  <c r="J377" i="19"/>
  <c r="I377" i="19"/>
  <c r="O377" i="19" s="1" a="1"/>
  <c r="O377" i="19" s="1"/>
  <c r="F377" i="19"/>
  <c r="AR376" i="19" a="1"/>
  <c r="AR376" i="19" s="1"/>
  <c r="AQ376" i="19"/>
  <c r="AF376" i="19" a="1"/>
  <c r="AF376" i="19" s="1"/>
  <c r="AE376" i="19"/>
  <c r="U376" i="19" a="1"/>
  <c r="U376" i="19" s="1"/>
  <c r="T376" i="19" a="1"/>
  <c r="T376" i="19" s="1"/>
  <c r="Q376" i="19"/>
  <c r="L376" i="19"/>
  <c r="V376" i="19" s="1"/>
  <c r="J376" i="19"/>
  <c r="I376" i="19"/>
  <c r="O376" i="19" s="1" a="1"/>
  <c r="O376" i="19" s="1"/>
  <c r="F376" i="19"/>
  <c r="AR375" i="19" a="1"/>
  <c r="AR375" i="19" s="1"/>
  <c r="AQ375" i="19"/>
  <c r="AF375" i="19" a="1"/>
  <c r="AF375" i="19" s="1"/>
  <c r="AE375" i="19"/>
  <c r="U375" i="19" a="1"/>
  <c r="U375" i="19" s="1"/>
  <c r="T375" i="19" a="1"/>
  <c r="T375" i="19" s="1"/>
  <c r="Q375" i="19"/>
  <c r="L375" i="19"/>
  <c r="V375" i="19" s="1"/>
  <c r="J375" i="19"/>
  <c r="I375" i="19"/>
  <c r="F375" i="19"/>
  <c r="AR374" i="19" a="1"/>
  <c r="AR374" i="19" s="1"/>
  <c r="AQ374" i="19"/>
  <c r="AF374" i="19" a="1"/>
  <c r="AF374" i="19" s="1"/>
  <c r="AE374" i="19"/>
  <c r="U374" i="19" a="1"/>
  <c r="U374" i="19" s="1"/>
  <c r="T374" i="19" a="1"/>
  <c r="T374" i="19" s="1"/>
  <c r="Q374" i="19"/>
  <c r="L374" i="19"/>
  <c r="J374" i="19"/>
  <c r="I374" i="19"/>
  <c r="O374" i="19" s="1" a="1"/>
  <c r="O374" i="19" s="1"/>
  <c r="F374" i="19"/>
  <c r="AR373" i="19" a="1"/>
  <c r="AR373" i="19" s="1"/>
  <c r="AQ373" i="19"/>
  <c r="AF373" i="19" a="1"/>
  <c r="AF373" i="19" s="1"/>
  <c r="AE373" i="19"/>
  <c r="U373" i="19" a="1"/>
  <c r="U373" i="19" s="1"/>
  <c r="T373" i="19" a="1"/>
  <c r="T373" i="19" s="1"/>
  <c r="Q373" i="19"/>
  <c r="L373" i="19"/>
  <c r="V373" i="19" s="1"/>
  <c r="J373" i="19"/>
  <c r="I373" i="19"/>
  <c r="O373" i="19" s="1" a="1"/>
  <c r="O373" i="19" s="1"/>
  <c r="F373" i="19"/>
  <c r="AR372" i="19" a="1"/>
  <c r="AR372" i="19" s="1"/>
  <c r="AQ372" i="19"/>
  <c r="AF372" i="19" a="1"/>
  <c r="AF372" i="19" s="1"/>
  <c r="AE372" i="19"/>
  <c r="U372" i="19" a="1"/>
  <c r="U372" i="19" s="1"/>
  <c r="T372" i="19" a="1"/>
  <c r="T372" i="19" s="1"/>
  <c r="Q372" i="19"/>
  <c r="L372" i="19"/>
  <c r="V372" i="19" s="1"/>
  <c r="J372" i="19"/>
  <c r="I372" i="19"/>
  <c r="F372" i="19"/>
  <c r="AR371" i="19" a="1"/>
  <c r="AR371" i="19" s="1"/>
  <c r="AQ371" i="19"/>
  <c r="AF371" i="19" a="1"/>
  <c r="AF371" i="19" s="1"/>
  <c r="AE371" i="19"/>
  <c r="U371" i="19" a="1"/>
  <c r="U371" i="19" s="1"/>
  <c r="T371" i="19" a="1"/>
  <c r="T371" i="19" s="1"/>
  <c r="Q371" i="19"/>
  <c r="L371" i="19"/>
  <c r="V371" i="19" s="1"/>
  <c r="J371" i="19"/>
  <c r="I371" i="19"/>
  <c r="K371" i="19" s="1"/>
  <c r="F371" i="19"/>
  <c r="AR370" i="19" a="1"/>
  <c r="AR370" i="19" s="1"/>
  <c r="AQ370" i="19"/>
  <c r="AF370" i="19" a="1"/>
  <c r="AF370" i="19" s="1"/>
  <c r="AE370" i="19"/>
  <c r="U370" i="19" a="1"/>
  <c r="U370" i="19" s="1"/>
  <c r="T370" i="19" a="1"/>
  <c r="T370" i="19" s="1"/>
  <c r="Q370" i="19"/>
  <c r="L370" i="19"/>
  <c r="J370" i="19"/>
  <c r="I370" i="19"/>
  <c r="O370" i="19" s="1" a="1"/>
  <c r="O370" i="19" s="1"/>
  <c r="F370" i="19"/>
  <c r="AR369" i="19" a="1"/>
  <c r="AR369" i="19" s="1"/>
  <c r="AQ369" i="19"/>
  <c r="AF369" i="19" a="1"/>
  <c r="AF369" i="19" s="1"/>
  <c r="AE369" i="19"/>
  <c r="U369" i="19" a="1"/>
  <c r="U369" i="19" s="1"/>
  <c r="T369" i="19" a="1"/>
  <c r="T369" i="19" s="1"/>
  <c r="Q369" i="19"/>
  <c r="L369" i="19"/>
  <c r="J369" i="19"/>
  <c r="I369" i="19"/>
  <c r="O369" i="19" s="1" a="1"/>
  <c r="O369" i="19" s="1"/>
  <c r="F369" i="19"/>
  <c r="AR368" i="19" a="1"/>
  <c r="AR368" i="19" s="1"/>
  <c r="AQ368" i="19"/>
  <c r="AF368" i="19" a="1"/>
  <c r="AF368" i="19" s="1"/>
  <c r="AE368" i="19"/>
  <c r="U368" i="19" a="1"/>
  <c r="U368" i="19" s="1"/>
  <c r="T368" i="19" a="1"/>
  <c r="T368" i="19" s="1"/>
  <c r="Q368" i="19"/>
  <c r="L368" i="19"/>
  <c r="V368" i="19" s="1"/>
  <c r="J368" i="19"/>
  <c r="I368" i="19"/>
  <c r="F368" i="19"/>
  <c r="AR367" i="19" a="1"/>
  <c r="AR367" i="19" s="1"/>
  <c r="AQ367" i="19"/>
  <c r="AF367" i="19" a="1"/>
  <c r="AF367" i="19" s="1"/>
  <c r="AE367" i="19"/>
  <c r="U367" i="19" a="1"/>
  <c r="U367" i="19" s="1"/>
  <c r="T367" i="19" a="1"/>
  <c r="T367" i="19" s="1"/>
  <c r="Q367" i="19"/>
  <c r="L367" i="19"/>
  <c r="V367" i="19" s="1"/>
  <c r="J367" i="19"/>
  <c r="I367" i="19"/>
  <c r="O367" i="19" s="1" a="1"/>
  <c r="O367" i="19" s="1"/>
  <c r="F367" i="19"/>
  <c r="AR366" i="19" a="1"/>
  <c r="AR366" i="19" s="1"/>
  <c r="AQ366" i="19"/>
  <c r="AF366" i="19" a="1"/>
  <c r="AF366" i="19" s="1"/>
  <c r="AE366" i="19"/>
  <c r="U366" i="19" a="1"/>
  <c r="U366" i="19" s="1"/>
  <c r="T366" i="19" a="1"/>
  <c r="T366" i="19" s="1"/>
  <c r="Q366" i="19"/>
  <c r="L366" i="19"/>
  <c r="V366" i="19" s="1"/>
  <c r="J366" i="19"/>
  <c r="I366" i="19"/>
  <c r="O366" i="19" s="1" a="1"/>
  <c r="O366" i="19" s="1"/>
  <c r="F366" i="19"/>
  <c r="AR365" i="19" a="1"/>
  <c r="AR365" i="19" s="1"/>
  <c r="AQ365" i="19"/>
  <c r="AF365" i="19" a="1"/>
  <c r="AF365" i="19" s="1"/>
  <c r="AE365" i="19"/>
  <c r="U365" i="19" a="1"/>
  <c r="U365" i="19" s="1"/>
  <c r="T365" i="19" a="1"/>
  <c r="T365" i="19" s="1"/>
  <c r="Q365" i="19"/>
  <c r="L365" i="19"/>
  <c r="V365" i="19" s="1"/>
  <c r="J365" i="19"/>
  <c r="I365" i="19"/>
  <c r="K365" i="19" s="1"/>
  <c r="F365" i="19"/>
  <c r="AR364" i="19" a="1"/>
  <c r="AR364" i="19" s="1"/>
  <c r="AQ364" i="19"/>
  <c r="AF364" i="19" a="1"/>
  <c r="AF364" i="19" s="1"/>
  <c r="AE364" i="19"/>
  <c r="U364" i="19" a="1"/>
  <c r="U364" i="19" s="1"/>
  <c r="T364" i="19" a="1"/>
  <c r="T364" i="19" s="1"/>
  <c r="Q364" i="19"/>
  <c r="L364" i="19"/>
  <c r="J364" i="19"/>
  <c r="I364" i="19"/>
  <c r="K364" i="19" s="1"/>
  <c r="F364" i="19"/>
  <c r="AR363" i="19" a="1"/>
  <c r="AR363" i="19" s="1"/>
  <c r="AQ363" i="19"/>
  <c r="AF363" i="19" a="1"/>
  <c r="AF363" i="19" s="1"/>
  <c r="AE363" i="19"/>
  <c r="U363" i="19" a="1"/>
  <c r="U363" i="19" s="1"/>
  <c r="T363" i="19" a="1"/>
  <c r="T363" i="19" s="1"/>
  <c r="Q363" i="19"/>
  <c r="L363" i="19"/>
  <c r="J363" i="19"/>
  <c r="I363" i="19"/>
  <c r="O363" i="19" s="1" a="1"/>
  <c r="O363" i="19" s="1"/>
  <c r="F363" i="19"/>
  <c r="AR362" i="19" a="1"/>
  <c r="AR362" i="19" s="1"/>
  <c r="AQ362" i="19"/>
  <c r="AF362" i="19" a="1"/>
  <c r="AF362" i="19" s="1"/>
  <c r="AE362" i="19"/>
  <c r="U362" i="19" a="1"/>
  <c r="U362" i="19" s="1"/>
  <c r="T362" i="19" a="1"/>
  <c r="T362" i="19" s="1"/>
  <c r="Q362" i="19"/>
  <c r="L362" i="19"/>
  <c r="V362" i="19" s="1"/>
  <c r="J362" i="19"/>
  <c r="I362" i="19"/>
  <c r="F362" i="19"/>
  <c r="AR361" i="19" a="1"/>
  <c r="AR361" i="19" s="1"/>
  <c r="AQ361" i="19"/>
  <c r="AF361" i="19" a="1"/>
  <c r="AF361" i="19" s="1"/>
  <c r="AE361" i="19"/>
  <c r="U361" i="19" a="1"/>
  <c r="U361" i="19" s="1"/>
  <c r="T361" i="19" a="1"/>
  <c r="T361" i="19" s="1"/>
  <c r="Q361" i="19"/>
  <c r="L361" i="19"/>
  <c r="J361" i="19"/>
  <c r="I361" i="19"/>
  <c r="O361" i="19" s="1" a="1"/>
  <c r="O361" i="19" s="1"/>
  <c r="F361" i="19"/>
  <c r="AR360" i="19" a="1"/>
  <c r="AR360" i="19" s="1"/>
  <c r="AQ360" i="19"/>
  <c r="AF360" i="19" a="1"/>
  <c r="AF360" i="19" s="1"/>
  <c r="AE360" i="19"/>
  <c r="U360" i="19" a="1"/>
  <c r="U360" i="19" s="1"/>
  <c r="T360" i="19" a="1"/>
  <c r="T360" i="19" s="1"/>
  <c r="Q360" i="19"/>
  <c r="L360" i="19"/>
  <c r="V360" i="19" s="1"/>
  <c r="J360" i="19"/>
  <c r="I360" i="19"/>
  <c r="K360" i="19" s="1"/>
  <c r="F360" i="19"/>
  <c r="AR359" i="19" a="1"/>
  <c r="AR359" i="19" s="1"/>
  <c r="AQ359" i="19"/>
  <c r="AF359" i="19" a="1"/>
  <c r="AF359" i="19" s="1"/>
  <c r="AE359" i="19"/>
  <c r="U359" i="19" a="1"/>
  <c r="U359" i="19" s="1"/>
  <c r="T359" i="19" a="1"/>
  <c r="T359" i="19" s="1"/>
  <c r="Q359" i="19"/>
  <c r="L359" i="19"/>
  <c r="V359" i="19" s="1"/>
  <c r="J359" i="19"/>
  <c r="I359" i="19"/>
  <c r="F359" i="19"/>
  <c r="AR358" i="19" a="1"/>
  <c r="AR358" i="19" s="1"/>
  <c r="AQ358" i="19"/>
  <c r="AF358" i="19" a="1"/>
  <c r="AF358" i="19" s="1"/>
  <c r="AE358" i="19"/>
  <c r="U358" i="19" a="1"/>
  <c r="U358" i="19" s="1"/>
  <c r="T358" i="19" a="1"/>
  <c r="T358" i="19" s="1"/>
  <c r="Q358" i="19"/>
  <c r="L358" i="19"/>
  <c r="V358" i="19" s="1"/>
  <c r="J358" i="19"/>
  <c r="I358" i="19"/>
  <c r="O358" i="19" s="1" a="1"/>
  <c r="O358" i="19" s="1"/>
  <c r="F358" i="19"/>
  <c r="AR357" i="19" a="1"/>
  <c r="AR357" i="19" s="1"/>
  <c r="AQ357" i="19"/>
  <c r="AF357" i="19" a="1"/>
  <c r="AF357" i="19" s="1"/>
  <c r="AE357" i="19"/>
  <c r="U357" i="19" a="1"/>
  <c r="U357" i="19" s="1"/>
  <c r="T357" i="19" a="1"/>
  <c r="T357" i="19" s="1"/>
  <c r="Q357" i="19"/>
  <c r="L357" i="19"/>
  <c r="V357" i="19" s="1"/>
  <c r="J357" i="19"/>
  <c r="I357" i="19"/>
  <c r="O357" i="19" s="1" a="1"/>
  <c r="O357" i="19" s="1"/>
  <c r="F357" i="19"/>
  <c r="AR356" i="19" a="1"/>
  <c r="AR356" i="19" s="1"/>
  <c r="AQ356" i="19"/>
  <c r="AF356" i="19" a="1"/>
  <c r="AF356" i="19" s="1"/>
  <c r="AE356" i="19"/>
  <c r="U356" i="19" a="1"/>
  <c r="U356" i="19" s="1"/>
  <c r="T356" i="19" a="1"/>
  <c r="T356" i="19" s="1"/>
  <c r="Q356" i="19"/>
  <c r="L356" i="19"/>
  <c r="J356" i="19"/>
  <c r="I356" i="19"/>
  <c r="K356" i="19" s="1"/>
  <c r="F356" i="19"/>
  <c r="AR355" i="19" a="1"/>
  <c r="AR355" i="19" s="1"/>
  <c r="AQ355" i="19"/>
  <c r="AF355" i="19" a="1"/>
  <c r="AF355" i="19" s="1"/>
  <c r="AE355" i="19"/>
  <c r="U355" i="19" a="1"/>
  <c r="U355" i="19" s="1"/>
  <c r="T355" i="19" a="1"/>
  <c r="T355" i="19" s="1"/>
  <c r="Q355" i="19"/>
  <c r="L355" i="19"/>
  <c r="V355" i="19" s="1"/>
  <c r="J355" i="19"/>
  <c r="I355" i="19"/>
  <c r="K355" i="19" s="1"/>
  <c r="F355" i="19"/>
  <c r="AR354" i="19" a="1"/>
  <c r="AR354" i="19" s="1"/>
  <c r="AQ354" i="19"/>
  <c r="AF354" i="19" a="1"/>
  <c r="AF354" i="19" s="1"/>
  <c r="AE354" i="19"/>
  <c r="U354" i="19" a="1"/>
  <c r="U354" i="19" s="1"/>
  <c r="T354" i="19" a="1"/>
  <c r="T354" i="19" s="1"/>
  <c r="Q354" i="19"/>
  <c r="L354" i="19"/>
  <c r="J354" i="19"/>
  <c r="I354" i="19"/>
  <c r="F354" i="19"/>
  <c r="AR353" i="19" a="1"/>
  <c r="AR353" i="19" s="1"/>
  <c r="AQ353" i="19"/>
  <c r="AF353" i="19" a="1"/>
  <c r="AF353" i="19" s="1"/>
  <c r="AE353" i="19"/>
  <c r="U353" i="19" a="1"/>
  <c r="U353" i="19" s="1"/>
  <c r="T353" i="19" a="1"/>
  <c r="T353" i="19" s="1"/>
  <c r="Q353" i="19"/>
  <c r="L353" i="19"/>
  <c r="V353" i="19" s="1"/>
  <c r="J353" i="19"/>
  <c r="I353" i="19"/>
  <c r="K353" i="19" s="1"/>
  <c r="F353" i="19"/>
  <c r="AR352" i="19" a="1"/>
  <c r="AR352" i="19" s="1"/>
  <c r="AQ352" i="19"/>
  <c r="AF352" i="19" a="1"/>
  <c r="AF352" i="19" s="1"/>
  <c r="AE352" i="19"/>
  <c r="U352" i="19" a="1"/>
  <c r="U352" i="19" s="1"/>
  <c r="T352" i="19" a="1"/>
  <c r="T352" i="19" s="1"/>
  <c r="Q352" i="19"/>
  <c r="L352" i="19"/>
  <c r="V352" i="19" s="1"/>
  <c r="J352" i="19"/>
  <c r="I352" i="19"/>
  <c r="K352" i="19" s="1"/>
  <c r="F352" i="19"/>
  <c r="AR351" i="19" a="1"/>
  <c r="AR351" i="19" s="1"/>
  <c r="AQ351" i="19"/>
  <c r="AF351" i="19" a="1"/>
  <c r="AF351" i="19" s="1"/>
  <c r="AE351" i="19"/>
  <c r="U351" i="19" a="1"/>
  <c r="U351" i="19" s="1"/>
  <c r="T351" i="19" a="1"/>
  <c r="T351" i="19" s="1"/>
  <c r="Q351" i="19"/>
  <c r="L351" i="19"/>
  <c r="J351" i="19"/>
  <c r="I351" i="19"/>
  <c r="K351" i="19" s="1"/>
  <c r="F351" i="19"/>
  <c r="AR350" i="19" a="1"/>
  <c r="AR350" i="19" s="1"/>
  <c r="AQ350" i="19"/>
  <c r="AF350" i="19" a="1"/>
  <c r="AF350" i="19" s="1"/>
  <c r="AE350" i="19"/>
  <c r="U350" i="19" a="1"/>
  <c r="U350" i="19" s="1"/>
  <c r="T350" i="19" a="1"/>
  <c r="T350" i="19" s="1"/>
  <c r="Q350" i="19"/>
  <c r="L350" i="19"/>
  <c r="V350" i="19" s="1"/>
  <c r="J350" i="19"/>
  <c r="I350" i="19"/>
  <c r="O350" i="19" s="1" a="1"/>
  <c r="O350" i="19" s="1"/>
  <c r="F350" i="19"/>
  <c r="AR349" i="19" a="1"/>
  <c r="AR349" i="19" s="1"/>
  <c r="AQ349" i="19"/>
  <c r="AF349" i="19" a="1"/>
  <c r="AF349" i="19" s="1"/>
  <c r="AE349" i="19"/>
  <c r="U349" i="19" a="1"/>
  <c r="U349" i="19" s="1"/>
  <c r="T349" i="19" a="1"/>
  <c r="T349" i="19" s="1"/>
  <c r="Q349" i="19"/>
  <c r="L349" i="19"/>
  <c r="V349" i="19" s="1"/>
  <c r="J349" i="19"/>
  <c r="I349" i="19"/>
  <c r="O349" i="19" s="1" a="1"/>
  <c r="O349" i="19" s="1"/>
  <c r="F349" i="19"/>
  <c r="AR348" i="19" a="1"/>
  <c r="AR348" i="19" s="1"/>
  <c r="AQ348" i="19"/>
  <c r="AF348" i="19" a="1"/>
  <c r="AF348" i="19" s="1"/>
  <c r="AE348" i="19"/>
  <c r="U348" i="19" a="1"/>
  <c r="U348" i="19" s="1"/>
  <c r="T348" i="19" a="1"/>
  <c r="T348" i="19" s="1"/>
  <c r="Q348" i="19"/>
  <c r="L348" i="19"/>
  <c r="J348" i="19"/>
  <c r="I348" i="19"/>
  <c r="K348" i="19" s="1"/>
  <c r="F348" i="19"/>
  <c r="AR347" i="19" a="1"/>
  <c r="AR347" i="19" s="1"/>
  <c r="AQ347" i="19"/>
  <c r="AF347" i="19" a="1"/>
  <c r="AF347" i="19" s="1"/>
  <c r="AE347" i="19"/>
  <c r="U347" i="19" a="1"/>
  <c r="U347" i="19" s="1"/>
  <c r="T347" i="19" a="1"/>
  <c r="T347" i="19" s="1"/>
  <c r="Q347" i="19"/>
  <c r="L347" i="19"/>
  <c r="V347" i="19" s="1"/>
  <c r="J347" i="19"/>
  <c r="I347" i="19"/>
  <c r="F347" i="19"/>
  <c r="AR346" i="19" a="1"/>
  <c r="AR346" i="19" s="1"/>
  <c r="AQ346" i="19"/>
  <c r="AF346" i="19" a="1"/>
  <c r="AF346" i="19" s="1"/>
  <c r="AE346" i="19"/>
  <c r="U346" i="19" a="1"/>
  <c r="U346" i="19" s="1"/>
  <c r="T346" i="19" a="1"/>
  <c r="T346" i="19" s="1"/>
  <c r="Q346" i="19"/>
  <c r="L346" i="19"/>
  <c r="J346" i="19"/>
  <c r="I346" i="19"/>
  <c r="O346" i="19" s="1" a="1"/>
  <c r="O346" i="19" s="1"/>
  <c r="F346" i="19"/>
  <c r="AR345" i="19" a="1"/>
  <c r="AR345" i="19" s="1"/>
  <c r="AQ345" i="19"/>
  <c r="AF345" i="19" a="1"/>
  <c r="AF345" i="19" s="1"/>
  <c r="AE345" i="19"/>
  <c r="U345" i="19" a="1"/>
  <c r="U345" i="19" s="1"/>
  <c r="T345" i="19" a="1"/>
  <c r="T345" i="19" s="1"/>
  <c r="Q345" i="19"/>
  <c r="L345" i="19"/>
  <c r="J345" i="19"/>
  <c r="I345" i="19"/>
  <c r="K345" i="19" s="1"/>
  <c r="F345" i="19"/>
  <c r="AR344" i="19" a="1"/>
  <c r="AR344" i="19" s="1"/>
  <c r="AQ344" i="19"/>
  <c r="AF344" i="19" a="1"/>
  <c r="AF344" i="19" s="1"/>
  <c r="AE344" i="19"/>
  <c r="U344" i="19" a="1"/>
  <c r="U344" i="19" s="1"/>
  <c r="T344" i="19" a="1"/>
  <c r="T344" i="19" s="1"/>
  <c r="Q344" i="19"/>
  <c r="L344" i="19"/>
  <c r="J344" i="19"/>
  <c r="I344" i="19"/>
  <c r="O344" i="19" s="1" a="1"/>
  <c r="O344" i="19" s="1"/>
  <c r="F344" i="19"/>
  <c r="AR343" i="19" a="1"/>
  <c r="AR343" i="19" s="1"/>
  <c r="AQ343" i="19"/>
  <c r="AF343" i="19" a="1"/>
  <c r="AF343" i="19" s="1"/>
  <c r="AE343" i="19"/>
  <c r="U343" i="19" a="1"/>
  <c r="U343" i="19" s="1"/>
  <c r="T343" i="19" a="1"/>
  <c r="T343" i="19" s="1"/>
  <c r="Q343" i="19"/>
  <c r="L343" i="19"/>
  <c r="V343" i="19" s="1"/>
  <c r="J343" i="19"/>
  <c r="I343" i="19"/>
  <c r="O343" i="19" s="1" a="1"/>
  <c r="O343" i="19" s="1"/>
  <c r="F343" i="19"/>
  <c r="AR342" i="19" a="1"/>
  <c r="AR342" i="19" s="1"/>
  <c r="AQ342" i="19"/>
  <c r="AF342" i="19" a="1"/>
  <c r="AF342" i="19" s="1"/>
  <c r="AE342" i="19"/>
  <c r="U342" i="19" a="1"/>
  <c r="U342" i="19" s="1"/>
  <c r="T342" i="19" a="1"/>
  <c r="T342" i="19" s="1"/>
  <c r="Q342" i="19"/>
  <c r="L342" i="19"/>
  <c r="J342" i="19"/>
  <c r="I342" i="19"/>
  <c r="O342" i="19" s="1" a="1"/>
  <c r="O342" i="19" s="1"/>
  <c r="F342" i="19"/>
  <c r="AR341" i="19" a="1"/>
  <c r="AR341" i="19" s="1"/>
  <c r="AQ341" i="19"/>
  <c r="AF341" i="19" a="1"/>
  <c r="AF341" i="19" s="1"/>
  <c r="AE341" i="19"/>
  <c r="U341" i="19" a="1"/>
  <c r="U341" i="19" s="1"/>
  <c r="T341" i="19" a="1"/>
  <c r="T341" i="19" s="1"/>
  <c r="Q341" i="19"/>
  <c r="L341" i="19"/>
  <c r="J341" i="19"/>
  <c r="I341" i="19"/>
  <c r="K341" i="19" s="1"/>
  <c r="F341" i="19"/>
  <c r="AR340" i="19" a="1"/>
  <c r="AR340" i="19" s="1"/>
  <c r="AQ340" i="19"/>
  <c r="AF340" i="19" a="1"/>
  <c r="AF340" i="19" s="1"/>
  <c r="AE340" i="19"/>
  <c r="U340" i="19" a="1"/>
  <c r="U340" i="19" s="1"/>
  <c r="T340" i="19" a="1"/>
  <c r="T340" i="19" s="1"/>
  <c r="Q340" i="19"/>
  <c r="L340" i="19"/>
  <c r="V340" i="19" s="1"/>
  <c r="J340" i="19"/>
  <c r="I340" i="19"/>
  <c r="O340" i="19" s="1" a="1"/>
  <c r="O340" i="19" s="1"/>
  <c r="F340" i="19"/>
  <c r="AR339" i="19" a="1"/>
  <c r="AR339" i="19" s="1"/>
  <c r="AQ339" i="19"/>
  <c r="AF339" i="19" a="1"/>
  <c r="AF339" i="19" s="1"/>
  <c r="AE339" i="19"/>
  <c r="U339" i="19" a="1"/>
  <c r="U339" i="19" s="1"/>
  <c r="T339" i="19" a="1"/>
  <c r="T339" i="19" s="1"/>
  <c r="Q339" i="19"/>
  <c r="L339" i="19"/>
  <c r="J339" i="19"/>
  <c r="I339" i="19"/>
  <c r="K339" i="19" s="1"/>
  <c r="F339" i="19"/>
  <c r="AR338" i="19" a="1"/>
  <c r="AR338" i="19" s="1"/>
  <c r="AQ338" i="19"/>
  <c r="AF338" i="19" a="1"/>
  <c r="AF338" i="19" s="1"/>
  <c r="AE338" i="19"/>
  <c r="U338" i="19" a="1"/>
  <c r="U338" i="19" s="1"/>
  <c r="T338" i="19" a="1"/>
  <c r="T338" i="19" s="1"/>
  <c r="Q338" i="19"/>
  <c r="L338" i="19"/>
  <c r="J338" i="19"/>
  <c r="I338" i="19"/>
  <c r="K338" i="19" s="1"/>
  <c r="F338" i="19"/>
  <c r="AR337" i="19" a="1"/>
  <c r="AR337" i="19" s="1"/>
  <c r="AQ337" i="19"/>
  <c r="AF337" i="19" a="1"/>
  <c r="AF337" i="19" s="1"/>
  <c r="AE337" i="19"/>
  <c r="U337" i="19" a="1"/>
  <c r="U337" i="19" s="1"/>
  <c r="T337" i="19" a="1"/>
  <c r="T337" i="19" s="1"/>
  <c r="Q337" i="19"/>
  <c r="L337" i="19"/>
  <c r="J337" i="19"/>
  <c r="I337" i="19"/>
  <c r="K337" i="19" s="1"/>
  <c r="F337" i="19"/>
  <c r="AR336" i="19" a="1"/>
  <c r="AR336" i="19" s="1"/>
  <c r="AQ336" i="19"/>
  <c r="AF336" i="19" a="1"/>
  <c r="AF336" i="19" s="1"/>
  <c r="AE336" i="19"/>
  <c r="U336" i="19" a="1"/>
  <c r="U336" i="19" s="1"/>
  <c r="T336" i="19" a="1"/>
  <c r="T336" i="19" s="1"/>
  <c r="Q336" i="19"/>
  <c r="L336" i="19"/>
  <c r="V336" i="19" s="1"/>
  <c r="J336" i="19"/>
  <c r="I336" i="19"/>
  <c r="O336" i="19" s="1" a="1"/>
  <c r="O336" i="19" s="1"/>
  <c r="F336" i="19"/>
  <c r="AR335" i="19" a="1"/>
  <c r="AR335" i="19" s="1"/>
  <c r="AQ335" i="19"/>
  <c r="AF335" i="19" a="1"/>
  <c r="AF335" i="19" s="1"/>
  <c r="AE335" i="19"/>
  <c r="U335" i="19" a="1"/>
  <c r="U335" i="19" s="1"/>
  <c r="T335" i="19" a="1"/>
  <c r="T335" i="19" s="1"/>
  <c r="Q335" i="19"/>
  <c r="L335" i="19"/>
  <c r="J335" i="19"/>
  <c r="I335" i="19"/>
  <c r="K335" i="19" s="1"/>
  <c r="F335" i="19"/>
  <c r="AR334" i="19" a="1"/>
  <c r="AR334" i="19" s="1"/>
  <c r="AQ334" i="19"/>
  <c r="AF334" i="19" a="1"/>
  <c r="AF334" i="19" s="1"/>
  <c r="AE334" i="19"/>
  <c r="U334" i="19" a="1"/>
  <c r="U334" i="19" s="1"/>
  <c r="T334" i="19" a="1"/>
  <c r="T334" i="19" s="1"/>
  <c r="Q334" i="19"/>
  <c r="L334" i="19"/>
  <c r="V334" i="19" s="1"/>
  <c r="J334" i="19"/>
  <c r="I334" i="19"/>
  <c r="O334" i="19" s="1" a="1"/>
  <c r="O334" i="19" s="1"/>
  <c r="F334" i="19"/>
  <c r="AR333" i="19" a="1"/>
  <c r="AR333" i="19" s="1"/>
  <c r="AQ333" i="19"/>
  <c r="AF333" i="19" a="1"/>
  <c r="AF333" i="19" s="1"/>
  <c r="AE333" i="19"/>
  <c r="U333" i="19" a="1"/>
  <c r="U333" i="19" s="1"/>
  <c r="T333" i="19" a="1"/>
  <c r="T333" i="19" s="1"/>
  <c r="Q333" i="19"/>
  <c r="L333" i="19"/>
  <c r="J333" i="19"/>
  <c r="I333" i="19"/>
  <c r="F333" i="19"/>
  <c r="AR332" i="19" a="1"/>
  <c r="AR332" i="19" s="1"/>
  <c r="AQ332" i="19"/>
  <c r="AF332" i="19" a="1"/>
  <c r="AF332" i="19" s="1"/>
  <c r="AE332" i="19"/>
  <c r="U332" i="19" a="1"/>
  <c r="U332" i="19" s="1"/>
  <c r="T332" i="19" a="1"/>
  <c r="T332" i="19" s="1"/>
  <c r="Q332" i="19"/>
  <c r="L332" i="19"/>
  <c r="V332" i="19" s="1"/>
  <c r="J332" i="19"/>
  <c r="I332" i="19"/>
  <c r="O332" i="19" s="1" a="1"/>
  <c r="O332" i="19" s="1"/>
  <c r="F332" i="19"/>
  <c r="AR331" i="19" a="1"/>
  <c r="AR331" i="19" s="1"/>
  <c r="AQ331" i="19"/>
  <c r="AF331" i="19" a="1"/>
  <c r="AF331" i="19" s="1"/>
  <c r="AE331" i="19"/>
  <c r="U331" i="19" a="1"/>
  <c r="U331" i="19" s="1"/>
  <c r="T331" i="19" a="1"/>
  <c r="T331" i="19" s="1"/>
  <c r="Q331" i="19"/>
  <c r="L331" i="19"/>
  <c r="J331" i="19"/>
  <c r="I331" i="19"/>
  <c r="K331" i="19" s="1"/>
  <c r="F331" i="19"/>
  <c r="AR330" i="19" a="1"/>
  <c r="AR330" i="19" s="1"/>
  <c r="AQ330" i="19"/>
  <c r="AF330" i="19" a="1"/>
  <c r="AF330" i="19" s="1"/>
  <c r="AE330" i="19"/>
  <c r="U330" i="19" a="1"/>
  <c r="U330" i="19" s="1"/>
  <c r="T330" i="19" a="1"/>
  <c r="T330" i="19" s="1"/>
  <c r="Q330" i="19"/>
  <c r="L330" i="19"/>
  <c r="J330" i="19"/>
  <c r="I330" i="19"/>
  <c r="O330" i="19" s="1" a="1"/>
  <c r="O330" i="19" s="1"/>
  <c r="F330" i="19"/>
  <c r="AR329" i="19" a="1"/>
  <c r="AR329" i="19" s="1"/>
  <c r="AQ329" i="19"/>
  <c r="AF329" i="19" a="1"/>
  <c r="AF329" i="19" s="1"/>
  <c r="AE329" i="19"/>
  <c r="U329" i="19" a="1"/>
  <c r="U329" i="19" s="1"/>
  <c r="T329" i="19" a="1"/>
  <c r="T329" i="19" s="1"/>
  <c r="Q329" i="19"/>
  <c r="L329" i="19"/>
  <c r="V329" i="19" s="1"/>
  <c r="J329" i="19"/>
  <c r="I329" i="19"/>
  <c r="O329" i="19" s="1" a="1"/>
  <c r="O329" i="19" s="1"/>
  <c r="F329" i="19"/>
  <c r="AR328" i="19" a="1"/>
  <c r="AR328" i="19" s="1"/>
  <c r="AQ328" i="19"/>
  <c r="AF328" i="19" a="1"/>
  <c r="AF328" i="19" s="1"/>
  <c r="AE328" i="19"/>
  <c r="U328" i="19" a="1"/>
  <c r="U328" i="19" s="1"/>
  <c r="T328" i="19" a="1"/>
  <c r="T328" i="19" s="1"/>
  <c r="Q328" i="19"/>
  <c r="L328" i="19"/>
  <c r="J328" i="19"/>
  <c r="I328" i="19"/>
  <c r="O328" i="19" s="1" a="1"/>
  <c r="O328" i="19" s="1"/>
  <c r="F328" i="19"/>
  <c r="AR327" i="19" a="1"/>
  <c r="AR327" i="19" s="1"/>
  <c r="AQ327" i="19"/>
  <c r="AF327" i="19" a="1"/>
  <c r="AF327" i="19" s="1"/>
  <c r="AE327" i="19"/>
  <c r="U327" i="19" a="1"/>
  <c r="U327" i="19" s="1"/>
  <c r="T327" i="19" a="1"/>
  <c r="T327" i="19" s="1"/>
  <c r="Q327" i="19"/>
  <c r="L327" i="19"/>
  <c r="J327" i="19"/>
  <c r="I327" i="19"/>
  <c r="K327" i="19" s="1"/>
  <c r="F327" i="19"/>
  <c r="AR326" i="19" a="1"/>
  <c r="AR326" i="19" s="1"/>
  <c r="AQ326" i="19"/>
  <c r="AF326" i="19" a="1"/>
  <c r="AF326" i="19" s="1"/>
  <c r="AE326" i="19"/>
  <c r="U326" i="19" a="1"/>
  <c r="U326" i="19" s="1"/>
  <c r="T326" i="19" a="1"/>
  <c r="T326" i="19" s="1"/>
  <c r="Q326" i="19"/>
  <c r="L326" i="19"/>
  <c r="J326" i="19"/>
  <c r="I326" i="19"/>
  <c r="F326" i="19"/>
  <c r="AR325" i="19" a="1"/>
  <c r="AR325" i="19" s="1"/>
  <c r="AQ325" i="19"/>
  <c r="AF325" i="19" a="1"/>
  <c r="AF325" i="19" s="1"/>
  <c r="AE325" i="19"/>
  <c r="U325" i="19" a="1"/>
  <c r="U325" i="19" s="1"/>
  <c r="T325" i="19" a="1"/>
  <c r="T325" i="19" s="1"/>
  <c r="Q325" i="19"/>
  <c r="L325" i="19"/>
  <c r="J325" i="19"/>
  <c r="I325" i="19"/>
  <c r="O325" i="19" s="1" a="1"/>
  <c r="O325" i="19" s="1"/>
  <c r="F325" i="19"/>
  <c r="AR324" i="19" a="1"/>
  <c r="AR324" i="19" s="1"/>
  <c r="AQ324" i="19"/>
  <c r="AF324" i="19" a="1"/>
  <c r="AF324" i="19" s="1"/>
  <c r="AE324" i="19"/>
  <c r="U324" i="19" a="1"/>
  <c r="U324" i="19" s="1"/>
  <c r="T324" i="19" a="1"/>
  <c r="T324" i="19" s="1"/>
  <c r="Q324" i="19"/>
  <c r="L324" i="19"/>
  <c r="J324" i="19"/>
  <c r="I324" i="19"/>
  <c r="O324" i="19" s="1" a="1"/>
  <c r="O324" i="19" s="1"/>
  <c r="F324" i="19"/>
  <c r="AR323" i="19" a="1"/>
  <c r="AR323" i="19" s="1"/>
  <c r="AQ323" i="19"/>
  <c r="AF323" i="19" a="1"/>
  <c r="AF323" i="19" s="1"/>
  <c r="AE323" i="19"/>
  <c r="U323" i="19" a="1"/>
  <c r="U323" i="19" s="1"/>
  <c r="T323" i="19" a="1"/>
  <c r="T323" i="19" s="1"/>
  <c r="Q323" i="19"/>
  <c r="L323" i="19"/>
  <c r="V323" i="19" s="1"/>
  <c r="J323" i="19"/>
  <c r="I323" i="19"/>
  <c r="O323" i="19" s="1" a="1"/>
  <c r="O323" i="19" s="1"/>
  <c r="F323" i="19"/>
  <c r="AR322" i="19" a="1"/>
  <c r="AR322" i="19" s="1"/>
  <c r="AQ322" i="19"/>
  <c r="AF322" i="19" a="1"/>
  <c r="AF322" i="19" s="1"/>
  <c r="AE322" i="19"/>
  <c r="U322" i="19" a="1"/>
  <c r="U322" i="19" s="1"/>
  <c r="T322" i="19" a="1"/>
  <c r="T322" i="19" s="1"/>
  <c r="Q322" i="19"/>
  <c r="L322" i="19"/>
  <c r="J322" i="19"/>
  <c r="I322" i="19"/>
  <c r="O322" i="19" s="1" a="1"/>
  <c r="O322" i="19" s="1"/>
  <c r="F322" i="19"/>
  <c r="AR321" i="19" a="1"/>
  <c r="AR321" i="19" s="1"/>
  <c r="AQ321" i="19"/>
  <c r="AF321" i="19" a="1"/>
  <c r="AF321" i="19" s="1"/>
  <c r="AE321" i="19"/>
  <c r="U321" i="19" a="1"/>
  <c r="U321" i="19" s="1"/>
  <c r="T321" i="19" a="1"/>
  <c r="T321" i="19" s="1"/>
  <c r="Q321" i="19"/>
  <c r="L321" i="19"/>
  <c r="V321" i="19" s="1"/>
  <c r="J321" i="19"/>
  <c r="I321" i="19"/>
  <c r="O321" i="19" s="1" a="1"/>
  <c r="O321" i="19" s="1"/>
  <c r="F321" i="19"/>
  <c r="AR320" i="19" a="1"/>
  <c r="AR320" i="19" s="1"/>
  <c r="AQ320" i="19"/>
  <c r="AF320" i="19" a="1"/>
  <c r="AF320" i="19" s="1"/>
  <c r="AE320" i="19"/>
  <c r="U320" i="19" a="1"/>
  <c r="U320" i="19" s="1"/>
  <c r="T320" i="19" a="1"/>
  <c r="T320" i="19" s="1"/>
  <c r="Q320" i="19"/>
  <c r="L320" i="19"/>
  <c r="V320" i="19" s="1"/>
  <c r="J320" i="19"/>
  <c r="I320" i="19"/>
  <c r="O320" i="19" s="1" a="1"/>
  <c r="O320" i="19" s="1"/>
  <c r="F320" i="19"/>
  <c r="AR319" i="19" a="1"/>
  <c r="AR319" i="19" s="1"/>
  <c r="AQ319" i="19"/>
  <c r="AF319" i="19" a="1"/>
  <c r="AF319" i="19" s="1"/>
  <c r="AE319" i="19"/>
  <c r="U319" i="19" a="1"/>
  <c r="U319" i="19" s="1"/>
  <c r="T319" i="19" a="1"/>
  <c r="T319" i="19" s="1"/>
  <c r="Q319" i="19"/>
  <c r="L319" i="19"/>
  <c r="V319" i="19" s="1"/>
  <c r="J319" i="19"/>
  <c r="I319" i="19"/>
  <c r="O319" i="19" s="1" a="1"/>
  <c r="O319" i="19" s="1"/>
  <c r="F319" i="19"/>
  <c r="AR318" i="19" a="1"/>
  <c r="AR318" i="19" s="1"/>
  <c r="AQ318" i="19"/>
  <c r="AF318" i="19" a="1"/>
  <c r="AF318" i="19" s="1"/>
  <c r="AE318" i="19"/>
  <c r="U318" i="19" a="1"/>
  <c r="U318" i="19" s="1"/>
  <c r="T318" i="19" a="1"/>
  <c r="T318" i="19" s="1"/>
  <c r="Q318" i="19"/>
  <c r="L318" i="19"/>
  <c r="V318" i="19" s="1"/>
  <c r="J318" i="19"/>
  <c r="I318" i="19"/>
  <c r="O318" i="19" s="1" a="1"/>
  <c r="O318" i="19" s="1"/>
  <c r="F318" i="19"/>
  <c r="AR317" i="19" a="1"/>
  <c r="AR317" i="19" s="1"/>
  <c r="AQ317" i="19"/>
  <c r="AF317" i="19" a="1"/>
  <c r="AF317" i="19" s="1"/>
  <c r="AE317" i="19"/>
  <c r="U317" i="19" a="1"/>
  <c r="U317" i="19" s="1"/>
  <c r="T317" i="19" a="1"/>
  <c r="T317" i="19" s="1"/>
  <c r="Q317" i="19"/>
  <c r="L317" i="19"/>
  <c r="V317" i="19" s="1"/>
  <c r="J317" i="19"/>
  <c r="I317" i="19"/>
  <c r="F317" i="19"/>
  <c r="AR316" i="19" a="1"/>
  <c r="AR316" i="19" s="1"/>
  <c r="AQ316" i="19"/>
  <c r="AF316" i="19" a="1"/>
  <c r="AF316" i="19" s="1"/>
  <c r="AE316" i="19"/>
  <c r="U316" i="19" a="1"/>
  <c r="U316" i="19" s="1"/>
  <c r="T316" i="19" a="1"/>
  <c r="T316" i="19" s="1"/>
  <c r="Q316" i="19"/>
  <c r="L316" i="19"/>
  <c r="V316" i="19" s="1"/>
  <c r="J316" i="19"/>
  <c r="I316" i="19"/>
  <c r="F316" i="19"/>
  <c r="AR315" i="19" a="1"/>
  <c r="AR315" i="19" s="1"/>
  <c r="AQ315" i="19"/>
  <c r="AF315" i="19" a="1"/>
  <c r="AF315" i="19" s="1"/>
  <c r="AE315" i="19"/>
  <c r="U315" i="19" a="1"/>
  <c r="U315" i="19" s="1"/>
  <c r="T315" i="19" a="1"/>
  <c r="T315" i="19" s="1"/>
  <c r="Q315" i="19"/>
  <c r="L315" i="19"/>
  <c r="V315" i="19" s="1"/>
  <c r="J315" i="19"/>
  <c r="I315" i="19"/>
  <c r="O315" i="19" s="1" a="1"/>
  <c r="O315" i="19" s="1"/>
  <c r="F315" i="19"/>
  <c r="AR314" i="19" a="1"/>
  <c r="AR314" i="19" s="1"/>
  <c r="AQ314" i="19"/>
  <c r="AF314" i="19" a="1"/>
  <c r="AF314" i="19" s="1"/>
  <c r="AE314" i="19"/>
  <c r="U314" i="19" a="1"/>
  <c r="U314" i="19" s="1"/>
  <c r="T314" i="19" a="1"/>
  <c r="T314" i="19" s="1"/>
  <c r="Q314" i="19"/>
  <c r="L314" i="19"/>
  <c r="V314" i="19" s="1"/>
  <c r="J314" i="19"/>
  <c r="I314" i="19"/>
  <c r="F314" i="19"/>
  <c r="AR313" i="19" a="1"/>
  <c r="AR313" i="19" s="1"/>
  <c r="AQ313" i="19"/>
  <c r="AF313" i="19" a="1"/>
  <c r="AF313" i="19" s="1"/>
  <c r="AE313" i="19"/>
  <c r="U313" i="19" a="1"/>
  <c r="U313" i="19" s="1"/>
  <c r="T313" i="19" a="1"/>
  <c r="T313" i="19" s="1"/>
  <c r="Q313" i="19"/>
  <c r="L313" i="19"/>
  <c r="V313" i="19" s="1"/>
  <c r="J313" i="19"/>
  <c r="I313" i="19"/>
  <c r="O313" i="19" s="1" a="1"/>
  <c r="O313" i="19" s="1"/>
  <c r="F313" i="19"/>
  <c r="AR312" i="19" a="1"/>
  <c r="AR312" i="19" s="1"/>
  <c r="AQ312" i="19"/>
  <c r="AF312" i="19" a="1"/>
  <c r="AF312" i="19" s="1"/>
  <c r="AE312" i="19"/>
  <c r="U312" i="19" a="1"/>
  <c r="U312" i="19" s="1"/>
  <c r="T312" i="19" a="1"/>
  <c r="T312" i="19" s="1"/>
  <c r="Q312" i="19"/>
  <c r="L312" i="19"/>
  <c r="J312" i="19"/>
  <c r="I312" i="19"/>
  <c r="O312" i="19" s="1" a="1"/>
  <c r="O312" i="19" s="1"/>
  <c r="F312" i="19"/>
  <c r="AR311" i="19" a="1"/>
  <c r="AR311" i="19" s="1"/>
  <c r="AQ311" i="19"/>
  <c r="AF311" i="19" a="1"/>
  <c r="AF311" i="19" s="1"/>
  <c r="AE311" i="19"/>
  <c r="U311" i="19" a="1"/>
  <c r="U311" i="19" s="1"/>
  <c r="T311" i="19" a="1"/>
  <c r="T311" i="19" s="1"/>
  <c r="Q311" i="19"/>
  <c r="L311" i="19"/>
  <c r="V311" i="19" s="1"/>
  <c r="J311" i="19"/>
  <c r="I311" i="19"/>
  <c r="O311" i="19" s="1" a="1"/>
  <c r="O311" i="19" s="1"/>
  <c r="F311" i="19"/>
  <c r="AR310" i="19" a="1"/>
  <c r="AR310" i="19" s="1"/>
  <c r="AQ310" i="19"/>
  <c r="AF310" i="19" a="1"/>
  <c r="AF310" i="19" s="1"/>
  <c r="AE310" i="19"/>
  <c r="U310" i="19" a="1"/>
  <c r="U310" i="19" s="1"/>
  <c r="T310" i="19" a="1"/>
  <c r="T310" i="19" s="1"/>
  <c r="Q310" i="19"/>
  <c r="L310" i="19"/>
  <c r="J310" i="19"/>
  <c r="I310" i="19"/>
  <c r="K310" i="19" s="1"/>
  <c r="F310" i="19"/>
  <c r="AR309" i="19" a="1"/>
  <c r="AR309" i="19" s="1"/>
  <c r="AQ309" i="19"/>
  <c r="AF309" i="19" a="1"/>
  <c r="AF309" i="19" s="1"/>
  <c r="AE309" i="19"/>
  <c r="U309" i="19" a="1"/>
  <c r="U309" i="19" s="1"/>
  <c r="T309" i="19" a="1"/>
  <c r="T309" i="19" s="1"/>
  <c r="Q309" i="19"/>
  <c r="L309" i="19"/>
  <c r="J309" i="19"/>
  <c r="I309" i="19"/>
  <c r="O309" i="19" s="1" a="1"/>
  <c r="O309" i="19" s="1"/>
  <c r="F309" i="19"/>
  <c r="AR308" i="19" a="1"/>
  <c r="AR308" i="19" s="1"/>
  <c r="AQ308" i="19"/>
  <c r="AF308" i="19" a="1"/>
  <c r="AF308" i="19" s="1"/>
  <c r="AE308" i="19"/>
  <c r="U308" i="19" a="1"/>
  <c r="U308" i="19" s="1"/>
  <c r="T308" i="19" a="1"/>
  <c r="T308" i="19" s="1"/>
  <c r="Q308" i="19"/>
  <c r="L308" i="19"/>
  <c r="V308" i="19" s="1"/>
  <c r="J308" i="19"/>
  <c r="I308" i="19"/>
  <c r="F308" i="19"/>
  <c r="AR307" i="19" a="1"/>
  <c r="AR307" i="19" s="1"/>
  <c r="AQ307" i="19"/>
  <c r="AF307" i="19" a="1"/>
  <c r="AF307" i="19" s="1"/>
  <c r="AE307" i="19"/>
  <c r="U307" i="19" a="1"/>
  <c r="U307" i="19" s="1"/>
  <c r="T307" i="19" a="1"/>
  <c r="T307" i="19" s="1"/>
  <c r="Q307" i="19"/>
  <c r="L307" i="19"/>
  <c r="J307" i="19"/>
  <c r="I307" i="19"/>
  <c r="O307" i="19" s="1" a="1"/>
  <c r="O307" i="19" s="1"/>
  <c r="F307" i="19"/>
  <c r="AR306" i="19" a="1"/>
  <c r="AR306" i="19" s="1"/>
  <c r="AQ306" i="19"/>
  <c r="AF306" i="19" a="1"/>
  <c r="AF306" i="19" s="1"/>
  <c r="AE306" i="19"/>
  <c r="U306" i="19" a="1"/>
  <c r="U306" i="19" s="1"/>
  <c r="T306" i="19" a="1"/>
  <c r="T306" i="19" s="1"/>
  <c r="Q306" i="19"/>
  <c r="L306" i="19"/>
  <c r="J306" i="19"/>
  <c r="I306" i="19"/>
  <c r="K306" i="19" s="1"/>
  <c r="F306" i="19"/>
  <c r="AR305" i="19" a="1"/>
  <c r="AR305" i="19" s="1"/>
  <c r="AQ305" i="19"/>
  <c r="AF305" i="19" a="1"/>
  <c r="AF305" i="19" s="1"/>
  <c r="AE305" i="19"/>
  <c r="U305" i="19" a="1"/>
  <c r="U305" i="19" s="1"/>
  <c r="T305" i="19" a="1"/>
  <c r="T305" i="19" s="1"/>
  <c r="Q305" i="19"/>
  <c r="L305" i="19"/>
  <c r="V305" i="19" s="1"/>
  <c r="J305" i="19"/>
  <c r="I305" i="19"/>
  <c r="F305" i="19"/>
  <c r="AR304" i="19" a="1"/>
  <c r="AR304" i="19" s="1"/>
  <c r="AQ304" i="19"/>
  <c r="AF304" i="19" a="1"/>
  <c r="AF304" i="19" s="1"/>
  <c r="AE304" i="19"/>
  <c r="U304" i="19" a="1"/>
  <c r="U304" i="19" s="1"/>
  <c r="T304" i="19" a="1"/>
  <c r="T304" i="19" s="1"/>
  <c r="Q304" i="19"/>
  <c r="L304" i="19"/>
  <c r="V304" i="19" s="1"/>
  <c r="J304" i="19"/>
  <c r="I304" i="19"/>
  <c r="O304" i="19" s="1" a="1"/>
  <c r="O304" i="19" s="1"/>
  <c r="F304" i="19"/>
  <c r="AR303" i="19" a="1"/>
  <c r="AR303" i="19" s="1"/>
  <c r="AQ303" i="19"/>
  <c r="AF303" i="19" a="1"/>
  <c r="AF303" i="19" s="1"/>
  <c r="AE303" i="19"/>
  <c r="U303" i="19" a="1"/>
  <c r="U303" i="19" s="1"/>
  <c r="T303" i="19" a="1"/>
  <c r="T303" i="19" s="1"/>
  <c r="Q303" i="19"/>
  <c r="L303" i="19"/>
  <c r="V303" i="19" s="1"/>
  <c r="J303" i="19"/>
  <c r="I303" i="19"/>
  <c r="O303" i="19" s="1" a="1"/>
  <c r="O303" i="19" s="1"/>
  <c r="F303" i="19"/>
  <c r="AR302" i="19" a="1"/>
  <c r="AR302" i="19" s="1"/>
  <c r="AQ302" i="19"/>
  <c r="AF302" i="19" a="1"/>
  <c r="AF302" i="19" s="1"/>
  <c r="AE302" i="19"/>
  <c r="U302" i="19" a="1"/>
  <c r="U302" i="19" s="1"/>
  <c r="T302" i="19" a="1"/>
  <c r="T302" i="19" s="1"/>
  <c r="Q302" i="19"/>
  <c r="L302" i="19"/>
  <c r="J302" i="19"/>
  <c r="I302" i="19"/>
  <c r="K302" i="19" s="1"/>
  <c r="F302" i="19"/>
  <c r="AR301" i="19" a="1"/>
  <c r="AR301" i="19" s="1"/>
  <c r="AQ301" i="19"/>
  <c r="AF301" i="19" a="1"/>
  <c r="AF301" i="19" s="1"/>
  <c r="AE301" i="19"/>
  <c r="U301" i="19" a="1"/>
  <c r="U301" i="19" s="1"/>
  <c r="T301" i="19" a="1"/>
  <c r="T301" i="19" s="1"/>
  <c r="Q301" i="19"/>
  <c r="L301" i="19"/>
  <c r="V301" i="19" s="1"/>
  <c r="J301" i="19"/>
  <c r="I301" i="19"/>
  <c r="K301" i="19" s="1"/>
  <c r="F301" i="19"/>
  <c r="AR300" i="19" a="1"/>
  <c r="AR300" i="19" s="1"/>
  <c r="AQ300" i="19"/>
  <c r="AF300" i="19" a="1"/>
  <c r="AF300" i="19" s="1"/>
  <c r="AE300" i="19"/>
  <c r="U300" i="19" a="1"/>
  <c r="U300" i="19" s="1"/>
  <c r="T300" i="19" a="1"/>
  <c r="T300" i="19" s="1"/>
  <c r="Q300" i="19"/>
  <c r="L300" i="19"/>
  <c r="J300" i="19"/>
  <c r="I300" i="19"/>
  <c r="F300" i="19"/>
  <c r="AR299" i="19" a="1"/>
  <c r="AR299" i="19" s="1"/>
  <c r="AQ299" i="19"/>
  <c r="AF299" i="19" a="1"/>
  <c r="AF299" i="19" s="1"/>
  <c r="AE299" i="19"/>
  <c r="U299" i="19" a="1"/>
  <c r="U299" i="19" s="1"/>
  <c r="T299" i="19" a="1"/>
  <c r="T299" i="19" s="1"/>
  <c r="Q299" i="19"/>
  <c r="L299" i="19"/>
  <c r="V299" i="19" s="1"/>
  <c r="J299" i="19"/>
  <c r="I299" i="19"/>
  <c r="O299" i="19" s="1" a="1"/>
  <c r="O299" i="19" s="1"/>
  <c r="F299" i="19"/>
  <c r="AR298" i="19" a="1"/>
  <c r="AR298" i="19" s="1"/>
  <c r="AQ298" i="19"/>
  <c r="AF298" i="19" a="1"/>
  <c r="AF298" i="19" s="1"/>
  <c r="AE298" i="19"/>
  <c r="U298" i="19" a="1"/>
  <c r="U298" i="19" s="1"/>
  <c r="T298" i="19" a="1"/>
  <c r="T298" i="19" s="1"/>
  <c r="Q298" i="19"/>
  <c r="L298" i="19"/>
  <c r="V298" i="19" s="1"/>
  <c r="J298" i="19"/>
  <c r="I298" i="19"/>
  <c r="F298" i="19"/>
  <c r="AR297" i="19" a="1"/>
  <c r="AR297" i="19" s="1"/>
  <c r="AQ297" i="19"/>
  <c r="AF297" i="19" a="1"/>
  <c r="AF297" i="19" s="1"/>
  <c r="AE297" i="19"/>
  <c r="U297" i="19" a="1"/>
  <c r="U297" i="19" s="1"/>
  <c r="T297" i="19" a="1"/>
  <c r="T297" i="19" s="1"/>
  <c r="Q297" i="19"/>
  <c r="L297" i="19"/>
  <c r="V297" i="19" s="1"/>
  <c r="J297" i="19"/>
  <c r="I297" i="19"/>
  <c r="F297" i="19"/>
  <c r="AR296" i="19" a="1"/>
  <c r="AR296" i="19" s="1"/>
  <c r="AQ296" i="19"/>
  <c r="AF296" i="19" a="1"/>
  <c r="AF296" i="19" s="1"/>
  <c r="AE296" i="19"/>
  <c r="U296" i="19" a="1"/>
  <c r="U296" i="19" s="1"/>
  <c r="T296" i="19" a="1"/>
  <c r="T296" i="19" s="1"/>
  <c r="Q296" i="19"/>
  <c r="L296" i="19"/>
  <c r="V296" i="19" s="1"/>
  <c r="J296" i="19"/>
  <c r="I296" i="19"/>
  <c r="F296" i="19"/>
  <c r="AR295" i="19" a="1"/>
  <c r="AR295" i="19" s="1"/>
  <c r="AQ295" i="19"/>
  <c r="AF295" i="19" a="1"/>
  <c r="AF295" i="19" s="1"/>
  <c r="AE295" i="19"/>
  <c r="U295" i="19" a="1"/>
  <c r="U295" i="19" s="1"/>
  <c r="T295" i="19" a="1"/>
  <c r="T295" i="19" s="1"/>
  <c r="Q295" i="19"/>
  <c r="L295" i="19"/>
  <c r="V295" i="19" s="1"/>
  <c r="J295" i="19"/>
  <c r="I295" i="19"/>
  <c r="O295" i="19" s="1" a="1"/>
  <c r="O295" i="19" s="1"/>
  <c r="F295" i="19"/>
  <c r="AR294" i="19" a="1"/>
  <c r="AR294" i="19" s="1"/>
  <c r="AQ294" i="19"/>
  <c r="AF294" i="19" a="1"/>
  <c r="AF294" i="19" s="1"/>
  <c r="AE294" i="19"/>
  <c r="U294" i="19" a="1"/>
  <c r="U294" i="19" s="1"/>
  <c r="T294" i="19" a="1"/>
  <c r="T294" i="19" s="1"/>
  <c r="Q294" i="19"/>
  <c r="L294" i="19"/>
  <c r="J294" i="19"/>
  <c r="I294" i="19"/>
  <c r="K294" i="19" s="1"/>
  <c r="F294" i="19"/>
  <c r="AR293" i="19" a="1"/>
  <c r="AR293" i="19" s="1"/>
  <c r="AQ293" i="19"/>
  <c r="AF293" i="19" a="1"/>
  <c r="AF293" i="19" s="1"/>
  <c r="AE293" i="19"/>
  <c r="U293" i="19" a="1"/>
  <c r="U293" i="19" s="1"/>
  <c r="T293" i="19" a="1"/>
  <c r="T293" i="19" s="1"/>
  <c r="Q293" i="19"/>
  <c r="L293" i="19"/>
  <c r="V293" i="19" s="1"/>
  <c r="J293" i="19"/>
  <c r="I293" i="19"/>
  <c r="O293" i="19" s="1" a="1"/>
  <c r="O293" i="19" s="1"/>
  <c r="F293" i="19"/>
  <c r="AR292" i="19" a="1"/>
  <c r="AR292" i="19" s="1"/>
  <c r="AQ292" i="19"/>
  <c r="AF292" i="19" a="1"/>
  <c r="AF292" i="19" s="1"/>
  <c r="AE292" i="19"/>
  <c r="U292" i="19" a="1"/>
  <c r="U292" i="19" s="1"/>
  <c r="T292" i="19" a="1"/>
  <c r="T292" i="19" s="1"/>
  <c r="Q292" i="19"/>
  <c r="L292" i="19"/>
  <c r="J292" i="19"/>
  <c r="I292" i="19"/>
  <c r="O292" i="19" s="1" a="1"/>
  <c r="O292" i="19" s="1"/>
  <c r="F292" i="19"/>
  <c r="AR291" i="19" a="1"/>
  <c r="AR291" i="19" s="1"/>
  <c r="AQ291" i="19"/>
  <c r="AF291" i="19" a="1"/>
  <c r="AF291" i="19" s="1"/>
  <c r="AE291" i="19"/>
  <c r="U291" i="19" a="1"/>
  <c r="U291" i="19" s="1"/>
  <c r="T291" i="19" a="1"/>
  <c r="T291" i="19" s="1"/>
  <c r="Q291" i="19"/>
  <c r="L291" i="19"/>
  <c r="J291" i="19"/>
  <c r="I291" i="19"/>
  <c r="O291" i="19" s="1" a="1"/>
  <c r="O291" i="19" s="1"/>
  <c r="F291" i="19"/>
  <c r="AR290" i="19" a="1"/>
  <c r="AR290" i="19" s="1"/>
  <c r="AQ290" i="19"/>
  <c r="AF290" i="19" a="1"/>
  <c r="AF290" i="19" s="1"/>
  <c r="AE290" i="19"/>
  <c r="U290" i="19" a="1"/>
  <c r="U290" i="19" s="1"/>
  <c r="T290" i="19" a="1"/>
  <c r="T290" i="19" s="1"/>
  <c r="Q290" i="19"/>
  <c r="L290" i="19"/>
  <c r="V290" i="19" s="1"/>
  <c r="J290" i="19"/>
  <c r="I290" i="19"/>
  <c r="K290" i="19" s="1"/>
  <c r="F290" i="19"/>
  <c r="AR289" i="19" a="1"/>
  <c r="AR289" i="19" s="1"/>
  <c r="AQ289" i="19"/>
  <c r="AF289" i="19" a="1"/>
  <c r="AF289" i="19" s="1"/>
  <c r="AE289" i="19"/>
  <c r="U289" i="19" a="1"/>
  <c r="U289" i="19" s="1"/>
  <c r="T289" i="19" a="1"/>
  <c r="T289" i="19" s="1"/>
  <c r="Q289" i="19"/>
  <c r="L289" i="19"/>
  <c r="J289" i="19"/>
  <c r="I289" i="19"/>
  <c r="O289" i="19" s="1" a="1"/>
  <c r="O289" i="19" s="1"/>
  <c r="F289" i="19"/>
  <c r="AR288" i="19" a="1"/>
  <c r="AR288" i="19" s="1"/>
  <c r="AQ288" i="19"/>
  <c r="AF288" i="19" a="1"/>
  <c r="AF288" i="19" s="1"/>
  <c r="AE288" i="19"/>
  <c r="U288" i="19" a="1"/>
  <c r="U288" i="19" s="1"/>
  <c r="T288" i="19" a="1"/>
  <c r="T288" i="19" s="1"/>
  <c r="Q288" i="19"/>
  <c r="L288" i="19"/>
  <c r="V288" i="19" s="1"/>
  <c r="J288" i="19"/>
  <c r="I288" i="19"/>
  <c r="F288" i="19"/>
  <c r="AR287" i="19" a="1"/>
  <c r="AR287" i="19" s="1"/>
  <c r="AQ287" i="19"/>
  <c r="AF287" i="19" a="1"/>
  <c r="AF287" i="19" s="1"/>
  <c r="AE287" i="19"/>
  <c r="U287" i="19" a="1"/>
  <c r="U287" i="19" s="1"/>
  <c r="T287" i="19" a="1"/>
  <c r="T287" i="19" s="1"/>
  <c r="Q287" i="19"/>
  <c r="L287" i="19"/>
  <c r="J287" i="19"/>
  <c r="I287" i="19"/>
  <c r="O287" i="19" s="1" a="1"/>
  <c r="O287" i="19" s="1"/>
  <c r="F287" i="19"/>
  <c r="AR286" i="19" a="1"/>
  <c r="AR286" i="19" s="1"/>
  <c r="AQ286" i="19"/>
  <c r="AF286" i="19" a="1"/>
  <c r="AF286" i="19" s="1"/>
  <c r="AE286" i="19"/>
  <c r="U286" i="19" a="1"/>
  <c r="U286" i="19" s="1"/>
  <c r="T286" i="19" a="1"/>
  <c r="T286" i="19" s="1"/>
  <c r="Q286" i="19"/>
  <c r="L286" i="19"/>
  <c r="V286" i="19" s="1"/>
  <c r="J286" i="19"/>
  <c r="I286" i="19"/>
  <c r="O286" i="19" s="1" a="1"/>
  <c r="O286" i="19" s="1"/>
  <c r="F286" i="19"/>
  <c r="AR285" i="19" a="1"/>
  <c r="AR285" i="19" s="1"/>
  <c r="AQ285" i="19"/>
  <c r="AF285" i="19" a="1"/>
  <c r="AF285" i="19" s="1"/>
  <c r="AE285" i="19"/>
  <c r="U285" i="19" a="1"/>
  <c r="U285" i="19" s="1"/>
  <c r="T285" i="19" a="1"/>
  <c r="T285" i="19" s="1"/>
  <c r="Q285" i="19"/>
  <c r="L285" i="19"/>
  <c r="J285" i="19"/>
  <c r="I285" i="19"/>
  <c r="O285" i="19" s="1" a="1"/>
  <c r="O285" i="19" s="1"/>
  <c r="F285" i="19"/>
  <c r="AR284" i="19" a="1"/>
  <c r="AR284" i="19" s="1"/>
  <c r="AQ284" i="19"/>
  <c r="AF284" i="19" a="1"/>
  <c r="AF284" i="19" s="1"/>
  <c r="AE284" i="19"/>
  <c r="U284" i="19" a="1"/>
  <c r="U284" i="19" s="1"/>
  <c r="T284" i="19" a="1"/>
  <c r="T284" i="19" s="1"/>
  <c r="Q284" i="19"/>
  <c r="L284" i="19"/>
  <c r="V284" i="19" s="1"/>
  <c r="J284" i="19"/>
  <c r="I284" i="19"/>
  <c r="O284" i="19" s="1" a="1"/>
  <c r="O284" i="19" s="1"/>
  <c r="F284" i="19"/>
  <c r="AR283" i="19" a="1"/>
  <c r="AR283" i="19" s="1"/>
  <c r="AQ283" i="19"/>
  <c r="AF283" i="19" a="1"/>
  <c r="AF283" i="19" s="1"/>
  <c r="AE283" i="19"/>
  <c r="U283" i="19" a="1"/>
  <c r="U283" i="19" s="1"/>
  <c r="T283" i="19" a="1"/>
  <c r="T283" i="19" s="1"/>
  <c r="Q283" i="19"/>
  <c r="L283" i="19"/>
  <c r="V283" i="19" s="1"/>
  <c r="J283" i="19"/>
  <c r="I283" i="19"/>
  <c r="K283" i="19" s="1"/>
  <c r="F283" i="19"/>
  <c r="AR282" i="19" a="1"/>
  <c r="AR282" i="19" s="1"/>
  <c r="AQ282" i="19"/>
  <c r="AF282" i="19" a="1"/>
  <c r="AF282" i="19" s="1"/>
  <c r="AE282" i="19"/>
  <c r="U282" i="19" a="1"/>
  <c r="U282" i="19" s="1"/>
  <c r="T282" i="19" a="1"/>
  <c r="T282" i="19" s="1"/>
  <c r="Q282" i="19"/>
  <c r="L282" i="19"/>
  <c r="V282" i="19" s="1"/>
  <c r="J282" i="19"/>
  <c r="I282" i="19"/>
  <c r="F282" i="19"/>
  <c r="AR281" i="19" a="1"/>
  <c r="AR281" i="19" s="1"/>
  <c r="AQ281" i="19"/>
  <c r="AF281" i="19" a="1"/>
  <c r="AF281" i="19" s="1"/>
  <c r="AE281" i="19"/>
  <c r="U281" i="19" a="1"/>
  <c r="U281" i="19" s="1"/>
  <c r="T281" i="19" a="1"/>
  <c r="T281" i="19" s="1"/>
  <c r="Q281" i="19"/>
  <c r="L281" i="19"/>
  <c r="V281" i="19" s="1"/>
  <c r="J281" i="19"/>
  <c r="I281" i="19"/>
  <c r="K281" i="19" s="1"/>
  <c r="F281" i="19"/>
  <c r="AR280" i="19" a="1"/>
  <c r="AR280" i="19" s="1"/>
  <c r="AQ280" i="19"/>
  <c r="AF280" i="19" a="1"/>
  <c r="AF280" i="19" s="1"/>
  <c r="AE280" i="19"/>
  <c r="U280" i="19" a="1"/>
  <c r="U280" i="19" s="1"/>
  <c r="T280" i="19" a="1"/>
  <c r="T280" i="19" s="1"/>
  <c r="Q280" i="19"/>
  <c r="L280" i="19"/>
  <c r="V280" i="19" s="1"/>
  <c r="J280" i="19"/>
  <c r="I280" i="19"/>
  <c r="O280" i="19" s="1" a="1"/>
  <c r="O280" i="19" s="1"/>
  <c r="F280" i="19"/>
  <c r="AR279" i="19" a="1"/>
  <c r="AR279" i="19" s="1"/>
  <c r="AQ279" i="19"/>
  <c r="AF279" i="19" a="1"/>
  <c r="AF279" i="19" s="1"/>
  <c r="AE279" i="19"/>
  <c r="U279" i="19" a="1"/>
  <c r="U279" i="19" s="1"/>
  <c r="T279" i="19" a="1"/>
  <c r="T279" i="19" s="1"/>
  <c r="Q279" i="19"/>
  <c r="L279" i="19"/>
  <c r="J279" i="19"/>
  <c r="I279" i="19"/>
  <c r="K279" i="19" s="1"/>
  <c r="F279" i="19"/>
  <c r="AR278" i="19" a="1"/>
  <c r="AR278" i="19" s="1"/>
  <c r="AQ278" i="19"/>
  <c r="AF278" i="19" a="1"/>
  <c r="AF278" i="19" s="1"/>
  <c r="AE278" i="19"/>
  <c r="U278" i="19" a="1"/>
  <c r="U278" i="19" s="1"/>
  <c r="T278" i="19" a="1"/>
  <c r="T278" i="19" s="1"/>
  <c r="Q278" i="19"/>
  <c r="L278" i="19"/>
  <c r="J278" i="19"/>
  <c r="I278" i="19"/>
  <c r="K278" i="19" s="1"/>
  <c r="F278" i="19"/>
  <c r="AR277" i="19" a="1"/>
  <c r="AR277" i="19" s="1"/>
  <c r="AQ277" i="19"/>
  <c r="AF277" i="19" a="1"/>
  <c r="AF277" i="19" s="1"/>
  <c r="AE277" i="19"/>
  <c r="U277" i="19" a="1"/>
  <c r="U277" i="19" s="1"/>
  <c r="T277" i="19" a="1"/>
  <c r="T277" i="19" s="1"/>
  <c r="Q277" i="19"/>
  <c r="L277" i="19"/>
  <c r="J277" i="19"/>
  <c r="I277" i="19"/>
  <c r="O277" i="19" s="1" a="1"/>
  <c r="O277" i="19" s="1"/>
  <c r="F277" i="19"/>
  <c r="AR276" i="19" a="1"/>
  <c r="AR276" i="19" s="1"/>
  <c r="AQ276" i="19"/>
  <c r="AF276" i="19" a="1"/>
  <c r="AF276" i="19" s="1"/>
  <c r="AE276" i="19"/>
  <c r="U276" i="19" a="1"/>
  <c r="U276" i="19" s="1"/>
  <c r="T276" i="19" a="1"/>
  <c r="T276" i="19" s="1"/>
  <c r="Q276" i="19"/>
  <c r="L276" i="19"/>
  <c r="V276" i="19" s="1"/>
  <c r="J276" i="19"/>
  <c r="I276" i="19"/>
  <c r="F276" i="19"/>
  <c r="AR275" i="19" a="1"/>
  <c r="AR275" i="19" s="1"/>
  <c r="AQ275" i="19"/>
  <c r="AF275" i="19" a="1"/>
  <c r="AF275" i="19" s="1"/>
  <c r="AE275" i="19"/>
  <c r="U275" i="19" a="1"/>
  <c r="U275" i="19" s="1"/>
  <c r="T275" i="19" a="1"/>
  <c r="T275" i="19" s="1"/>
  <c r="Q275" i="19"/>
  <c r="L275" i="19"/>
  <c r="J275" i="19"/>
  <c r="I275" i="19"/>
  <c r="F275" i="19"/>
  <c r="AR274" i="19" a="1"/>
  <c r="AR274" i="19" s="1"/>
  <c r="AQ274" i="19"/>
  <c r="AF274" i="19" a="1"/>
  <c r="AF274" i="19" s="1"/>
  <c r="AE274" i="19"/>
  <c r="U274" i="19" a="1"/>
  <c r="U274" i="19" s="1"/>
  <c r="T274" i="19" a="1"/>
  <c r="T274" i="19" s="1"/>
  <c r="Q274" i="19"/>
  <c r="L274" i="19"/>
  <c r="J274" i="19"/>
  <c r="I274" i="19"/>
  <c r="K274" i="19" s="1"/>
  <c r="F274" i="19"/>
  <c r="AR273" i="19" a="1"/>
  <c r="AR273" i="19" s="1"/>
  <c r="AQ273" i="19"/>
  <c r="AF273" i="19" a="1"/>
  <c r="AF273" i="19" s="1"/>
  <c r="AE273" i="19"/>
  <c r="U273" i="19" a="1"/>
  <c r="U273" i="19" s="1"/>
  <c r="T273" i="19" a="1"/>
  <c r="T273" i="19" s="1"/>
  <c r="Q273" i="19"/>
  <c r="L273" i="19"/>
  <c r="J273" i="19"/>
  <c r="I273" i="19"/>
  <c r="O273" i="19" s="1" a="1"/>
  <c r="O273" i="19" s="1"/>
  <c r="F273" i="19"/>
  <c r="AR272" i="19" a="1"/>
  <c r="AR272" i="19" s="1"/>
  <c r="AQ272" i="19"/>
  <c r="AF272" i="19" a="1"/>
  <c r="AF272" i="19" s="1"/>
  <c r="AE272" i="19"/>
  <c r="U272" i="19" a="1"/>
  <c r="U272" i="19" s="1"/>
  <c r="T272" i="19" a="1"/>
  <c r="T272" i="19" s="1"/>
  <c r="Q272" i="19"/>
  <c r="L272" i="19"/>
  <c r="V272" i="19" s="1"/>
  <c r="J272" i="19"/>
  <c r="I272" i="19"/>
  <c r="K272" i="19" s="1"/>
  <c r="F272" i="19"/>
  <c r="AR271" i="19" a="1"/>
  <c r="AR271" i="19" s="1"/>
  <c r="AQ271" i="19"/>
  <c r="AF271" i="19" a="1"/>
  <c r="AF271" i="19" s="1"/>
  <c r="AE271" i="19"/>
  <c r="U271" i="19" a="1"/>
  <c r="U271" i="19" s="1"/>
  <c r="T271" i="19" a="1"/>
  <c r="T271" i="19" s="1"/>
  <c r="Q271" i="19"/>
  <c r="L271" i="19"/>
  <c r="V271" i="19" s="1"/>
  <c r="J271" i="19"/>
  <c r="I271" i="19"/>
  <c r="O271" i="19" s="1" a="1"/>
  <c r="O271" i="19" s="1"/>
  <c r="F271" i="19"/>
  <c r="AR270" i="19" a="1"/>
  <c r="AR270" i="19" s="1"/>
  <c r="AQ270" i="19"/>
  <c r="AF270" i="19" a="1"/>
  <c r="AF270" i="19" s="1"/>
  <c r="AE270" i="19"/>
  <c r="U270" i="19" a="1"/>
  <c r="U270" i="19" s="1"/>
  <c r="T270" i="19" a="1"/>
  <c r="T270" i="19" s="1"/>
  <c r="Q270" i="19"/>
  <c r="L270" i="19"/>
  <c r="V270" i="19" s="1"/>
  <c r="J270" i="19"/>
  <c r="I270" i="19"/>
  <c r="O270" i="19" s="1" a="1"/>
  <c r="O270" i="19" s="1"/>
  <c r="F270" i="19"/>
  <c r="AR269" i="19" a="1"/>
  <c r="AR269" i="19" s="1"/>
  <c r="AQ269" i="19"/>
  <c r="AF269" i="19" a="1"/>
  <c r="AF269" i="19" s="1"/>
  <c r="AE269" i="19"/>
  <c r="U269" i="19" a="1"/>
  <c r="U269" i="19" s="1"/>
  <c r="T269" i="19" a="1"/>
  <c r="T269" i="19" s="1"/>
  <c r="Q269" i="19"/>
  <c r="L269" i="19"/>
  <c r="V269" i="19" s="1"/>
  <c r="J269" i="19"/>
  <c r="I269" i="19"/>
  <c r="K269" i="19" s="1"/>
  <c r="F269" i="19"/>
  <c r="AR268" i="19" a="1"/>
  <c r="AR268" i="19" s="1"/>
  <c r="AQ268" i="19"/>
  <c r="AF268" i="19" a="1"/>
  <c r="AF268" i="19" s="1"/>
  <c r="AE268" i="19"/>
  <c r="U268" i="19" a="1"/>
  <c r="U268" i="19" s="1"/>
  <c r="T268" i="19" a="1"/>
  <c r="T268" i="19" s="1"/>
  <c r="Q268" i="19"/>
  <c r="L268" i="19"/>
  <c r="V268" i="19" s="1"/>
  <c r="J268" i="19"/>
  <c r="I268" i="19"/>
  <c r="O268" i="19" s="1" a="1"/>
  <c r="O268" i="19" s="1"/>
  <c r="F268" i="19"/>
  <c r="AR267" i="19" a="1"/>
  <c r="AR267" i="19" s="1"/>
  <c r="AQ267" i="19"/>
  <c r="AF267" i="19" a="1"/>
  <c r="AF267" i="19" s="1"/>
  <c r="AE267" i="19"/>
  <c r="U267" i="19" a="1"/>
  <c r="U267" i="19" s="1"/>
  <c r="T267" i="19" a="1"/>
  <c r="T267" i="19" s="1"/>
  <c r="Q267" i="19"/>
  <c r="L267" i="19"/>
  <c r="J267" i="19"/>
  <c r="I267" i="19"/>
  <c r="O267" i="19" s="1" a="1"/>
  <c r="O267" i="19" s="1"/>
  <c r="F267" i="19"/>
  <c r="AR266" i="19" a="1"/>
  <c r="AR266" i="19" s="1"/>
  <c r="AQ266" i="19"/>
  <c r="AF266" i="19" a="1"/>
  <c r="AF266" i="19" s="1"/>
  <c r="AE266" i="19"/>
  <c r="U266" i="19" a="1"/>
  <c r="U266" i="19" s="1"/>
  <c r="T266" i="19" a="1"/>
  <c r="T266" i="19" s="1"/>
  <c r="Q266" i="19"/>
  <c r="L266" i="19"/>
  <c r="V266" i="19" s="1"/>
  <c r="J266" i="19"/>
  <c r="I266" i="19"/>
  <c r="K266" i="19" s="1"/>
  <c r="F266" i="19"/>
  <c r="AR265" i="19" a="1"/>
  <c r="AR265" i="19" s="1"/>
  <c r="AQ265" i="19"/>
  <c r="AF265" i="19" a="1"/>
  <c r="AF265" i="19" s="1"/>
  <c r="AE265" i="19"/>
  <c r="U265" i="19" a="1"/>
  <c r="U265" i="19" s="1"/>
  <c r="T265" i="19" a="1"/>
  <c r="T265" i="19" s="1"/>
  <c r="Q265" i="19"/>
  <c r="L265" i="19"/>
  <c r="V265" i="19" s="1"/>
  <c r="J265" i="19"/>
  <c r="I265" i="19"/>
  <c r="O265" i="19" s="1" a="1"/>
  <c r="O265" i="19" s="1"/>
  <c r="F265" i="19"/>
  <c r="AR264" i="19" a="1"/>
  <c r="AR264" i="19" s="1"/>
  <c r="AQ264" i="19"/>
  <c r="AF264" i="19" a="1"/>
  <c r="AF264" i="19" s="1"/>
  <c r="AE264" i="19"/>
  <c r="U264" i="19" a="1"/>
  <c r="U264" i="19" s="1"/>
  <c r="T264" i="19" a="1"/>
  <c r="T264" i="19" s="1"/>
  <c r="Q264" i="19"/>
  <c r="L264" i="19"/>
  <c r="V264" i="19" s="1"/>
  <c r="J264" i="19"/>
  <c r="I264" i="19"/>
  <c r="K264" i="19" s="1"/>
  <c r="F264" i="19"/>
  <c r="AR263" i="19" a="1"/>
  <c r="AR263" i="19" s="1"/>
  <c r="AQ263" i="19"/>
  <c r="AF263" i="19" a="1"/>
  <c r="AF263" i="19" s="1"/>
  <c r="AE263" i="19"/>
  <c r="U263" i="19" a="1"/>
  <c r="U263" i="19" s="1"/>
  <c r="T263" i="19" a="1"/>
  <c r="T263" i="19" s="1"/>
  <c r="Q263" i="19"/>
  <c r="L263" i="19"/>
  <c r="J263" i="19"/>
  <c r="I263" i="19"/>
  <c r="F263" i="19"/>
  <c r="AR262" i="19" a="1"/>
  <c r="AR262" i="19" s="1"/>
  <c r="AQ262" i="19"/>
  <c r="AF262" i="19" a="1"/>
  <c r="AF262" i="19" s="1"/>
  <c r="AE262" i="19"/>
  <c r="U262" i="19" a="1"/>
  <c r="U262" i="19" s="1"/>
  <c r="T262" i="19" a="1"/>
  <c r="T262" i="19" s="1"/>
  <c r="Q262" i="19"/>
  <c r="L262" i="19"/>
  <c r="V262" i="19" s="1"/>
  <c r="J262" i="19"/>
  <c r="I262" i="19"/>
  <c r="K262" i="19" s="1"/>
  <c r="F262" i="19"/>
  <c r="AR261" i="19" a="1"/>
  <c r="AR261" i="19" s="1"/>
  <c r="AQ261" i="19"/>
  <c r="AF261" i="19" a="1"/>
  <c r="AF261" i="19" s="1"/>
  <c r="AE261" i="19"/>
  <c r="U261" i="19" a="1"/>
  <c r="U261" i="19" s="1"/>
  <c r="T261" i="19" a="1"/>
  <c r="T261" i="19" s="1"/>
  <c r="Q261" i="19"/>
  <c r="L261" i="19"/>
  <c r="V261" i="19" s="1"/>
  <c r="J261" i="19"/>
  <c r="I261" i="19"/>
  <c r="K261" i="19" s="1"/>
  <c r="F261" i="19"/>
  <c r="AR260" i="19" a="1"/>
  <c r="AR260" i="19" s="1"/>
  <c r="AQ260" i="19"/>
  <c r="AF260" i="19" a="1"/>
  <c r="AF260" i="19" s="1"/>
  <c r="AE260" i="19"/>
  <c r="U260" i="19" a="1"/>
  <c r="U260" i="19" s="1"/>
  <c r="T260" i="19" a="1"/>
  <c r="T260" i="19" s="1"/>
  <c r="Q260" i="19"/>
  <c r="L260" i="19"/>
  <c r="V260" i="19" s="1"/>
  <c r="J260" i="19"/>
  <c r="I260" i="19"/>
  <c r="K260" i="19" s="1"/>
  <c r="F260" i="19"/>
  <c r="AR259" i="19" a="1"/>
  <c r="AR259" i="19" s="1"/>
  <c r="AQ259" i="19"/>
  <c r="AF259" i="19" a="1"/>
  <c r="AF259" i="19" s="1"/>
  <c r="AE259" i="19"/>
  <c r="U259" i="19" a="1"/>
  <c r="U259" i="19" s="1"/>
  <c r="T259" i="19" a="1"/>
  <c r="T259" i="19" s="1"/>
  <c r="Q259" i="19"/>
  <c r="L259" i="19"/>
  <c r="V259" i="19" s="1"/>
  <c r="J259" i="19"/>
  <c r="I259" i="19"/>
  <c r="F259" i="19"/>
  <c r="AR258" i="19" a="1"/>
  <c r="AR258" i="19" s="1"/>
  <c r="AQ258" i="19"/>
  <c r="AF258" i="19" a="1"/>
  <c r="AF258" i="19" s="1"/>
  <c r="AE258" i="19"/>
  <c r="U258" i="19" a="1"/>
  <c r="U258" i="19" s="1"/>
  <c r="T258" i="19" a="1"/>
  <c r="T258" i="19" s="1"/>
  <c r="Q258" i="19"/>
  <c r="L258" i="19"/>
  <c r="V258" i="19" s="1"/>
  <c r="J258" i="19"/>
  <c r="I258" i="19"/>
  <c r="K258" i="19" s="1"/>
  <c r="F258" i="19"/>
  <c r="AR257" i="19" a="1"/>
  <c r="AR257" i="19" s="1"/>
  <c r="AQ257" i="19"/>
  <c r="AF257" i="19" a="1"/>
  <c r="AF257" i="19" s="1"/>
  <c r="AE257" i="19"/>
  <c r="U257" i="19" a="1"/>
  <c r="U257" i="19" s="1"/>
  <c r="T257" i="19" a="1"/>
  <c r="T257" i="19" s="1"/>
  <c r="Q257" i="19"/>
  <c r="L257" i="19"/>
  <c r="V257" i="19" s="1"/>
  <c r="J257" i="19"/>
  <c r="I257" i="19"/>
  <c r="O257" i="19" s="1" a="1"/>
  <c r="O257" i="19" s="1"/>
  <c r="F257" i="19"/>
  <c r="AR256" i="19" a="1"/>
  <c r="AR256" i="19" s="1"/>
  <c r="AQ256" i="19"/>
  <c r="AF256" i="19" a="1"/>
  <c r="AF256" i="19" s="1"/>
  <c r="AE256" i="19"/>
  <c r="U256" i="19" a="1"/>
  <c r="U256" i="19" s="1"/>
  <c r="T256" i="19" a="1"/>
  <c r="T256" i="19" s="1"/>
  <c r="Q256" i="19"/>
  <c r="L256" i="19"/>
  <c r="J256" i="19"/>
  <c r="I256" i="19"/>
  <c r="K256" i="19" s="1"/>
  <c r="F256" i="19"/>
  <c r="AR255" i="19" a="1"/>
  <c r="AR255" i="19" s="1"/>
  <c r="AQ255" i="19"/>
  <c r="AF255" i="19" a="1"/>
  <c r="AF255" i="19" s="1"/>
  <c r="AE255" i="19"/>
  <c r="U255" i="19" a="1"/>
  <c r="U255" i="19" s="1"/>
  <c r="T255" i="19" a="1"/>
  <c r="T255" i="19" s="1"/>
  <c r="Q255" i="19"/>
  <c r="L255" i="19"/>
  <c r="V255" i="19" s="1"/>
  <c r="J255" i="19"/>
  <c r="I255" i="19"/>
  <c r="F255" i="19"/>
  <c r="AR254" i="19" a="1"/>
  <c r="AR254" i="19" s="1"/>
  <c r="AQ254" i="19"/>
  <c r="AF254" i="19" a="1"/>
  <c r="AF254" i="19" s="1"/>
  <c r="AE254" i="19"/>
  <c r="U254" i="19" a="1"/>
  <c r="U254" i="19" s="1"/>
  <c r="T254" i="19" a="1"/>
  <c r="T254" i="19" s="1"/>
  <c r="Q254" i="19"/>
  <c r="L254" i="19"/>
  <c r="J254" i="19"/>
  <c r="I254" i="19"/>
  <c r="O254" i="19" s="1" a="1"/>
  <c r="O254" i="19" s="1"/>
  <c r="F254" i="19"/>
  <c r="AR253" i="19" a="1"/>
  <c r="AR253" i="19" s="1"/>
  <c r="AQ253" i="19"/>
  <c r="AF253" i="19" a="1"/>
  <c r="AF253" i="19" s="1"/>
  <c r="AE253" i="19"/>
  <c r="U253" i="19" a="1"/>
  <c r="U253" i="19" s="1"/>
  <c r="T253" i="19" a="1"/>
  <c r="T253" i="19" s="1"/>
  <c r="Q253" i="19"/>
  <c r="L253" i="19"/>
  <c r="V253" i="19" s="1"/>
  <c r="J253" i="19"/>
  <c r="I253" i="19"/>
  <c r="F253" i="19"/>
  <c r="AR252" i="19" a="1"/>
  <c r="AR252" i="19" s="1"/>
  <c r="AQ252" i="19"/>
  <c r="AF252" i="19" a="1"/>
  <c r="AF252" i="19" s="1"/>
  <c r="AE252" i="19"/>
  <c r="U252" i="19" a="1"/>
  <c r="U252" i="19" s="1"/>
  <c r="T252" i="19" a="1"/>
  <c r="T252" i="19" s="1"/>
  <c r="Q252" i="19"/>
  <c r="L252" i="19"/>
  <c r="J252" i="19"/>
  <c r="I252" i="19"/>
  <c r="O252" i="19" s="1" a="1"/>
  <c r="O252" i="19" s="1"/>
  <c r="F252" i="19"/>
  <c r="AR251" i="19" a="1"/>
  <c r="AR251" i="19" s="1"/>
  <c r="AQ251" i="19"/>
  <c r="AF251" i="19" a="1"/>
  <c r="AF251" i="19" s="1"/>
  <c r="AE251" i="19"/>
  <c r="U251" i="19" a="1"/>
  <c r="U251" i="19" s="1"/>
  <c r="T251" i="19" a="1"/>
  <c r="T251" i="19" s="1"/>
  <c r="Q251" i="19"/>
  <c r="L251" i="19"/>
  <c r="V251" i="19" s="1"/>
  <c r="J251" i="19"/>
  <c r="I251" i="19"/>
  <c r="O251" i="19" s="1" a="1"/>
  <c r="O251" i="19" s="1"/>
  <c r="F251" i="19"/>
  <c r="AR250" i="19" a="1"/>
  <c r="AR250" i="19" s="1"/>
  <c r="AQ250" i="19"/>
  <c r="AF250" i="19" a="1"/>
  <c r="AF250" i="19" s="1"/>
  <c r="AE250" i="19"/>
  <c r="U250" i="19" a="1"/>
  <c r="U250" i="19" s="1"/>
  <c r="T250" i="19" a="1"/>
  <c r="T250" i="19" s="1"/>
  <c r="Q250" i="19"/>
  <c r="L250" i="19"/>
  <c r="J250" i="19"/>
  <c r="I250" i="19"/>
  <c r="O250" i="19" s="1" a="1"/>
  <c r="O250" i="19" s="1"/>
  <c r="F250" i="19"/>
  <c r="AR249" i="19" a="1"/>
  <c r="AR249" i="19" s="1"/>
  <c r="AQ249" i="19"/>
  <c r="AF249" i="19" a="1"/>
  <c r="AF249" i="19" s="1"/>
  <c r="AE249" i="19"/>
  <c r="U249" i="19" a="1"/>
  <c r="U249" i="19" s="1"/>
  <c r="T249" i="19" a="1"/>
  <c r="T249" i="19" s="1"/>
  <c r="Q249" i="19"/>
  <c r="L249" i="19"/>
  <c r="V249" i="19" s="1"/>
  <c r="J249" i="19"/>
  <c r="I249" i="19"/>
  <c r="F249" i="19"/>
  <c r="AR248" i="19" a="1"/>
  <c r="AR248" i="19" s="1"/>
  <c r="AQ248" i="19"/>
  <c r="AF248" i="19" a="1"/>
  <c r="AF248" i="19" s="1"/>
  <c r="AE248" i="19"/>
  <c r="U248" i="19" a="1"/>
  <c r="U248" i="19" s="1"/>
  <c r="T248" i="19" a="1"/>
  <c r="T248" i="19" s="1"/>
  <c r="Q248" i="19"/>
  <c r="L248" i="19"/>
  <c r="J248" i="19"/>
  <c r="I248" i="19"/>
  <c r="O248" i="19" s="1" a="1"/>
  <c r="O248" i="19" s="1"/>
  <c r="F248" i="19"/>
  <c r="AR247" i="19" a="1"/>
  <c r="AR247" i="19" s="1"/>
  <c r="AQ247" i="19"/>
  <c r="AF247" i="19" a="1"/>
  <c r="AF247" i="19" s="1"/>
  <c r="AE247" i="19"/>
  <c r="U247" i="19" a="1"/>
  <c r="U247" i="19" s="1"/>
  <c r="T247" i="19" a="1"/>
  <c r="T247" i="19" s="1"/>
  <c r="Q247" i="19"/>
  <c r="L247" i="19"/>
  <c r="V247" i="19" s="1"/>
  <c r="J247" i="19"/>
  <c r="I247" i="19"/>
  <c r="O247" i="19" s="1" a="1"/>
  <c r="O247" i="19" s="1"/>
  <c r="F247" i="19"/>
  <c r="AR246" i="19" a="1"/>
  <c r="AR246" i="19" s="1"/>
  <c r="AQ246" i="19"/>
  <c r="AF246" i="19" a="1"/>
  <c r="AF246" i="19" s="1"/>
  <c r="AE246" i="19"/>
  <c r="U246" i="19" a="1"/>
  <c r="U246" i="19" s="1"/>
  <c r="T246" i="19" a="1"/>
  <c r="T246" i="19" s="1"/>
  <c r="Q246" i="19"/>
  <c r="L246" i="19"/>
  <c r="V246" i="19" s="1"/>
  <c r="J246" i="19"/>
  <c r="I246" i="19"/>
  <c r="O246" i="19" s="1" a="1"/>
  <c r="O246" i="19" s="1"/>
  <c r="F246" i="19"/>
  <c r="AR245" i="19" a="1"/>
  <c r="AR245" i="19" s="1"/>
  <c r="AQ245" i="19"/>
  <c r="AF245" i="19" a="1"/>
  <c r="AF245" i="19" s="1"/>
  <c r="AE245" i="19"/>
  <c r="U245" i="19" a="1"/>
  <c r="U245" i="19" s="1"/>
  <c r="T245" i="19" a="1"/>
  <c r="T245" i="19" s="1"/>
  <c r="Q245" i="19"/>
  <c r="L245" i="19"/>
  <c r="V245" i="19" s="1"/>
  <c r="J245" i="19"/>
  <c r="I245" i="19"/>
  <c r="F245" i="19"/>
  <c r="AR244" i="19" a="1"/>
  <c r="AR244" i="19" s="1"/>
  <c r="AQ244" i="19"/>
  <c r="AF244" i="19" a="1"/>
  <c r="AF244" i="19" s="1"/>
  <c r="AE244" i="19"/>
  <c r="U244" i="19" a="1"/>
  <c r="U244" i="19" s="1"/>
  <c r="T244" i="19" a="1"/>
  <c r="T244" i="19" s="1"/>
  <c r="Q244" i="19"/>
  <c r="L244" i="19"/>
  <c r="V244" i="19" s="1"/>
  <c r="J244" i="19"/>
  <c r="I244" i="19"/>
  <c r="O244" i="19" s="1" a="1"/>
  <c r="O244" i="19" s="1"/>
  <c r="F244" i="19"/>
  <c r="AR243" i="19" a="1"/>
  <c r="AR243" i="19" s="1"/>
  <c r="AQ243" i="19"/>
  <c r="AF243" i="19" a="1"/>
  <c r="AF243" i="19" s="1"/>
  <c r="AE243" i="19"/>
  <c r="U243" i="19" a="1"/>
  <c r="U243" i="19" s="1"/>
  <c r="T243" i="19" a="1"/>
  <c r="T243" i="19" s="1"/>
  <c r="Q243" i="19"/>
  <c r="L243" i="19"/>
  <c r="V243" i="19" s="1"/>
  <c r="J243" i="19"/>
  <c r="I243" i="19"/>
  <c r="K243" i="19" s="1"/>
  <c r="F243" i="19"/>
  <c r="AR242" i="19" a="1"/>
  <c r="AR242" i="19" s="1"/>
  <c r="AQ242" i="19"/>
  <c r="AF242" i="19" a="1"/>
  <c r="AF242" i="19" s="1"/>
  <c r="AE242" i="19"/>
  <c r="U242" i="19" a="1"/>
  <c r="U242" i="19" s="1"/>
  <c r="T242" i="19" a="1"/>
  <c r="T242" i="19" s="1"/>
  <c r="Q242" i="19"/>
  <c r="L242" i="19"/>
  <c r="V242" i="19" s="1"/>
  <c r="J242" i="19"/>
  <c r="I242" i="19"/>
  <c r="F242" i="19"/>
  <c r="AR241" i="19" a="1"/>
  <c r="AR241" i="19" s="1"/>
  <c r="AQ241" i="19"/>
  <c r="AF241" i="19" a="1"/>
  <c r="AF241" i="19" s="1"/>
  <c r="AE241" i="19"/>
  <c r="U241" i="19" a="1"/>
  <c r="U241" i="19" s="1"/>
  <c r="T241" i="19" a="1"/>
  <c r="T241" i="19" s="1"/>
  <c r="Q241" i="19"/>
  <c r="L241" i="19"/>
  <c r="V241" i="19" s="1"/>
  <c r="J241" i="19"/>
  <c r="I241" i="19"/>
  <c r="F241" i="19"/>
  <c r="AR240" i="19" a="1"/>
  <c r="AR240" i="19" s="1"/>
  <c r="AQ240" i="19"/>
  <c r="AF240" i="19" a="1"/>
  <c r="AF240" i="19" s="1"/>
  <c r="AE240" i="19"/>
  <c r="U240" i="19" a="1"/>
  <c r="U240" i="19" s="1"/>
  <c r="T240" i="19" a="1"/>
  <c r="T240" i="19" s="1"/>
  <c r="Q240" i="19"/>
  <c r="L240" i="19"/>
  <c r="J240" i="19"/>
  <c r="I240" i="19"/>
  <c r="K240" i="19" s="1"/>
  <c r="F240" i="19"/>
  <c r="AR239" i="19" a="1"/>
  <c r="AR239" i="19" s="1"/>
  <c r="AQ239" i="19"/>
  <c r="AF239" i="19" a="1"/>
  <c r="AF239" i="19" s="1"/>
  <c r="AE239" i="19"/>
  <c r="U239" i="19" a="1"/>
  <c r="U239" i="19" s="1"/>
  <c r="T239" i="19" a="1"/>
  <c r="T239" i="19" s="1"/>
  <c r="Q239" i="19"/>
  <c r="L239" i="19"/>
  <c r="V239" i="19" s="1"/>
  <c r="J239" i="19"/>
  <c r="I239" i="19"/>
  <c r="K239" i="19" s="1"/>
  <c r="F239" i="19"/>
  <c r="AR238" i="19" a="1"/>
  <c r="AR238" i="19" s="1"/>
  <c r="AQ238" i="19"/>
  <c r="AF238" i="19" a="1"/>
  <c r="AF238" i="19" s="1"/>
  <c r="AE238" i="19"/>
  <c r="U238" i="19" a="1"/>
  <c r="U238" i="19" s="1"/>
  <c r="T238" i="19" a="1"/>
  <c r="T238" i="19" s="1"/>
  <c r="Q238" i="19"/>
  <c r="L238" i="19"/>
  <c r="J238" i="19"/>
  <c r="I238" i="19"/>
  <c r="O238" i="19" s="1" a="1"/>
  <c r="O238" i="19" s="1"/>
  <c r="F238" i="19"/>
  <c r="AR237" i="19" a="1"/>
  <c r="AR237" i="19" s="1"/>
  <c r="AQ237" i="19"/>
  <c r="AF237" i="19" a="1"/>
  <c r="AF237" i="19" s="1"/>
  <c r="AE237" i="19"/>
  <c r="U237" i="19" a="1"/>
  <c r="U237" i="19" s="1"/>
  <c r="T237" i="19" a="1"/>
  <c r="T237" i="19" s="1"/>
  <c r="Q237" i="19"/>
  <c r="L237" i="19"/>
  <c r="V237" i="19" s="1"/>
  <c r="J237" i="19"/>
  <c r="I237" i="19"/>
  <c r="F237" i="19"/>
  <c r="AR236" i="19" a="1"/>
  <c r="AR236" i="19" s="1"/>
  <c r="AQ236" i="19"/>
  <c r="AF236" i="19" a="1"/>
  <c r="AF236" i="19" s="1"/>
  <c r="AE236" i="19"/>
  <c r="U236" i="19" a="1"/>
  <c r="U236" i="19" s="1"/>
  <c r="T236" i="19" a="1"/>
  <c r="T236" i="19" s="1"/>
  <c r="Q236" i="19"/>
  <c r="L236" i="19"/>
  <c r="J236" i="19"/>
  <c r="I236" i="19"/>
  <c r="O236" i="19" s="1" a="1"/>
  <c r="O236" i="19" s="1"/>
  <c r="F236" i="19"/>
  <c r="AR235" i="19" a="1"/>
  <c r="AR235" i="19" s="1"/>
  <c r="AQ235" i="19"/>
  <c r="AF235" i="19" a="1"/>
  <c r="AF235" i="19" s="1"/>
  <c r="AE235" i="19"/>
  <c r="U235" i="19" a="1"/>
  <c r="U235" i="19" s="1"/>
  <c r="T235" i="19" a="1"/>
  <c r="T235" i="19" s="1"/>
  <c r="Q235" i="19"/>
  <c r="L235" i="19"/>
  <c r="V235" i="19" s="1"/>
  <c r="J235" i="19"/>
  <c r="I235" i="19"/>
  <c r="F235" i="19"/>
  <c r="AR234" i="19" a="1"/>
  <c r="AR234" i="19" s="1"/>
  <c r="AQ234" i="19"/>
  <c r="AF234" i="19" a="1"/>
  <c r="AF234" i="19" s="1"/>
  <c r="AE234" i="19"/>
  <c r="U234" i="19" a="1"/>
  <c r="U234" i="19" s="1"/>
  <c r="T234" i="19" a="1"/>
  <c r="T234" i="19" s="1"/>
  <c r="Q234" i="19"/>
  <c r="L234" i="19"/>
  <c r="J234" i="19"/>
  <c r="I234" i="19"/>
  <c r="O234" i="19" s="1" a="1"/>
  <c r="O234" i="19" s="1"/>
  <c r="F234" i="19"/>
  <c r="AR233" i="19" a="1"/>
  <c r="AR233" i="19" s="1"/>
  <c r="AQ233" i="19"/>
  <c r="AF233" i="19" a="1"/>
  <c r="AF233" i="19" s="1"/>
  <c r="AE233" i="19"/>
  <c r="U233" i="19" a="1"/>
  <c r="U233" i="19" s="1"/>
  <c r="T233" i="19" a="1"/>
  <c r="T233" i="19" s="1"/>
  <c r="Q233" i="19"/>
  <c r="L233" i="19"/>
  <c r="J233" i="19"/>
  <c r="I233" i="19"/>
  <c r="F233" i="19"/>
  <c r="AR232" i="19" a="1"/>
  <c r="AR232" i="19" s="1"/>
  <c r="AQ232" i="19"/>
  <c r="AF232" i="19" a="1"/>
  <c r="AF232" i="19" s="1"/>
  <c r="AE232" i="19"/>
  <c r="U232" i="19" a="1"/>
  <c r="U232" i="19" s="1"/>
  <c r="T232" i="19" a="1"/>
  <c r="T232" i="19" s="1"/>
  <c r="Q232" i="19"/>
  <c r="L232" i="19"/>
  <c r="J232" i="19"/>
  <c r="I232" i="19"/>
  <c r="K232" i="19" s="1"/>
  <c r="F232" i="19"/>
  <c r="AR231" i="19" a="1"/>
  <c r="AR231" i="19" s="1"/>
  <c r="AQ231" i="19"/>
  <c r="AF231" i="19" a="1"/>
  <c r="AF231" i="19" s="1"/>
  <c r="AE231" i="19"/>
  <c r="U231" i="19" a="1"/>
  <c r="U231" i="19" s="1"/>
  <c r="T231" i="19" a="1"/>
  <c r="T231" i="19" s="1"/>
  <c r="Q231" i="19"/>
  <c r="L231" i="19"/>
  <c r="J231" i="19"/>
  <c r="I231" i="19"/>
  <c r="F231" i="19"/>
  <c r="AR230" i="19" a="1"/>
  <c r="AR230" i="19" s="1"/>
  <c r="AQ230" i="19"/>
  <c r="AF230" i="19" a="1"/>
  <c r="AF230" i="19" s="1"/>
  <c r="AE230" i="19"/>
  <c r="U230" i="19" a="1"/>
  <c r="U230" i="19" s="1"/>
  <c r="T230" i="19" a="1"/>
  <c r="T230" i="19" s="1"/>
  <c r="Q230" i="19"/>
  <c r="L230" i="19"/>
  <c r="J230" i="19"/>
  <c r="I230" i="19"/>
  <c r="O230" i="19" s="1" a="1"/>
  <c r="O230" i="19" s="1"/>
  <c r="F230" i="19"/>
  <c r="AR229" i="19" a="1"/>
  <c r="AR229" i="19" s="1"/>
  <c r="AQ229" i="19"/>
  <c r="AF229" i="19" a="1"/>
  <c r="AF229" i="19" s="1"/>
  <c r="AE229" i="19"/>
  <c r="U229" i="19" a="1"/>
  <c r="U229" i="19" s="1"/>
  <c r="T229" i="19" a="1"/>
  <c r="T229" i="19" s="1"/>
  <c r="Q229" i="19"/>
  <c r="L229" i="19"/>
  <c r="V229" i="19" s="1"/>
  <c r="J229" i="19"/>
  <c r="I229" i="19"/>
  <c r="F229" i="19"/>
  <c r="AR228" i="19" a="1"/>
  <c r="AR228" i="19" s="1"/>
  <c r="AQ228" i="19"/>
  <c r="AF228" i="19" a="1"/>
  <c r="AF228" i="19" s="1"/>
  <c r="AE228" i="19"/>
  <c r="U228" i="19" a="1"/>
  <c r="U228" i="19" s="1"/>
  <c r="T228" i="19" a="1"/>
  <c r="T228" i="19" s="1"/>
  <c r="Q228" i="19"/>
  <c r="L228" i="19"/>
  <c r="V228" i="19" s="1"/>
  <c r="J228" i="19"/>
  <c r="I228" i="19"/>
  <c r="O228" i="19" s="1" a="1"/>
  <c r="O228" i="19" s="1"/>
  <c r="F228" i="19"/>
  <c r="AR227" i="19" a="1"/>
  <c r="AR227" i="19" s="1"/>
  <c r="AQ227" i="19"/>
  <c r="AF227" i="19" a="1"/>
  <c r="AF227" i="19" s="1"/>
  <c r="AE227" i="19"/>
  <c r="U227" i="19" a="1"/>
  <c r="U227" i="19" s="1"/>
  <c r="T227" i="19" a="1"/>
  <c r="T227" i="19" s="1"/>
  <c r="Q227" i="19"/>
  <c r="L227" i="19"/>
  <c r="J227" i="19"/>
  <c r="I227" i="19"/>
  <c r="F227" i="19"/>
  <c r="AR226" i="19" a="1"/>
  <c r="AR226" i="19" s="1"/>
  <c r="AQ226" i="19"/>
  <c r="AF226" i="19" a="1"/>
  <c r="AF226" i="19" s="1"/>
  <c r="AE226" i="19"/>
  <c r="U226" i="19" a="1"/>
  <c r="U226" i="19" s="1"/>
  <c r="T226" i="19" a="1"/>
  <c r="T226" i="19" s="1"/>
  <c r="Q226" i="19"/>
  <c r="L226" i="19"/>
  <c r="J226" i="19"/>
  <c r="I226" i="19"/>
  <c r="O226" i="19" s="1" a="1"/>
  <c r="O226" i="19" s="1"/>
  <c r="F226" i="19"/>
  <c r="AR225" i="19" a="1"/>
  <c r="AR225" i="19" s="1"/>
  <c r="AQ225" i="19"/>
  <c r="AF225" i="19" a="1"/>
  <c r="AF225" i="19" s="1"/>
  <c r="AE225" i="19"/>
  <c r="U225" i="19" a="1"/>
  <c r="U225" i="19" s="1"/>
  <c r="T225" i="19" a="1"/>
  <c r="T225" i="19" s="1"/>
  <c r="Q225" i="19"/>
  <c r="L225" i="19"/>
  <c r="V225" i="19" s="1"/>
  <c r="J225" i="19"/>
  <c r="I225" i="19"/>
  <c r="F225" i="19"/>
  <c r="AR224" i="19" a="1"/>
  <c r="AR224" i="19" s="1"/>
  <c r="AQ224" i="19"/>
  <c r="AF224" i="19" a="1"/>
  <c r="AF224" i="19" s="1"/>
  <c r="AE224" i="19"/>
  <c r="U224" i="19" a="1"/>
  <c r="U224" i="19" s="1"/>
  <c r="T224" i="19" a="1"/>
  <c r="T224" i="19" s="1"/>
  <c r="Q224" i="19"/>
  <c r="L224" i="19"/>
  <c r="J224" i="19"/>
  <c r="I224" i="19"/>
  <c r="K224" i="19" s="1"/>
  <c r="F224" i="19"/>
  <c r="AR223" i="19" a="1"/>
  <c r="AR223" i="19" s="1"/>
  <c r="AQ223" i="19"/>
  <c r="AF223" i="19" a="1"/>
  <c r="AF223" i="19" s="1"/>
  <c r="AE223" i="19"/>
  <c r="U223" i="19" a="1"/>
  <c r="U223" i="19" s="1"/>
  <c r="T223" i="19" a="1"/>
  <c r="T223" i="19" s="1"/>
  <c r="Q223" i="19"/>
  <c r="L223" i="19"/>
  <c r="V223" i="19" s="1"/>
  <c r="J223" i="19"/>
  <c r="I223" i="19"/>
  <c r="K223" i="19" s="1"/>
  <c r="F223" i="19"/>
  <c r="AR222" i="19" a="1"/>
  <c r="AR222" i="19" s="1"/>
  <c r="AQ222" i="19"/>
  <c r="AF222" i="19" a="1"/>
  <c r="AF222" i="19" s="1"/>
  <c r="AE222" i="19"/>
  <c r="U222" i="19" a="1"/>
  <c r="U222" i="19" s="1"/>
  <c r="T222" i="19" a="1"/>
  <c r="T222" i="19" s="1"/>
  <c r="Q222" i="19"/>
  <c r="L222" i="19"/>
  <c r="V222" i="19" s="1"/>
  <c r="J222" i="19"/>
  <c r="I222" i="19"/>
  <c r="F222" i="19"/>
  <c r="AR221" i="19" a="1"/>
  <c r="AR221" i="19" s="1"/>
  <c r="AQ221" i="19"/>
  <c r="AF221" i="19" a="1"/>
  <c r="AF221" i="19" s="1"/>
  <c r="AE221" i="19"/>
  <c r="U221" i="19" a="1"/>
  <c r="U221" i="19" s="1"/>
  <c r="T221" i="19" a="1"/>
  <c r="T221" i="19" s="1"/>
  <c r="Q221" i="19"/>
  <c r="L221" i="19"/>
  <c r="J221" i="19"/>
  <c r="I221" i="19"/>
  <c r="F221" i="19"/>
  <c r="AR220" i="19" a="1"/>
  <c r="AR220" i="19" s="1"/>
  <c r="AQ220" i="19"/>
  <c r="AF220" i="19" a="1"/>
  <c r="AF220" i="19" s="1"/>
  <c r="AE220" i="19"/>
  <c r="U220" i="19" a="1"/>
  <c r="U220" i="19" s="1"/>
  <c r="T220" i="19" a="1"/>
  <c r="T220" i="19" s="1"/>
  <c r="Q220" i="19"/>
  <c r="L220" i="19"/>
  <c r="V220" i="19" s="1"/>
  <c r="J220" i="19"/>
  <c r="I220" i="19"/>
  <c r="O220" i="19" s="1" a="1"/>
  <c r="O220" i="19" s="1"/>
  <c r="F220" i="19"/>
  <c r="AR219" i="19" a="1"/>
  <c r="AR219" i="19" s="1"/>
  <c r="AQ219" i="19"/>
  <c r="AF219" i="19" a="1"/>
  <c r="AF219" i="19" s="1"/>
  <c r="AE219" i="19"/>
  <c r="U219" i="19" a="1"/>
  <c r="U219" i="19" s="1"/>
  <c r="T219" i="19" a="1"/>
  <c r="T219" i="19" s="1"/>
  <c r="Q219" i="19"/>
  <c r="L219" i="19"/>
  <c r="J219" i="19"/>
  <c r="I219" i="19"/>
  <c r="K219" i="19" s="1"/>
  <c r="F219" i="19"/>
  <c r="AR218" i="19" a="1"/>
  <c r="AR218" i="19" s="1"/>
  <c r="AQ218" i="19"/>
  <c r="AF218" i="19" a="1"/>
  <c r="AF218" i="19" s="1"/>
  <c r="AE218" i="19"/>
  <c r="U218" i="19" a="1"/>
  <c r="U218" i="19" s="1"/>
  <c r="T218" i="19" a="1"/>
  <c r="T218" i="19" s="1"/>
  <c r="Q218" i="19"/>
  <c r="L218" i="19"/>
  <c r="J218" i="19"/>
  <c r="I218" i="19"/>
  <c r="K218" i="19" s="1"/>
  <c r="F218" i="19"/>
  <c r="AR217" i="19" a="1"/>
  <c r="AR217" i="19" s="1"/>
  <c r="AQ217" i="19"/>
  <c r="AF217" i="19" a="1"/>
  <c r="AF217" i="19" s="1"/>
  <c r="AE217" i="19"/>
  <c r="U217" i="19" a="1"/>
  <c r="U217" i="19" s="1"/>
  <c r="T217" i="19" a="1"/>
  <c r="T217" i="19" s="1"/>
  <c r="Q217" i="19"/>
  <c r="L217" i="19"/>
  <c r="J217" i="19"/>
  <c r="I217" i="19"/>
  <c r="O217" i="19" s="1" a="1"/>
  <c r="O217" i="19" s="1"/>
  <c r="F217" i="19"/>
  <c r="AR216" i="19" a="1"/>
  <c r="AR216" i="19" s="1"/>
  <c r="AQ216" i="19"/>
  <c r="AF216" i="19" a="1"/>
  <c r="AF216" i="19" s="1"/>
  <c r="AE216" i="19"/>
  <c r="U216" i="19" a="1"/>
  <c r="U216" i="19" s="1"/>
  <c r="T216" i="19" a="1"/>
  <c r="T216" i="19" s="1"/>
  <c r="Q216" i="19"/>
  <c r="L216" i="19"/>
  <c r="J216" i="19"/>
  <c r="I216" i="19"/>
  <c r="O216" i="19" s="1" a="1"/>
  <c r="O216" i="19" s="1"/>
  <c r="F216" i="19"/>
  <c r="AR215" i="19" a="1"/>
  <c r="AR215" i="19" s="1"/>
  <c r="AQ215" i="19"/>
  <c r="AF215" i="19" a="1"/>
  <c r="AF215" i="19" s="1"/>
  <c r="AE215" i="19"/>
  <c r="U215" i="19" a="1"/>
  <c r="U215" i="19" s="1"/>
  <c r="T215" i="19" a="1"/>
  <c r="T215" i="19" s="1"/>
  <c r="Q215" i="19"/>
  <c r="L215" i="19"/>
  <c r="J215" i="19"/>
  <c r="I215" i="19"/>
  <c r="F215" i="19"/>
  <c r="AR214" i="19" a="1"/>
  <c r="AR214" i="19" s="1"/>
  <c r="AQ214" i="19"/>
  <c r="AF214" i="19" a="1"/>
  <c r="AF214" i="19" s="1"/>
  <c r="AE214" i="19"/>
  <c r="U214" i="19" a="1"/>
  <c r="U214" i="19" s="1"/>
  <c r="T214" i="19" a="1"/>
  <c r="T214" i="19" s="1"/>
  <c r="Q214" i="19"/>
  <c r="L214" i="19"/>
  <c r="J214" i="19"/>
  <c r="I214" i="19"/>
  <c r="O214" i="19" s="1" a="1"/>
  <c r="O214" i="19" s="1"/>
  <c r="F214" i="19"/>
  <c r="AR213" i="19" a="1"/>
  <c r="AR213" i="19" s="1"/>
  <c r="AQ213" i="19"/>
  <c r="AF213" i="19" a="1"/>
  <c r="AF213" i="19" s="1"/>
  <c r="AE213" i="19"/>
  <c r="U213" i="19" a="1"/>
  <c r="U213" i="19" s="1"/>
  <c r="T213" i="19" a="1"/>
  <c r="T213" i="19" s="1"/>
  <c r="Q213" i="19"/>
  <c r="L213" i="19"/>
  <c r="J213" i="19"/>
  <c r="I213" i="19"/>
  <c r="O213" i="19" s="1" a="1"/>
  <c r="O213" i="19" s="1"/>
  <c r="F213" i="19"/>
  <c r="AR212" i="19" a="1"/>
  <c r="AR212" i="19" s="1"/>
  <c r="AQ212" i="19"/>
  <c r="AF212" i="19" a="1"/>
  <c r="AF212" i="19" s="1"/>
  <c r="AE212" i="19"/>
  <c r="U212" i="19" a="1"/>
  <c r="U212" i="19" s="1"/>
  <c r="T212" i="19" a="1"/>
  <c r="T212" i="19" s="1"/>
  <c r="Q212" i="19"/>
  <c r="L212" i="19"/>
  <c r="V212" i="19" s="1"/>
  <c r="J212" i="19"/>
  <c r="I212" i="19"/>
  <c r="O212" i="19" s="1" a="1"/>
  <c r="O212" i="19" s="1"/>
  <c r="F212" i="19"/>
  <c r="AR211" i="19" a="1"/>
  <c r="AR211" i="19" s="1"/>
  <c r="AQ211" i="19"/>
  <c r="AF211" i="19" a="1"/>
  <c r="AF211" i="19" s="1"/>
  <c r="AE211" i="19"/>
  <c r="U211" i="19" a="1"/>
  <c r="U211" i="19" s="1"/>
  <c r="T211" i="19" a="1"/>
  <c r="T211" i="19" s="1"/>
  <c r="Q211" i="19"/>
  <c r="L211" i="19"/>
  <c r="J211" i="19"/>
  <c r="I211" i="19"/>
  <c r="F211" i="19"/>
  <c r="AR210" i="19" a="1"/>
  <c r="AR210" i="19" s="1"/>
  <c r="AQ210" i="19"/>
  <c r="AF210" i="19" a="1"/>
  <c r="AF210" i="19" s="1"/>
  <c r="AE210" i="19"/>
  <c r="U210" i="19" a="1"/>
  <c r="U210" i="19" s="1"/>
  <c r="T210" i="19" a="1"/>
  <c r="T210" i="19" s="1"/>
  <c r="Q210" i="19"/>
  <c r="L210" i="19"/>
  <c r="J210" i="19"/>
  <c r="I210" i="19"/>
  <c r="O210" i="19" s="1" a="1"/>
  <c r="O210" i="19" s="1"/>
  <c r="F210" i="19"/>
  <c r="AR209" i="19" a="1"/>
  <c r="AR209" i="19" s="1"/>
  <c r="AQ209" i="19"/>
  <c r="AF209" i="19" a="1"/>
  <c r="AF209" i="19" s="1"/>
  <c r="AE209" i="19"/>
  <c r="U209" i="19" a="1"/>
  <c r="U209" i="19" s="1"/>
  <c r="T209" i="19" a="1"/>
  <c r="T209" i="19" s="1"/>
  <c r="Q209" i="19"/>
  <c r="L209" i="19"/>
  <c r="V209" i="19" s="1"/>
  <c r="J209" i="19"/>
  <c r="I209" i="19"/>
  <c r="F209" i="19"/>
  <c r="AR208" i="19" a="1"/>
  <c r="AR208" i="19" s="1"/>
  <c r="AQ208" i="19"/>
  <c r="AF208" i="19" a="1"/>
  <c r="AF208" i="19" s="1"/>
  <c r="AE208" i="19"/>
  <c r="U208" i="19" a="1"/>
  <c r="U208" i="19" s="1"/>
  <c r="T208" i="19" a="1"/>
  <c r="T208" i="19" s="1"/>
  <c r="Q208" i="19"/>
  <c r="L208" i="19"/>
  <c r="J208" i="19"/>
  <c r="I208" i="19"/>
  <c r="O208" i="19" s="1" a="1"/>
  <c r="O208" i="19" s="1"/>
  <c r="F208" i="19"/>
  <c r="AR207" i="19" a="1"/>
  <c r="AR207" i="19" s="1"/>
  <c r="AQ207" i="19"/>
  <c r="AF207" i="19" a="1"/>
  <c r="AF207" i="19" s="1"/>
  <c r="AE207" i="19"/>
  <c r="U207" i="19" a="1"/>
  <c r="U207" i="19" s="1"/>
  <c r="T207" i="19" a="1"/>
  <c r="T207" i="19" s="1"/>
  <c r="Q207" i="19"/>
  <c r="L207" i="19"/>
  <c r="V207" i="19" s="1"/>
  <c r="J207" i="19"/>
  <c r="I207" i="19"/>
  <c r="K207" i="19" s="1"/>
  <c r="F207" i="19"/>
  <c r="AR206" i="19" a="1"/>
  <c r="AR206" i="19" s="1"/>
  <c r="AQ206" i="19"/>
  <c r="AF206" i="19" a="1"/>
  <c r="AF206" i="19" s="1"/>
  <c r="AE206" i="19"/>
  <c r="U206" i="19" a="1"/>
  <c r="U206" i="19" s="1"/>
  <c r="T206" i="19" a="1"/>
  <c r="T206" i="19" s="1"/>
  <c r="Q206" i="19"/>
  <c r="L206" i="19"/>
  <c r="J206" i="19"/>
  <c r="I206" i="19"/>
  <c r="F206" i="19"/>
  <c r="AR205" i="19" a="1"/>
  <c r="AR205" i="19" s="1"/>
  <c r="AQ205" i="19"/>
  <c r="AF205" i="19" a="1"/>
  <c r="AF205" i="19" s="1"/>
  <c r="AE205" i="19"/>
  <c r="U205" i="19" a="1"/>
  <c r="U205" i="19" s="1"/>
  <c r="T205" i="19" a="1"/>
  <c r="T205" i="19" s="1"/>
  <c r="Q205" i="19"/>
  <c r="L205" i="19"/>
  <c r="J205" i="19"/>
  <c r="I205" i="19"/>
  <c r="K205" i="19" s="1"/>
  <c r="F205" i="19"/>
  <c r="AR204" i="19" a="1"/>
  <c r="AR204" i="19" s="1"/>
  <c r="AQ204" i="19"/>
  <c r="AF204" i="19" a="1"/>
  <c r="AF204" i="19" s="1"/>
  <c r="AE204" i="19"/>
  <c r="U204" i="19" a="1"/>
  <c r="U204" i="19" s="1"/>
  <c r="T204" i="19" a="1"/>
  <c r="T204" i="19" s="1"/>
  <c r="Q204" i="19"/>
  <c r="L204" i="19"/>
  <c r="J204" i="19"/>
  <c r="I204" i="19"/>
  <c r="O204" i="19" s="1" a="1"/>
  <c r="O204" i="19" s="1"/>
  <c r="F204" i="19"/>
  <c r="AR203" i="19" a="1"/>
  <c r="AR203" i="19" s="1"/>
  <c r="AQ203" i="19"/>
  <c r="AF203" i="19" a="1"/>
  <c r="AF203" i="19" s="1"/>
  <c r="AE203" i="19"/>
  <c r="U203" i="19" a="1"/>
  <c r="U203" i="19" s="1"/>
  <c r="T203" i="19" a="1"/>
  <c r="T203" i="19" s="1"/>
  <c r="Q203" i="19"/>
  <c r="L203" i="19"/>
  <c r="J203" i="19"/>
  <c r="I203" i="19"/>
  <c r="K203" i="19" s="1"/>
  <c r="F203" i="19"/>
  <c r="AR202" i="19" a="1"/>
  <c r="AR202" i="19" s="1"/>
  <c r="AQ202" i="19"/>
  <c r="AF202" i="19" a="1"/>
  <c r="AF202" i="19" s="1"/>
  <c r="AE202" i="19"/>
  <c r="U202" i="19" a="1"/>
  <c r="U202" i="19" s="1"/>
  <c r="T202" i="19" a="1"/>
  <c r="T202" i="19" s="1"/>
  <c r="Q202" i="19"/>
  <c r="L202" i="19"/>
  <c r="J202" i="19"/>
  <c r="I202" i="19"/>
  <c r="K202" i="19" s="1"/>
  <c r="F202" i="19"/>
  <c r="AR201" i="19" a="1"/>
  <c r="AR201" i="19" s="1"/>
  <c r="AQ201" i="19"/>
  <c r="AF201" i="19" a="1"/>
  <c r="AF201" i="19" s="1"/>
  <c r="AE201" i="19"/>
  <c r="U201" i="19" a="1"/>
  <c r="U201" i="19" s="1"/>
  <c r="T201" i="19" a="1"/>
  <c r="T201" i="19" s="1"/>
  <c r="Q201" i="19"/>
  <c r="L201" i="19"/>
  <c r="J201" i="19"/>
  <c r="I201" i="19"/>
  <c r="O201" i="19" s="1" a="1"/>
  <c r="O201" i="19" s="1"/>
  <c r="F201" i="19"/>
  <c r="AR200" i="19" a="1"/>
  <c r="AR200" i="19" s="1"/>
  <c r="AQ200" i="19"/>
  <c r="AF200" i="19" a="1"/>
  <c r="AF200" i="19" s="1"/>
  <c r="AE200" i="19"/>
  <c r="U200" i="19" a="1"/>
  <c r="U200" i="19" s="1"/>
  <c r="T200" i="19" a="1"/>
  <c r="T200" i="19" s="1"/>
  <c r="Q200" i="19"/>
  <c r="L200" i="19"/>
  <c r="V200" i="19" s="1"/>
  <c r="J200" i="19"/>
  <c r="I200" i="19"/>
  <c r="O200" i="19" s="1" a="1"/>
  <c r="O200" i="19" s="1"/>
  <c r="F200" i="19"/>
  <c r="AR199" i="19" a="1"/>
  <c r="AR199" i="19" s="1"/>
  <c r="AQ199" i="19"/>
  <c r="AF199" i="19" a="1"/>
  <c r="AF199" i="19" s="1"/>
  <c r="AE199" i="19"/>
  <c r="U199" i="19" a="1"/>
  <c r="U199" i="19" s="1"/>
  <c r="T199" i="19" a="1"/>
  <c r="T199" i="19" s="1"/>
  <c r="Q199" i="19"/>
  <c r="L199" i="19"/>
  <c r="J199" i="19"/>
  <c r="I199" i="19"/>
  <c r="K199" i="19" s="1"/>
  <c r="F199" i="19"/>
  <c r="AR198" i="19" a="1"/>
  <c r="AR198" i="19" s="1"/>
  <c r="AQ198" i="19"/>
  <c r="AF198" i="19" a="1"/>
  <c r="AF198" i="19" s="1"/>
  <c r="AE198" i="19"/>
  <c r="U198" i="19" a="1"/>
  <c r="U198" i="19" s="1"/>
  <c r="T198" i="19" a="1"/>
  <c r="T198" i="19" s="1"/>
  <c r="Q198" i="19"/>
  <c r="L198" i="19"/>
  <c r="V198" i="19" s="1"/>
  <c r="J198" i="19"/>
  <c r="I198" i="19"/>
  <c r="O198" i="19" s="1" a="1"/>
  <c r="O198" i="19" s="1"/>
  <c r="F198" i="19"/>
  <c r="AR197" i="19" a="1"/>
  <c r="AR197" i="19" s="1"/>
  <c r="AQ197" i="19"/>
  <c r="AF197" i="19" a="1"/>
  <c r="AF197" i="19" s="1"/>
  <c r="AE197" i="19"/>
  <c r="U197" i="19" a="1"/>
  <c r="U197" i="19" s="1"/>
  <c r="T197" i="19" a="1"/>
  <c r="T197" i="19" s="1"/>
  <c r="Q197" i="19"/>
  <c r="L197" i="19"/>
  <c r="V197" i="19" s="1"/>
  <c r="J197" i="19"/>
  <c r="I197" i="19"/>
  <c r="F197" i="19"/>
  <c r="AR196" i="19" a="1"/>
  <c r="AR196" i="19" s="1"/>
  <c r="AQ196" i="19"/>
  <c r="AF196" i="19" a="1"/>
  <c r="AF196" i="19" s="1"/>
  <c r="AE196" i="19"/>
  <c r="U196" i="19" a="1"/>
  <c r="U196" i="19" s="1"/>
  <c r="T196" i="19" a="1"/>
  <c r="T196" i="19" s="1"/>
  <c r="Q196" i="19"/>
  <c r="L196" i="19"/>
  <c r="J196" i="19"/>
  <c r="I196" i="19"/>
  <c r="O196" i="19" s="1" a="1"/>
  <c r="O196" i="19" s="1"/>
  <c r="F196" i="19"/>
  <c r="AR195" i="19" a="1"/>
  <c r="AR195" i="19" s="1"/>
  <c r="AQ195" i="19"/>
  <c r="AF195" i="19" a="1"/>
  <c r="AF195" i="19" s="1"/>
  <c r="AE195" i="19"/>
  <c r="U195" i="19" a="1"/>
  <c r="U195" i="19" s="1"/>
  <c r="T195" i="19" a="1"/>
  <c r="T195" i="19" s="1"/>
  <c r="Q195" i="19"/>
  <c r="L195" i="19"/>
  <c r="V195" i="19" s="1"/>
  <c r="J195" i="19"/>
  <c r="I195" i="19"/>
  <c r="K195" i="19" s="1"/>
  <c r="F195" i="19"/>
  <c r="AR194" i="19" a="1"/>
  <c r="AR194" i="19" s="1"/>
  <c r="AQ194" i="19"/>
  <c r="AF194" i="19" a="1"/>
  <c r="AF194" i="19" s="1"/>
  <c r="AE194" i="19"/>
  <c r="U194" i="19" a="1"/>
  <c r="U194" i="19" s="1"/>
  <c r="T194" i="19" a="1"/>
  <c r="T194" i="19" s="1"/>
  <c r="Q194" i="19"/>
  <c r="L194" i="19"/>
  <c r="V194" i="19" s="1"/>
  <c r="J194" i="19"/>
  <c r="I194" i="19"/>
  <c r="F194" i="19"/>
  <c r="AR193" i="19" a="1"/>
  <c r="AR193" i="19" s="1"/>
  <c r="AQ193" i="19"/>
  <c r="AF193" i="19" a="1"/>
  <c r="AF193" i="19" s="1"/>
  <c r="AE193" i="19"/>
  <c r="U193" i="19" a="1"/>
  <c r="U193" i="19" s="1"/>
  <c r="T193" i="19" a="1"/>
  <c r="T193" i="19" s="1"/>
  <c r="Q193" i="19"/>
  <c r="L193" i="19"/>
  <c r="V193" i="19" s="1"/>
  <c r="J193" i="19"/>
  <c r="I193" i="19"/>
  <c r="O193" i="19" s="1" a="1"/>
  <c r="O193" i="19" s="1"/>
  <c r="F193" i="19"/>
  <c r="AR192" i="19" a="1"/>
  <c r="AR192" i="19" s="1"/>
  <c r="AQ192" i="19"/>
  <c r="AF192" i="19" a="1"/>
  <c r="AF192" i="19" s="1"/>
  <c r="AE192" i="19"/>
  <c r="U192" i="19" a="1"/>
  <c r="U192" i="19" s="1"/>
  <c r="T192" i="19" a="1"/>
  <c r="T192" i="19" s="1"/>
  <c r="Q192" i="19"/>
  <c r="L192" i="19"/>
  <c r="J192" i="19"/>
  <c r="I192" i="19"/>
  <c r="O192" i="19" s="1" a="1"/>
  <c r="O192" i="19" s="1"/>
  <c r="F192" i="19"/>
  <c r="AR191" i="19" a="1"/>
  <c r="AR191" i="19" s="1"/>
  <c r="AQ191" i="19"/>
  <c r="AF191" i="19" a="1"/>
  <c r="AF191" i="19" s="1"/>
  <c r="AE191" i="19"/>
  <c r="U191" i="19" a="1"/>
  <c r="U191" i="19" s="1"/>
  <c r="T191" i="19" a="1"/>
  <c r="T191" i="19" s="1"/>
  <c r="Q191" i="19"/>
  <c r="L191" i="19"/>
  <c r="J191" i="19"/>
  <c r="I191" i="19"/>
  <c r="K191" i="19" s="1"/>
  <c r="F191" i="19"/>
  <c r="AR190" i="19" a="1"/>
  <c r="AR190" i="19" s="1"/>
  <c r="AQ190" i="19"/>
  <c r="AF190" i="19" a="1"/>
  <c r="AF190" i="19" s="1"/>
  <c r="AE190" i="19"/>
  <c r="U190" i="19" a="1"/>
  <c r="U190" i="19" s="1"/>
  <c r="T190" i="19" a="1"/>
  <c r="T190" i="19" s="1"/>
  <c r="Q190" i="19"/>
  <c r="L190" i="19"/>
  <c r="V190" i="19" s="1"/>
  <c r="J190" i="19"/>
  <c r="I190" i="19"/>
  <c r="O190" i="19" s="1" a="1"/>
  <c r="O190" i="19" s="1"/>
  <c r="F190" i="19"/>
  <c r="AR189" i="19" a="1"/>
  <c r="AR189" i="19" s="1"/>
  <c r="AQ189" i="19"/>
  <c r="AF189" i="19" a="1"/>
  <c r="AF189" i="19" s="1"/>
  <c r="AE189" i="19"/>
  <c r="U189" i="19" a="1"/>
  <c r="U189" i="19" s="1"/>
  <c r="T189" i="19" a="1"/>
  <c r="T189" i="19" s="1"/>
  <c r="Q189" i="19"/>
  <c r="L189" i="19"/>
  <c r="V189" i="19" s="1"/>
  <c r="J189" i="19"/>
  <c r="I189" i="19"/>
  <c r="K189" i="19" s="1"/>
  <c r="F189" i="19"/>
  <c r="AR188" i="19" a="1"/>
  <c r="AR188" i="19" s="1"/>
  <c r="AQ188" i="19"/>
  <c r="AF188" i="19" a="1"/>
  <c r="AF188" i="19" s="1"/>
  <c r="AE188" i="19"/>
  <c r="U188" i="19" a="1"/>
  <c r="U188" i="19" s="1"/>
  <c r="T188" i="19" a="1"/>
  <c r="T188" i="19" s="1"/>
  <c r="Q188" i="19"/>
  <c r="L188" i="19"/>
  <c r="J188" i="19"/>
  <c r="I188" i="19"/>
  <c r="O188" i="19" s="1" a="1"/>
  <c r="O188" i="19" s="1"/>
  <c r="F188" i="19"/>
  <c r="AR187" i="19" a="1"/>
  <c r="AR187" i="19" s="1"/>
  <c r="AQ187" i="19"/>
  <c r="AF187" i="19" a="1"/>
  <c r="AF187" i="19" s="1"/>
  <c r="AE187" i="19"/>
  <c r="U187" i="19" a="1"/>
  <c r="U187" i="19" s="1"/>
  <c r="T187" i="19" a="1"/>
  <c r="T187" i="19" s="1"/>
  <c r="Q187" i="19"/>
  <c r="L187" i="19"/>
  <c r="V187" i="19" s="1"/>
  <c r="J187" i="19"/>
  <c r="I187" i="19"/>
  <c r="F187" i="19"/>
  <c r="AR186" i="19" a="1"/>
  <c r="AR186" i="19" s="1"/>
  <c r="AQ186" i="19"/>
  <c r="AF186" i="19" a="1"/>
  <c r="AF186" i="19" s="1"/>
  <c r="AE186" i="19"/>
  <c r="U186" i="19" a="1"/>
  <c r="U186" i="19" s="1"/>
  <c r="T186" i="19" a="1"/>
  <c r="T186" i="19" s="1"/>
  <c r="Q186" i="19"/>
  <c r="L186" i="19"/>
  <c r="J186" i="19"/>
  <c r="I186" i="19"/>
  <c r="F186" i="19"/>
  <c r="AR185" i="19" a="1"/>
  <c r="AR185" i="19" s="1"/>
  <c r="AQ185" i="19"/>
  <c r="AF185" i="19" a="1"/>
  <c r="AF185" i="19" s="1"/>
  <c r="AE185" i="19"/>
  <c r="U185" i="19" a="1"/>
  <c r="U185" i="19" s="1"/>
  <c r="T185" i="19" a="1"/>
  <c r="T185" i="19" s="1"/>
  <c r="Q185" i="19"/>
  <c r="L185" i="19"/>
  <c r="V185" i="19" s="1"/>
  <c r="J185" i="19"/>
  <c r="I185" i="19"/>
  <c r="O185" i="19" s="1" a="1"/>
  <c r="O185" i="19" s="1"/>
  <c r="F185" i="19"/>
  <c r="AR184" i="19" a="1"/>
  <c r="AR184" i="19" s="1"/>
  <c r="AQ184" i="19"/>
  <c r="AF184" i="19" a="1"/>
  <c r="AF184" i="19" s="1"/>
  <c r="AE184" i="19"/>
  <c r="U184" i="19" a="1"/>
  <c r="U184" i="19" s="1"/>
  <c r="T184" i="19" a="1"/>
  <c r="T184" i="19" s="1"/>
  <c r="Q184" i="19"/>
  <c r="L184" i="19"/>
  <c r="J184" i="19"/>
  <c r="I184" i="19"/>
  <c r="F184" i="19"/>
  <c r="AR183" i="19" a="1"/>
  <c r="AR183" i="19" s="1"/>
  <c r="AQ183" i="19"/>
  <c r="AF183" i="19" a="1"/>
  <c r="AF183" i="19" s="1"/>
  <c r="AE183" i="19"/>
  <c r="U183" i="19" a="1"/>
  <c r="U183" i="19" s="1"/>
  <c r="T183" i="19" a="1"/>
  <c r="T183" i="19" s="1"/>
  <c r="Q183" i="19"/>
  <c r="L183" i="19"/>
  <c r="J183" i="19"/>
  <c r="I183" i="19"/>
  <c r="O183" i="19" s="1" a="1"/>
  <c r="O183" i="19" s="1"/>
  <c r="F183" i="19"/>
  <c r="AR182" i="19" a="1"/>
  <c r="AR182" i="19" s="1"/>
  <c r="AQ182" i="19"/>
  <c r="AF182" i="19" a="1"/>
  <c r="AF182" i="19" s="1"/>
  <c r="AE182" i="19"/>
  <c r="U182" i="19" a="1"/>
  <c r="U182" i="19" s="1"/>
  <c r="T182" i="19" a="1"/>
  <c r="T182" i="19" s="1"/>
  <c r="Q182" i="19"/>
  <c r="L182" i="19"/>
  <c r="J182" i="19"/>
  <c r="I182" i="19"/>
  <c r="O182" i="19" s="1" a="1"/>
  <c r="O182" i="19" s="1"/>
  <c r="F182" i="19"/>
  <c r="AR181" i="19" a="1"/>
  <c r="AR181" i="19" s="1"/>
  <c r="AQ181" i="19"/>
  <c r="AF181" i="19" a="1"/>
  <c r="AF181" i="19" s="1"/>
  <c r="AE181" i="19"/>
  <c r="U181" i="19" a="1"/>
  <c r="U181" i="19" s="1"/>
  <c r="T181" i="19" a="1"/>
  <c r="T181" i="19" s="1"/>
  <c r="Q181" i="19"/>
  <c r="L181" i="19"/>
  <c r="V181" i="19" s="1"/>
  <c r="J181" i="19"/>
  <c r="I181" i="19"/>
  <c r="K181" i="19" s="1"/>
  <c r="F181" i="19"/>
  <c r="AR180" i="19" a="1"/>
  <c r="AR180" i="19" s="1"/>
  <c r="AQ180" i="19"/>
  <c r="AF180" i="19" a="1"/>
  <c r="AF180" i="19" s="1"/>
  <c r="AE180" i="19"/>
  <c r="U180" i="19" a="1"/>
  <c r="U180" i="19" s="1"/>
  <c r="T180" i="19" a="1"/>
  <c r="T180" i="19" s="1"/>
  <c r="Q180" i="19"/>
  <c r="L180" i="19"/>
  <c r="J180" i="19"/>
  <c r="I180" i="19"/>
  <c r="K180" i="19" s="1"/>
  <c r="F180" i="19"/>
  <c r="AR179" i="19" a="1"/>
  <c r="AR179" i="19" s="1"/>
  <c r="AQ179" i="19"/>
  <c r="AF179" i="19" a="1"/>
  <c r="AF179" i="19" s="1"/>
  <c r="AE179" i="19"/>
  <c r="U179" i="19" a="1"/>
  <c r="U179" i="19" s="1"/>
  <c r="T179" i="19" a="1"/>
  <c r="T179" i="19" s="1"/>
  <c r="Q179" i="19"/>
  <c r="L179" i="19"/>
  <c r="V179" i="19" s="1"/>
  <c r="J179" i="19"/>
  <c r="I179" i="19"/>
  <c r="O179" i="19" s="1" a="1"/>
  <c r="O179" i="19" s="1"/>
  <c r="F179" i="19"/>
  <c r="AR178" i="19" a="1"/>
  <c r="AR178" i="19" s="1"/>
  <c r="AQ178" i="19"/>
  <c r="AF178" i="19" a="1"/>
  <c r="AF178" i="19" s="1"/>
  <c r="AE178" i="19"/>
  <c r="U178" i="19" a="1"/>
  <c r="U178" i="19" s="1"/>
  <c r="T178" i="19" a="1"/>
  <c r="T178" i="19" s="1"/>
  <c r="Q178" i="19"/>
  <c r="L178" i="19"/>
  <c r="V178" i="19" s="1"/>
  <c r="J178" i="19"/>
  <c r="I178" i="19"/>
  <c r="O178" i="19" s="1" a="1"/>
  <c r="O178" i="19" s="1"/>
  <c r="F178" i="19"/>
  <c r="AR177" i="19" a="1"/>
  <c r="AR177" i="19" s="1"/>
  <c r="AQ177" i="19"/>
  <c r="AF177" i="19" a="1"/>
  <c r="AF177" i="19" s="1"/>
  <c r="AE177" i="19"/>
  <c r="U177" i="19" a="1"/>
  <c r="U177" i="19" s="1"/>
  <c r="T177" i="19" a="1"/>
  <c r="T177" i="19" s="1"/>
  <c r="Q177" i="19"/>
  <c r="L177" i="19"/>
  <c r="V177" i="19" s="1"/>
  <c r="J177" i="19"/>
  <c r="I177" i="19"/>
  <c r="O177" i="19" s="1" a="1"/>
  <c r="O177" i="19" s="1"/>
  <c r="F177" i="19"/>
  <c r="AR176" i="19" a="1"/>
  <c r="AR176" i="19" s="1"/>
  <c r="AQ176" i="19"/>
  <c r="AF176" i="19" a="1"/>
  <c r="AF176" i="19" s="1"/>
  <c r="AE176" i="19"/>
  <c r="U176" i="19" a="1"/>
  <c r="U176" i="19" s="1"/>
  <c r="T176" i="19" a="1"/>
  <c r="T176" i="19" s="1"/>
  <c r="Q176" i="19"/>
  <c r="L176" i="19"/>
  <c r="J176" i="19"/>
  <c r="I176" i="19"/>
  <c r="K176" i="19" s="1"/>
  <c r="F176" i="19"/>
  <c r="AR175" i="19" a="1"/>
  <c r="AR175" i="19" s="1"/>
  <c r="AQ175" i="19"/>
  <c r="AF175" i="19" a="1"/>
  <c r="AF175" i="19" s="1"/>
  <c r="AE175" i="19"/>
  <c r="U175" i="19" a="1"/>
  <c r="U175" i="19" s="1"/>
  <c r="T175" i="19" a="1"/>
  <c r="T175" i="19" s="1"/>
  <c r="Q175" i="19"/>
  <c r="L175" i="19"/>
  <c r="V175" i="19" s="1"/>
  <c r="J175" i="19"/>
  <c r="I175" i="19"/>
  <c r="F175" i="19"/>
  <c r="AQ174" i="19"/>
  <c r="AE174" i="19"/>
  <c r="T174" i="19" a="1"/>
  <c r="T174" i="19" s="1"/>
  <c r="J174" i="19"/>
  <c r="AQ173" i="19"/>
  <c r="AE173" i="19"/>
  <c r="T173" i="19" a="1"/>
  <c r="T173" i="19" s="1"/>
  <c r="J173" i="19"/>
  <c r="AQ172" i="19"/>
  <c r="AE172" i="19"/>
  <c r="T172" i="19" a="1"/>
  <c r="T172" i="19" s="1"/>
  <c r="J172" i="19"/>
  <c r="AQ171" i="19"/>
  <c r="AE171" i="19"/>
  <c r="T171" i="19" a="1"/>
  <c r="T171" i="19" s="1"/>
  <c r="J171" i="19"/>
  <c r="AQ170" i="19"/>
  <c r="AE170" i="19"/>
  <c r="T170" i="19" a="1"/>
  <c r="T170" i="19" s="1"/>
  <c r="J170" i="19"/>
  <c r="AQ169" i="19"/>
  <c r="AE169" i="19"/>
  <c r="T169" i="19" a="1"/>
  <c r="T169" i="19" s="1"/>
  <c r="J169" i="19"/>
  <c r="AQ168" i="19"/>
  <c r="AE168" i="19"/>
  <c r="T168" i="19" a="1"/>
  <c r="T168" i="19" s="1"/>
  <c r="J168" i="19"/>
  <c r="AQ167" i="19"/>
  <c r="AE167" i="19"/>
  <c r="T167" i="19" a="1"/>
  <c r="T167" i="19" s="1"/>
  <c r="J167" i="19"/>
  <c r="AQ166" i="19"/>
  <c r="AE166" i="19"/>
  <c r="T166" i="19" a="1"/>
  <c r="T166" i="19" s="1"/>
  <c r="J166" i="19"/>
  <c r="AQ165" i="19"/>
  <c r="AE165" i="19"/>
  <c r="T165" i="19" a="1"/>
  <c r="T165" i="19" s="1"/>
  <c r="J165" i="19"/>
  <c r="AQ164" i="19"/>
  <c r="AE164" i="19"/>
  <c r="T164" i="19" a="1"/>
  <c r="T164" i="19" s="1"/>
  <c r="J164" i="19"/>
  <c r="AQ163" i="19"/>
  <c r="AE163" i="19"/>
  <c r="T163" i="19" a="1"/>
  <c r="T163" i="19" s="1"/>
  <c r="J163" i="19"/>
  <c r="AQ162" i="19"/>
  <c r="AE162" i="19"/>
  <c r="T162" i="19" a="1"/>
  <c r="T162" i="19" s="1"/>
  <c r="J162" i="19"/>
  <c r="AQ161" i="19"/>
  <c r="AE161" i="19"/>
  <c r="T161" i="19" a="1"/>
  <c r="T161" i="19" s="1"/>
  <c r="J161" i="19"/>
  <c r="AQ160" i="19"/>
  <c r="AE160" i="19"/>
  <c r="T160" i="19" a="1"/>
  <c r="T160" i="19" s="1"/>
  <c r="J160" i="19"/>
  <c r="AQ159" i="19"/>
  <c r="AE159" i="19"/>
  <c r="T159" i="19" a="1"/>
  <c r="T159" i="19" s="1"/>
  <c r="J159" i="19"/>
  <c r="AQ158" i="19"/>
  <c r="AE158" i="19"/>
  <c r="T158" i="19" a="1"/>
  <c r="T158" i="19" s="1"/>
  <c r="J158" i="19"/>
  <c r="AQ157" i="19"/>
  <c r="AE157" i="19"/>
  <c r="T157" i="19" a="1"/>
  <c r="T157" i="19" s="1"/>
  <c r="J157" i="19"/>
  <c r="AQ156" i="19"/>
  <c r="AE156" i="19"/>
  <c r="T156" i="19" a="1"/>
  <c r="T156" i="19" s="1"/>
  <c r="J156" i="19"/>
  <c r="AQ155" i="19"/>
  <c r="AE155" i="19"/>
  <c r="T155" i="19" a="1"/>
  <c r="T155" i="19" s="1"/>
  <c r="J155" i="19"/>
  <c r="AQ154" i="19"/>
  <c r="AE154" i="19"/>
  <c r="T154" i="19" a="1"/>
  <c r="T154" i="19" s="1"/>
  <c r="J154" i="19"/>
  <c r="AQ153" i="19"/>
  <c r="AE153" i="19"/>
  <c r="T153" i="19" a="1"/>
  <c r="T153" i="19" s="1"/>
  <c r="J153" i="19"/>
  <c r="AQ152" i="19"/>
  <c r="AE152" i="19"/>
  <c r="T152" i="19" a="1"/>
  <c r="T152" i="19" s="1"/>
  <c r="J152" i="19"/>
  <c r="AQ151" i="19"/>
  <c r="AE151" i="19"/>
  <c r="T151" i="19" a="1"/>
  <c r="T151" i="19" s="1"/>
  <c r="J151" i="19"/>
  <c r="AQ150" i="19"/>
  <c r="AE150" i="19"/>
  <c r="T150" i="19" a="1"/>
  <c r="T150" i="19" s="1"/>
  <c r="J150" i="19"/>
  <c r="AQ149" i="19"/>
  <c r="AE149" i="19"/>
  <c r="T149" i="19" a="1"/>
  <c r="T149" i="19" s="1"/>
  <c r="J149" i="19"/>
  <c r="AQ148" i="19"/>
  <c r="AE148" i="19"/>
  <c r="T148" i="19" a="1"/>
  <c r="T148" i="19" s="1"/>
  <c r="J148" i="19"/>
  <c r="AQ147" i="19"/>
  <c r="AE147" i="19"/>
  <c r="T147" i="19" a="1"/>
  <c r="T147" i="19" s="1"/>
  <c r="J147" i="19"/>
  <c r="AQ146" i="19"/>
  <c r="AE146" i="19"/>
  <c r="T146" i="19" a="1"/>
  <c r="T146" i="19" s="1"/>
  <c r="J146" i="19"/>
  <c r="AQ145" i="19"/>
  <c r="AE145" i="19"/>
  <c r="T145" i="19" a="1"/>
  <c r="T145" i="19" s="1"/>
  <c r="J145" i="19"/>
  <c r="AQ144" i="19"/>
  <c r="AE144" i="19"/>
  <c r="T144" i="19" a="1"/>
  <c r="T144" i="19" s="1"/>
  <c r="J144" i="19"/>
  <c r="AQ143" i="19"/>
  <c r="AE143" i="19"/>
  <c r="T143" i="19" a="1"/>
  <c r="T143" i="19" s="1"/>
  <c r="J143" i="19"/>
  <c r="AQ142" i="19"/>
  <c r="AE142" i="19"/>
  <c r="T142" i="19" a="1"/>
  <c r="T142" i="19" s="1"/>
  <c r="J142" i="19"/>
  <c r="AQ141" i="19"/>
  <c r="AE141" i="19"/>
  <c r="T141" i="19" a="1"/>
  <c r="T141" i="19" s="1"/>
  <c r="J141" i="19"/>
  <c r="AQ140" i="19"/>
  <c r="AE140" i="19"/>
  <c r="T140" i="19" a="1"/>
  <c r="T140" i="19" s="1"/>
  <c r="J140" i="19"/>
  <c r="AQ139" i="19"/>
  <c r="AE139" i="19"/>
  <c r="T139" i="19" a="1"/>
  <c r="T139" i="19" s="1"/>
  <c r="J139" i="19"/>
  <c r="AQ138" i="19"/>
  <c r="AE138" i="19"/>
  <c r="T138" i="19" a="1"/>
  <c r="T138" i="19" s="1"/>
  <c r="J138" i="19"/>
  <c r="AQ137" i="19"/>
  <c r="AE137" i="19"/>
  <c r="T137" i="19" a="1"/>
  <c r="T137" i="19" s="1"/>
  <c r="J137" i="19"/>
  <c r="AQ136" i="19"/>
  <c r="AE136" i="19"/>
  <c r="T136" i="19" a="1"/>
  <c r="T136" i="19" s="1"/>
  <c r="J136" i="19"/>
  <c r="AQ135" i="19"/>
  <c r="AE135" i="19"/>
  <c r="T135" i="19" a="1"/>
  <c r="T135" i="19" s="1"/>
  <c r="J135" i="19"/>
  <c r="AQ134" i="19"/>
  <c r="AE134" i="19"/>
  <c r="T134" i="19" a="1"/>
  <c r="T134" i="19" s="1"/>
  <c r="J134" i="19"/>
  <c r="AQ133" i="19"/>
  <c r="AE133" i="19"/>
  <c r="T133" i="19" a="1"/>
  <c r="T133" i="19" s="1"/>
  <c r="J133" i="19"/>
  <c r="AQ132" i="19"/>
  <c r="AE132" i="19"/>
  <c r="T132" i="19" a="1"/>
  <c r="T132" i="19" s="1"/>
  <c r="J132" i="19"/>
  <c r="AQ131" i="19"/>
  <c r="AE131" i="19"/>
  <c r="T131" i="19" a="1"/>
  <c r="T131" i="19" s="1"/>
  <c r="J131" i="19"/>
  <c r="AQ130" i="19"/>
  <c r="AE130" i="19"/>
  <c r="T130" i="19" a="1"/>
  <c r="T130" i="19" s="1"/>
  <c r="J130" i="19"/>
  <c r="AQ129" i="19"/>
  <c r="AE129" i="19"/>
  <c r="T129" i="19" a="1"/>
  <c r="T129" i="19" s="1"/>
  <c r="J129" i="19"/>
  <c r="AQ128" i="19"/>
  <c r="AE128" i="19"/>
  <c r="T128" i="19" a="1"/>
  <c r="T128" i="19" s="1"/>
  <c r="J128" i="19"/>
  <c r="AQ127" i="19"/>
  <c r="AE127" i="19"/>
  <c r="T127" i="19" a="1"/>
  <c r="T127" i="19" s="1"/>
  <c r="J127" i="19"/>
  <c r="AQ126" i="19"/>
  <c r="AE126" i="19"/>
  <c r="T126" i="19" a="1"/>
  <c r="T126" i="19" s="1"/>
  <c r="J126" i="19"/>
  <c r="AQ125" i="19"/>
  <c r="AE125" i="19"/>
  <c r="T125" i="19" a="1"/>
  <c r="T125" i="19" s="1"/>
  <c r="J125" i="19"/>
  <c r="AQ124" i="19"/>
  <c r="AE124" i="19"/>
  <c r="T124" i="19" a="1"/>
  <c r="T124" i="19" s="1"/>
  <c r="J124" i="19"/>
  <c r="AQ123" i="19"/>
  <c r="AE123" i="19"/>
  <c r="T123" i="19" a="1"/>
  <c r="T123" i="19" s="1"/>
  <c r="J123" i="19"/>
  <c r="I56" i="19"/>
  <c r="I419" i="19" s="1"/>
  <c r="CB54" i="19"/>
  <c r="CA54" i="19"/>
  <c r="BZ54" i="19"/>
  <c r="BY54" i="19"/>
  <c r="BM53" i="19"/>
  <c r="BO53" i="19" s="1"/>
  <c r="BQ53" i="19" s="1"/>
  <c r="BS53" i="19" s="1"/>
  <c r="BL52" i="19"/>
  <c r="BE52" i="19"/>
  <c r="AG52" i="19"/>
  <c r="AR50" i="19"/>
  <c r="AF50" i="19"/>
  <c r="U50" i="19"/>
  <c r="U51" i="19" s="1"/>
  <c r="K50" i="19"/>
  <c r="H36" i="19"/>
  <c r="O29" i="19"/>
  <c r="O28" i="19"/>
  <c r="O24" i="19"/>
  <c r="O23" i="19"/>
  <c r="I20" i="19" a="1"/>
  <c r="I20" i="19" s="1"/>
  <c r="I19" i="19" a="1"/>
  <c r="I19" i="19" s="1"/>
  <c r="J19" i="19" s="1"/>
  <c r="O18" i="19"/>
  <c r="I18" i="19" a="1"/>
  <c r="I18" i="19" s="1"/>
  <c r="J18" i="19" s="1"/>
  <c r="I17" i="19" a="1"/>
  <c r="I17" i="19" s="1"/>
  <c r="J17" i="19" s="1"/>
  <c r="P16" i="19"/>
  <c r="I16" i="19" a="1"/>
  <c r="I16" i="19" s="1"/>
  <c r="I15" i="19"/>
  <c r="O14" i="19"/>
  <c r="I11" i="19" a="1"/>
  <c r="I11" i="19" s="1"/>
  <c r="L8" i="20" l="1" a="1"/>
  <c r="L8" i="20" s="1"/>
  <c r="S57" i="14"/>
  <c r="N226" i="19"/>
  <c r="P226" i="19" s="1"/>
  <c r="N384" i="19"/>
  <c r="N233" i="19"/>
  <c r="W53" i="19"/>
  <c r="N370" i="19"/>
  <c r="P370" i="19" s="1"/>
  <c r="N363" i="19"/>
  <c r="P363" i="19" s="1"/>
  <c r="M413" i="19"/>
  <c r="N360" i="19"/>
  <c r="K336" i="19"/>
  <c r="M336" i="19" s="1"/>
  <c r="N320" i="19"/>
  <c r="P320" i="19" s="1"/>
  <c r="N321" i="19"/>
  <c r="P321" i="19" s="1"/>
  <c r="N319" i="19"/>
  <c r="P319" i="19" s="1"/>
  <c r="N280" i="19"/>
  <c r="P280" i="19" s="1"/>
  <c r="K208" i="19"/>
  <c r="M208" i="19" s="1"/>
  <c r="K313" i="19"/>
  <c r="M313" i="19" s="1"/>
  <c r="K226" i="19"/>
  <c r="M226" i="19" s="1"/>
  <c r="N276" i="19"/>
  <c r="K185" i="19"/>
  <c r="M185" i="19" s="1"/>
  <c r="N316" i="19"/>
  <c r="N249" i="19"/>
  <c r="N290" i="19"/>
  <c r="M331" i="19"/>
  <c r="N326" i="19"/>
  <c r="N356" i="19"/>
  <c r="K361" i="19"/>
  <c r="M361" i="19" s="1"/>
  <c r="N374" i="19"/>
  <c r="P374" i="19" s="1"/>
  <c r="N291" i="19"/>
  <c r="P291" i="19" s="1"/>
  <c r="K324" i="19"/>
  <c r="M324" i="19" s="1"/>
  <c r="K405" i="19"/>
  <c r="M405" i="19" s="1"/>
  <c r="K204" i="19"/>
  <c r="M204" i="19" s="1"/>
  <c r="O403" i="19" a="1"/>
  <c r="O403" i="19" s="1"/>
  <c r="N217" i="19"/>
  <c r="P217" i="19" s="1"/>
  <c r="K230" i="19"/>
  <c r="M230" i="19" s="1"/>
  <c r="K287" i="19"/>
  <c r="M287" i="19" s="1"/>
  <c r="N350" i="19"/>
  <c r="P350" i="19" s="1"/>
  <c r="N355" i="19"/>
  <c r="N191" i="19"/>
  <c r="O264" i="19" a="1"/>
  <c r="O264" i="19" s="1"/>
  <c r="K344" i="19"/>
  <c r="M344" i="19" s="1"/>
  <c r="N398" i="19"/>
  <c r="N416" i="19"/>
  <c r="P416" i="19" s="1"/>
  <c r="N213" i="19"/>
  <c r="P213" i="19" s="1"/>
  <c r="N296" i="19"/>
  <c r="N306" i="19"/>
  <c r="N311" i="19"/>
  <c r="P311" i="19" s="1"/>
  <c r="N336" i="19"/>
  <c r="P336" i="19" s="1"/>
  <c r="N391" i="19"/>
  <c r="P391" i="19" s="1"/>
  <c r="N206" i="19"/>
  <c r="N265" i="19"/>
  <c r="P265" i="19" s="1"/>
  <c r="O384" i="19" a="1"/>
  <c r="O384" i="19" s="1"/>
  <c r="N204" i="19"/>
  <c r="P204" i="19" s="1"/>
  <c r="N183" i="19"/>
  <c r="P183" i="19" s="1"/>
  <c r="K198" i="19"/>
  <c r="M198" i="19" s="1"/>
  <c r="K200" i="19"/>
  <c r="M200" i="19" s="1"/>
  <c r="K273" i="19"/>
  <c r="M273" i="19" s="1"/>
  <c r="N323" i="19"/>
  <c r="P323" i="19" s="1"/>
  <c r="N380" i="19"/>
  <c r="K178" i="19"/>
  <c r="M178" i="19" s="1"/>
  <c r="K217" i="19"/>
  <c r="M217" i="19" s="1"/>
  <c r="N273" i="19"/>
  <c r="P273" i="19" s="1"/>
  <c r="N312" i="19"/>
  <c r="P312" i="19" s="1"/>
  <c r="K319" i="19"/>
  <c r="M319" i="19" s="1"/>
  <c r="O335" i="19" a="1"/>
  <c r="O335" i="19" s="1"/>
  <c r="V363" i="19"/>
  <c r="K376" i="19"/>
  <c r="M376" i="19" s="1"/>
  <c r="N193" i="19"/>
  <c r="P193" i="19" s="1"/>
  <c r="N237" i="19"/>
  <c r="N253" i="19"/>
  <c r="M264" i="19"/>
  <c r="O294" i="19" a="1"/>
  <c r="O294" i="19" s="1"/>
  <c r="N189" i="19"/>
  <c r="N219" i="19"/>
  <c r="N239" i="19"/>
  <c r="N245" i="19"/>
  <c r="M262" i="19"/>
  <c r="O283" i="19" a="1"/>
  <c r="O283" i="19" s="1"/>
  <c r="N285" i="19"/>
  <c r="P285" i="19" s="1"/>
  <c r="N287" i="19"/>
  <c r="P287" i="19" s="1"/>
  <c r="N289" i="19"/>
  <c r="P289" i="19" s="1"/>
  <c r="N322" i="19"/>
  <c r="P322" i="19" s="1"/>
  <c r="N330" i="19"/>
  <c r="P330" i="19" s="1"/>
  <c r="M335" i="19"/>
  <c r="N344" i="19"/>
  <c r="P344" i="19" s="1"/>
  <c r="N369" i="19"/>
  <c r="P369" i="19" s="1"/>
  <c r="N378" i="19"/>
  <c r="P378" i="19" s="1"/>
  <c r="N389" i="19"/>
  <c r="P389" i="19" s="1"/>
  <c r="K396" i="19"/>
  <c r="M396" i="19" s="1"/>
  <c r="O408" i="19" a="1"/>
  <c r="O408" i="19" s="1"/>
  <c r="K357" i="19"/>
  <c r="M357" i="19" s="1"/>
  <c r="K373" i="19"/>
  <c r="M373" i="19" s="1"/>
  <c r="N270" i="19"/>
  <c r="P270" i="19" s="1"/>
  <c r="N315" i="19"/>
  <c r="P315" i="19" s="1"/>
  <c r="N317" i="19"/>
  <c r="N335" i="19"/>
  <c r="O353" i="19" a="1"/>
  <c r="O353" i="19" s="1"/>
  <c r="N375" i="19"/>
  <c r="N381" i="19"/>
  <c r="P381" i="19" s="1"/>
  <c r="N401" i="19"/>
  <c r="P401" i="19" s="1"/>
  <c r="N182" i="19"/>
  <c r="P182" i="19" s="1"/>
  <c r="N192" i="19"/>
  <c r="P192" i="19" s="1"/>
  <c r="N194" i="19"/>
  <c r="N229" i="19"/>
  <c r="N231" i="19"/>
  <c r="N309" i="19"/>
  <c r="P309" i="19" s="1"/>
  <c r="N324" i="19"/>
  <c r="P324" i="19" s="1"/>
  <c r="N339" i="19"/>
  <c r="N383" i="19"/>
  <c r="N411" i="19"/>
  <c r="P411" i="19" s="1"/>
  <c r="N415" i="19"/>
  <c r="N187" i="19"/>
  <c r="N256" i="19"/>
  <c r="N180" i="19"/>
  <c r="V183" i="19"/>
  <c r="N236" i="19"/>
  <c r="P236" i="19" s="1"/>
  <c r="N238" i="19"/>
  <c r="P238" i="19" s="1"/>
  <c r="N242" i="19"/>
  <c r="K246" i="19"/>
  <c r="M246" i="19" s="1"/>
  <c r="K248" i="19"/>
  <c r="M248" i="19" s="1"/>
  <c r="O258" i="19" a="1"/>
  <c r="O258" i="19" s="1"/>
  <c r="M261" i="19"/>
  <c r="N294" i="19"/>
  <c r="N302" i="19"/>
  <c r="N337" i="19"/>
  <c r="N341" i="19"/>
  <c r="N345" i="19"/>
  <c r="N372" i="19"/>
  <c r="V389" i="19"/>
  <c r="N390" i="19"/>
  <c r="P390" i="19" s="1"/>
  <c r="N395" i="19"/>
  <c r="N399" i="19"/>
  <c r="O409" i="19" a="1"/>
  <c r="O409" i="19" s="1"/>
  <c r="O413" i="19" a="1"/>
  <c r="O413" i="19" s="1"/>
  <c r="N186" i="19"/>
  <c r="K201" i="19"/>
  <c r="M201" i="19" s="1"/>
  <c r="N203" i="19"/>
  <c r="V206" i="19"/>
  <c r="N214" i="19"/>
  <c r="P214" i="19" s="1"/>
  <c r="O223" i="19" a="1"/>
  <c r="O223" i="19" s="1"/>
  <c r="N234" i="19"/>
  <c r="P234" i="19" s="1"/>
  <c r="M239" i="19"/>
  <c r="O240" i="19" a="1"/>
  <c r="O240" i="19" s="1"/>
  <c r="N257" i="19"/>
  <c r="P257" i="19" s="1"/>
  <c r="O290" i="19" a="1"/>
  <c r="O290" i="19" s="1"/>
  <c r="M294" i="19"/>
  <c r="V326" i="19"/>
  <c r="N327" i="19"/>
  <c r="V369" i="19"/>
  <c r="O262" i="19" a="1"/>
  <c r="O262" i="19" s="1"/>
  <c r="O331" i="19" a="1"/>
  <c r="O331" i="19" s="1"/>
  <c r="O348" i="19" a="1"/>
  <c r="O348" i="19" s="1"/>
  <c r="O386" i="19" a="1"/>
  <c r="O386" i="19" s="1"/>
  <c r="N268" i="19"/>
  <c r="P268" i="19" s="1"/>
  <c r="M337" i="19"/>
  <c r="O181" i="19" a="1"/>
  <c r="O181" i="19" s="1"/>
  <c r="V182" i="19"/>
  <c r="K183" i="19"/>
  <c r="M183" i="19" s="1"/>
  <c r="N212" i="19"/>
  <c r="P212" i="19" s="1"/>
  <c r="V231" i="19"/>
  <c r="K234" i="19"/>
  <c r="M234" i="19" s="1"/>
  <c r="M240" i="19"/>
  <c r="N247" i="19"/>
  <c r="P247" i="19" s="1"/>
  <c r="K257" i="19"/>
  <c r="M257" i="19" s="1"/>
  <c r="K270" i="19"/>
  <c r="M270" i="19" s="1"/>
  <c r="N272" i="19"/>
  <c r="M283" i="19"/>
  <c r="K295" i="19"/>
  <c r="M295" i="19" s="1"/>
  <c r="V306" i="19"/>
  <c r="K311" i="19"/>
  <c r="M311" i="19" s="1"/>
  <c r="K321" i="19"/>
  <c r="M321" i="19" s="1"/>
  <c r="K330" i="19"/>
  <c r="M330" i="19" s="1"/>
  <c r="K333" i="19"/>
  <c r="M333" i="19" s="1"/>
  <c r="O337" i="19" a="1"/>
  <c r="O337" i="19" s="1"/>
  <c r="M353" i="19"/>
  <c r="N358" i="19"/>
  <c r="P358" i="19" s="1"/>
  <c r="V370" i="19"/>
  <c r="N394" i="19"/>
  <c r="V398" i="19"/>
  <c r="K190" i="19"/>
  <c r="M190" i="19" s="1"/>
  <c r="V219" i="19"/>
  <c r="O232" i="19" a="1"/>
  <c r="O232" i="19" s="1"/>
  <c r="K236" i="19"/>
  <c r="M236" i="19" s="1"/>
  <c r="M269" i="19"/>
  <c r="K292" i="19"/>
  <c r="M292" i="19" s="1"/>
  <c r="K320" i="19"/>
  <c r="M320" i="19" s="1"/>
  <c r="V341" i="19"/>
  <c r="K342" i="19"/>
  <c r="M342" i="19" s="1"/>
  <c r="K358" i="19"/>
  <c r="M358" i="19" s="1"/>
  <c r="N407" i="19"/>
  <c r="N175" i="19"/>
  <c r="M306" i="19"/>
  <c r="N332" i="19"/>
  <c r="P332" i="19" s="1"/>
  <c r="O333" i="19" a="1"/>
  <c r="O333" i="19" s="1"/>
  <c r="V344" i="19"/>
  <c r="O380" i="19" a="1"/>
  <c r="O380" i="19" s="1"/>
  <c r="O394" i="19" a="1"/>
  <c r="O394" i="19" s="1"/>
  <c r="V415" i="19"/>
  <c r="N177" i="19"/>
  <c r="P177" i="19" s="1"/>
  <c r="K254" i="19"/>
  <c r="M254" i="19" s="1"/>
  <c r="N269" i="19"/>
  <c r="O274" i="19" a="1"/>
  <c r="O274" i="19" s="1"/>
  <c r="K280" i="19"/>
  <c r="M280" i="19" s="1"/>
  <c r="O306" i="19" a="1"/>
  <c r="O306" i="19" s="1"/>
  <c r="V309" i="19"/>
  <c r="V324" i="19"/>
  <c r="N329" i="19"/>
  <c r="P329" i="19" s="1"/>
  <c r="N340" i="19"/>
  <c r="P340" i="19" s="1"/>
  <c r="M341" i="19"/>
  <c r="K388" i="19"/>
  <c r="M388" i="19" s="1"/>
  <c r="K406" i="19"/>
  <c r="M406" i="19" s="1"/>
  <c r="M415" i="19"/>
  <c r="V186" i="19"/>
  <c r="V192" i="19"/>
  <c r="N195" i="19"/>
  <c r="O219" i="19" a="1"/>
  <c r="O219" i="19" s="1"/>
  <c r="M224" i="19"/>
  <c r="N264" i="19"/>
  <c r="N293" i="19"/>
  <c r="P293" i="19" s="1"/>
  <c r="K312" i="19"/>
  <c r="M312" i="19" s="1"/>
  <c r="V339" i="19"/>
  <c r="K340" i="19"/>
  <c r="M340" i="19" s="1"/>
  <c r="K369" i="19"/>
  <c r="M369" i="19" s="1"/>
  <c r="N393" i="19"/>
  <c r="M181" i="19"/>
  <c r="K182" i="19"/>
  <c r="M182" i="19" s="1"/>
  <c r="N185" i="19"/>
  <c r="P185" i="19" s="1"/>
  <c r="K192" i="19"/>
  <c r="M192" i="19" s="1"/>
  <c r="V203" i="19"/>
  <c r="M243" i="19"/>
  <c r="K252" i="19"/>
  <c r="M252" i="19" s="1"/>
  <c r="M260" i="19"/>
  <c r="N368" i="19"/>
  <c r="M371" i="19"/>
  <c r="M380" i="19"/>
  <c r="M384" i="19"/>
  <c r="N387" i="19"/>
  <c r="O415" i="19" a="1"/>
  <c r="O415" i="19" s="1"/>
  <c r="O176" i="19" a="1"/>
  <c r="O176" i="19" s="1"/>
  <c r="O189" i="19" a="1"/>
  <c r="O189" i="19" s="1"/>
  <c r="V204" i="19"/>
  <c r="O224" i="19" a="1"/>
  <c r="O224" i="19" s="1"/>
  <c r="N258" i="19"/>
  <c r="O261" i="19" a="1"/>
  <c r="O261" i="19" s="1"/>
  <c r="O269" i="19" a="1"/>
  <c r="O269" i="19" s="1"/>
  <c r="N282" i="19"/>
  <c r="N288" i="19"/>
  <c r="V312" i="19"/>
  <c r="V335" i="19"/>
  <c r="V337" i="19"/>
  <c r="V345" i="19"/>
  <c r="V356" i="19"/>
  <c r="N359" i="19"/>
  <c r="O365" i="19" a="1"/>
  <c r="O365" i="19" s="1"/>
  <c r="N366" i="19"/>
  <c r="P366" i="19" s="1"/>
  <c r="O387" i="19" a="1"/>
  <c r="O387" i="19" s="1"/>
  <c r="N408" i="19"/>
  <c r="N413" i="19"/>
  <c r="N181" i="19"/>
  <c r="K193" i="19"/>
  <c r="M193" i="19" s="1"/>
  <c r="K196" i="19"/>
  <c r="M196" i="19" s="1"/>
  <c r="M207" i="19"/>
  <c r="K213" i="19"/>
  <c r="M213" i="19" s="1"/>
  <c r="V213" i="19"/>
  <c r="K216" i="19"/>
  <c r="M216" i="19" s="1"/>
  <c r="K228" i="19"/>
  <c r="M228" i="19" s="1"/>
  <c r="V238" i="19"/>
  <c r="K242" i="19"/>
  <c r="M242" i="19" s="1"/>
  <c r="N243" i="19"/>
  <c r="K247" i="19"/>
  <c r="M247" i="19" s="1"/>
  <c r="N251" i="19"/>
  <c r="P251" i="19" s="1"/>
  <c r="O260" i="19" a="1"/>
  <c r="O260" i="19" s="1"/>
  <c r="K267" i="19"/>
  <c r="M267" i="19" s="1"/>
  <c r="N284" i="19"/>
  <c r="P284" i="19" s="1"/>
  <c r="N286" i="19"/>
  <c r="P286" i="19" s="1"/>
  <c r="K293" i="19"/>
  <c r="M293" i="19" s="1"/>
  <c r="K299" i="19"/>
  <c r="M299" i="19" s="1"/>
  <c r="V302" i="19"/>
  <c r="K303" i="19"/>
  <c r="M303" i="19" s="1"/>
  <c r="N304" i="19"/>
  <c r="P304" i="19" s="1"/>
  <c r="N305" i="19"/>
  <c r="N313" i="19"/>
  <c r="P313" i="19" s="1"/>
  <c r="K315" i="19"/>
  <c r="M315" i="19" s="1"/>
  <c r="N347" i="19"/>
  <c r="K350" i="19"/>
  <c r="M350" i="19" s="1"/>
  <c r="M356" i="19"/>
  <c r="M360" i="19"/>
  <c r="K363" i="19"/>
  <c r="M363" i="19" s="1"/>
  <c r="O364" i="19" a="1"/>
  <c r="O364" i="19" s="1"/>
  <c r="K401" i="19"/>
  <c r="M401" i="19" s="1"/>
  <c r="K411" i="19"/>
  <c r="M411" i="19" s="1"/>
  <c r="K177" i="19"/>
  <c r="M177" i="19" s="1"/>
  <c r="K187" i="19"/>
  <c r="M187" i="19" s="1"/>
  <c r="N190" i="19"/>
  <c r="P190" i="19" s="1"/>
  <c r="N198" i="19"/>
  <c r="P198" i="19" s="1"/>
  <c r="O203" i="19" a="1"/>
  <c r="O203" i="19" s="1"/>
  <c r="O207" i="19" a="1"/>
  <c r="O207" i="19" s="1"/>
  <c r="K210" i="19"/>
  <c r="M210" i="19" s="1"/>
  <c r="K212" i="19"/>
  <c r="M212" i="19" s="1"/>
  <c r="M219" i="19"/>
  <c r="K220" i="19"/>
  <c r="M220" i="19" s="1"/>
  <c r="N222" i="19"/>
  <c r="K238" i="19"/>
  <c r="M238" i="19" s="1"/>
  <c r="K245" i="19"/>
  <c r="M245" i="19" s="1"/>
  <c r="K250" i="19"/>
  <c r="M250" i="19" s="1"/>
  <c r="K271" i="19"/>
  <c r="M271" i="19" s="1"/>
  <c r="K284" i="19"/>
  <c r="M284" i="19" s="1"/>
  <c r="K285" i="19"/>
  <c r="M285" i="19" s="1"/>
  <c r="V285" i="19"/>
  <c r="K286" i="19"/>
  <c r="M286" i="19" s="1"/>
  <c r="K291" i="19"/>
  <c r="M291" i="19" s="1"/>
  <c r="K304" i="19"/>
  <c r="M304" i="19" s="1"/>
  <c r="K307" i="19"/>
  <c r="M307" i="19" s="1"/>
  <c r="K318" i="19"/>
  <c r="M318" i="19" s="1"/>
  <c r="K325" i="19"/>
  <c r="M325" i="19" s="1"/>
  <c r="V327" i="19"/>
  <c r="K328" i="19"/>
  <c r="M328" i="19" s="1"/>
  <c r="K334" i="19"/>
  <c r="M334" i="19" s="1"/>
  <c r="O345" i="19" a="1"/>
  <c r="O345" i="19" s="1"/>
  <c r="K349" i="19"/>
  <c r="M349" i="19" s="1"/>
  <c r="O356" i="19" a="1"/>
  <c r="O356" i="19" s="1"/>
  <c r="N357" i="19"/>
  <c r="P357" i="19" s="1"/>
  <c r="O371" i="19" a="1"/>
  <c r="O371" i="19" s="1"/>
  <c r="K374" i="19"/>
  <c r="M374" i="19" s="1"/>
  <c r="K382" i="19"/>
  <c r="M382" i="19" s="1"/>
  <c r="K389" i="19"/>
  <c r="M389" i="19" s="1"/>
  <c r="K392" i="19"/>
  <c r="M392" i="19" s="1"/>
  <c r="K398" i="19"/>
  <c r="M398" i="19" s="1"/>
  <c r="M412" i="19"/>
  <c r="M191" i="19"/>
  <c r="M199" i="19"/>
  <c r="N225" i="19"/>
  <c r="N235" i="19"/>
  <c r="N241" i="19"/>
  <c r="O242" i="19" a="1"/>
  <c r="O242" i="19" s="1"/>
  <c r="M256" i="19"/>
  <c r="M281" i="19"/>
  <c r="V291" i="19"/>
  <c r="M302" i="19"/>
  <c r="M310" i="19"/>
  <c r="N412" i="19"/>
  <c r="O199" i="19" a="1"/>
  <c r="O199" i="19" s="1"/>
  <c r="O256" i="19" a="1"/>
  <c r="O256" i="19" s="1"/>
  <c r="M258" i="19"/>
  <c r="N261" i="19"/>
  <c r="V273" i="19"/>
  <c r="K277" i="19"/>
  <c r="M277" i="19" s="1"/>
  <c r="N281" i="19"/>
  <c r="K289" i="19"/>
  <c r="M289" i="19" s="1"/>
  <c r="N298" i="19"/>
  <c r="N301" i="19"/>
  <c r="O302" i="19" a="1"/>
  <c r="O302" i="19" s="1"/>
  <c r="N303" i="19"/>
  <c r="P303" i="19" s="1"/>
  <c r="O310" i="19" a="1"/>
  <c r="O310" i="19" s="1"/>
  <c r="M327" i="19"/>
  <c r="N334" i="19"/>
  <c r="P334" i="19" s="1"/>
  <c r="O360" i="19" a="1"/>
  <c r="O360" i="19" s="1"/>
  <c r="K377" i="19"/>
  <c r="M377" i="19" s="1"/>
  <c r="V380" i="19"/>
  <c r="M387" i="19"/>
  <c r="N392" i="19"/>
  <c r="P392" i="19" s="1"/>
  <c r="N397" i="19"/>
  <c r="N404" i="19"/>
  <c r="N410" i="19"/>
  <c r="N179" i="19"/>
  <c r="P179" i="19" s="1"/>
  <c r="O187" i="19" a="1"/>
  <c r="O187" i="19" s="1"/>
  <c r="O195" i="19" a="1"/>
  <c r="O195" i="19" s="1"/>
  <c r="N209" i="19"/>
  <c r="K244" i="19"/>
  <c r="M244" i="19" s="1"/>
  <c r="O245" i="19" a="1"/>
  <c r="O245" i="19" s="1"/>
  <c r="N246" i="19"/>
  <c r="P246" i="19" s="1"/>
  <c r="N262" i="19"/>
  <c r="O266" i="19" a="1"/>
  <c r="O266" i="19" s="1"/>
  <c r="K322" i="19"/>
  <c r="M322" i="19" s="1"/>
  <c r="M348" i="19"/>
  <c r="O352" i="19" a="1"/>
  <c r="O352" i="19" s="1"/>
  <c r="K366" i="19"/>
  <c r="M366" i="19" s="1"/>
  <c r="N373" i="19"/>
  <c r="P373" i="19" s="1"/>
  <c r="N376" i="19"/>
  <c r="P376" i="19" s="1"/>
  <c r="N388" i="19"/>
  <c r="P388" i="19" s="1"/>
  <c r="O398" i="19" a="1"/>
  <c r="O398" i="19" s="1"/>
  <c r="AP54" i="19"/>
  <c r="BP54" i="19"/>
  <c r="BQ54" i="19" s="1"/>
  <c r="P30" i="19"/>
  <c r="P31" i="19" s="1"/>
  <c r="BC56" i="19"/>
  <c r="J20" i="19"/>
  <c r="BN54" i="19"/>
  <c r="BO54" i="19" s="1"/>
  <c r="P25" i="19"/>
  <c r="P26" i="19" s="1"/>
  <c r="AD54" i="19"/>
  <c r="S54" i="19"/>
  <c r="BL54" i="19" s="1"/>
  <c r="BM54" i="19" s="1"/>
  <c r="P20" i="19"/>
  <c r="P21" i="19" s="1"/>
  <c r="J15" i="19"/>
  <c r="J16" i="19" s="1"/>
  <c r="P15" i="19"/>
  <c r="BJ54" i="19"/>
  <c r="BK54" i="19" s="1"/>
  <c r="I54" i="19"/>
  <c r="J11" i="19"/>
  <c r="K56" i="19"/>
  <c r="F142" i="19"/>
  <c r="O175" i="19" a="1"/>
  <c r="O175" i="19" s="1"/>
  <c r="K175" i="19"/>
  <c r="M175" i="19" s="1"/>
  <c r="V176" i="19"/>
  <c r="N176" i="19"/>
  <c r="M176" i="19"/>
  <c r="F144" i="19"/>
  <c r="V188" i="19"/>
  <c r="N188" i="19"/>
  <c r="M189" i="19"/>
  <c r="F165" i="19"/>
  <c r="F154" i="19"/>
  <c r="F148" i="19"/>
  <c r="O180" i="19" a="1"/>
  <c r="O180" i="19" s="1"/>
  <c r="V180" i="19"/>
  <c r="K186" i="19"/>
  <c r="M186" i="19" s="1"/>
  <c r="O186" i="19" a="1"/>
  <c r="O186" i="19" s="1"/>
  <c r="O194" i="19" a="1"/>
  <c r="O194" i="19" s="1"/>
  <c r="K194" i="19"/>
  <c r="M194" i="19" s="1"/>
  <c r="V199" i="19"/>
  <c r="N199" i="19"/>
  <c r="K222" i="19"/>
  <c r="M222" i="19" s="1"/>
  <c r="O222" i="19" a="1"/>
  <c r="O222" i="19" s="1"/>
  <c r="V210" i="19"/>
  <c r="N210" i="19"/>
  <c r="K215" i="19"/>
  <c r="M215" i="19" s="1"/>
  <c r="O215" i="19" a="1"/>
  <c r="O215" i="19" s="1"/>
  <c r="O221" i="19" a="1"/>
  <c r="O221" i="19" s="1"/>
  <c r="K221" i="19"/>
  <c r="M221" i="19" s="1"/>
  <c r="N178" i="19"/>
  <c r="O184" i="19" a="1"/>
  <c r="O184" i="19" s="1"/>
  <c r="K184" i="19"/>
  <c r="M184" i="19" s="1"/>
  <c r="V196" i="19"/>
  <c r="N196" i="19"/>
  <c r="O197" i="19" a="1"/>
  <c r="O197" i="19" s="1"/>
  <c r="K197" i="19"/>
  <c r="M197" i="19" s="1"/>
  <c r="O209" i="19" a="1"/>
  <c r="O209" i="19" s="1"/>
  <c r="K209" i="19"/>
  <c r="M209" i="19" s="1"/>
  <c r="N201" i="19"/>
  <c r="V201" i="19"/>
  <c r="V211" i="19"/>
  <c r="N211" i="19"/>
  <c r="V216" i="19"/>
  <c r="N216" i="19"/>
  <c r="V224" i="19"/>
  <c r="N224" i="19"/>
  <c r="K179" i="19"/>
  <c r="M179" i="19" s="1"/>
  <c r="M180" i="19"/>
  <c r="V184" i="19"/>
  <c r="N184" i="19"/>
  <c r="V202" i="19"/>
  <c r="N202" i="19"/>
  <c r="N200" i="19"/>
  <c r="V217" i="19"/>
  <c r="N223" i="19"/>
  <c r="M223" i="19"/>
  <c r="K188" i="19"/>
  <c r="M188" i="19" s="1"/>
  <c r="O191" i="19" a="1"/>
  <c r="O191" i="19" s="1"/>
  <c r="V191" i="19"/>
  <c r="M195" i="19"/>
  <c r="M203" i="19"/>
  <c r="K206" i="19"/>
  <c r="M206" i="19" s="1"/>
  <c r="N215" i="19"/>
  <c r="V215" i="19"/>
  <c r="O205" i="19" a="1"/>
  <c r="O205" i="19" s="1"/>
  <c r="M205" i="19"/>
  <c r="V208" i="19"/>
  <c r="N208" i="19"/>
  <c r="M218" i="19"/>
  <c r="O218" i="19" a="1"/>
  <c r="O218" i="19" s="1"/>
  <c r="V230" i="19"/>
  <c r="N230" i="19"/>
  <c r="K255" i="19"/>
  <c r="M255" i="19" s="1"/>
  <c r="O255" i="19" a="1"/>
  <c r="O255" i="19" s="1"/>
  <c r="V274" i="19"/>
  <c r="N274" i="19"/>
  <c r="K214" i="19"/>
  <c r="M214" i="19" s="1"/>
  <c r="V221" i="19"/>
  <c r="N221" i="19"/>
  <c r="K227" i="19"/>
  <c r="M227" i="19" s="1"/>
  <c r="O227" i="19" a="1"/>
  <c r="O227" i="19" s="1"/>
  <c r="V232" i="19"/>
  <c r="N232" i="19"/>
  <c r="M202" i="19"/>
  <c r="O202" i="19" a="1"/>
  <c r="O202" i="19" s="1"/>
  <c r="V214" i="19"/>
  <c r="V226" i="19"/>
  <c r="N197" i="19"/>
  <c r="V205" i="19"/>
  <c r="N205" i="19"/>
  <c r="O206" i="19" a="1"/>
  <c r="O206" i="19" s="1"/>
  <c r="N207" i="19"/>
  <c r="K211" i="19"/>
  <c r="M211" i="19" s="1"/>
  <c r="O211" i="19" a="1"/>
  <c r="O211" i="19" s="1"/>
  <c r="V218" i="19"/>
  <c r="N218" i="19"/>
  <c r="N220" i="19"/>
  <c r="O225" i="19" a="1"/>
  <c r="O225" i="19" s="1"/>
  <c r="K225" i="19"/>
  <c r="M225" i="19" s="1"/>
  <c r="V227" i="19"/>
  <c r="N227" i="19"/>
  <c r="N252" i="19"/>
  <c r="V252" i="19"/>
  <c r="M232" i="19"/>
  <c r="V240" i="19"/>
  <c r="N240" i="19"/>
  <c r="O233" i="19" a="1"/>
  <c r="O233" i="19" s="1"/>
  <c r="K233" i="19"/>
  <c r="M233" i="19" s="1"/>
  <c r="K235" i="19"/>
  <c r="M235" i="19" s="1"/>
  <c r="O235" i="19" a="1"/>
  <c r="O235" i="19" s="1"/>
  <c r="O241" i="19" a="1"/>
  <c r="O241" i="19" s="1"/>
  <c r="K241" i="19"/>
  <c r="M241" i="19" s="1"/>
  <c r="V250" i="19"/>
  <c r="N250" i="19"/>
  <c r="V254" i="19"/>
  <c r="N254" i="19"/>
  <c r="V236" i="19"/>
  <c r="O275" i="19" a="1"/>
  <c r="O275" i="19" s="1"/>
  <c r="K275" i="19"/>
  <c r="M275" i="19" s="1"/>
  <c r="K231" i="19"/>
  <c r="M231" i="19" s="1"/>
  <c r="O231" i="19" a="1"/>
  <c r="O231" i="19" s="1"/>
  <c r="V234" i="19"/>
  <c r="O237" i="19" a="1"/>
  <c r="O237" i="19" s="1"/>
  <c r="K237" i="19"/>
  <c r="M237" i="19" s="1"/>
  <c r="V233" i="19"/>
  <c r="K249" i="19"/>
  <c r="M249" i="19" s="1"/>
  <c r="O249" i="19" a="1"/>
  <c r="O249" i="19" s="1"/>
  <c r="O253" i="19" a="1"/>
  <c r="O253" i="19" s="1"/>
  <c r="K253" i="19"/>
  <c r="M253" i="19" s="1"/>
  <c r="O259" i="19" a="1"/>
  <c r="O259" i="19" s="1"/>
  <c r="K259" i="19"/>
  <c r="M259" i="19" s="1"/>
  <c r="O263" i="19" a="1"/>
  <c r="O263" i="19" s="1"/>
  <c r="K263" i="19"/>
  <c r="M263" i="19" s="1"/>
  <c r="N228" i="19"/>
  <c r="O229" i="19" a="1"/>
  <c r="O229" i="19" s="1"/>
  <c r="K229" i="19"/>
  <c r="M229" i="19" s="1"/>
  <c r="N248" i="19"/>
  <c r="V248" i="19"/>
  <c r="N277" i="19"/>
  <c r="V277" i="19"/>
  <c r="O288" i="19" a="1"/>
  <c r="O288" i="19" s="1"/>
  <c r="K288" i="19"/>
  <c r="M288" i="19" s="1"/>
  <c r="K314" i="19"/>
  <c r="M314" i="19" s="1"/>
  <c r="O314" i="19" a="1"/>
  <c r="O314" i="19" s="1"/>
  <c r="M290" i="19"/>
  <c r="K316" i="19"/>
  <c r="M316" i="19" s="1"/>
  <c r="O316" i="19" a="1"/>
  <c r="O316" i="19" s="1"/>
  <c r="O300" i="19" a="1"/>
  <c r="O300" i="19" s="1"/>
  <c r="K300" i="19"/>
  <c r="M300" i="19" s="1"/>
  <c r="O239" i="19" a="1"/>
  <c r="O239" i="19" s="1"/>
  <c r="O243" i="19" a="1"/>
  <c r="O243" i="19" s="1"/>
  <c r="N244" i="19"/>
  <c r="V256" i="19"/>
  <c r="N267" i="19"/>
  <c r="O276" i="19" a="1"/>
  <c r="O276" i="19" s="1"/>
  <c r="K276" i="19"/>
  <c r="M276" i="19" s="1"/>
  <c r="M279" i="19"/>
  <c r="V287" i="19"/>
  <c r="N263" i="19"/>
  <c r="V263" i="19"/>
  <c r="N275" i="19"/>
  <c r="V275" i="19"/>
  <c r="V278" i="19"/>
  <c r="N278" i="19"/>
  <c r="O279" i="19" a="1"/>
  <c r="O279" i="19" s="1"/>
  <c r="O282" i="19" a="1"/>
  <c r="O282" i="19" s="1"/>
  <c r="K282" i="19"/>
  <c r="M282" i="19" s="1"/>
  <c r="K251" i="19"/>
  <c r="M251" i="19" s="1"/>
  <c r="V267" i="19"/>
  <c r="M278" i="19"/>
  <c r="N259" i="19"/>
  <c r="M266" i="19"/>
  <c r="K268" i="19"/>
  <c r="M268" i="19" s="1"/>
  <c r="M272" i="19"/>
  <c r="O278" i="19" a="1"/>
  <c r="O278" i="19" s="1"/>
  <c r="V289" i="19"/>
  <c r="N255" i="19"/>
  <c r="N260" i="19"/>
  <c r="K265" i="19"/>
  <c r="M265" i="19" s="1"/>
  <c r="N266" i="19"/>
  <c r="N271" i="19"/>
  <c r="O272" i="19" a="1"/>
  <c r="O272" i="19" s="1"/>
  <c r="M274" i="19"/>
  <c r="N295" i="19"/>
  <c r="N297" i="19"/>
  <c r="K298" i="19"/>
  <c r="M298" i="19" s="1"/>
  <c r="O298" i="19" a="1"/>
  <c r="O298" i="19" s="1"/>
  <c r="N279" i="19"/>
  <c r="O326" i="19" a="1"/>
  <c r="O326" i="19" s="1"/>
  <c r="K326" i="19"/>
  <c r="M326" i="19" s="1"/>
  <c r="V307" i="19"/>
  <c r="N307" i="19"/>
  <c r="O308" i="19" a="1"/>
  <c r="O308" i="19" s="1"/>
  <c r="K308" i="19"/>
  <c r="M308" i="19" s="1"/>
  <c r="V325" i="19"/>
  <c r="N325" i="19"/>
  <c r="V279" i="19"/>
  <c r="O281" i="19" a="1"/>
  <c r="O281" i="19" s="1"/>
  <c r="O296" i="19" a="1"/>
  <c r="O296" i="19" s="1"/>
  <c r="V300" i="19"/>
  <c r="N300" i="19"/>
  <c r="N314" i="19"/>
  <c r="V294" i="19"/>
  <c r="O305" i="19" a="1"/>
  <c r="O305" i="19" s="1"/>
  <c r="K305" i="19"/>
  <c r="M305" i="19" s="1"/>
  <c r="V310" i="19"/>
  <c r="N310" i="19"/>
  <c r="K296" i="19"/>
  <c r="M296" i="19" s="1"/>
  <c r="N283" i="19"/>
  <c r="V292" i="19"/>
  <c r="N292" i="19"/>
  <c r="O297" i="19" a="1"/>
  <c r="O297" i="19" s="1"/>
  <c r="K297" i="19"/>
  <c r="M297" i="19" s="1"/>
  <c r="N299" i="19"/>
  <c r="N331" i="19"/>
  <c r="V331" i="19"/>
  <c r="M301" i="19"/>
  <c r="V338" i="19"/>
  <c r="N338" i="19"/>
  <c r="V361" i="19"/>
  <c r="N361" i="19"/>
  <c r="O347" i="19" a="1"/>
  <c r="O347" i="19" s="1"/>
  <c r="K347" i="19"/>
  <c r="M347" i="19" s="1"/>
  <c r="O317" i="19" a="1"/>
  <c r="O317" i="19" s="1"/>
  <c r="K317" i="19"/>
  <c r="M317" i="19" s="1"/>
  <c r="V330" i="19"/>
  <c r="V322" i="19"/>
  <c r="O301" i="19" a="1"/>
  <c r="O301" i="19" s="1"/>
  <c r="K309" i="19"/>
  <c r="M309" i="19" s="1"/>
  <c r="N308" i="19"/>
  <c r="K323" i="19"/>
  <c r="M323" i="19" s="1"/>
  <c r="V328" i="19"/>
  <c r="N328" i="19"/>
  <c r="V333" i="19"/>
  <c r="N333" i="19"/>
  <c r="O362" i="19" a="1"/>
  <c r="O362" i="19" s="1"/>
  <c r="K362" i="19"/>
  <c r="M362" i="19" s="1"/>
  <c r="K368" i="19"/>
  <c r="M368" i="19" s="1"/>
  <c r="O368" i="19" a="1"/>
  <c r="O368" i="19" s="1"/>
  <c r="O327" i="19" a="1"/>
  <c r="O327" i="19" s="1"/>
  <c r="M339" i="19"/>
  <c r="O341" i="19" a="1"/>
  <c r="O341" i="19" s="1"/>
  <c r="V342" i="19"/>
  <c r="N342" i="19"/>
  <c r="N352" i="19"/>
  <c r="M352" i="19"/>
  <c r="O339" i="19" a="1"/>
  <c r="O339" i="19" s="1"/>
  <c r="K329" i="19"/>
  <c r="M329" i="19" s="1"/>
  <c r="K343" i="19"/>
  <c r="M343" i="19" s="1"/>
  <c r="V351" i="19"/>
  <c r="N351" i="19"/>
  <c r="N318" i="19"/>
  <c r="K332" i="19"/>
  <c r="M332" i="19" s="1"/>
  <c r="M338" i="19"/>
  <c r="O338" i="19" a="1"/>
  <c r="O338" i="19" s="1"/>
  <c r="M345" i="19"/>
  <c r="N349" i="19"/>
  <c r="O354" i="19" a="1"/>
  <c r="O354" i="19" s="1"/>
  <c r="K354" i="19"/>
  <c r="M354" i="19" s="1"/>
  <c r="N348" i="19"/>
  <c r="N353" i="19"/>
  <c r="N367" i="19"/>
  <c r="K346" i="19"/>
  <c r="M346" i="19" s="1"/>
  <c r="V348" i="19"/>
  <c r="V354" i="19"/>
  <c r="N354" i="19"/>
  <c r="O359" i="19" a="1"/>
  <c r="O359" i="19" s="1"/>
  <c r="K359" i="19"/>
  <c r="M359" i="19" s="1"/>
  <c r="N365" i="19"/>
  <c r="M365" i="19"/>
  <c r="V346" i="19"/>
  <c r="N346" i="19"/>
  <c r="V364" i="19"/>
  <c r="N364" i="19"/>
  <c r="N343" i="19"/>
  <c r="M351" i="19"/>
  <c r="O351" i="19" a="1"/>
  <c r="O351" i="19" s="1"/>
  <c r="M364" i="19"/>
  <c r="M355" i="19"/>
  <c r="K367" i="19"/>
  <c r="M367" i="19" s="1"/>
  <c r="K370" i="19"/>
  <c r="M370" i="19" s="1"/>
  <c r="K383" i="19"/>
  <c r="M383" i="19" s="1"/>
  <c r="O383" i="19" a="1"/>
  <c r="O383" i="19" s="1"/>
  <c r="O393" i="19" a="1"/>
  <c r="O393" i="19" s="1"/>
  <c r="K393" i="19"/>
  <c r="M393" i="19" s="1"/>
  <c r="K375" i="19"/>
  <c r="M375" i="19" s="1"/>
  <c r="O375" i="19" a="1"/>
  <c r="O375" i="19" s="1"/>
  <c r="V382" i="19"/>
  <c r="N382" i="19"/>
  <c r="O355" i="19" a="1"/>
  <c r="O355" i="19" s="1"/>
  <c r="N371" i="19"/>
  <c r="K372" i="19"/>
  <c r="M372" i="19" s="1"/>
  <c r="O372" i="19" a="1"/>
  <c r="O372" i="19" s="1"/>
  <c r="V384" i="19"/>
  <c r="V386" i="19"/>
  <c r="N386" i="19"/>
  <c r="V374" i="19"/>
  <c r="V379" i="19"/>
  <c r="N379" i="19"/>
  <c r="N362" i="19"/>
  <c r="N377" i="19"/>
  <c r="M379" i="19"/>
  <c r="O385" i="19" a="1"/>
  <c r="O385" i="19" s="1"/>
  <c r="K385" i="19"/>
  <c r="M385" i="19" s="1"/>
  <c r="K390" i="19"/>
  <c r="M390" i="19" s="1"/>
  <c r="K391" i="19"/>
  <c r="M391" i="19" s="1"/>
  <c r="O379" i="19" a="1"/>
  <c r="O379" i="19" s="1"/>
  <c r="V396" i="19"/>
  <c r="N396" i="19"/>
  <c r="V390" i="19"/>
  <c r="V391" i="19"/>
  <c r="K378" i="19"/>
  <c r="M378" i="19" s="1"/>
  <c r="K381" i="19"/>
  <c r="M381" i="19" s="1"/>
  <c r="N385" i="19"/>
  <c r="K395" i="19"/>
  <c r="M395" i="19" s="1"/>
  <c r="O395" i="19" a="1"/>
  <c r="O395" i="19" s="1"/>
  <c r="K399" i="19"/>
  <c r="M399" i="19" s="1"/>
  <c r="K400" i="19"/>
  <c r="M400" i="19" s="1"/>
  <c r="N402" i="19"/>
  <c r="V399" i="19"/>
  <c r="N400" i="19"/>
  <c r="V400" i="19"/>
  <c r="K404" i="19"/>
  <c r="M404" i="19" s="1"/>
  <c r="O404" i="19" a="1"/>
  <c r="O404" i="19" s="1"/>
  <c r="V395" i="19"/>
  <c r="V409" i="19"/>
  <c r="N409" i="19"/>
  <c r="M386" i="19"/>
  <c r="M394" i="19"/>
  <c r="O397" i="19" a="1"/>
  <c r="O397" i="19" s="1"/>
  <c r="K397" i="19"/>
  <c r="M397" i="19" s="1"/>
  <c r="O399" i="19" a="1"/>
  <c r="O399" i="19" s="1"/>
  <c r="V401" i="19"/>
  <c r="O402" i="19" a="1"/>
  <c r="O402" i="19" s="1"/>
  <c r="K402" i="19"/>
  <c r="M402" i="19" s="1"/>
  <c r="V406" i="19"/>
  <c r="N406" i="19"/>
  <c r="M409" i="19"/>
  <c r="O410" i="19" a="1"/>
  <c r="O410" i="19" s="1"/>
  <c r="K410" i="19"/>
  <c r="M410" i="19" s="1"/>
  <c r="V403" i="19"/>
  <c r="N403" i="19"/>
  <c r="N405" i="19"/>
  <c r="O407" i="19" a="1"/>
  <c r="O407" i="19" s="1"/>
  <c r="K407" i="19"/>
  <c r="M407" i="19" s="1"/>
  <c r="O414" i="19" a="1"/>
  <c r="O414" i="19" s="1"/>
  <c r="M414" i="19"/>
  <c r="O412" i="19" a="1"/>
  <c r="O412" i="19" s="1"/>
  <c r="N414" i="19"/>
  <c r="M403" i="19"/>
  <c r="M408" i="19"/>
  <c r="K416" i="19"/>
  <c r="M416" i="19" s="1"/>
  <c r="P290" i="19" l="1"/>
  <c r="P384" i="19"/>
  <c r="P302" i="19"/>
  <c r="P360" i="19"/>
  <c r="P233" i="19"/>
  <c r="P249" i="19"/>
  <c r="P355" i="19"/>
  <c r="P408" i="19"/>
  <c r="P253" i="19"/>
  <c r="P276" i="19"/>
  <c r="P394" i="19"/>
  <c r="P398" i="19"/>
  <c r="P180" i="19"/>
  <c r="P296" i="19"/>
  <c r="P327" i="19"/>
  <c r="P341" i="19"/>
  <c r="P339" i="19"/>
  <c r="P383" i="19"/>
  <c r="P375" i="19"/>
  <c r="P399" i="19"/>
  <c r="P191" i="19"/>
  <c r="P335" i="19"/>
  <c r="P203" i="19"/>
  <c r="P231" i="19"/>
  <c r="P317" i="19"/>
  <c r="P316" i="19"/>
  <c r="P395" i="19"/>
  <c r="P239" i="19"/>
  <c r="P326" i="19"/>
  <c r="P262" i="19"/>
  <c r="P306" i="19"/>
  <c r="P258" i="19"/>
  <c r="P368" i="19"/>
  <c r="P337" i="19"/>
  <c r="P347" i="19"/>
  <c r="P272" i="19"/>
  <c r="P229" i="19"/>
  <c r="P219" i="19"/>
  <c r="P206" i="19"/>
  <c r="P356" i="19"/>
  <c r="P393" i="19"/>
  <c r="P413" i="19"/>
  <c r="P242" i="19"/>
  <c r="P245" i="19"/>
  <c r="P235" i="19"/>
  <c r="P380" i="19"/>
  <c r="P264" i="19"/>
  <c r="P415" i="19"/>
  <c r="P209" i="19"/>
  <c r="P194" i="19"/>
  <c r="P243" i="19"/>
  <c r="P282" i="19"/>
  <c r="P345" i="19"/>
  <c r="P387" i="19"/>
  <c r="P372" i="19"/>
  <c r="P186" i="19"/>
  <c r="P281" i="19"/>
  <c r="P187" i="19"/>
  <c r="P261" i="19"/>
  <c r="P269" i="19"/>
  <c r="P397" i="19"/>
  <c r="P404" i="19"/>
  <c r="P407" i="19"/>
  <c r="P237" i="19"/>
  <c r="P175" i="19"/>
  <c r="P301" i="19"/>
  <c r="P256" i="19"/>
  <c r="P181" i="19"/>
  <c r="P222" i="19"/>
  <c r="P189" i="19"/>
  <c r="P359" i="19"/>
  <c r="P288" i="19"/>
  <c r="P225" i="19"/>
  <c r="P195" i="19"/>
  <c r="P298" i="19"/>
  <c r="P241" i="19"/>
  <c r="P410" i="19"/>
  <c r="P294" i="19"/>
  <c r="P412" i="19"/>
  <c r="P305" i="19"/>
  <c r="F169" i="19"/>
  <c r="F167" i="19"/>
  <c r="F141" i="19"/>
  <c r="F164" i="19"/>
  <c r="F131" i="19"/>
  <c r="F147" i="19"/>
  <c r="F150" i="19"/>
  <c r="F143" i="19"/>
  <c r="F146" i="19"/>
  <c r="F159" i="19"/>
  <c r="F168" i="19"/>
  <c r="F138" i="19"/>
  <c r="F171" i="19"/>
  <c r="F149" i="19"/>
  <c r="F172" i="19"/>
  <c r="F162" i="19"/>
  <c r="F153" i="19"/>
  <c r="P405" i="19"/>
  <c r="P364" i="19"/>
  <c r="P353" i="19"/>
  <c r="P409" i="19"/>
  <c r="P333" i="19"/>
  <c r="P266" i="19"/>
  <c r="P343" i="19"/>
  <c r="P385" i="19"/>
  <c r="P377" i="19"/>
  <c r="P379" i="19"/>
  <c r="P386" i="19"/>
  <c r="P349" i="19"/>
  <c r="P328" i="19"/>
  <c r="P275" i="19"/>
  <c r="P267" i="19"/>
  <c r="P248" i="19"/>
  <c r="P220" i="19"/>
  <c r="P207" i="19"/>
  <c r="P224" i="19"/>
  <c r="P211" i="19"/>
  <c r="P199" i="19"/>
  <c r="F155" i="19"/>
  <c r="F136" i="19"/>
  <c r="F158" i="19"/>
  <c r="F174" i="19"/>
  <c r="F139" i="19"/>
  <c r="P188" i="19"/>
  <c r="F133" i="19"/>
  <c r="F132" i="19"/>
  <c r="P402" i="19"/>
  <c r="P351" i="19"/>
  <c r="P367" i="19"/>
  <c r="P308" i="19"/>
  <c r="P338" i="19"/>
  <c r="P283" i="19"/>
  <c r="P325" i="19"/>
  <c r="P297" i="19"/>
  <c r="P254" i="19"/>
  <c r="P200" i="19"/>
  <c r="P196" i="19"/>
  <c r="P331" i="19"/>
  <c r="P307" i="19"/>
  <c r="P205" i="19"/>
  <c r="P223" i="19"/>
  <c r="P403" i="19"/>
  <c r="P406" i="19"/>
  <c r="P362" i="19"/>
  <c r="P371" i="19"/>
  <c r="P348" i="19"/>
  <c r="P342" i="19"/>
  <c r="P314" i="19"/>
  <c r="P295" i="19"/>
  <c r="P271" i="19"/>
  <c r="P250" i="19"/>
  <c r="P252" i="19"/>
  <c r="P227" i="19"/>
  <c r="P218" i="19"/>
  <c r="P221" i="19"/>
  <c r="P216" i="19"/>
  <c r="P210" i="19"/>
  <c r="F140" i="19"/>
  <c r="F137" i="19"/>
  <c r="F130" i="19"/>
  <c r="P318" i="19"/>
  <c r="P184" i="19"/>
  <c r="P396" i="19"/>
  <c r="P310" i="19"/>
  <c r="P279" i="19"/>
  <c r="P259" i="19"/>
  <c r="P278" i="19"/>
  <c r="P244" i="19"/>
  <c r="P197" i="19"/>
  <c r="P230" i="19"/>
  <c r="P215" i="19"/>
  <c r="F152" i="19"/>
  <c r="F170" i="19"/>
  <c r="F157" i="19"/>
  <c r="F173" i="19"/>
  <c r="F129" i="19"/>
  <c r="F134" i="19"/>
  <c r="P232" i="19"/>
  <c r="P202" i="19"/>
  <c r="P201" i="19"/>
  <c r="P178" i="19"/>
  <c r="F156" i="19"/>
  <c r="F135" i="19"/>
  <c r="F151" i="19"/>
  <c r="F166" i="19"/>
  <c r="F160" i="19"/>
  <c r="K419" i="19"/>
  <c r="BR54" i="19"/>
  <c r="BS54" i="19" s="1"/>
  <c r="P35" i="19"/>
  <c r="P36" i="19" s="1"/>
  <c r="P208" i="19"/>
  <c r="P382" i="19"/>
  <c r="P346" i="19"/>
  <c r="P299" i="19"/>
  <c r="P292" i="19"/>
  <c r="P300" i="19"/>
  <c r="P260" i="19"/>
  <c r="P263" i="19"/>
  <c r="P228" i="19"/>
  <c r="P414" i="19"/>
  <c r="P400" i="19"/>
  <c r="P365" i="19"/>
  <c r="P354" i="19"/>
  <c r="P352" i="19"/>
  <c r="P361" i="19"/>
  <c r="P255" i="19"/>
  <c r="P277" i="19"/>
  <c r="P240" i="19"/>
  <c r="P274" i="19"/>
  <c r="F163" i="19"/>
  <c r="F145" i="19"/>
  <c r="F161" i="19"/>
  <c r="P176" i="19"/>
  <c r="BB56" i="19"/>
  <c r="M449" i="19" l="1" a="1"/>
  <c r="M449" i="19" s="1"/>
  <c r="M443" i="19" a="1"/>
  <c r="M443" i="19" s="1"/>
  <c r="M444" i="19" a="1"/>
  <c r="M444" i="19" s="1"/>
  <c r="M445" i="19" a="1"/>
  <c r="M445" i="19" s="1"/>
  <c r="M446" i="19" a="1"/>
  <c r="M446" i="19" s="1"/>
  <c r="M447" i="19" a="1"/>
  <c r="M447" i="19" s="1"/>
  <c r="M448" i="19" a="1"/>
  <c r="M448" i="19" s="1"/>
  <c r="M439" i="19" a="1"/>
  <c r="M439" i="19" s="1"/>
  <c r="M431" i="19" a="1"/>
  <c r="M431" i="19" s="1"/>
  <c r="M441" i="19" a="1"/>
  <c r="M441" i="19" s="1"/>
  <c r="M436" i="19" a="1"/>
  <c r="M436" i="19" s="1"/>
  <c r="M442" i="19" a="1"/>
  <c r="M442" i="19" s="1"/>
  <c r="M433" i="19" a="1"/>
  <c r="M433" i="19" s="1"/>
  <c r="M437" i="19" a="1"/>
  <c r="M437" i="19" s="1"/>
  <c r="M434" i="19" a="1"/>
  <c r="M434" i="19" s="1"/>
  <c r="M438" i="19" a="1"/>
  <c r="M438" i="19" s="1"/>
  <c r="M435" i="19" a="1"/>
  <c r="M435" i="19" s="1"/>
  <c r="M440" i="19" a="1"/>
  <c r="M440" i="19" s="1"/>
  <c r="M430" i="19" a="1"/>
  <c r="M430" i="19" s="1"/>
  <c r="M432" i="19" a="1"/>
  <c r="M432" i="19" s="1"/>
  <c r="Y15" i="19" l="1"/>
  <c r="Z15" i="19"/>
  <c r="Z16" i="19" s="1"/>
  <c r="Y16" i="19" l="1"/>
  <c r="L128" i="19" l="1"/>
  <c r="N128" i="19" l="1"/>
  <c r="V128" i="19"/>
  <c r="L131" i="19" l="1"/>
  <c r="Q129" i="19"/>
  <c r="V131" i="19" l="1"/>
  <c r="N131" i="19"/>
  <c r="L132" i="19" l="1"/>
  <c r="Q131" i="19" l="1"/>
  <c r="N132" i="19"/>
  <c r="V132" i="19"/>
  <c r="Q132" i="19" l="1"/>
  <c r="L134" i="19" l="1"/>
  <c r="V134" i="19" l="1"/>
  <c r="N134" i="19"/>
  <c r="L135" i="19" l="1"/>
  <c r="V135" i="19" l="1"/>
  <c r="N135" i="19"/>
  <c r="L138" i="19" l="1"/>
  <c r="V138" i="19" l="1"/>
  <c r="N138" i="19"/>
  <c r="L139" i="19" l="1"/>
  <c r="I140" i="19" l="1"/>
  <c r="V139" i="19"/>
  <c r="N139" i="19"/>
  <c r="K140" i="19" l="1"/>
  <c r="L140" i="19" s="1"/>
  <c r="N140" i="19" l="1"/>
  <c r="V140" i="19"/>
  <c r="M140" i="19"/>
  <c r="I141" i="19" s="1"/>
  <c r="K141" i="19" l="1"/>
  <c r="L141" i="19"/>
  <c r="O140" i="19" a="1"/>
  <c r="O140" i="19" s="1"/>
  <c r="P140" i="19" s="1"/>
  <c r="V141" i="19" l="1"/>
  <c r="N141" i="19"/>
  <c r="M141" i="19"/>
  <c r="I142" i="19" s="1"/>
  <c r="Q140" i="19"/>
  <c r="K142" i="19" l="1"/>
  <c r="L142" i="19" s="1"/>
  <c r="O141" i="19" a="1"/>
  <c r="O141" i="19" s="1"/>
  <c r="N142" i="19" l="1"/>
  <c r="V142" i="19"/>
  <c r="M142" i="19"/>
  <c r="I143" i="19" s="1"/>
  <c r="P141" i="19"/>
  <c r="O142" i="19" l="1" a="1"/>
  <c r="O142" i="19" s="1"/>
  <c r="P142" i="19" s="1"/>
  <c r="Q142" i="19" s="1"/>
  <c r="Q141" i="19"/>
  <c r="K143" i="19"/>
  <c r="L143" i="19" s="1"/>
  <c r="M143" i="19" l="1"/>
  <c r="I144" i="19" s="1"/>
  <c r="K144" i="19" s="1"/>
  <c r="V143" i="19"/>
  <c r="N143" i="19"/>
  <c r="L144" i="19" l="1"/>
  <c r="M144" i="19" s="1"/>
  <c r="I145" i="19" s="1"/>
  <c r="O143" i="19" a="1"/>
  <c r="O143" i="19" s="1"/>
  <c r="P143" i="19" s="1"/>
  <c r="V144" i="19" l="1"/>
  <c r="N144" i="19"/>
  <c r="K145" i="19"/>
  <c r="L145" i="19"/>
  <c r="V145" i="19" s="1"/>
  <c r="O145" i="19" a="1"/>
  <c r="O145" i="19" s="1"/>
  <c r="Q143" i="19"/>
  <c r="O144" i="19" a="1"/>
  <c r="O144" i="19" s="1"/>
  <c r="P144" i="19" l="1"/>
  <c r="Q144" i="19" s="1"/>
  <c r="M145" i="19"/>
  <c r="I146" i="19" s="1"/>
  <c r="K146" i="19" s="1"/>
  <c r="N145" i="19"/>
  <c r="P145" i="19" s="1"/>
  <c r="Q145" i="19" s="1"/>
  <c r="O146" i="19" l="1" a="1"/>
  <c r="O146" i="19" s="1"/>
  <c r="L146" i="19"/>
  <c r="N146" i="19" l="1"/>
  <c r="V146" i="19"/>
  <c r="M146" i="19"/>
  <c r="I147" i="19" s="1"/>
  <c r="P146" i="19" l="1"/>
  <c r="Q146" i="19" s="1"/>
  <c r="K147" i="19"/>
  <c r="L147" i="19" l="1"/>
  <c r="M147" i="19" s="1"/>
  <c r="I148" i="19" s="1"/>
  <c r="V147" i="19" l="1"/>
  <c r="N147" i="19"/>
  <c r="K148" i="19"/>
  <c r="L148" i="19"/>
  <c r="M148" i="19" l="1"/>
  <c r="I149" i="19" s="1"/>
  <c r="K149" i="19" s="1"/>
  <c r="O147" i="19" a="1"/>
  <c r="O147" i="19" s="1"/>
  <c r="P147" i="19" s="1"/>
  <c r="Q147" i="19" s="1"/>
  <c r="V148" i="19"/>
  <c r="N148" i="19"/>
  <c r="L149" i="19" l="1"/>
  <c r="N149" i="19" s="1"/>
  <c r="O148" i="19" a="1"/>
  <c r="O148" i="19" s="1"/>
  <c r="P148" i="19" s="1"/>
  <c r="Q148" i="19" s="1"/>
  <c r="V149" i="19" l="1"/>
  <c r="M149" i="19"/>
  <c r="I150" i="19" s="1"/>
  <c r="K150" i="19" s="1"/>
  <c r="O149" i="19" a="1"/>
  <c r="O149" i="19" s="1"/>
  <c r="P149" i="19" s="1"/>
  <c r="Q149" i="19" s="1"/>
  <c r="L150" i="19" l="1"/>
  <c r="M150" i="19" s="1"/>
  <c r="I151" i="19" s="1"/>
  <c r="O150" i="19" a="1"/>
  <c r="O150" i="19" s="1"/>
  <c r="N150" i="19" l="1"/>
  <c r="P150" i="19" s="1"/>
  <c r="Q150" i="19" s="1"/>
  <c r="V150" i="19"/>
  <c r="O151" i="19" a="1"/>
  <c r="O151" i="19" s="1"/>
  <c r="K151" i="19"/>
  <c r="L151" i="19" s="1"/>
  <c r="V151" i="19" l="1"/>
  <c r="N151" i="19"/>
  <c r="M151" i="19"/>
  <c r="P151" i="19" l="1"/>
  <c r="Q151" i="19" s="1"/>
  <c r="I152" i="19"/>
  <c r="M427" i="19" a="1"/>
  <c r="M427" i="19" s="1"/>
  <c r="K152" i="19" l="1"/>
  <c r="U129" i="19" a="1"/>
  <c r="U129" i="19" s="1"/>
  <c r="U130" i="19" l="1" a="1"/>
  <c r="U130" i="19" s="1"/>
  <c r="L152" i="19"/>
  <c r="V152" i="19" l="1"/>
  <c r="N152" i="19"/>
  <c r="M152" i="19"/>
  <c r="I153" i="19" s="1"/>
  <c r="K153" i="19" l="1"/>
  <c r="O152" i="19" a="1"/>
  <c r="O152" i="19" s="1"/>
  <c r="P152" i="19" l="1"/>
  <c r="L153" i="19"/>
  <c r="U131" i="19" a="1"/>
  <c r="U131" i="19" s="1"/>
  <c r="AF129" i="19" l="1" a="1"/>
  <c r="AF129" i="19" s="1"/>
  <c r="V153" i="19"/>
  <c r="N153" i="19"/>
  <c r="Q152" i="19"/>
  <c r="M153" i="19"/>
  <c r="I154" i="19" s="1"/>
  <c r="K154" i="19" l="1"/>
  <c r="L154" i="19" s="1"/>
  <c r="O153" i="19" a="1"/>
  <c r="O153" i="19" s="1"/>
  <c r="U132" i="19" a="1"/>
  <c r="U132" i="19" s="1"/>
  <c r="N154" i="19" l="1"/>
  <c r="V154" i="19"/>
  <c r="M154" i="19"/>
  <c r="I155" i="19" s="1"/>
  <c r="AF130" i="19" a="1"/>
  <c r="AF130" i="19" s="1"/>
  <c r="P153" i="19"/>
  <c r="AR129" i="19" l="1" a="1"/>
  <c r="AR129" i="19" s="1"/>
  <c r="AF131" i="19" a="1"/>
  <c r="AF131" i="19" s="1"/>
  <c r="U133" i="19" a="1"/>
  <c r="U133" i="19" s="1"/>
  <c r="K155" i="19"/>
  <c r="L155" i="19"/>
  <c r="Q153" i="19"/>
  <c r="O154" i="19" a="1"/>
  <c r="O154" i="19" s="1"/>
  <c r="P154" i="19" s="1"/>
  <c r="Q154" i="19" s="1"/>
  <c r="M155" i="19" l="1"/>
  <c r="I156" i="19" s="1"/>
  <c r="K156" i="19" s="1"/>
  <c r="AF132" i="19" a="1"/>
  <c r="AF132" i="19" s="1"/>
  <c r="N155" i="19"/>
  <c r="V155" i="19"/>
  <c r="AF133" i="19" l="1" a="1"/>
  <c r="AF133" i="19" s="1"/>
  <c r="L156" i="19"/>
  <c r="U134" i="19" a="1"/>
  <c r="U134" i="19" s="1"/>
  <c r="O155" i="19" a="1"/>
  <c r="O155" i="19" s="1"/>
  <c r="P155" i="19" s="1"/>
  <c r="Q155" i="19" l="1"/>
  <c r="V156" i="19"/>
  <c r="N156" i="19"/>
  <c r="AR130" i="19" a="1"/>
  <c r="AR130" i="19" s="1"/>
  <c r="M156" i="19"/>
  <c r="I157" i="19" s="1"/>
  <c r="K157" i="19" l="1"/>
  <c r="AR131" i="19" a="1"/>
  <c r="AR131" i="19" s="1"/>
  <c r="O156" i="19" a="1"/>
  <c r="O156" i="19" s="1"/>
  <c r="P156" i="19" s="1"/>
  <c r="Q156" i="19" s="1"/>
  <c r="L157" i="19" l="1"/>
  <c r="M157" i="19" s="1"/>
  <c r="I158" i="19" s="1"/>
  <c r="AF134" i="19" a="1"/>
  <c r="AF134" i="19" s="1"/>
  <c r="AF135" i="19" l="1" a="1"/>
  <c r="AF135" i="19" s="1"/>
  <c r="AR132" i="19" a="1"/>
  <c r="AR132" i="19" s="1"/>
  <c r="K158" i="19"/>
  <c r="V157" i="19"/>
  <c r="N157" i="19"/>
  <c r="AF136" i="19" l="1" a="1"/>
  <c r="AF136" i="19" s="1"/>
  <c r="L158" i="19"/>
  <c r="M158" i="19" s="1"/>
  <c r="I159" i="19" s="1"/>
  <c r="O157" i="19" a="1"/>
  <c r="O157" i="19" s="1"/>
  <c r="P157" i="19" s="1"/>
  <c r="Q157" i="19" s="1"/>
  <c r="K159" i="19" l="1"/>
  <c r="L159" i="19"/>
  <c r="U138" i="19" a="1"/>
  <c r="U138" i="19" s="1"/>
  <c r="N158" i="19"/>
  <c r="V158" i="19"/>
  <c r="AF137" i="19" a="1"/>
  <c r="AF137" i="19" s="1"/>
  <c r="M159" i="19" l="1"/>
  <c r="I160" i="19" s="1"/>
  <c r="K160" i="19" s="1"/>
  <c r="V159" i="19"/>
  <c r="N159" i="19"/>
  <c r="AR134" i="19" a="1"/>
  <c r="AR134" i="19" s="1"/>
  <c r="O158" i="19" a="1"/>
  <c r="O158" i="19" s="1"/>
  <c r="P158" i="19" s="1"/>
  <c r="Q158" i="19" s="1"/>
  <c r="L160" i="19" l="1"/>
  <c r="M160" i="19" s="1"/>
  <c r="I161" i="19" s="1"/>
  <c r="U139" i="19" a="1"/>
  <c r="U139" i="19" s="1"/>
  <c r="O159" i="19" a="1"/>
  <c r="O159" i="19" s="1"/>
  <c r="P159" i="19" s="1"/>
  <c r="Q159" i="19" s="1"/>
  <c r="V160" i="19" l="1"/>
  <c r="K161" i="19"/>
  <c r="N160" i="19"/>
  <c r="AF139" i="19" a="1"/>
  <c r="AF139" i="19" s="1"/>
  <c r="AR135" i="19" a="1"/>
  <c r="AR135" i="19" s="1"/>
  <c r="O160" i="19" a="1"/>
  <c r="O160" i="19" s="1"/>
  <c r="P160" i="19" l="1"/>
  <c r="Q160" i="19" s="1"/>
  <c r="L161" i="19"/>
  <c r="O161" i="19" a="1"/>
  <c r="O161" i="19" s="1"/>
  <c r="V161" i="19" l="1"/>
  <c r="N161" i="19"/>
  <c r="P161" i="19" s="1"/>
  <c r="Q161" i="19" s="1"/>
  <c r="M161" i="19"/>
  <c r="I162" i="19" s="1"/>
  <c r="I164" i="19"/>
  <c r="M428" i="19" a="1"/>
  <c r="M428" i="19" s="1"/>
  <c r="K162" i="19" l="1"/>
  <c r="L162" i="19" s="1"/>
  <c r="O162" i="19" a="1"/>
  <c r="O162" i="19" s="1"/>
  <c r="U140" i="19" a="1"/>
  <c r="U140" i="19" s="1"/>
  <c r="K164" i="19"/>
  <c r="V162" i="19" l="1"/>
  <c r="N162" i="19"/>
  <c r="P162" i="19" s="1"/>
  <c r="Q162" i="19" s="1"/>
  <c r="M162" i="19"/>
  <c r="I163" i="19" s="1"/>
  <c r="AF140" i="19" a="1"/>
  <c r="AF140" i="19" s="1"/>
  <c r="AR137" i="19" a="1"/>
  <c r="AR137" i="19" s="1"/>
  <c r="L164" i="19"/>
  <c r="O163" i="19" l="1" a="1"/>
  <c r="O163" i="19" s="1"/>
  <c r="K163" i="19"/>
  <c r="L163" i="19"/>
  <c r="V164" i="19"/>
  <c r="N164" i="19"/>
  <c r="M164" i="19"/>
  <c r="I165" i="19" s="1"/>
  <c r="V163" i="19" l="1"/>
  <c r="N163" i="19"/>
  <c r="P163" i="19" s="1"/>
  <c r="Q163" i="19" s="1"/>
  <c r="M163" i="19"/>
  <c r="O164" i="19" a="1"/>
  <c r="O164" i="19" s="1"/>
  <c r="P164" i="19" s="1"/>
  <c r="K165" i="19"/>
  <c r="L165" i="19" s="1"/>
  <c r="U141" i="19" a="1"/>
  <c r="U141" i="19" s="1"/>
  <c r="Q164" i="19" l="1"/>
  <c r="V165" i="19"/>
  <c r="N165" i="19"/>
  <c r="M165" i="19"/>
  <c r="I166" i="19" s="1"/>
  <c r="AR139" i="19" a="1"/>
  <c r="AR139" i="19" s="1"/>
  <c r="O165" i="19" l="1" a="1"/>
  <c r="O165" i="19" s="1"/>
  <c r="U142" i="19" a="1"/>
  <c r="U142" i="19" s="1"/>
  <c r="K166" i="19"/>
  <c r="P165" i="19" l="1"/>
  <c r="L166" i="19"/>
  <c r="AR140" i="19" l="1" a="1"/>
  <c r="AR140" i="19" s="1"/>
  <c r="U143" i="19" a="1"/>
  <c r="U143" i="19" s="1"/>
  <c r="AF141" i="19" a="1"/>
  <c r="AF141" i="19" s="1"/>
  <c r="N166" i="19"/>
  <c r="V166" i="19"/>
  <c r="Q165" i="19"/>
  <c r="M166" i="19"/>
  <c r="I167" i="19" s="1"/>
  <c r="O166" i="19" l="1" a="1"/>
  <c r="O166" i="19" s="1"/>
  <c r="P166" i="19" s="1"/>
  <c r="K167" i="19"/>
  <c r="L167" i="19" s="1"/>
  <c r="M167" i="19" l="1"/>
  <c r="I168" i="19" s="1"/>
  <c r="K168" i="19" s="1"/>
  <c r="L168" i="19" s="1"/>
  <c r="Q166" i="19"/>
  <c r="U144" i="19" a="1"/>
  <c r="U144" i="19" s="1"/>
  <c r="N167" i="19"/>
  <c r="V167" i="19"/>
  <c r="M168" i="19" l="1"/>
  <c r="I169" i="19" s="1"/>
  <c r="K169" i="19" s="1"/>
  <c r="AF142" i="19" a="1"/>
  <c r="AF142" i="19" s="1"/>
  <c r="O167" i="19" a="1"/>
  <c r="O167" i="19" s="1"/>
  <c r="P167" i="19" s="1"/>
  <c r="V168" i="19"/>
  <c r="N168" i="19"/>
  <c r="L169" i="19" l="1"/>
  <c r="M169" i="19" s="1"/>
  <c r="I170" i="19" s="1"/>
  <c r="O168" i="19" a="1"/>
  <c r="O168" i="19" s="1"/>
  <c r="P168" i="19" s="1"/>
  <c r="Q168" i="19" s="1"/>
  <c r="AF143" i="19" a="1"/>
  <c r="AF143" i="19" s="1"/>
  <c r="AR141" i="19" a="1"/>
  <c r="AR141" i="19" s="1"/>
  <c r="Q167" i="19"/>
  <c r="N169" i="19" l="1"/>
  <c r="V169" i="19"/>
  <c r="AF144" i="19" a="1"/>
  <c r="AF144" i="19" s="1"/>
  <c r="K170" i="19"/>
  <c r="O169" i="19" a="1"/>
  <c r="O169" i="19" s="1"/>
  <c r="U145" i="19" a="1"/>
  <c r="U145" i="19" s="1"/>
  <c r="P169" i="19" l="1"/>
  <c r="Q169" i="19" s="1"/>
  <c r="L170" i="19"/>
  <c r="M170" i="19" s="1"/>
  <c r="I171" i="19" s="1"/>
  <c r="AR142" i="19" a="1"/>
  <c r="AR142" i="19" s="1"/>
  <c r="N170" i="19" l="1"/>
  <c r="V170" i="19"/>
  <c r="K171" i="19"/>
  <c r="U146" i="19" a="1"/>
  <c r="U146" i="19" s="1"/>
  <c r="O170" i="19" a="1"/>
  <c r="O170" i="19" s="1"/>
  <c r="P170" i="19" l="1"/>
  <c r="Q170" i="19" s="1"/>
  <c r="L171" i="19"/>
  <c r="AR143" i="19" a="1"/>
  <c r="AR143" i="19" s="1"/>
  <c r="O171" i="19" a="1"/>
  <c r="O171" i="19" s="1"/>
  <c r="V171" i="19" l="1"/>
  <c r="N171" i="19"/>
  <c r="P171" i="19" s="1"/>
  <c r="Q171" i="19" s="1"/>
  <c r="M171" i="19"/>
  <c r="I172" i="19" s="1"/>
  <c r="AF145" i="19" a="1"/>
  <c r="AF145" i="19" s="1"/>
  <c r="K172" i="19" l="1"/>
  <c r="L172" i="19" s="1"/>
  <c r="O172" i="19" a="1"/>
  <c r="O172" i="19" s="1"/>
  <c r="AF146" i="19" a="1"/>
  <c r="AF146" i="19" s="1"/>
  <c r="U147" i="19" a="1"/>
  <c r="U147" i="19" s="1"/>
  <c r="V172" i="19" l="1"/>
  <c r="N172" i="19"/>
  <c r="P172" i="19" s="1"/>
  <c r="Q172" i="19" s="1"/>
  <c r="M172" i="19"/>
  <c r="I173" i="19" s="1"/>
  <c r="K173" i="19" l="1"/>
  <c r="O173" i="19" a="1"/>
  <c r="O173" i="19" s="1"/>
  <c r="U148" i="19" a="1"/>
  <c r="U148" i="19" s="1"/>
  <c r="AR145" i="19" a="1"/>
  <c r="AR145" i="19" s="1"/>
  <c r="L173" i="19" l="1"/>
  <c r="V173" i="19" l="1"/>
  <c r="N173" i="19"/>
  <c r="M173" i="19"/>
  <c r="I174" i="19" s="1"/>
  <c r="AF148" i="19" a="1"/>
  <c r="AF148" i="19" s="1"/>
  <c r="AR146" i="19" a="1"/>
  <c r="AR146" i="19" s="1"/>
  <c r="K174" i="19" l="1"/>
  <c r="L174" i="19" s="1"/>
  <c r="O174" i="19" a="1"/>
  <c r="O174" i="19" s="1"/>
  <c r="P173" i="19"/>
  <c r="U149" i="19" a="1"/>
  <c r="U149" i="19" s="1"/>
  <c r="M174" i="19" l="1"/>
  <c r="M429" i="19" s="1" a="1"/>
  <c r="M429" i="19" s="1"/>
  <c r="Q173" i="19"/>
  <c r="N174" i="19"/>
  <c r="V174" i="19"/>
  <c r="U150" i="19" a="1"/>
  <c r="U150" i="19" s="1"/>
  <c r="AR147" i="19" a="1"/>
  <c r="AR147" i="19" s="1"/>
  <c r="P174" i="19" l="1"/>
  <c r="AF149" i="19" a="1"/>
  <c r="AF149" i="19" s="1"/>
  <c r="Q174" i="19" l="1"/>
  <c r="AF150" i="19" a="1"/>
  <c r="AF150" i="19" s="1"/>
  <c r="AR148" i="19" a="1"/>
  <c r="AR148" i="19" s="1"/>
  <c r="U151" i="19" a="1"/>
  <c r="U151" i="19" s="1"/>
  <c r="AR149" i="19" l="1" a="1"/>
  <c r="AR149" i="19" s="1"/>
  <c r="AF151" i="19" l="1" a="1"/>
  <c r="AF151" i="19" s="1"/>
  <c r="U152" i="19" a="1"/>
  <c r="U152" i="19" s="1"/>
  <c r="AR150" i="19" l="1" a="1"/>
  <c r="AR150" i="19" s="1"/>
  <c r="U153" i="19" l="1" a="1"/>
  <c r="U153" i="19" s="1"/>
  <c r="AR151" i="19" a="1"/>
  <c r="AR151" i="19" s="1"/>
  <c r="AR152" i="19" l="1" a="1"/>
  <c r="AR152" i="19" s="1"/>
  <c r="U154" i="19" a="1"/>
  <c r="U154" i="19" s="1"/>
  <c r="AF153" i="19" l="1" a="1"/>
  <c r="AF153" i="19" s="1"/>
  <c r="U155" i="19" l="1" a="1"/>
  <c r="U155" i="19" s="1"/>
  <c r="AF154" i="19" l="1" a="1"/>
  <c r="AF154" i="19" s="1"/>
  <c r="U156" i="19" l="1" a="1"/>
  <c r="U156" i="19" s="1"/>
  <c r="AR153" i="19" l="1" a="1"/>
  <c r="AR153" i="19" s="1"/>
  <c r="AF155" i="19" l="1" a="1"/>
  <c r="AF155" i="19" s="1"/>
  <c r="AF156" i="19" l="1" a="1"/>
  <c r="AF156" i="19" s="1"/>
  <c r="AR154" i="19" a="1"/>
  <c r="AR154" i="19" s="1"/>
  <c r="U157" i="19" a="1"/>
  <c r="U157" i="19" s="1"/>
  <c r="AF157" i="19" l="1" a="1"/>
  <c r="AF157" i="19" s="1"/>
  <c r="AR155" i="19" l="1" a="1"/>
  <c r="AR155" i="19" s="1"/>
  <c r="U159" i="19" l="1" a="1"/>
  <c r="U159" i="19" s="1"/>
  <c r="AF158" i="19" l="1" a="1"/>
  <c r="AF158" i="19" s="1"/>
  <c r="U160" i="19" l="1" a="1"/>
  <c r="U160" i="19" s="1"/>
  <c r="AF159" i="19" a="1"/>
  <c r="AF159" i="19" s="1"/>
  <c r="U161" i="19" l="1" a="1"/>
  <c r="U161" i="19" s="1"/>
  <c r="AF160" i="19" a="1"/>
  <c r="AF160" i="19" s="1"/>
  <c r="AR158" i="19" a="1"/>
  <c r="AR158" i="19" s="1"/>
  <c r="AR159" i="19" l="1" a="1"/>
  <c r="AR159" i="19" s="1"/>
  <c r="U162" i="19" a="1"/>
  <c r="U162" i="19" s="1"/>
  <c r="AF161" i="19" a="1"/>
  <c r="AF161" i="19" s="1"/>
  <c r="AF162" i="19" l="1" a="1"/>
  <c r="AF162" i="19" s="1"/>
  <c r="U163" i="19" l="1" a="1"/>
  <c r="U163" i="19" s="1"/>
  <c r="AF163" i="19" l="1" a="1"/>
  <c r="AF163" i="19" s="1"/>
  <c r="AR160" i="19" a="1"/>
  <c r="AR160" i="19" s="1"/>
  <c r="U164" i="19" l="1" a="1"/>
  <c r="U164" i="19" s="1"/>
  <c r="AR161" i="19" a="1"/>
  <c r="AR161" i="19" s="1"/>
  <c r="AF164" i="19" l="1" a="1"/>
  <c r="AF164" i="19" s="1"/>
  <c r="AR162" i="19" l="1" a="1"/>
  <c r="AR162" i="19" s="1"/>
  <c r="U165" i="19" a="1"/>
  <c r="U165" i="19" s="1"/>
  <c r="AR163" i="19" l="1" a="1"/>
  <c r="AR163" i="19" s="1"/>
  <c r="U166" i="19" a="1"/>
  <c r="U166" i="19" s="1"/>
  <c r="U167" i="19" l="1" a="1"/>
  <c r="U167" i="19" s="1"/>
  <c r="AF165" i="19" a="1"/>
  <c r="AF165" i="19" s="1"/>
  <c r="AR164" i="19" l="1" a="1"/>
  <c r="AR164" i="19" s="1"/>
  <c r="U168" i="19" l="1" a="1"/>
  <c r="U168" i="19" s="1"/>
  <c r="AF166" i="19" a="1"/>
  <c r="AF166" i="19" s="1"/>
  <c r="AR165" i="19" l="1" a="1"/>
  <c r="AR165" i="19" s="1"/>
  <c r="U169" i="19" l="1" a="1"/>
  <c r="U169" i="19" s="1"/>
  <c r="U170" i="19" l="1" a="1"/>
  <c r="U170" i="19" s="1"/>
  <c r="AF168" i="19" a="1"/>
  <c r="AF168" i="19" s="1"/>
  <c r="AR166" i="19" a="1"/>
  <c r="AR166" i="19" s="1"/>
  <c r="AF169" i="19" l="1" a="1"/>
  <c r="AF169" i="19" s="1"/>
  <c r="AF170" i="19" l="1" a="1"/>
  <c r="AF170" i="19" s="1"/>
  <c r="AR167" i="19" l="1" a="1"/>
  <c r="AR167" i="19" s="1"/>
  <c r="U171" i="19" a="1"/>
  <c r="U171" i="19" s="1"/>
  <c r="AF171" i="19" l="1" a="1"/>
  <c r="AF171" i="19" s="1"/>
  <c r="U172" i="19" l="1" a="1"/>
  <c r="U172" i="19" s="1"/>
  <c r="AR168" i="19" a="1"/>
  <c r="AR168" i="19" s="1"/>
  <c r="AF172" i="19" l="1" a="1"/>
  <c r="AF172" i="19" s="1"/>
  <c r="U173" i="19" a="1"/>
  <c r="U173" i="19" s="1"/>
  <c r="AR169" i="19" a="1"/>
  <c r="AR169" i="19" s="1"/>
  <c r="AF173" i="19" l="1" a="1"/>
  <c r="AF173" i="19" s="1"/>
  <c r="AR170" i="19" l="1" a="1"/>
  <c r="AR170" i="19" s="1"/>
  <c r="U174" i="19" a="1"/>
  <c r="U174" i="19" s="1"/>
  <c r="AF174" i="19" l="1" a="1"/>
  <c r="AF174" i="19" s="1"/>
  <c r="AR171" i="19" l="1" a="1"/>
  <c r="AR171" i="19" s="1"/>
  <c r="AR172" i="19" l="1" a="1"/>
  <c r="AR172" i="19" s="1"/>
  <c r="AR173" i="19" l="1" a="1"/>
  <c r="AR173" i="19" s="1"/>
  <c r="AR174" i="19" l="1" a="1"/>
  <c r="AR174" i="19" s="1"/>
  <c r="L9" i="15" l="1"/>
  <c r="M9" i="15"/>
  <c r="N9" i="15"/>
  <c r="O9" i="15"/>
  <c r="P9" i="15"/>
  <c r="Q9" i="15"/>
  <c r="R9" i="15"/>
  <c r="S9" i="15"/>
  <c r="T9" i="15"/>
  <c r="U9" i="15"/>
  <c r="AJ5" i="15" a="1"/>
  <c r="AJ6" i="15"/>
  <c r="AP6" i="15"/>
  <c r="AQ6" i="15"/>
  <c r="AR6" i="15"/>
  <c r="AS6" i="15"/>
  <c r="AH9" i="15"/>
  <c r="G8" i="17" a="1"/>
  <c r="F8" i="17" a="1"/>
  <c r="K9" i="15" l="1"/>
  <c r="J74" i="17"/>
  <c r="J75" i="17"/>
  <c r="J77" i="17"/>
  <c r="J78" i="17"/>
  <c r="J79" i="17"/>
  <c r="J80" i="17"/>
  <c r="J71" i="17"/>
  <c r="J70" i="17"/>
  <c r="J68" i="17"/>
  <c r="J67" i="17"/>
  <c r="J65" i="17"/>
  <c r="J63" i="17"/>
  <c r="J61" i="17"/>
  <c r="J59" i="17"/>
  <c r="J56" i="17"/>
  <c r="J54" i="17"/>
  <c r="J52" i="17"/>
  <c r="J50" i="17"/>
  <c r="J48" i="17"/>
  <c r="J46" i="17"/>
  <c r="J44" i="17"/>
  <c r="J42" i="17"/>
  <c r="J40" i="17"/>
  <c r="J38" i="17"/>
  <c r="J36" i="17"/>
  <c r="J34" i="17"/>
  <c r="J32" i="17"/>
  <c r="J30" i="17"/>
  <c r="J27" i="17"/>
  <c r="J25" i="17"/>
  <c r="J23" i="17"/>
  <c r="J21" i="17"/>
  <c r="J19" i="17"/>
  <c r="J18" i="17"/>
  <c r="J16" i="17"/>
  <c r="J14" i="17"/>
  <c r="J12" i="17"/>
  <c r="J10" i="17"/>
  <c r="J73" i="17"/>
  <c r="J76" i="17"/>
  <c r="J72" i="17"/>
  <c r="J69" i="17"/>
  <c r="J66" i="17"/>
  <c r="J64" i="17"/>
  <c r="J62" i="17"/>
  <c r="J60" i="17"/>
  <c r="J58" i="17"/>
  <c r="J57" i="17"/>
  <c r="J55" i="17"/>
  <c r="J53" i="17"/>
  <c r="J51" i="17"/>
  <c r="J49" i="17"/>
  <c r="J47" i="17"/>
  <c r="J45" i="17"/>
  <c r="J43" i="17"/>
  <c r="J41" i="17"/>
  <c r="J39" i="17"/>
  <c r="J37" i="17"/>
  <c r="J35" i="17"/>
  <c r="J33" i="17"/>
  <c r="J31" i="17"/>
  <c r="J29" i="17"/>
  <c r="J28" i="17"/>
  <c r="J26" i="17"/>
  <c r="J24" i="17"/>
  <c r="J22" i="17"/>
  <c r="J20" i="17"/>
  <c r="J17" i="17"/>
  <c r="J15" i="17"/>
  <c r="J13" i="17"/>
  <c r="J11" i="17"/>
  <c r="J9" i="17"/>
  <c r="G8" i="17"/>
  <c r="F8" i="17"/>
  <c r="E56" i="19" a="1"/>
  <c r="G7" i="19"/>
  <c r="R9" i="19" s="1"/>
  <c r="AK6" i="15"/>
  <c r="AL6" i="15" s="1"/>
  <c r="AM6" i="15" s="1"/>
  <c r="AN6" i="15" s="1"/>
  <c r="AO6" i="15" s="1"/>
  <c r="AJ5" i="15"/>
  <c r="D55" i="17"/>
  <c r="B55" i="17"/>
  <c r="D54" i="17"/>
  <c r="B54" i="17"/>
  <c r="D53" i="17"/>
  <c r="B53" i="17"/>
  <c r="D52" i="17"/>
  <c r="B52" i="17"/>
  <c r="D51" i="17"/>
  <c r="B51" i="17"/>
  <c r="D50" i="17"/>
  <c r="B50" i="17"/>
  <c r="D49" i="17"/>
  <c r="B49" i="17"/>
  <c r="D48" i="17"/>
  <c r="B48" i="17"/>
  <c r="D47" i="17"/>
  <c r="B47" i="17"/>
  <c r="D46" i="17"/>
  <c r="B46" i="17"/>
  <c r="D45" i="17"/>
  <c r="B45" i="17"/>
  <c r="D44" i="17"/>
  <c r="B44" i="17"/>
  <c r="D43" i="17"/>
  <c r="B43" i="17"/>
  <c r="D42" i="17"/>
  <c r="B42" i="17"/>
  <c r="D41" i="17"/>
  <c r="B41" i="17"/>
  <c r="D40" i="17"/>
  <c r="B40" i="17"/>
  <c r="D39" i="17"/>
  <c r="B39" i="17"/>
  <c r="D38" i="17"/>
  <c r="B38" i="17"/>
  <c r="D37" i="17"/>
  <c r="B37" i="17"/>
  <c r="D36" i="17"/>
  <c r="B36" i="17"/>
  <c r="D35" i="17"/>
  <c r="B35" i="17"/>
  <c r="D34" i="17"/>
  <c r="B34" i="17"/>
  <c r="D33" i="17"/>
  <c r="B33" i="17"/>
  <c r="D32" i="17"/>
  <c r="B32" i="17"/>
  <c r="D31" i="17"/>
  <c r="B31" i="17"/>
  <c r="D30" i="17"/>
  <c r="B30" i="17"/>
  <c r="D29" i="17"/>
  <c r="B29" i="17"/>
  <c r="D28" i="17"/>
  <c r="B28" i="17"/>
  <c r="D27" i="17"/>
  <c r="B27" i="17"/>
  <c r="D26" i="17"/>
  <c r="B26" i="17"/>
  <c r="D25" i="17"/>
  <c r="B25" i="17"/>
  <c r="D24" i="17"/>
  <c r="B24" i="17"/>
  <c r="D23" i="17"/>
  <c r="B23" i="17"/>
  <c r="D22" i="17"/>
  <c r="B22" i="17"/>
  <c r="D21" i="17"/>
  <c r="B21" i="17"/>
  <c r="D20" i="17"/>
  <c r="B20" i="17"/>
  <c r="D19" i="17"/>
  <c r="B19" i="17"/>
  <c r="D18" i="17"/>
  <c r="B18" i="17"/>
  <c r="D17" i="17"/>
  <c r="B17" i="17"/>
  <c r="D16" i="17"/>
  <c r="B16" i="17"/>
  <c r="D15" i="17"/>
  <c r="B15" i="17"/>
  <c r="D14" i="17"/>
  <c r="B14" i="17"/>
  <c r="D13" i="17"/>
  <c r="B13" i="17"/>
  <c r="D12" i="17"/>
  <c r="B12" i="17"/>
  <c r="D11" i="17"/>
  <c r="B11" i="17"/>
  <c r="AQ31" i="16"/>
  <c r="AQ29" i="16"/>
  <c r="AQ23" i="16"/>
  <c r="AQ18" i="16"/>
  <c r="AX7" i="16"/>
  <c r="AW7" i="16"/>
  <c r="AV7" i="16"/>
  <c r="AU7" i="16"/>
  <c r="AT7" i="16"/>
  <c r="AS7" i="16"/>
  <c r="AQ7" i="16"/>
  <c r="T53" i="16"/>
  <c r="T52" i="16"/>
  <c r="T51" i="16"/>
  <c r="T50" i="16"/>
  <c r="T49" i="16"/>
  <c r="T48" i="16"/>
  <c r="T47" i="16"/>
  <c r="T46" i="16"/>
  <c r="T45" i="16"/>
  <c r="T44" i="16"/>
  <c r="T43" i="16"/>
  <c r="T42" i="16"/>
  <c r="T41" i="16"/>
  <c r="T40" i="16"/>
  <c r="T39" i="16"/>
  <c r="T38" i="16"/>
  <c r="T37" i="16"/>
  <c r="T36" i="16"/>
  <c r="T35" i="16"/>
  <c r="T34" i="16"/>
  <c r="T33" i="16"/>
  <c r="T32" i="16"/>
  <c r="T31" i="16"/>
  <c r="T30" i="16"/>
  <c r="T29" i="16"/>
  <c r="T28" i="16"/>
  <c r="T27" i="16"/>
  <c r="T26" i="16"/>
  <c r="T25" i="16"/>
  <c r="T24" i="16"/>
  <c r="T23" i="16"/>
  <c r="T22" i="16"/>
  <c r="T21" i="16"/>
  <c r="T20" i="16"/>
  <c r="T19" i="16"/>
  <c r="T18" i="16"/>
  <c r="T17" i="16"/>
  <c r="T16" i="16"/>
  <c r="T15" i="16"/>
  <c r="T14" i="16"/>
  <c r="T13" i="16"/>
  <c r="T12" i="16"/>
  <c r="T11" i="16"/>
  <c r="T10" i="16"/>
  <c r="T9" i="16"/>
  <c r="AM53" i="16"/>
  <c r="AM52" i="16"/>
  <c r="AM51" i="16"/>
  <c r="AM50" i="16"/>
  <c r="AM49" i="16"/>
  <c r="AM48" i="16"/>
  <c r="AM47" i="16"/>
  <c r="AM46" i="16"/>
  <c r="AM45" i="16"/>
  <c r="AM44" i="16"/>
  <c r="AM43" i="16"/>
  <c r="AM42" i="16"/>
  <c r="AM41" i="16"/>
  <c r="AM40" i="16"/>
  <c r="AM39" i="16"/>
  <c r="AM38" i="16"/>
  <c r="AM37" i="16"/>
  <c r="AM36" i="16"/>
  <c r="AM35" i="16"/>
  <c r="AM34" i="16"/>
  <c r="AM33" i="16"/>
  <c r="AM32" i="16"/>
  <c r="AM31" i="16"/>
  <c r="AM30" i="16"/>
  <c r="AM29" i="16"/>
  <c r="AM28" i="16"/>
  <c r="AM27" i="16"/>
  <c r="AM26" i="16"/>
  <c r="AM25" i="16"/>
  <c r="AM24" i="16"/>
  <c r="AM23" i="16"/>
  <c r="AM22" i="16"/>
  <c r="AM21" i="16"/>
  <c r="AM20" i="16"/>
  <c r="AM19" i="16"/>
  <c r="AM18" i="16"/>
  <c r="AM17" i="16"/>
  <c r="AM16" i="16"/>
  <c r="AM15" i="16"/>
  <c r="AM14" i="16"/>
  <c r="AM13" i="16"/>
  <c r="AM12" i="16"/>
  <c r="AM11" i="16"/>
  <c r="AM10" i="16"/>
  <c r="AM9" i="16"/>
  <c r="AA8" i="16"/>
  <c r="Z8" i="16"/>
  <c r="Y8" i="16"/>
  <c r="V8" i="16"/>
  <c r="V53" i="16"/>
  <c r="V52" i="16"/>
  <c r="V51" i="16"/>
  <c r="V50" i="16"/>
  <c r="V49" i="16"/>
  <c r="V48" i="16"/>
  <c r="V47" i="16"/>
  <c r="V46" i="16"/>
  <c r="V45" i="16"/>
  <c r="V44" i="16"/>
  <c r="V43" i="16"/>
  <c r="V42" i="16"/>
  <c r="V41" i="16"/>
  <c r="V40" i="16"/>
  <c r="V39" i="16"/>
  <c r="V38" i="16"/>
  <c r="V37" i="16"/>
  <c r="V36" i="16"/>
  <c r="V35" i="16"/>
  <c r="V34" i="16"/>
  <c r="V33" i="16"/>
  <c r="V32" i="16"/>
  <c r="V31" i="16"/>
  <c r="V30" i="16"/>
  <c r="V29" i="16"/>
  <c r="V28" i="16"/>
  <c r="V27" i="16"/>
  <c r="V26" i="16"/>
  <c r="V25" i="16"/>
  <c r="V24" i="16"/>
  <c r="V23" i="16"/>
  <c r="V22" i="16"/>
  <c r="V21" i="16"/>
  <c r="V20" i="16"/>
  <c r="V19" i="16"/>
  <c r="V18" i="16"/>
  <c r="V17" i="16"/>
  <c r="V16" i="16"/>
  <c r="V15" i="16"/>
  <c r="V14" i="16"/>
  <c r="V13" i="16"/>
  <c r="V12" i="16"/>
  <c r="V11" i="16"/>
  <c r="V10" i="16"/>
  <c r="V9" i="16"/>
  <c r="U53" i="16"/>
  <c r="U52" i="16"/>
  <c r="U51" i="16"/>
  <c r="U50" i="16"/>
  <c r="U49" i="16"/>
  <c r="U48" i="16"/>
  <c r="U47" i="16"/>
  <c r="U46" i="16"/>
  <c r="U45" i="16"/>
  <c r="U44" i="16"/>
  <c r="U43" i="16"/>
  <c r="U42" i="16"/>
  <c r="U41" i="16"/>
  <c r="U40" i="16"/>
  <c r="U39" i="16"/>
  <c r="U38" i="16"/>
  <c r="U37" i="16"/>
  <c r="U36" i="16"/>
  <c r="U35" i="16"/>
  <c r="U34" i="16"/>
  <c r="U33" i="16"/>
  <c r="U32" i="16"/>
  <c r="U31" i="16"/>
  <c r="U30" i="16"/>
  <c r="U29" i="16"/>
  <c r="U28" i="16"/>
  <c r="U27" i="16"/>
  <c r="U26" i="16"/>
  <c r="U25" i="16"/>
  <c r="U24" i="16"/>
  <c r="U23" i="16"/>
  <c r="U22" i="16"/>
  <c r="U21" i="16"/>
  <c r="U20" i="16"/>
  <c r="U19" i="16"/>
  <c r="U18" i="16"/>
  <c r="U17" i="16"/>
  <c r="U16" i="16"/>
  <c r="U15" i="16"/>
  <c r="U14" i="16"/>
  <c r="U13" i="16"/>
  <c r="U12" i="16"/>
  <c r="U11" i="16"/>
  <c r="U10" i="16"/>
  <c r="U9" i="16"/>
  <c r="U8" i="16"/>
  <c r="X8" i="16"/>
  <c r="W8" i="16"/>
  <c r="D85" i="16"/>
  <c r="B85" i="16"/>
  <c r="D84" i="16"/>
  <c r="B84" i="16"/>
  <c r="D83" i="16"/>
  <c r="B83" i="16"/>
  <c r="D82" i="16"/>
  <c r="B82" i="16"/>
  <c r="D81" i="16"/>
  <c r="B81" i="16"/>
  <c r="D80" i="16"/>
  <c r="B80" i="16"/>
  <c r="D79" i="16"/>
  <c r="B79" i="16"/>
  <c r="D78" i="16"/>
  <c r="B78" i="16"/>
  <c r="D77" i="16"/>
  <c r="B77" i="16"/>
  <c r="D76" i="16"/>
  <c r="B76" i="16"/>
  <c r="D75" i="16"/>
  <c r="B75" i="16"/>
  <c r="D74" i="16"/>
  <c r="B74" i="16"/>
  <c r="D73" i="16"/>
  <c r="B73" i="16"/>
  <c r="D72" i="16"/>
  <c r="B72" i="16"/>
  <c r="D71" i="16"/>
  <c r="B71" i="16"/>
  <c r="D70" i="16"/>
  <c r="B70" i="16"/>
  <c r="D69" i="16"/>
  <c r="B69" i="16"/>
  <c r="D68" i="16"/>
  <c r="B68" i="16"/>
  <c r="D67" i="16"/>
  <c r="B67" i="16"/>
  <c r="D66" i="16"/>
  <c r="B66" i="16"/>
  <c r="D65" i="16"/>
  <c r="B65" i="16"/>
  <c r="D64" i="16"/>
  <c r="B64" i="16"/>
  <c r="D63" i="16"/>
  <c r="B63" i="16"/>
  <c r="D62" i="16"/>
  <c r="B62" i="16"/>
  <c r="D56" i="19" l="1" a="1"/>
  <c r="J8" i="17"/>
  <c r="E56" i="19"/>
  <c r="K8" i="17" a="1"/>
  <c r="D57" i="17"/>
  <c r="A29" i="17" s="1"/>
  <c r="T55" i="16"/>
  <c r="AM55" i="16"/>
  <c r="A66" i="16"/>
  <c r="A78" i="16"/>
  <c r="A76" i="16"/>
  <c r="A75" i="16"/>
  <c r="A63" i="16"/>
  <c r="A74" i="16"/>
  <c r="A73" i="16"/>
  <c r="A72" i="16"/>
  <c r="A71" i="16"/>
  <c r="A70" i="16"/>
  <c r="A82" i="16"/>
  <c r="A64" i="16"/>
  <c r="A84" i="16"/>
  <c r="A68" i="16"/>
  <c r="A80" i="16"/>
  <c r="A62" i="16"/>
  <c r="A67" i="16"/>
  <c r="A81" i="16"/>
  <c r="A85" i="16"/>
  <c r="A69" i="16"/>
  <c r="A65" i="16"/>
  <c r="A79" i="16"/>
  <c r="A77" i="16"/>
  <c r="A83" i="16"/>
  <c r="J8" i="14" a="1"/>
  <c r="J8" i="14" s="1"/>
  <c r="D56" i="19" l="1"/>
  <c r="F120" i="19"/>
  <c r="F127" i="19"/>
  <c r="F126" i="19"/>
  <c r="F125" i="19"/>
  <c r="F128" i="19"/>
  <c r="AD448" i="19"/>
  <c r="F124" i="19"/>
  <c r="F123" i="19"/>
  <c r="K8" i="17"/>
  <c r="AD428" i="19"/>
  <c r="S427" i="19"/>
  <c r="AP433" i="19"/>
  <c r="I430" i="19"/>
  <c r="F83" i="19"/>
  <c r="F101" i="19"/>
  <c r="F119" i="19"/>
  <c r="F71" i="19"/>
  <c r="AD440" i="19"/>
  <c r="F86" i="19"/>
  <c r="I447" i="19"/>
  <c r="F64" i="19"/>
  <c r="AD427" i="19"/>
  <c r="I445" i="19"/>
  <c r="I429" i="19"/>
  <c r="F108" i="19"/>
  <c r="I427" i="19"/>
  <c r="F75" i="19"/>
  <c r="AD433" i="19"/>
  <c r="AP442" i="19"/>
  <c r="AP427" i="19"/>
  <c r="I442" i="19"/>
  <c r="S446" i="19"/>
  <c r="AP445" i="19"/>
  <c r="S431" i="19"/>
  <c r="I448" i="19"/>
  <c r="I435" i="19"/>
  <c r="AP444" i="19"/>
  <c r="S430" i="19"/>
  <c r="AP429" i="19"/>
  <c r="AD435" i="19"/>
  <c r="I444" i="19"/>
  <c r="AD434" i="19"/>
  <c r="S441" i="19"/>
  <c r="I441" i="19"/>
  <c r="AD430" i="19"/>
  <c r="AP443" i="19"/>
  <c r="S437" i="19"/>
  <c r="AD442" i="19"/>
  <c r="S432" i="19"/>
  <c r="AD446" i="19"/>
  <c r="AP438" i="19"/>
  <c r="AD447" i="19"/>
  <c r="AP448" i="19"/>
  <c r="AP432" i="19"/>
  <c r="AP439" i="19"/>
  <c r="I449" i="19"/>
  <c r="F121" i="19"/>
  <c r="F115" i="19"/>
  <c r="AD429" i="19"/>
  <c r="S449" i="19"/>
  <c r="AP434" i="19"/>
  <c r="S442" i="19"/>
  <c r="S435" i="19"/>
  <c r="I431" i="19"/>
  <c r="AP440" i="19"/>
  <c r="AP430" i="19"/>
  <c r="I434" i="19"/>
  <c r="F104" i="19"/>
  <c r="F68" i="19"/>
  <c r="S429" i="19"/>
  <c r="AP437" i="19"/>
  <c r="AD444" i="19"/>
  <c r="AD439" i="19"/>
  <c r="I433" i="19"/>
  <c r="S448" i="19"/>
  <c r="S443" i="19"/>
  <c r="I432" i="19"/>
  <c r="S440" i="19"/>
  <c r="F62" i="19"/>
  <c r="F73" i="19"/>
  <c r="AP428" i="19"/>
  <c r="I428" i="19"/>
  <c r="S445" i="19"/>
  <c r="AD432" i="19"/>
  <c r="I446" i="19"/>
  <c r="I439" i="19"/>
  <c r="S436" i="19"/>
  <c r="AP435" i="19"/>
  <c r="S444" i="19"/>
  <c r="AD436" i="19"/>
  <c r="I443" i="19"/>
  <c r="I438" i="19"/>
  <c r="AD438" i="19"/>
  <c r="AD445" i="19"/>
  <c r="S439" i="19"/>
  <c r="AD431" i="19"/>
  <c r="S447" i="19"/>
  <c r="I437" i="19"/>
  <c r="AD443" i="19"/>
  <c r="S433" i="19"/>
  <c r="AP441" i="19"/>
  <c r="AD437" i="19"/>
  <c r="AP431" i="19"/>
  <c r="I440" i="19"/>
  <c r="F116" i="19"/>
  <c r="S428" i="19"/>
  <c r="AP436" i="19"/>
  <c r="S438" i="19"/>
  <c r="AD449" i="19"/>
  <c r="S434" i="19"/>
  <c r="AD441" i="19"/>
  <c r="AP447" i="19"/>
  <c r="AP446" i="19"/>
  <c r="AP449" i="19"/>
  <c r="I436" i="19"/>
  <c r="F117" i="19"/>
  <c r="F94" i="19"/>
  <c r="F89" i="19"/>
  <c r="F93" i="19"/>
  <c r="F65" i="19"/>
  <c r="F87" i="19"/>
  <c r="F114" i="19"/>
  <c r="F82" i="19"/>
  <c r="F106" i="19"/>
  <c r="F95" i="19"/>
  <c r="F112" i="19"/>
  <c r="F88" i="19"/>
  <c r="F100" i="19"/>
  <c r="F72" i="19"/>
  <c r="F60" i="19"/>
  <c r="F69" i="19"/>
  <c r="F122" i="19"/>
  <c r="F118" i="19"/>
  <c r="F97" i="19"/>
  <c r="F107" i="19"/>
  <c r="F105" i="19"/>
  <c r="F113" i="19"/>
  <c r="F96" i="19"/>
  <c r="F58" i="19"/>
  <c r="F67" i="19"/>
  <c r="F85" i="19"/>
  <c r="F77" i="19"/>
  <c r="F57" i="19"/>
  <c r="F70" i="19"/>
  <c r="F99" i="19"/>
  <c r="F90" i="19"/>
  <c r="F111" i="19"/>
  <c r="F66" i="19"/>
  <c r="F109" i="19"/>
  <c r="F76" i="19"/>
  <c r="F59" i="19"/>
  <c r="F81" i="19"/>
  <c r="F80" i="19"/>
  <c r="F78" i="19"/>
  <c r="F91" i="19"/>
  <c r="F74" i="19"/>
  <c r="F102" i="19"/>
  <c r="F110" i="19"/>
  <c r="F103" i="19"/>
  <c r="F92" i="19"/>
  <c r="F79" i="19"/>
  <c r="F63" i="19"/>
  <c r="F84" i="19"/>
  <c r="F98" i="19"/>
  <c r="F61" i="19"/>
  <c r="F17" i="15" a="1"/>
  <c r="F25" i="15" a="1"/>
  <c r="A15" i="17"/>
  <c r="Q6" i="17" a="1"/>
  <c r="A51" i="17"/>
  <c r="A12" i="17"/>
  <c r="A43" i="17"/>
  <c r="A47" i="17"/>
  <c r="A35" i="17"/>
  <c r="A52" i="17"/>
  <c r="A17" i="17"/>
  <c r="A11" i="17"/>
  <c r="A34" i="17"/>
  <c r="A13" i="17"/>
  <c r="A23" i="17"/>
  <c r="A22" i="17"/>
  <c r="A32" i="17"/>
  <c r="A21" i="17"/>
  <c r="H8" i="17" a="1"/>
  <c r="A25" i="17"/>
  <c r="A24" i="17"/>
  <c r="A20" i="17"/>
  <c r="A27" i="17"/>
  <c r="A49" i="17"/>
  <c r="A36" i="17"/>
  <c r="A55" i="17"/>
  <c r="A53" i="17"/>
  <c r="A42" i="17"/>
  <c r="A40" i="17"/>
  <c r="A38" i="17"/>
  <c r="A30" i="17"/>
  <c r="A16" i="17"/>
  <c r="A14" i="17"/>
  <c r="A33" i="17"/>
  <c r="A50" i="17"/>
  <c r="A44" i="17"/>
  <c r="A39" i="17"/>
  <c r="A28" i="17"/>
  <c r="A48" i="17"/>
  <c r="A26" i="17"/>
  <c r="A19" i="17"/>
  <c r="A18" i="17"/>
  <c r="A46" i="17"/>
  <c r="A41" i="17"/>
  <c r="A31" i="17"/>
  <c r="A54" i="17"/>
  <c r="A45" i="17"/>
  <c r="A37" i="17"/>
  <c r="AD23" i="14" a="1"/>
  <c r="O7" i="16" l="1"/>
  <c r="N7" i="16"/>
  <c r="M7" i="16"/>
  <c r="P7" i="16"/>
  <c r="AR56" i="19" a="1"/>
  <c r="AR56" i="19" s="1"/>
  <c r="U56" i="19" a="1"/>
  <c r="U56" i="19" s="1"/>
  <c r="I73" i="17"/>
  <c r="I74" i="17"/>
  <c r="I75" i="17"/>
  <c r="I76" i="17"/>
  <c r="I77" i="17"/>
  <c r="I78" i="17"/>
  <c r="I79" i="17"/>
  <c r="I80" i="17"/>
  <c r="L6" i="15" a="1"/>
  <c r="F17" i="15"/>
  <c r="U14" i="15"/>
  <c r="K14" i="15"/>
  <c r="R14" i="15"/>
  <c r="S14" i="15"/>
  <c r="T14" i="15"/>
  <c r="CD449" i="19"/>
  <c r="BK449" i="19"/>
  <c r="BR448" i="19"/>
  <c r="BQ447" i="19"/>
  <c r="BG446" i="19"/>
  <c r="BF445" i="19"/>
  <c r="AM444" i="19"/>
  <c r="AE443" i="19"/>
  <c r="AK442" i="19"/>
  <c r="K449" i="19"/>
  <c r="J448" i="19"/>
  <c r="BX446" i="19"/>
  <c r="BM445" i="19"/>
  <c r="BL444" i="19"/>
  <c r="AZ443" i="19"/>
  <c r="BG449" i="19"/>
  <c r="BF448" i="19"/>
  <c r="AM447" i="19"/>
  <c r="AE446" i="19"/>
  <c r="AK445" i="19"/>
  <c r="AB444" i="19"/>
  <c r="AA443" i="19"/>
  <c r="BY449" i="19"/>
  <c r="BN448" i="19"/>
  <c r="BC447" i="19"/>
  <c r="BB446" i="19"/>
  <c r="AS445" i="19"/>
  <c r="AY444" i="19"/>
  <c r="AX443" i="19"/>
  <c r="AH442" i="19"/>
  <c r="AN441" i="19"/>
  <c r="G449" i="19"/>
  <c r="CD447" i="19"/>
  <c r="BS446" i="19"/>
  <c r="CB445" i="19"/>
  <c r="CA444" i="19"/>
  <c r="AL449" i="19"/>
  <c r="AT448" i="19"/>
  <c r="AJ447" i="19"/>
  <c r="AR446" i="19"/>
  <c r="AQ445" i="19"/>
  <c r="Y444" i="19"/>
  <c r="AG443" i="19"/>
  <c r="AZ448" i="19"/>
  <c r="W444" i="19"/>
  <c r="BX441" i="19"/>
  <c r="BO440" i="19"/>
  <c r="BE439" i="19"/>
  <c r="AL438" i="19"/>
  <c r="AT437" i="19"/>
  <c r="BX445" i="19"/>
  <c r="AB442" i="19"/>
  <c r="BN440" i="19"/>
  <c r="AY447" i="19"/>
  <c r="P444" i="19"/>
  <c r="G442" i="19"/>
  <c r="BU440" i="19"/>
  <c r="K448" i="19"/>
  <c r="N444" i="19"/>
  <c r="CD441" i="19"/>
  <c r="BT440" i="19"/>
  <c r="BK439" i="19"/>
  <c r="BR438" i="19"/>
  <c r="BQ437" i="19"/>
  <c r="BG436" i="19"/>
  <c r="BF435" i="19"/>
  <c r="AJ448" i="19"/>
  <c r="BR447" i="19"/>
  <c r="O445" i="19"/>
  <c r="AG442" i="19"/>
  <c r="AA441" i="19"/>
  <c r="Q440" i="19"/>
  <c r="P439" i="19"/>
  <c r="BU437" i="19"/>
  <c r="N442" i="19"/>
  <c r="BC439" i="19"/>
  <c r="BS437" i="19"/>
  <c r="AX436" i="19"/>
  <c r="U435" i="19"/>
  <c r="G434" i="19"/>
  <c r="CD432" i="19"/>
  <c r="BS431" i="19"/>
  <c r="CB430" i="19"/>
  <c r="AQ440" i="19"/>
  <c r="BK438" i="19"/>
  <c r="AK449" i="19"/>
  <c r="U449" i="19"/>
  <c r="T448" i="19"/>
  <c r="K447" i="19"/>
  <c r="J446" i="19"/>
  <c r="BX444" i="19"/>
  <c r="BT449" i="19"/>
  <c r="AJ449" i="19"/>
  <c r="L448" i="19"/>
  <c r="AW446" i="19"/>
  <c r="AG445" i="19"/>
  <c r="BM443" i="19"/>
  <c r="BB442" i="19"/>
  <c r="Z449" i="19"/>
  <c r="BY447" i="19"/>
  <c r="BE446" i="19"/>
  <c r="AE445" i="19"/>
  <c r="V444" i="19"/>
  <c r="BL449" i="19"/>
  <c r="AB449" i="19"/>
  <c r="CA447" i="19"/>
  <c r="AH446" i="19"/>
  <c r="P445" i="19"/>
  <c r="BC443" i="19"/>
  <c r="AT442" i="19"/>
  <c r="BZ448" i="19"/>
  <c r="BO447" i="19"/>
  <c r="AM446" i="19"/>
  <c r="W445" i="19"/>
  <c r="CC443" i="19"/>
  <c r="BZ449" i="19"/>
  <c r="BO448" i="19"/>
  <c r="AF447" i="19"/>
  <c r="N446" i="19"/>
  <c r="BS444" i="19"/>
  <c r="BR443" i="19"/>
  <c r="BI442" i="19"/>
  <c r="P449" i="19"/>
  <c r="BM447" i="19"/>
  <c r="AT446" i="19"/>
  <c r="AB445" i="19"/>
  <c r="T444" i="19"/>
  <c r="BZ442" i="19"/>
  <c r="BO441" i="19"/>
  <c r="AF449" i="19"/>
  <c r="N448" i="19"/>
  <c r="BK446" i="19"/>
  <c r="BJ445" i="19"/>
  <c r="AX444" i="19"/>
  <c r="CD448" i="19"/>
  <c r="BK447" i="19"/>
  <c r="BJ446" i="19"/>
  <c r="AX445" i="19"/>
  <c r="Q444" i="19"/>
  <c r="BX442" i="19"/>
  <c r="AA447" i="19"/>
  <c r="BM442" i="19"/>
  <c r="Q441" i="19"/>
  <c r="BX439" i="19"/>
  <c r="BC438" i="19"/>
  <c r="BJ449" i="19"/>
  <c r="G445" i="19"/>
  <c r="AZ441" i="19"/>
  <c r="AY449" i="19"/>
  <c r="AH445" i="19"/>
  <c r="AA442" i="19"/>
  <c r="G441" i="19"/>
  <c r="AW447" i="19"/>
  <c r="V443" i="19"/>
  <c r="AX441" i="19"/>
  <c r="AK440" i="19"/>
  <c r="U439" i="19"/>
  <c r="L438" i="19"/>
  <c r="BP436" i="19"/>
  <c r="AV435" i="19"/>
  <c r="AR447" i="19"/>
  <c r="Z448" i="19"/>
  <c r="AF443" i="19"/>
  <c r="BC441" i="19"/>
  <c r="AH440" i="19"/>
  <c r="AG439" i="19"/>
  <c r="BM437" i="19"/>
  <c r="AL441" i="19"/>
  <c r="CA438" i="19"/>
  <c r="O437" i="19"/>
  <c r="BQ435" i="19"/>
  <c r="AF434" i="19"/>
  <c r="N433" i="19"/>
  <c r="BK431" i="19"/>
  <c r="Q443" i="19"/>
  <c r="BQ439" i="19"/>
  <c r="BR437" i="19"/>
  <c r="AM436" i="19"/>
  <c r="AL442" i="19"/>
  <c r="CD439" i="19"/>
  <c r="AH438" i="19"/>
  <c r="BQ436" i="19"/>
  <c r="AT435" i="19"/>
  <c r="AK434" i="19"/>
  <c r="AB433" i="19"/>
  <c r="AA432" i="19"/>
  <c r="Z431" i="19"/>
  <c r="BL443" i="19"/>
  <c r="BB449" i="19"/>
  <c r="AT449" i="19"/>
  <c r="CB448" i="19"/>
  <c r="AX447" i="19"/>
  <c r="Q446" i="19"/>
  <c r="BE444" i="19"/>
  <c r="W443" i="19"/>
  <c r="CA449" i="19"/>
  <c r="BG448" i="19"/>
  <c r="AV447" i="19"/>
  <c r="O446" i="19"/>
  <c r="CD444" i="19"/>
  <c r="BK443" i="19"/>
  <c r="AW449" i="19"/>
  <c r="AN448" i="19"/>
  <c r="G447" i="19"/>
  <c r="BT445" i="19"/>
  <c r="AZ444" i="19"/>
  <c r="AY443" i="19"/>
  <c r="AQ442" i="19"/>
  <c r="BE448" i="19"/>
  <c r="AE447" i="19"/>
  <c r="V446" i="19"/>
  <c r="CC449" i="19"/>
  <c r="BJ448" i="19"/>
  <c r="AQ447" i="19"/>
  <c r="BY445" i="19"/>
  <c r="AF444" i="19"/>
  <c r="N443" i="19"/>
  <c r="BQ449" i="19"/>
  <c r="AW448" i="19"/>
  <c r="AN447" i="19"/>
  <c r="G446" i="19"/>
  <c r="BT444" i="19"/>
  <c r="AS443" i="19"/>
  <c r="AH449" i="19"/>
  <c r="AG448" i="19"/>
  <c r="BU446" i="19"/>
  <c r="BL445" i="19"/>
  <c r="AS444" i="19"/>
  <c r="AR443" i="19"/>
  <c r="BO449" i="19"/>
  <c r="AM448" i="19"/>
  <c r="W447" i="19"/>
  <c r="CC445" i="19"/>
  <c r="CB444" i="19"/>
  <c r="BQ443" i="19"/>
  <c r="AW442" i="19"/>
  <c r="AG441" i="19"/>
  <c r="BM448" i="19"/>
  <c r="BB447" i="19"/>
  <c r="AJ446" i="19"/>
  <c r="AA445" i="19"/>
  <c r="BM449" i="19"/>
  <c r="BB448" i="19"/>
  <c r="AB447" i="19"/>
  <c r="T446" i="19"/>
  <c r="BZ444" i="19"/>
  <c r="BO443" i="19"/>
  <c r="AM442" i="19"/>
  <c r="J445" i="19"/>
  <c r="K442" i="19"/>
  <c r="BF440" i="19"/>
  <c r="AF439" i="19"/>
  <c r="N438" i="19"/>
  <c r="BG447" i="19"/>
  <c r="CC442" i="19"/>
  <c r="P441" i="19"/>
  <c r="BS449" i="19"/>
  <c r="AY448" i="19"/>
  <c r="Z447" i="19"/>
  <c r="BO445" i="19"/>
  <c r="O444" i="19"/>
  <c r="CD442" i="19"/>
  <c r="BI449" i="19"/>
  <c r="AH448" i="19"/>
  <c r="AG447" i="19"/>
  <c r="BU445" i="19"/>
  <c r="BB444" i="19"/>
  <c r="AJ443" i="19"/>
  <c r="Y449" i="19"/>
  <c r="P448" i="19"/>
  <c r="BM446" i="19"/>
  <c r="BB445" i="19"/>
  <c r="AJ444" i="19"/>
  <c r="T443" i="19"/>
  <c r="BF449" i="19"/>
  <c r="AF448" i="19"/>
  <c r="N447" i="19"/>
  <c r="BS445" i="19"/>
  <c r="BR444" i="19"/>
  <c r="BI443" i="19"/>
  <c r="Y442" i="19"/>
  <c r="BX449" i="19"/>
  <c r="BC448" i="19"/>
  <c r="AT447" i="19"/>
  <c r="AB446" i="19"/>
  <c r="T445" i="19"/>
  <c r="BC449" i="19"/>
  <c r="AK448" i="19"/>
  <c r="U447" i="19"/>
  <c r="L446" i="19"/>
  <c r="BP444" i="19"/>
  <c r="BF443" i="19"/>
  <c r="AF442" i="19"/>
  <c r="AV444" i="19"/>
  <c r="BM441" i="19"/>
  <c r="AV440" i="19"/>
  <c r="O439" i="19"/>
  <c r="CD437" i="19"/>
  <c r="Y447" i="19"/>
  <c r="BK442" i="19"/>
  <c r="BX440" i="19"/>
  <c r="T447" i="19"/>
  <c r="AT443" i="19"/>
  <c r="AY441" i="19"/>
  <c r="AE440" i="19"/>
  <c r="AF445" i="19"/>
  <c r="Z442" i="19"/>
  <c r="CD440" i="19"/>
  <c r="AZ439" i="19"/>
  <c r="AY438" i="19"/>
  <c r="AQ437" i="19"/>
  <c r="Q436" i="19"/>
  <c r="BX434" i="19"/>
  <c r="BK448" i="19"/>
  <c r="AN446" i="19"/>
  <c r="U442" i="19"/>
  <c r="BZ440" i="19"/>
  <c r="BO439" i="19"/>
  <c r="AM438" i="19"/>
  <c r="K444" i="19"/>
  <c r="K440" i="19"/>
  <c r="K438" i="19"/>
  <c r="AN436" i="19"/>
  <c r="BZ434" i="19"/>
  <c r="BC433" i="19"/>
  <c r="AT432" i="19"/>
  <c r="AB431" i="19"/>
  <c r="AZ449" i="19"/>
  <c r="AR448" i="19"/>
  <c r="BZ446" i="19"/>
  <c r="AV445" i="19"/>
  <c r="G444" i="19"/>
  <c r="BT442" i="19"/>
  <c r="AX449" i="19"/>
  <c r="Y448" i="19"/>
  <c r="P447" i="19"/>
  <c r="BC445" i="19"/>
  <c r="AT444" i="19"/>
  <c r="AB443" i="19"/>
  <c r="Q449" i="19"/>
  <c r="BX447" i="19"/>
  <c r="BC446" i="19"/>
  <c r="AT445" i="19"/>
  <c r="U444" i="19"/>
  <c r="L443" i="19"/>
  <c r="AV449" i="19"/>
  <c r="O448" i="19"/>
  <c r="CD446" i="19"/>
  <c r="BK445" i="19"/>
  <c r="BJ444" i="19"/>
  <c r="AQ443" i="19"/>
  <c r="Q442" i="19"/>
  <c r="BN449" i="19"/>
  <c r="AL448" i="19"/>
  <c r="AK447" i="19"/>
  <c r="U446" i="19"/>
  <c r="L445" i="19"/>
  <c r="AE449" i="19"/>
  <c r="V448" i="19"/>
  <c r="AS449" i="19"/>
  <c r="BU443" i="19"/>
  <c r="BN446" i="19"/>
  <c r="BP449" i="19"/>
  <c r="W446" i="19"/>
  <c r="CA442" i="19"/>
  <c r="AL447" i="19"/>
  <c r="AR444" i="19"/>
  <c r="J442" i="19"/>
  <c r="AE448" i="19"/>
  <c r="AL443" i="19"/>
  <c r="AF446" i="19"/>
  <c r="J449" i="19"/>
  <c r="CD445" i="19"/>
  <c r="BQ442" i="19"/>
  <c r="BT446" i="19"/>
  <c r="AA444" i="19"/>
  <c r="BY441" i="19"/>
  <c r="W448" i="19"/>
  <c r="BR445" i="19"/>
  <c r="N449" i="19"/>
  <c r="CB446" i="19"/>
  <c r="K445" i="19"/>
  <c r="P443" i="19"/>
  <c r="BX443" i="19"/>
  <c r="AA448" i="19"/>
  <c r="BL442" i="19"/>
  <c r="AL445" i="19"/>
  <c r="BY448" i="19"/>
  <c r="V445" i="19"/>
  <c r="AX442" i="19"/>
  <c r="BL446" i="19"/>
  <c r="L444" i="19"/>
  <c r="BF441" i="19"/>
  <c r="BT447" i="19"/>
  <c r="AY445" i="19"/>
  <c r="BT448" i="19"/>
  <c r="BR446" i="19"/>
  <c r="BG444" i="19"/>
  <c r="BN442" i="19"/>
  <c r="AW443" i="19"/>
  <c r="BI447" i="19"/>
  <c r="CB449" i="19"/>
  <c r="N445" i="19"/>
  <c r="AV448" i="19"/>
  <c r="CC444" i="19"/>
  <c r="AN449" i="19"/>
  <c r="AK446" i="19"/>
  <c r="CA443" i="19"/>
  <c r="AV441" i="19"/>
  <c r="BL447" i="19"/>
  <c r="AR445" i="19"/>
  <c r="BL448" i="19"/>
  <c r="AY446" i="19"/>
  <c r="AW444" i="19"/>
  <c r="BE442" i="19"/>
  <c r="G443" i="19"/>
  <c r="AN440" i="19"/>
  <c r="AE438" i="19"/>
  <c r="AG446" i="19"/>
  <c r="Y441" i="19"/>
  <c r="Z446" i="19"/>
  <c r="P442" i="19"/>
  <c r="AL440" i="19"/>
  <c r="AL444" i="19"/>
  <c r="AF441" i="19"/>
  <c r="BS439" i="19"/>
  <c r="AA438" i="19"/>
  <c r="AW436" i="19"/>
  <c r="P435" i="19"/>
  <c r="T449" i="19"/>
  <c r="J443" i="19"/>
  <c r="K441" i="19"/>
  <c r="AV439" i="19"/>
  <c r="BC437" i="19"/>
  <c r="W440" i="19"/>
  <c r="AR437" i="19"/>
  <c r="BG435" i="19"/>
  <c r="BM433" i="19"/>
  <c r="V432" i="19"/>
  <c r="AY442" i="19"/>
  <c r="AA439" i="19"/>
  <c r="N437" i="19"/>
  <c r="P446" i="19"/>
  <c r="BJ440" i="19"/>
  <c r="BI438" i="19"/>
  <c r="CB436" i="19"/>
  <c r="AJ435" i="19"/>
  <c r="CC433" i="19"/>
  <c r="CB432" i="19"/>
  <c r="BQ431" i="19"/>
  <c r="L447" i="19"/>
  <c r="CB439" i="19"/>
  <c r="AS438" i="19"/>
  <c r="BX435" i="19"/>
  <c r="BK434" i="19"/>
  <c r="BR433" i="19"/>
  <c r="BQ432" i="19"/>
  <c r="BU442" i="19"/>
  <c r="BL439" i="19"/>
  <c r="CB437" i="19"/>
  <c r="BC436" i="19"/>
  <c r="Y435" i="19"/>
  <c r="T434" i="19"/>
  <c r="K433" i="19"/>
  <c r="J432" i="19"/>
  <c r="CA441" i="19"/>
  <c r="AV446" i="19"/>
  <c r="T441" i="19"/>
  <c r="AE439" i="19"/>
  <c r="BG437" i="19"/>
  <c r="AQ436" i="19"/>
  <c r="AE435" i="19"/>
  <c r="BM436" i="19"/>
  <c r="BG433" i="19"/>
  <c r="BP431" i="19"/>
  <c r="BB430" i="19"/>
  <c r="BY437" i="19"/>
  <c r="Q434" i="19"/>
  <c r="BB431" i="19"/>
  <c r="AJ430" i="19"/>
  <c r="T437" i="19"/>
  <c r="P434" i="19"/>
  <c r="CB431" i="19"/>
  <c r="AY430" i="19"/>
  <c r="AN438" i="19"/>
  <c r="BP446" i="19"/>
  <c r="AQ449" i="19"/>
  <c r="AK444" i="19"/>
  <c r="BN447" i="19"/>
  <c r="BK444" i="19"/>
  <c r="AG449" i="19"/>
  <c r="AZ445" i="19"/>
  <c r="Z443" i="19"/>
  <c r="BE449" i="19"/>
  <c r="V447" i="19"/>
  <c r="BQ444" i="19"/>
  <c r="CC447" i="19"/>
  <c r="AA446" i="19"/>
  <c r="AH444" i="19"/>
  <c r="BR449" i="19"/>
  <c r="AE442" i="19"/>
  <c r="AG440" i="19"/>
  <c r="W438" i="19"/>
  <c r="AM445" i="19"/>
  <c r="BE440" i="19"/>
  <c r="BP445" i="19"/>
  <c r="BT441" i="19"/>
  <c r="AR449" i="19"/>
  <c r="BN443" i="19"/>
  <c r="W441" i="19"/>
  <c r="AS439" i="19"/>
  <c r="T438" i="19"/>
  <c r="AH436" i="19"/>
  <c r="BN434" i="19"/>
  <c r="BI448" i="19"/>
  <c r="BO442" i="19"/>
  <c r="BP440" i="19"/>
  <c r="AN439" i="19"/>
  <c r="BZ447" i="19"/>
  <c r="BR439" i="19"/>
  <c r="AH437" i="19"/>
  <c r="AL435" i="19"/>
  <c r="AL433" i="19"/>
  <c r="CC431" i="19"/>
  <c r="BI441" i="19"/>
  <c r="N439" i="19"/>
  <c r="CC436" i="19"/>
  <c r="BO444" i="19"/>
  <c r="AJ440" i="19"/>
  <c r="AT438" i="19"/>
  <c r="BF436" i="19"/>
  <c r="AA435" i="19"/>
  <c r="BS433" i="19"/>
  <c r="BR432" i="19"/>
  <c r="BI431" i="19"/>
  <c r="K446" i="19"/>
  <c r="BM439" i="19"/>
  <c r="AG438" i="19"/>
  <c r="CA436" i="19"/>
  <c r="BM435" i="19"/>
  <c r="AZ434" i="19"/>
  <c r="BJ433" i="19"/>
  <c r="BI432" i="19"/>
  <c r="Y446" i="19"/>
  <c r="BP448" i="19"/>
  <c r="BS443" i="19"/>
  <c r="BE447" i="19"/>
  <c r="BX448" i="19"/>
  <c r="AL446" i="19"/>
  <c r="AZ446" i="19"/>
  <c r="AZ447" i="19"/>
  <c r="BY443" i="19"/>
  <c r="BB441" i="19"/>
  <c r="G439" i="19"/>
  <c r="BO446" i="19"/>
  <c r="AF440" i="19"/>
  <c r="CB442" i="19"/>
  <c r="BC440" i="19"/>
  <c r="BF442" i="19"/>
  <c r="AT440" i="19"/>
  <c r="AR438" i="19"/>
  <c r="J436" i="19"/>
  <c r="BQ448" i="19"/>
  <c r="BB443" i="19"/>
  <c r="AW440" i="19"/>
  <c r="AF438" i="19"/>
  <c r="AR440" i="19"/>
  <c r="BS436" i="19"/>
  <c r="AM434" i="19"/>
  <c r="AK432" i="19"/>
  <c r="J438" i="19"/>
  <c r="BP439" i="19"/>
  <c r="AN437" i="19"/>
  <c r="BC435" i="19"/>
  <c r="AZ433" i="19"/>
  <c r="T432" i="19"/>
  <c r="BG430" i="19"/>
  <c r="AK439" i="19"/>
  <c r="AM437" i="19"/>
  <c r="T436" i="19"/>
  <c r="AS434" i="19"/>
  <c r="AA433" i="19"/>
  <c r="BF444" i="19"/>
  <c r="CA439" i="19"/>
  <c r="BN437" i="19"/>
  <c r="AJ436" i="19"/>
  <c r="BS434" i="19"/>
  <c r="BI433" i="19"/>
  <c r="AH432" i="19"/>
  <c r="BE443" i="19"/>
  <c r="BR441" i="19"/>
  <c r="BR440" i="19"/>
  <c r="BO438" i="19"/>
  <c r="P437" i="19"/>
  <c r="BR435" i="19"/>
  <c r="BB438" i="19"/>
  <c r="AX434" i="19"/>
  <c r="G432" i="19"/>
  <c r="AT430" i="19"/>
  <c r="BL436" i="19"/>
  <c r="AN433" i="19"/>
  <c r="BU430" i="19"/>
  <c r="BZ439" i="19"/>
  <c r="AV434" i="19"/>
  <c r="P432" i="19"/>
  <c r="AR430" i="19"/>
  <c r="Q437" i="19"/>
  <c r="N434" i="19"/>
  <c r="AB432" i="19"/>
  <c r="BS430" i="19"/>
  <c r="J439" i="19"/>
  <c r="CC434" i="19"/>
  <c r="Q433" i="19"/>
  <c r="AV431" i="19"/>
  <c r="AH430" i="19"/>
  <c r="AA440" i="19"/>
  <c r="BC434" i="19"/>
  <c r="AJ432" i="19"/>
  <c r="CD435" i="19"/>
  <c r="P438" i="19"/>
  <c r="AM430" i="19"/>
  <c r="BF430" i="19"/>
  <c r="AK431" i="19"/>
  <c r="P433" i="19"/>
  <c r="Y434" i="19"/>
  <c r="AF430" i="19"/>
  <c r="BZ437" i="19"/>
  <c r="BP435" i="19"/>
  <c r="BL430" i="19"/>
  <c r="AG434" i="19"/>
  <c r="BM431" i="19"/>
  <c r="AZ436" i="19"/>
  <c r="O432" i="19"/>
  <c r="AB438" i="19"/>
  <c r="BY432" i="19"/>
  <c r="AL431" i="19"/>
  <c r="AN445" i="19"/>
  <c r="K443" i="19"/>
  <c r="AS446" i="19"/>
  <c r="AS447" i="19"/>
  <c r="AV443" i="19"/>
  <c r="AS441" i="19"/>
  <c r="BU438" i="19"/>
  <c r="BT443" i="19"/>
  <c r="CC448" i="19"/>
  <c r="BJ442" i="19"/>
  <c r="CA448" i="19"/>
  <c r="AN442" i="19"/>
  <c r="V440" i="19"/>
  <c r="CA437" i="19"/>
  <c r="BY435" i="19"/>
  <c r="V449" i="19"/>
  <c r="AV442" i="19"/>
  <c r="Y440" i="19"/>
  <c r="O438" i="19"/>
  <c r="AQ439" i="19"/>
  <c r="BJ436" i="19"/>
  <c r="O434" i="19"/>
  <c r="AZ431" i="19"/>
  <c r="BK440" i="19"/>
  <c r="BE437" i="19"/>
  <c r="CD443" i="19"/>
  <c r="AY439" i="19"/>
  <c r="AF437" i="19"/>
  <c r="J435" i="19"/>
  <c r="AS433" i="19"/>
  <c r="L432" i="19"/>
  <c r="BM444" i="19"/>
  <c r="Y439" i="19"/>
  <c r="AE437" i="19"/>
  <c r="K436" i="19"/>
  <c r="AJ434" i="19"/>
  <c r="T433" i="19"/>
  <c r="BG443" i="19"/>
  <c r="AW439" i="19"/>
  <c r="AW437" i="19"/>
  <c r="AA436" i="19"/>
  <c r="BJ434" i="19"/>
  <c r="AX433" i="19"/>
  <c r="Y432" i="19"/>
  <c r="BS442" i="19"/>
  <c r="Y445" i="19"/>
  <c r="AS440" i="19"/>
  <c r="AX438" i="19"/>
  <c r="G437" i="19"/>
  <c r="BI435" i="19"/>
  <c r="BZ433" i="19"/>
  <c r="BC431" i="19"/>
  <c r="AK430" i="19"/>
  <c r="BN432" i="19"/>
  <c r="V439" i="19"/>
  <c r="AA430" i="19"/>
  <c r="BT433" i="19"/>
  <c r="BJ430" i="19"/>
  <c r="BI434" i="19"/>
  <c r="Y430" i="19"/>
  <c r="BN444" i="19"/>
  <c r="CB443" i="19"/>
  <c r="BP442" i="19"/>
  <c r="AN443" i="19"/>
  <c r="Z441" i="19"/>
  <c r="BM438" i="19"/>
  <c r="Y443" i="19"/>
  <c r="AS448" i="19"/>
  <c r="AR442" i="19"/>
  <c r="AQ448" i="19"/>
  <c r="O442" i="19"/>
  <c r="CC439" i="19"/>
  <c r="BI437" i="19"/>
  <c r="BO435" i="19"/>
  <c r="AB448" i="19"/>
  <c r="L442" i="19"/>
  <c r="J440" i="19"/>
  <c r="G438" i="19"/>
  <c r="Q439" i="19"/>
  <c r="AF436" i="19"/>
  <c r="BU433" i="19"/>
  <c r="AS431" i="19"/>
  <c r="U440" i="19"/>
  <c r="AG437" i="19"/>
  <c r="O443" i="19"/>
  <c r="AL439" i="19"/>
  <c r="W437" i="19"/>
  <c r="BU434" i="19"/>
  <c r="AJ433" i="19"/>
  <c r="CA431" i="19"/>
  <c r="AJ442" i="19"/>
  <c r="L439" i="19"/>
  <c r="V437" i="19"/>
  <c r="BB435" i="19"/>
  <c r="AB434" i="19"/>
  <c r="L433" i="19"/>
  <c r="CB441" i="19"/>
  <c r="W439" i="19"/>
  <c r="AL437" i="19"/>
  <c r="BU435" i="19"/>
  <c r="AY434" i="19"/>
  <c r="AQ433" i="19"/>
  <c r="Q432" i="19"/>
  <c r="AX446" i="19"/>
  <c r="Z444" i="19"/>
  <c r="Z440" i="19"/>
  <c r="AK438" i="19"/>
  <c r="BT436" i="19"/>
  <c r="AW435" i="19"/>
  <c r="AB437" i="19"/>
  <c r="Y433" i="19"/>
  <c r="AR431" i="19"/>
  <c r="V430" i="19"/>
  <c r="N435" i="19"/>
  <c r="AF432" i="19"/>
  <c r="AZ430" i="19"/>
  <c r="BK437" i="19"/>
  <c r="BX433" i="19"/>
  <c r="AY431" i="19"/>
  <c r="T430" i="19"/>
  <c r="O436" i="19"/>
  <c r="BB433" i="19"/>
  <c r="BZ431" i="19"/>
  <c r="AX430" i="19"/>
  <c r="AV437" i="19"/>
  <c r="AQ434" i="19"/>
  <c r="BF432" i="19"/>
  <c r="AA431" i="19"/>
  <c r="Q430" i="19"/>
  <c r="BP438" i="19"/>
  <c r="W434" i="19"/>
  <c r="BQ438" i="19"/>
  <c r="BO433" i="19"/>
  <c r="BF434" i="19"/>
  <c r="AY435" i="19"/>
  <c r="O430" i="19"/>
  <c r="AG430" i="19"/>
  <c r="Y431" i="19"/>
  <c r="G430" i="19"/>
  <c r="AL432" i="19"/>
  <c r="G440" i="19"/>
  <c r="Z439" i="19"/>
  <c r="AL436" i="19"/>
  <c r="BL434" i="19"/>
  <c r="U433" i="19"/>
  <c r="Q448" i="19"/>
  <c r="BJ443" i="19"/>
  <c r="BG442" i="19"/>
  <c r="BI444" i="19"/>
  <c r="CA445" i="19"/>
  <c r="U448" i="19"/>
  <c r="J441" i="19"/>
  <c r="BT437" i="19"/>
  <c r="AS442" i="19"/>
  <c r="BK441" i="19"/>
  <c r="Q447" i="19"/>
  <c r="BS441" i="19"/>
  <c r="AJ439" i="19"/>
  <c r="AX437" i="19"/>
  <c r="AN435" i="19"/>
  <c r="BP447" i="19"/>
  <c r="BZ441" i="19"/>
  <c r="BY439" i="19"/>
  <c r="AQ446" i="19"/>
  <c r="BL438" i="19"/>
  <c r="W436" i="19"/>
  <c r="AE433" i="19"/>
  <c r="AJ431" i="19"/>
  <c r="BR436" i="19"/>
  <c r="BF447" i="19"/>
  <c r="G448" i="19"/>
  <c r="AM449" i="19"/>
  <c r="AQ444" i="19"/>
  <c r="BQ445" i="19"/>
  <c r="BJ447" i="19"/>
  <c r="BY440" i="19"/>
  <c r="BL437" i="19"/>
  <c r="BU441" i="19"/>
  <c r="BI446" i="19"/>
  <c r="AQ441" i="19"/>
  <c r="BF446" i="19"/>
  <c r="BJ441" i="19"/>
  <c r="AB439" i="19"/>
  <c r="Z437" i="19"/>
  <c r="AG435" i="19"/>
  <c r="AH447" i="19"/>
  <c r="BN441" i="19"/>
  <c r="BF439" i="19"/>
  <c r="AH443" i="19"/>
  <c r="AW438" i="19"/>
  <c r="CB435" i="19"/>
  <c r="W433" i="19"/>
  <c r="U431" i="19"/>
  <c r="BB439" i="19"/>
  <c r="BI436" i="19"/>
  <c r="BG441" i="19"/>
  <c r="BY438" i="19"/>
  <c r="U436" i="19"/>
  <c r="BB434" i="19"/>
  <c r="U443" i="19"/>
  <c r="BU447" i="19"/>
  <c r="O449" i="19"/>
  <c r="BU449" i="19"/>
  <c r="BI445" i="19"/>
  <c r="BQ446" i="19"/>
  <c r="P440" i="19"/>
  <c r="BB437" i="19"/>
  <c r="BL441" i="19"/>
  <c r="BY444" i="19"/>
  <c r="AH441" i="19"/>
  <c r="BN445" i="19"/>
  <c r="N441" i="19"/>
  <c r="K437" i="19"/>
  <c r="BS448" i="19"/>
  <c r="BY446" i="19"/>
  <c r="AT441" i="19"/>
  <c r="BX438" i="19"/>
  <c r="AZ442" i="19"/>
  <c r="AJ438" i="19"/>
  <c r="L435" i="19"/>
  <c r="BT432" i="19"/>
  <c r="CC446" i="19"/>
  <c r="T442" i="19"/>
  <c r="AN444" i="19"/>
  <c r="BZ443" i="19"/>
  <c r="CD436" i="19"/>
  <c r="BZ435" i="19"/>
  <c r="AR432" i="19"/>
  <c r="CC440" i="19"/>
  <c r="G435" i="19"/>
  <c r="AX432" i="19"/>
  <c r="O440" i="19"/>
  <c r="BY436" i="19"/>
  <c r="AR434" i="19"/>
  <c r="BG432" i="19"/>
  <c r="AE444" i="19"/>
  <c r="AM441" i="19"/>
  <c r="BX437" i="19"/>
  <c r="AM435" i="19"/>
  <c r="T435" i="19"/>
  <c r="W431" i="19"/>
  <c r="AA437" i="19"/>
  <c r="AF431" i="19"/>
  <c r="BB436" i="19"/>
  <c r="BM432" i="19"/>
  <c r="BS440" i="19"/>
  <c r="AE434" i="19"/>
  <c r="AM431" i="19"/>
  <c r="J437" i="19"/>
  <c r="AW433" i="19"/>
  <c r="CD430" i="19"/>
  <c r="AB440" i="19"/>
  <c r="CD433" i="19"/>
  <c r="BE431" i="19"/>
  <c r="W430" i="19"/>
  <c r="AV433" i="19"/>
  <c r="AN434" i="19"/>
  <c r="J434" i="19"/>
  <c r="AG433" i="19"/>
  <c r="E420" i="19" a="1"/>
  <c r="L431" i="19"/>
  <c r="V431" i="19"/>
  <c r="AE432" i="19"/>
  <c r="AK433" i="19"/>
  <c r="Q431" i="19"/>
  <c r="AH433" i="19"/>
  <c r="AT439" i="19"/>
  <c r="BQ430" i="19"/>
  <c r="CA435" i="19"/>
  <c r="BC432" i="19"/>
  <c r="CC430" i="19"/>
  <c r="AX439" i="19"/>
  <c r="BS438" i="19"/>
  <c r="BY431" i="19"/>
  <c r="BT439" i="19"/>
  <c r="BQ433" i="19"/>
  <c r="U441" i="19"/>
  <c r="BJ435" i="19"/>
  <c r="BT435" i="19"/>
  <c r="N430" i="19"/>
  <c r="Q438" i="19"/>
  <c r="BC442" i="19"/>
  <c r="BP433" i="19"/>
  <c r="AL434" i="19"/>
  <c r="P430" i="19"/>
  <c r="AV430" i="19"/>
  <c r="BN439" i="19"/>
  <c r="BP443" i="19"/>
  <c r="CB438" i="19"/>
  <c r="AJ441" i="19"/>
  <c r="BO434" i="19"/>
  <c r="BZ438" i="19"/>
  <c r="AE441" i="19"/>
  <c r="BN435" i="19"/>
  <c r="AX431" i="19"/>
  <c r="BI440" i="19"/>
  <c r="BO436" i="19"/>
  <c r="BT434" i="19"/>
  <c r="AQ432" i="19"/>
  <c r="K439" i="19"/>
  <c r="BN436" i="19"/>
  <c r="AA434" i="19"/>
  <c r="AW432" i="19"/>
  <c r="AM443" i="19"/>
  <c r="L440" i="19"/>
  <c r="AS437" i="19"/>
  <c r="V435" i="19"/>
  <c r="BR434" i="19"/>
  <c r="BQ434" i="19"/>
  <c r="P436" i="19"/>
  <c r="BU439" i="19"/>
  <c r="AS436" i="19"/>
  <c r="BR430" i="19"/>
  <c r="BL433" i="19"/>
  <c r="BE432" i="19"/>
  <c r="BF431" i="19"/>
  <c r="U434" i="19"/>
  <c r="J447" i="19"/>
  <c r="L434" i="19"/>
  <c r="BR442" i="19"/>
  <c r="Y437" i="19"/>
  <c r="J433" i="19"/>
  <c r="BX430" i="19"/>
  <c r="J431" i="19"/>
  <c r="BK435" i="19"/>
  <c r="AN431" i="19"/>
  <c r="T439" i="19"/>
  <c r="V433" i="19"/>
  <c r="G431" i="19"/>
  <c r="G436" i="19"/>
  <c r="BI430" i="19"/>
  <c r="AJ437" i="19"/>
  <c r="AT433" i="19"/>
  <c r="Z438" i="19"/>
  <c r="BN433" i="19"/>
  <c r="BU431" i="19"/>
  <c r="BY430" i="19"/>
  <c r="AF433" i="19"/>
  <c r="BG445" i="19"/>
  <c r="BL435" i="19"/>
  <c r="BO431" i="19"/>
  <c r="BG439" i="19"/>
  <c r="V441" i="19"/>
  <c r="BM430" i="19"/>
  <c r="AS430" i="19"/>
  <c r="AE431" i="19"/>
  <c r="CC432" i="19"/>
  <c r="BE435" i="19"/>
  <c r="AW430" i="19"/>
  <c r="BS432" i="19"/>
  <c r="BU432" i="19"/>
  <c r="BE430" i="19"/>
  <c r="CA430" i="19"/>
  <c r="AY436" i="19"/>
  <c r="AV432" i="19"/>
  <c r="T431" i="19"/>
  <c r="J430" i="19"/>
  <c r="N431" i="19"/>
  <c r="AB441" i="19"/>
  <c r="AG436" i="19"/>
  <c r="BF433" i="19"/>
  <c r="AH435" i="19"/>
  <c r="AX440" i="19"/>
  <c r="BX436" i="19"/>
  <c r="AM432" i="19"/>
  <c r="Y438" i="19"/>
  <c r="N436" i="19"/>
  <c r="AH439" i="19"/>
  <c r="CD431" i="19"/>
  <c r="K435" i="19"/>
  <c r="AY440" i="19"/>
  <c r="BJ431" i="19"/>
  <c r="BY434" i="19"/>
  <c r="BO430" i="19"/>
  <c r="AK437" i="19"/>
  <c r="D420" i="19" a="1"/>
  <c r="CC435" i="19"/>
  <c r="AG431" i="19"/>
  <c r="AZ438" i="19"/>
  <c r="BN431" i="19"/>
  <c r="G433" i="19"/>
  <c r="BM434" i="19"/>
  <c r="BJ439" i="19"/>
  <c r="CD438" i="19"/>
  <c r="O433" i="19"/>
  <c r="CB434" i="19"/>
  <c r="O447" i="19"/>
  <c r="W449" i="19"/>
  <c r="AM439" i="19"/>
  <c r="O441" i="19"/>
  <c r="BJ438" i="19"/>
  <c r="BG440" i="19"/>
  <c r="BE434" i="19"/>
  <c r="AV438" i="19"/>
  <c r="L441" i="19"/>
  <c r="AT434" i="19"/>
  <c r="AQ431" i="19"/>
  <c r="BE436" i="19"/>
  <c r="AT436" i="19"/>
  <c r="AW434" i="19"/>
  <c r="AN432" i="19"/>
  <c r="BT431" i="19"/>
  <c r="BF438" i="19"/>
  <c r="CA433" i="19"/>
  <c r="W442" i="19"/>
  <c r="BK436" i="19"/>
  <c r="BO432" i="19"/>
  <c r="AH434" i="19"/>
  <c r="AK435" i="19"/>
  <c r="BJ437" i="19"/>
  <c r="AQ430" i="19"/>
  <c r="Z432" i="19"/>
  <c r="BG434" i="19"/>
  <c r="AT431" i="19"/>
  <c r="AB435" i="19"/>
  <c r="CA446" i="19"/>
  <c r="BP434" i="19"/>
  <c r="Z430" i="19"/>
  <c r="BX432" i="19"/>
  <c r="BR431" i="19"/>
  <c r="Z433" i="19"/>
  <c r="Z436" i="19"/>
  <c r="BE433" i="19"/>
  <c r="Z434" i="19"/>
  <c r="W432" i="19"/>
  <c r="O431" i="19"/>
  <c r="AE430" i="19"/>
  <c r="AG444" i="19"/>
  <c r="BS435" i="19"/>
  <c r="AM433" i="19"/>
  <c r="BL431" i="19"/>
  <c r="K434" i="19"/>
  <c r="BI439" i="19"/>
  <c r="CA434" i="19"/>
  <c r="BN430" i="19"/>
  <c r="AR436" i="19"/>
  <c r="BC430" i="19"/>
  <c r="AQ435" i="19"/>
  <c r="CA440" i="19"/>
  <c r="L430" i="19"/>
  <c r="AW431" i="19"/>
  <c r="P431" i="19"/>
  <c r="AN430" i="19"/>
  <c r="AH431" i="19"/>
  <c r="BS447" i="19"/>
  <c r="L449" i="19"/>
  <c r="BM440" i="19"/>
  <c r="BZ436" i="19"/>
  <c r="BN438" i="19"/>
  <c r="BL432" i="19"/>
  <c r="V438" i="19"/>
  <c r="T440" i="19"/>
  <c r="V434" i="19"/>
  <c r="K431" i="19"/>
  <c r="BT438" i="19"/>
  <c r="AK436" i="19"/>
  <c r="BU436" i="19"/>
  <c r="AR439" i="19"/>
  <c r="BY433" i="19"/>
  <c r="BK432" i="19"/>
  <c r="N432" i="19"/>
  <c r="K432" i="19"/>
  <c r="AY433" i="19"/>
  <c r="CC438" i="19"/>
  <c r="U430" i="19"/>
  <c r="AS432" i="19"/>
  <c r="BX431" i="19"/>
  <c r="AX435" i="19"/>
  <c r="AJ445" i="19"/>
  <c r="AX448" i="19"/>
  <c r="BU444" i="19"/>
  <c r="Y436" i="19"/>
  <c r="BE438" i="19"/>
  <c r="BB432" i="19"/>
  <c r="AV436" i="19"/>
  <c r="U438" i="19"/>
  <c r="BK433" i="19"/>
  <c r="BZ430" i="19"/>
  <c r="BG438" i="19"/>
  <c r="AB436" i="19"/>
  <c r="CB433" i="19"/>
  <c r="AW441" i="19"/>
  <c r="AQ438" i="19"/>
  <c r="AZ435" i="19"/>
  <c r="AK443" i="19"/>
  <c r="N440" i="19"/>
  <c r="AB430" i="19"/>
  <c r="AF435" i="19"/>
  <c r="AZ432" i="19"/>
  <c r="BG431" i="19"/>
  <c r="AR435" i="19"/>
  <c r="AG432" i="19"/>
  <c r="BT430" i="19"/>
  <c r="K430" i="19"/>
  <c r="W435" i="19"/>
  <c r="AL430" i="19"/>
  <c r="BZ432" i="19"/>
  <c r="U432" i="19"/>
  <c r="U445" i="19"/>
  <c r="Z445" i="19"/>
  <c r="AR441" i="19"/>
  <c r="BY442" i="19"/>
  <c r="CB447" i="19"/>
  <c r="BP441" i="19"/>
  <c r="AE436" i="19"/>
  <c r="BP437" i="19"/>
  <c r="BP430" i="19"/>
  <c r="CC437" i="19"/>
  <c r="AS435" i="19"/>
  <c r="BE445" i="19"/>
  <c r="J444" i="19"/>
  <c r="AM440" i="19"/>
  <c r="BL440" i="19"/>
  <c r="AA449" i="19"/>
  <c r="BQ440" i="19"/>
  <c r="Q445" i="19"/>
  <c r="V436" i="19"/>
  <c r="AZ437" i="19"/>
  <c r="BJ432" i="19"/>
  <c r="CC441" i="19"/>
  <c r="BO437" i="19"/>
  <c r="Z435" i="19"/>
  <c r="AR433" i="19"/>
  <c r="CB440" i="19"/>
  <c r="U437" i="19"/>
  <c r="O435" i="19"/>
  <c r="V442" i="19"/>
  <c r="BK430" i="19"/>
  <c r="BU448" i="19"/>
  <c r="BZ445" i="19"/>
  <c r="BB440" i="19"/>
  <c r="BC444" i="19"/>
  <c r="BF437" i="19"/>
  <c r="AK441" i="19"/>
  <c r="L436" i="19"/>
  <c r="AY432" i="19"/>
  <c r="BE441" i="19"/>
  <c r="AY437" i="19"/>
  <c r="Q435" i="19"/>
  <c r="CA432" i="19"/>
  <c r="AZ440" i="19"/>
  <c r="L437" i="19"/>
  <c r="CD434" i="19"/>
  <c r="BP432" i="19"/>
  <c r="AW445" i="19"/>
  <c r="BQ441" i="19"/>
  <c r="AQ427" i="19"/>
  <c r="AE429" i="19"/>
  <c r="BX427" i="19"/>
  <c r="BI428" i="19"/>
  <c r="AE428" i="19"/>
  <c r="BX428" i="19"/>
  <c r="G428" i="19"/>
  <c r="T428" i="19"/>
  <c r="J428" i="19"/>
  <c r="T427" i="19"/>
  <c r="J429" i="19"/>
  <c r="G429" i="19"/>
  <c r="T429" i="19"/>
  <c r="J427" i="19"/>
  <c r="G427" i="19"/>
  <c r="AQ428" i="19"/>
  <c r="BI429" i="19"/>
  <c r="AQ429" i="19"/>
  <c r="AE427" i="19"/>
  <c r="BI427" i="19"/>
  <c r="BX429" i="19"/>
  <c r="K427" i="19"/>
  <c r="K428" i="19"/>
  <c r="K429" i="19"/>
  <c r="L427" i="19"/>
  <c r="L428" i="19"/>
  <c r="L429" i="19"/>
  <c r="V428" i="19"/>
  <c r="O428" i="19"/>
  <c r="V429" i="19"/>
  <c r="O429" i="19"/>
  <c r="N427" i="19"/>
  <c r="N428" i="19"/>
  <c r="N429" i="19"/>
  <c r="V427" i="19"/>
  <c r="O427" i="19"/>
  <c r="BJ427" i="19"/>
  <c r="BK427" i="19"/>
  <c r="P427" i="19"/>
  <c r="P428" i="19"/>
  <c r="P429" i="19"/>
  <c r="BK429" i="19"/>
  <c r="BJ429" i="19"/>
  <c r="BK428" i="19"/>
  <c r="BJ428" i="19"/>
  <c r="Q428" i="19"/>
  <c r="BY429" i="19"/>
  <c r="BY427" i="19"/>
  <c r="BY428" i="19"/>
  <c r="Q427" i="19"/>
  <c r="Q429" i="19"/>
  <c r="U427" i="19"/>
  <c r="U428" i="19"/>
  <c r="U429" i="19"/>
  <c r="AF429" i="19"/>
  <c r="AF427" i="19"/>
  <c r="AF428" i="19"/>
  <c r="AR427" i="19"/>
  <c r="AR429" i="19"/>
  <c r="AR428" i="19"/>
  <c r="Z427" i="19"/>
  <c r="Z428" i="19"/>
  <c r="Z429" i="19"/>
  <c r="W427" i="19"/>
  <c r="W429" i="19"/>
  <c r="W428" i="19"/>
  <c r="Y427" i="19"/>
  <c r="BM427" i="19"/>
  <c r="Y428" i="19"/>
  <c r="BM428" i="19"/>
  <c r="Y429" i="19"/>
  <c r="BM429" i="19"/>
  <c r="AG427" i="19"/>
  <c r="AG428" i="19"/>
  <c r="AG429" i="19"/>
  <c r="BL427" i="19"/>
  <c r="BL428" i="19"/>
  <c r="BL429" i="19"/>
  <c r="AA427" i="19"/>
  <c r="AA428" i="19"/>
  <c r="AA429" i="19"/>
  <c r="BZ427" i="19"/>
  <c r="BZ428" i="19"/>
  <c r="BZ429" i="19"/>
  <c r="AB428" i="19"/>
  <c r="AB429" i="19"/>
  <c r="AB427" i="19"/>
  <c r="AH427" i="19"/>
  <c r="AH428" i="19"/>
  <c r="AH429" i="19"/>
  <c r="AK427" i="19"/>
  <c r="AS428" i="19"/>
  <c r="AS429" i="19"/>
  <c r="AJ427" i="19"/>
  <c r="AJ429" i="19"/>
  <c r="AS427" i="19"/>
  <c r="AK428" i="19"/>
  <c r="AK429" i="19"/>
  <c r="AJ428" i="19"/>
  <c r="AL429" i="19"/>
  <c r="BN427" i="19"/>
  <c r="BN428" i="19"/>
  <c r="BN429" i="19"/>
  <c r="AL427" i="19"/>
  <c r="AL428" i="19"/>
  <c r="AM427" i="19"/>
  <c r="AM428" i="19"/>
  <c r="AM429" i="19"/>
  <c r="BO427" i="19"/>
  <c r="BO428" i="19"/>
  <c r="BO429" i="19"/>
  <c r="CA427" i="19"/>
  <c r="CA428" i="19"/>
  <c r="CA429" i="19"/>
  <c r="AN427" i="19"/>
  <c r="AN428" i="19"/>
  <c r="AN429" i="19"/>
  <c r="AX427" i="19"/>
  <c r="AX428" i="19"/>
  <c r="AX429" i="19"/>
  <c r="AT427" i="19"/>
  <c r="AT428" i="19"/>
  <c r="AT429" i="19"/>
  <c r="AV427" i="19"/>
  <c r="AV428" i="19"/>
  <c r="AV429" i="19"/>
  <c r="BQ427" i="19"/>
  <c r="AW427" i="19"/>
  <c r="BQ428" i="19"/>
  <c r="AW428" i="19"/>
  <c r="BQ429" i="19"/>
  <c r="AW429" i="19"/>
  <c r="AY429" i="19"/>
  <c r="BP427" i="19"/>
  <c r="BP428" i="19"/>
  <c r="BP429" i="19"/>
  <c r="AY427" i="19"/>
  <c r="AY428" i="19"/>
  <c r="BR427" i="19"/>
  <c r="CB429" i="19"/>
  <c r="BS429" i="19"/>
  <c r="AZ427" i="19"/>
  <c r="BS428" i="19"/>
  <c r="AZ428" i="19"/>
  <c r="AZ429" i="19"/>
  <c r="BS427" i="19"/>
  <c r="BR429" i="19"/>
  <c r="BR428" i="19"/>
  <c r="CB427" i="19"/>
  <c r="CB428" i="19"/>
  <c r="BT429" i="19"/>
  <c r="CC428" i="19"/>
  <c r="BT427" i="19"/>
  <c r="BC427" i="19"/>
  <c r="CC429" i="19"/>
  <c r="BC428" i="19"/>
  <c r="CC427" i="19"/>
  <c r="BC429" i="19"/>
  <c r="BU429" i="19"/>
  <c r="BU428" i="19"/>
  <c r="BT428" i="19"/>
  <c r="BU427" i="19"/>
  <c r="BB427" i="19"/>
  <c r="BB428" i="19"/>
  <c r="BB429" i="19"/>
  <c r="BF427" i="19"/>
  <c r="BF428" i="19"/>
  <c r="BF429" i="19"/>
  <c r="BE429" i="19"/>
  <c r="BE427" i="19"/>
  <c r="BE428" i="19"/>
  <c r="BG429" i="19"/>
  <c r="BG427" i="19"/>
  <c r="BG428" i="19"/>
  <c r="F25" i="15"/>
  <c r="Q6" i="17"/>
  <c r="L7" i="16" s="1"/>
  <c r="I72" i="17"/>
  <c r="I66" i="17"/>
  <c r="I52" i="17"/>
  <c r="I44" i="17"/>
  <c r="I36" i="17"/>
  <c r="I33" i="17"/>
  <c r="I67" i="17"/>
  <c r="I69" i="17"/>
  <c r="I64" i="17"/>
  <c r="I62" i="17"/>
  <c r="I59" i="17"/>
  <c r="I70" i="17"/>
  <c r="I63" i="17"/>
  <c r="I55" i="17"/>
  <c r="I53" i="17"/>
  <c r="I42" i="17"/>
  <c r="I40" i="17"/>
  <c r="I38" i="17"/>
  <c r="I30" i="17"/>
  <c r="I26" i="17"/>
  <c r="I18" i="17"/>
  <c r="I16" i="17"/>
  <c r="I28" i="17"/>
  <c r="I65" i="17"/>
  <c r="I57" i="17"/>
  <c r="I50" i="17"/>
  <c r="I48" i="17"/>
  <c r="I46" i="17"/>
  <c r="I68" i="17"/>
  <c r="I35" i="17"/>
  <c r="I31" i="17"/>
  <c r="I61" i="17"/>
  <c r="I54" i="17"/>
  <c r="I71" i="17"/>
  <c r="I60" i="17"/>
  <c r="I49" i="17"/>
  <c r="I47" i="17"/>
  <c r="I45" i="17"/>
  <c r="I34" i="17"/>
  <c r="I32" i="17"/>
  <c r="I24" i="17"/>
  <c r="I20" i="17"/>
  <c r="I12" i="17"/>
  <c r="I56" i="17"/>
  <c r="I51" i="17"/>
  <c r="I43" i="17"/>
  <c r="I21" i="17"/>
  <c r="I15" i="17"/>
  <c r="I11" i="17"/>
  <c r="I9" i="17"/>
  <c r="I39" i="17"/>
  <c r="I14" i="17"/>
  <c r="I19" i="17"/>
  <c r="I27" i="17"/>
  <c r="I13" i="17"/>
  <c r="I29" i="17"/>
  <c r="I41" i="17"/>
  <c r="I25" i="17"/>
  <c r="I10" i="17"/>
  <c r="I58" i="17"/>
  <c r="I37" i="17"/>
  <c r="I23" i="17"/>
  <c r="I22" i="17"/>
  <c r="I17" i="17"/>
  <c r="H8" i="17"/>
  <c r="AD23" i="14"/>
  <c r="L6" i="15" l="1"/>
  <c r="G426" i="19"/>
  <c r="J426" i="19"/>
  <c r="AQ426" i="19"/>
  <c r="T426" i="19"/>
  <c r="AE426" i="19"/>
  <c r="L426" i="19"/>
  <c r="N426" i="19"/>
  <c r="V426" i="19"/>
  <c r="D420" i="19"/>
  <c r="Z20" i="19"/>
  <c r="Z21" i="19"/>
  <c r="E420" i="19"/>
  <c r="I421" i="19"/>
  <c r="S421" i="19"/>
  <c r="AD421" i="19"/>
  <c r="AP421" i="19"/>
  <c r="I422" i="19"/>
  <c r="S422" i="19"/>
  <c r="AD422" i="19"/>
  <c r="I423" i="19"/>
  <c r="AP422" i="19"/>
  <c r="S423" i="19"/>
  <c r="AD423" i="19"/>
  <c r="AP423" i="19"/>
  <c r="I8" i="17"/>
  <c r="AD15" i="14" a="1"/>
  <c r="X8" i="14" a="1"/>
  <c r="X8" i="14" s="1"/>
  <c r="X54" i="14" s="1"/>
  <c r="G13" i="11"/>
  <c r="C14" i="11" s="1"/>
  <c r="G11" i="11"/>
  <c r="C12" i="11" s="1"/>
  <c r="I65" i="11"/>
  <c r="I16" i="11" s="1"/>
  <c r="E17" i="11" s="1"/>
  <c r="I60" i="11"/>
  <c r="I15" i="11" s="1"/>
  <c r="E16" i="11" s="1"/>
  <c r="I56" i="11"/>
  <c r="I14" i="11" s="1"/>
  <c r="E15" i="11" s="1"/>
  <c r="I47" i="11"/>
  <c r="I19" i="11"/>
  <c r="G15" i="11"/>
  <c r="C16" i="11" s="1"/>
  <c r="G14" i="11"/>
  <c r="C15" i="11" s="1"/>
  <c r="B2" i="11"/>
  <c r="A2" i="14" s="1"/>
  <c r="Z25" i="19" l="1"/>
  <c r="Z30" i="19"/>
  <c r="Z31" i="19"/>
  <c r="Z35" i="19"/>
  <c r="Z39" i="19" s="1"/>
  <c r="Z26" i="19"/>
  <c r="R8" i="19" a="1"/>
  <c r="Z36" i="19"/>
  <c r="AQ55" i="15"/>
  <c r="AS55" i="15"/>
  <c r="AP55" i="15"/>
  <c r="AR55" i="15"/>
  <c r="AL55" i="15"/>
  <c r="AM55" i="15"/>
  <c r="AK55" i="15"/>
  <c r="AJ55" i="15"/>
  <c r="AP54" i="15"/>
  <c r="AQ54" i="15"/>
  <c r="AR54" i="15"/>
  <c r="AS54" i="15"/>
  <c r="AL54" i="15"/>
  <c r="AM54" i="15"/>
  <c r="AK54" i="15"/>
  <c r="AJ54" i="15"/>
  <c r="AP53" i="15"/>
  <c r="AQ53" i="15"/>
  <c r="AR53" i="15"/>
  <c r="AS53" i="15"/>
  <c r="AM53" i="15"/>
  <c r="AL53" i="15"/>
  <c r="AK53" i="15"/>
  <c r="AJ53" i="15"/>
  <c r="AP29" i="15"/>
  <c r="AQ29" i="15"/>
  <c r="AR29" i="15"/>
  <c r="AS29" i="15"/>
  <c r="AK29" i="15"/>
  <c r="AO29" i="15"/>
  <c r="AL29" i="15"/>
  <c r="AJ29" i="15"/>
  <c r="AP52" i="15"/>
  <c r="AQ52" i="15"/>
  <c r="AR52" i="15"/>
  <c r="AS52" i="15"/>
  <c r="AL52" i="15"/>
  <c r="AK52" i="15"/>
  <c r="AJ52" i="15"/>
  <c r="AP51" i="15"/>
  <c r="AQ51" i="15"/>
  <c r="AR51" i="15"/>
  <c r="AS51" i="15"/>
  <c r="AO51" i="15"/>
  <c r="AK51" i="15"/>
  <c r="AL51" i="15"/>
  <c r="AJ51" i="15"/>
  <c r="AP50" i="15"/>
  <c r="AR50" i="15"/>
  <c r="AS50" i="15"/>
  <c r="AQ50" i="15"/>
  <c r="AL50" i="15"/>
  <c r="AO50" i="15"/>
  <c r="AK50" i="15"/>
  <c r="AJ50" i="15"/>
  <c r="AP49" i="15"/>
  <c r="AQ49" i="15"/>
  <c r="AR49" i="15"/>
  <c r="AS49" i="15"/>
  <c r="AO49" i="15"/>
  <c r="AK49" i="15"/>
  <c r="AL49" i="15"/>
  <c r="AJ49" i="15"/>
  <c r="AP48" i="15"/>
  <c r="AR48" i="15"/>
  <c r="AS48" i="15"/>
  <c r="AQ48" i="15"/>
  <c r="AO48" i="15"/>
  <c r="AK48" i="15"/>
  <c r="AL48" i="15"/>
  <c r="AJ48" i="15"/>
  <c r="AP47" i="15"/>
  <c r="AQ47" i="15"/>
  <c r="AR47" i="15"/>
  <c r="AS47" i="15"/>
  <c r="AO47" i="15"/>
  <c r="AK47" i="15"/>
  <c r="AL47" i="15"/>
  <c r="AJ47" i="15"/>
  <c r="AP46" i="15"/>
  <c r="AQ46" i="15"/>
  <c r="AR46" i="15"/>
  <c r="AS46" i="15"/>
  <c r="AK46" i="15"/>
  <c r="AO46" i="15"/>
  <c r="AL46" i="15"/>
  <c r="AJ46" i="15"/>
  <c r="U29" i="15"/>
  <c r="K29" i="15"/>
  <c r="S29" i="15"/>
  <c r="T29" i="15"/>
  <c r="AQ28" i="15"/>
  <c r="AL28" i="15"/>
  <c r="AK28" i="15"/>
  <c r="AR28" i="15"/>
  <c r="AS28" i="15"/>
  <c r="AJ28" i="15"/>
  <c r="AP28" i="15"/>
  <c r="AP27" i="15"/>
  <c r="AQ27" i="15"/>
  <c r="AR27" i="15"/>
  <c r="AS27" i="15"/>
  <c r="AK27" i="15"/>
  <c r="AL27" i="15"/>
  <c r="AJ27" i="15"/>
  <c r="AR26" i="15"/>
  <c r="AP26" i="15"/>
  <c r="AQ26" i="15"/>
  <c r="AK26" i="15"/>
  <c r="AS26" i="15"/>
  <c r="AL26" i="15"/>
  <c r="AJ26" i="15"/>
  <c r="AP25" i="15"/>
  <c r="AR25" i="15"/>
  <c r="AS25" i="15"/>
  <c r="AK25" i="15"/>
  <c r="AL25" i="15"/>
  <c r="AQ25" i="15"/>
  <c r="AJ25" i="15"/>
  <c r="AQ24" i="15"/>
  <c r="AR24" i="15"/>
  <c r="AS24" i="15"/>
  <c r="AP24" i="15"/>
  <c r="AK24" i="15"/>
  <c r="AJ24" i="15"/>
  <c r="AP23" i="15"/>
  <c r="AQ23" i="15"/>
  <c r="AR23" i="15"/>
  <c r="AS23" i="15"/>
  <c r="AK23" i="15"/>
  <c r="AJ23" i="15"/>
  <c r="AP22" i="15"/>
  <c r="AQ22" i="15"/>
  <c r="AR22" i="15"/>
  <c r="AS22" i="15"/>
  <c r="AK22" i="15"/>
  <c r="AJ22" i="15"/>
  <c r="AP21" i="15"/>
  <c r="AQ21" i="15"/>
  <c r="AR21" i="15"/>
  <c r="AS21" i="15"/>
  <c r="AK21" i="15"/>
  <c r="AP20" i="15"/>
  <c r="AQ20" i="15"/>
  <c r="AR20" i="15"/>
  <c r="AS20" i="15"/>
  <c r="AK20" i="15"/>
  <c r="AJ20" i="15"/>
  <c r="S27" i="15"/>
  <c r="K27" i="15"/>
  <c r="T27" i="15"/>
  <c r="U27" i="15"/>
  <c r="AP45" i="15"/>
  <c r="AQ45" i="15"/>
  <c r="AR45" i="15"/>
  <c r="AS45" i="15"/>
  <c r="AO45" i="15"/>
  <c r="AK45" i="15"/>
  <c r="AJ45" i="15"/>
  <c r="AP44" i="15"/>
  <c r="AR44" i="15"/>
  <c r="AQ44" i="15"/>
  <c r="AS44" i="15"/>
  <c r="AK44" i="15"/>
  <c r="AO44" i="15"/>
  <c r="AJ44" i="15"/>
  <c r="AP43" i="15"/>
  <c r="AQ43" i="15"/>
  <c r="AR43" i="15"/>
  <c r="AS43" i="15"/>
  <c r="AK43" i="15"/>
  <c r="AO43" i="15"/>
  <c r="AJ43" i="15"/>
  <c r="AP37" i="15"/>
  <c r="AQ37" i="15"/>
  <c r="AR37" i="15"/>
  <c r="AS37" i="15"/>
  <c r="AO37" i="15"/>
  <c r="AK37" i="15"/>
  <c r="AN37" i="15"/>
  <c r="AJ37" i="15"/>
  <c r="AP42" i="15"/>
  <c r="AQ42" i="15"/>
  <c r="AR42" i="15"/>
  <c r="AS42" i="15"/>
  <c r="AK42" i="15"/>
  <c r="AO42" i="15"/>
  <c r="AP41" i="15"/>
  <c r="AQ41" i="15"/>
  <c r="AR41" i="15"/>
  <c r="AS41" i="15"/>
  <c r="AK41" i="15"/>
  <c r="AO41" i="15"/>
  <c r="AP40" i="15"/>
  <c r="AQ40" i="15"/>
  <c r="AR40" i="15"/>
  <c r="AS40" i="15"/>
  <c r="AO40" i="15"/>
  <c r="AK40" i="15"/>
  <c r="T25" i="15"/>
  <c r="U25" i="15"/>
  <c r="AP39" i="15"/>
  <c r="AQ39" i="15"/>
  <c r="AR39" i="15"/>
  <c r="AS39" i="15"/>
  <c r="AO39" i="15"/>
  <c r="AP38" i="15"/>
  <c r="AQ38" i="15"/>
  <c r="AR38" i="15"/>
  <c r="AS38" i="15"/>
  <c r="AO38" i="15"/>
  <c r="AN38" i="15"/>
  <c r="AP35" i="15"/>
  <c r="AQ35" i="15"/>
  <c r="AR35" i="15"/>
  <c r="AS35" i="15"/>
  <c r="AN35" i="15"/>
  <c r="AM35" i="15"/>
  <c r="AO35" i="15"/>
  <c r="AJ35" i="15"/>
  <c r="AP36" i="15"/>
  <c r="AQ36" i="15"/>
  <c r="AR36" i="15"/>
  <c r="AS36" i="15"/>
  <c r="AO36" i="15"/>
  <c r="AM36" i="15"/>
  <c r="AN36" i="15"/>
  <c r="AJ36" i="15"/>
  <c r="AP32" i="15"/>
  <c r="AQ32" i="15"/>
  <c r="AR32" i="15"/>
  <c r="AS32" i="15"/>
  <c r="AO32" i="15"/>
  <c r="AN32" i="15"/>
  <c r="AM32" i="15"/>
  <c r="AJ32" i="15"/>
  <c r="AP31" i="15"/>
  <c r="AQ31" i="15"/>
  <c r="AR31" i="15"/>
  <c r="AS31" i="15"/>
  <c r="AO31" i="15"/>
  <c r="AN31" i="15"/>
  <c r="AM31" i="15"/>
  <c r="AJ31" i="15"/>
  <c r="AP30" i="15"/>
  <c r="AQ30" i="15"/>
  <c r="AR30" i="15"/>
  <c r="AS30" i="15"/>
  <c r="AN30" i="15"/>
  <c r="AO30" i="15"/>
  <c r="AJ30" i="15"/>
  <c r="K28" i="15"/>
  <c r="S28" i="15"/>
  <c r="T28" i="15"/>
  <c r="U28" i="15"/>
  <c r="AP15" i="15"/>
  <c r="AQ15" i="15"/>
  <c r="AR15" i="15"/>
  <c r="AS15" i="15"/>
  <c r="AO15" i="15"/>
  <c r="AN15" i="15"/>
  <c r="AM15" i="15"/>
  <c r="AL15" i="15"/>
  <c r="S25" i="15"/>
  <c r="K25" i="15"/>
  <c r="AP13" i="15"/>
  <c r="AQ13" i="15"/>
  <c r="AR13" i="15"/>
  <c r="AS13" i="15"/>
  <c r="AO13" i="15"/>
  <c r="AN13" i="15"/>
  <c r="AM13" i="15"/>
  <c r="AL13" i="15"/>
  <c r="AP12" i="15"/>
  <c r="AQ12" i="15"/>
  <c r="AR12" i="15"/>
  <c r="AS12" i="15"/>
  <c r="AN12" i="15"/>
  <c r="AO12" i="15"/>
  <c r="AM12" i="15"/>
  <c r="AL12" i="15"/>
  <c r="AP11" i="15"/>
  <c r="AQ11" i="15"/>
  <c r="AR11" i="15"/>
  <c r="AS11" i="15"/>
  <c r="AO11" i="15"/>
  <c r="AN11" i="15"/>
  <c r="AM11" i="15"/>
  <c r="AL11" i="15"/>
  <c r="AP10" i="15"/>
  <c r="AQ10" i="15"/>
  <c r="AR10" i="15"/>
  <c r="AS10" i="15"/>
  <c r="AO10" i="15"/>
  <c r="AN10" i="15"/>
  <c r="AM10" i="15"/>
  <c r="AL10" i="15"/>
  <c r="I13" i="11"/>
  <c r="E14" i="11" s="1"/>
  <c r="AP16" i="15"/>
  <c r="AQ16" i="15"/>
  <c r="AR16" i="15"/>
  <c r="AS16" i="15"/>
  <c r="AM16" i="15"/>
  <c r="AK16" i="15"/>
  <c r="AL16" i="15"/>
  <c r="AJ16" i="15"/>
  <c r="AP14" i="15"/>
  <c r="AQ14" i="15"/>
  <c r="AR14" i="15"/>
  <c r="AS14" i="15"/>
  <c r="AL14" i="15"/>
  <c r="AK14" i="15"/>
  <c r="AM14" i="15"/>
  <c r="AJ14" i="15"/>
  <c r="AP19" i="15"/>
  <c r="AQ19" i="15"/>
  <c r="AR19" i="15"/>
  <c r="AS19" i="15"/>
  <c r="AK19" i="15"/>
  <c r="AL19" i="15"/>
  <c r="AM19" i="15"/>
  <c r="AN19" i="15"/>
  <c r="AJ19" i="15"/>
  <c r="AP18" i="15"/>
  <c r="AQ18" i="15"/>
  <c r="AR18" i="15"/>
  <c r="AS18" i="15"/>
  <c r="AL18" i="15"/>
  <c r="AK18" i="15"/>
  <c r="AM18" i="15"/>
  <c r="AN18" i="15"/>
  <c r="AJ18" i="15"/>
  <c r="AP17" i="15"/>
  <c r="AQ17" i="15"/>
  <c r="AR17" i="15"/>
  <c r="AS17" i="15"/>
  <c r="AL17" i="15"/>
  <c r="AK17" i="15"/>
  <c r="AN17" i="15"/>
  <c r="AM17" i="15"/>
  <c r="AJ17" i="15"/>
  <c r="T26" i="15"/>
  <c r="S26" i="15"/>
  <c r="U26" i="15"/>
  <c r="K26" i="15"/>
  <c r="I420" i="19"/>
  <c r="AD420" i="19"/>
  <c r="AP420" i="19"/>
  <c r="S420" i="19"/>
  <c r="AD15" i="14"/>
  <c r="I68" i="11"/>
  <c r="H66" i="11" s="1"/>
  <c r="I11" i="11"/>
  <c r="E12" i="11" s="1"/>
  <c r="Z40" i="19" l="1"/>
  <c r="R8" i="19"/>
  <c r="T30" i="15"/>
  <c r="T33" i="15" s="1"/>
  <c r="U30" i="15"/>
  <c r="U33" i="15" s="1"/>
  <c r="K30" i="15"/>
  <c r="S30" i="15"/>
  <c r="S33" i="15" s="1"/>
  <c r="AQ57" i="15"/>
  <c r="AP57" i="15"/>
  <c r="AS57" i="15"/>
  <c r="AR57" i="15"/>
  <c r="I17" i="11"/>
  <c r="H6" i="11" s="1"/>
  <c r="K17" i="11"/>
  <c r="L7" i="15"/>
  <c r="V4" i="15"/>
  <c r="D53" i="15"/>
  <c r="D52" i="15"/>
  <c r="B9" i="15"/>
  <c r="D9" i="15"/>
  <c r="D56" i="15" s="1"/>
  <c r="B10" i="15"/>
  <c r="D10" i="15"/>
  <c r="B11" i="15"/>
  <c r="D11" i="15"/>
  <c r="B12" i="15"/>
  <c r="D12" i="15"/>
  <c r="B13" i="15"/>
  <c r="D13" i="15"/>
  <c r="B14" i="15"/>
  <c r="D14" i="15"/>
  <c r="B15" i="15"/>
  <c r="D15" i="15"/>
  <c r="B16" i="15"/>
  <c r="D16" i="15"/>
  <c r="B17" i="15"/>
  <c r="D17" i="15"/>
  <c r="B18" i="15"/>
  <c r="D18" i="15"/>
  <c r="B19" i="15"/>
  <c r="D19" i="15"/>
  <c r="B20" i="15"/>
  <c r="D20" i="15"/>
  <c r="B21" i="15"/>
  <c r="D21" i="15"/>
  <c r="B22" i="15"/>
  <c r="D22" i="15"/>
  <c r="B23" i="15"/>
  <c r="D23" i="15"/>
  <c r="B24" i="15"/>
  <c r="D24" i="15"/>
  <c r="B25" i="15"/>
  <c r="D25" i="15"/>
  <c r="B26" i="15"/>
  <c r="D26" i="15"/>
  <c r="B27" i="15"/>
  <c r="D27" i="15"/>
  <c r="B28" i="15"/>
  <c r="D28" i="15"/>
  <c r="B29" i="15"/>
  <c r="D29" i="15"/>
  <c r="B30" i="15"/>
  <c r="D30" i="15"/>
  <c r="B31" i="15"/>
  <c r="D31" i="15"/>
  <c r="B32" i="15"/>
  <c r="D32" i="15"/>
  <c r="B36" i="15"/>
  <c r="D36" i="15"/>
  <c r="B35" i="15"/>
  <c r="D35" i="15"/>
  <c r="B37" i="15"/>
  <c r="D37" i="15"/>
  <c r="B38" i="15"/>
  <c r="D38" i="15"/>
  <c r="B39" i="15"/>
  <c r="D39" i="15"/>
  <c r="B40" i="15"/>
  <c r="D40" i="15"/>
  <c r="B41" i="15"/>
  <c r="D41" i="15"/>
  <c r="B42" i="15"/>
  <c r="D42" i="15"/>
  <c r="B43" i="15"/>
  <c r="D43" i="15"/>
  <c r="B44" i="15"/>
  <c r="D44" i="15"/>
  <c r="B45" i="15"/>
  <c r="D45" i="15"/>
  <c r="B46" i="15"/>
  <c r="D46" i="15"/>
  <c r="B47" i="15"/>
  <c r="D47" i="15"/>
  <c r="B48" i="15"/>
  <c r="D48" i="15"/>
  <c r="B49" i="15"/>
  <c r="D49" i="15"/>
  <c r="B50" i="15"/>
  <c r="D50" i="15"/>
  <c r="B51" i="15"/>
  <c r="D51" i="15"/>
  <c r="B52" i="15"/>
  <c r="B53" i="15"/>
  <c r="B54" i="15"/>
  <c r="D54" i="15"/>
  <c r="D2" i="9"/>
  <c r="B2" i="20" s="1"/>
  <c r="M11" i="9"/>
  <c r="M52" i="9"/>
  <c r="M51" i="9"/>
  <c r="M50" i="9"/>
  <c r="M49" i="9"/>
  <c r="M48" i="9"/>
  <c r="M47" i="9"/>
  <c r="M46" i="9"/>
  <c r="M45" i="9"/>
  <c r="M44" i="9"/>
  <c r="M43" i="9"/>
  <c r="M42" i="9"/>
  <c r="M41" i="9"/>
  <c r="M40" i="9"/>
  <c r="M39" i="9"/>
  <c r="M38" i="9"/>
  <c r="M37" i="9"/>
  <c r="M36" i="9"/>
  <c r="M35" i="9"/>
  <c r="M34" i="9"/>
  <c r="M33" i="9"/>
  <c r="M32" i="9"/>
  <c r="M31" i="9"/>
  <c r="M30" i="9"/>
  <c r="M29" i="9"/>
  <c r="M28" i="9"/>
  <c r="M27" i="9"/>
  <c r="M26" i="9"/>
  <c r="M25" i="9"/>
  <c r="M24" i="9"/>
  <c r="M23" i="9"/>
  <c r="M22" i="9"/>
  <c r="M21" i="9"/>
  <c r="M20" i="9"/>
  <c r="M19" i="9"/>
  <c r="M18" i="9"/>
  <c r="M17" i="9"/>
  <c r="M16" i="9"/>
  <c r="M15" i="9"/>
  <c r="M14" i="9"/>
  <c r="M13" i="9"/>
  <c r="M12" i="9"/>
  <c r="M10" i="9"/>
  <c r="M9" i="9"/>
  <c r="M8" i="9"/>
  <c r="G17" i="9" l="1"/>
  <c r="E18" i="11"/>
  <c r="F11" i="14" s="1"/>
  <c r="N11" i="9"/>
  <c r="N52" i="9"/>
  <c r="N51" i="9"/>
  <c r="N50" i="9"/>
  <c r="N49" i="9"/>
  <c r="N48" i="9"/>
  <c r="N47" i="9"/>
  <c r="N46" i="9"/>
  <c r="N45" i="9"/>
  <c r="N44" i="9"/>
  <c r="N43" i="9"/>
  <c r="N42" i="9"/>
  <c r="N40" i="9"/>
  <c r="N39" i="9"/>
  <c r="N38" i="9"/>
  <c r="N37" i="9"/>
  <c r="N36" i="9"/>
  <c r="N35" i="9"/>
  <c r="N34" i="9"/>
  <c r="N33" i="9"/>
  <c r="N31" i="9"/>
  <c r="N30" i="9"/>
  <c r="N28" i="9"/>
  <c r="N26" i="9"/>
  <c r="N24" i="9"/>
  <c r="N22" i="9"/>
  <c r="N20" i="9"/>
  <c r="N17" i="9"/>
  <c r="N15" i="9"/>
  <c r="N13" i="9"/>
  <c r="N10" i="9"/>
  <c r="N19" i="9"/>
  <c r="N41" i="9"/>
  <c r="N32" i="9"/>
  <c r="N29" i="9"/>
  <c r="N27" i="9"/>
  <c r="N25" i="9"/>
  <c r="N23" i="9"/>
  <c r="N21" i="9"/>
  <c r="N18" i="9"/>
  <c r="N16" i="9"/>
  <c r="N14" i="9"/>
  <c r="N12" i="9"/>
  <c r="N9" i="9"/>
  <c r="O8" i="11" a="1"/>
  <c r="O8" i="11" s="1"/>
  <c r="N8" i="9"/>
  <c r="G9" i="20"/>
  <c r="W20" i="16"/>
  <c r="G20" i="20"/>
  <c r="W28" i="16"/>
  <c r="G28" i="20"/>
  <c r="W44" i="16"/>
  <c r="G44" i="20"/>
  <c r="W37" i="16"/>
  <c r="G37" i="20"/>
  <c r="W12" i="16"/>
  <c r="G12" i="20"/>
  <c r="W13" i="16"/>
  <c r="G13" i="20"/>
  <c r="W21" i="16"/>
  <c r="G21" i="20"/>
  <c r="W29" i="16"/>
  <c r="G29" i="20"/>
  <c r="W53" i="16"/>
  <c r="G53" i="20"/>
  <c r="W32" i="16"/>
  <c r="G32" i="20"/>
  <c r="W47" i="16"/>
  <c r="G47" i="20"/>
  <c r="W25" i="16"/>
  <c r="G25" i="20"/>
  <c r="W33" i="16"/>
  <c r="G33" i="20"/>
  <c r="W49" i="16"/>
  <c r="G49" i="20"/>
  <c r="W11" i="16"/>
  <c r="G11" i="20"/>
  <c r="W36" i="16"/>
  <c r="G36" i="20"/>
  <c r="W52" i="16"/>
  <c r="G52" i="20"/>
  <c r="W45" i="16"/>
  <c r="G45" i="20"/>
  <c r="W14" i="16"/>
  <c r="G14" i="20"/>
  <c r="W22" i="16"/>
  <c r="G22" i="20"/>
  <c r="W30" i="16"/>
  <c r="G30" i="20"/>
  <c r="W38" i="16"/>
  <c r="G38" i="20"/>
  <c r="W46" i="16"/>
  <c r="G46" i="20"/>
  <c r="W15" i="16"/>
  <c r="G15" i="20"/>
  <c r="W23" i="16"/>
  <c r="G23" i="20"/>
  <c r="W31" i="16"/>
  <c r="G31" i="20"/>
  <c r="W39" i="16"/>
  <c r="G39" i="20"/>
  <c r="W17" i="16"/>
  <c r="G17" i="20"/>
  <c r="W42" i="16"/>
  <c r="G42" i="20"/>
  <c r="W16" i="16"/>
  <c r="G16" i="20"/>
  <c r="W24" i="16"/>
  <c r="G24" i="20"/>
  <c r="W40" i="16"/>
  <c r="G40" i="20"/>
  <c r="W48" i="16"/>
  <c r="G48" i="20"/>
  <c r="W41" i="16"/>
  <c r="G41" i="20"/>
  <c r="W18" i="16"/>
  <c r="G18" i="20"/>
  <c r="W26" i="16"/>
  <c r="G26" i="20"/>
  <c r="W34" i="16"/>
  <c r="G34" i="20"/>
  <c r="W50" i="16"/>
  <c r="G50" i="20"/>
  <c r="W10" i="16"/>
  <c r="G10" i="20"/>
  <c r="W19" i="16"/>
  <c r="G19" i="20"/>
  <c r="W27" i="16"/>
  <c r="G27" i="20"/>
  <c r="W35" i="16"/>
  <c r="G35" i="20"/>
  <c r="W43" i="16"/>
  <c r="G43" i="20"/>
  <c r="W51" i="16"/>
  <c r="G51" i="20"/>
  <c r="E2" i="16"/>
  <c r="B2" i="18"/>
  <c r="E2" i="17"/>
  <c r="R29" i="15"/>
  <c r="R26" i="15"/>
  <c r="R25" i="15"/>
  <c r="R28" i="15"/>
  <c r="R27" i="15"/>
  <c r="W9" i="16"/>
  <c r="K8" i="14" a="1"/>
  <c r="K8" i="14" s="1"/>
  <c r="K54" i="14" s="1"/>
  <c r="A51" i="9"/>
  <c r="A12" i="9"/>
  <c r="A36" i="9"/>
  <c r="A10" i="9"/>
  <c r="A13" i="9"/>
  <c r="A21" i="9"/>
  <c r="A29" i="9"/>
  <c r="A37" i="9"/>
  <c r="A15" i="9"/>
  <c r="A23" i="9"/>
  <c r="A31" i="9"/>
  <c r="A39" i="9"/>
  <c r="A47" i="9"/>
  <c r="A43" i="9"/>
  <c r="A48" i="9"/>
  <c r="A20" i="9"/>
  <c r="A28" i="9"/>
  <c r="A44" i="9"/>
  <c r="A45" i="9"/>
  <c r="A7" i="9"/>
  <c r="A16" i="9"/>
  <c r="A24" i="9"/>
  <c r="A32" i="9"/>
  <c r="A40" i="9"/>
  <c r="A8" i="9"/>
  <c r="A17" i="9"/>
  <c r="A25" i="9"/>
  <c r="A33" i="9"/>
  <c r="A41" i="9"/>
  <c r="A49" i="9"/>
  <c r="A9" i="9"/>
  <c r="A18" i="9"/>
  <c r="A26" i="9"/>
  <c r="A34" i="9"/>
  <c r="A42" i="9"/>
  <c r="A50" i="9"/>
  <c r="A27" i="9"/>
  <c r="A11" i="9"/>
  <c r="A19" i="9"/>
  <c r="A35" i="9"/>
  <c r="A14" i="9"/>
  <c r="A22" i="9"/>
  <c r="A30" i="9"/>
  <c r="A38" i="9"/>
  <c r="A46" i="9"/>
  <c r="E2" i="15"/>
  <c r="AF9" i="14"/>
  <c r="AH9" i="14"/>
  <c r="AK9" i="14"/>
  <c r="AK12" i="14"/>
  <c r="AF12" i="14"/>
  <c r="AJ12" i="14"/>
  <c r="AG12" i="14"/>
  <c r="AE12" i="14"/>
  <c r="AK11" i="14"/>
  <c r="AI11" i="14"/>
  <c r="AG11" i="14"/>
  <c r="AF11" i="14"/>
  <c r="AD11" i="14"/>
  <c r="AH10" i="14"/>
  <c r="AD10" i="14"/>
  <c r="AK10" i="14"/>
  <c r="AG10" i="14"/>
  <c r="AE10" i="14"/>
  <c r="AJ9" i="14"/>
  <c r="AD9" i="14"/>
  <c r="AI9" i="14"/>
  <c r="AE9" i="14"/>
  <c r="AG9" i="14"/>
  <c r="AH12" i="14"/>
  <c r="AD12" i="14"/>
  <c r="AI12" i="14"/>
  <c r="AJ11" i="14"/>
  <c r="AH11" i="14"/>
  <c r="AE11" i="14"/>
  <c r="AJ10" i="14"/>
  <c r="AF10" i="14"/>
  <c r="AI10" i="14"/>
  <c r="M7" i="15"/>
  <c r="A36" i="15"/>
  <c r="A9" i="15"/>
  <c r="A10" i="15"/>
  <c r="A11" i="15"/>
  <c r="A12" i="15"/>
  <c r="A13" i="15"/>
  <c r="A14" i="15"/>
  <c r="A15" i="15"/>
  <c r="A16" i="15"/>
  <c r="A17" i="15"/>
  <c r="A18" i="15"/>
  <c r="A19" i="15"/>
  <c r="A20" i="15"/>
  <c r="A21" i="15"/>
  <c r="A22" i="15"/>
  <c r="A23" i="15"/>
  <c r="A24" i="15"/>
  <c r="A25" i="15"/>
  <c r="A26" i="15"/>
  <c r="A27" i="15"/>
  <c r="A28" i="15"/>
  <c r="A29" i="15"/>
  <c r="A30" i="15"/>
  <c r="A31" i="15"/>
  <c r="A32" i="15"/>
  <c r="A35" i="15"/>
  <c r="A37" i="15"/>
  <c r="A38" i="15"/>
  <c r="A39" i="15"/>
  <c r="A40" i="15"/>
  <c r="A41" i="15"/>
  <c r="A42" i="15"/>
  <c r="A43" i="15"/>
  <c r="A44" i="15"/>
  <c r="A45" i="15"/>
  <c r="A46" i="15"/>
  <c r="A47" i="15"/>
  <c r="A48" i="15"/>
  <c r="A49" i="15"/>
  <c r="A50" i="15"/>
  <c r="A51" i="15"/>
  <c r="A52" i="15"/>
  <c r="A53" i="15"/>
  <c r="A54" i="15"/>
  <c r="G18" i="9" l="1"/>
  <c r="P8" i="11" a="1"/>
  <c r="AJ8" i="15"/>
  <c r="AH8" i="15" s="1"/>
  <c r="G55" i="20"/>
  <c r="AW17" i="16"/>
  <c r="AJ17" i="20"/>
  <c r="X15" i="20"/>
  <c r="X23" i="20"/>
  <c r="X31" i="20"/>
  <c r="X39" i="20"/>
  <c r="X47" i="20"/>
  <c r="AS16" i="16"/>
  <c r="AF16" i="20"/>
  <c r="AW14" i="16"/>
  <c r="AJ14" i="20"/>
  <c r="X16" i="20"/>
  <c r="X24" i="20"/>
  <c r="X32" i="20"/>
  <c r="X40" i="20"/>
  <c r="X48" i="20"/>
  <c r="AV16" i="16"/>
  <c r="AI16" i="20"/>
  <c r="AT16" i="16"/>
  <c r="AG16" i="20"/>
  <c r="X17" i="20"/>
  <c r="X25" i="20"/>
  <c r="X33" i="20"/>
  <c r="X41" i="20"/>
  <c r="X49" i="20"/>
  <c r="AX16" i="16"/>
  <c r="AK16" i="20"/>
  <c r="AX14" i="16"/>
  <c r="AK14" i="20"/>
  <c r="AU16" i="16"/>
  <c r="AH16" i="20"/>
  <c r="X42" i="20"/>
  <c r="X9" i="20"/>
  <c r="X18" i="20"/>
  <c r="X50" i="20"/>
  <c r="AW16" i="16"/>
  <c r="AJ16" i="20"/>
  <c r="X10" i="20"/>
  <c r="X19" i="20"/>
  <c r="X27" i="20"/>
  <c r="X35" i="20"/>
  <c r="X51" i="20"/>
  <c r="AT14" i="16"/>
  <c r="AG14" i="20"/>
  <c r="X26" i="20"/>
  <c r="AS15" i="16"/>
  <c r="AF15" i="20"/>
  <c r="AV14" i="16"/>
  <c r="AI14" i="20"/>
  <c r="X43" i="20"/>
  <c r="AU15" i="16"/>
  <c r="AH15" i="20"/>
  <c r="X11" i="20"/>
  <c r="X20" i="20"/>
  <c r="X28" i="20"/>
  <c r="X36" i="20"/>
  <c r="X44" i="20"/>
  <c r="X52" i="20"/>
  <c r="AW15" i="16"/>
  <c r="AJ15" i="20"/>
  <c r="AV17" i="16"/>
  <c r="AI17" i="20"/>
  <c r="AS17" i="16"/>
  <c r="AF17" i="20"/>
  <c r="X13" i="20"/>
  <c r="X21" i="20"/>
  <c r="X29" i="20"/>
  <c r="X37" i="20"/>
  <c r="X45" i="20"/>
  <c r="X53" i="20"/>
  <c r="AU14" i="16"/>
  <c r="AH14" i="20"/>
  <c r="AU17" i="16"/>
  <c r="AH17" i="20"/>
  <c r="W55" i="16"/>
  <c r="X34" i="20"/>
  <c r="AT15" i="16"/>
  <c r="AG15" i="20"/>
  <c r="X14" i="20"/>
  <c r="X22" i="20"/>
  <c r="X30" i="20"/>
  <c r="X38" i="20"/>
  <c r="X46" i="20"/>
  <c r="X12" i="20"/>
  <c r="AX15" i="16"/>
  <c r="AK15" i="20"/>
  <c r="AS14" i="16"/>
  <c r="AF14" i="20"/>
  <c r="AV15" i="16"/>
  <c r="AI15" i="20"/>
  <c r="AX17" i="16"/>
  <c r="AK17" i="20"/>
  <c r="AT17" i="16"/>
  <c r="AG17" i="20"/>
  <c r="M14" i="15"/>
  <c r="N14" i="15"/>
  <c r="O14" i="15"/>
  <c r="P14" i="15"/>
  <c r="Q14" i="15"/>
  <c r="L14" i="15"/>
  <c r="R30" i="15"/>
  <c r="R33" i="15" s="1"/>
  <c r="O26" i="15"/>
  <c r="O25" i="15"/>
  <c r="P25" i="15"/>
  <c r="Q28" i="15"/>
  <c r="Q25" i="15"/>
  <c r="M29" i="15"/>
  <c r="M27" i="15"/>
  <c r="N29" i="15"/>
  <c r="N26" i="15"/>
  <c r="N25" i="15"/>
  <c r="X49" i="16"/>
  <c r="AB8" i="16" a="1"/>
  <c r="AB8" i="16" s="1"/>
  <c r="AA16" i="14" a="1"/>
  <c r="AC12" i="14"/>
  <c r="AC10" i="14"/>
  <c r="AC11" i="14"/>
  <c r="AC9" i="14"/>
  <c r="A53" i="9"/>
  <c r="B54" i="9" s="1"/>
  <c r="AK8" i="14"/>
  <c r="AK13" i="14" s="1"/>
  <c r="AJ8" i="14"/>
  <c r="AK13" i="20" s="1"/>
  <c r="AI8" i="14"/>
  <c r="AJ13" i="20" s="1"/>
  <c r="AH8" i="14"/>
  <c r="AI13" i="20" s="1"/>
  <c r="AG8" i="14"/>
  <c r="AH13" i="20" s="1"/>
  <c r="AF8" i="14"/>
  <c r="AG13" i="20" s="1"/>
  <c r="AE8" i="14"/>
  <c r="AF13" i="20" s="1"/>
  <c r="AD8" i="14"/>
  <c r="AA8" i="14" a="1"/>
  <c r="P8" i="11" l="1"/>
  <c r="R49" i="11"/>
  <c r="R41" i="11"/>
  <c r="R33" i="11"/>
  <c r="R25" i="11"/>
  <c r="R17" i="11"/>
  <c r="R9" i="11"/>
  <c r="R47" i="11"/>
  <c r="R39" i="11"/>
  <c r="R31" i="11"/>
  <c r="R23" i="11"/>
  <c r="R15" i="11"/>
  <c r="R46" i="11"/>
  <c r="R38" i="11"/>
  <c r="R30" i="11"/>
  <c r="R14" i="11"/>
  <c r="R45" i="11"/>
  <c r="R37" i="11"/>
  <c r="R21" i="11"/>
  <c r="R44" i="11"/>
  <c r="R20" i="11"/>
  <c r="R51" i="11"/>
  <c r="R35" i="11"/>
  <c r="R11" i="11"/>
  <c r="R48" i="11"/>
  <c r="R40" i="11"/>
  <c r="R32" i="11"/>
  <c r="R24" i="11"/>
  <c r="R16" i="11"/>
  <c r="R22" i="11"/>
  <c r="R29" i="11"/>
  <c r="R13" i="11"/>
  <c r="R52" i="11"/>
  <c r="R36" i="11"/>
  <c r="R28" i="11"/>
  <c r="R12" i="11"/>
  <c r="R43" i="11"/>
  <c r="R27" i="11"/>
  <c r="R19" i="11"/>
  <c r="R50" i="11"/>
  <c r="R42" i="11"/>
  <c r="R34" i="11"/>
  <c r="R26" i="11"/>
  <c r="R18" i="11"/>
  <c r="R10" i="11"/>
  <c r="AE29" i="11"/>
  <c r="AE19" i="11"/>
  <c r="AE20" i="11"/>
  <c r="AE49" i="11"/>
  <c r="AE48" i="11"/>
  <c r="AE14" i="11"/>
  <c r="AE38" i="11"/>
  <c r="AE11" i="11"/>
  <c r="AE16" i="11"/>
  <c r="AE40" i="11"/>
  <c r="AE44" i="11"/>
  <c r="AE50" i="11"/>
  <c r="AE32" i="11"/>
  <c r="AE45" i="11"/>
  <c r="AE30" i="11"/>
  <c r="AE39" i="11"/>
  <c r="AE12" i="11"/>
  <c r="AE37" i="11"/>
  <c r="AE27" i="11"/>
  <c r="AE26" i="11"/>
  <c r="AE43" i="11"/>
  <c r="AE17" i="11"/>
  <c r="AE10" i="11"/>
  <c r="AE31" i="11"/>
  <c r="AE23" i="11"/>
  <c r="AE51" i="11"/>
  <c r="AE34" i="11"/>
  <c r="AE24" i="11"/>
  <c r="AE15" i="11"/>
  <c r="AE42" i="11"/>
  <c r="AE41" i="11"/>
  <c r="AE46" i="11"/>
  <c r="AE8" i="11"/>
  <c r="AE21" i="11"/>
  <c r="AE35" i="11"/>
  <c r="AE28" i="11"/>
  <c r="AE36" i="11"/>
  <c r="AE9" i="11"/>
  <c r="AE13" i="11"/>
  <c r="AE25" i="11"/>
  <c r="AE18" i="11"/>
  <c r="AE22" i="11"/>
  <c r="AE47" i="11"/>
  <c r="AE52" i="11"/>
  <c r="AE33" i="11"/>
  <c r="H49" i="20"/>
  <c r="H31" i="20"/>
  <c r="H12" i="20"/>
  <c r="H28" i="20"/>
  <c r="H35" i="20"/>
  <c r="H19" i="20"/>
  <c r="H29" i="20"/>
  <c r="H21" i="20"/>
  <c r="H10" i="20"/>
  <c r="H15" i="20"/>
  <c r="H13" i="20"/>
  <c r="H22" i="20"/>
  <c r="H47" i="20"/>
  <c r="H41" i="20"/>
  <c r="H48" i="20"/>
  <c r="H52" i="20"/>
  <c r="H26" i="20"/>
  <c r="H51" i="20"/>
  <c r="H40" i="20"/>
  <c r="H44" i="20"/>
  <c r="H53" i="20"/>
  <c r="H34" i="20"/>
  <c r="H16" i="20"/>
  <c r="H36" i="20"/>
  <c r="H37" i="20"/>
  <c r="H43" i="20"/>
  <c r="H32" i="20"/>
  <c r="H46" i="20"/>
  <c r="H20" i="20"/>
  <c r="H30" i="20"/>
  <c r="H50" i="20"/>
  <c r="H42" i="20"/>
  <c r="H24" i="20"/>
  <c r="H38" i="20"/>
  <c r="H11" i="20"/>
  <c r="H25" i="20"/>
  <c r="H18" i="20"/>
  <c r="H33" i="20"/>
  <c r="H17" i="20"/>
  <c r="H39" i="20"/>
  <c r="H14" i="20"/>
  <c r="H27" i="20"/>
  <c r="H45" i="20"/>
  <c r="H9" i="20"/>
  <c r="R13" i="9"/>
  <c r="X31" i="16"/>
  <c r="AR17" i="16"/>
  <c r="AE17" i="20"/>
  <c r="AR14" i="16"/>
  <c r="AE14" i="20"/>
  <c r="AD17" i="20"/>
  <c r="AD14" i="20"/>
  <c r="AD16" i="20"/>
  <c r="AD15" i="20"/>
  <c r="AR16" i="16"/>
  <c r="AE16" i="20"/>
  <c r="AR15" i="16"/>
  <c r="AE15" i="20"/>
  <c r="H23" i="20"/>
  <c r="X55" i="20"/>
  <c r="X23" i="16"/>
  <c r="F53" i="15"/>
  <c r="F54" i="15"/>
  <c r="F52" i="15"/>
  <c r="F55" i="15"/>
  <c r="L29" i="15"/>
  <c r="N7" i="15"/>
  <c r="X12" i="16"/>
  <c r="X28" i="16"/>
  <c r="X35" i="16"/>
  <c r="X19" i="16"/>
  <c r="X29" i="16"/>
  <c r="X21" i="16"/>
  <c r="X10" i="16"/>
  <c r="X15" i="16"/>
  <c r="X13" i="16"/>
  <c r="X22" i="16"/>
  <c r="X47" i="16"/>
  <c r="X41" i="16"/>
  <c r="X48" i="16"/>
  <c r="X52" i="16"/>
  <c r="X26" i="16"/>
  <c r="X51" i="16"/>
  <c r="X40" i="16"/>
  <c r="X44" i="16"/>
  <c r="X53" i="16"/>
  <c r="X34" i="16"/>
  <c r="X16" i="16"/>
  <c r="X36" i="16"/>
  <c r="X37" i="16"/>
  <c r="X43" i="16"/>
  <c r="X32" i="16"/>
  <c r="X46" i="16"/>
  <c r="X20" i="16"/>
  <c r="X30" i="16"/>
  <c r="X50" i="16"/>
  <c r="X42" i="16"/>
  <c r="X24" i="16"/>
  <c r="X38" i="16"/>
  <c r="X11" i="16"/>
  <c r="X25" i="16"/>
  <c r="X18" i="16"/>
  <c r="X33" i="16"/>
  <c r="X17" i="16"/>
  <c r="X39" i="16"/>
  <c r="X14" i="16"/>
  <c r="X27" i="16"/>
  <c r="X45" i="16"/>
  <c r="X9" i="16"/>
  <c r="AE13" i="14"/>
  <c r="AS13" i="16"/>
  <c r="AF13" i="14"/>
  <c r="AT13" i="16"/>
  <c r="AG13" i="14"/>
  <c r="AU13" i="16"/>
  <c r="AH13" i="14"/>
  <c r="AV13" i="16"/>
  <c r="AI13" i="14"/>
  <c r="AW13" i="16"/>
  <c r="AQ15" i="16"/>
  <c r="AQ14" i="16"/>
  <c r="AQ16" i="16"/>
  <c r="AQ17" i="16"/>
  <c r="AJ13" i="14"/>
  <c r="AX13" i="16"/>
  <c r="AK20" i="14"/>
  <c r="AK19" i="14"/>
  <c r="AK18" i="14"/>
  <c r="AK17" i="14"/>
  <c r="AJ20" i="14"/>
  <c r="AJ19" i="14"/>
  <c r="AJ18" i="14"/>
  <c r="AJ17" i="14"/>
  <c r="AI20" i="14"/>
  <c r="AI19" i="14"/>
  <c r="AI18" i="14"/>
  <c r="AI17" i="14"/>
  <c r="AF20" i="14"/>
  <c r="AE19" i="14"/>
  <c r="AD20" i="14"/>
  <c r="AD19" i="14"/>
  <c r="AD17" i="14"/>
  <c r="AH20" i="14"/>
  <c r="AH19" i="14"/>
  <c r="AH18" i="14"/>
  <c r="AH17" i="14"/>
  <c r="AF18" i="14"/>
  <c r="AE17" i="14"/>
  <c r="AD18" i="14"/>
  <c r="AG20" i="14"/>
  <c r="AG19" i="14"/>
  <c r="AG18" i="14"/>
  <c r="AG17" i="14"/>
  <c r="AF19" i="14"/>
  <c r="AF17" i="14"/>
  <c r="AE20" i="14"/>
  <c r="AE18" i="14"/>
  <c r="AA16" i="14"/>
  <c r="F51" i="15" s="1"/>
  <c r="AC8" i="14"/>
  <c r="AE13" i="20" s="1"/>
  <c r="AD13" i="14"/>
  <c r="N54" i="9"/>
  <c r="AA8" i="14"/>
  <c r="AD13" i="20" s="1"/>
  <c r="B7" i="9"/>
  <c r="B51" i="9"/>
  <c r="B21" i="9"/>
  <c r="B17" i="9"/>
  <c r="B13" i="9"/>
  <c r="B9" i="9"/>
  <c r="B47" i="9"/>
  <c r="B10" i="9"/>
  <c r="B50" i="9"/>
  <c r="B49" i="9"/>
  <c r="B48" i="9"/>
  <c r="B8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B20" i="9"/>
  <c r="B19" i="9"/>
  <c r="B18" i="9"/>
  <c r="B16" i="9"/>
  <c r="B15" i="9"/>
  <c r="B14" i="9"/>
  <c r="B12" i="9"/>
  <c r="B11" i="9"/>
  <c r="R8" i="11" l="1"/>
  <c r="R54" i="11" s="1"/>
  <c r="P54" i="11"/>
  <c r="AT18" i="16"/>
  <c r="AG18" i="20"/>
  <c r="AW18" i="16"/>
  <c r="AJ18" i="20"/>
  <c r="AS18" i="16"/>
  <c r="AF18" i="20"/>
  <c r="AX18" i="16"/>
  <c r="AK18" i="20"/>
  <c r="AV18" i="16"/>
  <c r="AI18" i="20"/>
  <c r="AU18" i="16"/>
  <c r="AH18" i="20"/>
  <c r="X55" i="16"/>
  <c r="H55" i="20"/>
  <c r="O7" i="15"/>
  <c r="AQ13" i="16"/>
  <c r="C14" i="18" a="1"/>
  <c r="C14" i="18" s="1"/>
  <c r="E14" i="18" a="1"/>
  <c r="E14" i="18" s="1"/>
  <c r="AC13" i="14"/>
  <c r="AR13" i="16"/>
  <c r="AC17" i="14"/>
  <c r="K52" i="15" s="1"/>
  <c r="AC20" i="14"/>
  <c r="K55" i="15" s="1"/>
  <c r="AC18" i="14"/>
  <c r="K53" i="15" s="1"/>
  <c r="AC19" i="14"/>
  <c r="K54" i="15" s="1"/>
  <c r="AD16" i="14"/>
  <c r="AK16" i="14"/>
  <c r="AK21" i="14" s="1"/>
  <c r="AJ16" i="14"/>
  <c r="AG16" i="14"/>
  <c r="AF16" i="14"/>
  <c r="AE16" i="14"/>
  <c r="AI16" i="14"/>
  <c r="AH16" i="14"/>
  <c r="AA24" i="14" a="1"/>
  <c r="C7" i="9"/>
  <c r="C51" i="9"/>
  <c r="C21" i="9"/>
  <c r="C17" i="9"/>
  <c r="C13" i="9"/>
  <c r="C9" i="9"/>
  <c r="C47" i="9"/>
  <c r="C10" i="9"/>
  <c r="C50" i="9"/>
  <c r="C49" i="9"/>
  <c r="C48" i="9"/>
  <c r="C46" i="9"/>
  <c r="C45" i="9"/>
  <c r="C44" i="9"/>
  <c r="C43" i="9"/>
  <c r="C42" i="9"/>
  <c r="C41" i="9"/>
  <c r="C40" i="9"/>
  <c r="C39" i="9"/>
  <c r="C38" i="9"/>
  <c r="C37" i="9"/>
  <c r="C36" i="9"/>
  <c r="C35" i="9"/>
  <c r="C33" i="9"/>
  <c r="C32" i="9"/>
  <c r="C31" i="9"/>
  <c r="C30" i="9"/>
  <c r="C29" i="9"/>
  <c r="C28" i="9"/>
  <c r="C26" i="9"/>
  <c r="C25" i="9"/>
  <c r="C24" i="9"/>
  <c r="C23" i="9"/>
  <c r="C22" i="9"/>
  <c r="C20" i="9"/>
  <c r="C19" i="9"/>
  <c r="C18" i="9"/>
  <c r="C16" i="9"/>
  <c r="C15" i="9"/>
  <c r="C14" i="9"/>
  <c r="C12" i="9"/>
  <c r="C11" i="9"/>
  <c r="C8" i="9"/>
  <c r="C27" i="9"/>
  <c r="C34" i="9"/>
  <c r="B53" i="9"/>
  <c r="AR18" i="16" l="1"/>
  <c r="AE18" i="20"/>
  <c r="AD25" i="20"/>
  <c r="AD26" i="20"/>
  <c r="AD28" i="20"/>
  <c r="AD27" i="20"/>
  <c r="J17" i="15" a="1"/>
  <c r="P7" i="15"/>
  <c r="D14" i="18" a="1"/>
  <c r="D14" i="18" s="1"/>
  <c r="D33" i="18" s="1" a="1"/>
  <c r="D33" i="18" s="1"/>
  <c r="C33" i="18" a="1"/>
  <c r="C33" i="18" s="1"/>
  <c r="C23" i="18" a="1"/>
  <c r="C23" i="18" s="1"/>
  <c r="D23" i="18" a="1"/>
  <c r="AG21" i="14"/>
  <c r="AD21" i="14"/>
  <c r="AC16" i="14"/>
  <c r="K51" i="15" s="1"/>
  <c r="AF21" i="14"/>
  <c r="AJ21" i="14"/>
  <c r="AQ28" i="16"/>
  <c r="AQ26" i="16"/>
  <c r="AQ27" i="16"/>
  <c r="AQ25" i="16"/>
  <c r="AH21" i="14"/>
  <c r="AI21" i="14"/>
  <c r="AE21" i="14"/>
  <c r="AK28" i="14"/>
  <c r="AD26" i="14"/>
  <c r="AK25" i="14"/>
  <c r="AD28" i="14"/>
  <c r="AK27" i="14"/>
  <c r="AD27" i="14"/>
  <c r="AK26" i="14"/>
  <c r="AD25" i="14"/>
  <c r="AG25" i="14"/>
  <c r="AG28" i="14"/>
  <c r="AF28" i="14"/>
  <c r="AH25" i="14"/>
  <c r="AJ27" i="14"/>
  <c r="AF26" i="14"/>
  <c r="AE28" i="14"/>
  <c r="AA24" i="14"/>
  <c r="C53" i="9"/>
  <c r="I51" i="15" l="1" a="1"/>
  <c r="AR34" i="16"/>
  <c r="AQ24" i="16"/>
  <c r="AD24" i="20"/>
  <c r="AX27" i="16"/>
  <c r="AK27" i="20"/>
  <c r="AU28" i="16"/>
  <c r="AH28" i="20"/>
  <c r="AV25" i="16"/>
  <c r="AI25" i="20"/>
  <c r="AT28" i="16"/>
  <c r="AG28" i="20"/>
  <c r="AU25" i="16"/>
  <c r="AH25" i="20"/>
  <c r="AS28" i="16"/>
  <c r="AF28" i="20"/>
  <c r="AT26" i="16"/>
  <c r="AG26" i="20"/>
  <c r="J17" i="15"/>
  <c r="Q7" i="15"/>
  <c r="D23" i="18"/>
  <c r="E23" i="18" s="1"/>
  <c r="E27" i="18"/>
  <c r="E24" i="18"/>
  <c r="E26" i="18"/>
  <c r="E28" i="18"/>
  <c r="E25" i="18"/>
  <c r="AD24" i="14"/>
  <c r="AK24" i="14"/>
  <c r="AK29" i="14" s="1"/>
  <c r="AG24" i="14"/>
  <c r="AJ24" i="14"/>
  <c r="AI24" i="14"/>
  <c r="AH24" i="14"/>
  <c r="AC21" i="14"/>
  <c r="I51" i="15" l="1"/>
  <c r="J51" i="15" s="1"/>
  <c r="J52" i="15"/>
  <c r="J55" i="15"/>
  <c r="J53" i="15"/>
  <c r="J54" i="15"/>
  <c r="AX24" i="16"/>
  <c r="AK24" i="20"/>
  <c r="AU24" i="16"/>
  <c r="AH24" i="20"/>
  <c r="AV24" i="16"/>
  <c r="AI24" i="20"/>
  <c r="AW24" i="16"/>
  <c r="AJ24" i="20"/>
  <c r="I33" i="18" a="1"/>
  <c r="K56" i="15"/>
  <c r="R7" i="15"/>
  <c r="AB16" i="14"/>
  <c r="AD29" i="14"/>
  <c r="AB18" i="14"/>
  <c r="AB20" i="14"/>
  <c r="AB19" i="14"/>
  <c r="AB17" i="14"/>
  <c r="J56" i="15" l="1"/>
  <c r="AE36" i="20"/>
  <c r="I33" i="18"/>
  <c r="J33" i="18" s="1"/>
  <c r="J37" i="18"/>
  <c r="J38" i="18"/>
  <c r="J34" i="18"/>
  <c r="J35" i="18"/>
  <c r="J36" i="18"/>
  <c r="AR36" i="16"/>
  <c r="S7" i="15"/>
  <c r="U7" i="15" l="1"/>
  <c r="T7" i="15"/>
  <c r="AI7" i="15" l="1"/>
  <c r="N8" i="17" a="1"/>
  <c r="I55" i="16" l="1"/>
  <c r="I81" i="16"/>
  <c r="I77" i="16"/>
  <c r="I75" i="16"/>
  <c r="I62" i="16"/>
  <c r="I60" i="16"/>
  <c r="I51" i="16"/>
  <c r="I46" i="16"/>
  <c r="I54" i="16"/>
  <c r="I42" i="16"/>
  <c r="I48" i="16"/>
  <c r="I39" i="16"/>
  <c r="I50" i="16"/>
  <c r="I49" i="16"/>
  <c r="I47" i="16"/>
  <c r="I38" i="16"/>
  <c r="I37" i="16"/>
  <c r="I36" i="16"/>
  <c r="I35" i="16"/>
  <c r="I34" i="16"/>
  <c r="I33" i="16"/>
  <c r="I32" i="16"/>
  <c r="I31" i="16"/>
  <c r="I30" i="16"/>
  <c r="I29" i="16"/>
  <c r="I28" i="16"/>
  <c r="I27" i="16"/>
  <c r="I26" i="16"/>
  <c r="I25" i="16"/>
  <c r="I24" i="16"/>
  <c r="I23" i="16"/>
  <c r="I22" i="16"/>
  <c r="I20" i="16"/>
  <c r="I19" i="16"/>
  <c r="I17" i="16"/>
  <c r="I21" i="16"/>
  <c r="I18" i="16"/>
  <c r="I11" i="16"/>
  <c r="I10" i="16"/>
  <c r="I16" i="16"/>
  <c r="I15" i="16"/>
  <c r="I14" i="16"/>
  <c r="I13" i="16"/>
  <c r="I12" i="16"/>
  <c r="I73" i="16"/>
  <c r="I72" i="16"/>
  <c r="I71" i="16"/>
  <c r="I70" i="16"/>
  <c r="I67" i="16"/>
  <c r="I66" i="16"/>
  <c r="I65" i="16"/>
  <c r="I59" i="16"/>
  <c r="I56" i="16"/>
  <c r="I45" i="16"/>
  <c r="I40" i="16"/>
  <c r="I57" i="16"/>
  <c r="I52" i="16"/>
  <c r="I41" i="16"/>
  <c r="I74" i="16"/>
  <c r="I64" i="16"/>
  <c r="I63" i="16"/>
  <c r="I61" i="16"/>
  <c r="I43" i="16"/>
  <c r="I80" i="16"/>
  <c r="I79" i="16"/>
  <c r="I78" i="16"/>
  <c r="I76" i="16"/>
  <c r="I69" i="16"/>
  <c r="I68" i="16"/>
  <c r="I58" i="16"/>
  <c r="I53" i="16"/>
  <c r="I44" i="16"/>
  <c r="O73" i="17"/>
  <c r="J74" i="16" s="1"/>
  <c r="O74" i="17"/>
  <c r="J75" i="16" s="1"/>
  <c r="O75" i="17"/>
  <c r="J76" i="16" s="1"/>
  <c r="O76" i="17"/>
  <c r="J77" i="16" s="1"/>
  <c r="O77" i="17"/>
  <c r="J78" i="16" s="1"/>
  <c r="O78" i="17"/>
  <c r="J79" i="16" s="1"/>
  <c r="O79" i="17"/>
  <c r="J80" i="16" s="1"/>
  <c r="O80" i="17"/>
  <c r="J81" i="16" s="1"/>
  <c r="M11" i="15"/>
  <c r="M12" i="15" s="1"/>
  <c r="Q11" i="15"/>
  <c r="Q12" i="15" s="1"/>
  <c r="P11" i="15"/>
  <c r="P12" i="15" s="1"/>
  <c r="O11" i="15"/>
  <c r="O12" i="15" s="1"/>
  <c r="N11" i="15"/>
  <c r="N12" i="15" s="1"/>
  <c r="L11" i="15"/>
  <c r="O31" i="17"/>
  <c r="J32" i="16" s="1"/>
  <c r="O42" i="17"/>
  <c r="J43" i="16" s="1"/>
  <c r="O10" i="17"/>
  <c r="J11" i="16" s="1"/>
  <c r="O70" i="17"/>
  <c r="J71" i="16" s="1"/>
  <c r="O15" i="17"/>
  <c r="J16" i="16" s="1"/>
  <c r="O17" i="17"/>
  <c r="J18" i="16" s="1"/>
  <c r="O29" i="17"/>
  <c r="J30" i="16" s="1"/>
  <c r="O14" i="17"/>
  <c r="J15" i="16" s="1"/>
  <c r="O28" i="17"/>
  <c r="J29" i="16" s="1"/>
  <c r="O35" i="17"/>
  <c r="J36" i="16" s="1"/>
  <c r="O45" i="17"/>
  <c r="J46" i="16" s="1"/>
  <c r="O63" i="17"/>
  <c r="J64" i="16" s="1"/>
  <c r="O22" i="17"/>
  <c r="J23" i="16" s="1"/>
  <c r="O46" i="17"/>
  <c r="J47" i="16" s="1"/>
  <c r="O30" i="17"/>
  <c r="J31" i="16" s="1"/>
  <c r="O52" i="17"/>
  <c r="J53" i="16" s="1"/>
  <c r="O25" i="17"/>
  <c r="J26" i="16" s="1"/>
  <c r="O72" i="17"/>
  <c r="J73" i="16" s="1"/>
  <c r="O12" i="17"/>
  <c r="J13" i="16" s="1"/>
  <c r="O33" i="17"/>
  <c r="J34" i="16" s="1"/>
  <c r="O65" i="17"/>
  <c r="J66" i="16" s="1"/>
  <c r="O50" i="17"/>
  <c r="J51" i="16" s="1"/>
  <c r="O18" i="17"/>
  <c r="J19" i="16" s="1"/>
  <c r="O66" i="17"/>
  <c r="J67" i="16" s="1"/>
  <c r="O23" i="17"/>
  <c r="J24" i="16" s="1"/>
  <c r="O57" i="17"/>
  <c r="J58" i="16" s="1"/>
  <c r="O9" i="17"/>
  <c r="J10" i="16" s="1"/>
  <c r="O27" i="17"/>
  <c r="J28" i="16" s="1"/>
  <c r="O41" i="17"/>
  <c r="J42" i="16" s="1"/>
  <c r="O19" i="17"/>
  <c r="J20" i="16" s="1"/>
  <c r="O51" i="17"/>
  <c r="J52" i="16" s="1"/>
  <c r="O68" i="17"/>
  <c r="J69" i="16" s="1"/>
  <c r="O55" i="17"/>
  <c r="J56" i="16" s="1"/>
  <c r="O37" i="17"/>
  <c r="J38" i="16" s="1"/>
  <c r="O69" i="17"/>
  <c r="J70" i="16" s="1"/>
  <c r="O58" i="17"/>
  <c r="J59" i="16" s="1"/>
  <c r="O53" i="17"/>
  <c r="J54" i="16" s="1"/>
  <c r="O44" i="17"/>
  <c r="J45" i="16" s="1"/>
  <c r="O49" i="17"/>
  <c r="J50" i="16" s="1"/>
  <c r="O16" i="17"/>
  <c r="J17" i="16" s="1"/>
  <c r="O20" i="17"/>
  <c r="J21" i="16" s="1"/>
  <c r="O61" i="17"/>
  <c r="J62" i="16" s="1"/>
  <c r="O11" i="17"/>
  <c r="J12" i="16" s="1"/>
  <c r="O43" i="17"/>
  <c r="J44" i="16" s="1"/>
  <c r="O47" i="17"/>
  <c r="J48" i="16" s="1"/>
  <c r="O54" i="17"/>
  <c r="J55" i="16" s="1"/>
  <c r="O36" i="17"/>
  <c r="J37" i="16" s="1"/>
  <c r="O64" i="17"/>
  <c r="J65" i="16" s="1"/>
  <c r="O39" i="17"/>
  <c r="J40" i="16" s="1"/>
  <c r="O71" i="17"/>
  <c r="J72" i="16" s="1"/>
  <c r="O32" i="17"/>
  <c r="J33" i="16" s="1"/>
  <c r="O67" i="17"/>
  <c r="J68" i="16" s="1"/>
  <c r="O24" i="17"/>
  <c r="J25" i="16" s="1"/>
  <c r="O56" i="17"/>
  <c r="J57" i="16" s="1"/>
  <c r="N8" i="17"/>
  <c r="I9" i="16" s="1"/>
  <c r="O48" i="17"/>
  <c r="J49" i="16" s="1"/>
  <c r="O59" i="17"/>
  <c r="J60" i="16" s="1"/>
  <c r="O21" i="17"/>
  <c r="J22" i="16" s="1"/>
  <c r="O13" i="17"/>
  <c r="J14" i="16" s="1"/>
  <c r="O26" i="17"/>
  <c r="J27" i="16" s="1"/>
  <c r="O40" i="17"/>
  <c r="J41" i="16" s="1"/>
  <c r="O38" i="17"/>
  <c r="J39" i="16" s="1"/>
  <c r="O60" i="17"/>
  <c r="J61" i="16" s="1"/>
  <c r="O34" i="17"/>
  <c r="J35" i="16" s="1"/>
  <c r="O62" i="17"/>
  <c r="J63" i="16" s="1"/>
  <c r="AI57" i="15"/>
  <c r="AH7" i="15"/>
  <c r="K11" i="15" l="1"/>
  <c r="L12" i="15"/>
  <c r="N7" i="17"/>
  <c r="I8" i="16" s="1"/>
  <c r="U11" i="15"/>
  <c r="U12" i="15" s="1"/>
  <c r="T11" i="15"/>
  <c r="T12" i="15" s="1"/>
  <c r="S11" i="15"/>
  <c r="S12" i="15" s="1"/>
  <c r="R11" i="15"/>
  <c r="R12" i="15" s="1"/>
  <c r="U34" i="15" l="1"/>
  <c r="U32" i="15"/>
  <c r="S34" i="15"/>
  <c r="S32" i="15"/>
  <c r="R34" i="15"/>
  <c r="R32" i="15"/>
  <c r="T34" i="15"/>
  <c r="T32" i="15"/>
  <c r="J11" i="15"/>
  <c r="L7" i="17" l="1"/>
  <c r="J9" i="15" l="1"/>
  <c r="U135" i="19" l="1" a="1"/>
  <c r="U135" i="19" s="1"/>
  <c r="U136" i="19" l="1" a="1"/>
  <c r="U136" i="19" s="1"/>
  <c r="U137" i="19" l="1" a="1"/>
  <c r="U137" i="19" s="1"/>
  <c r="AF138" i="19" l="1" a="1"/>
  <c r="AF138" i="19" s="1"/>
  <c r="AR133" i="19" l="1" a="1"/>
  <c r="AR133" i="19" s="1"/>
  <c r="AR136" i="19" l="1" a="1"/>
  <c r="AR136" i="19" s="1"/>
  <c r="AR138" i="19" l="1" a="1"/>
  <c r="AR138" i="19" s="1"/>
  <c r="AF147" i="19" l="1" a="1"/>
  <c r="AF147" i="19" s="1"/>
  <c r="AR144" i="19" l="1" a="1"/>
  <c r="AR144" i="19" s="1"/>
  <c r="AF152" i="19" l="1" a="1"/>
  <c r="AF152" i="19" s="1"/>
  <c r="U158" i="19" l="1" a="1"/>
  <c r="U158" i="19" s="1"/>
  <c r="AR156" i="19" l="1" a="1"/>
  <c r="AR156" i="19" s="1"/>
  <c r="AR157" i="19" l="1" a="1"/>
  <c r="AR157" i="19" s="1"/>
  <c r="AF167" i="19" l="1" a="1"/>
  <c r="AF167" i="19" s="1"/>
  <c r="CD429" i="19"/>
  <c r="CD427" i="19"/>
  <c r="CD428" i="19"/>
  <c r="S55" i="20" l="1"/>
  <c r="M8" i="11" l="1" a="1"/>
  <c r="M8" i="11" s="1"/>
  <c r="O54" i="11" s="1"/>
  <c r="H8" i="14" a="1"/>
  <c r="H8" i="14" s="1"/>
  <c r="F12" i="9"/>
  <c r="S26" i="9"/>
  <c r="M54" i="9" s="1"/>
  <c r="AG10" i="15" a="1"/>
  <c r="AG10" i="15" s="1"/>
  <c r="Z28" i="20" l="1"/>
  <c r="Z32" i="20"/>
  <c r="Z36" i="20"/>
  <c r="M7" i="17"/>
  <c r="Z9" i="20"/>
  <c r="Z10" i="20"/>
  <c r="Z11" i="20"/>
  <c r="Z12" i="20"/>
  <c r="Z13" i="20"/>
  <c r="Z14" i="20"/>
  <c r="Z15" i="20"/>
  <c r="Z16" i="20"/>
  <c r="Z17" i="20"/>
  <c r="Z18" i="20"/>
  <c r="Z19" i="20"/>
  <c r="Z21" i="20"/>
  <c r="Z22" i="20"/>
  <c r="Z23" i="20"/>
  <c r="Z26" i="20"/>
  <c r="Z27" i="20"/>
  <c r="Z31" i="20"/>
  <c r="Z38" i="20"/>
  <c r="Z40" i="20"/>
  <c r="Z42" i="20"/>
  <c r="Z44" i="20"/>
  <c r="Z46" i="20"/>
  <c r="Z48" i="20"/>
  <c r="Z50" i="20"/>
  <c r="Z52" i="20"/>
  <c r="Z10" i="16"/>
  <c r="Z12" i="16"/>
  <c r="Z14" i="16"/>
  <c r="Z17" i="16"/>
  <c r="Z18" i="16"/>
  <c r="Z19" i="16"/>
  <c r="Z21" i="16"/>
  <c r="Z23" i="16"/>
  <c r="Z25" i="16"/>
  <c r="Z27" i="16"/>
  <c r="Z29" i="16"/>
  <c r="Z31" i="16"/>
  <c r="Z33" i="16"/>
  <c r="Z35" i="16"/>
  <c r="Z37" i="16"/>
  <c r="Z39" i="16"/>
  <c r="Z41" i="16"/>
  <c r="Z43" i="16"/>
  <c r="Z45" i="16"/>
  <c r="Z47" i="16"/>
  <c r="Z49" i="16"/>
  <c r="Z51" i="16"/>
  <c r="Z53" i="16"/>
  <c r="AR8" i="16" l="1"/>
  <c r="K10" i="15"/>
  <c r="O8" i="17"/>
  <c r="AE8" i="20"/>
  <c r="Z49" i="20"/>
  <c r="Z53" i="20"/>
  <c r="Z45" i="20"/>
  <c r="Z41" i="20"/>
  <c r="Z37" i="20"/>
  <c r="Z34" i="20"/>
  <c r="Z30" i="20"/>
  <c r="Z33" i="20"/>
  <c r="Z29" i="20"/>
  <c r="Z25" i="20"/>
  <c r="Z51" i="20"/>
  <c r="Z47" i="20"/>
  <c r="Z43" i="20"/>
  <c r="Z39" i="20"/>
  <c r="Z24" i="20"/>
  <c r="Z20" i="20"/>
  <c r="Z35" i="20"/>
  <c r="AE54" i="11"/>
  <c r="E19" i="11" l="1"/>
  <c r="AD36" i="11"/>
  <c r="AD28" i="11"/>
  <c r="AD20" i="11"/>
  <c r="AD12" i="11"/>
  <c r="Q49" i="11"/>
  <c r="Q41" i="11"/>
  <c r="Q33" i="11"/>
  <c r="Q25" i="11"/>
  <c r="Q17" i="11"/>
  <c r="Q9" i="11"/>
  <c r="AD43" i="11"/>
  <c r="AD35" i="11"/>
  <c r="AD27" i="11"/>
  <c r="AD19" i="11"/>
  <c r="AD11" i="11"/>
  <c r="Q48" i="11"/>
  <c r="Q40" i="11"/>
  <c r="Q32" i="11"/>
  <c r="Q24" i="11"/>
  <c r="Q16" i="11"/>
  <c r="Q8" i="11"/>
  <c r="AD50" i="11"/>
  <c r="AD42" i="11"/>
  <c r="AD34" i="11"/>
  <c r="AD26" i="11"/>
  <c r="AD18" i="11"/>
  <c r="AD10" i="11"/>
  <c r="Q47" i="11"/>
  <c r="Q39" i="11"/>
  <c r="Q31" i="11"/>
  <c r="Q23" i="11"/>
  <c r="Q15" i="11"/>
  <c r="AD49" i="11"/>
  <c r="AD41" i="11"/>
  <c r="AD33" i="11"/>
  <c r="AD25" i="11"/>
  <c r="AD17" i="11"/>
  <c r="AD9" i="11"/>
  <c r="Q46" i="11"/>
  <c r="Q38" i="11"/>
  <c r="Q30" i="11"/>
  <c r="Q22" i="11"/>
  <c r="Q14" i="11"/>
  <c r="AD48" i="11"/>
  <c r="AD40" i="11"/>
  <c r="AD32" i="11"/>
  <c r="AD24" i="11"/>
  <c r="AD16" i="11"/>
  <c r="AD8" i="11"/>
  <c r="Q45" i="11"/>
  <c r="Q37" i="11"/>
  <c r="Q29" i="11"/>
  <c r="Q21" i="11"/>
  <c r="AD14" i="11"/>
  <c r="Q43" i="11"/>
  <c r="Q27" i="11"/>
  <c r="Q11" i="11"/>
  <c r="AD37" i="11"/>
  <c r="AD21" i="11"/>
  <c r="Q34" i="11"/>
  <c r="Q18" i="11"/>
  <c r="AD51" i="11"/>
  <c r="AD47" i="11"/>
  <c r="AD39" i="11"/>
  <c r="AD31" i="11"/>
  <c r="AD23" i="11"/>
  <c r="AD15" i="11"/>
  <c r="Q19" i="11"/>
  <c r="AD45" i="11"/>
  <c r="Q42" i="11"/>
  <c r="Q13" i="11"/>
  <c r="Q50" i="11"/>
  <c r="Q35" i="11"/>
  <c r="AD13" i="11"/>
  <c r="Q10" i="11"/>
  <c r="AD44" i="11"/>
  <c r="AD38" i="11"/>
  <c r="Q52" i="11"/>
  <c r="Q44" i="11"/>
  <c r="Y45" i="16" s="1"/>
  <c r="Q36" i="11"/>
  <c r="Q28" i="11"/>
  <c r="Q20" i="11"/>
  <c r="Q12" i="11"/>
  <c r="AD46" i="11"/>
  <c r="AD30" i="11"/>
  <c r="AD22" i="11"/>
  <c r="Q51" i="11"/>
  <c r="AD29" i="11"/>
  <c r="Q26" i="11"/>
  <c r="AD52" i="11"/>
  <c r="O7" i="17"/>
  <c r="J9" i="16"/>
  <c r="K12" i="15"/>
  <c r="J10" i="15"/>
  <c r="J12" i="15" s="1"/>
  <c r="Y46" i="20"/>
  <c r="AF45" i="11"/>
  <c r="AA46" i="20" s="1"/>
  <c r="S44" i="11"/>
  <c r="AA45" i="16" s="1"/>
  <c r="Z55" i="20"/>
  <c r="AS36" i="16"/>
  <c r="Z11" i="16"/>
  <c r="Z34" i="16"/>
  <c r="Z26" i="16"/>
  <c r="Z36" i="16"/>
  <c r="Z52" i="16"/>
  <c r="Z28" i="16"/>
  <c r="Z24" i="16"/>
  <c r="Z50" i="16"/>
  <c r="Z9" i="16"/>
  <c r="Z38" i="16"/>
  <c r="Z15" i="16"/>
  <c r="Z40" i="16"/>
  <c r="Z16" i="16"/>
  <c r="Z13" i="16"/>
  <c r="Z42" i="16"/>
  <c r="Z44" i="16"/>
  <c r="Z20" i="16"/>
  <c r="Z30" i="16"/>
  <c r="Z46" i="16"/>
  <c r="Z22" i="16"/>
  <c r="Z32" i="16"/>
  <c r="Z48" i="16"/>
  <c r="Y41" i="16" l="1"/>
  <c r="S40" i="11"/>
  <c r="AA41" i="16" s="1"/>
  <c r="AF17" i="11"/>
  <c r="AA18" i="20" s="1"/>
  <c r="Y18" i="20"/>
  <c r="AF9" i="11"/>
  <c r="AA10" i="20" s="1"/>
  <c r="Y10" i="20"/>
  <c r="AF40" i="11"/>
  <c r="AA41" i="20" s="1"/>
  <c r="Y41" i="20"/>
  <c r="Y49" i="16"/>
  <c r="S48" i="11"/>
  <c r="AA49" i="16" s="1"/>
  <c r="S32" i="11"/>
  <c r="AA33" i="16" s="1"/>
  <c r="Y33" i="16"/>
  <c r="S24" i="11"/>
  <c r="AA25" i="16" s="1"/>
  <c r="Y25" i="16"/>
  <c r="S16" i="11"/>
  <c r="AA17" i="16" s="1"/>
  <c r="Y17" i="16"/>
  <c r="S8" i="11"/>
  <c r="AA9" i="16" s="1"/>
  <c r="Y9" i="16"/>
  <c r="Y51" i="20"/>
  <c r="AF50" i="11"/>
  <c r="AA51" i="20" s="1"/>
  <c r="Y43" i="20"/>
  <c r="AF42" i="11"/>
  <c r="AA43" i="20" s="1"/>
  <c r="Y35" i="20"/>
  <c r="AF34" i="11"/>
  <c r="AA35" i="20" s="1"/>
  <c r="Y27" i="20"/>
  <c r="AF26" i="11"/>
  <c r="AA27" i="20" s="1"/>
  <c r="AF18" i="11"/>
  <c r="AA19" i="20" s="1"/>
  <c r="Y19" i="20"/>
  <c r="Y11" i="20"/>
  <c r="AF10" i="11"/>
  <c r="AA11" i="20" s="1"/>
  <c r="Y50" i="20"/>
  <c r="AF49" i="11"/>
  <c r="AA50" i="20" s="1"/>
  <c r="AF33" i="11"/>
  <c r="AA34" i="20" s="1"/>
  <c r="Y34" i="20"/>
  <c r="Y26" i="20"/>
  <c r="AF25" i="11"/>
  <c r="AA26" i="20" s="1"/>
  <c r="Y39" i="16"/>
  <c r="S38" i="11"/>
  <c r="AA39" i="16" s="1"/>
  <c r="S30" i="11"/>
  <c r="AA31" i="16" s="1"/>
  <c r="Y31" i="16"/>
  <c r="Y49" i="20"/>
  <c r="AF48" i="11"/>
  <c r="AA49" i="20" s="1"/>
  <c r="Y25" i="20"/>
  <c r="AF24" i="11"/>
  <c r="AA25" i="20" s="1"/>
  <c r="AF16" i="11"/>
  <c r="AA17" i="20" s="1"/>
  <c r="Y17" i="20"/>
  <c r="AF8" i="11"/>
  <c r="AA9" i="20" s="1"/>
  <c r="Y9" i="20"/>
  <c r="Y15" i="20"/>
  <c r="AF14" i="11"/>
  <c r="AA15" i="20" s="1"/>
  <c r="Y12" i="16"/>
  <c r="S11" i="11"/>
  <c r="AA12" i="16" s="1"/>
  <c r="Y38" i="20"/>
  <c r="AF37" i="11"/>
  <c r="AA38" i="20" s="1"/>
  <c r="AF21" i="11"/>
  <c r="AA22" i="20" s="1"/>
  <c r="Y22" i="20"/>
  <c r="S34" i="11"/>
  <c r="AA35" i="16" s="1"/>
  <c r="Y35" i="16"/>
  <c r="S18" i="11"/>
  <c r="AA19" i="16" s="1"/>
  <c r="Y19" i="16"/>
  <c r="Y52" i="20"/>
  <c r="AF51" i="11"/>
  <c r="AA52" i="20" s="1"/>
  <c r="Y48" i="20"/>
  <c r="AF47" i="11"/>
  <c r="AA48" i="20" s="1"/>
  <c r="AF39" i="11"/>
  <c r="AA40" i="20" s="1"/>
  <c r="Y40" i="20"/>
  <c r="AF31" i="11"/>
  <c r="AA32" i="20" s="1"/>
  <c r="Y32" i="20"/>
  <c r="AF23" i="11"/>
  <c r="AA24" i="20" s="1"/>
  <c r="Y24" i="20"/>
  <c r="AF15" i="11"/>
  <c r="AA16" i="20" s="1"/>
  <c r="Y16" i="20"/>
  <c r="Y43" i="16"/>
  <c r="S42" i="11"/>
  <c r="AA43" i="16" s="1"/>
  <c r="S50" i="11"/>
  <c r="AA51" i="16" s="1"/>
  <c r="Y51" i="16"/>
  <c r="Y36" i="16"/>
  <c r="S35" i="11"/>
  <c r="AA36" i="16" s="1"/>
  <c r="AF13" i="11"/>
  <c r="AA14" i="20" s="1"/>
  <c r="Y14" i="20"/>
  <c r="Y11" i="16"/>
  <c r="S10" i="11"/>
  <c r="AA11" i="16" s="1"/>
  <c r="AF38" i="11"/>
  <c r="AA39" i="20" s="1"/>
  <c r="Y39" i="20"/>
  <c r="Y37" i="16"/>
  <c r="S36" i="11"/>
  <c r="AA37" i="16" s="1"/>
  <c r="S28" i="11"/>
  <c r="AA29" i="16" s="1"/>
  <c r="Y29" i="16"/>
  <c r="Y47" i="20"/>
  <c r="AF46" i="11"/>
  <c r="AA47" i="20" s="1"/>
  <c r="AF30" i="11"/>
  <c r="AA31" i="20" s="1"/>
  <c r="Y31" i="20"/>
  <c r="Y52" i="16"/>
  <c r="S51" i="11"/>
  <c r="AA52" i="16" s="1"/>
  <c r="Y30" i="20"/>
  <c r="AF29" i="11"/>
  <c r="AA30" i="20" s="1"/>
  <c r="F12" i="14"/>
  <c r="AE34" i="20"/>
  <c r="AF36" i="20" s="1"/>
  <c r="Y37" i="20"/>
  <c r="AF36" i="11"/>
  <c r="AA37" i="20" s="1"/>
  <c r="Y29" i="20"/>
  <c r="AF28" i="11"/>
  <c r="AA29" i="20" s="1"/>
  <c r="Y21" i="20"/>
  <c r="AF20" i="11"/>
  <c r="AA21" i="20" s="1"/>
  <c r="Y13" i="20"/>
  <c r="AF12" i="11"/>
  <c r="Y34" i="16"/>
  <c r="S33" i="11"/>
  <c r="AA34" i="16" s="1"/>
  <c r="Y26" i="16"/>
  <c r="S25" i="11"/>
  <c r="AA26" i="16" s="1"/>
  <c r="Y18" i="16"/>
  <c r="S17" i="11"/>
  <c r="AA18" i="16" s="1"/>
  <c r="Y10" i="16"/>
  <c r="S9" i="11"/>
  <c r="AA10" i="16" s="1"/>
  <c r="Q54" i="11"/>
  <c r="Y44" i="20"/>
  <c r="AF43" i="11"/>
  <c r="AA44" i="20" s="1"/>
  <c r="Y36" i="20"/>
  <c r="AF35" i="11"/>
  <c r="AA36" i="20" s="1"/>
  <c r="Y28" i="20"/>
  <c r="AF27" i="11"/>
  <c r="AA28" i="20" s="1"/>
  <c r="Y20" i="20"/>
  <c r="AF19" i="11"/>
  <c r="AA20" i="20" s="1"/>
  <c r="AD54" i="11"/>
  <c r="Y12" i="20"/>
  <c r="AF11" i="11"/>
  <c r="AA12" i="20" s="1"/>
  <c r="Y50" i="16"/>
  <c r="S49" i="11"/>
  <c r="AA50" i="16" s="1"/>
  <c r="Y42" i="16"/>
  <c r="S41" i="11"/>
  <c r="AA42" i="16" s="1"/>
  <c r="Y48" i="16"/>
  <c r="S47" i="11"/>
  <c r="AA48" i="16" s="1"/>
  <c r="Y40" i="16"/>
  <c r="S39" i="11"/>
  <c r="AA40" i="16" s="1"/>
  <c r="Y32" i="16"/>
  <c r="S31" i="11"/>
  <c r="AA32" i="16" s="1"/>
  <c r="Y24" i="16"/>
  <c r="S23" i="11"/>
  <c r="Y16" i="16"/>
  <c r="S15" i="11"/>
  <c r="AA16" i="16" s="1"/>
  <c r="Y42" i="20"/>
  <c r="AF41" i="11"/>
  <c r="AA42" i="20" s="1"/>
  <c r="S46" i="11"/>
  <c r="AA47" i="16" s="1"/>
  <c r="Y47" i="16"/>
  <c r="Y23" i="16"/>
  <c r="S22" i="11"/>
  <c r="AA23" i="16" s="1"/>
  <c r="Y15" i="16"/>
  <c r="S14" i="11"/>
  <c r="AA15" i="16" s="1"/>
  <c r="Y33" i="20"/>
  <c r="AF32" i="11"/>
  <c r="AA33" i="20" s="1"/>
  <c r="Y46" i="16"/>
  <c r="S45" i="11"/>
  <c r="AA46" i="16" s="1"/>
  <c r="Y38" i="16"/>
  <c r="S37" i="11"/>
  <c r="AA38" i="16" s="1"/>
  <c r="Y30" i="16"/>
  <c r="S29" i="11"/>
  <c r="AA30" i="16" s="1"/>
  <c r="Y22" i="16"/>
  <c r="S21" i="11"/>
  <c r="AA22" i="16" s="1"/>
  <c r="Y44" i="16"/>
  <c r="S43" i="11"/>
  <c r="AA44" i="16" s="1"/>
  <c r="Y28" i="16"/>
  <c r="S27" i="11"/>
  <c r="AA28" i="16" s="1"/>
  <c r="Y20" i="16"/>
  <c r="S19" i="11"/>
  <c r="AA20" i="16" s="1"/>
  <c r="Y14" i="16"/>
  <c r="S13" i="11"/>
  <c r="AA14" i="16" s="1"/>
  <c r="Y45" i="20"/>
  <c r="AF44" i="11"/>
  <c r="AA45" i="20" s="1"/>
  <c r="Y53" i="16"/>
  <c r="S52" i="11"/>
  <c r="AA53" i="16" s="1"/>
  <c r="S20" i="11"/>
  <c r="AA21" i="16" s="1"/>
  <c r="Y21" i="16"/>
  <c r="Y13" i="16"/>
  <c r="S12" i="11"/>
  <c r="AA13" i="16" s="1"/>
  <c r="AF22" i="11"/>
  <c r="AA23" i="20" s="1"/>
  <c r="Y23" i="20"/>
  <c r="S26" i="11"/>
  <c r="AA27" i="16" s="1"/>
  <c r="Y27" i="16"/>
  <c r="Y53" i="20"/>
  <c r="AF52" i="11"/>
  <c r="AA53" i="20" s="1"/>
  <c r="J8" i="16"/>
  <c r="AZ8" i="14"/>
  <c r="K32" i="15"/>
  <c r="K35" i="15" s="1"/>
  <c r="K34" i="15"/>
  <c r="Z55" i="16"/>
  <c r="Y55" i="20" l="1"/>
  <c r="Y55" i="16"/>
  <c r="AA13" i="20"/>
  <c r="AA55" i="20" s="1"/>
  <c r="M8" i="14" a="1"/>
  <c r="AF54" i="11"/>
  <c r="AA24" i="16"/>
  <c r="AA55" i="16" s="1"/>
  <c r="S54" i="11"/>
  <c r="L8" i="14" a="1"/>
  <c r="I9" i="20" a="1"/>
  <c r="S16" i="14" l="1"/>
  <c r="W16" i="14" s="1"/>
  <c r="S24" i="14"/>
  <c r="S31" i="14"/>
  <c r="S9" i="14"/>
  <c r="S17" i="14"/>
  <c r="W17" i="14" s="1"/>
  <c r="S46" i="14"/>
  <c r="S48" i="14"/>
  <c r="S36" i="14"/>
  <c r="S10" i="14"/>
  <c r="S18" i="14"/>
  <c r="S26" i="14"/>
  <c r="S43" i="14"/>
  <c r="S11" i="14"/>
  <c r="S19" i="14"/>
  <c r="S47" i="14"/>
  <c r="S34" i="14"/>
  <c r="S42" i="14"/>
  <c r="S30" i="14"/>
  <c r="S27" i="14"/>
  <c r="S37" i="14"/>
  <c r="S51" i="14"/>
  <c r="W51" i="14" s="1"/>
  <c r="AO54" i="15" s="1"/>
  <c r="S35" i="14"/>
  <c r="M8" i="14"/>
  <c r="S39" i="14"/>
  <c r="S13" i="14"/>
  <c r="S21" i="14"/>
  <c r="S44" i="14"/>
  <c r="S28" i="14"/>
  <c r="S40" i="14"/>
  <c r="S14" i="14"/>
  <c r="W14" i="14" s="1"/>
  <c r="S22" i="14"/>
  <c r="S52" i="14"/>
  <c r="W52" i="14" s="1"/>
  <c r="AO55" i="15" s="1"/>
  <c r="S45" i="14"/>
  <c r="S38" i="14"/>
  <c r="S12" i="14"/>
  <c r="W12" i="14" s="1"/>
  <c r="S20" i="14"/>
  <c r="S25" i="14"/>
  <c r="S50" i="14"/>
  <c r="W50" i="14" s="1"/>
  <c r="S41" i="14"/>
  <c r="S23" i="14"/>
  <c r="S29" i="14"/>
  <c r="S32" i="14"/>
  <c r="S33" i="14"/>
  <c r="S15" i="14"/>
  <c r="W15" i="14" s="1"/>
  <c r="S49" i="14"/>
  <c r="O10" i="14"/>
  <c r="N14" i="14"/>
  <c r="AU14" i="15" s="1"/>
  <c r="R25" i="14"/>
  <c r="O26" i="14"/>
  <c r="AV26" i="15" s="1"/>
  <c r="Q28" i="14"/>
  <c r="AX28" i="15" s="1"/>
  <c r="N29" i="14"/>
  <c r="AU29" i="15" s="1"/>
  <c r="O30" i="14"/>
  <c r="AV30" i="15" s="1"/>
  <c r="O31" i="14"/>
  <c r="AV31" i="15" s="1"/>
  <c r="P32" i="14"/>
  <c r="P33" i="14"/>
  <c r="P34" i="14"/>
  <c r="AW35" i="15" s="1"/>
  <c r="P35" i="14"/>
  <c r="W35" i="14" s="1"/>
  <c r="AL38" i="15" s="1"/>
  <c r="P36" i="14"/>
  <c r="P37" i="14"/>
  <c r="AW38" i="15" s="1"/>
  <c r="P38" i="14"/>
  <c r="AW39" i="15" s="1"/>
  <c r="P39" i="14"/>
  <c r="AW40" i="15" s="1"/>
  <c r="P40" i="14"/>
  <c r="AW41" i="15" s="1"/>
  <c r="P41" i="14"/>
  <c r="AW42" i="15" s="1"/>
  <c r="P42" i="14"/>
  <c r="AW43" i="15" s="1"/>
  <c r="O43" i="14"/>
  <c r="AV44" i="15" s="1"/>
  <c r="O45" i="14"/>
  <c r="AV46" i="15" s="1"/>
  <c r="O46" i="14"/>
  <c r="AV47" i="15" s="1"/>
  <c r="O47" i="14"/>
  <c r="AV48" i="15" s="1"/>
  <c r="O48" i="14"/>
  <c r="AV49" i="15" s="1"/>
  <c r="O49" i="14"/>
  <c r="AV50" i="15" s="1"/>
  <c r="O51" i="14"/>
  <c r="AV52" i="15" s="1"/>
  <c r="O52" i="14"/>
  <c r="AV53" i="15" s="1"/>
  <c r="R30" i="14"/>
  <c r="AY30" i="15" s="1"/>
  <c r="O11" i="14"/>
  <c r="O13" i="14"/>
  <c r="AV13" i="15" s="1"/>
  <c r="O17" i="14"/>
  <c r="AV17" i="15" s="1"/>
  <c r="O20" i="14"/>
  <c r="AV20" i="15" s="1"/>
  <c r="O23" i="14"/>
  <c r="AV23" i="15" s="1"/>
  <c r="O27" i="14"/>
  <c r="AV27" i="15" s="1"/>
  <c r="R31" i="14"/>
  <c r="AY31" i="15" s="1"/>
  <c r="R45" i="14"/>
  <c r="R49" i="14"/>
  <c r="R52" i="14"/>
  <c r="AY53" i="15" s="1"/>
  <c r="P28" i="14"/>
  <c r="O32" i="14"/>
  <c r="AV32" i="15" s="1"/>
  <c r="O35" i="14"/>
  <c r="O39" i="14"/>
  <c r="AV40" i="15" s="1"/>
  <c r="O42" i="14"/>
  <c r="AV43" i="15" s="1"/>
  <c r="N45" i="14"/>
  <c r="AU46" i="15" s="1"/>
  <c r="Q14" i="14"/>
  <c r="AX14" i="15" s="1"/>
  <c r="Q22" i="14"/>
  <c r="O44" i="14"/>
  <c r="AV45" i="15" s="1"/>
  <c r="O50" i="14"/>
  <c r="AV51" i="15" s="1"/>
  <c r="O9" i="14"/>
  <c r="O12" i="14"/>
  <c r="AV12" i="15" s="1"/>
  <c r="O16" i="14"/>
  <c r="AV16" i="15" s="1"/>
  <c r="O19" i="14"/>
  <c r="AV19" i="15" s="1"/>
  <c r="O22" i="14"/>
  <c r="AV22" i="15" s="1"/>
  <c r="R26" i="14"/>
  <c r="Q23" i="14"/>
  <c r="AX23" i="15" s="1"/>
  <c r="R44" i="14"/>
  <c r="R46" i="14"/>
  <c r="R48" i="14"/>
  <c r="R50" i="14"/>
  <c r="AY51" i="15" s="1"/>
  <c r="Q25" i="14"/>
  <c r="AX25" i="15" s="1"/>
  <c r="N30" i="14"/>
  <c r="AU30" i="15" s="1"/>
  <c r="O33" i="14"/>
  <c r="AV36" i="15" s="1"/>
  <c r="O36" i="14"/>
  <c r="O38" i="14"/>
  <c r="AV39" i="15" s="1"/>
  <c r="O41" i="14"/>
  <c r="AV42" i="15" s="1"/>
  <c r="N43" i="14"/>
  <c r="AU44" i="15" s="1"/>
  <c r="N46" i="14"/>
  <c r="AU47" i="15" s="1"/>
  <c r="R17" i="14"/>
  <c r="AY17" i="15" s="1"/>
  <c r="N24" i="14"/>
  <c r="AU24" i="15" s="1"/>
  <c r="O14" i="14"/>
  <c r="AV14" i="15" s="1"/>
  <c r="O15" i="14"/>
  <c r="AV15" i="15" s="1"/>
  <c r="O18" i="14"/>
  <c r="AV18" i="15" s="1"/>
  <c r="O21" i="14"/>
  <c r="AV21" i="15" s="1"/>
  <c r="O24" i="14"/>
  <c r="AV24" i="15" s="1"/>
  <c r="Q29" i="14"/>
  <c r="AX29" i="15" s="1"/>
  <c r="R43" i="14"/>
  <c r="R47" i="14"/>
  <c r="R51" i="14"/>
  <c r="AY52" i="15" s="1"/>
  <c r="N26" i="14"/>
  <c r="AU26" i="15" s="1"/>
  <c r="N31" i="14"/>
  <c r="AU31" i="15" s="1"/>
  <c r="O34" i="14"/>
  <c r="AV35" i="15" s="1"/>
  <c r="O37" i="14"/>
  <c r="AV38" i="15" s="1"/>
  <c r="O40" i="14"/>
  <c r="AV41" i="15" s="1"/>
  <c r="N44" i="14"/>
  <c r="AU45" i="15" s="1"/>
  <c r="N47" i="14"/>
  <c r="AU48" i="15" s="1"/>
  <c r="P19" i="14"/>
  <c r="AW19" i="15" s="1"/>
  <c r="Q33" i="14"/>
  <c r="AX36" i="15" s="1"/>
  <c r="N48" i="14"/>
  <c r="AU49" i="15" s="1"/>
  <c r="N49" i="14"/>
  <c r="AU50" i="15" s="1"/>
  <c r="N50" i="14"/>
  <c r="AU51" i="15" s="1"/>
  <c r="N51" i="14"/>
  <c r="AU52" i="15" s="1"/>
  <c r="N52" i="14"/>
  <c r="AU53" i="15" s="1"/>
  <c r="L8" i="14"/>
  <c r="R9" i="14"/>
  <c r="AY10" i="15" s="1"/>
  <c r="P11" i="14"/>
  <c r="AW54" i="15" s="1"/>
  <c r="N16" i="14"/>
  <c r="AU16" i="15" s="1"/>
  <c r="P25" i="14"/>
  <c r="AW25" i="15" s="1"/>
  <c r="R36" i="14"/>
  <c r="AY37" i="15" s="1"/>
  <c r="N38" i="14"/>
  <c r="AU39" i="15" s="1"/>
  <c r="Q41" i="14"/>
  <c r="AX42" i="15" s="1"/>
  <c r="Q44" i="14"/>
  <c r="AX45" i="15" s="1"/>
  <c r="P49" i="14"/>
  <c r="AW50" i="15" s="1"/>
  <c r="Q52" i="14"/>
  <c r="AX53" i="15" s="1"/>
  <c r="Q11" i="14"/>
  <c r="AX54" i="15" s="1"/>
  <c r="N13" i="14"/>
  <c r="R14" i="14"/>
  <c r="AY14" i="15" s="1"/>
  <c r="P16" i="14"/>
  <c r="AW16" i="15" s="1"/>
  <c r="Q19" i="14"/>
  <c r="N21" i="14"/>
  <c r="AU21" i="15" s="1"/>
  <c r="R22" i="14"/>
  <c r="AY22" i="15" s="1"/>
  <c r="P24" i="14"/>
  <c r="AW24" i="15" s="1"/>
  <c r="P31" i="14"/>
  <c r="AW31" i="15" s="1"/>
  <c r="R33" i="14"/>
  <c r="AY36" i="15" s="1"/>
  <c r="N35" i="14"/>
  <c r="Q38" i="14"/>
  <c r="R41" i="14"/>
  <c r="AY42" i="15" s="1"/>
  <c r="P46" i="14"/>
  <c r="AW47" i="15" s="1"/>
  <c r="Q49" i="14"/>
  <c r="N10" i="14"/>
  <c r="R11" i="14"/>
  <c r="AY54" i="15" s="1"/>
  <c r="P13" i="14"/>
  <c r="AW13" i="15" s="1"/>
  <c r="Q16" i="14"/>
  <c r="AX16" i="15" s="1"/>
  <c r="N18" i="14"/>
  <c r="AU18" i="15" s="1"/>
  <c r="R19" i="14"/>
  <c r="AY19" i="15" s="1"/>
  <c r="P21" i="14"/>
  <c r="AW21" i="15" s="1"/>
  <c r="Q24" i="14"/>
  <c r="AX24" i="15" s="1"/>
  <c r="O29" i="14"/>
  <c r="AV29" i="15" s="1"/>
  <c r="Q31" i="14"/>
  <c r="AX31" i="15" s="1"/>
  <c r="N32" i="14"/>
  <c r="AU32" i="15" s="1"/>
  <c r="Q35" i="14"/>
  <c r="R38" i="14"/>
  <c r="AY39" i="15" s="1"/>
  <c r="N40" i="14"/>
  <c r="AU41" i="15" s="1"/>
  <c r="P43" i="14"/>
  <c r="AW44" i="15" s="1"/>
  <c r="Q46" i="14"/>
  <c r="AX47" i="15" s="1"/>
  <c r="P51" i="14"/>
  <c r="AW52" i="15" s="1"/>
  <c r="P10" i="14"/>
  <c r="AW11" i="15" s="1"/>
  <c r="Q13" i="14"/>
  <c r="AX13" i="15" s="1"/>
  <c r="N15" i="14"/>
  <c r="AU15" i="15" s="1"/>
  <c r="R16" i="14"/>
  <c r="AY16" i="15" s="1"/>
  <c r="P18" i="14"/>
  <c r="AW18" i="15" s="1"/>
  <c r="Q21" i="14"/>
  <c r="N23" i="14"/>
  <c r="AU23" i="15" s="1"/>
  <c r="R24" i="14"/>
  <c r="AY24" i="15" s="1"/>
  <c r="N28" i="14"/>
  <c r="AU28" i="15" s="1"/>
  <c r="P29" i="14"/>
  <c r="AW29" i="15" s="1"/>
  <c r="R35" i="14"/>
  <c r="N37" i="14"/>
  <c r="AU38" i="15" s="1"/>
  <c r="Q40" i="14"/>
  <c r="AX41" i="15" s="1"/>
  <c r="Q43" i="14"/>
  <c r="P48" i="14"/>
  <c r="AW49" i="15" s="1"/>
  <c r="Q51" i="14"/>
  <c r="AX52" i="15" s="1"/>
  <c r="Q10" i="14"/>
  <c r="AX11" i="15" s="1"/>
  <c r="N12" i="14"/>
  <c r="AU12" i="15" s="1"/>
  <c r="R13" i="14"/>
  <c r="AY13" i="15" s="1"/>
  <c r="P15" i="14"/>
  <c r="AW15" i="15" s="1"/>
  <c r="Q18" i="14"/>
  <c r="AX18" i="15" s="1"/>
  <c r="N20" i="14"/>
  <c r="AU20" i="15" s="1"/>
  <c r="R21" i="14"/>
  <c r="AY21" i="15" s="1"/>
  <c r="N27" i="14"/>
  <c r="AU27" i="15" s="1"/>
  <c r="O28" i="14"/>
  <c r="P30" i="14"/>
  <c r="AW30" i="15" s="1"/>
  <c r="R32" i="14"/>
  <c r="AY32" i="15" s="1"/>
  <c r="Q37" i="14"/>
  <c r="AX38" i="15" s="1"/>
  <c r="R40" i="14"/>
  <c r="AY41" i="15" s="1"/>
  <c r="P45" i="14"/>
  <c r="AW46" i="15" s="1"/>
  <c r="Q9" i="14"/>
  <c r="AX10" i="15" s="1"/>
  <c r="R12" i="14"/>
  <c r="AY12" i="15" s="1"/>
  <c r="P14" i="14"/>
  <c r="AW14" i="15" s="1"/>
  <c r="Q32" i="14"/>
  <c r="AX32" i="15" s="1"/>
  <c r="P23" i="14"/>
  <c r="AW23" i="15" s="1"/>
  <c r="R29" i="14"/>
  <c r="AY29" i="15" s="1"/>
  <c r="N34" i="14"/>
  <c r="AU35" i="15" s="1"/>
  <c r="N42" i="14"/>
  <c r="AU43" i="15" s="1"/>
  <c r="Q48" i="14"/>
  <c r="AX49" i="15" s="1"/>
  <c r="N11" i="14"/>
  <c r="AU54" i="15" s="1"/>
  <c r="Q17" i="14"/>
  <c r="AX17" i="15" s="1"/>
  <c r="N19" i="14"/>
  <c r="AU19" i="15" s="1"/>
  <c r="R20" i="14"/>
  <c r="AY20" i="15" s="1"/>
  <c r="P22" i="14"/>
  <c r="AW22" i="15" s="1"/>
  <c r="O25" i="14"/>
  <c r="AV25" i="15" s="1"/>
  <c r="Q26" i="14"/>
  <c r="AX26" i="15" s="1"/>
  <c r="R27" i="14"/>
  <c r="AY27" i="15" s="1"/>
  <c r="N33" i="14"/>
  <c r="AU36" i="15" s="1"/>
  <c r="Q36" i="14"/>
  <c r="AX37" i="15" s="1"/>
  <c r="R39" i="14"/>
  <c r="AY40" i="15" s="1"/>
  <c r="N41" i="14"/>
  <c r="AU42" i="15" s="1"/>
  <c r="P44" i="14"/>
  <c r="AW45" i="15" s="1"/>
  <c r="Q47" i="14"/>
  <c r="AX48" i="15" s="1"/>
  <c r="P52" i="14"/>
  <c r="AW53" i="15" s="1"/>
  <c r="P9" i="14"/>
  <c r="AW10" i="15" s="1"/>
  <c r="R15" i="14"/>
  <c r="AY15" i="15" s="1"/>
  <c r="N22" i="14"/>
  <c r="AU22" i="15" s="1"/>
  <c r="P12" i="14"/>
  <c r="AW12" i="15" s="1"/>
  <c r="R18" i="14"/>
  <c r="AY18" i="15" s="1"/>
  <c r="Q12" i="14"/>
  <c r="AX12" i="15" s="1"/>
  <c r="R34" i="14"/>
  <c r="AY35" i="15" s="1"/>
  <c r="Q15" i="14"/>
  <c r="AX15" i="15" s="1"/>
  <c r="R37" i="14"/>
  <c r="AY38" i="15" s="1"/>
  <c r="Q45" i="14"/>
  <c r="AX46" i="15" s="1"/>
  <c r="Q27" i="14"/>
  <c r="Q50" i="14"/>
  <c r="AX51" i="15" s="1"/>
  <c r="P17" i="14"/>
  <c r="AW17" i="15" s="1"/>
  <c r="R23" i="14"/>
  <c r="AY23" i="15" s="1"/>
  <c r="Q39" i="14"/>
  <c r="AX40" i="15" s="1"/>
  <c r="Q34" i="14"/>
  <c r="AX35" i="15" s="1"/>
  <c r="N25" i="14"/>
  <c r="AU25" i="15" s="1"/>
  <c r="P47" i="14"/>
  <c r="AW48" i="15" s="1"/>
  <c r="P27" i="14"/>
  <c r="AW27" i="15" s="1"/>
  <c r="N36" i="14"/>
  <c r="AU37" i="15" s="1"/>
  <c r="P50" i="14"/>
  <c r="AW51" i="15" s="1"/>
  <c r="N17" i="14"/>
  <c r="AU17" i="15" s="1"/>
  <c r="R28" i="14"/>
  <c r="AY28" i="15" s="1"/>
  <c r="N39" i="14"/>
  <c r="AU40" i="15" s="1"/>
  <c r="P20" i="14"/>
  <c r="Q30" i="14"/>
  <c r="AX30" i="15" s="1"/>
  <c r="Q42" i="14"/>
  <c r="AX43" i="15" s="1"/>
  <c r="Q20" i="14"/>
  <c r="AX20" i="15" s="1"/>
  <c r="R42" i="14"/>
  <c r="AY43" i="15" s="1"/>
  <c r="P26" i="14"/>
  <c r="AW26" i="15" s="1"/>
  <c r="N9" i="14"/>
  <c r="R10" i="14"/>
  <c r="AY11" i="15" s="1"/>
  <c r="J55" i="20"/>
  <c r="K55" i="20"/>
  <c r="I9" i="20"/>
  <c r="I55" i="20" s="1"/>
  <c r="AN14" i="15"/>
  <c r="P26" i="15"/>
  <c r="AI25" i="14"/>
  <c r="AJ38" i="15"/>
  <c r="W39" i="14"/>
  <c r="AM42" i="15" s="1"/>
  <c r="W31" i="14"/>
  <c r="AL36" i="15" s="1"/>
  <c r="W29" i="14"/>
  <c r="AL31" i="15" s="1"/>
  <c r="AU11" i="15"/>
  <c r="W30" i="14"/>
  <c r="AL32" i="15" s="1"/>
  <c r="AX44" i="15"/>
  <c r="W24" i="14"/>
  <c r="AX50" i="15"/>
  <c r="AV37" i="15"/>
  <c r="W37" i="14"/>
  <c r="AN40" i="15" s="1"/>
  <c r="W23" i="14"/>
  <c r="AK38" i="15"/>
  <c r="W18" i="14"/>
  <c r="AM20" i="15" s="1"/>
  <c r="W42" i="14"/>
  <c r="W34" i="14"/>
  <c r="W20" i="14"/>
  <c r="AM22" i="15" s="1"/>
  <c r="AW20" i="15"/>
  <c r="AU10" i="15"/>
  <c r="AV28" i="15"/>
  <c r="W41" i="14"/>
  <c r="W27" i="14"/>
  <c r="AN29" i="15" s="1"/>
  <c r="AX27" i="15"/>
  <c r="W13" i="14"/>
  <c r="AU13" i="15"/>
  <c r="W40" i="14"/>
  <c r="AM43" i="15" s="1"/>
  <c r="AX22" i="15" l="1"/>
  <c r="W22" i="14"/>
  <c r="AV10" i="15"/>
  <c r="W9" i="14"/>
  <c r="AK11" i="15" s="1"/>
  <c r="AY26" i="15"/>
  <c r="W26" i="14"/>
  <c r="Y26" i="14" s="1"/>
  <c r="AY45" i="15"/>
  <c r="W44" i="14"/>
  <c r="AX21" i="15"/>
  <c r="W21" i="14"/>
  <c r="AO14" i="15"/>
  <c r="Y12" i="14"/>
  <c r="AO17" i="15"/>
  <c r="AH17" i="15" s="1"/>
  <c r="Y15" i="14"/>
  <c r="AY47" i="15"/>
  <c r="W46" i="14"/>
  <c r="AX19" i="15"/>
  <c r="W19" i="14"/>
  <c r="O27" i="15" s="1"/>
  <c r="AV54" i="15"/>
  <c r="W11" i="14"/>
  <c r="AY46" i="15"/>
  <c r="W45" i="14"/>
  <c r="AN48" i="15" s="1"/>
  <c r="AY50" i="15"/>
  <c r="W49" i="14"/>
  <c r="Q8" i="14"/>
  <c r="R8" i="14"/>
  <c r="O8" i="14"/>
  <c r="Q26" i="15"/>
  <c r="AJ25" i="14"/>
  <c r="AY44" i="15"/>
  <c r="W43" i="14"/>
  <c r="AX39" i="15"/>
  <c r="W38" i="14"/>
  <c r="Y38" i="14" s="1"/>
  <c r="Y16" i="14"/>
  <c r="AO18" i="15"/>
  <c r="AH18" i="15" s="1"/>
  <c r="AO19" i="15"/>
  <c r="AH19" i="15" s="1"/>
  <c r="Y17" i="14"/>
  <c r="M54" i="14"/>
  <c r="M57" i="14" s="1"/>
  <c r="S8" i="14"/>
  <c r="S54" i="14" s="1"/>
  <c r="AN16" i="15"/>
  <c r="Y14" i="14"/>
  <c r="AO16" i="15"/>
  <c r="AW28" i="15"/>
  <c r="W28" i="14"/>
  <c r="AY49" i="15"/>
  <c r="W48" i="14"/>
  <c r="AY48" i="15"/>
  <c r="W47" i="14"/>
  <c r="P8" i="14"/>
  <c r="L54" i="14"/>
  <c r="N8" i="14"/>
  <c r="AV11" i="15"/>
  <c r="W10" i="14"/>
  <c r="AY25" i="15"/>
  <c r="W25" i="14"/>
  <c r="AN27" i="15" s="1"/>
  <c r="AW32" i="15"/>
  <c r="W32" i="14"/>
  <c r="Y32" i="14" s="1"/>
  <c r="AW36" i="15"/>
  <c r="W33" i="14"/>
  <c r="Y33" i="14" s="1"/>
  <c r="AW37" i="15"/>
  <c r="W36" i="14"/>
  <c r="AM30" i="15"/>
  <c r="AO52" i="15"/>
  <c r="AJ25" i="20"/>
  <c r="AW25" i="16"/>
  <c r="AM38" i="15"/>
  <c r="AH38" i="15" s="1"/>
  <c r="Y35" i="14"/>
  <c r="AO53" i="15"/>
  <c r="Q29" i="15"/>
  <c r="AJ28" i="14"/>
  <c r="AO28" i="15"/>
  <c r="AN28" i="15"/>
  <c r="AO27" i="15"/>
  <c r="AO26" i="15"/>
  <c r="AN26" i="15"/>
  <c r="AO25" i="15"/>
  <c r="AN25" i="15"/>
  <c r="AO24" i="15"/>
  <c r="AN24" i="15"/>
  <c r="AO23" i="15"/>
  <c r="AN23" i="15"/>
  <c r="AO22" i="15"/>
  <c r="AN22" i="15"/>
  <c r="AO21" i="15"/>
  <c r="AN21" i="15"/>
  <c r="AN20" i="15"/>
  <c r="AN45" i="15"/>
  <c r="AM45" i="15"/>
  <c r="AN44" i="15"/>
  <c r="AM44" i="15"/>
  <c r="AN41" i="15"/>
  <c r="AJ40" i="15"/>
  <c r="AM40" i="15"/>
  <c r="AM39" i="15"/>
  <c r="AN39" i="15"/>
  <c r="AM37" i="15"/>
  <c r="AJ21" i="15"/>
  <c r="L27" i="15"/>
  <c r="AE26" i="14"/>
  <c r="AO20" i="15"/>
  <c r="Q27" i="15"/>
  <c r="AJ26" i="14"/>
  <c r="AJ42" i="15"/>
  <c r="AN42" i="15"/>
  <c r="AN43" i="15"/>
  <c r="P28" i="15"/>
  <c r="AI27" i="14"/>
  <c r="AE27" i="14"/>
  <c r="AJ41" i="15"/>
  <c r="L28" i="15"/>
  <c r="AJ39" i="15"/>
  <c r="AK15" i="15"/>
  <c r="M26" i="15"/>
  <c r="AF25" i="14"/>
  <c r="AH14" i="15"/>
  <c r="Y41" i="14"/>
  <c r="AL44" i="15"/>
  <c r="Y9" i="14"/>
  <c r="AJ11" i="15"/>
  <c r="AH11" i="15" s="1"/>
  <c r="Y51" i="14"/>
  <c r="AN54" i="15"/>
  <c r="AH54" i="15" s="1"/>
  <c r="AM50" i="15"/>
  <c r="AM27" i="15"/>
  <c r="AL23" i="15"/>
  <c r="Y37" i="14"/>
  <c r="AL40" i="15"/>
  <c r="AM49" i="15"/>
  <c r="AL41" i="15"/>
  <c r="AJ12" i="15"/>
  <c r="Y20" i="14"/>
  <c r="AL22" i="15"/>
  <c r="AJ13" i="15"/>
  <c r="R8" i="17" a="1"/>
  <c r="AE25" i="14"/>
  <c r="Y13" i="14"/>
  <c r="L26" i="15"/>
  <c r="AJ15" i="15"/>
  <c r="AK35" i="15"/>
  <c r="AG26" i="14"/>
  <c r="Y18" i="14"/>
  <c r="S8" i="17" a="1"/>
  <c r="AL20" i="15"/>
  <c r="N27" i="15"/>
  <c r="O54" i="14"/>
  <c r="Y52" i="14"/>
  <c r="AN55" i="15"/>
  <c r="AH55" i="15" s="1"/>
  <c r="AK39" i="15"/>
  <c r="Y29" i="14"/>
  <c r="T8" i="17" a="1"/>
  <c r="AK31" i="15"/>
  <c r="AH31" i="15" s="1"/>
  <c r="AM51" i="15"/>
  <c r="Y31" i="14"/>
  <c r="AK36" i="15"/>
  <c r="AH36" i="15" s="1"/>
  <c r="AM28" i="15"/>
  <c r="AM52" i="15"/>
  <c r="Y27" i="14"/>
  <c r="AM29" i="15"/>
  <c r="AH29" i="15" s="1"/>
  <c r="AL24" i="15"/>
  <c r="Y40" i="14"/>
  <c r="AL43" i="15"/>
  <c r="Y50" i="14"/>
  <c r="AN53" i="15"/>
  <c r="AH28" i="14"/>
  <c r="U8" i="17" a="1"/>
  <c r="AM46" i="15"/>
  <c r="O29" i="15"/>
  <c r="Y34" i="14"/>
  <c r="AL37" i="15"/>
  <c r="Y19" i="14"/>
  <c r="AL21" i="15"/>
  <c r="Y45" i="14"/>
  <c r="AM48" i="15"/>
  <c r="AH48" i="15" s="1"/>
  <c r="AF27" i="14"/>
  <c r="AK30" i="15"/>
  <c r="M28" i="15"/>
  <c r="Y42" i="14"/>
  <c r="AL45" i="15"/>
  <c r="AM47" i="15"/>
  <c r="Y23" i="14"/>
  <c r="AM25" i="15"/>
  <c r="Y24" i="14"/>
  <c r="AM26" i="15"/>
  <c r="Y30" i="14"/>
  <c r="AK32" i="15"/>
  <c r="AH32" i="15" s="1"/>
  <c r="Y39" i="14"/>
  <c r="AL42" i="15"/>
  <c r="AM24" i="15" l="1"/>
  <c r="Y22" i="14"/>
  <c r="AN47" i="15"/>
  <c r="AH47" i="15" s="1"/>
  <c r="Y44" i="14"/>
  <c r="AM23" i="15"/>
  <c r="Y21" i="14"/>
  <c r="AN52" i="15"/>
  <c r="Y49" i="14"/>
  <c r="W8" i="14"/>
  <c r="AV9" i="15"/>
  <c r="AN49" i="15"/>
  <c r="AH49" i="15" s="1"/>
  <c r="Y46" i="14"/>
  <c r="AM21" i="15"/>
  <c r="AH21" i="15" s="1"/>
  <c r="AH26" i="14"/>
  <c r="AL39" i="15"/>
  <c r="AH39" i="15" s="1"/>
  <c r="Y36" i="14"/>
  <c r="AX25" i="16"/>
  <c r="AK25" i="20"/>
  <c r="AK13" i="15"/>
  <c r="AH13" i="15" s="1"/>
  <c r="Y11" i="14"/>
  <c r="Q54" i="14"/>
  <c r="AX9" i="15"/>
  <c r="R54" i="14"/>
  <c r="AY9" i="15"/>
  <c r="AN46" i="15"/>
  <c r="Y43" i="14"/>
  <c r="AY56" i="15"/>
  <c r="AY57" i="15" s="1"/>
  <c r="AX56" i="15"/>
  <c r="AX57" i="15" s="1"/>
  <c r="AV56" i="15"/>
  <c r="AV57" i="15" s="1"/>
  <c r="AH46" i="15"/>
  <c r="AM41" i="15"/>
  <c r="AH27" i="14"/>
  <c r="O28" i="15"/>
  <c r="O30" i="15" s="1"/>
  <c r="Y28" i="14"/>
  <c r="AL30" i="15"/>
  <c r="AH30" i="15" s="1"/>
  <c r="AH16" i="15"/>
  <c r="Y47" i="14"/>
  <c r="P29" i="15"/>
  <c r="J29" i="15" s="1"/>
  <c r="Y25" i="14"/>
  <c r="P27" i="15"/>
  <c r="AI26" i="14"/>
  <c r="AN51" i="15"/>
  <c r="AH51" i="15" s="1"/>
  <c r="Y48" i="14"/>
  <c r="AK12" i="15"/>
  <c r="AH12" i="15" s="1"/>
  <c r="Y10" i="14"/>
  <c r="AN50" i="15"/>
  <c r="AI28" i="14"/>
  <c r="P54" i="14"/>
  <c r="AW9" i="15"/>
  <c r="AW56" i="15" s="1"/>
  <c r="AW57" i="15" s="1"/>
  <c r="N54" i="14"/>
  <c r="AU9" i="15"/>
  <c r="AU56" i="15" s="1"/>
  <c r="AU57" i="15" s="1"/>
  <c r="L9" i="20" a="1"/>
  <c r="AB9" i="16" a="1"/>
  <c r="AL35" i="15"/>
  <c r="AG27" i="14"/>
  <c r="N28" i="15"/>
  <c r="M49" i="16"/>
  <c r="M47" i="16"/>
  <c r="M13" i="16"/>
  <c r="M74" i="16"/>
  <c r="M44" i="16"/>
  <c r="M45" i="16"/>
  <c r="M21" i="16"/>
  <c r="M41" i="16"/>
  <c r="M78" i="16"/>
  <c r="M79" i="16"/>
  <c r="M26" i="16"/>
  <c r="M38" i="16"/>
  <c r="M77" i="16"/>
  <c r="M80" i="16"/>
  <c r="M81" i="16"/>
  <c r="M15" i="16"/>
  <c r="M37" i="16"/>
  <c r="M59" i="16"/>
  <c r="M70" i="16"/>
  <c r="M24" i="16"/>
  <c r="M36" i="16"/>
  <c r="M72" i="16"/>
  <c r="M76" i="16"/>
  <c r="M25" i="16"/>
  <c r="M67" i="16"/>
  <c r="M35" i="16"/>
  <c r="M42" i="16"/>
  <c r="M39" i="16"/>
  <c r="M16" i="16"/>
  <c r="M34" i="16"/>
  <c r="M40" i="16"/>
  <c r="M61" i="16"/>
  <c r="M60" i="16"/>
  <c r="M48" i="16"/>
  <c r="M58" i="16"/>
  <c r="M11" i="16"/>
  <c r="M14" i="16"/>
  <c r="M33" i="16"/>
  <c r="M53" i="16"/>
  <c r="M55" i="16"/>
  <c r="M56" i="16"/>
  <c r="M54" i="16"/>
  <c r="M20" i="16"/>
  <c r="M32" i="16"/>
  <c r="M52" i="16"/>
  <c r="M57" i="16"/>
  <c r="M62" i="16"/>
  <c r="M17" i="16"/>
  <c r="M46" i="16"/>
  <c r="M31" i="16"/>
  <c r="M63" i="16"/>
  <c r="M64" i="16"/>
  <c r="M18" i="16"/>
  <c r="M43" i="16"/>
  <c r="M30" i="16"/>
  <c r="M65" i="16"/>
  <c r="M66" i="16"/>
  <c r="M19" i="16"/>
  <c r="M29" i="16"/>
  <c r="M68" i="16"/>
  <c r="M69" i="16"/>
  <c r="M22" i="16"/>
  <c r="M28" i="16"/>
  <c r="M51" i="16"/>
  <c r="M75" i="16"/>
  <c r="M10" i="16"/>
  <c r="M23" i="16"/>
  <c r="M27" i="16"/>
  <c r="M50" i="16"/>
  <c r="M71" i="16"/>
  <c r="M73" i="16"/>
  <c r="M12" i="16"/>
  <c r="N48" i="16"/>
  <c r="N17" i="16"/>
  <c r="N22" i="16"/>
  <c r="N21" i="16"/>
  <c r="N80" i="16"/>
  <c r="N79" i="16"/>
  <c r="N20" i="16"/>
  <c r="N78" i="16"/>
  <c r="N18" i="16"/>
  <c r="N10" i="16"/>
  <c r="N16" i="16"/>
  <c r="N15" i="16"/>
  <c r="N14" i="16"/>
  <c r="N19" i="16"/>
  <c r="N72" i="16"/>
  <c r="N13" i="16"/>
  <c r="N70" i="16"/>
  <c r="N12" i="16"/>
  <c r="N11" i="16"/>
  <c r="N73" i="16"/>
  <c r="N66" i="16"/>
  <c r="N65" i="16"/>
  <c r="N64" i="16"/>
  <c r="N67" i="16"/>
  <c r="N62" i="16"/>
  <c r="N58" i="16"/>
  <c r="N59" i="16"/>
  <c r="N51" i="16"/>
  <c r="N56" i="16"/>
  <c r="N39" i="16"/>
  <c r="N77" i="16"/>
  <c r="N75" i="16"/>
  <c r="N74" i="16"/>
  <c r="N71" i="16"/>
  <c r="N63" i="16"/>
  <c r="N61" i="16"/>
  <c r="N40" i="16"/>
  <c r="N41" i="16"/>
  <c r="N50" i="16"/>
  <c r="N81" i="16"/>
  <c r="N76" i="16"/>
  <c r="N69" i="16"/>
  <c r="N68" i="16"/>
  <c r="N45" i="16"/>
  <c r="N44" i="16"/>
  <c r="N60" i="16"/>
  <c r="N54" i="16"/>
  <c r="N53" i="16"/>
  <c r="N52" i="16"/>
  <c r="N47" i="16"/>
  <c r="N46" i="16"/>
  <c r="N55" i="16"/>
  <c r="N42" i="16"/>
  <c r="N49" i="16"/>
  <c r="N57" i="16"/>
  <c r="N43" i="16"/>
  <c r="N38" i="16"/>
  <c r="N37" i="16"/>
  <c r="N36" i="16"/>
  <c r="N35" i="16"/>
  <c r="N34" i="16"/>
  <c r="N33" i="16"/>
  <c r="N32" i="16"/>
  <c r="N31" i="16"/>
  <c r="N30" i="16"/>
  <c r="N29" i="16"/>
  <c r="N28" i="16"/>
  <c r="N27" i="16"/>
  <c r="N26" i="16"/>
  <c r="N25" i="16"/>
  <c r="N24" i="16"/>
  <c r="N23" i="16"/>
  <c r="O23" i="16"/>
  <c r="O63" i="16"/>
  <c r="O43" i="16"/>
  <c r="O14" i="16"/>
  <c r="O20" i="16"/>
  <c r="O77" i="16"/>
  <c r="O76" i="16"/>
  <c r="O31" i="16"/>
  <c r="O74" i="16"/>
  <c r="O72" i="16"/>
  <c r="O13" i="16"/>
  <c r="O21" i="16"/>
  <c r="O69" i="16"/>
  <c r="O68" i="16"/>
  <c r="O26" i="16"/>
  <c r="O71" i="16"/>
  <c r="O12" i="16"/>
  <c r="O59" i="16"/>
  <c r="O49" i="16"/>
  <c r="O30" i="16"/>
  <c r="O70" i="16"/>
  <c r="O29" i="16"/>
  <c r="O28" i="16"/>
  <c r="O10" i="16"/>
  <c r="O27" i="16"/>
  <c r="O47" i="16"/>
  <c r="O58" i="16"/>
  <c r="O44" i="16"/>
  <c r="O42" i="16"/>
  <c r="O78" i="16"/>
  <c r="O48" i="16"/>
  <c r="O39" i="16"/>
  <c r="O18" i="16"/>
  <c r="O32" i="16"/>
  <c r="O55" i="16"/>
  <c r="O53" i="16"/>
  <c r="O19" i="16"/>
  <c r="O22" i="16"/>
  <c r="O50" i="16"/>
  <c r="O33" i="16"/>
  <c r="O34" i="16"/>
  <c r="O52" i="16"/>
  <c r="O79" i="16"/>
  <c r="O35" i="16"/>
  <c r="O17" i="16"/>
  <c r="O73" i="16"/>
  <c r="O36" i="16"/>
  <c r="O64" i="16"/>
  <c r="O16" i="16"/>
  <c r="O62" i="16"/>
  <c r="O24" i="16"/>
  <c r="O60" i="16"/>
  <c r="O61" i="16"/>
  <c r="O45" i="16"/>
  <c r="O11" i="16"/>
  <c r="O40" i="16"/>
  <c r="O81" i="16"/>
  <c r="O37" i="16"/>
  <c r="O80" i="16"/>
  <c r="O38" i="16"/>
  <c r="O75" i="16"/>
  <c r="O46" i="16"/>
  <c r="O15" i="16"/>
  <c r="O67" i="16"/>
  <c r="O66" i="16"/>
  <c r="O65" i="16"/>
  <c r="O57" i="16"/>
  <c r="O56" i="16"/>
  <c r="O25" i="16"/>
  <c r="O54" i="16"/>
  <c r="O51" i="16"/>
  <c r="O41" i="16"/>
  <c r="P46" i="16"/>
  <c r="P45" i="16"/>
  <c r="P58" i="16"/>
  <c r="P31" i="16"/>
  <c r="P42" i="16"/>
  <c r="P80" i="16"/>
  <c r="P78" i="16"/>
  <c r="P51" i="16"/>
  <c r="P75" i="16"/>
  <c r="P73" i="16"/>
  <c r="P32" i="16"/>
  <c r="P72" i="16"/>
  <c r="P71" i="16"/>
  <c r="P33" i="16"/>
  <c r="P67" i="16"/>
  <c r="P63" i="16"/>
  <c r="P43" i="16"/>
  <c r="P34" i="16"/>
  <c r="P81" i="16"/>
  <c r="P61" i="16"/>
  <c r="P18" i="16"/>
  <c r="P55" i="16"/>
  <c r="P16" i="16"/>
  <c r="P54" i="16"/>
  <c r="P53" i="16"/>
  <c r="P35" i="16"/>
  <c r="P23" i="16"/>
  <c r="P52" i="16"/>
  <c r="P50" i="16"/>
  <c r="P48" i="16"/>
  <c r="P39" i="16"/>
  <c r="P44" i="16"/>
  <c r="P20" i="16"/>
  <c r="P59" i="16"/>
  <c r="P36" i="16"/>
  <c r="P57" i="16"/>
  <c r="P56" i="16"/>
  <c r="P13" i="16"/>
  <c r="P12" i="16"/>
  <c r="P22" i="16"/>
  <c r="P26" i="16"/>
  <c r="P10" i="16"/>
  <c r="P11" i="16"/>
  <c r="P19" i="16"/>
  <c r="P37" i="16"/>
  <c r="P79" i="16"/>
  <c r="P76" i="16"/>
  <c r="P38" i="16"/>
  <c r="P77" i="16"/>
  <c r="P24" i="16"/>
  <c r="P27" i="16"/>
  <c r="P74" i="16"/>
  <c r="P21" i="16"/>
  <c r="P60" i="16"/>
  <c r="P49" i="16"/>
  <c r="P15" i="16"/>
  <c r="P70" i="16"/>
  <c r="P69" i="16"/>
  <c r="P68" i="16"/>
  <c r="P28" i="16"/>
  <c r="P62" i="16"/>
  <c r="P25" i="16"/>
  <c r="P17" i="16"/>
  <c r="P66" i="16"/>
  <c r="P65" i="16"/>
  <c r="P29" i="16"/>
  <c r="P64" i="16"/>
  <c r="P30" i="16"/>
  <c r="P47" i="16"/>
  <c r="P14" i="16"/>
  <c r="P41" i="16"/>
  <c r="P40" i="16"/>
  <c r="AJ29" i="14"/>
  <c r="Q30" i="15"/>
  <c r="AH52" i="15"/>
  <c r="S8" i="17"/>
  <c r="T8" i="17"/>
  <c r="R8" i="17"/>
  <c r="U8" i="17"/>
  <c r="AH27" i="15"/>
  <c r="AH28" i="15"/>
  <c r="AH24" i="15"/>
  <c r="AH44" i="15"/>
  <c r="AH43" i="15"/>
  <c r="AH37" i="15"/>
  <c r="AH45" i="15"/>
  <c r="AH26" i="15"/>
  <c r="AH42" i="15"/>
  <c r="AO57" i="15"/>
  <c r="AK28" i="20"/>
  <c r="AX28" i="16"/>
  <c r="AH23" i="15"/>
  <c r="AH22" i="15"/>
  <c r="AH40" i="15"/>
  <c r="AF26" i="20"/>
  <c r="AS26" i="16"/>
  <c r="AK26" i="20"/>
  <c r="AX26" i="16"/>
  <c r="AJ27" i="20"/>
  <c r="AW27" i="16"/>
  <c r="AF27" i="20"/>
  <c r="AS27" i="16"/>
  <c r="AH15" i="15"/>
  <c r="J26" i="15"/>
  <c r="AG25" i="20"/>
  <c r="AT25" i="16"/>
  <c r="AH9" i="16" a="1"/>
  <c r="AK10" i="15"/>
  <c r="M25" i="15"/>
  <c r="M30" i="15" s="1"/>
  <c r="AF24" i="14"/>
  <c r="AF29" i="14" s="1"/>
  <c r="AH20" i="15"/>
  <c r="AC25" i="14"/>
  <c r="AF25" i="20"/>
  <c r="AS25" i="16"/>
  <c r="AH26" i="20"/>
  <c r="AU26" i="16"/>
  <c r="AH25" i="15"/>
  <c r="AI28" i="20"/>
  <c r="AV28" i="16"/>
  <c r="Y8" i="14"/>
  <c r="AE24" i="14"/>
  <c r="W54" i="14"/>
  <c r="L25" i="15"/>
  <c r="AJ10" i="15"/>
  <c r="AH53" i="15"/>
  <c r="AG27" i="20"/>
  <c r="AT27" i="16"/>
  <c r="Q8" i="17" a="1"/>
  <c r="AI26" i="20" l="1"/>
  <c r="AV26" i="16"/>
  <c r="Y54" i="14"/>
  <c r="AH41" i="15"/>
  <c r="AM57" i="15"/>
  <c r="AH29" i="14"/>
  <c r="AI27" i="20"/>
  <c r="AV27" i="16"/>
  <c r="J27" i="15"/>
  <c r="P30" i="15"/>
  <c r="AW26" i="16"/>
  <c r="AJ26" i="20"/>
  <c r="AC26" i="14"/>
  <c r="AH50" i="15"/>
  <c r="AN57" i="15"/>
  <c r="AK57" i="15"/>
  <c r="AI29" i="14"/>
  <c r="AJ28" i="20"/>
  <c r="AW28" i="16"/>
  <c r="AC28" i="14"/>
  <c r="T17" i="20"/>
  <c r="T49" i="20"/>
  <c r="T29" i="20"/>
  <c r="T39" i="20"/>
  <c r="T13" i="20"/>
  <c r="T45" i="20"/>
  <c r="N55" i="20"/>
  <c r="T43" i="20"/>
  <c r="T50" i="20"/>
  <c r="T38" i="20"/>
  <c r="T19" i="20"/>
  <c r="T48" i="20"/>
  <c r="T40" i="20"/>
  <c r="O55" i="20"/>
  <c r="T14" i="20"/>
  <c r="T30" i="20"/>
  <c r="T33" i="20"/>
  <c r="T22" i="20"/>
  <c r="T46" i="20"/>
  <c r="T11" i="20"/>
  <c r="T26" i="20"/>
  <c r="T23" i="20"/>
  <c r="T21" i="20"/>
  <c r="T31" i="20"/>
  <c r="P55" i="20"/>
  <c r="T52" i="20"/>
  <c r="T16" i="20"/>
  <c r="T51" i="20"/>
  <c r="M55" i="20"/>
  <c r="T15" i="20"/>
  <c r="T37" i="20"/>
  <c r="T35" i="20"/>
  <c r="T24" i="20"/>
  <c r="T12" i="20"/>
  <c r="T10" i="20"/>
  <c r="T42" i="20"/>
  <c r="T32" i="20"/>
  <c r="T27" i="20"/>
  <c r="T20" i="20"/>
  <c r="T53" i="20"/>
  <c r="T36" i="20"/>
  <c r="T41" i="20"/>
  <c r="T25" i="20"/>
  <c r="T47" i="20"/>
  <c r="T28" i="20"/>
  <c r="L9" i="20"/>
  <c r="L55" i="20" s="1"/>
  <c r="T18" i="20"/>
  <c r="Q55" i="20"/>
  <c r="T44" i="20"/>
  <c r="T34" i="20"/>
  <c r="AD55" i="16"/>
  <c r="AF55" i="16"/>
  <c r="AB9" i="16"/>
  <c r="AB55" i="16" s="1"/>
  <c r="AC55" i="16"/>
  <c r="AG55" i="16"/>
  <c r="AE55" i="16"/>
  <c r="AL57" i="15"/>
  <c r="AH35" i="15"/>
  <c r="AU27" i="16"/>
  <c r="AC27" i="14"/>
  <c r="AG29" i="14"/>
  <c r="AH27" i="20"/>
  <c r="J28" i="15"/>
  <c r="N30" i="15"/>
  <c r="F22" i="14"/>
  <c r="F17" i="14"/>
  <c r="E18" i="14" s="1"/>
  <c r="AI55" i="16"/>
  <c r="AJ55" i="16"/>
  <c r="Q33" i="15"/>
  <c r="Q34" i="15" s="1"/>
  <c r="Q32" i="15"/>
  <c r="S7" i="17"/>
  <c r="N8" i="16" s="1"/>
  <c r="N9" i="16"/>
  <c r="T7" i="17"/>
  <c r="O8" i="16" s="1"/>
  <c r="O9" i="16"/>
  <c r="R7" i="17"/>
  <c r="M8" i="16" s="1"/>
  <c r="M9" i="16"/>
  <c r="U7" i="17"/>
  <c r="P8" i="16" s="1"/>
  <c r="P9" i="16"/>
  <c r="L63" i="16"/>
  <c r="L47" i="16"/>
  <c r="L39" i="16"/>
  <c r="L53" i="16"/>
  <c r="L41" i="16"/>
  <c r="L40" i="16"/>
  <c r="L45" i="16"/>
  <c r="L44" i="16"/>
  <c r="L49" i="16"/>
  <c r="L48" i="16"/>
  <c r="L38" i="16"/>
  <c r="L37" i="16"/>
  <c r="L36" i="16"/>
  <c r="L35" i="16"/>
  <c r="L34" i="16"/>
  <c r="L33" i="16"/>
  <c r="L32" i="16"/>
  <c r="L31" i="16"/>
  <c r="L30" i="16"/>
  <c r="L29" i="16"/>
  <c r="L28" i="16"/>
  <c r="L27" i="16"/>
  <c r="L26" i="16"/>
  <c r="L25" i="16"/>
  <c r="L24" i="16"/>
  <c r="L23" i="16"/>
  <c r="L20" i="16"/>
  <c r="L19" i="16"/>
  <c r="L17" i="16"/>
  <c r="L12" i="16"/>
  <c r="L11" i="16"/>
  <c r="L22" i="16"/>
  <c r="L21" i="16"/>
  <c r="L18" i="16"/>
  <c r="L10" i="16"/>
  <c r="L51" i="16"/>
  <c r="L75" i="16"/>
  <c r="L16" i="16"/>
  <c r="L15" i="16"/>
  <c r="L14" i="16"/>
  <c r="L13" i="16"/>
  <c r="L69" i="16"/>
  <c r="L76" i="16"/>
  <c r="L74" i="16"/>
  <c r="L71" i="16"/>
  <c r="L60" i="16"/>
  <c r="L58" i="16"/>
  <c r="L55" i="16"/>
  <c r="L54" i="16"/>
  <c r="L52" i="16"/>
  <c r="L50" i="16"/>
  <c r="L46" i="16"/>
  <c r="L68" i="16"/>
  <c r="L43" i="16"/>
  <c r="L80" i="16"/>
  <c r="L79" i="16"/>
  <c r="L78" i="16"/>
  <c r="L73" i="16"/>
  <c r="L70" i="16"/>
  <c r="L67" i="16"/>
  <c r="L66" i="16"/>
  <c r="L57" i="16"/>
  <c r="L56" i="16"/>
  <c r="L42" i="16"/>
  <c r="L81" i="16"/>
  <c r="L77" i="16"/>
  <c r="L72" i="16"/>
  <c r="L65" i="16"/>
  <c r="L64" i="16"/>
  <c r="L62" i="16"/>
  <c r="L61" i="16"/>
  <c r="L59" i="16"/>
  <c r="AJ31" i="14"/>
  <c r="AX29" i="16"/>
  <c r="AK29" i="20"/>
  <c r="V73" i="17"/>
  <c r="Q74" i="16" s="1"/>
  <c r="V74" i="17"/>
  <c r="Q75" i="16" s="1"/>
  <c r="V75" i="17"/>
  <c r="Q76" i="16" s="1"/>
  <c r="V76" i="17"/>
  <c r="Q77" i="16" s="1"/>
  <c r="V77" i="17"/>
  <c r="Q78" i="16" s="1"/>
  <c r="V78" i="17"/>
  <c r="Q79" i="16" s="1"/>
  <c r="V79" i="17"/>
  <c r="Q80" i="16" s="1"/>
  <c r="V80" i="17"/>
  <c r="Q81" i="16" s="1"/>
  <c r="V72" i="17"/>
  <c r="W72" i="17" s="1"/>
  <c r="AH9" i="16"/>
  <c r="AH55" i="16" s="1"/>
  <c r="AT24" i="16"/>
  <c r="AG24" i="20"/>
  <c r="M32" i="15"/>
  <c r="M33" i="15"/>
  <c r="M34" i="15" s="1"/>
  <c r="J25" i="15"/>
  <c r="L30" i="15"/>
  <c r="O33" i="15"/>
  <c r="O34" i="15" s="1"/>
  <c r="O32" i="15"/>
  <c r="AE29" i="14"/>
  <c r="AC24" i="14"/>
  <c r="AS24" i="16"/>
  <c r="AF24" i="20"/>
  <c r="V10" i="17"/>
  <c r="Q11" i="16" s="1"/>
  <c r="V14" i="17"/>
  <c r="Q15" i="16" s="1"/>
  <c r="Q8" i="17"/>
  <c r="L9" i="16" s="1"/>
  <c r="V12" i="17"/>
  <c r="Q13" i="16" s="1"/>
  <c r="V16" i="17"/>
  <c r="Q17" i="16" s="1"/>
  <c r="V20" i="17"/>
  <c r="Q21" i="16" s="1"/>
  <c r="V17" i="17"/>
  <c r="Q18" i="16" s="1"/>
  <c r="V19" i="17"/>
  <c r="Q20" i="16" s="1"/>
  <c r="V15" i="17"/>
  <c r="Q16" i="16" s="1"/>
  <c r="V21" i="17"/>
  <c r="Q22" i="16" s="1"/>
  <c r="V18" i="17"/>
  <c r="Q19" i="16" s="1"/>
  <c r="V26" i="17"/>
  <c r="Q27" i="16" s="1"/>
  <c r="V28" i="17"/>
  <c r="Q29" i="16" s="1"/>
  <c r="V23" i="17"/>
  <c r="Q24" i="16" s="1"/>
  <c r="V29" i="17"/>
  <c r="Q30" i="16" s="1"/>
  <c r="V32" i="17"/>
  <c r="Q33" i="16" s="1"/>
  <c r="V44" i="17"/>
  <c r="Q45" i="16" s="1"/>
  <c r="V46" i="17"/>
  <c r="Q47" i="16" s="1"/>
  <c r="V60" i="17"/>
  <c r="Q61" i="16" s="1"/>
  <c r="V66" i="17"/>
  <c r="Q67" i="16" s="1"/>
  <c r="V48" i="17"/>
  <c r="Q49" i="16" s="1"/>
  <c r="V50" i="17"/>
  <c r="Q51" i="16" s="1"/>
  <c r="V65" i="17"/>
  <c r="Q66" i="16" s="1"/>
  <c r="V42" i="17"/>
  <c r="Q43" i="16" s="1"/>
  <c r="V49" i="17"/>
  <c r="Q50" i="16" s="1"/>
  <c r="V55" i="17"/>
  <c r="Q56" i="16" s="1"/>
  <c r="V56" i="17"/>
  <c r="Q57" i="16" s="1"/>
  <c r="V63" i="17"/>
  <c r="Q64" i="16" s="1"/>
  <c r="V36" i="17"/>
  <c r="Q37" i="16" s="1"/>
  <c r="V37" i="17"/>
  <c r="Q38" i="16" s="1"/>
  <c r="V43" i="17"/>
  <c r="Q44" i="16" s="1"/>
  <c r="V13" i="17"/>
  <c r="Q14" i="16" s="1"/>
  <c r="V38" i="17"/>
  <c r="Q39" i="16" s="1"/>
  <c r="V45" i="17"/>
  <c r="Q46" i="16" s="1"/>
  <c r="V22" i="17"/>
  <c r="Q23" i="16" s="1"/>
  <c r="V34" i="17"/>
  <c r="Q35" i="16" s="1"/>
  <c r="V67" i="17"/>
  <c r="Q68" i="16" s="1"/>
  <c r="V68" i="17"/>
  <c r="Q69" i="16" s="1"/>
  <c r="V54" i="17"/>
  <c r="Q55" i="16" s="1"/>
  <c r="V9" i="17"/>
  <c r="Q10" i="16" s="1"/>
  <c r="V25" i="17"/>
  <c r="Q26" i="16" s="1"/>
  <c r="V27" i="17"/>
  <c r="Q28" i="16" s="1"/>
  <c r="V33" i="17"/>
  <c r="Q34" i="16" s="1"/>
  <c r="V40" i="17"/>
  <c r="Q41" i="16" s="1"/>
  <c r="V52" i="17"/>
  <c r="Q53" i="16" s="1"/>
  <c r="V53" i="17"/>
  <c r="Q54" i="16" s="1"/>
  <c r="V69" i="17"/>
  <c r="Q70" i="16" s="1"/>
  <c r="V39" i="17"/>
  <c r="Q40" i="16" s="1"/>
  <c r="V47" i="17"/>
  <c r="Q48" i="16" s="1"/>
  <c r="V51" i="17"/>
  <c r="Q52" i="16" s="1"/>
  <c r="V58" i="17"/>
  <c r="Q59" i="16" s="1"/>
  <c r="V59" i="17"/>
  <c r="Q60" i="16" s="1"/>
  <c r="V61" i="17"/>
  <c r="Q62" i="16" s="1"/>
  <c r="V62" i="17"/>
  <c r="Q63" i="16" s="1"/>
  <c r="V64" i="17"/>
  <c r="Q65" i="16" s="1"/>
  <c r="V71" i="17"/>
  <c r="Q72" i="16" s="1"/>
  <c r="V24" i="17"/>
  <c r="Q25" i="16" s="1"/>
  <c r="V30" i="17"/>
  <c r="Q31" i="16" s="1"/>
  <c r="V41" i="17"/>
  <c r="Q42" i="16" s="1"/>
  <c r="V35" i="17"/>
  <c r="Q36" i="16" s="1"/>
  <c r="V70" i="17"/>
  <c r="Q71" i="16" s="1"/>
  <c r="V31" i="17"/>
  <c r="Q32" i="16" s="1"/>
  <c r="V11" i="17"/>
  <c r="Q12" i="16" s="1"/>
  <c r="V57" i="17"/>
  <c r="Q58" i="16" s="1"/>
  <c r="AF31" i="14"/>
  <c r="AT29" i="16"/>
  <c r="AG29" i="20"/>
  <c r="AR25" i="16"/>
  <c r="AE25" i="20"/>
  <c r="AH10" i="15"/>
  <c r="AH57" i="15" s="1"/>
  <c r="AJ57" i="15"/>
  <c r="T9" i="20"/>
  <c r="AN10" i="16"/>
  <c r="AN18" i="16"/>
  <c r="AN35" i="16"/>
  <c r="AN42" i="16"/>
  <c r="AN50" i="16"/>
  <c r="AN16" i="16"/>
  <c r="AN24" i="16"/>
  <c r="AN40" i="16"/>
  <c r="AN48" i="16"/>
  <c r="AN14" i="16"/>
  <c r="AN22" i="16"/>
  <c r="AN31" i="16"/>
  <c r="AN34" i="16"/>
  <c r="AN38" i="16"/>
  <c r="AN46" i="16"/>
  <c r="AN25" i="16"/>
  <c r="AN27" i="16"/>
  <c r="AN29" i="16"/>
  <c r="AN15" i="16"/>
  <c r="AN36" i="16"/>
  <c r="AN39" i="16"/>
  <c r="AN53" i="16"/>
  <c r="AN11" i="16"/>
  <c r="AN12" i="16"/>
  <c r="AN19" i="16"/>
  <c r="AN33" i="16"/>
  <c r="AN43" i="16"/>
  <c r="AN30" i="16"/>
  <c r="AN32" i="16"/>
  <c r="AN45" i="16"/>
  <c r="AN9" i="16"/>
  <c r="AN23" i="16"/>
  <c r="AN26" i="16"/>
  <c r="AN47" i="16"/>
  <c r="AN13" i="16"/>
  <c r="AN20" i="16"/>
  <c r="AN28" i="16"/>
  <c r="AN44" i="16"/>
  <c r="AN51" i="16"/>
  <c r="AN17" i="16"/>
  <c r="AN37" i="16"/>
  <c r="AN41" i="16"/>
  <c r="AN52" i="16"/>
  <c r="AN49" i="16"/>
  <c r="AN21" i="16"/>
  <c r="P32" i="15" l="1"/>
  <c r="P33" i="15"/>
  <c r="P34" i="15" s="1"/>
  <c r="AV29" i="16"/>
  <c r="AI29" i="20"/>
  <c r="AH31" i="14"/>
  <c r="AE26" i="20"/>
  <c r="AR26" i="16"/>
  <c r="AI31" i="14"/>
  <c r="AJ29" i="20"/>
  <c r="AW29" i="16"/>
  <c r="AE28" i="20"/>
  <c r="AR28" i="16"/>
  <c r="AG31" i="14"/>
  <c r="AU29" i="16"/>
  <c r="AH29" i="20"/>
  <c r="T55" i="20"/>
  <c r="AR27" i="16"/>
  <c r="AE27" i="20"/>
  <c r="N32" i="15"/>
  <c r="N33" i="15"/>
  <c r="N34" i="15" s="1"/>
  <c r="AX31" i="16"/>
  <c r="AK31" i="20"/>
  <c r="R73" i="16"/>
  <c r="AK72" i="17"/>
  <c r="X72" i="17"/>
  <c r="Y72" i="17" s="1"/>
  <c r="Z72" i="17" s="1"/>
  <c r="Q73" i="16"/>
  <c r="X73" i="17"/>
  <c r="W73" i="17"/>
  <c r="AK73" i="17" s="1"/>
  <c r="X74" i="17"/>
  <c r="W74" i="17"/>
  <c r="W75" i="17"/>
  <c r="X75" i="17"/>
  <c r="X76" i="17"/>
  <c r="W76" i="17"/>
  <c r="W77" i="17"/>
  <c r="X77" i="17"/>
  <c r="W78" i="17"/>
  <c r="X78" i="17"/>
  <c r="X79" i="17"/>
  <c r="W79" i="17"/>
  <c r="W80" i="17"/>
  <c r="X80" i="17"/>
  <c r="X11" i="17"/>
  <c r="W11" i="17"/>
  <c r="X64" i="17"/>
  <c r="W64" i="17"/>
  <c r="W69" i="17"/>
  <c r="X69" i="17"/>
  <c r="W54" i="17"/>
  <c r="X54" i="17"/>
  <c r="W43" i="17"/>
  <c r="X43" i="17"/>
  <c r="X65" i="17"/>
  <c r="W65" i="17"/>
  <c r="W29" i="17"/>
  <c r="X29" i="17"/>
  <c r="X17" i="17"/>
  <c r="W17" i="17"/>
  <c r="X31" i="17"/>
  <c r="W31" i="17"/>
  <c r="X62" i="17"/>
  <c r="W62" i="17"/>
  <c r="X53" i="17"/>
  <c r="W53" i="17"/>
  <c r="X68" i="17"/>
  <c r="W68" i="17"/>
  <c r="W37" i="17"/>
  <c r="X37" i="17"/>
  <c r="W50" i="17"/>
  <c r="X50" i="17"/>
  <c r="W23" i="17"/>
  <c r="X23" i="17"/>
  <c r="W20" i="17"/>
  <c r="X20" i="17"/>
  <c r="AC29" i="14"/>
  <c r="G33" i="18" s="1" a="1"/>
  <c r="AE24" i="20"/>
  <c r="AR24" i="16"/>
  <c r="W70" i="17"/>
  <c r="X70" i="17"/>
  <c r="J30" i="15"/>
  <c r="I25" i="15" s="1"/>
  <c r="L32" i="15"/>
  <c r="L33" i="15"/>
  <c r="X61" i="17"/>
  <c r="W61" i="17"/>
  <c r="X52" i="17"/>
  <c r="W52" i="17"/>
  <c r="W67" i="17"/>
  <c r="X67" i="17"/>
  <c r="X36" i="17"/>
  <c r="W36" i="17"/>
  <c r="X48" i="17"/>
  <c r="W48" i="17"/>
  <c r="X28" i="17"/>
  <c r="W28" i="17"/>
  <c r="W16" i="17"/>
  <c r="X16" i="17"/>
  <c r="AE31" i="14"/>
  <c r="AS29" i="16"/>
  <c r="AF29" i="20"/>
  <c r="W35" i="17"/>
  <c r="X35" i="17"/>
  <c r="X59" i="17"/>
  <c r="W59" i="17"/>
  <c r="W40" i="17"/>
  <c r="X40" i="17"/>
  <c r="W34" i="17"/>
  <c r="X34" i="17"/>
  <c r="W63" i="17"/>
  <c r="X63" i="17"/>
  <c r="W66" i="17"/>
  <c r="X66" i="17"/>
  <c r="W26" i="17"/>
  <c r="X26" i="17"/>
  <c r="X12" i="17"/>
  <c r="W12" i="17"/>
  <c r="Q7" i="17"/>
  <c r="L8" i="16" s="1"/>
  <c r="V8" i="17"/>
  <c r="Q9" i="16" s="1"/>
  <c r="AN55" i="16"/>
  <c r="W18" i="17"/>
  <c r="X18" i="17"/>
  <c r="W46" i="17"/>
  <c r="X46" i="17"/>
  <c r="W56" i="17"/>
  <c r="X56" i="17"/>
  <c r="W51" i="17"/>
  <c r="X51" i="17"/>
  <c r="AG31" i="20"/>
  <c r="AT31" i="16"/>
  <c r="W44" i="17"/>
  <c r="X44" i="17"/>
  <c r="X10" i="17"/>
  <c r="W10" i="17"/>
  <c r="X41" i="17"/>
  <c r="W41" i="17"/>
  <c r="X58" i="17"/>
  <c r="W58" i="17"/>
  <c r="X33" i="17"/>
  <c r="W33" i="17"/>
  <c r="W22" i="17"/>
  <c r="X22" i="17"/>
  <c r="W60" i="17"/>
  <c r="X60" i="17"/>
  <c r="W30" i="17"/>
  <c r="X30" i="17"/>
  <c r="X27" i="17"/>
  <c r="W27" i="17"/>
  <c r="W45" i="17"/>
  <c r="X45" i="17"/>
  <c r="W55" i="17"/>
  <c r="X55" i="17"/>
  <c r="X21" i="17"/>
  <c r="W21" i="17"/>
  <c r="X14" i="17"/>
  <c r="W14" i="17"/>
  <c r="W24" i="17"/>
  <c r="X24" i="17"/>
  <c r="W47" i="17"/>
  <c r="X47" i="17"/>
  <c r="X25" i="17"/>
  <c r="W25" i="17"/>
  <c r="X38" i="17"/>
  <c r="W38" i="17"/>
  <c r="W49" i="17"/>
  <c r="X49" i="17"/>
  <c r="X15" i="17"/>
  <c r="W15" i="17"/>
  <c r="W57" i="17"/>
  <c r="X57" i="17"/>
  <c r="W71" i="17"/>
  <c r="X71" i="17"/>
  <c r="W39" i="17"/>
  <c r="X39" i="17"/>
  <c r="X9" i="17"/>
  <c r="W9" i="17"/>
  <c r="X13" i="17"/>
  <c r="W13" i="17"/>
  <c r="W42" i="17"/>
  <c r="X42" i="17"/>
  <c r="W32" i="17"/>
  <c r="X32" i="17"/>
  <c r="W19" i="17"/>
  <c r="X19" i="17"/>
  <c r="Y78" i="17" l="1"/>
  <c r="Z78" i="17" s="1"/>
  <c r="AV31" i="16"/>
  <c r="AI31" i="20"/>
  <c r="AW31" i="16"/>
  <c r="AJ31" i="20"/>
  <c r="AU31" i="16"/>
  <c r="AH31" i="20"/>
  <c r="J33" i="15"/>
  <c r="R75" i="16"/>
  <c r="AK74" i="17"/>
  <c r="R76" i="16"/>
  <c r="AK75" i="17"/>
  <c r="R77" i="16"/>
  <c r="AK76" i="17"/>
  <c r="R78" i="16"/>
  <c r="AK77" i="17"/>
  <c r="R79" i="16"/>
  <c r="AK78" i="17"/>
  <c r="R80" i="16"/>
  <c r="AK79" i="17"/>
  <c r="R81" i="16"/>
  <c r="AK80" i="17"/>
  <c r="R12" i="16"/>
  <c r="AK11" i="17"/>
  <c r="R65" i="16"/>
  <c r="AK64" i="17"/>
  <c r="R70" i="16"/>
  <c r="AK69" i="17"/>
  <c r="R55" i="16"/>
  <c r="AK54" i="17"/>
  <c r="R44" i="16"/>
  <c r="AK43" i="17"/>
  <c r="R66" i="16"/>
  <c r="AK65" i="17"/>
  <c r="R30" i="16"/>
  <c r="AK29" i="17"/>
  <c r="R18" i="16"/>
  <c r="AK17" i="17"/>
  <c r="R32" i="16"/>
  <c r="AK31" i="17"/>
  <c r="R63" i="16"/>
  <c r="AK62" i="17"/>
  <c r="R54" i="16"/>
  <c r="AK53" i="17"/>
  <c r="R69" i="16"/>
  <c r="AK68" i="17"/>
  <c r="R38" i="16"/>
  <c r="AK37" i="17"/>
  <c r="R51" i="16"/>
  <c r="AK50" i="17"/>
  <c r="R24" i="16"/>
  <c r="AK23" i="17"/>
  <c r="R21" i="16"/>
  <c r="AK20" i="17"/>
  <c r="R71" i="16"/>
  <c r="AK70" i="17"/>
  <c r="R62" i="16"/>
  <c r="AK61" i="17"/>
  <c r="R53" i="16"/>
  <c r="AK52" i="17"/>
  <c r="R68" i="16"/>
  <c r="AK67" i="17"/>
  <c r="R37" i="16"/>
  <c r="AK36" i="17"/>
  <c r="R49" i="16"/>
  <c r="AK48" i="17"/>
  <c r="R29" i="16"/>
  <c r="AK28" i="17"/>
  <c r="R17" i="16"/>
  <c r="AK16" i="17"/>
  <c r="R36" i="16"/>
  <c r="AK35" i="17"/>
  <c r="R60" i="16"/>
  <c r="AK59" i="17"/>
  <c r="R41" i="16"/>
  <c r="AK40" i="17"/>
  <c r="R35" i="16"/>
  <c r="AK34" i="17"/>
  <c r="R64" i="16"/>
  <c r="AK63" i="17"/>
  <c r="R67" i="16"/>
  <c r="AK66" i="17"/>
  <c r="R27" i="16"/>
  <c r="AK26" i="17"/>
  <c r="R13" i="16"/>
  <c r="AK12" i="17"/>
  <c r="R19" i="16"/>
  <c r="AK18" i="17"/>
  <c r="R47" i="16"/>
  <c r="AK46" i="17"/>
  <c r="R57" i="16"/>
  <c r="AK56" i="17"/>
  <c r="R52" i="16"/>
  <c r="AK51" i="17"/>
  <c r="R45" i="16"/>
  <c r="AK44" i="17"/>
  <c r="R11" i="16"/>
  <c r="AK10" i="17"/>
  <c r="R42" i="16"/>
  <c r="AK41" i="17"/>
  <c r="R59" i="16"/>
  <c r="AK58" i="17"/>
  <c r="R34" i="16"/>
  <c r="AK33" i="17"/>
  <c r="R23" i="16"/>
  <c r="AK22" i="17"/>
  <c r="R61" i="16"/>
  <c r="AK60" i="17"/>
  <c r="R31" i="16"/>
  <c r="AK30" i="17"/>
  <c r="R28" i="16"/>
  <c r="AK27" i="17"/>
  <c r="R46" i="16"/>
  <c r="AK45" i="17"/>
  <c r="R56" i="16"/>
  <c r="AK55" i="17"/>
  <c r="R22" i="16"/>
  <c r="AK21" i="17"/>
  <c r="R15" i="16"/>
  <c r="AK14" i="17"/>
  <c r="R25" i="16"/>
  <c r="AK24" i="17"/>
  <c r="R48" i="16"/>
  <c r="AK47" i="17"/>
  <c r="R26" i="16"/>
  <c r="AK25" i="17"/>
  <c r="R39" i="16"/>
  <c r="AK38" i="17"/>
  <c r="R50" i="16"/>
  <c r="AK49" i="17"/>
  <c r="R16" i="16"/>
  <c r="AK15" i="17"/>
  <c r="R58" i="16"/>
  <c r="AK57" i="17"/>
  <c r="R72" i="16"/>
  <c r="AK71" i="17"/>
  <c r="R40" i="16"/>
  <c r="AK39" i="17"/>
  <c r="R10" i="16"/>
  <c r="AK9" i="17"/>
  <c r="R14" i="16"/>
  <c r="AK13" i="17"/>
  <c r="R43" i="16"/>
  <c r="AK42" i="17"/>
  <c r="R33" i="16"/>
  <c r="AK32" i="17"/>
  <c r="R20" i="16"/>
  <c r="AK19" i="17"/>
  <c r="Y73" i="17"/>
  <c r="Z73" i="17" s="1"/>
  <c r="R74" i="16"/>
  <c r="Y76" i="17"/>
  <c r="Z76" i="17" s="1"/>
  <c r="Y77" i="17"/>
  <c r="Z77" i="17" s="1"/>
  <c r="Y79" i="17"/>
  <c r="Z79" i="17" s="1"/>
  <c r="Y74" i="17"/>
  <c r="Z74" i="17" s="1"/>
  <c r="Y75" i="17"/>
  <c r="Z75" i="17" s="1"/>
  <c r="Y80" i="17"/>
  <c r="Z80" i="17" s="1"/>
  <c r="Y41" i="17"/>
  <c r="Z41" i="17" s="1"/>
  <c r="Y13" i="17"/>
  <c r="Z13" i="17" s="1"/>
  <c r="Y25" i="17"/>
  <c r="Z25" i="17" s="1"/>
  <c r="Y21" i="17"/>
  <c r="Z21" i="17" s="1"/>
  <c r="Y58" i="17"/>
  <c r="Z58" i="17" s="1"/>
  <c r="Y31" i="17"/>
  <c r="Z31" i="17" s="1"/>
  <c r="Y11" i="17"/>
  <c r="Z11" i="17" s="1"/>
  <c r="Y59" i="17"/>
  <c r="Z59" i="17" s="1"/>
  <c r="Y36" i="17"/>
  <c r="Z36" i="17" s="1"/>
  <c r="Y68" i="17"/>
  <c r="Z68" i="17" s="1"/>
  <c r="Y17" i="17"/>
  <c r="Z17" i="17" s="1"/>
  <c r="Y42" i="17"/>
  <c r="Z42" i="17" s="1"/>
  <c r="Y9" i="17"/>
  <c r="Z9" i="17" s="1"/>
  <c r="Y15" i="17"/>
  <c r="Z15" i="17" s="1"/>
  <c r="Y71" i="17"/>
  <c r="Z71" i="17" s="1"/>
  <c r="Y44" i="17"/>
  <c r="Z44" i="17" s="1"/>
  <c r="Y46" i="17"/>
  <c r="Z46" i="17" s="1"/>
  <c r="Y12" i="17"/>
  <c r="Z12" i="17" s="1"/>
  <c r="Y28" i="17"/>
  <c r="Z28" i="17" s="1"/>
  <c r="Y52" i="17"/>
  <c r="Z52" i="17" s="1"/>
  <c r="Y26" i="17"/>
  <c r="Z26" i="17" s="1"/>
  <c r="Y62" i="17"/>
  <c r="Z62" i="17" s="1"/>
  <c r="Y65" i="17"/>
  <c r="Z65" i="17" s="1"/>
  <c r="Y64" i="17"/>
  <c r="Z64" i="17" s="1"/>
  <c r="Y40" i="17"/>
  <c r="Z40" i="17" s="1"/>
  <c r="Y66" i="17"/>
  <c r="Z66" i="17" s="1"/>
  <c r="Y10" i="17"/>
  <c r="Z10" i="17" s="1"/>
  <c r="Y70" i="17"/>
  <c r="Z70" i="17" s="1"/>
  <c r="Y23" i="17"/>
  <c r="Z23" i="17" s="1"/>
  <c r="Y29" i="17"/>
  <c r="Z29" i="17" s="1"/>
  <c r="Y69" i="17"/>
  <c r="Z69" i="17" s="1"/>
  <c r="Y18" i="17"/>
  <c r="Z18" i="17" s="1"/>
  <c r="F26" i="18"/>
  <c r="E36" i="18" s="1"/>
  <c r="F36" i="18" s="1"/>
  <c r="H35" i="18"/>
  <c r="H37" i="18"/>
  <c r="F28" i="18"/>
  <c r="E38" i="18" s="1"/>
  <c r="H34" i="18"/>
  <c r="H36" i="18"/>
  <c r="H38" i="18"/>
  <c r="F24" i="18"/>
  <c r="E34" i="18" s="1"/>
  <c r="F34" i="18" s="1"/>
  <c r="F25" i="18"/>
  <c r="E35" i="18" s="1"/>
  <c r="F35" i="18" s="1"/>
  <c r="K34" i="18"/>
  <c r="K37" i="18"/>
  <c r="F27" i="18"/>
  <c r="E37" i="18" s="1"/>
  <c r="F37" i="18" s="1"/>
  <c r="K38" i="18"/>
  <c r="K35" i="18"/>
  <c r="G33" i="18"/>
  <c r="K36" i="18"/>
  <c r="AC31" i="14"/>
  <c r="AS31" i="16"/>
  <c r="AF31" i="20"/>
  <c r="Y60" i="17"/>
  <c r="Z60" i="17" s="1"/>
  <c r="W8" i="17"/>
  <c r="AK8" i="17" s="1"/>
  <c r="V7" i="17"/>
  <c r="Y43" i="17"/>
  <c r="Z43" i="17" s="1"/>
  <c r="Y57" i="17"/>
  <c r="Z57" i="17" s="1"/>
  <c r="Y30" i="17"/>
  <c r="Z30" i="17" s="1"/>
  <c r="Y50" i="17"/>
  <c r="Z50" i="17" s="1"/>
  <c r="X7" i="17"/>
  <c r="Y55" i="17"/>
  <c r="Z55" i="17" s="1"/>
  <c r="AR29" i="16"/>
  <c r="AR35" i="16" s="1"/>
  <c r="AS35" i="16" s="1"/>
  <c r="AE29" i="20"/>
  <c r="AE35" i="20" s="1"/>
  <c r="AF35" i="20" s="1"/>
  <c r="Y35" i="17"/>
  <c r="Z35" i="17" s="1"/>
  <c r="Y67" i="17"/>
  <c r="Z67" i="17" s="1"/>
  <c r="Y39" i="17"/>
  <c r="Z39" i="17" s="1"/>
  <c r="Y45" i="17"/>
  <c r="Z45" i="17" s="1"/>
  <c r="J34" i="15"/>
  <c r="J45" i="15"/>
  <c r="I29" i="15"/>
  <c r="I26" i="15"/>
  <c r="I28" i="15"/>
  <c r="I27" i="15"/>
  <c r="Y20" i="17"/>
  <c r="Z20" i="17" s="1"/>
  <c r="Y54" i="17"/>
  <c r="Z54" i="17" s="1"/>
  <c r="J32" i="15"/>
  <c r="L35" i="15"/>
  <c r="M35" i="15" s="1"/>
  <c r="N35" i="15" s="1"/>
  <c r="O35" i="15" s="1"/>
  <c r="P35" i="15" s="1"/>
  <c r="Q35" i="15" s="1"/>
  <c r="R35" i="15" s="1"/>
  <c r="S35" i="15" s="1"/>
  <c r="T35" i="15" s="1"/>
  <c r="U35" i="15" s="1"/>
  <c r="Y19" i="17"/>
  <c r="Z19" i="17" s="1"/>
  <c r="Y47" i="17"/>
  <c r="Z47" i="17" s="1"/>
  <c r="Y51" i="17"/>
  <c r="Z51" i="17" s="1"/>
  <c r="L34" i="15"/>
  <c r="I34" i="15" s="1"/>
  <c r="Y37" i="17"/>
  <c r="Z37" i="17" s="1"/>
  <c r="Y63" i="17"/>
  <c r="Z63" i="17" s="1"/>
  <c r="Y16" i="17"/>
  <c r="Z16" i="17" s="1"/>
  <c r="Y32" i="17"/>
  <c r="Z32" i="17" s="1"/>
  <c r="Y49" i="17"/>
  <c r="Z49" i="17" s="1"/>
  <c r="Y24" i="17"/>
  <c r="Z24" i="17" s="1"/>
  <c r="Y22" i="17"/>
  <c r="Z22" i="17" s="1"/>
  <c r="Y56" i="17"/>
  <c r="Z56" i="17" s="1"/>
  <c r="Y38" i="17"/>
  <c r="Z38" i="17" s="1"/>
  <c r="Y14" i="17"/>
  <c r="Z14" i="17" s="1"/>
  <c r="Y27" i="17"/>
  <c r="Z27" i="17" s="1"/>
  <c r="Y33" i="17"/>
  <c r="Z33" i="17" s="1"/>
  <c r="Y34" i="17"/>
  <c r="Z34" i="17" s="1"/>
  <c r="Y53" i="17"/>
  <c r="Z53" i="17" s="1"/>
  <c r="Y48" i="17"/>
  <c r="Z48" i="17" s="1"/>
  <c r="Y61" i="17"/>
  <c r="Z61" i="17" s="1"/>
  <c r="Q8" i="16" l="1"/>
  <c r="G22" i="9"/>
  <c r="AK7" i="17"/>
  <c r="W4" i="17"/>
  <c r="R9" i="16"/>
  <c r="AE31" i="20"/>
  <c r="AR31" i="16"/>
  <c r="H33" i="18"/>
  <c r="F23" i="18"/>
  <c r="E33" i="18" s="1"/>
  <c r="F33" i="18" s="1"/>
  <c r="K33" i="18"/>
  <c r="Y8" i="17"/>
  <c r="Y4" i="17" s="1"/>
  <c r="W7" i="17"/>
  <c r="R8" i="16" s="1"/>
  <c r="G56" i="19" a="1"/>
  <c r="F38" i="18"/>
  <c r="M31" i="18"/>
  <c r="G56" i="19" l="1"/>
  <c r="AE58" i="19"/>
  <c r="T62" i="19" a="1"/>
  <c r="T62" i="19" s="1"/>
  <c r="AQ62" i="19"/>
  <c r="J64" i="19"/>
  <c r="G8" i="19" a="1"/>
  <c r="G8" i="19" s="1"/>
  <c r="F420" i="19" s="1" a="1"/>
  <c r="J57" i="19"/>
  <c r="AE59" i="19"/>
  <c r="T57" i="19" a="1"/>
  <c r="T57" i="19" s="1"/>
  <c r="L57" i="19"/>
  <c r="AE57" i="19"/>
  <c r="AQ57" i="19"/>
  <c r="J59" i="19"/>
  <c r="T59" i="19" a="1"/>
  <c r="T59" i="19" s="1"/>
  <c r="AQ63" i="19"/>
  <c r="AQ58" i="19"/>
  <c r="AE60" i="19"/>
  <c r="J62" i="19"/>
  <c r="T67" i="19" a="1"/>
  <c r="T67" i="19" s="1"/>
  <c r="AQ67" i="19"/>
  <c r="J69" i="19"/>
  <c r="AE71" i="19"/>
  <c r="T75" i="19" a="1"/>
  <c r="T75" i="19" s="1"/>
  <c r="AQ75" i="19"/>
  <c r="J77" i="19"/>
  <c r="AE79" i="19"/>
  <c r="T60" i="19" a="1"/>
  <c r="T60" i="19" s="1"/>
  <c r="AQ60" i="19"/>
  <c r="T63" i="19" a="1"/>
  <c r="T63" i="19" s="1"/>
  <c r="AQ65" i="19"/>
  <c r="T58" i="19" a="1"/>
  <c r="T58" i="19" s="1"/>
  <c r="AE61" i="19"/>
  <c r="J63" i="19"/>
  <c r="AE63" i="19"/>
  <c r="T64" i="19" a="1"/>
  <c r="T64" i="19" s="1"/>
  <c r="AE66" i="19"/>
  <c r="T61" i="19" a="1"/>
  <c r="T61" i="19" s="1"/>
  <c r="AQ61" i="19"/>
  <c r="AE67" i="19"/>
  <c r="AE65" i="19"/>
  <c r="T66" i="19" a="1"/>
  <c r="T66" i="19" s="1"/>
  <c r="AQ66" i="19"/>
  <c r="J68" i="19"/>
  <c r="AQ59" i="19"/>
  <c r="AE64" i="19"/>
  <c r="T68" i="19" a="1"/>
  <c r="T68" i="19" s="1"/>
  <c r="T71" i="19" a="1"/>
  <c r="T71" i="19" s="1"/>
  <c r="J72" i="19"/>
  <c r="AQ74" i="19"/>
  <c r="AE77" i="19"/>
  <c r="L79" i="19"/>
  <c r="T80" i="19" a="1"/>
  <c r="T80" i="19" s="1"/>
  <c r="AQ80" i="19"/>
  <c r="J82" i="19"/>
  <c r="AE84" i="19"/>
  <c r="T88" i="19" a="1"/>
  <c r="T88" i="19" s="1"/>
  <c r="AQ88" i="19"/>
  <c r="J66" i="19"/>
  <c r="AE69" i="19"/>
  <c r="T72" i="19" a="1"/>
  <c r="T72" i="19" s="1"/>
  <c r="J73" i="19"/>
  <c r="AQ76" i="19"/>
  <c r="J58" i="19"/>
  <c r="AE70" i="19"/>
  <c r="T73" i="19" a="1"/>
  <c r="T73" i="19" s="1"/>
  <c r="J74" i="19"/>
  <c r="AQ64" i="19"/>
  <c r="J67" i="19"/>
  <c r="AQ69" i="19"/>
  <c r="AE72" i="19"/>
  <c r="T74" i="19" a="1"/>
  <c r="T74" i="19" s="1"/>
  <c r="J75" i="19"/>
  <c r="T69" i="19" a="1"/>
  <c r="T69" i="19" s="1"/>
  <c r="J70" i="19"/>
  <c r="AQ72" i="19"/>
  <c r="AE75" i="19"/>
  <c r="AQ71" i="19"/>
  <c r="AE81" i="19"/>
  <c r="AQ77" i="19"/>
  <c r="J78" i="19"/>
  <c r="T78" i="19" a="1"/>
  <c r="T78" i="19" s="1"/>
  <c r="AE82" i="19"/>
  <c r="T85" i="19" a="1"/>
  <c r="T85" i="19" s="1"/>
  <c r="J86" i="19"/>
  <c r="AQ89" i="19"/>
  <c r="T90" i="19" a="1"/>
  <c r="T90" i="19" s="1"/>
  <c r="AQ90" i="19"/>
  <c r="J92" i="19"/>
  <c r="AE94" i="19"/>
  <c r="J61" i="19"/>
  <c r="AQ68" i="19"/>
  <c r="AQ70" i="19"/>
  <c r="T76" i="19" a="1"/>
  <c r="T76" i="19" s="1"/>
  <c r="AE78" i="19"/>
  <c r="AQ81" i="19"/>
  <c r="AE83" i="19"/>
  <c r="L85" i="19"/>
  <c r="T86" i="19" a="1"/>
  <c r="T86" i="19" s="1"/>
  <c r="J87" i="19"/>
  <c r="T91" i="19" a="1"/>
  <c r="T91" i="19" s="1"/>
  <c r="AQ91" i="19"/>
  <c r="T70" i="19" a="1"/>
  <c r="T70" i="19" s="1"/>
  <c r="AQ73" i="19"/>
  <c r="L78" i="19"/>
  <c r="AQ78" i="19"/>
  <c r="J79" i="19"/>
  <c r="T79" i="19" a="1"/>
  <c r="T79" i="19" s="1"/>
  <c r="AQ82" i="19"/>
  <c r="AE85" i="19"/>
  <c r="T87" i="19" a="1"/>
  <c r="T87" i="19" s="1"/>
  <c r="J88" i="19"/>
  <c r="J65" i="19"/>
  <c r="AE74" i="19"/>
  <c r="AQ83" i="19"/>
  <c r="AE86" i="19"/>
  <c r="J89" i="19"/>
  <c r="T89" i="19" a="1"/>
  <c r="T89" i="19" s="1"/>
  <c r="T93" i="19" a="1"/>
  <c r="T93" i="19" s="1"/>
  <c r="AQ93" i="19"/>
  <c r="J95" i="19"/>
  <c r="J60" i="19"/>
  <c r="T65" i="19" a="1"/>
  <c r="T65" i="19" s="1"/>
  <c r="AE73" i="19"/>
  <c r="T82" i="19" a="1"/>
  <c r="T82" i="19" s="1"/>
  <c r="J83" i="19"/>
  <c r="AE91" i="19"/>
  <c r="J97" i="19"/>
  <c r="AE99" i="19"/>
  <c r="L103" i="19"/>
  <c r="T103" i="19" a="1"/>
  <c r="T103" i="19" s="1"/>
  <c r="AQ103" i="19"/>
  <c r="J105" i="19"/>
  <c r="AQ79" i="19"/>
  <c r="AQ86" i="19"/>
  <c r="AE89" i="19"/>
  <c r="T96" i="19" a="1"/>
  <c r="T96" i="19" s="1"/>
  <c r="AQ96" i="19"/>
  <c r="J98" i="19"/>
  <c r="AE100" i="19"/>
  <c r="AE68" i="19"/>
  <c r="J76" i="19"/>
  <c r="AQ84" i="19"/>
  <c r="T92" i="19" a="1"/>
  <c r="T92" i="19" s="1"/>
  <c r="AQ95" i="19"/>
  <c r="L97" i="19"/>
  <c r="T97" i="19" a="1"/>
  <c r="T97" i="19" s="1"/>
  <c r="AQ97" i="19"/>
  <c r="J99" i="19"/>
  <c r="T84" i="19" a="1"/>
  <c r="T84" i="19" s="1"/>
  <c r="AE92" i="19"/>
  <c r="J93" i="19"/>
  <c r="T94" i="19" a="1"/>
  <c r="T94" i="19" s="1"/>
  <c r="T98" i="19" a="1"/>
  <c r="T98" i="19" s="1"/>
  <c r="AQ98" i="19"/>
  <c r="AE76" i="19"/>
  <c r="T77" i="19" a="1"/>
  <c r="T77" i="19" s="1"/>
  <c r="AE80" i="19"/>
  <c r="L82" i="19"/>
  <c r="AQ85" i="19"/>
  <c r="AE88" i="19"/>
  <c r="AQ92" i="19"/>
  <c r="AE93" i="19"/>
  <c r="J94" i="19"/>
  <c r="L99" i="19"/>
  <c r="T99" i="19" a="1"/>
  <c r="T99" i="19" s="1"/>
  <c r="AQ99" i="19"/>
  <c r="J81" i="19"/>
  <c r="T83" i="19" a="1"/>
  <c r="T83" i="19" s="1"/>
  <c r="J90" i="19"/>
  <c r="AQ94" i="19"/>
  <c r="T95" i="19" a="1"/>
  <c r="T95" i="19" s="1"/>
  <c r="AE96" i="19"/>
  <c r="J71" i="19"/>
  <c r="AE87" i="19"/>
  <c r="J96" i="19"/>
  <c r="AE98" i="19"/>
  <c r="L100" i="19"/>
  <c r="AQ101" i="19"/>
  <c r="J103" i="19"/>
  <c r="AE103" i="19"/>
  <c r="L109" i="19"/>
  <c r="T109" i="19" a="1"/>
  <c r="T109" i="19" s="1"/>
  <c r="AQ109" i="19"/>
  <c r="J111" i="19"/>
  <c r="AE113" i="19"/>
  <c r="T117" i="19" a="1"/>
  <c r="T117" i="19" s="1"/>
  <c r="AQ117" i="19"/>
  <c r="J119" i="19"/>
  <c r="J120" i="19"/>
  <c r="AE120" i="19"/>
  <c r="AQ121" i="19"/>
  <c r="AE62" i="19"/>
  <c r="AQ87" i="19"/>
  <c r="L102" i="19"/>
  <c r="AQ102" i="19"/>
  <c r="AE104" i="19"/>
  <c r="AE106" i="19"/>
  <c r="T110" i="19" a="1"/>
  <c r="T110" i="19" s="1"/>
  <c r="AQ110" i="19"/>
  <c r="J112" i="19"/>
  <c r="J80" i="19"/>
  <c r="J84" i="19"/>
  <c r="AE105" i="19"/>
  <c r="AE107" i="19"/>
  <c r="L111" i="19"/>
  <c r="T111" i="19" a="1"/>
  <c r="T111" i="19" s="1"/>
  <c r="AQ111" i="19"/>
  <c r="J113" i="19"/>
  <c r="AE115" i="19"/>
  <c r="J91" i="19"/>
  <c r="AQ104" i="19"/>
  <c r="J106" i="19"/>
  <c r="AE108" i="19"/>
  <c r="L112" i="19"/>
  <c r="T112" i="19" a="1"/>
  <c r="T112" i="19" s="1"/>
  <c r="AQ112" i="19"/>
  <c r="J114" i="19"/>
  <c r="AE116" i="19"/>
  <c r="AQ105" i="19"/>
  <c r="J107" i="19"/>
  <c r="AE109" i="19"/>
  <c r="L113" i="19"/>
  <c r="T113" i="19" a="1"/>
  <c r="T113" i="19" s="1"/>
  <c r="AQ113" i="19"/>
  <c r="J115" i="19"/>
  <c r="AE117" i="19"/>
  <c r="T81" i="19" a="1"/>
  <c r="T81" i="19" s="1"/>
  <c r="AE90" i="19"/>
  <c r="AE95" i="19"/>
  <c r="J85" i="19"/>
  <c r="AE97" i="19"/>
  <c r="AE102" i="19"/>
  <c r="J104" i="19"/>
  <c r="AQ106" i="19"/>
  <c r="T107" i="19" a="1"/>
  <c r="T107" i="19" s="1"/>
  <c r="AQ116" i="19"/>
  <c r="T119" i="19" a="1"/>
  <c r="T119" i="19" s="1"/>
  <c r="L121" i="19"/>
  <c r="T105" i="19" a="1"/>
  <c r="T105" i="19" s="1"/>
  <c r="AQ107" i="19"/>
  <c r="T108" i="19" a="1"/>
  <c r="T108" i="19" s="1"/>
  <c r="AE114" i="19"/>
  <c r="T118" i="19" a="1"/>
  <c r="T118" i="19" s="1"/>
  <c r="T101" i="19" a="1"/>
  <c r="T101" i="19" s="1"/>
  <c r="J102" i="19"/>
  <c r="AQ108" i="19"/>
  <c r="T114" i="19" a="1"/>
  <c r="T114" i="19" s="1"/>
  <c r="J117" i="19"/>
  <c r="AE118" i="19"/>
  <c r="T104" i="19" a="1"/>
  <c r="T104" i="19" s="1"/>
  <c r="T115" i="19" a="1"/>
  <c r="T115" i="19" s="1"/>
  <c r="J118" i="19"/>
  <c r="AE119" i="19"/>
  <c r="T122" i="19" a="1"/>
  <c r="T122" i="19" s="1"/>
  <c r="J108" i="19"/>
  <c r="AE101" i="19"/>
  <c r="T102" i="19" a="1"/>
  <c r="T102" i="19" s="1"/>
  <c r="J109" i="19"/>
  <c r="AE110" i="19"/>
  <c r="J100" i="19"/>
  <c r="L108" i="19"/>
  <c r="J110" i="19"/>
  <c r="AE111" i="19"/>
  <c r="L114" i="19"/>
  <c r="AQ114" i="19"/>
  <c r="J116" i="19"/>
  <c r="AQ120" i="19"/>
  <c r="J122" i="19"/>
  <c r="AQ118" i="19"/>
  <c r="AE122" i="19"/>
  <c r="T106" i="19" a="1"/>
  <c r="T106" i="19" s="1"/>
  <c r="T120" i="19" a="1"/>
  <c r="T120" i="19" s="1"/>
  <c r="J121" i="19"/>
  <c r="T100" i="19" a="1"/>
  <c r="T100" i="19" s="1"/>
  <c r="T121" i="19" a="1"/>
  <c r="T121" i="19" s="1"/>
  <c r="J101" i="19"/>
  <c r="AE112" i="19"/>
  <c r="AQ115" i="19"/>
  <c r="L115" i="19"/>
  <c r="L118" i="19"/>
  <c r="AE121" i="19"/>
  <c r="AQ100" i="19"/>
  <c r="AQ119" i="19"/>
  <c r="T116" i="19" a="1"/>
  <c r="T116" i="19" s="1"/>
  <c r="L122" i="19"/>
  <c r="AQ122" i="19"/>
  <c r="G422" i="19"/>
  <c r="G423" i="19"/>
  <c r="G420" i="19"/>
  <c r="G425" i="19"/>
  <c r="G421" i="19"/>
  <c r="G424" i="19"/>
  <c r="Y7" i="17"/>
  <c r="Z8" i="17"/>
  <c r="AA7" i="17" a="1"/>
  <c r="AA7" i="17" s="1"/>
  <c r="F420" i="19" l="1"/>
  <c r="S9" i="19" s="1" a="1"/>
  <c r="AA73" i="17" a="1"/>
  <c r="AA73" i="17" s="1"/>
  <c r="AB73" i="17" s="1"/>
  <c r="AA74" i="17" a="1"/>
  <c r="AA74" i="17" s="1"/>
  <c r="AB74" i="17" s="1"/>
  <c r="AA75" i="17" a="1"/>
  <c r="AA75" i="17" s="1"/>
  <c r="AB75" i="17" s="1"/>
  <c r="AA76" i="17" a="1"/>
  <c r="AA76" i="17" s="1"/>
  <c r="AB76" i="17" s="1"/>
  <c r="AA77" i="17" a="1"/>
  <c r="AA77" i="17" s="1"/>
  <c r="AB77" i="17" s="1"/>
  <c r="AA78" i="17" a="1"/>
  <c r="AA78" i="17" s="1"/>
  <c r="AB78" i="17" s="1"/>
  <c r="AA79" i="17" a="1"/>
  <c r="AA79" i="17" s="1"/>
  <c r="AB79" i="17" s="1"/>
  <c r="AA80" i="17" a="1"/>
  <c r="AA80" i="17" s="1"/>
  <c r="AB80" i="17" s="1"/>
  <c r="T423" i="19"/>
  <c r="V57" i="19"/>
  <c r="N57" i="19"/>
  <c r="N82" i="19"/>
  <c r="V82" i="19"/>
  <c r="N115" i="19"/>
  <c r="V115" i="19"/>
  <c r="V112" i="19"/>
  <c r="N112" i="19"/>
  <c r="J422" i="19"/>
  <c r="V100" i="19"/>
  <c r="N100" i="19"/>
  <c r="AE422" i="19"/>
  <c r="AE421" i="19"/>
  <c r="AE420" i="19"/>
  <c r="AQ421" i="19"/>
  <c r="J425" i="19"/>
  <c r="AE424" i="19"/>
  <c r="V99" i="19"/>
  <c r="N99" i="19"/>
  <c r="J421" i="19"/>
  <c r="AB7" i="15"/>
  <c r="I41" i="15"/>
  <c r="N102" i="19"/>
  <c r="V102" i="19"/>
  <c r="AE423" i="19"/>
  <c r="N97" i="19"/>
  <c r="V97" i="19"/>
  <c r="N103" i="19"/>
  <c r="V103" i="19"/>
  <c r="AQ422" i="19"/>
  <c r="N78" i="19"/>
  <c r="V78" i="19"/>
  <c r="N85" i="19"/>
  <c r="V85" i="19"/>
  <c r="T420" i="19"/>
  <c r="AQ425" i="19"/>
  <c r="Z7" i="17"/>
  <c r="AB6" i="15" s="1"/>
  <c r="AA10" i="17" a="1"/>
  <c r="AA10" i="17" s="1"/>
  <c r="AB10" i="17" s="1"/>
  <c r="AA13" i="17" a="1"/>
  <c r="AA13" i="17" s="1"/>
  <c r="AB13" i="17" s="1"/>
  <c r="AA16" i="17" a="1"/>
  <c r="AA16" i="17" s="1"/>
  <c r="AB16" i="17" s="1"/>
  <c r="AA18" i="17" a="1"/>
  <c r="AA18" i="17" s="1"/>
  <c r="AB18" i="17" s="1"/>
  <c r="AA24" i="17" a="1"/>
  <c r="AA24" i="17" s="1"/>
  <c r="AB24" i="17" s="1"/>
  <c r="AA28" i="17" a="1"/>
  <c r="AA28" i="17" s="1"/>
  <c r="AB28" i="17" s="1"/>
  <c r="AA32" i="17" a="1"/>
  <c r="AA32" i="17" s="1"/>
  <c r="AB32" i="17" s="1"/>
  <c r="AA20" i="17" a="1"/>
  <c r="AA20" i="17" s="1"/>
  <c r="AB20" i="17" s="1"/>
  <c r="AA14" i="17" a="1"/>
  <c r="AA14" i="17" s="1"/>
  <c r="AB14" i="17" s="1"/>
  <c r="AA21" i="17" a="1"/>
  <c r="AA21" i="17" s="1"/>
  <c r="AB21" i="17" s="1"/>
  <c r="AA25" i="17" a="1"/>
  <c r="AA25" i="17" s="1"/>
  <c r="AB25" i="17" s="1"/>
  <c r="AA27" i="17" a="1"/>
  <c r="AA27" i="17" s="1"/>
  <c r="AB27" i="17" s="1"/>
  <c r="AA37" i="17" a="1"/>
  <c r="AA37" i="17" s="1"/>
  <c r="AB37" i="17" s="1"/>
  <c r="AA41" i="17" a="1"/>
  <c r="AA41" i="17" s="1"/>
  <c r="AB41" i="17" s="1"/>
  <c r="AA45" i="17" a="1"/>
  <c r="AA45" i="17" s="1"/>
  <c r="AB45" i="17" s="1"/>
  <c r="AA49" i="17" a="1"/>
  <c r="AA49" i="17" s="1"/>
  <c r="AB49" i="17" s="1"/>
  <c r="AA53" i="17" a="1"/>
  <c r="AA53" i="17" s="1"/>
  <c r="AB53" i="17" s="1"/>
  <c r="AA57" i="17" a="1"/>
  <c r="AA57" i="17" s="1"/>
  <c r="AB57" i="17" s="1"/>
  <c r="AA9" i="17" a="1"/>
  <c r="AA9" i="17" s="1"/>
  <c r="AB9" i="17" s="1"/>
  <c r="AA43" i="17" a="1"/>
  <c r="AA43" i="17" s="1"/>
  <c r="AB43" i="17" s="1"/>
  <c r="AA63" i="17" a="1"/>
  <c r="AA63" i="17" s="1"/>
  <c r="AB63" i="17" s="1"/>
  <c r="AA8" i="17" a="1"/>
  <c r="AA8" i="17" s="1"/>
  <c r="AA12" i="17" a="1"/>
  <c r="AA12" i="17" s="1"/>
  <c r="AB12" i="17" s="1"/>
  <c r="AA17" i="17" a="1"/>
  <c r="AA17" i="17" s="1"/>
  <c r="AB17" i="17" s="1"/>
  <c r="AA22" i="17" a="1"/>
  <c r="AA22" i="17" s="1"/>
  <c r="AB22" i="17" s="1"/>
  <c r="AA31" i="17" a="1"/>
  <c r="AA31" i="17" s="1"/>
  <c r="AB31" i="17" s="1"/>
  <c r="AA47" i="17" a="1"/>
  <c r="AA47" i="17" s="1"/>
  <c r="AB47" i="17" s="1"/>
  <c r="AA58" i="17" a="1"/>
  <c r="AA58" i="17" s="1"/>
  <c r="AB58" i="17" s="1"/>
  <c r="AA62" i="17" a="1"/>
  <c r="AA62" i="17" s="1"/>
  <c r="AB62" i="17" s="1"/>
  <c r="AA39" i="17" a="1"/>
  <c r="AA39" i="17" s="1"/>
  <c r="AB39" i="17" s="1"/>
  <c r="AA40" i="17" a="1"/>
  <c r="AA40" i="17" s="1"/>
  <c r="AB40" i="17" s="1"/>
  <c r="AA46" i="17" a="1"/>
  <c r="AA46" i="17" s="1"/>
  <c r="AB46" i="17" s="1"/>
  <c r="AA64" i="17" a="1"/>
  <c r="AA64" i="17" s="1"/>
  <c r="AB64" i="17" s="1"/>
  <c r="AA70" i="17" a="1"/>
  <c r="AA70" i="17" s="1"/>
  <c r="AB70" i="17" s="1"/>
  <c r="AA23" i="17" a="1"/>
  <c r="AA23" i="17" s="1"/>
  <c r="AB23" i="17" s="1"/>
  <c r="AA26" i="17" a="1"/>
  <c r="AA26" i="17" s="1"/>
  <c r="AB26" i="17" s="1"/>
  <c r="AA29" i="17" a="1"/>
  <c r="AA29" i="17" s="1"/>
  <c r="AB29" i="17" s="1"/>
  <c r="AA34" i="17" a="1"/>
  <c r="AA34" i="17" s="1"/>
  <c r="AB34" i="17" s="1"/>
  <c r="AA67" i="17" a="1"/>
  <c r="AA67" i="17" s="1"/>
  <c r="AB67" i="17" s="1"/>
  <c r="AA30" i="17" a="1"/>
  <c r="AA30" i="17" s="1"/>
  <c r="AB30" i="17" s="1"/>
  <c r="AA33" i="17" a="1"/>
  <c r="AA33" i="17" s="1"/>
  <c r="AB33" i="17" s="1"/>
  <c r="AA48" i="17" a="1"/>
  <c r="AA48" i="17" s="1"/>
  <c r="AB48" i="17" s="1"/>
  <c r="AA15" i="17" a="1"/>
  <c r="AA15" i="17" s="1"/>
  <c r="AB15" i="17" s="1"/>
  <c r="AA35" i="17" a="1"/>
  <c r="AA35" i="17" s="1"/>
  <c r="AB35" i="17" s="1"/>
  <c r="AA36" i="17" a="1"/>
  <c r="AA36" i="17" s="1"/>
  <c r="AB36" i="17" s="1"/>
  <c r="AA42" i="17" a="1"/>
  <c r="AA42" i="17" s="1"/>
  <c r="AB42" i="17" s="1"/>
  <c r="AA59" i="17" a="1"/>
  <c r="AA59" i="17" s="1"/>
  <c r="AB59" i="17" s="1"/>
  <c r="AA60" i="17" a="1"/>
  <c r="AA60" i="17" s="1"/>
  <c r="AB60" i="17" s="1"/>
  <c r="AA61" i="17" a="1"/>
  <c r="AA61" i="17" s="1"/>
  <c r="AB61" i="17" s="1"/>
  <c r="AA71" i="17" a="1"/>
  <c r="AA71" i="17" s="1"/>
  <c r="AB71" i="17" s="1"/>
  <c r="AA50" i="17" a="1"/>
  <c r="AA50" i="17" s="1"/>
  <c r="AB50" i="17" s="1"/>
  <c r="AA65" i="17" a="1"/>
  <c r="AA65" i="17" s="1"/>
  <c r="AB65" i="17" s="1"/>
  <c r="AA55" i="17" a="1"/>
  <c r="AA55" i="17" s="1"/>
  <c r="AB55" i="17" s="1"/>
  <c r="AA56" i="17" a="1"/>
  <c r="AA56" i="17" s="1"/>
  <c r="AB56" i="17" s="1"/>
  <c r="AA66" i="17" a="1"/>
  <c r="AA66" i="17" s="1"/>
  <c r="AB66" i="17" s="1"/>
  <c r="AA38" i="17" a="1"/>
  <c r="AA38" i="17" s="1"/>
  <c r="AB38" i="17" s="1"/>
  <c r="AA69" i="17" a="1"/>
  <c r="AA69" i="17" s="1"/>
  <c r="AB69" i="17" s="1"/>
  <c r="AA72" i="17" a="1"/>
  <c r="AA72" i="17" s="1"/>
  <c r="AB72" i="17" s="1"/>
  <c r="AA11" i="17" a="1"/>
  <c r="AA11" i="17" s="1"/>
  <c r="AB11" i="17" s="1"/>
  <c r="AA19" i="17" a="1"/>
  <c r="AA19" i="17" s="1"/>
  <c r="AB19" i="17" s="1"/>
  <c r="AA51" i="17" a="1"/>
  <c r="AA51" i="17" s="1"/>
  <c r="AB51" i="17" s="1"/>
  <c r="AA52" i="17" a="1"/>
  <c r="AA52" i="17" s="1"/>
  <c r="AB52" i="17" s="1"/>
  <c r="AA54" i="17" a="1"/>
  <c r="AA54" i="17" s="1"/>
  <c r="AB54" i="17" s="1"/>
  <c r="AA44" i="17" a="1"/>
  <c r="AA44" i="17" s="1"/>
  <c r="AB44" i="17" s="1"/>
  <c r="AA68" i="17" a="1"/>
  <c r="AA68" i="17" s="1"/>
  <c r="AB68" i="17" s="1"/>
  <c r="N114" i="19"/>
  <c r="V114" i="19"/>
  <c r="N122" i="19"/>
  <c r="V122" i="19"/>
  <c r="T424" i="19"/>
  <c r="V113" i="19"/>
  <c r="N113" i="19"/>
  <c r="N109" i="19"/>
  <c r="V109" i="19"/>
  <c r="AQ423" i="19"/>
  <c r="J423" i="19"/>
  <c r="T422" i="19"/>
  <c r="N108" i="19"/>
  <c r="V108" i="19"/>
  <c r="N121" i="19"/>
  <c r="V121" i="19"/>
  <c r="AQ424" i="19"/>
  <c r="J424" i="19"/>
  <c r="G451" i="19"/>
  <c r="N118" i="19"/>
  <c r="V118" i="19"/>
  <c r="T425" i="19"/>
  <c r="AE425" i="19"/>
  <c r="N111" i="19"/>
  <c r="V111" i="19"/>
  <c r="V79" i="19"/>
  <c r="N79" i="19"/>
  <c r="T421" i="19"/>
  <c r="AQ420" i="19"/>
  <c r="J420" i="19"/>
  <c r="H12" i="19"/>
  <c r="I23" i="19" s="1"/>
  <c r="I12" i="19"/>
  <c r="J23" i="19" s="1"/>
  <c r="T56" i="19" a="1"/>
  <c r="T56" i="19" s="1"/>
  <c r="BI56" i="19" a="1"/>
  <c r="BI426" i="19" s="1"/>
  <c r="J12" i="19"/>
  <c r="J56" i="19"/>
  <c r="L56" i="19" s="1"/>
  <c r="BX56" i="19" a="1"/>
  <c r="BX426" i="19" s="1"/>
  <c r="P56" i="19"/>
  <c r="Q56" i="19" s="1"/>
  <c r="AQ56" i="19"/>
  <c r="AE56" i="19"/>
  <c r="G55" i="19"/>
  <c r="G54" i="19"/>
  <c r="O56" i="19"/>
  <c r="G419" i="19"/>
  <c r="R11" i="19" s="1" a="1"/>
  <c r="S9" i="19" l="1"/>
  <c r="AB8" i="17"/>
  <c r="AB7" i="17" s="1"/>
  <c r="AL8" i="17" a="1"/>
  <c r="AL8" i="17" s="1"/>
  <c r="AL7" i="17" s="1"/>
  <c r="R11" i="19"/>
  <c r="R15" i="19" s="1"/>
  <c r="R39" i="19" s="1"/>
  <c r="S15" i="19"/>
  <c r="S16" i="19" s="1"/>
  <c r="T15" i="19"/>
  <c r="T16" i="19" s="1"/>
  <c r="U15" i="19"/>
  <c r="U16" i="19" s="1"/>
  <c r="V15" i="19"/>
  <c r="V16" i="19" s="1"/>
  <c r="W15" i="19"/>
  <c r="W16" i="19" s="1"/>
  <c r="X15" i="19"/>
  <c r="X16" i="19" s="1"/>
  <c r="L419" i="19"/>
  <c r="AE54" i="19"/>
  <c r="AE417" i="19"/>
  <c r="BI56" i="19"/>
  <c r="BI421" i="19"/>
  <c r="BI425" i="19"/>
  <c r="BI424" i="19"/>
  <c r="BI423" i="19"/>
  <c r="BI420" i="19"/>
  <c r="BI422" i="19"/>
  <c r="AQ54" i="19"/>
  <c r="AQ417" i="19"/>
  <c r="T54" i="19"/>
  <c r="Y56" i="19"/>
  <c r="T417" i="19"/>
  <c r="T451" i="19"/>
  <c r="W56" i="19"/>
  <c r="Q419" i="19"/>
  <c r="P419" i="19"/>
  <c r="I33" i="19"/>
  <c r="AC7" i="15"/>
  <c r="BX56" i="19"/>
  <c r="BX417" i="19" s="1"/>
  <c r="BX420" i="19"/>
  <c r="BX421" i="19"/>
  <c r="BX422" i="19"/>
  <c r="BX425" i="19"/>
  <c r="BX423" i="19"/>
  <c r="BX424" i="19"/>
  <c r="Z56" i="19"/>
  <c r="O419" i="19"/>
  <c r="J451" i="19"/>
  <c r="H23" i="19"/>
  <c r="G23" i="19" s="1"/>
  <c r="J33" i="19"/>
  <c r="AQ451" i="19"/>
  <c r="J54" i="19"/>
  <c r="M56" i="19"/>
  <c r="J419" i="19"/>
  <c r="AI419" i="19" s="1"/>
  <c r="J417" i="19"/>
  <c r="AE451" i="19"/>
  <c r="H33" i="19" l="1"/>
  <c r="R16" i="19"/>
  <c r="R40" i="19" s="1"/>
  <c r="BI55" i="19"/>
  <c r="BI417" i="19"/>
  <c r="AC8" i="15"/>
  <c r="AA56" i="19"/>
  <c r="AK56" i="19"/>
  <c r="Y419" i="19"/>
  <c r="AK419" i="19" s="1"/>
  <c r="I57" i="19"/>
  <c r="N56" i="19"/>
  <c r="BL56" i="19" s="1"/>
  <c r="M419" i="19"/>
  <c r="AL56" i="19"/>
  <c r="BM56" i="19"/>
  <c r="Z419" i="19"/>
  <c r="AL419" i="19" s="1"/>
  <c r="AG56" i="19"/>
  <c r="X56" i="19"/>
  <c r="S57" i="19" s="1"/>
  <c r="BI451" i="19"/>
  <c r="BX451" i="19"/>
  <c r="K23" i="19"/>
  <c r="BZ56" i="19" l="1"/>
  <c r="BO56" i="19"/>
  <c r="AX56" i="19"/>
  <c r="AW56" i="19"/>
  <c r="AM56" i="19"/>
  <c r="BN56" i="19"/>
  <c r="N419" i="19"/>
  <c r="AC9" i="15"/>
  <c r="AB9" i="15" s="1"/>
  <c r="AD9" i="15" s="1"/>
  <c r="AB8" i="15"/>
  <c r="K57" i="19"/>
  <c r="O57" i="19" a="1"/>
  <c r="O57" i="19" s="1"/>
  <c r="AA419" i="19"/>
  <c r="AM419" i="19" s="1"/>
  <c r="U57" i="19" a="1"/>
  <c r="U57" i="19" s="1"/>
  <c r="AS56" i="19"/>
  <c r="AI56" i="19"/>
  <c r="AJ56" i="19"/>
  <c r="BF56" i="19" l="1"/>
  <c r="BQ56" i="19"/>
  <c r="AX419" i="19"/>
  <c r="AU56" i="19"/>
  <c r="AP57" i="19" s="1"/>
  <c r="AV56" i="19"/>
  <c r="AY56" i="19"/>
  <c r="M57" i="19"/>
  <c r="I58" i="19" s="1"/>
  <c r="CA56" i="19"/>
  <c r="P57" i="19"/>
  <c r="AD57" i="19"/>
  <c r="AD8" i="15"/>
  <c r="AB10" i="15"/>
  <c r="BP56" i="19"/>
  <c r="BE56" i="19"/>
  <c r="AW419" i="19"/>
  <c r="AC10" i="15" l="1"/>
  <c r="AC11" i="15" s="1"/>
  <c r="AV419" i="19"/>
  <c r="AB11" i="15"/>
  <c r="CB56" i="19"/>
  <c r="Q57" i="19"/>
  <c r="K58" i="19"/>
  <c r="L58" i="19" s="1"/>
  <c r="AR57" i="19" a="1"/>
  <c r="AR57" i="19" s="1"/>
  <c r="BG56" i="19"/>
  <c r="AF57" i="19" a="1"/>
  <c r="AF57" i="19" s="1"/>
  <c r="AY419" i="19"/>
  <c r="AD10" i="15" l="1"/>
  <c r="AD11" i="15" s="1"/>
  <c r="V58" i="19"/>
  <c r="N58" i="19"/>
  <c r="M58" i="19"/>
  <c r="I59" i="19" s="1"/>
  <c r="AC12" i="15"/>
  <c r="AD12" i="15" s="1"/>
  <c r="W57" i="19"/>
  <c r="K59" i="19" l="1"/>
  <c r="Y57" i="19"/>
  <c r="AG57" i="19"/>
  <c r="X57" i="19"/>
  <c r="S58" i="19" s="1"/>
  <c r="Z57" i="19"/>
  <c r="O58" i="19" a="1"/>
  <c r="O58" i="19" s="1"/>
  <c r="AA57" i="19" l="1"/>
  <c r="BL57" i="19"/>
  <c r="P58" i="19"/>
  <c r="L59" i="19"/>
  <c r="M59" i="19" s="1"/>
  <c r="I60" i="19" s="1"/>
  <c r="BM57" i="19"/>
  <c r="U58" i="19" a="1"/>
  <c r="U58" i="19" s="1"/>
  <c r="K60" i="19" l="1"/>
  <c r="L60" i="19" s="1"/>
  <c r="AB57" i="19"/>
  <c r="Q58" i="19"/>
  <c r="V59" i="19"/>
  <c r="N59" i="19"/>
  <c r="O59" i="19" s="1" a="1"/>
  <c r="O59" i="19" s="1"/>
  <c r="BZ57" i="19"/>
  <c r="AH57" i="19" l="1"/>
  <c r="P59" i="19"/>
  <c r="W58" i="19"/>
  <c r="N60" i="19"/>
  <c r="V60" i="19"/>
  <c r="M60" i="19"/>
  <c r="I61" i="19" s="1"/>
  <c r="K61" i="19" l="1"/>
  <c r="Q59" i="19"/>
  <c r="O60" i="19" a="1"/>
  <c r="O60" i="19" s="1"/>
  <c r="AG58" i="19"/>
  <c r="Y58" i="19"/>
  <c r="Z58" i="19"/>
  <c r="X58" i="19"/>
  <c r="S59" i="19" s="1"/>
  <c r="AS57" i="19"/>
  <c r="AK57" i="19"/>
  <c r="AJ57" i="19"/>
  <c r="AL57" i="19"/>
  <c r="AI57" i="19"/>
  <c r="AM57" i="19" l="1"/>
  <c r="BN57" i="19"/>
  <c r="U59" i="19" a="1"/>
  <c r="U59" i="19" s="1"/>
  <c r="W59" i="19" s="1"/>
  <c r="BM58" i="19"/>
  <c r="L61" i="19"/>
  <c r="M61" i="19" s="1"/>
  <c r="I62" i="19" s="1"/>
  <c r="AA58" i="19"/>
  <c r="BL58" i="19"/>
  <c r="P60" i="19"/>
  <c r="AD58" i="19"/>
  <c r="BO57" i="19"/>
  <c r="AF58" i="19" l="1" a="1"/>
  <c r="AF58" i="19" s="1"/>
  <c r="Q60" i="19"/>
  <c r="N61" i="19"/>
  <c r="V61" i="19"/>
  <c r="K62" i="19"/>
  <c r="L62" i="19" s="1"/>
  <c r="AB58" i="19"/>
  <c r="Y59" i="19"/>
  <c r="AG59" i="19"/>
  <c r="Z59" i="19"/>
  <c r="X59" i="19"/>
  <c r="S60" i="19" s="1"/>
  <c r="CA57" i="19"/>
  <c r="BZ58" i="19"/>
  <c r="AN57" i="19"/>
  <c r="V62" i="19" l="1"/>
  <c r="N62" i="19"/>
  <c r="O62" i="19" s="1" a="1"/>
  <c r="O62" i="19" s="1"/>
  <c r="BM59" i="19"/>
  <c r="AT57" i="19"/>
  <c r="BL59" i="19"/>
  <c r="AA59" i="19"/>
  <c r="U60" i="19" a="1"/>
  <c r="U60" i="19" s="1"/>
  <c r="M62" i="19"/>
  <c r="I63" i="19" s="1"/>
  <c r="AH58" i="19"/>
  <c r="O61" i="19" a="1"/>
  <c r="O61" i="19" s="1"/>
  <c r="P61" i="19" s="1"/>
  <c r="Q61" i="19" l="1"/>
  <c r="AB59" i="19"/>
  <c r="AU57" i="19"/>
  <c r="AP58" i="19" s="1"/>
  <c r="AX57" i="19"/>
  <c r="AV57" i="19"/>
  <c r="AW57" i="19"/>
  <c r="K63" i="19"/>
  <c r="L63" i="19" s="1"/>
  <c r="AS58" i="19"/>
  <c r="AK58" i="19"/>
  <c r="AJ58" i="19"/>
  <c r="AL58" i="19"/>
  <c r="AI58" i="19"/>
  <c r="BZ59" i="19"/>
  <c r="P62" i="19"/>
  <c r="Q62" i="19" s="1"/>
  <c r="W60" i="19"/>
  <c r="M63" i="19" l="1"/>
  <c r="I64" i="19" s="1"/>
  <c r="K64" i="19" s="1"/>
  <c r="AM58" i="19"/>
  <c r="BN58" i="19"/>
  <c r="AH59" i="19"/>
  <c r="BQ57" i="19"/>
  <c r="BP57" i="19"/>
  <c r="AY57" i="19"/>
  <c r="BO58" i="19"/>
  <c r="AR58" i="19" a="1"/>
  <c r="AR58" i="19" s="1"/>
  <c r="Y60" i="19"/>
  <c r="AG60" i="19"/>
  <c r="Z60" i="19"/>
  <c r="AD59" i="19"/>
  <c r="N63" i="19"/>
  <c r="V63" i="19"/>
  <c r="X60" i="19"/>
  <c r="S61" i="19" s="1"/>
  <c r="L64" i="19" l="1"/>
  <c r="V64" i="19" s="1"/>
  <c r="AL59" i="19"/>
  <c r="AF59" i="19" a="1"/>
  <c r="AF59" i="19" s="1"/>
  <c r="U61" i="19" a="1"/>
  <c r="U61" i="19" s="1"/>
  <c r="W61" i="19" s="1"/>
  <c r="BM60" i="19"/>
  <c r="AK59" i="19"/>
  <c r="AJ59" i="19"/>
  <c r="AS59" i="19"/>
  <c r="CA58" i="19"/>
  <c r="CB57" i="19"/>
  <c r="AZ57" i="19"/>
  <c r="O63" i="19" a="1"/>
  <c r="O63" i="19" s="1"/>
  <c r="P63" i="19" s="1"/>
  <c r="Q63" i="19" s="1"/>
  <c r="AA60" i="19"/>
  <c r="BL60" i="19"/>
  <c r="AN58" i="19"/>
  <c r="M64" i="19" l="1"/>
  <c r="I65" i="19" s="1"/>
  <c r="K65" i="19" s="1"/>
  <c r="N64" i="19"/>
  <c r="O64" i="19" s="1" a="1"/>
  <c r="O64" i="19" s="1"/>
  <c r="P64" i="19" s="1"/>
  <c r="Q64" i="19" s="1"/>
  <c r="AT58" i="19"/>
  <c r="Y61" i="19"/>
  <c r="AG61" i="19"/>
  <c r="BN59" i="19"/>
  <c r="AM59" i="19"/>
  <c r="BZ60" i="19"/>
  <c r="X61" i="19"/>
  <c r="S62" i="19" s="1"/>
  <c r="AB60" i="19"/>
  <c r="Z61" i="19"/>
  <c r="BO59" i="19"/>
  <c r="BC57" i="19"/>
  <c r="BB57" i="19" s="1"/>
  <c r="AI59" i="19"/>
  <c r="L65" i="19" l="1"/>
  <c r="M65" i="19" s="1"/>
  <c r="I66" i="19" s="1"/>
  <c r="AN59" i="19"/>
  <c r="U62" i="19" a="1"/>
  <c r="U62" i="19" s="1"/>
  <c r="W62" i="19" s="1"/>
  <c r="Z62" i="19" s="1"/>
  <c r="BM62" i="19" s="1"/>
  <c r="CA59" i="19"/>
  <c r="BF57" i="19"/>
  <c r="AD60" i="19"/>
  <c r="BM61" i="19"/>
  <c r="BE57" i="19"/>
  <c r="AA61" i="19"/>
  <c r="BL61" i="19"/>
  <c r="AW58" i="19"/>
  <c r="AV58" i="19"/>
  <c r="AX58" i="19"/>
  <c r="AU58" i="19"/>
  <c r="AP59" i="19" s="1"/>
  <c r="AH60" i="19"/>
  <c r="V65" i="19" l="1"/>
  <c r="N65" i="19"/>
  <c r="O65" i="19" s="1" a="1"/>
  <c r="O65" i="19" s="1"/>
  <c r="K66" i="19"/>
  <c r="L66" i="19" s="1"/>
  <c r="X62" i="19"/>
  <c r="S63" i="19" s="1"/>
  <c r="U63" i="19" s="1" a="1"/>
  <c r="U63" i="19" s="1"/>
  <c r="W63" i="19" s="1"/>
  <c r="BQ58" i="19"/>
  <c r="BG57" i="19"/>
  <c r="BP58" i="19"/>
  <c r="AY58" i="19"/>
  <c r="BZ61" i="19"/>
  <c r="AF60" i="19" a="1"/>
  <c r="AF60" i="19" s="1"/>
  <c r="AL60" i="19"/>
  <c r="AB61" i="19"/>
  <c r="AG62" i="19"/>
  <c r="Y62" i="19"/>
  <c r="AR59" i="19" a="1"/>
  <c r="AR59" i="19" s="1"/>
  <c r="AT59" i="19" s="1"/>
  <c r="AX59" i="19" s="1"/>
  <c r="AS60" i="19"/>
  <c r="AK60" i="19"/>
  <c r="AJ60" i="19"/>
  <c r="P65" i="19" l="1"/>
  <c r="Q65" i="19" s="1"/>
  <c r="N66" i="19"/>
  <c r="O66" i="19" s="1" a="1"/>
  <c r="O66" i="19" s="1"/>
  <c r="P66" i="19" s="1"/>
  <c r="Q66" i="19" s="1"/>
  <c r="V66" i="19"/>
  <c r="M66" i="19"/>
  <c r="I67" i="19" s="1"/>
  <c r="Y63" i="19"/>
  <c r="AG63" i="19"/>
  <c r="Z63" i="19"/>
  <c r="BM63" i="19" s="1"/>
  <c r="X63" i="19"/>
  <c r="S64" i="19" s="1"/>
  <c r="BQ59" i="19"/>
  <c r="BN60" i="19"/>
  <c r="AM60" i="19"/>
  <c r="AH61" i="19"/>
  <c r="CB58" i="19"/>
  <c r="BO60" i="19"/>
  <c r="AV59" i="19"/>
  <c r="AW59" i="19"/>
  <c r="BL62" i="19"/>
  <c r="BZ62" i="19" s="1"/>
  <c r="AA62" i="19"/>
  <c r="AB62" i="19" s="1"/>
  <c r="AH62" i="19" s="1"/>
  <c r="AS62" i="19" s="1"/>
  <c r="AU59" i="19"/>
  <c r="AP60" i="19" s="1"/>
  <c r="AI60" i="19"/>
  <c r="AZ58" i="19"/>
  <c r="K67" i="19" l="1"/>
  <c r="L67" i="19" s="1"/>
  <c r="AR60" i="19" a="1"/>
  <c r="AR60" i="19" s="1"/>
  <c r="AK62" i="19"/>
  <c r="AS61" i="19"/>
  <c r="AJ61" i="19"/>
  <c r="AK61" i="19"/>
  <c r="U64" i="19" a="1"/>
  <c r="U64" i="19" s="1"/>
  <c r="W64" i="19" s="1"/>
  <c r="X64" i="19" s="1"/>
  <c r="S65" i="19" s="1"/>
  <c r="AD61" i="19"/>
  <c r="BP59" i="19"/>
  <c r="AY59" i="19"/>
  <c r="AN60" i="19"/>
  <c r="AJ62" i="19"/>
  <c r="CA60" i="19"/>
  <c r="BC58" i="19"/>
  <c r="AA63" i="19"/>
  <c r="AB63" i="19" s="1"/>
  <c r="AH63" i="19" s="1"/>
  <c r="AS63" i="19" s="1"/>
  <c r="BL63" i="19"/>
  <c r="BZ63" i="19" s="1"/>
  <c r="AK63" i="19" l="1"/>
  <c r="BN63" i="19" s="1"/>
  <c r="V67" i="19"/>
  <c r="N67" i="19"/>
  <c r="O67" i="19" s="1" a="1"/>
  <c r="O67" i="19" s="1"/>
  <c r="P67" i="19" s="1"/>
  <c r="Q67" i="19" s="1"/>
  <c r="M67" i="19"/>
  <c r="U65" i="19" a="1"/>
  <c r="U65" i="19" s="1"/>
  <c r="W65" i="19" s="1"/>
  <c r="BN62" i="19"/>
  <c r="BF58" i="19"/>
  <c r="AG64" i="19"/>
  <c r="Y64" i="19"/>
  <c r="Z64" i="19"/>
  <c r="BM64" i="19" s="1"/>
  <c r="AT60" i="19"/>
  <c r="AJ63" i="19"/>
  <c r="AZ59" i="19"/>
  <c r="AL61" i="19"/>
  <c r="AM61" i="19" s="1"/>
  <c r="AF61" i="19" a="1"/>
  <c r="AF61" i="19" s="1"/>
  <c r="BB58" i="19"/>
  <c r="CB59" i="19"/>
  <c r="BN61" i="19"/>
  <c r="I68" i="19" l="1"/>
  <c r="M420" i="19" a="1"/>
  <c r="M420" i="19" s="1"/>
  <c r="AG65" i="19"/>
  <c r="Y65" i="19"/>
  <c r="Z65" i="19"/>
  <c r="BM65" i="19" s="1"/>
  <c r="BE58" i="19"/>
  <c r="BC59" i="19"/>
  <c r="BB59" i="19" s="1"/>
  <c r="BE59" i="19" s="1"/>
  <c r="BL64" i="19"/>
  <c r="BZ64" i="19" s="1"/>
  <c r="AA64" i="19"/>
  <c r="AB64" i="19" s="1"/>
  <c r="AH64" i="19" s="1"/>
  <c r="AJ64" i="19" s="1"/>
  <c r="AN61" i="19"/>
  <c r="X65" i="19"/>
  <c r="S66" i="19" s="1"/>
  <c r="BO61" i="19"/>
  <c r="CA61" i="19" s="1"/>
  <c r="AW60" i="19"/>
  <c r="AV60" i="19"/>
  <c r="AX60" i="19"/>
  <c r="AI61" i="19"/>
  <c r="AD62" i="19" s="1"/>
  <c r="AU60" i="19"/>
  <c r="AP61" i="19" s="1"/>
  <c r="AK64" i="19" l="1"/>
  <c r="BN64" i="19" s="1"/>
  <c r="AS64" i="19"/>
  <c r="K68" i="19"/>
  <c r="L68" i="19" s="1"/>
  <c r="I424" i="19"/>
  <c r="AR61" i="19" a="1"/>
  <c r="AR61" i="19" s="1"/>
  <c r="U66" i="19" a="1"/>
  <c r="U66" i="19" s="1"/>
  <c r="W66" i="19" s="1"/>
  <c r="BF59" i="19"/>
  <c r="BG59" i="19" s="1"/>
  <c r="BQ60" i="19"/>
  <c r="AL62" i="19"/>
  <c r="AF62" i="19" a="1"/>
  <c r="AF62" i="19" s="1"/>
  <c r="AI62" i="19" s="1"/>
  <c r="AD63" i="19" s="1"/>
  <c r="AY60" i="19"/>
  <c r="BP60" i="19"/>
  <c r="AA65" i="19"/>
  <c r="AB65" i="19" s="1"/>
  <c r="AH65" i="19" s="1"/>
  <c r="AJ65" i="19" s="1"/>
  <c r="BL65" i="19"/>
  <c r="BZ65" i="19" s="1"/>
  <c r="BG58" i="19"/>
  <c r="AK65" i="19" l="1"/>
  <c r="BN65" i="19" s="1"/>
  <c r="N68" i="19"/>
  <c r="O68" i="19" s="1" a="1"/>
  <c r="O68" i="19" s="1"/>
  <c r="P68" i="19" s="1"/>
  <c r="AS65" i="19"/>
  <c r="V68" i="19"/>
  <c r="M68" i="19"/>
  <c r="I69" i="19" s="1"/>
  <c r="AG66" i="19"/>
  <c r="Y66" i="19"/>
  <c r="X66" i="19"/>
  <c r="S67" i="19" s="1"/>
  <c r="Z66" i="19"/>
  <c r="BM66" i="19" s="1"/>
  <c r="BO62" i="19"/>
  <c r="CA62" i="19" s="1"/>
  <c r="AM62" i="19"/>
  <c r="AN62" i="19" s="1"/>
  <c r="AT61" i="19"/>
  <c r="AU61" i="19" s="1"/>
  <c r="AP62" i="19" s="1"/>
  <c r="AL63" i="19"/>
  <c r="AF63" i="19" a="1"/>
  <c r="AF63" i="19" s="1"/>
  <c r="AI63" i="19" s="1"/>
  <c r="AD64" i="19" s="1"/>
  <c r="CB60" i="19"/>
  <c r="AZ60" i="19"/>
  <c r="K69" i="19" l="1"/>
  <c r="AF64" i="19" a="1"/>
  <c r="AF64" i="19" s="1"/>
  <c r="AI64" i="19" s="1"/>
  <c r="AD65" i="19" s="1"/>
  <c r="AL64" i="19"/>
  <c r="AR62" i="19" a="1"/>
  <c r="AR62" i="19" s="1"/>
  <c r="AT62" i="19" s="1"/>
  <c r="BC60" i="19"/>
  <c r="BB60" i="19" s="1"/>
  <c r="AW61" i="19"/>
  <c r="AV61" i="19"/>
  <c r="AX61" i="19"/>
  <c r="U67" i="19" a="1"/>
  <c r="U67" i="19" s="1"/>
  <c r="W67" i="19" s="1"/>
  <c r="BO63" i="19"/>
  <c r="CA63" i="19" s="1"/>
  <c r="AM63" i="19"/>
  <c r="AN63" i="19" s="1"/>
  <c r="AA66" i="19"/>
  <c r="AB66" i="19" s="1"/>
  <c r="AH66" i="19" s="1"/>
  <c r="AK66" i="19" s="1"/>
  <c r="BL66" i="19"/>
  <c r="BZ66" i="19" s="1"/>
  <c r="Q68" i="19"/>
  <c r="L69" i="19" l="1"/>
  <c r="X67" i="19"/>
  <c r="BN66" i="19"/>
  <c r="AF65" i="19" a="1"/>
  <c r="AF65" i="19" s="1"/>
  <c r="AI65" i="19" s="1"/>
  <c r="AD66" i="19" s="1"/>
  <c r="AL65" i="19"/>
  <c r="BQ61" i="19"/>
  <c r="BE60" i="19"/>
  <c r="AV62" i="19"/>
  <c r="AW62" i="19"/>
  <c r="AS66" i="19"/>
  <c r="AU62" i="19"/>
  <c r="AP63" i="19" s="1"/>
  <c r="AJ66" i="19"/>
  <c r="AX62" i="19"/>
  <c r="AG67" i="19"/>
  <c r="Y67" i="19"/>
  <c r="AY61" i="19"/>
  <c r="BP61" i="19"/>
  <c r="BO64" i="19"/>
  <c r="CA64" i="19" s="1"/>
  <c r="AM64" i="19"/>
  <c r="AN64" i="19" s="1"/>
  <c r="Z67" i="19"/>
  <c r="BM67" i="19" s="1"/>
  <c r="BF60" i="19"/>
  <c r="O69" i="19" l="1" a="1"/>
  <c r="O69" i="19" s="1"/>
  <c r="M69" i="19"/>
  <c r="I70" i="19" s="1"/>
  <c r="V69" i="19"/>
  <c r="N69" i="19"/>
  <c r="S68" i="19"/>
  <c r="X420" i="19" a="1"/>
  <c r="X420" i="19" s="1"/>
  <c r="AL66" i="19"/>
  <c r="AF66" i="19" a="1"/>
  <c r="AF66" i="19" s="1"/>
  <c r="AI66" i="19" s="1"/>
  <c r="AD67" i="19" s="1"/>
  <c r="BL67" i="19"/>
  <c r="BZ67" i="19" s="1"/>
  <c r="AA67" i="19"/>
  <c r="AB67" i="19" s="1"/>
  <c r="AH67" i="19" s="1"/>
  <c r="AK67" i="19" s="1"/>
  <c r="AR63" i="19" a="1"/>
  <c r="AR63" i="19" s="1"/>
  <c r="AT63" i="19" s="1"/>
  <c r="AY62" i="19"/>
  <c r="AZ62" i="19" s="1"/>
  <c r="BP62" i="19"/>
  <c r="CB61" i="19"/>
  <c r="BG60" i="19"/>
  <c r="BO65" i="19"/>
  <c r="CA65" i="19" s="1"/>
  <c r="AM65" i="19"/>
  <c r="AN65" i="19" s="1"/>
  <c r="BQ62" i="19"/>
  <c r="AZ61" i="19"/>
  <c r="P69" i="19" l="1"/>
  <c r="Q69" i="19" s="1"/>
  <c r="K70" i="19"/>
  <c r="L70" i="19" s="1"/>
  <c r="U68" i="19" a="1"/>
  <c r="U68" i="19" s="1"/>
  <c r="S424" i="19"/>
  <c r="AJ67" i="19"/>
  <c r="AU63" i="19"/>
  <c r="AP64" i="19" s="1"/>
  <c r="AR64" i="19" s="1" a="1"/>
  <c r="AR64" i="19" s="1"/>
  <c r="BN67" i="19"/>
  <c r="AW63" i="19"/>
  <c r="AV63" i="19"/>
  <c r="BC61" i="19"/>
  <c r="BB61" i="19" s="1"/>
  <c r="CB62" i="19"/>
  <c r="BC62" i="19"/>
  <c r="BF62" i="19" s="1"/>
  <c r="AS67" i="19"/>
  <c r="BO66" i="19"/>
  <c r="CA66" i="19" s="1"/>
  <c r="AM66" i="19"/>
  <c r="AN66" i="19" s="1"/>
  <c r="AX63" i="19"/>
  <c r="AL67" i="19"/>
  <c r="BO67" i="19" s="1"/>
  <c r="AF67" i="19" a="1"/>
  <c r="AF67" i="19" s="1"/>
  <c r="AI67" i="19" s="1"/>
  <c r="O70" i="19" l="1" a="1"/>
  <c r="O70" i="19" s="1"/>
  <c r="M70" i="19"/>
  <c r="I71" i="19" s="1"/>
  <c r="N70" i="19"/>
  <c r="V70" i="19"/>
  <c r="W68" i="19"/>
  <c r="X68" i="19" s="1"/>
  <c r="S69" i="19" s="1"/>
  <c r="U69" i="19" s="1" a="1"/>
  <c r="U69" i="19" s="1"/>
  <c r="W69" i="19" s="1"/>
  <c r="AM67" i="19"/>
  <c r="AN67" i="19" s="1"/>
  <c r="BB62" i="19"/>
  <c r="BE62" i="19" s="1"/>
  <c r="BG62" i="19" s="1"/>
  <c r="CA67" i="19"/>
  <c r="AD68" i="19"/>
  <c r="AI420" i="19" a="1"/>
  <c r="AI420" i="19" s="1"/>
  <c r="BF61" i="19"/>
  <c r="AT64" i="19"/>
  <c r="AY63" i="19"/>
  <c r="AZ63" i="19" s="1"/>
  <c r="BP63" i="19"/>
  <c r="BE61" i="19"/>
  <c r="BQ63" i="19"/>
  <c r="K71" i="19" l="1"/>
  <c r="L71" i="19" s="1"/>
  <c r="P70" i="19"/>
  <c r="Q70" i="19" s="1"/>
  <c r="Y68" i="19"/>
  <c r="AG68" i="19"/>
  <c r="Z68" i="19"/>
  <c r="BM68" i="19" s="1"/>
  <c r="CB63" i="19"/>
  <c r="Y69" i="19"/>
  <c r="AG69" i="19"/>
  <c r="Z69" i="19"/>
  <c r="AV64" i="19"/>
  <c r="AW64" i="19"/>
  <c r="AX64" i="19"/>
  <c r="BG61" i="19"/>
  <c r="BC63" i="19"/>
  <c r="BF63" i="19" s="1"/>
  <c r="AU64" i="19"/>
  <c r="AP65" i="19" s="1"/>
  <c r="X69" i="19"/>
  <c r="S70" i="19" s="1"/>
  <c r="AF68" i="19" a="1"/>
  <c r="AF68" i="19" s="1"/>
  <c r="AD424" i="19"/>
  <c r="V71" i="19" l="1"/>
  <c r="N71" i="19"/>
  <c r="M71" i="19"/>
  <c r="I72" i="19" s="1"/>
  <c r="O71" i="19" a="1"/>
  <c r="O71" i="19" s="1"/>
  <c r="AA68" i="19"/>
  <c r="AB68" i="19" s="1"/>
  <c r="AH68" i="19" s="1"/>
  <c r="BL68" i="19"/>
  <c r="BZ68" i="19" s="1"/>
  <c r="AR65" i="19" a="1"/>
  <c r="AR65" i="19" s="1"/>
  <c r="BM69" i="19"/>
  <c r="BB63" i="19"/>
  <c r="BQ64" i="19"/>
  <c r="BL69" i="19"/>
  <c r="AA69" i="19"/>
  <c r="U70" i="19" a="1"/>
  <c r="U70" i="19" s="1"/>
  <c r="AY64" i="19"/>
  <c r="AZ64" i="19" s="1"/>
  <c r="BP64" i="19"/>
  <c r="K72" i="19" l="1"/>
  <c r="L72" i="19" s="1"/>
  <c r="O72" i="19" s="1" a="1"/>
  <c r="O72" i="19" s="1"/>
  <c r="P71" i="19"/>
  <c r="Q71" i="19" s="1"/>
  <c r="CB64" i="19"/>
  <c r="AT65" i="19"/>
  <c r="BC64" i="19"/>
  <c r="BF64" i="19" s="1"/>
  <c r="BZ69" i="19"/>
  <c r="BE63" i="19"/>
  <c r="AS68" i="19"/>
  <c r="AJ68" i="19"/>
  <c r="AK68" i="19"/>
  <c r="AL68" i="19"/>
  <c r="AB69" i="19"/>
  <c r="W70" i="19"/>
  <c r="AI68" i="19"/>
  <c r="AD69" i="19" s="1"/>
  <c r="V72" i="19" l="1"/>
  <c r="M72" i="19"/>
  <c r="I73" i="19" s="1"/>
  <c r="K73" i="19" s="1"/>
  <c r="L73" i="19" s="1"/>
  <c r="N72" i="19"/>
  <c r="P72" i="19" s="1"/>
  <c r="Q72" i="19" s="1"/>
  <c r="BB64" i="19"/>
  <c r="BE64" i="19" s="1"/>
  <c r="BG64" i="19" s="1"/>
  <c r="AF69" i="19" a="1"/>
  <c r="AF69" i="19" s="1"/>
  <c r="Y70" i="19"/>
  <c r="AG70" i="19"/>
  <c r="Z70" i="19"/>
  <c r="X70" i="19"/>
  <c r="S71" i="19" s="1"/>
  <c r="AH69" i="19"/>
  <c r="AL69" i="19" s="1"/>
  <c r="BO68" i="19"/>
  <c r="BN68" i="19"/>
  <c r="AM68" i="19"/>
  <c r="BG63" i="19"/>
  <c r="AW65" i="19"/>
  <c r="AV65" i="19"/>
  <c r="AX65" i="19"/>
  <c r="AU65" i="19"/>
  <c r="AP66" i="19" s="1"/>
  <c r="O73" i="19" l="1" a="1"/>
  <c r="O73" i="19" s="1"/>
  <c r="M73" i="19"/>
  <c r="I74" i="19" s="1"/>
  <c r="N73" i="19"/>
  <c r="V73" i="19"/>
  <c r="AI69" i="19"/>
  <c r="AD70" i="19" s="1"/>
  <c r="AF70" i="19" s="1" a="1"/>
  <c r="AF70" i="19" s="1"/>
  <c r="BO69" i="19"/>
  <c r="AR66" i="19" a="1"/>
  <c r="AR66" i="19" s="1"/>
  <c r="AT66" i="19" s="1"/>
  <c r="AN68" i="19"/>
  <c r="BL70" i="19"/>
  <c r="AA70" i="19"/>
  <c r="CA68" i="19"/>
  <c r="BQ65" i="19"/>
  <c r="AY65" i="19"/>
  <c r="AZ65" i="19" s="1"/>
  <c r="BP65" i="19"/>
  <c r="U71" i="19" a="1"/>
  <c r="U71" i="19" s="1"/>
  <c r="W71" i="19" s="1"/>
  <c r="BM70" i="19"/>
  <c r="AJ69" i="19"/>
  <c r="AS69" i="19"/>
  <c r="AK69" i="19"/>
  <c r="P73" i="19" l="1"/>
  <c r="Q73" i="19" s="1"/>
  <c r="K74" i="19"/>
  <c r="CB65" i="19"/>
  <c r="AU66" i="19"/>
  <c r="AP67" i="19" s="1"/>
  <c r="AR67" i="19" s="1" a="1"/>
  <c r="AR67" i="19" s="1"/>
  <c r="AT67" i="19" s="1"/>
  <c r="AX66" i="19"/>
  <c r="BQ66" i="19" s="1"/>
  <c r="Y71" i="19"/>
  <c r="AG71" i="19"/>
  <c r="Z71" i="19"/>
  <c r="X71" i="19"/>
  <c r="S72" i="19" s="1"/>
  <c r="AW66" i="19"/>
  <c r="AV66" i="19"/>
  <c r="BC65" i="19"/>
  <c r="BF65" i="19" s="1"/>
  <c r="AM69" i="19"/>
  <c r="BN69" i="19"/>
  <c r="AB70" i="19"/>
  <c r="BZ70" i="19"/>
  <c r="L74" i="19" l="1"/>
  <c r="AW67" i="19"/>
  <c r="AV67" i="19"/>
  <c r="AX67" i="19"/>
  <c r="AU67" i="19"/>
  <c r="AH70" i="19"/>
  <c r="BB65" i="19"/>
  <c r="BE65" i="19" s="1"/>
  <c r="BG65" i="19" s="1"/>
  <c r="BM71" i="19"/>
  <c r="AY66" i="19"/>
  <c r="AZ66" i="19" s="1"/>
  <c r="BP66" i="19"/>
  <c r="CB66" i="19" s="1"/>
  <c r="AN69" i="19"/>
  <c r="AA71" i="19"/>
  <c r="BL71" i="19"/>
  <c r="CA69" i="19"/>
  <c r="U72" i="19" a="1"/>
  <c r="U72" i="19" s="1"/>
  <c r="W72" i="19" s="1"/>
  <c r="V74" i="19" l="1"/>
  <c r="N74" i="19"/>
  <c r="O74" i="19" a="1"/>
  <c r="O74" i="19" s="1"/>
  <c r="M74" i="19"/>
  <c r="I75" i="19" s="1"/>
  <c r="K75" i="19" s="1"/>
  <c r="X72" i="19"/>
  <c r="S73" i="19" s="1"/>
  <c r="U73" i="19" s="1" a="1"/>
  <c r="U73" i="19" s="1"/>
  <c r="W73" i="19" s="1"/>
  <c r="X73" i="19" s="1"/>
  <c r="S74" i="19" s="1"/>
  <c r="BZ71" i="19"/>
  <c r="AP68" i="19"/>
  <c r="AU420" i="19" a="1"/>
  <c r="AU420" i="19" s="1"/>
  <c r="Y72" i="19"/>
  <c r="AG72" i="19"/>
  <c r="AB71" i="19"/>
  <c r="BC66" i="19"/>
  <c r="BF66" i="19" s="1"/>
  <c r="AS70" i="19"/>
  <c r="AL70" i="19"/>
  <c r="AJ70" i="19"/>
  <c r="AK70" i="19"/>
  <c r="AI70" i="19"/>
  <c r="AD71" i="19" s="1"/>
  <c r="Z72" i="19"/>
  <c r="BQ67" i="19"/>
  <c r="BP67" i="19"/>
  <c r="AY67" i="19"/>
  <c r="AZ67" i="19" s="1"/>
  <c r="P74" i="19" l="1"/>
  <c r="Q74" i="19" s="1"/>
  <c r="L75" i="19"/>
  <c r="CB67" i="19"/>
  <c r="BB66" i="19"/>
  <c r="BE66" i="19" s="1"/>
  <c r="BG66" i="19" s="1"/>
  <c r="U74" i="19" a="1"/>
  <c r="U74" i="19" s="1"/>
  <c r="BM72" i="19"/>
  <c r="AF71" i="19" a="1"/>
  <c r="AF71" i="19" s="1"/>
  <c r="AG73" i="19"/>
  <c r="Y73" i="19"/>
  <c r="Z73" i="19"/>
  <c r="BM73" i="19" s="1"/>
  <c r="AR68" i="19" a="1"/>
  <c r="AR68" i="19" s="1"/>
  <c r="AT68" i="19" s="1"/>
  <c r="AP424" i="19"/>
  <c r="AM70" i="19"/>
  <c r="BN70" i="19"/>
  <c r="AH71" i="19"/>
  <c r="AL71" i="19" s="1"/>
  <c r="BO71" i="19" s="1"/>
  <c r="BC67" i="19"/>
  <c r="BF67" i="19" s="1"/>
  <c r="BO70" i="19"/>
  <c r="AA72" i="19"/>
  <c r="BL72" i="19"/>
  <c r="O75" i="19" l="1" a="1"/>
  <c r="O75" i="19" s="1"/>
  <c r="V75" i="19"/>
  <c r="N75" i="19"/>
  <c r="M75" i="19"/>
  <c r="I76" i="19" s="1"/>
  <c r="L76" i="19"/>
  <c r="AI71" i="19"/>
  <c r="AD72" i="19" s="1"/>
  <c r="AF72" i="19" s="1" a="1"/>
  <c r="AF72" i="19" s="1"/>
  <c r="AV68" i="19"/>
  <c r="AW68" i="19"/>
  <c r="AX68" i="19"/>
  <c r="BB67" i="19"/>
  <c r="BE67" i="19" s="1"/>
  <c r="BG67" i="19" s="1"/>
  <c r="AU68" i="19"/>
  <c r="AP69" i="19" s="1"/>
  <c r="AA73" i="19"/>
  <c r="AB73" i="19" s="1"/>
  <c r="AH73" i="19" s="1"/>
  <c r="AK73" i="19" s="1"/>
  <c r="BL73" i="19"/>
  <c r="BZ73" i="19" s="1"/>
  <c r="W74" i="19"/>
  <c r="X74" i="19" s="1"/>
  <c r="S75" i="19" s="1"/>
  <c r="AN70" i="19"/>
  <c r="BZ72" i="19"/>
  <c r="AB72" i="19"/>
  <c r="AJ71" i="19"/>
  <c r="AK71" i="19"/>
  <c r="AS71" i="19"/>
  <c r="CA70" i="19"/>
  <c r="P75" i="19" l="1"/>
  <c r="Q75" i="19" s="1"/>
  <c r="N76" i="19"/>
  <c r="V76" i="19"/>
  <c r="K76" i="19"/>
  <c r="M76" i="19" s="1"/>
  <c r="I77" i="19" s="1"/>
  <c r="O76" i="19" a="1"/>
  <c r="O76" i="19" s="1"/>
  <c r="BN73" i="19"/>
  <c r="U75" i="19" a="1"/>
  <c r="U75" i="19" s="1"/>
  <c r="BQ68" i="19"/>
  <c r="AR69" i="19" a="1"/>
  <c r="AR69" i="19" s="1"/>
  <c r="AY68" i="19"/>
  <c r="BP68" i="19"/>
  <c r="AM71" i="19"/>
  <c r="BN71" i="19"/>
  <c r="AH72" i="19"/>
  <c r="Y74" i="19"/>
  <c r="AG74" i="19"/>
  <c r="Z74" i="19"/>
  <c r="BM74" i="19" s="1"/>
  <c r="AJ73" i="19"/>
  <c r="AS73" i="19"/>
  <c r="P76" i="19" l="1"/>
  <c r="Q76" i="19" s="1"/>
  <c r="K77" i="19"/>
  <c r="L80" i="19"/>
  <c r="W75" i="19"/>
  <c r="CB68" i="19"/>
  <c r="AK72" i="19"/>
  <c r="AJ72" i="19"/>
  <c r="AS72" i="19"/>
  <c r="AL72" i="19"/>
  <c r="CA71" i="19"/>
  <c r="AZ68" i="19"/>
  <c r="AI72" i="19"/>
  <c r="AD73" i="19" s="1"/>
  <c r="AN71" i="19"/>
  <c r="AA74" i="19"/>
  <c r="AB74" i="19" s="1"/>
  <c r="AH74" i="19" s="1"/>
  <c r="AS74" i="19" s="1"/>
  <c r="BL74" i="19"/>
  <c r="BZ74" i="19" s="1"/>
  <c r="AT69" i="19"/>
  <c r="L77" i="19" l="1"/>
  <c r="M77" i="19" s="1"/>
  <c r="I78" i="19" s="1"/>
  <c r="N80" i="19"/>
  <c r="V80" i="19"/>
  <c r="AK74" i="19"/>
  <c r="BN74" i="19" s="1"/>
  <c r="AJ74" i="19"/>
  <c r="BO72" i="19"/>
  <c r="AW69" i="19"/>
  <c r="AV69" i="19"/>
  <c r="AU69" i="19"/>
  <c r="AP70" i="19" s="1"/>
  <c r="AX69" i="19"/>
  <c r="AL73" i="19"/>
  <c r="AF73" i="19" a="1"/>
  <c r="AF73" i="19" s="1"/>
  <c r="AI73" i="19" s="1"/>
  <c r="AD74" i="19" s="1"/>
  <c r="AM72" i="19"/>
  <c r="BN72" i="19"/>
  <c r="BC68" i="19"/>
  <c r="BB68" i="19" s="1"/>
  <c r="AG75" i="19"/>
  <c r="Y75" i="19"/>
  <c r="Z75" i="19"/>
  <c r="BM75" i="19" s="1"/>
  <c r="X75" i="19"/>
  <c r="S76" i="19" s="1"/>
  <c r="L421" i="19" l="1"/>
  <c r="O77" i="19" a="1"/>
  <c r="O77" i="19" s="1"/>
  <c r="N77" i="19"/>
  <c r="V77" i="19"/>
  <c r="V421" i="19" s="1"/>
  <c r="K78" i="19"/>
  <c r="M78" i="19" s="1"/>
  <c r="I79" i="19" s="1"/>
  <c r="O78" i="19" a="1"/>
  <c r="O78" i="19" s="1"/>
  <c r="P78" i="19" s="1"/>
  <c r="Q78" i="19" s="1"/>
  <c r="AF74" i="19" a="1"/>
  <c r="AF74" i="19" s="1"/>
  <c r="AI74" i="19" s="1"/>
  <c r="AD75" i="19" s="1"/>
  <c r="AL74" i="19"/>
  <c r="AR70" i="19" a="1"/>
  <c r="AR70" i="19" s="1"/>
  <c r="AT70" i="19" s="1"/>
  <c r="CA72" i="19"/>
  <c r="BQ69" i="19"/>
  <c r="AN72" i="19"/>
  <c r="AY69" i="19"/>
  <c r="BP69" i="19"/>
  <c r="U76" i="19" a="1"/>
  <c r="U76" i="19" s="1"/>
  <c r="W76" i="19" s="1"/>
  <c r="Z76" i="19" s="1"/>
  <c r="BM76" i="19" s="1"/>
  <c r="BL75" i="19"/>
  <c r="BZ75" i="19" s="1"/>
  <c r="AA75" i="19"/>
  <c r="AB75" i="19" s="1"/>
  <c r="AH75" i="19" s="1"/>
  <c r="AS75" i="19" s="1"/>
  <c r="BE68" i="19"/>
  <c r="BF68" i="19"/>
  <c r="BO73" i="19"/>
  <c r="CA73" i="19" s="1"/>
  <c r="AM73" i="19"/>
  <c r="AN73" i="19" s="1"/>
  <c r="P77" i="19" l="1"/>
  <c r="Q77" i="19" s="1"/>
  <c r="N421" i="19"/>
  <c r="K79" i="19"/>
  <c r="M79" i="19" s="1"/>
  <c r="O79" i="19" a="1"/>
  <c r="O79" i="19" s="1"/>
  <c r="P79" i="19" s="1"/>
  <c r="Q79" i="19" s="1"/>
  <c r="AK75" i="19"/>
  <c r="BN75" i="19" s="1"/>
  <c r="AV70" i="19"/>
  <c r="AW70" i="19"/>
  <c r="AX70" i="19"/>
  <c r="AF75" i="19" a="1"/>
  <c r="AF75" i="19" s="1"/>
  <c r="AI75" i="19" s="1"/>
  <c r="AD76" i="19" s="1"/>
  <c r="AL75" i="19"/>
  <c r="BO75" i="19" s="1"/>
  <c r="CB69" i="19"/>
  <c r="BO74" i="19"/>
  <c r="CA74" i="19" s="1"/>
  <c r="AM74" i="19"/>
  <c r="AN74" i="19" s="1"/>
  <c r="AU70" i="19"/>
  <c r="AP71" i="19" s="1"/>
  <c r="AZ69" i="19"/>
  <c r="BG68" i="19"/>
  <c r="AJ75" i="19"/>
  <c r="AG76" i="19"/>
  <c r="Y76" i="19"/>
  <c r="X76" i="19"/>
  <c r="S77" i="19" s="1"/>
  <c r="M421" i="19" l="1" a="1"/>
  <c r="M421" i="19" s="1"/>
  <c r="I80" i="19"/>
  <c r="AF76" i="19" a="1"/>
  <c r="AF76" i="19" s="1"/>
  <c r="BC69" i="19"/>
  <c r="BB69" i="19" s="1"/>
  <c r="BP70" i="19"/>
  <c r="AY70" i="19"/>
  <c r="U77" i="19" a="1"/>
  <c r="U77" i="19" s="1"/>
  <c r="BQ70" i="19"/>
  <c r="BL76" i="19"/>
  <c r="BZ76" i="19" s="1"/>
  <c r="AA76" i="19"/>
  <c r="AB76" i="19" s="1"/>
  <c r="AH76" i="19" s="1"/>
  <c r="AS76" i="19" s="1"/>
  <c r="AR71" i="19" a="1"/>
  <c r="AR71" i="19" s="1"/>
  <c r="AM75" i="19"/>
  <c r="AN75" i="19" s="1"/>
  <c r="CA75" i="19"/>
  <c r="K80" i="19" l="1"/>
  <c r="M80" i="19" s="1"/>
  <c r="I81" i="19" s="1"/>
  <c r="I425" i="19"/>
  <c r="O80" i="19" a="1"/>
  <c r="O80" i="19" s="1"/>
  <c r="P80" i="19" s="1"/>
  <c r="Q80" i="19" s="1"/>
  <c r="L83" i="19"/>
  <c r="AZ70" i="19"/>
  <c r="W77" i="19"/>
  <c r="CB70" i="19"/>
  <c r="AT71" i="19"/>
  <c r="BE69" i="19"/>
  <c r="AK76" i="19"/>
  <c r="BF69" i="19"/>
  <c r="AL76" i="19"/>
  <c r="BO76" i="19" s="1"/>
  <c r="AJ76" i="19"/>
  <c r="AI76" i="19"/>
  <c r="AD77" i="19" s="1"/>
  <c r="K81" i="19" l="1"/>
  <c r="N83" i="19"/>
  <c r="V83" i="19"/>
  <c r="BG69" i="19"/>
  <c r="BC70" i="19"/>
  <c r="BB70" i="19" s="1"/>
  <c r="AM76" i="19"/>
  <c r="AN76" i="19" s="1"/>
  <c r="BN76" i="19"/>
  <c r="CA76" i="19" s="1"/>
  <c r="AF77" i="19" a="1"/>
  <c r="AF77" i="19" s="1"/>
  <c r="AW71" i="19"/>
  <c r="AV71" i="19"/>
  <c r="AX71" i="19"/>
  <c r="AU71" i="19"/>
  <c r="AP72" i="19" s="1"/>
  <c r="AG77" i="19"/>
  <c r="Y77" i="19"/>
  <c r="Z77" i="19"/>
  <c r="BM77" i="19" s="1"/>
  <c r="X77" i="19"/>
  <c r="S78" i="19" s="1"/>
  <c r="L81" i="19" l="1"/>
  <c r="M81" i="19" s="1"/>
  <c r="I82" i="19" s="1"/>
  <c r="BE70" i="19"/>
  <c r="BQ71" i="19"/>
  <c r="BL77" i="19"/>
  <c r="BZ77" i="19" s="1"/>
  <c r="AA77" i="19"/>
  <c r="AB77" i="19" s="1"/>
  <c r="AH77" i="19" s="1"/>
  <c r="AI77" i="19" s="1"/>
  <c r="AD78" i="19" s="1"/>
  <c r="BP71" i="19"/>
  <c r="AY71" i="19"/>
  <c r="BF70" i="19"/>
  <c r="U78" i="19" a="1"/>
  <c r="U78" i="19" s="1"/>
  <c r="W78" i="19" s="1"/>
  <c r="AR72" i="19" a="1"/>
  <c r="AR72" i="19" s="1"/>
  <c r="AT72" i="19" s="1"/>
  <c r="N81" i="19" l="1"/>
  <c r="V81" i="19"/>
  <c r="O81" i="19" a="1"/>
  <c r="O81" i="19" s="1"/>
  <c r="O82" i="19" a="1"/>
  <c r="O82" i="19" s="1"/>
  <c r="P82" i="19" s="1"/>
  <c r="Q82" i="19" s="1"/>
  <c r="K82" i="19"/>
  <c r="M82" i="19" s="1"/>
  <c r="I83" i="19" s="1"/>
  <c r="AK77" i="19"/>
  <c r="BN77" i="19" s="1"/>
  <c r="AV72" i="19"/>
  <c r="AW72" i="19"/>
  <c r="AX72" i="19"/>
  <c r="AG78" i="19"/>
  <c r="Y78" i="19"/>
  <c r="Z78" i="19"/>
  <c r="BM78" i="19" s="1"/>
  <c r="AF78" i="19" a="1"/>
  <c r="AF78" i="19" s="1"/>
  <c r="X78" i="19"/>
  <c r="S79" i="19" s="1"/>
  <c r="CB71" i="19"/>
  <c r="AL77" i="19"/>
  <c r="BO77" i="19" s="1"/>
  <c r="AU72" i="19"/>
  <c r="AP73" i="19" s="1"/>
  <c r="AJ77" i="19"/>
  <c r="AZ71" i="19"/>
  <c r="AS77" i="19"/>
  <c r="BG70" i="19"/>
  <c r="O83" i="19" l="1" a="1"/>
  <c r="O83" i="19" s="1"/>
  <c r="P83" i="19" s="1"/>
  <c r="Q83" i="19" s="1"/>
  <c r="K83" i="19"/>
  <c r="M83" i="19" s="1"/>
  <c r="I84" i="19" s="1"/>
  <c r="P81" i="19"/>
  <c r="Q81" i="19" s="1"/>
  <c r="AR73" i="19" a="1"/>
  <c r="AR73" i="19" s="1"/>
  <c r="AT73" i="19" s="1"/>
  <c r="AX73" i="19" s="1"/>
  <c r="AA78" i="19"/>
  <c r="AB78" i="19" s="1"/>
  <c r="AH78" i="19" s="1"/>
  <c r="AI78" i="19" s="1"/>
  <c r="AD79" i="19" s="1"/>
  <c r="BL78" i="19"/>
  <c r="BZ78" i="19" s="1"/>
  <c r="U79" i="19" a="1"/>
  <c r="U79" i="19" s="1"/>
  <c r="CA77" i="19"/>
  <c r="AM77" i="19"/>
  <c r="AN77" i="19" s="1"/>
  <c r="BQ72" i="19"/>
  <c r="BC71" i="19"/>
  <c r="BB71" i="19" s="1"/>
  <c r="AY72" i="19"/>
  <c r="BP72" i="19"/>
  <c r="L89" i="19"/>
  <c r="K84" i="19" l="1"/>
  <c r="L84" i="19" s="1"/>
  <c r="O84" i="19" s="1" a="1"/>
  <c r="O84" i="19" s="1"/>
  <c r="L86" i="19"/>
  <c r="AU73" i="19"/>
  <c r="AP74" i="19" s="1"/>
  <c r="AR74" i="19" s="1" a="1"/>
  <c r="AR74" i="19" s="1"/>
  <c r="AT74" i="19" s="1"/>
  <c r="W79" i="19"/>
  <c r="X79" i="19" s="1"/>
  <c r="AF79" i="19" a="1"/>
  <c r="AF79" i="19" s="1"/>
  <c r="BE71" i="19"/>
  <c r="AS78" i="19"/>
  <c r="N89" i="19"/>
  <c r="V89" i="19"/>
  <c r="BF71" i="19"/>
  <c r="AL78" i="19"/>
  <c r="BO78" i="19" s="1"/>
  <c r="CB72" i="19"/>
  <c r="AJ78" i="19"/>
  <c r="AK78" i="19"/>
  <c r="BQ73" i="19"/>
  <c r="AW73" i="19"/>
  <c r="AV73" i="19"/>
  <c r="AZ72" i="19"/>
  <c r="N84" i="19" l="1"/>
  <c r="P84" i="19" s="1"/>
  <c r="Q84" i="19" s="1"/>
  <c r="V84" i="19"/>
  <c r="M84" i="19"/>
  <c r="I85" i="19" s="1"/>
  <c r="N86" i="19"/>
  <c r="V86" i="19"/>
  <c r="Z79" i="19"/>
  <c r="BM79" i="19" s="1"/>
  <c r="Y79" i="19"/>
  <c r="BL79" i="19" s="1"/>
  <c r="AG79" i="19"/>
  <c r="S80" i="19"/>
  <c r="U80" i="19" s="1" a="1"/>
  <c r="U80" i="19" s="1"/>
  <c r="W80" i="19" s="1"/>
  <c r="Z80" i="19" s="1"/>
  <c r="AU74" i="19"/>
  <c r="AP75" i="19" s="1"/>
  <c r="AR75" i="19" s="1" a="1"/>
  <c r="AR75" i="19" s="1"/>
  <c r="AT75" i="19" s="1"/>
  <c r="AW74" i="19"/>
  <c r="AV74" i="19"/>
  <c r="BG71" i="19"/>
  <c r="AM78" i="19"/>
  <c r="AN78" i="19" s="1"/>
  <c r="BN78" i="19"/>
  <c r="CA78" i="19" s="1"/>
  <c r="BC72" i="19"/>
  <c r="BB72" i="19" s="1"/>
  <c r="BP73" i="19"/>
  <c r="CB73" i="19" s="1"/>
  <c r="AY73" i="19"/>
  <c r="AZ73" i="19" s="1"/>
  <c r="AX74" i="19"/>
  <c r="K85" i="19" l="1"/>
  <c r="M85" i="19" s="1"/>
  <c r="I86" i="19" s="1"/>
  <c r="O85" i="19" a="1"/>
  <c r="O85" i="19" s="1"/>
  <c r="P85" i="19" s="1"/>
  <c r="Q85" i="19" s="1"/>
  <c r="L87" i="19"/>
  <c r="BZ79" i="19"/>
  <c r="AA79" i="19"/>
  <c r="AB79" i="19" s="1"/>
  <c r="AH79" i="19" s="1"/>
  <c r="AJ79" i="19" s="1"/>
  <c r="S425" i="19"/>
  <c r="AU75" i="19"/>
  <c r="AP76" i="19" s="1"/>
  <c r="AR76" i="19" s="1" a="1"/>
  <c r="AR76" i="19" s="1"/>
  <c r="AT76" i="19" s="1"/>
  <c r="AU76" i="19" s="1"/>
  <c r="AP77" i="19" s="1"/>
  <c r="BE72" i="19"/>
  <c r="BM80" i="19"/>
  <c r="BF72" i="19"/>
  <c r="AY74" i="19"/>
  <c r="AZ74" i="19" s="1"/>
  <c r="BP74" i="19"/>
  <c r="BQ74" i="19"/>
  <c r="AV75" i="19"/>
  <c r="AW75" i="19"/>
  <c r="AG80" i="19"/>
  <c r="Y80" i="19"/>
  <c r="BC73" i="19"/>
  <c r="BF73" i="19" s="1"/>
  <c r="X80" i="19"/>
  <c r="S81" i="19" s="1"/>
  <c r="AX75" i="19"/>
  <c r="O86" i="19" l="1" a="1"/>
  <c r="O86" i="19" s="1"/>
  <c r="P86" i="19" s="1"/>
  <c r="Q86" i="19" s="1"/>
  <c r="K86" i="19"/>
  <c r="M86" i="19" s="1"/>
  <c r="I87" i="19" s="1"/>
  <c r="N87" i="19"/>
  <c r="V87" i="19"/>
  <c r="AK79" i="19"/>
  <c r="AL79" i="19"/>
  <c r="BO79" i="19" s="1"/>
  <c r="AI79" i="19"/>
  <c r="AS79" i="19"/>
  <c r="CB74" i="19"/>
  <c r="BB73" i="19"/>
  <c r="BE73" i="19" s="1"/>
  <c r="BG73" i="19" s="1"/>
  <c r="AR77" i="19" a="1"/>
  <c r="AR77" i="19" s="1"/>
  <c r="AT77" i="19" s="1"/>
  <c r="BL80" i="19"/>
  <c r="AA80" i="19"/>
  <c r="BQ75" i="19"/>
  <c r="BC74" i="19"/>
  <c r="BF74" i="19" s="1"/>
  <c r="BG72" i="19"/>
  <c r="AV76" i="19"/>
  <c r="AW76" i="19"/>
  <c r="AY75" i="19"/>
  <c r="AZ75" i="19" s="1"/>
  <c r="BP75" i="19"/>
  <c r="U81" i="19" a="1"/>
  <c r="U81" i="19" s="1"/>
  <c r="W81" i="19" s="1"/>
  <c r="Z81" i="19" s="1"/>
  <c r="AX76" i="19"/>
  <c r="O87" i="19" l="1" a="1"/>
  <c r="O87" i="19" s="1"/>
  <c r="P87" i="19" s="1"/>
  <c r="Q87" i="19" s="1"/>
  <c r="K87" i="19"/>
  <c r="M87" i="19" s="1"/>
  <c r="I88" i="19" s="1"/>
  <c r="K88" i="19" s="1"/>
  <c r="L88" i="19" s="1"/>
  <c r="AD80" i="19"/>
  <c r="AM79" i="19"/>
  <c r="AN79" i="19" s="1"/>
  <c r="BN79" i="19"/>
  <c r="CA79" i="19" s="1"/>
  <c r="CB75" i="19"/>
  <c r="BB74" i="19"/>
  <c r="BE74" i="19" s="1"/>
  <c r="BG74" i="19" s="1"/>
  <c r="AW77" i="19"/>
  <c r="AV77" i="19"/>
  <c r="AU77" i="19"/>
  <c r="AP78" i="19" s="1"/>
  <c r="AX77" i="19"/>
  <c r="BM81" i="19"/>
  <c r="BC75" i="19"/>
  <c r="BF75" i="19" s="1"/>
  <c r="BZ80" i="19"/>
  <c r="BQ76" i="19"/>
  <c r="AY76" i="19"/>
  <c r="AZ76" i="19" s="1"/>
  <c r="BP76" i="19"/>
  <c r="X81" i="19"/>
  <c r="S82" i="19" s="1"/>
  <c r="AB80" i="19"/>
  <c r="Y81" i="19"/>
  <c r="AG81" i="19"/>
  <c r="M88" i="19" l="1"/>
  <c r="I89" i="19" s="1"/>
  <c r="O88" i="19" a="1"/>
  <c r="O88" i="19" s="1"/>
  <c r="V88" i="19"/>
  <c r="N88" i="19"/>
  <c r="AF80" i="19" a="1"/>
  <c r="AF80" i="19" s="1"/>
  <c r="AD425" i="19"/>
  <c r="U82" i="19" a="1"/>
  <c r="U82" i="19" s="1"/>
  <c r="W82" i="19" s="1"/>
  <c r="Z82" i="19" s="1"/>
  <c r="BB75" i="19"/>
  <c r="BE75" i="19" s="1"/>
  <c r="BG75" i="19" s="1"/>
  <c r="AH80" i="19"/>
  <c r="CB76" i="19"/>
  <c r="BQ77" i="19"/>
  <c r="BL81" i="19"/>
  <c r="AA81" i="19"/>
  <c r="AR78" i="19" a="1"/>
  <c r="AR78" i="19" s="1"/>
  <c r="BC76" i="19"/>
  <c r="BF76" i="19" s="1"/>
  <c r="AY77" i="19"/>
  <c r="AZ77" i="19" s="1"/>
  <c r="BP77" i="19"/>
  <c r="O89" i="19" l="1" a="1"/>
  <c r="O89" i="19" s="1"/>
  <c r="P89" i="19" s="1"/>
  <c r="Q89" i="19" s="1"/>
  <c r="K89" i="19"/>
  <c r="M89" i="19" s="1"/>
  <c r="I90" i="19" s="1"/>
  <c r="K90" i="19" s="1"/>
  <c r="L90" i="19" s="1"/>
  <c r="P88" i="19"/>
  <c r="Q88" i="19" s="1"/>
  <c r="AI80" i="19"/>
  <c r="AD81" i="19" s="1"/>
  <c r="AF81" i="19" s="1" a="1"/>
  <c r="AF81" i="19" s="1"/>
  <c r="BM82" i="19"/>
  <c r="AB81" i="19"/>
  <c r="BB76" i="19"/>
  <c r="BE76" i="19" s="1"/>
  <c r="BG76" i="19" s="1"/>
  <c r="AK80" i="19"/>
  <c r="AS80" i="19"/>
  <c r="AJ80" i="19"/>
  <c r="AL80" i="19"/>
  <c r="AT78" i="19"/>
  <c r="AU78" i="19" s="1"/>
  <c r="AP79" i="19" s="1"/>
  <c r="BZ81" i="19"/>
  <c r="CB77" i="19"/>
  <c r="Y82" i="19"/>
  <c r="AG82" i="19"/>
  <c r="BC77" i="19"/>
  <c r="BF77" i="19" s="1"/>
  <c r="X82" i="19"/>
  <c r="S83" i="19" s="1"/>
  <c r="O90" i="19" l="1" a="1"/>
  <c r="O90" i="19" s="1"/>
  <c r="V90" i="19"/>
  <c r="N90" i="19"/>
  <c r="M90" i="19"/>
  <c r="I91" i="19" s="1"/>
  <c r="L91" i="19"/>
  <c r="V91" i="19" s="1"/>
  <c r="BB77" i="19"/>
  <c r="BE77" i="19" s="1"/>
  <c r="BG77" i="19" s="1"/>
  <c r="AR79" i="19" a="1"/>
  <c r="AR79" i="19" s="1"/>
  <c r="AT79" i="19" s="1"/>
  <c r="BN80" i="19"/>
  <c r="AM80" i="19"/>
  <c r="AH81" i="19"/>
  <c r="AI81" i="19" s="1"/>
  <c r="AD82" i="19" s="1"/>
  <c r="BL82" i="19"/>
  <c r="AA82" i="19"/>
  <c r="BO80" i="19"/>
  <c r="AW78" i="19"/>
  <c r="AV78" i="19"/>
  <c r="AX78" i="19"/>
  <c r="U83" i="19" a="1"/>
  <c r="U83" i="19" s="1"/>
  <c r="W83" i="19" s="1"/>
  <c r="P90" i="19" l="1"/>
  <c r="Q90" i="19" s="1"/>
  <c r="O91" i="19" a="1"/>
  <c r="O91" i="19" s="1"/>
  <c r="V422" i="19"/>
  <c r="K91" i="19"/>
  <c r="M91" i="19" s="1"/>
  <c r="N91" i="19"/>
  <c r="L422" i="19"/>
  <c r="AG83" i="19"/>
  <c r="Y83" i="19"/>
  <c r="X83" i="19"/>
  <c r="S84" i="19" s="1"/>
  <c r="Z83" i="19"/>
  <c r="AW79" i="19"/>
  <c r="AV79" i="19"/>
  <c r="AX79" i="19"/>
  <c r="BQ78" i="19"/>
  <c r="BZ82" i="19"/>
  <c r="AB82" i="19"/>
  <c r="CA80" i="19"/>
  <c r="AS81" i="19"/>
  <c r="AJ81" i="19"/>
  <c r="AK81" i="19"/>
  <c r="AL81" i="19"/>
  <c r="AU79" i="19"/>
  <c r="AY78" i="19"/>
  <c r="AZ78" i="19" s="1"/>
  <c r="BP78" i="19"/>
  <c r="AN80" i="19"/>
  <c r="AF82" i="19" a="1"/>
  <c r="AF82" i="19" s="1"/>
  <c r="M422" i="19" l="1" a="1"/>
  <c r="M422" i="19" s="1"/>
  <c r="I92" i="19"/>
  <c r="N422" i="19"/>
  <c r="P91" i="19"/>
  <c r="L92" i="19"/>
  <c r="CB78" i="19"/>
  <c r="BQ79" i="19"/>
  <c r="AH82" i="19"/>
  <c r="BM83" i="19"/>
  <c r="BC78" i="19"/>
  <c r="BF78" i="19" s="1"/>
  <c r="AM81" i="19"/>
  <c r="BN81" i="19"/>
  <c r="U84" i="19" a="1"/>
  <c r="U84" i="19" s="1"/>
  <c r="W84" i="19" s="1"/>
  <c r="Z84" i="19" s="1"/>
  <c r="BO81" i="19"/>
  <c r="BP79" i="19"/>
  <c r="AY79" i="19"/>
  <c r="AZ79" i="19" s="1"/>
  <c r="AP80" i="19"/>
  <c r="BL83" i="19"/>
  <c r="AA83" i="19"/>
  <c r="I426" i="19" l="1"/>
  <c r="K92" i="19"/>
  <c r="M92" i="19" s="1"/>
  <c r="I93" i="19" s="1"/>
  <c r="K93" i="19" s="1"/>
  <c r="L93" i="19" s="1"/>
  <c r="Q91" i="19"/>
  <c r="P422" i="19"/>
  <c r="O92" i="19" a="1"/>
  <c r="O92" i="19" s="1"/>
  <c r="N92" i="19"/>
  <c r="V92" i="19"/>
  <c r="CB79" i="19"/>
  <c r="BB78" i="19"/>
  <c r="BE78" i="19" s="1"/>
  <c r="BG78" i="19" s="1"/>
  <c r="X84" i="19"/>
  <c r="S85" i="19" s="1"/>
  <c r="U85" i="19" s="1" a="1"/>
  <c r="U85" i="19" s="1"/>
  <c r="W85" i="19" s="1"/>
  <c r="BM84" i="19"/>
  <c r="CA81" i="19"/>
  <c r="AR80" i="19" a="1"/>
  <c r="AR80" i="19" s="1"/>
  <c r="AT80" i="19" s="1"/>
  <c r="AX80" i="19" s="1"/>
  <c r="AP425" i="19"/>
  <c r="AN81" i="19"/>
  <c r="AS82" i="19"/>
  <c r="AJ82" i="19"/>
  <c r="AK82" i="19"/>
  <c r="AL82" i="19"/>
  <c r="AI82" i="19"/>
  <c r="AD83" i="19" s="1"/>
  <c r="BZ83" i="19"/>
  <c r="AG84" i="19"/>
  <c r="Y84" i="19"/>
  <c r="AB83" i="19"/>
  <c r="BC79" i="19"/>
  <c r="BF79" i="19" s="1"/>
  <c r="V93" i="19" l="1"/>
  <c r="N93" i="19"/>
  <c r="P92" i="19"/>
  <c r="Q92" i="19" s="1"/>
  <c r="O93" i="19" a="1"/>
  <c r="O93" i="19" s="1"/>
  <c r="M93" i="19"/>
  <c r="I94" i="19" s="1"/>
  <c r="AU80" i="19"/>
  <c r="AP81" i="19" s="1"/>
  <c r="AR81" i="19" s="1" a="1"/>
  <c r="AR81" i="19" s="1"/>
  <c r="AT81" i="19" s="1"/>
  <c r="BB79" i="19"/>
  <c r="BE79" i="19" s="1"/>
  <c r="BG79" i="19" s="1"/>
  <c r="Y85" i="19"/>
  <c r="AG85" i="19"/>
  <c r="Z85" i="19"/>
  <c r="BM85" i="19" s="1"/>
  <c r="AH83" i="19"/>
  <c r="AL83" i="19" s="1"/>
  <c r="BO83" i="19" s="1"/>
  <c r="AF83" i="19" a="1"/>
  <c r="AF83" i="19" s="1"/>
  <c r="AV80" i="19"/>
  <c r="AW80" i="19"/>
  <c r="BO82" i="19"/>
  <c r="X85" i="19"/>
  <c r="S86" i="19" s="1"/>
  <c r="AM82" i="19"/>
  <c r="BN82" i="19"/>
  <c r="BL84" i="19"/>
  <c r="AA84" i="19"/>
  <c r="BQ80" i="19"/>
  <c r="K94" i="19" l="1"/>
  <c r="L94" i="19" s="1"/>
  <c r="P93" i="19"/>
  <c r="Q93" i="19" s="1"/>
  <c r="AI83" i="19"/>
  <c r="AD84" i="19" s="1"/>
  <c r="AF84" i="19" s="1" a="1"/>
  <c r="AF84" i="19" s="1"/>
  <c r="AW81" i="19"/>
  <c r="AV81" i="19"/>
  <c r="AX81" i="19"/>
  <c r="AK83" i="19"/>
  <c r="AS83" i="19"/>
  <c r="AJ83" i="19"/>
  <c r="U86" i="19" a="1"/>
  <c r="U86" i="19" s="1"/>
  <c r="AN82" i="19"/>
  <c r="AY80" i="19"/>
  <c r="BP80" i="19"/>
  <c r="AB84" i="19"/>
  <c r="AU81" i="19"/>
  <c r="AP82" i="19" s="1"/>
  <c r="CA82" i="19"/>
  <c r="BZ84" i="19"/>
  <c r="AA85" i="19"/>
  <c r="AB85" i="19" s="1"/>
  <c r="AH85" i="19" s="1"/>
  <c r="AS85" i="19" s="1"/>
  <c r="BL85" i="19"/>
  <c r="BZ85" i="19" s="1"/>
  <c r="M94" i="19" l="1"/>
  <c r="I95" i="19" s="1"/>
  <c r="K95" i="19" s="1"/>
  <c r="O94" i="19" a="1"/>
  <c r="O94" i="19" s="1"/>
  <c r="V94" i="19"/>
  <c r="N94" i="19"/>
  <c r="W86" i="19"/>
  <c r="X86" i="19" s="1"/>
  <c r="S87" i="19" s="1"/>
  <c r="AJ85" i="19"/>
  <c r="AH84" i="19"/>
  <c r="AK85" i="19"/>
  <c r="CB80" i="19"/>
  <c r="AZ80" i="19"/>
  <c r="AM83" i="19"/>
  <c r="BN83" i="19"/>
  <c r="AR82" i="19" a="1"/>
  <c r="AR82" i="19" s="1"/>
  <c r="AT82" i="19" s="1"/>
  <c r="BQ81" i="19"/>
  <c r="AY81" i="19"/>
  <c r="AZ81" i="19" s="1"/>
  <c r="BP81" i="19"/>
  <c r="P94" i="19" l="1"/>
  <c r="Q94" i="19" s="1"/>
  <c r="L95" i="19"/>
  <c r="M95" i="19" s="1"/>
  <c r="I96" i="19" s="1"/>
  <c r="Z86" i="19"/>
  <c r="BM86" i="19" s="1"/>
  <c r="Y86" i="19"/>
  <c r="BL86" i="19" s="1"/>
  <c r="AG86" i="19"/>
  <c r="CB81" i="19"/>
  <c r="U87" i="19" a="1"/>
  <c r="U87" i="19" s="1"/>
  <c r="W87" i="19" s="1"/>
  <c r="CA83" i="19"/>
  <c r="BN85" i="19"/>
  <c r="AN83" i="19"/>
  <c r="BC81" i="19"/>
  <c r="BF81" i="19" s="1"/>
  <c r="AV82" i="19"/>
  <c r="AW82" i="19"/>
  <c r="AX82" i="19"/>
  <c r="BC80" i="19"/>
  <c r="BB80" i="19" s="1"/>
  <c r="AJ84" i="19"/>
  <c r="AS84" i="19"/>
  <c r="AK84" i="19"/>
  <c r="AL84" i="19"/>
  <c r="AI84" i="19"/>
  <c r="AD85" i="19" s="1"/>
  <c r="AU82" i="19"/>
  <c r="AP83" i="19" s="1"/>
  <c r="K96" i="19" l="1"/>
  <c r="O96" i="19" a="1"/>
  <c r="O96" i="19" s="1"/>
  <c r="O95" i="19" a="1"/>
  <c r="O95" i="19" s="1"/>
  <c r="N95" i="19"/>
  <c r="V95" i="19"/>
  <c r="BZ86" i="19"/>
  <c r="AA86" i="19"/>
  <c r="AB86" i="19" s="1"/>
  <c r="AH86" i="19" s="1"/>
  <c r="AK86" i="19" s="1"/>
  <c r="BN86" i="19" s="1"/>
  <c r="Z87" i="19"/>
  <c r="BM87" i="19" s="1"/>
  <c r="AG87" i="19"/>
  <c r="Y87" i="19"/>
  <c r="X87" i="19"/>
  <c r="S88" i="19" s="1"/>
  <c r="U88" i="19" s="1" a="1"/>
  <c r="U88" i="19" s="1"/>
  <c r="BO84" i="19"/>
  <c r="BQ82" i="19"/>
  <c r="AM84" i="19"/>
  <c r="BN84" i="19"/>
  <c r="AL85" i="19"/>
  <c r="AF85" i="19" a="1"/>
  <c r="AF85" i="19" s="1"/>
  <c r="AI85" i="19" s="1"/>
  <c r="AD86" i="19" s="1"/>
  <c r="BE80" i="19"/>
  <c r="AY82" i="19"/>
  <c r="BP82" i="19"/>
  <c r="AR83" i="19" a="1"/>
  <c r="AR83" i="19" s="1"/>
  <c r="AT83" i="19" s="1"/>
  <c r="AX83" i="19" s="1"/>
  <c r="BF80" i="19"/>
  <c r="BB81" i="19"/>
  <c r="BE81" i="19" s="1"/>
  <c r="BG81" i="19" s="1"/>
  <c r="P95" i="19" l="1"/>
  <c r="Q95" i="19" s="1"/>
  <c r="L96" i="19"/>
  <c r="N96" i="19" s="1"/>
  <c r="P96" i="19" s="1"/>
  <c r="Q96" i="19" s="1"/>
  <c r="AS86" i="19"/>
  <c r="AJ86" i="19"/>
  <c r="AA87" i="19"/>
  <c r="AB87" i="19" s="1"/>
  <c r="AH87" i="19" s="1"/>
  <c r="AS87" i="19" s="1"/>
  <c r="BL87" i="19"/>
  <c r="BZ87" i="19" s="1"/>
  <c r="W88" i="19"/>
  <c r="AG88" i="19" s="1"/>
  <c r="BQ83" i="19"/>
  <c r="CA84" i="19"/>
  <c r="AU83" i="19"/>
  <c r="AP84" i="19" s="1"/>
  <c r="BO85" i="19"/>
  <c r="CA85" i="19" s="1"/>
  <c r="AM85" i="19"/>
  <c r="AN85" i="19" s="1"/>
  <c r="AL86" i="19"/>
  <c r="AF86" i="19" a="1"/>
  <c r="AF86" i="19" s="1"/>
  <c r="AI86" i="19" s="1"/>
  <c r="AD87" i="19" s="1"/>
  <c r="AN84" i="19"/>
  <c r="AZ82" i="19"/>
  <c r="AW83" i="19"/>
  <c r="AV83" i="19"/>
  <c r="BG80" i="19"/>
  <c r="CB82" i="19"/>
  <c r="M96" i="19" l="1"/>
  <c r="I97" i="19" s="1"/>
  <c r="V96" i="19"/>
  <c r="AK87" i="19"/>
  <c r="BN87" i="19" s="1"/>
  <c r="X88" i="19"/>
  <c r="S89" i="19" s="1"/>
  <c r="U89" i="19" s="1" a="1"/>
  <c r="U89" i="19" s="1"/>
  <c r="AJ87" i="19"/>
  <c r="Z88" i="19"/>
  <c r="BM88" i="19" s="1"/>
  <c r="Y88" i="19"/>
  <c r="BL88" i="19" s="1"/>
  <c r="AL87" i="19"/>
  <c r="AF87" i="19" a="1"/>
  <c r="AF87" i="19" s="1"/>
  <c r="AI87" i="19" s="1"/>
  <c r="AD88" i="19" s="1"/>
  <c r="BC82" i="19"/>
  <c r="BB82" i="19" s="1"/>
  <c r="AR84" i="19" a="1"/>
  <c r="AR84" i="19" s="1"/>
  <c r="AT84" i="19" s="1"/>
  <c r="BO86" i="19"/>
  <c r="CA86" i="19" s="1"/>
  <c r="AM86" i="19"/>
  <c r="AY83" i="19"/>
  <c r="BP83" i="19"/>
  <c r="K97" i="19" l="1"/>
  <c r="M97" i="19" s="1"/>
  <c r="I98" i="19" s="1"/>
  <c r="O97" i="19" a="1"/>
  <c r="O97" i="19" s="1"/>
  <c r="P97" i="19" s="1"/>
  <c r="Q97" i="19" s="1"/>
  <c r="AA88" i="19"/>
  <c r="AB88" i="19" s="1"/>
  <c r="BZ88" i="19"/>
  <c r="AV84" i="19"/>
  <c r="AW84" i="19"/>
  <c r="AX84" i="19"/>
  <c r="AF88" i="19" a="1"/>
  <c r="AF88" i="19" s="1"/>
  <c r="BE82" i="19"/>
  <c r="W89" i="19"/>
  <c r="X89" i="19" s="1"/>
  <c r="S90" i="19" s="1"/>
  <c r="BF82" i="19"/>
  <c r="CB83" i="19"/>
  <c r="AU84" i="19"/>
  <c r="AP85" i="19" s="1"/>
  <c r="AZ83" i="19"/>
  <c r="BO87" i="19"/>
  <c r="CA87" i="19" s="1"/>
  <c r="AM87" i="19"/>
  <c r="AN87" i="19" s="1"/>
  <c r="AX5" i="19"/>
  <c r="AN86" i="19"/>
  <c r="AH88" i="19" l="1"/>
  <c r="AI88" i="19" s="1"/>
  <c r="AD89" i="19" s="1"/>
  <c r="AF89" i="19" s="1" a="1"/>
  <c r="AF89" i="19" s="1"/>
  <c r="K98" i="19"/>
  <c r="L98" i="19" s="1"/>
  <c r="O98" i="19" a="1"/>
  <c r="O98" i="19" s="1"/>
  <c r="L101" i="19"/>
  <c r="BQ84" i="19"/>
  <c r="BC83" i="19"/>
  <c r="BG82" i="19"/>
  <c r="BP84" i="19"/>
  <c r="AY84" i="19"/>
  <c r="U90" i="19" a="1"/>
  <c r="U90" i="19" s="1"/>
  <c r="W90" i="19" s="1"/>
  <c r="AR85" i="19" a="1"/>
  <c r="AR85" i="19" s="1"/>
  <c r="AT85" i="19" s="1"/>
  <c r="Y89" i="19"/>
  <c r="AG89" i="19"/>
  <c r="Z89" i="19"/>
  <c r="BM89" i="19" s="1"/>
  <c r="AK88" i="19" l="1"/>
  <c r="BN88" i="19" s="1"/>
  <c r="AL88" i="19"/>
  <c r="BO88" i="19" s="1"/>
  <c r="CA88" i="19" s="1"/>
  <c r="AS88" i="19"/>
  <c r="AJ88" i="19"/>
  <c r="M98" i="19"/>
  <c r="I99" i="19" s="1"/>
  <c r="V98" i="19"/>
  <c r="N98" i="19"/>
  <c r="P98" i="19" s="1"/>
  <c r="Q98" i="19" s="1"/>
  <c r="L423" i="19"/>
  <c r="V101" i="19"/>
  <c r="V423" i="19" s="1"/>
  <c r="N101" i="19"/>
  <c r="X90" i="19"/>
  <c r="S91" i="19" s="1"/>
  <c r="U91" i="19" s="1" a="1"/>
  <c r="U91" i="19" s="1"/>
  <c r="W91" i="19" s="1"/>
  <c r="Z91" i="19" s="1"/>
  <c r="BM91" i="19" s="1"/>
  <c r="Z90" i="19"/>
  <c r="BM90" i="19" s="1"/>
  <c r="AM88" i="19"/>
  <c r="AN88" i="19" s="1"/>
  <c r="AV85" i="19"/>
  <c r="AW85" i="19"/>
  <c r="AX85" i="19"/>
  <c r="CB84" i="19"/>
  <c r="AA89" i="19"/>
  <c r="AB89" i="19" s="1"/>
  <c r="AH89" i="19" s="1"/>
  <c r="AS89" i="19" s="1"/>
  <c r="BL89" i="19"/>
  <c r="BZ89" i="19" s="1"/>
  <c r="BF83" i="19"/>
  <c r="AU85" i="19"/>
  <c r="AP86" i="19" s="1"/>
  <c r="BB83" i="19"/>
  <c r="AG90" i="19"/>
  <c r="Y90" i="19"/>
  <c r="AZ84" i="19"/>
  <c r="K99" i="19" l="1"/>
  <c r="M99" i="19" s="1"/>
  <c r="I100" i="19" s="1"/>
  <c r="O99" i="19" a="1"/>
  <c r="O99" i="19" s="1"/>
  <c r="P99" i="19" s="1"/>
  <c r="Q99" i="19" s="1"/>
  <c r="N423" i="19"/>
  <c r="AG91" i="19"/>
  <c r="Y91" i="19"/>
  <c r="X91" i="19"/>
  <c r="AR86" i="19" a="1"/>
  <c r="AR86" i="19" s="1"/>
  <c r="AT86" i="19" s="1"/>
  <c r="BE83" i="19"/>
  <c r="AI89" i="19"/>
  <c r="AD90" i="19" s="1"/>
  <c r="AK89" i="19"/>
  <c r="AJ89" i="19"/>
  <c r="AY85" i="19"/>
  <c r="AZ85" i="19" s="1"/>
  <c r="BP85" i="19"/>
  <c r="BC84" i="19"/>
  <c r="BL90" i="19"/>
  <c r="BZ90" i="19" s="1"/>
  <c r="AA90" i="19"/>
  <c r="AB90" i="19" s="1"/>
  <c r="AH90" i="19" s="1"/>
  <c r="AS90" i="19" s="1"/>
  <c r="BQ85" i="19"/>
  <c r="AL89" i="19"/>
  <c r="BO89" i="19" s="1"/>
  <c r="O100" i="19" l="1" a="1"/>
  <c r="O100" i="19" s="1"/>
  <c r="P100" i="19" s="1"/>
  <c r="Q100" i="19" s="1"/>
  <c r="K100" i="19"/>
  <c r="M100" i="19" s="1"/>
  <c r="I101" i="19" s="1"/>
  <c r="AK90" i="19"/>
  <c r="BN90" i="19" s="1"/>
  <c r="AW86" i="19"/>
  <c r="AV86" i="19"/>
  <c r="AX86" i="19"/>
  <c r="BF84" i="19"/>
  <c r="AU86" i="19"/>
  <c r="AP87" i="19" s="1"/>
  <c r="BN89" i="19"/>
  <c r="CA89" i="19" s="1"/>
  <c r="AM89" i="19"/>
  <c r="AN89" i="19" s="1"/>
  <c r="AF90" i="19" a="1"/>
  <c r="AF90" i="19" s="1"/>
  <c r="AI90" i="19" s="1"/>
  <c r="AD91" i="19" s="1"/>
  <c r="AL90" i="19"/>
  <c r="BO90" i="19" s="1"/>
  <c r="S92" i="19"/>
  <c r="S426" i="19" s="1"/>
  <c r="BL91" i="19"/>
  <c r="BZ91" i="19" s="1"/>
  <c r="AA91" i="19"/>
  <c r="AB91" i="19" s="1"/>
  <c r="AH91" i="19" s="1"/>
  <c r="AS91" i="19" s="1"/>
  <c r="AJ90" i="19"/>
  <c r="BC85" i="19"/>
  <c r="BF85" i="19" s="1"/>
  <c r="CB85" i="19"/>
  <c r="BB84" i="19"/>
  <c r="BG83" i="19"/>
  <c r="K101" i="19" l="1"/>
  <c r="M101" i="19" s="1"/>
  <c r="I102" i="19" s="1"/>
  <c r="O101" i="19" a="1"/>
  <c r="O101" i="19" s="1"/>
  <c r="P101" i="19" s="1"/>
  <c r="Q101" i="19" s="1"/>
  <c r="AK91" i="19"/>
  <c r="BN91" i="19" s="1"/>
  <c r="AJ91" i="19"/>
  <c r="AF91" i="19" a="1"/>
  <c r="AF91" i="19" s="1"/>
  <c r="AI91" i="19" s="1"/>
  <c r="AL91" i="19"/>
  <c r="BO91" i="19" s="1"/>
  <c r="AM90" i="19"/>
  <c r="AN90" i="19" s="1"/>
  <c r="CA90" i="19"/>
  <c r="BB85" i="19"/>
  <c r="BE85" i="19" s="1"/>
  <c r="BG85" i="19" s="1"/>
  <c r="BE84" i="19"/>
  <c r="U92" i="19" a="1"/>
  <c r="U92" i="19" s="1"/>
  <c r="W92" i="19" s="1"/>
  <c r="Z92" i="19" s="1"/>
  <c r="BQ86" i="19"/>
  <c r="AR87" i="19" a="1"/>
  <c r="AR87" i="19" s="1"/>
  <c r="AT87" i="19" s="1"/>
  <c r="BP86" i="19"/>
  <c r="AY86" i="19"/>
  <c r="AZ86" i="19" s="1"/>
  <c r="O102" i="19" l="1" a="1"/>
  <c r="O102" i="19" s="1"/>
  <c r="P102" i="19" s="1"/>
  <c r="Q102" i="19" s="1"/>
  <c r="K102" i="19"/>
  <c r="M102" i="19" s="1"/>
  <c r="I103" i="19" s="1"/>
  <c r="AW87" i="19"/>
  <c r="AV87" i="19"/>
  <c r="AX87" i="19"/>
  <c r="AG92" i="19"/>
  <c r="Y92" i="19"/>
  <c r="AD92" i="19"/>
  <c r="AD426" i="19" s="1"/>
  <c r="AU87" i="19"/>
  <c r="AP88" i="19" s="1"/>
  <c r="BM92" i="19"/>
  <c r="AM91" i="19"/>
  <c r="AN91" i="19" s="1"/>
  <c r="X92" i="19"/>
  <c r="S93" i="19" s="1"/>
  <c r="BC86" i="19"/>
  <c r="BF86" i="19" s="1"/>
  <c r="BG84" i="19"/>
  <c r="CB86" i="19"/>
  <c r="CA91" i="19"/>
  <c r="K103" i="19" l="1"/>
  <c r="M103" i="19" s="1"/>
  <c r="O103" i="19" a="1"/>
  <c r="O103" i="19" s="1"/>
  <c r="P103" i="19" s="1"/>
  <c r="BB86" i="19"/>
  <c r="BE86" i="19" s="1"/>
  <c r="BG86" i="19" s="1"/>
  <c r="AF92" i="19" a="1"/>
  <c r="AF92" i="19" s="1"/>
  <c r="AA92" i="19"/>
  <c r="BL92" i="19"/>
  <c r="BQ87" i="19"/>
  <c r="AR88" i="19" a="1"/>
  <c r="AR88" i="19" s="1"/>
  <c r="AT88" i="19" s="1"/>
  <c r="U93" i="19" a="1"/>
  <c r="U93" i="19" s="1"/>
  <c r="AY87" i="19"/>
  <c r="AZ87" i="19" s="1"/>
  <c r="BP87" i="19"/>
  <c r="M423" i="19" l="1" a="1"/>
  <c r="M423" i="19" s="1"/>
  <c r="I104" i="19"/>
  <c r="P423" i="19"/>
  <c r="Q103" i="19"/>
  <c r="AU88" i="19"/>
  <c r="AP89" i="19" s="1"/>
  <c r="AR89" i="19" s="1" a="1"/>
  <c r="AR89" i="19" s="1"/>
  <c r="AT89" i="19" s="1"/>
  <c r="AX89" i="19" s="1"/>
  <c r="AW88" i="19"/>
  <c r="AV88" i="19"/>
  <c r="BZ92" i="19"/>
  <c r="W93" i="19"/>
  <c r="AB92" i="19"/>
  <c r="CB87" i="19"/>
  <c r="BC87" i="19"/>
  <c r="BF87" i="19" s="1"/>
  <c r="AX88" i="19"/>
  <c r="O104" i="19" l="1" a="1"/>
  <c r="O104" i="19" s="1"/>
  <c r="K104" i="19"/>
  <c r="X93" i="19"/>
  <c r="S94" i="19" s="1"/>
  <c r="U94" i="19" s="1" a="1"/>
  <c r="U94" i="19" s="1"/>
  <c r="Z93" i="19"/>
  <c r="BM93" i="19" s="1"/>
  <c r="BQ89" i="19"/>
  <c r="AV89" i="19"/>
  <c r="AW89" i="19"/>
  <c r="AU89" i="19"/>
  <c r="AP90" i="19" s="1"/>
  <c r="BQ88" i="19"/>
  <c r="AH92" i="19"/>
  <c r="AL92" i="19" s="1"/>
  <c r="BO92" i="19" s="1"/>
  <c r="BP88" i="19"/>
  <c r="AY88" i="19"/>
  <c r="AZ88" i="19" s="1"/>
  <c r="BB87" i="19"/>
  <c r="BE87" i="19" s="1"/>
  <c r="Y93" i="19"/>
  <c r="AG93" i="19"/>
  <c r="L104" i="19" l="1"/>
  <c r="M104" i="19" s="1"/>
  <c r="I105" i="19" s="1"/>
  <c r="CB88" i="19"/>
  <c r="BC88" i="19"/>
  <c r="BF88" i="19" s="1"/>
  <c r="AS92" i="19"/>
  <c r="AJ92" i="19"/>
  <c r="AK92" i="19"/>
  <c r="AI92" i="19"/>
  <c r="AD93" i="19" s="1"/>
  <c r="BL93" i="19"/>
  <c r="AA93" i="19"/>
  <c r="W94" i="19"/>
  <c r="Z94" i="19" s="1"/>
  <c r="BM94" i="19" s="1"/>
  <c r="BG87" i="19"/>
  <c r="AR90" i="19" a="1"/>
  <c r="AR90" i="19" s="1"/>
  <c r="AT90" i="19" s="1"/>
  <c r="AY89" i="19"/>
  <c r="AZ89" i="19" s="1"/>
  <c r="BP89" i="19"/>
  <c r="CB89" i="19" s="1"/>
  <c r="O105" i="19" l="1" a="1"/>
  <c r="O105" i="19" s="1"/>
  <c r="K105" i="19"/>
  <c r="L105" i="19" s="1"/>
  <c r="N104" i="19"/>
  <c r="P104" i="19" s="1"/>
  <c r="Q104" i="19" s="1"/>
  <c r="V104" i="19"/>
  <c r="BB88" i="19"/>
  <c r="BE88" i="19" s="1"/>
  <c r="BG88" i="19" s="1"/>
  <c r="BC89" i="19"/>
  <c r="BF89" i="19" s="1"/>
  <c r="AV90" i="19"/>
  <c r="AW90" i="19"/>
  <c r="BZ93" i="19"/>
  <c r="AU90" i="19"/>
  <c r="AP91" i="19" s="1"/>
  <c r="Y94" i="19"/>
  <c r="AG94" i="19"/>
  <c r="X94" i="19"/>
  <c r="S95" i="19" s="1"/>
  <c r="AF93" i="19" a="1"/>
  <c r="AF93" i="19" s="1"/>
  <c r="AX90" i="19"/>
  <c r="BN92" i="19"/>
  <c r="AM92" i="19"/>
  <c r="AB93" i="19"/>
  <c r="M105" i="19" l="1"/>
  <c r="I106" i="19" s="1"/>
  <c r="N105" i="19"/>
  <c r="P105" i="19" s="1"/>
  <c r="Q105" i="19" s="1"/>
  <c r="V105" i="19"/>
  <c r="BL94" i="19"/>
  <c r="AA94" i="19"/>
  <c r="AH93" i="19"/>
  <c r="AL93" i="19" s="1"/>
  <c r="BO93" i="19" s="1"/>
  <c r="AR91" i="19" a="1"/>
  <c r="AR91" i="19" s="1"/>
  <c r="AT91" i="19" s="1"/>
  <c r="BQ90" i="19"/>
  <c r="BB89" i="19"/>
  <c r="BE89" i="19" s="1"/>
  <c r="BG89" i="19" s="1"/>
  <c r="AN92" i="19"/>
  <c r="CA92" i="19"/>
  <c r="U95" i="19" a="1"/>
  <c r="U95" i="19" s="1"/>
  <c r="W95" i="19" s="1"/>
  <c r="Z95" i="19" s="1"/>
  <c r="AY90" i="19"/>
  <c r="AZ90" i="19" s="1"/>
  <c r="BP90" i="19"/>
  <c r="K106" i="19" l="1"/>
  <c r="L106" i="19" s="1"/>
  <c r="O106" i="19" a="1"/>
  <c r="O106" i="19" s="1"/>
  <c r="AG95" i="19"/>
  <c r="Y95" i="19"/>
  <c r="AW91" i="19"/>
  <c r="AV91" i="19"/>
  <c r="AX91" i="19"/>
  <c r="AU91" i="19"/>
  <c r="BM95" i="19"/>
  <c r="BZ94" i="19"/>
  <c r="AK93" i="19"/>
  <c r="AS93" i="19"/>
  <c r="AJ93" i="19"/>
  <c r="AI93" i="19"/>
  <c r="AD94" i="19" s="1"/>
  <c r="AB94" i="19"/>
  <c r="X95" i="19"/>
  <c r="S96" i="19" s="1"/>
  <c r="CB90" i="19"/>
  <c r="BC90" i="19"/>
  <c r="BF90" i="19" s="1"/>
  <c r="V106" i="19" l="1"/>
  <c r="N106" i="19"/>
  <c r="P106" i="19" s="1"/>
  <c r="Q106" i="19" s="1"/>
  <c r="M106" i="19"/>
  <c r="I107" i="19" s="1"/>
  <c r="AM93" i="19"/>
  <c r="BN93" i="19"/>
  <c r="AP92" i="19"/>
  <c r="AP426" i="19" s="1"/>
  <c r="BQ91" i="19"/>
  <c r="BB90" i="19"/>
  <c r="BE90" i="19" s="1"/>
  <c r="BG90" i="19" s="1"/>
  <c r="AH94" i="19"/>
  <c r="AL94" i="19" s="1"/>
  <c r="BP91" i="19"/>
  <c r="AY91" i="19"/>
  <c r="AZ91" i="19" s="1"/>
  <c r="AF94" i="19" a="1"/>
  <c r="AF94" i="19" s="1"/>
  <c r="BL95" i="19"/>
  <c r="AA95" i="19"/>
  <c r="U96" i="19" a="1"/>
  <c r="U96" i="19" s="1"/>
  <c r="W96" i="19" s="1"/>
  <c r="Z96" i="19" s="1"/>
  <c r="O107" i="19" l="1" a="1"/>
  <c r="O107" i="19" s="1"/>
  <c r="K107" i="19"/>
  <c r="L107" i="19" s="1"/>
  <c r="CB91" i="19"/>
  <c r="AG96" i="19"/>
  <c r="Y96" i="19"/>
  <c r="X96" i="19"/>
  <c r="S97" i="19" s="1"/>
  <c r="BO94" i="19"/>
  <c r="AN93" i="19"/>
  <c r="AI94" i="19"/>
  <c r="AD95" i="19" s="1"/>
  <c r="CA93" i="19"/>
  <c r="AS94" i="19"/>
  <c r="AJ94" i="19"/>
  <c r="AK94" i="19"/>
  <c r="BM96" i="19"/>
  <c r="AB95" i="19"/>
  <c r="BZ95" i="19"/>
  <c r="BC91" i="19"/>
  <c r="BF91" i="19" s="1"/>
  <c r="AR92" i="19" a="1"/>
  <c r="AR92" i="19" s="1"/>
  <c r="AT92" i="19" s="1"/>
  <c r="N107" i="19" l="1"/>
  <c r="P107" i="19" s="1"/>
  <c r="Q107" i="19" s="1"/>
  <c r="V107" i="19"/>
  <c r="M107" i="19"/>
  <c r="I108" i="19" s="1"/>
  <c r="AW92" i="19"/>
  <c r="AV92" i="19"/>
  <c r="AF95" i="19" a="1"/>
  <c r="AF95" i="19" s="1"/>
  <c r="AH95" i="19" s="1"/>
  <c r="AL95" i="19" s="1"/>
  <c r="U97" i="19" a="1"/>
  <c r="U97" i="19" s="1"/>
  <c r="W97" i="19" s="1"/>
  <c r="Z97" i="19" s="1"/>
  <c r="BM97" i="19" s="1"/>
  <c r="AX92" i="19"/>
  <c r="AU92" i="19"/>
  <c r="AP93" i="19" s="1"/>
  <c r="BL96" i="19"/>
  <c r="AA96" i="19"/>
  <c r="BB91" i="19"/>
  <c r="BE91" i="19" s="1"/>
  <c r="BG91" i="19" s="1"/>
  <c r="AM94" i="19"/>
  <c r="BN94" i="19"/>
  <c r="O108" i="19" l="1" a="1"/>
  <c r="O108" i="19" s="1"/>
  <c r="P108" i="19" s="1"/>
  <c r="Q108" i="19" s="1"/>
  <c r="K108" i="19"/>
  <c r="M108" i="19" s="1"/>
  <c r="I109" i="19" s="1"/>
  <c r="AG97" i="19"/>
  <c r="Y97" i="19"/>
  <c r="AK95" i="19"/>
  <c r="AS95" i="19"/>
  <c r="AJ95" i="19"/>
  <c r="CA94" i="19"/>
  <c r="AI95" i="19"/>
  <c r="AD96" i="19" s="1"/>
  <c r="AN94" i="19"/>
  <c r="AB96" i="19"/>
  <c r="AR93" i="19" a="1"/>
  <c r="AR93" i="19" s="1"/>
  <c r="AT93" i="19" s="1"/>
  <c r="AX93" i="19" s="1"/>
  <c r="BZ96" i="19"/>
  <c r="X97" i="19"/>
  <c r="S98" i="19" s="1"/>
  <c r="BQ92" i="19"/>
  <c r="AY92" i="19"/>
  <c r="BP92" i="19"/>
  <c r="BO95" i="19"/>
  <c r="K109" i="19" l="1"/>
  <c r="M109" i="19" s="1"/>
  <c r="I110" i="19" s="1"/>
  <c r="O109" i="19" a="1"/>
  <c r="O109" i="19" s="1"/>
  <c r="P109" i="19" s="1"/>
  <c r="Q109" i="19" s="1"/>
  <c r="AU93" i="19"/>
  <c r="AP94" i="19" s="1"/>
  <c r="BQ93" i="19"/>
  <c r="BN95" i="19"/>
  <c r="AM95" i="19"/>
  <c r="AV93" i="19"/>
  <c r="AW93" i="19"/>
  <c r="U98" i="19" a="1"/>
  <c r="U98" i="19" s="1"/>
  <c r="CB92" i="19"/>
  <c r="BL97" i="19"/>
  <c r="BZ97" i="19" s="1"/>
  <c r="AA97" i="19"/>
  <c r="AB97" i="19" s="1"/>
  <c r="AH97" i="19" s="1"/>
  <c r="AJ97" i="19" s="1"/>
  <c r="AZ92" i="19"/>
  <c r="AF96" i="19" a="1"/>
  <c r="AF96" i="19" s="1"/>
  <c r="AH96" i="19" s="1"/>
  <c r="AL96" i="19" s="1"/>
  <c r="O110" i="19" l="1" a="1"/>
  <c r="O110" i="19" s="1"/>
  <c r="K110" i="19"/>
  <c r="L110" i="19" s="1"/>
  <c r="AI96" i="19"/>
  <c r="AD97" i="19" s="1"/>
  <c r="AF97" i="19" s="1" a="1"/>
  <c r="AF97" i="19" s="1"/>
  <c r="AI97" i="19" s="1"/>
  <c r="AD98" i="19" s="1"/>
  <c r="W98" i="19"/>
  <c r="AR94" i="19" a="1"/>
  <c r="AR94" i="19" s="1"/>
  <c r="AT94" i="19" s="1"/>
  <c r="AS97" i="19"/>
  <c r="AK97" i="19"/>
  <c r="BN97" i="19" s="1"/>
  <c r="AY93" i="19"/>
  <c r="BP93" i="19"/>
  <c r="BC92" i="19"/>
  <c r="BB92" i="19" s="1"/>
  <c r="BO96" i="19"/>
  <c r="AS96" i="19"/>
  <c r="AJ96" i="19"/>
  <c r="AK96" i="19"/>
  <c r="AN95" i="19"/>
  <c r="CA95" i="19"/>
  <c r="V110" i="19" l="1"/>
  <c r="V424" i="19" s="1"/>
  <c r="L424" i="19"/>
  <c r="N110" i="19"/>
  <c r="M110" i="19"/>
  <c r="I111" i="19" s="1"/>
  <c r="X98" i="19"/>
  <c r="S99" i="19" s="1"/>
  <c r="Z98" i="19"/>
  <c r="BM98" i="19" s="1"/>
  <c r="AW94" i="19"/>
  <c r="AV94" i="19"/>
  <c r="AU94" i="19"/>
  <c r="AP95" i="19" s="1"/>
  <c r="AR95" i="19" s="1" a="1"/>
  <c r="AR95" i="19" s="1"/>
  <c r="AX94" i="19"/>
  <c r="BQ94" i="19" s="1"/>
  <c r="AL97" i="19"/>
  <c r="BO97" i="19" s="1"/>
  <c r="CA97" i="19" s="1"/>
  <c r="Y98" i="19"/>
  <c r="BL98" i="19" s="1"/>
  <c r="AG98" i="19"/>
  <c r="BE92" i="19"/>
  <c r="CB93" i="19"/>
  <c r="AZ93" i="19"/>
  <c r="BN96" i="19"/>
  <c r="AM96" i="19"/>
  <c r="AF98" i="19" a="1"/>
  <c r="AF98" i="19" s="1"/>
  <c r="BF92" i="19"/>
  <c r="P110" i="19" l="1"/>
  <c r="Q110" i="19" s="1"/>
  <c r="N424" i="19"/>
  <c r="O111" i="19" a="1"/>
  <c r="O111" i="19" s="1"/>
  <c r="P111" i="19" s="1"/>
  <c r="Q111" i="19" s="1"/>
  <c r="K111" i="19"/>
  <c r="M111" i="19" s="1"/>
  <c r="I112" i="19" s="1"/>
  <c r="BZ98" i="19"/>
  <c r="U99" i="19" a="1"/>
  <c r="U99" i="19" s="1"/>
  <c r="AT95" i="19"/>
  <c r="BP94" i="19"/>
  <c r="CB94" i="19" s="1"/>
  <c r="AY94" i="19"/>
  <c r="AZ94" i="19" s="1"/>
  <c r="BC94" i="19" s="1"/>
  <c r="BF94" i="19" s="1"/>
  <c r="AM97" i="19"/>
  <c r="AN97" i="19" s="1"/>
  <c r="AA98" i="19"/>
  <c r="AB98" i="19" s="1"/>
  <c r="AH98" i="19" s="1"/>
  <c r="AL98" i="19" s="1"/>
  <c r="BO98" i="19" s="1"/>
  <c r="BC93" i="19"/>
  <c r="AN96" i="19"/>
  <c r="CA96" i="19"/>
  <c r="BG92" i="19"/>
  <c r="K112" i="19" l="1"/>
  <c r="O112" i="19" a="1"/>
  <c r="O112" i="19" s="1"/>
  <c r="W99" i="19"/>
  <c r="AX95" i="19"/>
  <c r="BQ95" i="19" s="1"/>
  <c r="AU95" i="19"/>
  <c r="AP96" i="19" s="1"/>
  <c r="AR96" i="19" s="1" a="1"/>
  <c r="AR96" i="19" s="1"/>
  <c r="AV95" i="19"/>
  <c r="AW95" i="19"/>
  <c r="BB94" i="19"/>
  <c r="BE94" i="19" s="1"/>
  <c r="BG94" i="19" s="1"/>
  <c r="BF93" i="19"/>
  <c r="BB93" i="19"/>
  <c r="L420" i="19"/>
  <c r="AJ98" i="19"/>
  <c r="AK98" i="19"/>
  <c r="AS98" i="19"/>
  <c r="O420" i="19"/>
  <c r="O421" i="19"/>
  <c r="O422" i="19"/>
  <c r="O423" i="19"/>
  <c r="K420" i="19"/>
  <c r="K421" i="19"/>
  <c r="K422" i="19"/>
  <c r="K423" i="19"/>
  <c r="AI98" i="19"/>
  <c r="AD99" i="19" s="1"/>
  <c r="M112" i="19" l="1"/>
  <c r="I113" i="19" s="1"/>
  <c r="P112" i="19"/>
  <c r="Q112" i="19" s="1"/>
  <c r="X99" i="19"/>
  <c r="S100" i="19" s="1"/>
  <c r="U100" i="19" s="1" a="1"/>
  <c r="U100" i="19" s="1"/>
  <c r="Z99" i="19"/>
  <c r="BM99" i="19" s="1"/>
  <c r="AG99" i="19"/>
  <c r="Y99" i="19"/>
  <c r="AT96" i="19"/>
  <c r="AX96" i="19" s="1"/>
  <c r="BQ96" i="19" s="1"/>
  <c r="AY95" i="19"/>
  <c r="AZ95" i="19" s="1"/>
  <c r="BP95" i="19"/>
  <c r="CB95" i="19" s="1"/>
  <c r="AM98" i="19"/>
  <c r="AN98" i="19" s="1"/>
  <c r="BN98" i="19"/>
  <c r="CA98" i="19" s="1"/>
  <c r="N420" i="19"/>
  <c r="BE93" i="19"/>
  <c r="V420" i="19"/>
  <c r="AF99" i="19" a="1"/>
  <c r="AF99" i="19" s="1"/>
  <c r="O113" i="19" l="1" a="1"/>
  <c r="O113" i="19" s="1"/>
  <c r="K113" i="19"/>
  <c r="AA99" i="19"/>
  <c r="AB99" i="19" s="1"/>
  <c r="AH99" i="19" s="1"/>
  <c r="AI99" i="19" s="1"/>
  <c r="AD100" i="19" s="1"/>
  <c r="BL99" i="19"/>
  <c r="BZ99" i="19" s="1"/>
  <c r="W100" i="19"/>
  <c r="AU96" i="19"/>
  <c r="AP97" i="19" s="1"/>
  <c r="AV96" i="19"/>
  <c r="AW96" i="19"/>
  <c r="BG93" i="19"/>
  <c r="P420" i="19"/>
  <c r="P421" i="19"/>
  <c r="BC95" i="19"/>
  <c r="BB95" i="19" s="1"/>
  <c r="P113" i="19" l="1"/>
  <c r="M113" i="19"/>
  <c r="I114" i="19" s="1"/>
  <c r="X100" i="19"/>
  <c r="S101" i="19" s="1"/>
  <c r="U101" i="19" s="1" a="1"/>
  <c r="U101" i="19" s="1"/>
  <c r="W101" i="19" s="1"/>
  <c r="Z101" i="19" s="1"/>
  <c r="BM101" i="19" s="1"/>
  <c r="Z100" i="19"/>
  <c r="BM100" i="19" s="1"/>
  <c r="AL99" i="19"/>
  <c r="BO99" i="19" s="1"/>
  <c r="AK99" i="19"/>
  <c r="AG100" i="19"/>
  <c r="Y100" i="19"/>
  <c r="AS99" i="19"/>
  <c r="AJ99" i="19"/>
  <c r="AF100" i="19" a="1"/>
  <c r="AF100" i="19" s="1"/>
  <c r="AR97" i="19" a="1"/>
  <c r="AR97" i="19" s="1"/>
  <c r="AT97" i="19" s="1"/>
  <c r="AX97" i="19" s="1"/>
  <c r="BQ97" i="19" s="1"/>
  <c r="BP96" i="19"/>
  <c r="CB96" i="19" s="1"/>
  <c r="AY96" i="19"/>
  <c r="AZ96" i="19" s="1"/>
  <c r="BE95" i="19"/>
  <c r="Q420" i="19"/>
  <c r="Q421" i="19"/>
  <c r="Q422" i="19"/>
  <c r="Q423" i="19"/>
  <c r="BF95" i="19"/>
  <c r="Q113" i="19" l="1"/>
  <c r="K114" i="19"/>
  <c r="O114" i="19" a="1"/>
  <c r="O114" i="19" s="1"/>
  <c r="Y101" i="19"/>
  <c r="AG101" i="19"/>
  <c r="X101" i="19"/>
  <c r="S102" i="19" s="1"/>
  <c r="AM99" i="19"/>
  <c r="AN99" i="19" s="1"/>
  <c r="BN99" i="19"/>
  <c r="CA99" i="19" s="1"/>
  <c r="AA100" i="19"/>
  <c r="AB100" i="19" s="1"/>
  <c r="AH100" i="19" s="1"/>
  <c r="BL100" i="19"/>
  <c r="BZ100" i="19" s="1"/>
  <c r="AW97" i="19"/>
  <c r="AV97" i="19"/>
  <c r="AU97" i="19"/>
  <c r="AP98" i="19" s="1"/>
  <c r="BC96" i="19"/>
  <c r="BG95" i="19"/>
  <c r="M114" i="19" l="1"/>
  <c r="I115" i="19" s="1"/>
  <c r="P114" i="19"/>
  <c r="BL101" i="19"/>
  <c r="BZ101" i="19" s="1"/>
  <c r="AA101" i="19"/>
  <c r="AB101" i="19" s="1"/>
  <c r="U102" i="19" a="1"/>
  <c r="U102" i="19" s="1"/>
  <c r="AI100" i="19"/>
  <c r="AD101" i="19" s="1"/>
  <c r="AL100" i="19"/>
  <c r="BO100" i="19" s="1"/>
  <c r="AK100" i="19"/>
  <c r="AJ100" i="19"/>
  <c r="AS100" i="19"/>
  <c r="BF96" i="19"/>
  <c r="BB96" i="19"/>
  <c r="BE96" i="19" s="1"/>
  <c r="BP97" i="19"/>
  <c r="CB97" i="19" s="1"/>
  <c r="AY97" i="19"/>
  <c r="AZ97" i="19" s="1"/>
  <c r="AR98" i="19" a="1"/>
  <c r="AR98" i="19" s="1"/>
  <c r="AT98" i="19" s="1"/>
  <c r="AX98" i="19" s="1"/>
  <c r="BQ98" i="19" s="1"/>
  <c r="O115" i="19" l="1" a="1"/>
  <c r="O115" i="19" s="1"/>
  <c r="K115" i="19"/>
  <c r="Q114" i="19"/>
  <c r="W102" i="19"/>
  <c r="AF101" i="19" a="1"/>
  <c r="AF101" i="19" s="1"/>
  <c r="AH101" i="19" s="1"/>
  <c r="BN100" i="19"/>
  <c r="CA100" i="19" s="1"/>
  <c r="AM100" i="19"/>
  <c r="AN100" i="19" s="1"/>
  <c r="BG96" i="19"/>
  <c r="BC97" i="19"/>
  <c r="AV98" i="19"/>
  <c r="AW98" i="19"/>
  <c r="AU98" i="19"/>
  <c r="AP99" i="19" s="1"/>
  <c r="O424" i="19" l="1"/>
  <c r="P115" i="19"/>
  <c r="K424" i="19"/>
  <c r="M115" i="19"/>
  <c r="X102" i="19"/>
  <c r="S103" i="19" s="1"/>
  <c r="U103" i="19" s="1" a="1"/>
  <c r="U103" i="19" s="1"/>
  <c r="Z102" i="19"/>
  <c r="BM102" i="19" s="1"/>
  <c r="Y102" i="19"/>
  <c r="AG102" i="19"/>
  <c r="AJ101" i="19"/>
  <c r="AK101" i="19"/>
  <c r="AS101" i="19"/>
  <c r="AL101" i="19"/>
  <c r="BO101" i="19" s="1"/>
  <c r="AI101" i="19"/>
  <c r="AD102" i="19" s="1"/>
  <c r="AY98" i="19"/>
  <c r="AZ98" i="19" s="1"/>
  <c r="BP98" i="19"/>
  <c r="CB98" i="19" s="1"/>
  <c r="AR99" i="19" a="1"/>
  <c r="AR99" i="19" s="1"/>
  <c r="AT99" i="19" s="1"/>
  <c r="AX99" i="19" s="1"/>
  <c r="BF97" i="19"/>
  <c r="BB97" i="19"/>
  <c r="BE97" i="19" s="1"/>
  <c r="P424" i="19" l="1"/>
  <c r="Q115" i="19"/>
  <c r="Q424" i="19" s="1"/>
  <c r="I116" i="19"/>
  <c r="M424" i="19" a="1"/>
  <c r="M424" i="19" s="1"/>
  <c r="BL102" i="19"/>
  <c r="BZ102" i="19" s="1"/>
  <c r="AA102" i="19"/>
  <c r="AB102" i="19" s="1"/>
  <c r="AH102" i="19" s="1"/>
  <c r="W103" i="19"/>
  <c r="AM101" i="19"/>
  <c r="AN101" i="19" s="1"/>
  <c r="BN101" i="19"/>
  <c r="CA101" i="19" s="1"/>
  <c r="AF102" i="19" a="1"/>
  <c r="AF102" i="19" s="1"/>
  <c r="BG97" i="19"/>
  <c r="AU99" i="19"/>
  <c r="AP100" i="19" s="1"/>
  <c r="BC98" i="19"/>
  <c r="AW99" i="19"/>
  <c r="AV99" i="19"/>
  <c r="BQ99" i="19"/>
  <c r="O116" i="19" l="1" a="1"/>
  <c r="O116" i="19" s="1"/>
  <c r="K116" i="19"/>
  <c r="L116" i="19" s="1"/>
  <c r="X103" i="19"/>
  <c r="S104" i="19" s="1"/>
  <c r="Z103" i="19"/>
  <c r="BM103" i="19" s="1"/>
  <c r="AI102" i="19"/>
  <c r="AD103" i="19" s="1"/>
  <c r="AF103" i="19" s="1" a="1"/>
  <c r="AF103" i="19" s="1"/>
  <c r="AS102" i="19"/>
  <c r="AJ102" i="19"/>
  <c r="Y103" i="19"/>
  <c r="AG103" i="19"/>
  <c r="AL102" i="19"/>
  <c r="AK102" i="19"/>
  <c r="BN102" i="19" s="1"/>
  <c r="AR100" i="19" a="1"/>
  <c r="AR100" i="19" s="1"/>
  <c r="AT100" i="19" s="1"/>
  <c r="BP99" i="19"/>
  <c r="CB99" i="19" s="1"/>
  <c r="AY99" i="19"/>
  <c r="AZ99" i="19" s="1"/>
  <c r="BC99" i="19" s="1"/>
  <c r="BF98" i="19"/>
  <c r="BB98" i="19"/>
  <c r="BE98" i="19" s="1"/>
  <c r="N116" i="19" l="1"/>
  <c r="P116" i="19" s="1"/>
  <c r="Q116" i="19" s="1"/>
  <c r="V116" i="19"/>
  <c r="M116" i="19"/>
  <c r="I117" i="19" s="1"/>
  <c r="BO102" i="19"/>
  <c r="CA102" i="19" s="1"/>
  <c r="AM102" i="19"/>
  <c r="AN102" i="19" s="1"/>
  <c r="U104" i="19" a="1"/>
  <c r="U104" i="19" s="1"/>
  <c r="AA103" i="19"/>
  <c r="AB103" i="19" s="1"/>
  <c r="AH103" i="19" s="1"/>
  <c r="BL103" i="19"/>
  <c r="BZ103" i="19" s="1"/>
  <c r="AV100" i="19"/>
  <c r="AW100" i="19"/>
  <c r="AU100" i="19"/>
  <c r="AP101" i="19" s="1"/>
  <c r="AX100" i="19"/>
  <c r="BQ100" i="19" s="1"/>
  <c r="BG98" i="19"/>
  <c r="BF99" i="19"/>
  <c r="BB99" i="19"/>
  <c r="BE99" i="19" s="1"/>
  <c r="K117" i="19" l="1"/>
  <c r="O117" i="19" a="1"/>
  <c r="O117" i="19" s="1"/>
  <c r="AS103" i="19"/>
  <c r="AJ103" i="19"/>
  <c r="W104" i="19"/>
  <c r="AK103" i="19"/>
  <c r="AL103" i="19"/>
  <c r="BO103" i="19" s="1"/>
  <c r="AI103" i="19"/>
  <c r="AY100" i="19"/>
  <c r="AZ100" i="19" s="1"/>
  <c r="BC100" i="19" s="1"/>
  <c r="BP100" i="19"/>
  <c r="CB100" i="19" s="1"/>
  <c r="AR101" i="19" a="1"/>
  <c r="AR101" i="19" s="1"/>
  <c r="BG99" i="19"/>
  <c r="L117" i="19" l="1"/>
  <c r="M117" i="19" s="1"/>
  <c r="I118" i="19" s="1"/>
  <c r="X104" i="19"/>
  <c r="S105" i="19" s="1"/>
  <c r="Z104" i="19"/>
  <c r="BM104" i="19" s="1"/>
  <c r="Y104" i="19"/>
  <c r="AG104" i="19"/>
  <c r="BN103" i="19"/>
  <c r="CA103" i="19" s="1"/>
  <c r="AM103" i="19"/>
  <c r="AN103" i="19" s="1"/>
  <c r="AD104" i="19"/>
  <c r="AF104" i="19" s="1" a="1"/>
  <c r="AF104" i="19" s="1"/>
  <c r="AT101" i="19"/>
  <c r="AU101" i="19" s="1"/>
  <c r="AP102" i="19" s="1"/>
  <c r="AR102" i="19" s="1" a="1"/>
  <c r="AR102" i="19" s="1"/>
  <c r="BF100" i="19"/>
  <c r="BB100" i="19"/>
  <c r="BE100" i="19" s="1"/>
  <c r="N117" i="19" l="1"/>
  <c r="P117" i="19" s="1"/>
  <c r="Q117" i="19" s="1"/>
  <c r="V117" i="19"/>
  <c r="K118" i="19"/>
  <c r="M118" i="19" s="1"/>
  <c r="I119" i="19" s="1"/>
  <c r="O118" i="19" a="1"/>
  <c r="O118" i="19" s="1"/>
  <c r="P118" i="19" s="1"/>
  <c r="Q118" i="19" s="1"/>
  <c r="L123" i="19"/>
  <c r="U105" i="19" a="1"/>
  <c r="U105" i="19" s="1"/>
  <c r="W105" i="19" s="1"/>
  <c r="AA104" i="19"/>
  <c r="AB104" i="19" s="1"/>
  <c r="AH104" i="19" s="1"/>
  <c r="AL104" i="19" s="1"/>
  <c r="BO104" i="19" s="1"/>
  <c r="BL104" i="19"/>
  <c r="BZ104" i="19" s="1"/>
  <c r="AT102" i="19"/>
  <c r="AV101" i="19"/>
  <c r="AW101" i="19"/>
  <c r="AX101" i="19"/>
  <c r="BQ101" i="19" s="1"/>
  <c r="BG100" i="19"/>
  <c r="O119" i="19" l="1" a="1"/>
  <c r="O119" i="19" s="1"/>
  <c r="K119" i="19"/>
  <c r="N123" i="19"/>
  <c r="V123" i="19"/>
  <c r="Y105" i="19"/>
  <c r="Z105" i="19"/>
  <c r="BM105" i="19" s="1"/>
  <c r="X105" i="19"/>
  <c r="S106" i="19" s="1"/>
  <c r="AG105" i="19"/>
  <c r="AX102" i="19"/>
  <c r="BQ102" i="19" s="1"/>
  <c r="AV102" i="19"/>
  <c r="AW102" i="19"/>
  <c r="AU102" i="19"/>
  <c r="AP103" i="19" s="1"/>
  <c r="BP101" i="19"/>
  <c r="CB101" i="19" s="1"/>
  <c r="AY101" i="19"/>
  <c r="AZ101" i="19" s="1"/>
  <c r="AI104" i="19"/>
  <c r="AD105" i="19" s="1"/>
  <c r="AS104" i="19"/>
  <c r="AJ104" i="19"/>
  <c r="AK104" i="19"/>
  <c r="L119" i="19" l="1"/>
  <c r="M119" i="19" s="1"/>
  <c r="I120" i="19" s="1"/>
  <c r="L124" i="19"/>
  <c r="Z106" i="19"/>
  <c r="BM106" i="19" s="1"/>
  <c r="U106" i="19" a="1"/>
  <c r="U106" i="19" s="1"/>
  <c r="W106" i="19" s="1"/>
  <c r="AA105" i="19"/>
  <c r="AB105" i="19" s="1"/>
  <c r="BL105" i="19"/>
  <c r="BZ105" i="19" s="1"/>
  <c r="AY102" i="19"/>
  <c r="AZ102" i="19" s="1"/>
  <c r="BP102" i="19"/>
  <c r="CB102" i="19" s="1"/>
  <c r="AR103" i="19" a="1"/>
  <c r="AR103" i="19" s="1"/>
  <c r="AT103" i="19" s="1"/>
  <c r="BC101" i="19"/>
  <c r="AM104" i="19"/>
  <c r="BN104" i="19"/>
  <c r="AF105" i="19" a="1"/>
  <c r="AF105" i="19" s="1"/>
  <c r="N119" i="19" l="1"/>
  <c r="P119" i="19" s="1"/>
  <c r="Q119" i="19" s="1"/>
  <c r="V119" i="19"/>
  <c r="O120" i="19" a="1"/>
  <c r="O120" i="19" s="1"/>
  <c r="K120" i="19"/>
  <c r="V124" i="19"/>
  <c r="N124" i="19"/>
  <c r="AH105" i="19"/>
  <c r="AL105" i="19" s="1"/>
  <c r="BO105" i="19" s="1"/>
  <c r="X106" i="19"/>
  <c r="S107" i="19" s="1"/>
  <c r="U107" i="19" s="1" a="1"/>
  <c r="U107" i="19" s="1"/>
  <c r="Y106" i="19"/>
  <c r="AG106" i="19"/>
  <c r="BC102" i="19"/>
  <c r="AV103" i="19"/>
  <c r="AW103" i="19"/>
  <c r="AX103" i="19"/>
  <c r="BQ103" i="19" s="1"/>
  <c r="AU103" i="19"/>
  <c r="BF101" i="19"/>
  <c r="BB101" i="19"/>
  <c r="BE101" i="19" s="1"/>
  <c r="CA104" i="19"/>
  <c r="AN104" i="19"/>
  <c r="BG101" i="19" l="1"/>
  <c r="L120" i="19"/>
  <c r="M120" i="19" s="1"/>
  <c r="I121" i="19" s="1"/>
  <c r="AI105" i="19"/>
  <c r="AD106" i="19" s="1"/>
  <c r="AF106" i="19" s="1" a="1"/>
  <c r="AF106" i="19" s="1"/>
  <c r="AS105" i="19"/>
  <c r="AJ105" i="19"/>
  <c r="AK105" i="19"/>
  <c r="Z107" i="19"/>
  <c r="BM107" i="19" s="1"/>
  <c r="W107" i="19"/>
  <c r="BL106" i="19"/>
  <c r="BZ106" i="19" s="1"/>
  <c r="AA106" i="19"/>
  <c r="AB106" i="19" s="1"/>
  <c r="BP103" i="19"/>
  <c r="CB103" i="19" s="1"/>
  <c r="AY103" i="19"/>
  <c r="AZ103" i="19" s="1"/>
  <c r="AP104" i="19"/>
  <c r="BF102" i="19"/>
  <c r="BB102" i="19"/>
  <c r="BE102" i="19" s="1"/>
  <c r="N120" i="19" l="1"/>
  <c r="P120" i="19" s="1"/>
  <c r="Q120" i="19" s="1"/>
  <c r="V120" i="19"/>
  <c r="O121" i="19" a="1"/>
  <c r="O121" i="19" s="1"/>
  <c r="P121" i="19" s="1"/>
  <c r="Q121" i="19" s="1"/>
  <c r="K121" i="19"/>
  <c r="M121" i="19" s="1"/>
  <c r="I122" i="19" s="1"/>
  <c r="L125" i="19"/>
  <c r="AH106" i="19"/>
  <c r="X107" i="19"/>
  <c r="S108" i="19" s="1"/>
  <c r="U108" i="19" s="1" a="1"/>
  <c r="U108" i="19" s="1"/>
  <c r="AG107" i="19"/>
  <c r="Y107" i="19"/>
  <c r="BN105" i="19"/>
  <c r="CA105" i="19" s="1"/>
  <c r="AM105" i="19"/>
  <c r="AN105" i="19" s="1"/>
  <c r="AL106" i="19"/>
  <c r="BO106" i="19" s="1"/>
  <c r="BG102" i="19"/>
  <c r="BC103" i="19"/>
  <c r="AR104" i="19" a="1"/>
  <c r="AR104" i="19" s="1"/>
  <c r="AT104" i="19" s="1"/>
  <c r="AX104" i="19" s="1"/>
  <c r="BQ104" i="19" s="1"/>
  <c r="O122" i="19" l="1" a="1"/>
  <c r="O122" i="19" s="1"/>
  <c r="P122" i="19" s="1"/>
  <c r="Q122" i="19" s="1"/>
  <c r="K122" i="19"/>
  <c r="M122" i="19" s="1"/>
  <c r="I123" i="19" s="1"/>
  <c r="V125" i="19"/>
  <c r="N125" i="19"/>
  <c r="AI106" i="19"/>
  <c r="AD107" i="19" s="1"/>
  <c r="AF107" i="19" s="1" a="1"/>
  <c r="AF107" i="19" s="1"/>
  <c r="AK106" i="19"/>
  <c r="AJ106" i="19"/>
  <c r="AS106" i="19"/>
  <c r="BL107" i="19"/>
  <c r="BZ107" i="19" s="1"/>
  <c r="AA107" i="19"/>
  <c r="AB107" i="19" s="1"/>
  <c r="W108" i="19"/>
  <c r="Z108" i="19"/>
  <c r="BM108" i="19" s="1"/>
  <c r="AW104" i="19"/>
  <c r="AV104" i="19"/>
  <c r="AU104" i="19"/>
  <c r="AP105" i="19" s="1"/>
  <c r="BF103" i="19"/>
  <c r="BB103" i="19"/>
  <c r="BE103" i="19" s="1"/>
  <c r="BG103" i="19" s="1"/>
  <c r="O123" i="19" l="1" a="1"/>
  <c r="O123" i="19" s="1"/>
  <c r="P123" i="19" s="1"/>
  <c r="Q123" i="19" s="1"/>
  <c r="K123" i="19"/>
  <c r="M123" i="19" s="1"/>
  <c r="I124" i="19" s="1"/>
  <c r="AH107" i="19"/>
  <c r="AM106" i="19"/>
  <c r="AN106" i="19" s="1"/>
  <c r="BN106" i="19"/>
  <c r="CA106" i="19" s="1"/>
  <c r="AG108" i="19"/>
  <c r="Y108" i="19"/>
  <c r="X108" i="19"/>
  <c r="S109" i="19" s="1"/>
  <c r="U109" i="19" s="1" a="1"/>
  <c r="U109" i="19" s="1"/>
  <c r="BP104" i="19"/>
  <c r="CB104" i="19" s="1"/>
  <c r="AY104" i="19"/>
  <c r="AZ104" i="19" s="1"/>
  <c r="BC104" i="19" s="1"/>
  <c r="AR105" i="19" a="1"/>
  <c r="AR105" i="19" s="1"/>
  <c r="AT105" i="19" s="1"/>
  <c r="K124" i="19" l="1"/>
  <c r="M124" i="19" s="1"/>
  <c r="I125" i="19" s="1"/>
  <c r="O124" i="19" a="1"/>
  <c r="O124" i="19" s="1"/>
  <c r="P124" i="19" s="1"/>
  <c r="Q124" i="19" s="1"/>
  <c r="L126" i="19"/>
  <c r="N126" i="19" s="1"/>
  <c r="AL107" i="19"/>
  <c r="BO107" i="19" s="1"/>
  <c r="AI107" i="19"/>
  <c r="AD108" i="19" s="1"/>
  <c r="AJ107" i="19"/>
  <c r="AK107" i="19"/>
  <c r="AS107" i="19"/>
  <c r="BL108" i="19"/>
  <c r="BZ108" i="19" s="1"/>
  <c r="AA108" i="19"/>
  <c r="AB108" i="19" s="1"/>
  <c r="AH108" i="19" s="1"/>
  <c r="Z109" i="19"/>
  <c r="BM109" i="19" s="1"/>
  <c r="W109" i="19"/>
  <c r="AX105" i="19"/>
  <c r="BQ105" i="19" s="1"/>
  <c r="AU105" i="19"/>
  <c r="AP106" i="19" s="1"/>
  <c r="BF104" i="19"/>
  <c r="BB104" i="19"/>
  <c r="BE104" i="19" s="1"/>
  <c r="AV105" i="19"/>
  <c r="AW105" i="19"/>
  <c r="K125" i="19" l="1"/>
  <c r="M125" i="19" s="1"/>
  <c r="I126" i="19" s="1"/>
  <c r="O125" i="19" a="1"/>
  <c r="O125" i="19" s="1"/>
  <c r="P125" i="19" s="1"/>
  <c r="Q125" i="19" s="1"/>
  <c r="V126" i="19"/>
  <c r="L127" i="19"/>
  <c r="AF108" i="19" a="1"/>
  <c r="AF108" i="19" s="1"/>
  <c r="AI108" i="19" s="1"/>
  <c r="AD109" i="19" s="1"/>
  <c r="AL108" i="19"/>
  <c r="BO108" i="19" s="1"/>
  <c r="BN107" i="19"/>
  <c r="CA107" i="19" s="1"/>
  <c r="AM107" i="19"/>
  <c r="AN107" i="19" s="1"/>
  <c r="AK108" i="19"/>
  <c r="AS108" i="19"/>
  <c r="AJ108" i="19"/>
  <c r="X109" i="19"/>
  <c r="S110" i="19" s="1"/>
  <c r="U110" i="19" s="1" a="1"/>
  <c r="U110" i="19" s="1"/>
  <c r="Y109" i="19"/>
  <c r="AG109" i="19"/>
  <c r="BG104" i="19"/>
  <c r="AR106" i="19" a="1"/>
  <c r="AR106" i="19" s="1"/>
  <c r="AT106" i="19" s="1"/>
  <c r="AY105" i="19"/>
  <c r="AZ105" i="19" s="1"/>
  <c r="BC105" i="19" s="1"/>
  <c r="BP105" i="19"/>
  <c r="CB105" i="19" s="1"/>
  <c r="K126" i="19" l="1"/>
  <c r="M126" i="19" s="1"/>
  <c r="I127" i="19" s="1"/>
  <c r="O126" i="19" a="1"/>
  <c r="O126" i="19" s="1"/>
  <c r="P126" i="19" s="1"/>
  <c r="Q126" i="19" s="1"/>
  <c r="N127" i="19"/>
  <c r="V127" i="19"/>
  <c r="AL109" i="19"/>
  <c r="BO109" i="19" s="1"/>
  <c r="AF109" i="19" a="1"/>
  <c r="AF109" i="19" s="1"/>
  <c r="BL109" i="19"/>
  <c r="BZ109" i="19" s="1"/>
  <c r="AA109" i="19"/>
  <c r="AB109" i="19" s="1"/>
  <c r="AH109" i="19" s="1"/>
  <c r="BN108" i="19"/>
  <c r="CA108" i="19" s="1"/>
  <c r="AM108" i="19"/>
  <c r="AN108" i="19" s="1"/>
  <c r="Z110" i="19"/>
  <c r="BM110" i="19" s="1"/>
  <c r="W110" i="19"/>
  <c r="AU106" i="19"/>
  <c r="AP107" i="19" s="1"/>
  <c r="AR107" i="19" s="1" a="1"/>
  <c r="AR107" i="19" s="1"/>
  <c r="AT107" i="19" s="1"/>
  <c r="AX106" i="19"/>
  <c r="BQ106" i="19" s="1"/>
  <c r="AV106" i="19"/>
  <c r="AW106" i="19"/>
  <c r="BF105" i="19"/>
  <c r="BB105" i="19"/>
  <c r="BE105" i="19" s="1"/>
  <c r="BG105" i="19" l="1"/>
  <c r="O127" i="19" a="1"/>
  <c r="O127" i="19" s="1"/>
  <c r="P127" i="19" s="1"/>
  <c r="K127" i="19"/>
  <c r="M127" i="19" s="1"/>
  <c r="I128" i="19" s="1"/>
  <c r="M425" i="19" a="1"/>
  <c r="M425" i="19" s="1"/>
  <c r="AI109" i="19"/>
  <c r="AD110" i="19" s="1"/>
  <c r="AF110" i="19" s="1" a="1"/>
  <c r="AF110" i="19" s="1"/>
  <c r="AK109" i="19"/>
  <c r="AJ109" i="19"/>
  <c r="AS109" i="19"/>
  <c r="X110" i="19"/>
  <c r="S111" i="19" s="1"/>
  <c r="Y110" i="19"/>
  <c r="AG110" i="19"/>
  <c r="AY106" i="19"/>
  <c r="AZ106" i="19" s="1"/>
  <c r="BP106" i="19"/>
  <c r="CB106" i="19" s="1"/>
  <c r="AX107" i="19"/>
  <c r="BQ107" i="19" s="1"/>
  <c r="AU107" i="19"/>
  <c r="AP108" i="19" s="1"/>
  <c r="AW107" i="19"/>
  <c r="AV107" i="19"/>
  <c r="K128" i="19" l="1"/>
  <c r="M128" i="19" s="1"/>
  <c r="O128" i="19" a="1"/>
  <c r="O128" i="19" s="1"/>
  <c r="Q127" i="19"/>
  <c r="AM109" i="19"/>
  <c r="AN109" i="19" s="1"/>
  <c r="BN109" i="19"/>
  <c r="CA109" i="19" s="1"/>
  <c r="AA110" i="19"/>
  <c r="AB110" i="19" s="1"/>
  <c r="AH110" i="19" s="1"/>
  <c r="BL110" i="19"/>
  <c r="BZ110" i="19" s="1"/>
  <c r="Z111" i="19"/>
  <c r="BM111" i="19" s="1"/>
  <c r="U111" i="19" a="1"/>
  <c r="U111" i="19" s="1"/>
  <c r="W111" i="19" s="1"/>
  <c r="BC106" i="19"/>
  <c r="AR108" i="19" a="1"/>
  <c r="AR108" i="19" s="1"/>
  <c r="AT108" i="19" s="1"/>
  <c r="BP107" i="19"/>
  <c r="CB107" i="19" s="1"/>
  <c r="AY107" i="19"/>
  <c r="AZ107" i="19" s="1"/>
  <c r="K426" i="19" l="1"/>
  <c r="M426" i="19" a="1"/>
  <c r="M426" i="19" s="1"/>
  <c r="I129" i="19"/>
  <c r="O426" i="19"/>
  <c r="P128" i="19"/>
  <c r="AL110" i="19"/>
  <c r="BO110" i="19" s="1"/>
  <c r="AK110" i="19"/>
  <c r="AI110" i="19"/>
  <c r="AD111" i="19" s="1"/>
  <c r="AJ110" i="19"/>
  <c r="AS110" i="19"/>
  <c r="X111" i="19"/>
  <c r="S112" i="19" s="1"/>
  <c r="Y111" i="19"/>
  <c r="AG111" i="19"/>
  <c r="BF106" i="19"/>
  <c r="BB106" i="19"/>
  <c r="BE106" i="19" s="1"/>
  <c r="AX108" i="19"/>
  <c r="BQ108" i="19" s="1"/>
  <c r="AW108" i="19"/>
  <c r="AV108" i="19"/>
  <c r="AU108" i="19"/>
  <c r="AP109" i="19" s="1"/>
  <c r="BC107" i="19"/>
  <c r="O129" i="19" l="1" a="1"/>
  <c r="O129" i="19" s="1"/>
  <c r="K129" i="19"/>
  <c r="P426" i="19"/>
  <c r="Q128" i="19"/>
  <c r="BL111" i="19"/>
  <c r="BZ111" i="19" s="1"/>
  <c r="AA111" i="19"/>
  <c r="AB111" i="19" s="1"/>
  <c r="AH111" i="19" s="1"/>
  <c r="U112" i="19" a="1"/>
  <c r="U112" i="19" s="1"/>
  <c r="Z112" i="19"/>
  <c r="BM112" i="19" s="1"/>
  <c r="AM110" i="19"/>
  <c r="AN110" i="19" s="1"/>
  <c r="BN110" i="19"/>
  <c r="CA110" i="19" s="1"/>
  <c r="AL111" i="19"/>
  <c r="BO111" i="19" s="1"/>
  <c r="AF111" i="19" a="1"/>
  <c r="AF111" i="19" s="1"/>
  <c r="BG106" i="19"/>
  <c r="AR109" i="19" a="1"/>
  <c r="AR109" i="19" s="1"/>
  <c r="AT109" i="19" s="1"/>
  <c r="AX109" i="19" s="1"/>
  <c r="BQ109" i="19" s="1"/>
  <c r="BP108" i="19"/>
  <c r="CB108" i="19" s="1"/>
  <c r="AY108" i="19"/>
  <c r="AZ108" i="19" s="1"/>
  <c r="BF107" i="19"/>
  <c r="BB107" i="19"/>
  <c r="BE107" i="19" s="1"/>
  <c r="BG107" i="19" l="1"/>
  <c r="L129" i="19"/>
  <c r="Q426" i="19"/>
  <c r="AI111" i="19"/>
  <c r="AD112" i="19" s="1"/>
  <c r="AK111" i="19"/>
  <c r="AJ111" i="19"/>
  <c r="AS111" i="19"/>
  <c r="W112" i="19"/>
  <c r="AG112" i="19" s="1"/>
  <c r="AW109" i="19"/>
  <c r="AV109" i="19"/>
  <c r="AU109" i="19"/>
  <c r="AP110" i="19" s="1"/>
  <c r="BC108" i="19"/>
  <c r="M129" i="19" l="1"/>
  <c r="I130" i="19" s="1"/>
  <c r="N129" i="19"/>
  <c r="V129" i="19"/>
  <c r="AF112" i="19" a="1"/>
  <c r="AF112" i="19" s="1"/>
  <c r="AL112" i="19"/>
  <c r="BO112" i="19" s="1"/>
  <c r="X112" i="19"/>
  <c r="S113" i="19" s="1"/>
  <c r="Y112" i="19"/>
  <c r="BN111" i="19"/>
  <c r="CA111" i="19" s="1"/>
  <c r="AM111" i="19"/>
  <c r="AN111" i="19" s="1"/>
  <c r="BF108" i="19"/>
  <c r="BB108" i="19"/>
  <c r="BE108" i="19" s="1"/>
  <c r="AY109" i="19"/>
  <c r="AZ109" i="19" s="1"/>
  <c r="BP109" i="19"/>
  <c r="CB109" i="19" s="1"/>
  <c r="AR110" i="19" a="1"/>
  <c r="AR110" i="19" s="1"/>
  <c r="AT110" i="19" s="1"/>
  <c r="AX110" i="19" s="1"/>
  <c r="BQ110" i="19" s="1"/>
  <c r="K130" i="19" l="1"/>
  <c r="O130" i="19" a="1"/>
  <c r="O130" i="19" s="1"/>
  <c r="P129" i="19"/>
  <c r="Z113" i="19"/>
  <c r="BM113" i="19" s="1"/>
  <c r="U113" i="19" a="1"/>
  <c r="U113" i="19" s="1"/>
  <c r="BL112" i="19"/>
  <c r="BZ112" i="19" s="1"/>
  <c r="AA112" i="19"/>
  <c r="AB112" i="19" s="1"/>
  <c r="AH112" i="19" s="1"/>
  <c r="BG108" i="19"/>
  <c r="BC109" i="19"/>
  <c r="AV110" i="19"/>
  <c r="AW110" i="19"/>
  <c r="AU110" i="19"/>
  <c r="AP111" i="19" s="1"/>
  <c r="L130" i="19" l="1"/>
  <c r="W113" i="19"/>
  <c r="AI112" i="19"/>
  <c r="AD113" i="19" s="1"/>
  <c r="AJ112" i="19"/>
  <c r="AK112" i="19"/>
  <c r="AS112" i="19"/>
  <c r="BP110" i="19"/>
  <c r="CB110" i="19" s="1"/>
  <c r="AY110" i="19"/>
  <c r="AZ110" i="19" s="1"/>
  <c r="AR111" i="19" a="1"/>
  <c r="AR111" i="19" s="1"/>
  <c r="AT111" i="19" s="1"/>
  <c r="AX111" i="19" s="1"/>
  <c r="BF109" i="19"/>
  <c r="BB109" i="19"/>
  <c r="BE109" i="19" s="1"/>
  <c r="BG109" i="19" l="1"/>
  <c r="M130" i="19"/>
  <c r="I131" i="19" s="1"/>
  <c r="V130" i="19"/>
  <c r="N130" i="19"/>
  <c r="X113" i="19"/>
  <c r="S114" i="19" s="1"/>
  <c r="Y113" i="19"/>
  <c r="AG113" i="19"/>
  <c r="AF113" i="19" a="1"/>
  <c r="AF113" i="19" s="1"/>
  <c r="AL113" i="19"/>
  <c r="BO113" i="19" s="1"/>
  <c r="BN112" i="19"/>
  <c r="CA112" i="19" s="1"/>
  <c r="AM112" i="19"/>
  <c r="AN112" i="19" s="1"/>
  <c r="BC110" i="19"/>
  <c r="AW111" i="19"/>
  <c r="AV111" i="19"/>
  <c r="AU111" i="19"/>
  <c r="AP112" i="19" s="1"/>
  <c r="BQ111" i="19"/>
  <c r="K131" i="19" l="1"/>
  <c r="M131" i="19" s="1"/>
  <c r="I132" i="19" s="1"/>
  <c r="O131" i="19" a="1"/>
  <c r="O131" i="19" s="1"/>
  <c r="P130" i="19"/>
  <c r="Z114" i="19"/>
  <c r="BM114" i="19" s="1"/>
  <c r="U114" i="19" a="1"/>
  <c r="U114" i="19" s="1"/>
  <c r="AA113" i="19"/>
  <c r="AB113" i="19" s="1"/>
  <c r="AH113" i="19" s="1"/>
  <c r="BL113" i="19"/>
  <c r="BZ113" i="19" s="1"/>
  <c r="BP111" i="19"/>
  <c r="CB111" i="19" s="1"/>
  <c r="AY111" i="19"/>
  <c r="AZ111" i="19" s="1"/>
  <c r="AR112" i="19" a="1"/>
  <c r="AR112" i="19" s="1"/>
  <c r="AT112" i="19" s="1"/>
  <c r="BF110" i="19"/>
  <c r="BB110" i="19"/>
  <c r="BE110" i="19" s="1"/>
  <c r="O132" i="19" l="1" a="1"/>
  <c r="O132" i="19" s="1"/>
  <c r="K132" i="19"/>
  <c r="M132" i="19" s="1"/>
  <c r="I133" i="19" s="1"/>
  <c r="P131" i="19"/>
  <c r="Q130" i="19"/>
  <c r="W114" i="19"/>
  <c r="X114" i="19" s="1"/>
  <c r="S115" i="19" s="1"/>
  <c r="AS113" i="19"/>
  <c r="AK113" i="19"/>
  <c r="AI113" i="19"/>
  <c r="AD114" i="19" s="1"/>
  <c r="AJ113" i="19"/>
  <c r="BG110" i="19"/>
  <c r="BC111" i="19"/>
  <c r="AW112" i="19"/>
  <c r="AV112" i="19"/>
  <c r="AX112" i="19"/>
  <c r="BQ112" i="19" s="1"/>
  <c r="AU112" i="19"/>
  <c r="AP113" i="19" s="1"/>
  <c r="O133" i="19" l="1" a="1"/>
  <c r="O133" i="19" s="1"/>
  <c r="K133" i="19"/>
  <c r="P132" i="19"/>
  <c r="U115" i="19" a="1"/>
  <c r="U115" i="19" s="1"/>
  <c r="Z115" i="19"/>
  <c r="BM115" i="19" s="1"/>
  <c r="AG114" i="19"/>
  <c r="Y114" i="19"/>
  <c r="BN113" i="19"/>
  <c r="CA113" i="19" s="1"/>
  <c r="AM113" i="19"/>
  <c r="AN113" i="19" s="1"/>
  <c r="AF114" i="19" a="1"/>
  <c r="AF114" i="19" s="1"/>
  <c r="AL114" i="19"/>
  <c r="BO114" i="19" s="1"/>
  <c r="BP112" i="19"/>
  <c r="CB112" i="19" s="1"/>
  <c r="AY112" i="19"/>
  <c r="AZ112" i="19" s="1"/>
  <c r="AR113" i="19" a="1"/>
  <c r="AR113" i="19" s="1"/>
  <c r="BF111" i="19"/>
  <c r="BB111" i="19"/>
  <c r="BE111" i="19" s="1"/>
  <c r="L133" i="19" l="1"/>
  <c r="M133" i="19" s="1"/>
  <c r="I134" i="19" s="1"/>
  <c r="AT113" i="19"/>
  <c r="AV113" i="19" s="1"/>
  <c r="W115" i="19"/>
  <c r="X115" i="19" s="1"/>
  <c r="S116" i="19" s="1"/>
  <c r="AA114" i="19"/>
  <c r="AB114" i="19" s="1"/>
  <c r="AH114" i="19" s="1"/>
  <c r="BL114" i="19"/>
  <c r="BZ114" i="19" s="1"/>
  <c r="BG111" i="19"/>
  <c r="BC112" i="19"/>
  <c r="V133" i="19" l="1"/>
  <c r="N133" i="19"/>
  <c r="K134" i="19"/>
  <c r="M134" i="19" s="1"/>
  <c r="I135" i="19" s="1"/>
  <c r="O134" i="19" a="1"/>
  <c r="O134" i="19" s="1"/>
  <c r="AW113" i="19"/>
  <c r="AX113" i="19"/>
  <c r="BQ113" i="19" s="1"/>
  <c r="AU113" i="19"/>
  <c r="AP114" i="19" s="1"/>
  <c r="AR114" i="19" s="1" a="1"/>
  <c r="AR114" i="19" s="1"/>
  <c r="Z116" i="19"/>
  <c r="BM116" i="19" s="1"/>
  <c r="U116" i="19" a="1"/>
  <c r="U116" i="19" s="1"/>
  <c r="W116" i="19" s="1"/>
  <c r="Y115" i="19"/>
  <c r="AG115" i="19"/>
  <c r="AI114" i="19"/>
  <c r="AD115" i="19" s="1"/>
  <c r="AJ114" i="19"/>
  <c r="AS114" i="19"/>
  <c r="AK114" i="19"/>
  <c r="BF112" i="19"/>
  <c r="BB112" i="19"/>
  <c r="BE112" i="19" s="1"/>
  <c r="P133" i="19" l="1"/>
  <c r="O135" i="19" a="1"/>
  <c r="O135" i="19" s="1"/>
  <c r="P135" i="19" s="1"/>
  <c r="Q135" i="19" s="1"/>
  <c r="K135" i="19"/>
  <c r="M135" i="19" s="1"/>
  <c r="I136" i="19" s="1"/>
  <c r="P134" i="19"/>
  <c r="Q134" i="19" s="1"/>
  <c r="BP113" i="19"/>
  <c r="CB113" i="19" s="1"/>
  <c r="AY113" i="19"/>
  <c r="AZ113" i="19" s="1"/>
  <c r="BC113" i="19" s="1"/>
  <c r="AG116" i="19"/>
  <c r="Y116" i="19"/>
  <c r="X116" i="19"/>
  <c r="S117" i="19" s="1"/>
  <c r="BL115" i="19"/>
  <c r="BZ115" i="19" s="1"/>
  <c r="AA115" i="19"/>
  <c r="AB115" i="19" s="1"/>
  <c r="AH115" i="19" s="1"/>
  <c r="AF115" i="19" a="1"/>
  <c r="AF115" i="19" s="1"/>
  <c r="AL115" i="19"/>
  <c r="BO115" i="19" s="1"/>
  <c r="BN114" i="19"/>
  <c r="CA114" i="19" s="1"/>
  <c r="AM114" i="19"/>
  <c r="AN114" i="19" s="1"/>
  <c r="AT114" i="19" s="1"/>
  <c r="BG112" i="19"/>
  <c r="Q133" i="19" l="1"/>
  <c r="O136" i="19" a="1"/>
  <c r="O136" i="19" s="1"/>
  <c r="K136" i="19"/>
  <c r="AU114" i="19"/>
  <c r="AP115" i="19" s="1"/>
  <c r="AR115" i="19" s="1" a="1"/>
  <c r="AR115" i="19" s="1"/>
  <c r="AX114" i="19"/>
  <c r="AV114" i="19"/>
  <c r="AW114" i="19"/>
  <c r="BP114" i="19" s="1"/>
  <c r="AI115" i="19"/>
  <c r="AD116" i="19" s="1"/>
  <c r="AA116" i="19"/>
  <c r="AB116" i="19" s="1"/>
  <c r="BL116" i="19"/>
  <c r="BZ116" i="19" s="1"/>
  <c r="U117" i="19" a="1"/>
  <c r="U117" i="19" s="1"/>
  <c r="W117" i="19" s="1"/>
  <c r="Z117" i="19"/>
  <c r="BM117" i="19" s="1"/>
  <c r="AS115" i="19"/>
  <c r="AJ115" i="19"/>
  <c r="AK115" i="19"/>
  <c r="BF113" i="19"/>
  <c r="BB113" i="19"/>
  <c r="BE113" i="19" s="1"/>
  <c r="U420" i="19"/>
  <c r="U421" i="19"/>
  <c r="U422" i="19"/>
  <c r="U423" i="19"/>
  <c r="U424" i="19"/>
  <c r="BQ114" i="19" l="1"/>
  <c r="CB114" i="19" s="1"/>
  <c r="AY114" i="19"/>
  <c r="AZ114" i="19" s="1"/>
  <c r="BC114" i="19" s="1"/>
  <c r="L136" i="19"/>
  <c r="M136" i="19" s="1"/>
  <c r="I137" i="19" s="1"/>
  <c r="AL116" i="19"/>
  <c r="BO116" i="19" s="1"/>
  <c r="AF116" i="19" a="1"/>
  <c r="AF116" i="19" s="1"/>
  <c r="AG117" i="19"/>
  <c r="Y117" i="19"/>
  <c r="X117" i="19"/>
  <c r="S118" i="19" s="1"/>
  <c r="AM115" i="19"/>
  <c r="AN115" i="19" s="1"/>
  <c r="AT115" i="19" s="1"/>
  <c r="BN115" i="19"/>
  <c r="CA115" i="19" s="1"/>
  <c r="BG113" i="19"/>
  <c r="N136" i="19" l="1"/>
  <c r="V136" i="19"/>
  <c r="K137" i="19"/>
  <c r="L137" i="19" s="1"/>
  <c r="O137" i="19" a="1"/>
  <c r="O137" i="19" s="1"/>
  <c r="AH116" i="19"/>
  <c r="AI116" i="19" s="1"/>
  <c r="AD117" i="19" s="1"/>
  <c r="AU115" i="19"/>
  <c r="AP116" i="19" s="1"/>
  <c r="AX115" i="19"/>
  <c r="AW115" i="19"/>
  <c r="BP115" i="19" s="1"/>
  <c r="AV115" i="19"/>
  <c r="AA117" i="19"/>
  <c r="AB117" i="19" s="1"/>
  <c r="BL117" i="19"/>
  <c r="BZ117" i="19" s="1"/>
  <c r="Z118" i="19"/>
  <c r="U118" i="19" a="1"/>
  <c r="U118" i="19" s="1"/>
  <c r="BF114" i="19"/>
  <c r="BB114" i="19"/>
  <c r="BE114" i="19" s="1"/>
  <c r="P136" i="19" l="1"/>
  <c r="Q136" i="19" s="1"/>
  <c r="L425" i="19"/>
  <c r="L451" i="19" s="1"/>
  <c r="V137" i="19"/>
  <c r="N137" i="19"/>
  <c r="M137" i="19"/>
  <c r="I138" i="19" s="1"/>
  <c r="L54" i="19"/>
  <c r="L417" i="19"/>
  <c r="AK116" i="19"/>
  <c r="AS116" i="19"/>
  <c r="AJ116" i="19"/>
  <c r="AF117" i="19" a="1"/>
  <c r="AF117" i="19" s="1"/>
  <c r="AH117" i="19" s="1"/>
  <c r="AL117" i="19"/>
  <c r="BO117" i="19" s="1"/>
  <c r="AR116" i="19" a="1"/>
  <c r="AR116" i="19" s="1"/>
  <c r="BQ115" i="19"/>
  <c r="CB115" i="19" s="1"/>
  <c r="AY115" i="19"/>
  <c r="AZ115" i="19" s="1"/>
  <c r="BM118" i="19"/>
  <c r="W118" i="19"/>
  <c r="BG114" i="19"/>
  <c r="AF420" i="19"/>
  <c r="AF421" i="19"/>
  <c r="AF422" i="19"/>
  <c r="AF423" i="19"/>
  <c r="AF424" i="19"/>
  <c r="N425" i="19" l="1"/>
  <c r="N451" i="19" s="1"/>
  <c r="BJ56" i="19" a="1"/>
  <c r="N417" i="19"/>
  <c r="N54" i="19"/>
  <c r="J24" i="19" s="1"/>
  <c r="N55" i="19"/>
  <c r="P137" i="19"/>
  <c r="Q137" i="19" s="1"/>
  <c r="AK117" i="19"/>
  <c r="AJ117" i="19"/>
  <c r="AS117" i="19"/>
  <c r="AI117" i="19"/>
  <c r="AD118" i="19" s="1"/>
  <c r="O138" i="19" a="1"/>
  <c r="O138" i="19" s="1"/>
  <c r="K138" i="19"/>
  <c r="M138" i="19" s="1"/>
  <c r="I139" i="19" s="1"/>
  <c r="V425" i="19"/>
  <c r="V451" i="19" s="1"/>
  <c r="V54" i="19"/>
  <c r="V417" i="19"/>
  <c r="AM116" i="19"/>
  <c r="AN116" i="19" s="1"/>
  <c r="AT116" i="19" s="1"/>
  <c r="BN116" i="19"/>
  <c r="CA116" i="19" s="1"/>
  <c r="BC115" i="19"/>
  <c r="AG118" i="19"/>
  <c r="Y118" i="19"/>
  <c r="X118" i="19"/>
  <c r="S119" i="19" s="1"/>
  <c r="BJ426" i="19" l="1"/>
  <c r="BJ422" i="19"/>
  <c r="BJ56" i="19"/>
  <c r="BJ424" i="19"/>
  <c r="BJ425" i="19"/>
  <c r="BJ423" i="19"/>
  <c r="BJ420" i="19"/>
  <c r="BJ421" i="19"/>
  <c r="AL118" i="19"/>
  <c r="BO118" i="19" s="1"/>
  <c r="AF118" i="19" a="1"/>
  <c r="AF118" i="19" s="1"/>
  <c r="AM117" i="19"/>
  <c r="AN117" i="19" s="1"/>
  <c r="BN117" i="19"/>
  <c r="CA117" i="19" s="1"/>
  <c r="P138" i="19"/>
  <c r="Q138" i="19" s="1"/>
  <c r="O139" i="19" a="1"/>
  <c r="O139" i="19" s="1"/>
  <c r="BK56" i="19" s="1" a="1"/>
  <c r="K139" i="19"/>
  <c r="M139" i="19" s="1"/>
  <c r="AW116" i="19"/>
  <c r="AU116" i="19"/>
  <c r="AP117" i="19" s="1"/>
  <c r="AV116" i="19"/>
  <c r="AX116" i="19"/>
  <c r="BF115" i="19"/>
  <c r="BB115" i="19"/>
  <c r="BE115" i="19" s="1"/>
  <c r="BL118" i="19"/>
  <c r="AA118" i="19"/>
  <c r="Z119" i="19"/>
  <c r="U119" i="19" a="1"/>
  <c r="U119" i="19" s="1"/>
  <c r="BJ451" i="19" l="1"/>
  <c r="BJ55" i="19"/>
  <c r="BJ417" i="19"/>
  <c r="BG115" i="19"/>
  <c r="BY378" i="19"/>
  <c r="BY363" i="19"/>
  <c r="BY136" i="19"/>
  <c r="BY108" i="19"/>
  <c r="BY142" i="19"/>
  <c r="BY110" i="19"/>
  <c r="BY120" i="19"/>
  <c r="BY86" i="19"/>
  <c r="BY74" i="19"/>
  <c r="BY113" i="19"/>
  <c r="BY96" i="19"/>
  <c r="BY90" i="19"/>
  <c r="BY64" i="19"/>
  <c r="BY357" i="19"/>
  <c r="BY414" i="19"/>
  <c r="BY372" i="19"/>
  <c r="BY405" i="19"/>
  <c r="BY399" i="19"/>
  <c r="BY391" i="19"/>
  <c r="BY383" i="19"/>
  <c r="BY379" i="19"/>
  <c r="BY367" i="19"/>
  <c r="BY345" i="19"/>
  <c r="BY303" i="19"/>
  <c r="BY402" i="19"/>
  <c r="BY394" i="19"/>
  <c r="BY386" i="19"/>
  <c r="BY371" i="19"/>
  <c r="BY343" i="19"/>
  <c r="BY179" i="19"/>
  <c r="BY191" i="19"/>
  <c r="BY197" i="19"/>
  <c r="BY181" i="19"/>
  <c r="BY180" i="19"/>
  <c r="BY173" i="19"/>
  <c r="BY171" i="19"/>
  <c r="BY155" i="19"/>
  <c r="BY163" i="19"/>
  <c r="BY199" i="19"/>
  <c r="BY194" i="19"/>
  <c r="BY128" i="19"/>
  <c r="BY426" i="19" s="1"/>
  <c r="BY205" i="19"/>
  <c r="BY200" i="19"/>
  <c r="BY189" i="19"/>
  <c r="BY185" i="19"/>
  <c r="BY184" i="19"/>
  <c r="BY177" i="19"/>
  <c r="BY176" i="19"/>
  <c r="BY167" i="19"/>
  <c r="BY210" i="19"/>
  <c r="BY206" i="19"/>
  <c r="BY195" i="19"/>
  <c r="BY190" i="19"/>
  <c r="BY201" i="19"/>
  <c r="BY196" i="19"/>
  <c r="BY183" i="19"/>
  <c r="BY182" i="19"/>
  <c r="BY175" i="19"/>
  <c r="BY174" i="19"/>
  <c r="BY161" i="19"/>
  <c r="BY153" i="19"/>
  <c r="BY145" i="19"/>
  <c r="BY130" i="19"/>
  <c r="BY143" i="19"/>
  <c r="BY159" i="19"/>
  <c r="BY151" i="19"/>
  <c r="BY169" i="19"/>
  <c r="BY165" i="19"/>
  <c r="BY157" i="19"/>
  <c r="BY141" i="19"/>
  <c r="BY413" i="19"/>
  <c r="BY407" i="19"/>
  <c r="BY397" i="19"/>
  <c r="BY393" i="19"/>
  <c r="BY389" i="19"/>
  <c r="BY385" i="19"/>
  <c r="BY381" i="19"/>
  <c r="BY374" i="19"/>
  <c r="BY365" i="19"/>
  <c r="BY317" i="19"/>
  <c r="BY408" i="19"/>
  <c r="BY404" i="19"/>
  <c r="BY400" i="19"/>
  <c r="BY396" i="19"/>
  <c r="BY392" i="19"/>
  <c r="BY388" i="19"/>
  <c r="BY384" i="19"/>
  <c r="BY380" i="19"/>
  <c r="BY370" i="19"/>
  <c r="BY339" i="19"/>
  <c r="BY329" i="19"/>
  <c r="BY353" i="19"/>
  <c r="BY377" i="19"/>
  <c r="BY319" i="19"/>
  <c r="BY331" i="19"/>
  <c r="BY301" i="19"/>
  <c r="BY311" i="19"/>
  <c r="BY368" i="19"/>
  <c r="BY364" i="19"/>
  <c r="BY351" i="19"/>
  <c r="BY299" i="19"/>
  <c r="BY309" i="19"/>
  <c r="BY323" i="19"/>
  <c r="BY289" i="19"/>
  <c r="BY360" i="19"/>
  <c r="BY356" i="19"/>
  <c r="BY352" i="19"/>
  <c r="BY348" i="19"/>
  <c r="BY344" i="19"/>
  <c r="BY340" i="19"/>
  <c r="BY334" i="19"/>
  <c r="BY330" i="19"/>
  <c r="BY321" i="19"/>
  <c r="BY255" i="19"/>
  <c r="BY247" i="19"/>
  <c r="BY243" i="19"/>
  <c r="BY237" i="19"/>
  <c r="BY233" i="19"/>
  <c r="BY231" i="19"/>
  <c r="BY227" i="19"/>
  <c r="BY223" i="19"/>
  <c r="BY221" i="19"/>
  <c r="BY217" i="19"/>
  <c r="BY125" i="19"/>
  <c r="BY91" i="19"/>
  <c r="BY73" i="19"/>
  <c r="BY88" i="19"/>
  <c r="BY61" i="19"/>
  <c r="BY57" i="19"/>
  <c r="BY67" i="19"/>
  <c r="BY62" i="19"/>
  <c r="BY361" i="19"/>
  <c r="BY262" i="19"/>
  <c r="BY256" i="19"/>
  <c r="BY204" i="19"/>
  <c r="BY193" i="19"/>
  <c r="BY188" i="19"/>
  <c r="BY187" i="19"/>
  <c r="BY250" i="19"/>
  <c r="BY248" i="19"/>
  <c r="BY246" i="19"/>
  <c r="BY244" i="19"/>
  <c r="BY242" i="19"/>
  <c r="BY240" i="19"/>
  <c r="BY238" i="19"/>
  <c r="BY236" i="19"/>
  <c r="BY234" i="19"/>
  <c r="BY232" i="19"/>
  <c r="BY230" i="19"/>
  <c r="BY228" i="19"/>
  <c r="BY226" i="19"/>
  <c r="BY224" i="19"/>
  <c r="BY222" i="19"/>
  <c r="BY220" i="19"/>
  <c r="BY218" i="19"/>
  <c r="BY216" i="19"/>
  <c r="BY214" i="19"/>
  <c r="BY212" i="19"/>
  <c r="BY209" i="19"/>
  <c r="BY208" i="19"/>
  <c r="BY207" i="19"/>
  <c r="BY211" i="19"/>
  <c r="BY202" i="19"/>
  <c r="BY251" i="19"/>
  <c r="BY245" i="19"/>
  <c r="BY241" i="19"/>
  <c r="BY239" i="19"/>
  <c r="BY235" i="19"/>
  <c r="BY229" i="19"/>
  <c r="BY225" i="19"/>
  <c r="BY219" i="19"/>
  <c r="BY101" i="19"/>
  <c r="BY95" i="19"/>
  <c r="BY69" i="19"/>
  <c r="BY305" i="19"/>
  <c r="BY293" i="19"/>
  <c r="BY258" i="19"/>
  <c r="BY283" i="19"/>
  <c r="BY281" i="19"/>
  <c r="BY279" i="19"/>
  <c r="BY277" i="19"/>
  <c r="BY275" i="19"/>
  <c r="BY273" i="19"/>
  <c r="BY271" i="19"/>
  <c r="BY269" i="19"/>
  <c r="BY267" i="19"/>
  <c r="BY265" i="19"/>
  <c r="BY263" i="19"/>
  <c r="BY261" i="19"/>
  <c r="BY259" i="19"/>
  <c r="BY252" i="19"/>
  <c r="BY260" i="19"/>
  <c r="BY254" i="19"/>
  <c r="BY147" i="19"/>
  <c r="BY326" i="19"/>
  <c r="BY324" i="19"/>
  <c r="BY322" i="19"/>
  <c r="BY320" i="19"/>
  <c r="BY318" i="19"/>
  <c r="BY316" i="19"/>
  <c r="BY314" i="19"/>
  <c r="BY312" i="19"/>
  <c r="BY310" i="19"/>
  <c r="BY308" i="19"/>
  <c r="BY306" i="19"/>
  <c r="BY304" i="19"/>
  <c r="BY302" i="19"/>
  <c r="BY300" i="19"/>
  <c r="BY298" i="19"/>
  <c r="BY296" i="19"/>
  <c r="BY294" i="19"/>
  <c r="BY292" i="19"/>
  <c r="BY290" i="19"/>
  <c r="BY288" i="19"/>
  <c r="BY286" i="19"/>
  <c r="BY284" i="19"/>
  <c r="BY282" i="19"/>
  <c r="BY280" i="19"/>
  <c r="BY278" i="19"/>
  <c r="BY276" i="19"/>
  <c r="BY274" i="19"/>
  <c r="BY272" i="19"/>
  <c r="BY270" i="19"/>
  <c r="BY268" i="19"/>
  <c r="BY266" i="19"/>
  <c r="BY264" i="19"/>
  <c r="BY149" i="19"/>
  <c r="BY168" i="19"/>
  <c r="BY164" i="19"/>
  <c r="BY160" i="19"/>
  <c r="BY156" i="19"/>
  <c r="BY152" i="19"/>
  <c r="BY134" i="19"/>
  <c r="BY148" i="19"/>
  <c r="BY132" i="19"/>
  <c r="BY135" i="19"/>
  <c r="BY99" i="19"/>
  <c r="BY76" i="19"/>
  <c r="BY114" i="19"/>
  <c r="BY129" i="19"/>
  <c r="BY84" i="19"/>
  <c r="BY68" i="19"/>
  <c r="BY401" i="19"/>
  <c r="BY410" i="19"/>
  <c r="BY373" i="19"/>
  <c r="BY409" i="19"/>
  <c r="BY403" i="19"/>
  <c r="BY395" i="19"/>
  <c r="BY387" i="19"/>
  <c r="BY375" i="19"/>
  <c r="BY359" i="19"/>
  <c r="BY327" i="19"/>
  <c r="BY406" i="19"/>
  <c r="BY398" i="19"/>
  <c r="BY390" i="19"/>
  <c r="BY382" i="19"/>
  <c r="BY369" i="19"/>
  <c r="BY198" i="19"/>
  <c r="BY178" i="19"/>
  <c r="BY186" i="19"/>
  <c r="BY192" i="19"/>
  <c r="BY172" i="19"/>
  <c r="BY257" i="19"/>
  <c r="BY253" i="19"/>
  <c r="BY249" i="19"/>
  <c r="BY126" i="19"/>
  <c r="BY121" i="19"/>
  <c r="BY122" i="19"/>
  <c r="BY87" i="19"/>
  <c r="BY102" i="19"/>
  <c r="BY133" i="19"/>
  <c r="BY117" i="19"/>
  <c r="BY97" i="19"/>
  <c r="BY103" i="19"/>
  <c r="BY65" i="19"/>
  <c r="BY72" i="19"/>
  <c r="BY78" i="19"/>
  <c r="BY63" i="19"/>
  <c r="BY60" i="19"/>
  <c r="BY75" i="19"/>
  <c r="BY412" i="19"/>
  <c r="BY415" i="19"/>
  <c r="BY411" i="19"/>
  <c r="BY347" i="19"/>
  <c r="BY325" i="19"/>
  <c r="BY215" i="19"/>
  <c r="BY213" i="19"/>
  <c r="BY203" i="19"/>
  <c r="BY170" i="19"/>
  <c r="BY166" i="19"/>
  <c r="BY162" i="19"/>
  <c r="BY158" i="19"/>
  <c r="BY154" i="19"/>
  <c r="BY124" i="19"/>
  <c r="BY116" i="19"/>
  <c r="BY115" i="19"/>
  <c r="BY150" i="19"/>
  <c r="BY146" i="19"/>
  <c r="BY119" i="19"/>
  <c r="BY105" i="19"/>
  <c r="BY139" i="19"/>
  <c r="BY131" i="19"/>
  <c r="BY104" i="19"/>
  <c r="BY89" i="19"/>
  <c r="BY58" i="19"/>
  <c r="BY71" i="19"/>
  <c r="BY106" i="19"/>
  <c r="BY79" i="19"/>
  <c r="BY81" i="19"/>
  <c r="BY93" i="19"/>
  <c r="BY82" i="19"/>
  <c r="BY66" i="19"/>
  <c r="BY376" i="19"/>
  <c r="BY307" i="19"/>
  <c r="BY341" i="19"/>
  <c r="BY355" i="19"/>
  <c r="BY315" i="19"/>
  <c r="BY144" i="19"/>
  <c r="BY140" i="19"/>
  <c r="BY107" i="19"/>
  <c r="BY118" i="19"/>
  <c r="BY138" i="19"/>
  <c r="BY92" i="19"/>
  <c r="BY112" i="19"/>
  <c r="BY111" i="19"/>
  <c r="BY100" i="19"/>
  <c r="BY137" i="19"/>
  <c r="BY127" i="19"/>
  <c r="BY123" i="19"/>
  <c r="BY109" i="19"/>
  <c r="BY94" i="19"/>
  <c r="BY98" i="19"/>
  <c r="BY77" i="19"/>
  <c r="BY85" i="19"/>
  <c r="BY83" i="19"/>
  <c r="BY59" i="19"/>
  <c r="BY70" i="19"/>
  <c r="BY80" i="19"/>
  <c r="BY349" i="19"/>
  <c r="BY333" i="19"/>
  <c r="BY335" i="19"/>
  <c r="BY287" i="19"/>
  <c r="BY366" i="19"/>
  <c r="BY362" i="19"/>
  <c r="BY337" i="19"/>
  <c r="BY297" i="19"/>
  <c r="BY295" i="19"/>
  <c r="BY291" i="19"/>
  <c r="BY285" i="19"/>
  <c r="BY358" i="19"/>
  <c r="BY354" i="19"/>
  <c r="BY350" i="19"/>
  <c r="BY346" i="19"/>
  <c r="BY342" i="19"/>
  <c r="BY338" i="19"/>
  <c r="BY336" i="19"/>
  <c r="BY332" i="19"/>
  <c r="BY328" i="19"/>
  <c r="BY313" i="19"/>
  <c r="BK426" i="19"/>
  <c r="BK56" i="19"/>
  <c r="BK422" i="19"/>
  <c r="BK423" i="19"/>
  <c r="BK420" i="19"/>
  <c r="BK425" i="19"/>
  <c r="BK421" i="19"/>
  <c r="BK424" i="19"/>
  <c r="O417" i="19"/>
  <c r="O55" i="19"/>
  <c r="O54" i="19"/>
  <c r="I24" i="19" s="1"/>
  <c r="O425" i="19"/>
  <c r="O451" i="19" s="1"/>
  <c r="P139" i="19"/>
  <c r="K54" i="19"/>
  <c r="K417" i="19"/>
  <c r="K425" i="19"/>
  <c r="K451" i="19" s="1"/>
  <c r="BP116" i="19"/>
  <c r="AY116" i="19"/>
  <c r="AZ116" i="19" s="1"/>
  <c r="AR117" i="19" a="1"/>
  <c r="AR117" i="19" s="1"/>
  <c r="AT117" i="19" s="1"/>
  <c r="AX117" i="19" s="1"/>
  <c r="BQ117" i="19" s="1"/>
  <c r="BQ116" i="19"/>
  <c r="BZ118" i="19"/>
  <c r="AB118" i="19"/>
  <c r="BM119" i="19"/>
  <c r="W119" i="19"/>
  <c r="X119" i="19" s="1"/>
  <c r="S120" i="19" s="1"/>
  <c r="U120" i="19" s="1" a="1"/>
  <c r="U120" i="19" s="1"/>
  <c r="AR420" i="19"/>
  <c r="AR421" i="19"/>
  <c r="AR422" i="19"/>
  <c r="AR423" i="19"/>
  <c r="AR424" i="19"/>
  <c r="CB116" i="19" l="1"/>
  <c r="BY423" i="19"/>
  <c r="BY422" i="19"/>
  <c r="BY420" i="19"/>
  <c r="BY417" i="19"/>
  <c r="BY55" i="19"/>
  <c r="BK55" i="19"/>
  <c r="BK417" i="19"/>
  <c r="P54" i="19"/>
  <c r="H24" i="19" s="1"/>
  <c r="P55" i="19"/>
  <c r="P417" i="19"/>
  <c r="P425" i="19"/>
  <c r="P451" i="19" s="1"/>
  <c r="Q139" i="19"/>
  <c r="BY421" i="19"/>
  <c r="BY425" i="19"/>
  <c r="BY424" i="19"/>
  <c r="BK451" i="19"/>
  <c r="AU117" i="19"/>
  <c r="AP118" i="19" s="1"/>
  <c r="AR118" i="19" s="1" a="1"/>
  <c r="AR118" i="19" s="1"/>
  <c r="BC116" i="19"/>
  <c r="AW117" i="19"/>
  <c r="AV117" i="19"/>
  <c r="AH118" i="19"/>
  <c r="AG119" i="19"/>
  <c r="Y119" i="19"/>
  <c r="Z120" i="19"/>
  <c r="BM120" i="19" s="1"/>
  <c r="W120" i="19"/>
  <c r="X120" i="19" s="1"/>
  <c r="S121" i="19" s="1"/>
  <c r="U121" i="19" s="1" a="1"/>
  <c r="U121" i="19" s="1"/>
  <c r="BF116" i="19" l="1"/>
  <c r="BB116" i="19"/>
  <c r="BE116" i="19" s="1"/>
  <c r="G24" i="19"/>
  <c r="K24" i="19"/>
  <c r="Q417" i="19"/>
  <c r="Q54" i="19"/>
  <c r="Q425" i="19"/>
  <c r="Q451" i="19" s="1"/>
  <c r="BY451" i="19"/>
  <c r="AY117" i="19"/>
  <c r="AZ117" i="19" s="1"/>
  <c r="BP117" i="19"/>
  <c r="CB117" i="19" s="1"/>
  <c r="AK118" i="19"/>
  <c r="AI118" i="19"/>
  <c r="AD119" i="19" s="1"/>
  <c r="AJ118" i="19"/>
  <c r="AS118" i="19"/>
  <c r="BL119" i="19"/>
  <c r="AA119" i="19"/>
  <c r="AG120" i="19"/>
  <c r="Y120" i="19"/>
  <c r="Z121" i="19"/>
  <c r="BM121" i="19" s="1"/>
  <c r="W121" i="19"/>
  <c r="BG116" i="19" l="1"/>
  <c r="BC117" i="19"/>
  <c r="BN118" i="19"/>
  <c r="AM118" i="19"/>
  <c r="AF119" i="19" a="1"/>
  <c r="AF119" i="19" s="1"/>
  <c r="AL119" i="19"/>
  <c r="BZ119" i="19"/>
  <c r="AB119" i="19"/>
  <c r="AA120" i="19"/>
  <c r="AB120" i="19" s="1"/>
  <c r="BL120" i="19"/>
  <c r="BZ120" i="19" s="1"/>
  <c r="Y121" i="19"/>
  <c r="AG121" i="19"/>
  <c r="X121" i="19"/>
  <c r="S122" i="19" s="1"/>
  <c r="U122" i="19" s="1" a="1"/>
  <c r="U122" i="19" s="1"/>
  <c r="BF117" i="19" l="1"/>
  <c r="BB117" i="19"/>
  <c r="BE117" i="19" s="1"/>
  <c r="CA118" i="19"/>
  <c r="AN118" i="19"/>
  <c r="AT118" i="19" s="1"/>
  <c r="BO119" i="19"/>
  <c r="AH119" i="19"/>
  <c r="AA121" i="19"/>
  <c r="AB121" i="19" s="1"/>
  <c r="AH121" i="19" s="1"/>
  <c r="BL121" i="19"/>
  <c r="BZ121" i="19" s="1"/>
  <c r="Z122" i="19"/>
  <c r="BM122" i="19" s="1"/>
  <c r="W122" i="19"/>
  <c r="BG117" i="19" l="1"/>
  <c r="AV118" i="19"/>
  <c r="AU118" i="19"/>
  <c r="AP119" i="19" s="1"/>
  <c r="AW118" i="19"/>
  <c r="AX118" i="19"/>
  <c r="BQ118" i="19" s="1"/>
  <c r="AI119" i="19"/>
  <c r="AD120" i="19" s="1"/>
  <c r="AK119" i="19"/>
  <c r="AJ119" i="19"/>
  <c r="AS119" i="19"/>
  <c r="AK121" i="19"/>
  <c r="AJ121" i="19"/>
  <c r="AS121" i="19"/>
  <c r="Y122" i="19"/>
  <c r="AG122" i="19"/>
  <c r="X122" i="19"/>
  <c r="S123" i="19" s="1"/>
  <c r="U123" i="19" s="1" a="1"/>
  <c r="U123" i="19" s="1"/>
  <c r="AF120" i="19" l="1" a="1"/>
  <c r="AF120" i="19" s="1"/>
  <c r="AH120" i="19" s="1"/>
  <c r="AR119" i="19" a="1"/>
  <c r="AR119" i="19" s="1"/>
  <c r="BP118" i="19"/>
  <c r="CB118" i="19" s="1"/>
  <c r="AY118" i="19"/>
  <c r="AZ118" i="19" s="1"/>
  <c r="AL120" i="19"/>
  <c r="AM119" i="19"/>
  <c r="BN119" i="19"/>
  <c r="BN121" i="19"/>
  <c r="BL122" i="19"/>
  <c r="BZ122" i="19" s="1"/>
  <c r="AA122" i="19"/>
  <c r="AB122" i="19" s="1"/>
  <c r="AH122" i="19" s="1"/>
  <c r="Z123" i="19"/>
  <c r="BM123" i="19" s="1"/>
  <c r="W123" i="19"/>
  <c r="AI120" i="19" l="1"/>
  <c r="AD121" i="19" s="1"/>
  <c r="AK120" i="19"/>
  <c r="AJ120" i="19"/>
  <c r="AS120" i="19"/>
  <c r="BC118" i="19"/>
  <c r="AK122" i="19"/>
  <c r="BN122" i="19" s="1"/>
  <c r="AJ122" i="19"/>
  <c r="AS122" i="19"/>
  <c r="BO120" i="19"/>
  <c r="AN119" i="19"/>
  <c r="AT119" i="19" s="1"/>
  <c r="CA119" i="19"/>
  <c r="AG123" i="19"/>
  <c r="Y123" i="19"/>
  <c r="X123" i="19"/>
  <c r="S124" i="19" s="1"/>
  <c r="U124" i="19" s="1" a="1"/>
  <c r="U124" i="19" s="1"/>
  <c r="BF118" i="19" l="1"/>
  <c r="BB118" i="19"/>
  <c r="BE118" i="19" s="1"/>
  <c r="AF121" i="19" a="1"/>
  <c r="AF121" i="19" s="1"/>
  <c r="AI121" i="19" s="1"/>
  <c r="AD122" i="19" s="1"/>
  <c r="AL121" i="19"/>
  <c r="BN120" i="19"/>
  <c r="CA120" i="19" s="1"/>
  <c r="AM120" i="19"/>
  <c r="AN120" i="19" s="1"/>
  <c r="AU119" i="19"/>
  <c r="AP120" i="19" s="1"/>
  <c r="AV119" i="19"/>
  <c r="AW119" i="19"/>
  <c r="AX119" i="19"/>
  <c r="BQ119" i="19" s="1"/>
  <c r="AA123" i="19"/>
  <c r="AB123" i="19" s="1"/>
  <c r="AH123" i="19" s="1"/>
  <c r="AK123" i="19" s="1"/>
  <c r="BL123" i="19"/>
  <c r="BZ123" i="19" s="1"/>
  <c r="W124" i="19"/>
  <c r="X124" i="19" s="1"/>
  <c r="S125" i="19" s="1"/>
  <c r="U125" i="19" s="1" a="1"/>
  <c r="U125" i="19" s="1"/>
  <c r="BG118" i="19" l="1"/>
  <c r="AF122" i="19" a="1"/>
  <c r="AF122" i="19" s="1"/>
  <c r="AI122" i="19" s="1"/>
  <c r="AD123" i="19" s="1"/>
  <c r="AL122" i="19"/>
  <c r="AM121" i="19"/>
  <c r="AN121" i="19" s="1"/>
  <c r="BO121" i="19"/>
  <c r="CA121" i="19" s="1"/>
  <c r="AR120" i="19" a="1"/>
  <c r="AR120" i="19" s="1"/>
  <c r="AT120" i="19" s="1"/>
  <c r="AX120" i="19" s="1"/>
  <c r="BQ120" i="19" s="1"/>
  <c r="BP119" i="19"/>
  <c r="CB119" i="19" s="1"/>
  <c r="AY119" i="19"/>
  <c r="AZ119" i="19" s="1"/>
  <c r="BC119" i="19" s="1"/>
  <c r="BB119" i="19" s="1"/>
  <c r="BN123" i="19"/>
  <c r="AS123" i="19"/>
  <c r="AJ123" i="19"/>
  <c r="Z125" i="19"/>
  <c r="BM125" i="19" s="1"/>
  <c r="W125" i="19"/>
  <c r="AG124" i="19"/>
  <c r="Y124" i="19"/>
  <c r="Z124" i="19"/>
  <c r="BM124" i="19" s="1"/>
  <c r="AM122" i="19" l="1"/>
  <c r="AN122" i="19" s="1"/>
  <c r="BO122" i="19"/>
  <c r="CA122" i="19" s="1"/>
  <c r="AL123" i="19"/>
  <c r="AF123" i="19" a="1"/>
  <c r="AF123" i="19" s="1"/>
  <c r="AI123" i="19" s="1"/>
  <c r="AD124" i="19" s="1"/>
  <c r="AU120" i="19"/>
  <c r="AP121" i="19" s="1"/>
  <c r="AV120" i="19"/>
  <c r="AW120" i="19"/>
  <c r="BE119" i="19"/>
  <c r="BF119" i="19"/>
  <c r="Y125" i="19"/>
  <c r="AG125" i="19"/>
  <c r="X125" i="19"/>
  <c r="S126" i="19" s="1"/>
  <c r="U126" i="19" s="1" a="1"/>
  <c r="U126" i="19" s="1"/>
  <c r="BL124" i="19"/>
  <c r="BZ124" i="19" s="1"/>
  <c r="AA124" i="19"/>
  <c r="AB124" i="19" s="1"/>
  <c r="AH124" i="19" s="1"/>
  <c r="AT121" i="19" l="1"/>
  <c r="AR121" i="19" a="1"/>
  <c r="AR121" i="19" s="1"/>
  <c r="BO123" i="19"/>
  <c r="CA123" i="19" s="1"/>
  <c r="AM123" i="19"/>
  <c r="AN123" i="19" s="1"/>
  <c r="AL124" i="19"/>
  <c r="BO124" i="19" s="1"/>
  <c r="AF124" i="19" a="1"/>
  <c r="AF124" i="19" s="1"/>
  <c r="AI124" i="19" s="1"/>
  <c r="AD125" i="19" s="1"/>
  <c r="AF125" i="19" s="1" a="1"/>
  <c r="AF125" i="19" s="1"/>
  <c r="AX121" i="19"/>
  <c r="BQ121" i="19" s="1"/>
  <c r="AY120" i="19"/>
  <c r="AZ120" i="19" s="1"/>
  <c r="BP120" i="19"/>
  <c r="CB120" i="19" s="1"/>
  <c r="BG119" i="19"/>
  <c r="AA125" i="19"/>
  <c r="BL125" i="19"/>
  <c r="W126" i="19"/>
  <c r="AJ124" i="19"/>
  <c r="AS124" i="19"/>
  <c r="AK124" i="19"/>
  <c r="AU121" i="19" l="1"/>
  <c r="AP122" i="19" s="1"/>
  <c r="AR122" i="19" s="1" a="1"/>
  <c r="AR122" i="19" s="1"/>
  <c r="AW121" i="19"/>
  <c r="AV121" i="19"/>
  <c r="BC120" i="19"/>
  <c r="AB125" i="19"/>
  <c r="BZ125" i="19"/>
  <c r="X126" i="19"/>
  <c r="S127" i="19" s="1"/>
  <c r="Y126" i="19"/>
  <c r="AG126" i="19"/>
  <c r="Z126" i="19"/>
  <c r="AL125" i="19"/>
  <c r="BN124" i="19"/>
  <c r="CA124" i="19" s="1"/>
  <c r="AM124" i="19"/>
  <c r="AN124" i="19" s="1"/>
  <c r="AX122" i="19" l="1"/>
  <c r="BQ122" i="19" s="1"/>
  <c r="AT122" i="19"/>
  <c r="BP121" i="19"/>
  <c r="CB121" i="19" s="1"/>
  <c r="AY121" i="19"/>
  <c r="AZ121" i="19" s="1"/>
  <c r="BC121" i="19" s="1"/>
  <c r="BF120" i="19"/>
  <c r="BB120" i="19"/>
  <c r="BE120" i="19" s="1"/>
  <c r="U127" i="19" a="1"/>
  <c r="U127" i="19" s="1"/>
  <c r="U425" i="19" s="1"/>
  <c r="Z127" i="19"/>
  <c r="AH125" i="19"/>
  <c r="BM126" i="19"/>
  <c r="AA126" i="19"/>
  <c r="BL126" i="19"/>
  <c r="BO125" i="19"/>
  <c r="AV122" i="19" l="1"/>
  <c r="AW122" i="19"/>
  <c r="AU122" i="19"/>
  <c r="AP123" i="19" s="1"/>
  <c r="BM127" i="19"/>
  <c r="Z425" i="19"/>
  <c r="BM425" i="19"/>
  <c r="BG120" i="19"/>
  <c r="BF121" i="19"/>
  <c r="BB121" i="19"/>
  <c r="BE121" i="19" s="1"/>
  <c r="W127" i="19"/>
  <c r="X127" i="19" s="1"/>
  <c r="S128" i="19" s="1"/>
  <c r="AJ125" i="19"/>
  <c r="AS125" i="19"/>
  <c r="AI125" i="19"/>
  <c r="AD126" i="19" s="1"/>
  <c r="AK125" i="19"/>
  <c r="AB126" i="19"/>
  <c r="AH126" i="19" s="1"/>
  <c r="AK126" i="19" s="1"/>
  <c r="BZ126" i="19"/>
  <c r="AT123" i="19" l="1"/>
  <c r="AR123" i="19" a="1"/>
  <c r="AR123" i="19" s="1"/>
  <c r="AX123" i="19"/>
  <c r="BQ123" i="19" s="1"/>
  <c r="BP122" i="19"/>
  <c r="CB122" i="19" s="1"/>
  <c r="AY122" i="19"/>
  <c r="AZ122" i="19" s="1"/>
  <c r="BG121" i="19"/>
  <c r="Z128" i="19"/>
  <c r="U128" i="19" a="1"/>
  <c r="U128" i="19" s="1"/>
  <c r="W425" i="19"/>
  <c r="AG127" i="19"/>
  <c r="AG425" i="19" s="1"/>
  <c r="Y127" i="19"/>
  <c r="AL126" i="19"/>
  <c r="AF126" i="19" a="1"/>
  <c r="AF126" i="19" s="1"/>
  <c r="AI126" i="19" s="1"/>
  <c r="AD127" i="19" s="1"/>
  <c r="BN125" i="19"/>
  <c r="CA125" i="19" s="1"/>
  <c r="AM125" i="19"/>
  <c r="AN125" i="19" s="1"/>
  <c r="AS126" i="19"/>
  <c r="AJ126" i="19"/>
  <c r="BN126" i="19"/>
  <c r="AU123" i="19" l="1"/>
  <c r="AP124" i="19" s="1"/>
  <c r="AV123" i="19"/>
  <c r="AW123" i="19"/>
  <c r="BC122" i="19"/>
  <c r="Z426" i="19"/>
  <c r="BM128" i="19"/>
  <c r="BM426" i="19" s="1"/>
  <c r="AF127" i="19" a="1"/>
  <c r="AF127" i="19" s="1"/>
  <c r="AF425" i="19" s="1"/>
  <c r="AL127" i="19"/>
  <c r="W128" i="19"/>
  <c r="U417" i="19"/>
  <c r="U54" i="19"/>
  <c r="U426" i="19"/>
  <c r="U451" i="19" s="1"/>
  <c r="BL127" i="19"/>
  <c r="AA127" i="19"/>
  <c r="Y425" i="19"/>
  <c r="BO126" i="19"/>
  <c r="CA126" i="19" s="1"/>
  <c r="AM126" i="19"/>
  <c r="AN126" i="19" s="1"/>
  <c r="AT124" i="19" l="1"/>
  <c r="AX124" i="19"/>
  <c r="BQ124" i="19" s="1"/>
  <c r="AR124" i="19" a="1"/>
  <c r="AR124" i="19" s="1"/>
  <c r="BF122" i="19"/>
  <c r="BB122" i="19"/>
  <c r="BE122" i="19" s="1"/>
  <c r="AY123" i="19"/>
  <c r="AZ123" i="19" s="1"/>
  <c r="BP123" i="19"/>
  <c r="CB123" i="19" s="1"/>
  <c r="BO127" i="19"/>
  <c r="BO425" i="19" s="1"/>
  <c r="AL425" i="19"/>
  <c r="X128" i="19"/>
  <c r="S129" i="19" s="1"/>
  <c r="W426" i="19"/>
  <c r="AG128" i="19"/>
  <c r="AG426" i="19" s="1"/>
  <c r="Y128" i="19"/>
  <c r="BL425" i="19"/>
  <c r="BZ127" i="19"/>
  <c r="BZ425" i="19" s="1"/>
  <c r="AA425" i="19"/>
  <c r="AB127" i="19"/>
  <c r="AU124" i="19" l="1"/>
  <c r="AP125" i="19" s="1"/>
  <c r="AV124" i="19"/>
  <c r="AW124" i="19"/>
  <c r="BG122" i="19"/>
  <c r="BC123" i="19"/>
  <c r="Z129" i="19"/>
  <c r="BM129" i="19" s="1"/>
  <c r="W129" i="19"/>
  <c r="BL128" i="19"/>
  <c r="AA128" i="19"/>
  <c r="Y426" i="19"/>
  <c r="AH127" i="19"/>
  <c r="AB425" i="19"/>
  <c r="AT125" i="19" l="1"/>
  <c r="AR125" i="19" a="1"/>
  <c r="AR125" i="19" s="1"/>
  <c r="AX125" i="19"/>
  <c r="BQ125" i="19" s="1"/>
  <c r="BP124" i="19"/>
  <c r="CB124" i="19" s="1"/>
  <c r="AY124" i="19"/>
  <c r="AZ124" i="19" s="1"/>
  <c r="BF123" i="19"/>
  <c r="BB123" i="19"/>
  <c r="BE123" i="19" s="1"/>
  <c r="X129" i="19"/>
  <c r="S130" i="19" s="1"/>
  <c r="Y129" i="19"/>
  <c r="AG129" i="19"/>
  <c r="BL426" i="19"/>
  <c r="BZ128" i="19"/>
  <c r="BZ426" i="19" s="1"/>
  <c r="AA426" i="19"/>
  <c r="AB128" i="19"/>
  <c r="AS127" i="19"/>
  <c r="AK127" i="19"/>
  <c r="AJ127" i="19"/>
  <c r="AJ425" i="19" s="1"/>
  <c r="AH425" i="19"/>
  <c r="AI127" i="19"/>
  <c r="AD128" i="19" s="1"/>
  <c r="AU125" i="19" l="1"/>
  <c r="AP126" i="19" s="1"/>
  <c r="BG123" i="19"/>
  <c r="AV125" i="19"/>
  <c r="AW125" i="19"/>
  <c r="BC124" i="19"/>
  <c r="Z130" i="19"/>
  <c r="BM130" i="19" s="1"/>
  <c r="W130" i="19"/>
  <c r="AA129" i="19"/>
  <c r="AB129" i="19" s="1"/>
  <c r="AH129" i="19" s="1"/>
  <c r="BL129" i="19"/>
  <c r="BZ129" i="19" s="1"/>
  <c r="AH128" i="19"/>
  <c r="AB426" i="19"/>
  <c r="AS425" i="19"/>
  <c r="AK425" i="19"/>
  <c r="BN127" i="19"/>
  <c r="AM127" i="19"/>
  <c r="AF128" i="19" a="1"/>
  <c r="AF128" i="19" s="1"/>
  <c r="AL128" i="19"/>
  <c r="AX126" i="19" l="1"/>
  <c r="BQ126" i="19" s="1"/>
  <c r="AT126" i="19"/>
  <c r="AR126" i="19" a="1"/>
  <c r="AR126" i="19" s="1"/>
  <c r="AY125" i="19"/>
  <c r="AZ125" i="19" s="1"/>
  <c r="BP125" i="19"/>
  <c r="CB125" i="19" s="1"/>
  <c r="BF124" i="19"/>
  <c r="BB124" i="19"/>
  <c r="BE124" i="19" s="1"/>
  <c r="Y130" i="19"/>
  <c r="AG130" i="19"/>
  <c r="X130" i="19"/>
  <c r="S131" i="19" s="1"/>
  <c r="AS129" i="19"/>
  <c r="AK129" i="19"/>
  <c r="BN129" i="19" s="1"/>
  <c r="AJ129" i="19"/>
  <c r="AH426" i="19"/>
  <c r="AJ128" i="19"/>
  <c r="AJ426" i="19" s="1"/>
  <c r="AS128" i="19"/>
  <c r="AK128" i="19"/>
  <c r="AM128" i="19" s="1"/>
  <c r="AI128" i="19"/>
  <c r="AD129" i="19" s="1"/>
  <c r="BN425" i="19"/>
  <c r="CA127" i="19"/>
  <c r="CA425" i="19" s="1"/>
  <c r="AN127" i="19"/>
  <c r="AN425" i="19" s="1"/>
  <c r="AM425" i="19"/>
  <c r="AF54" i="19"/>
  <c r="AF417" i="19"/>
  <c r="AF426" i="19"/>
  <c r="AF451" i="19" s="1"/>
  <c r="AL426" i="19"/>
  <c r="BO128" i="19"/>
  <c r="AU126" i="19" l="1"/>
  <c r="AP127" i="19" s="1"/>
  <c r="AV126" i="19"/>
  <c r="AW126" i="19"/>
  <c r="BG124" i="19"/>
  <c r="BC125" i="19"/>
  <c r="BL130" i="19"/>
  <c r="BZ130" i="19" s="1"/>
  <c r="AA130" i="19"/>
  <c r="AB130" i="19" s="1"/>
  <c r="AH130" i="19" s="1"/>
  <c r="Z131" i="19"/>
  <c r="BM131" i="19" s="1"/>
  <c r="W131" i="19"/>
  <c r="BN128" i="19"/>
  <c r="AK426" i="19"/>
  <c r="AS426" i="19"/>
  <c r="AI129" i="19"/>
  <c r="AD130" i="19" s="1"/>
  <c r="AL129" i="19"/>
  <c r="AM426" i="19"/>
  <c r="AN128" i="19"/>
  <c r="AN426" i="19" s="1"/>
  <c r="BO426" i="19"/>
  <c r="AR127" i="19" l="1" a="1"/>
  <c r="AR127" i="19" s="1"/>
  <c r="AT127" i="19"/>
  <c r="AX127" i="19"/>
  <c r="AY126" i="19"/>
  <c r="AZ126" i="19" s="1"/>
  <c r="BC126" i="19" s="1"/>
  <c r="BP126" i="19"/>
  <c r="CB126" i="19" s="1"/>
  <c r="BF125" i="19"/>
  <c r="BB125" i="19"/>
  <c r="BE125" i="19" s="1"/>
  <c r="BO129" i="19"/>
  <c r="CA129" i="19" s="1"/>
  <c r="AM129" i="19"/>
  <c r="AN129" i="19" s="1"/>
  <c r="AK130" i="19"/>
  <c r="BN130" i="19" s="1"/>
  <c r="AS130" i="19"/>
  <c r="AJ130" i="19"/>
  <c r="Y131" i="19"/>
  <c r="AG131" i="19"/>
  <c r="X131" i="19"/>
  <c r="S132" i="19" s="1"/>
  <c r="BN426" i="19"/>
  <c r="CA128" i="19"/>
  <c r="CA426" i="19" s="1"/>
  <c r="AL130" i="19"/>
  <c r="AI130" i="19"/>
  <c r="AD131" i="19" s="1"/>
  <c r="AU127" i="19" l="1"/>
  <c r="AP128" i="19" s="1"/>
  <c r="AR425" i="19"/>
  <c r="AW127" i="19"/>
  <c r="AV127" i="19"/>
  <c r="AX425" i="19"/>
  <c r="BQ127" i="19"/>
  <c r="BQ425" i="19" s="1"/>
  <c r="BG125" i="19"/>
  <c r="BF126" i="19"/>
  <c r="BB126" i="19"/>
  <c r="BE126" i="19" s="1"/>
  <c r="BL131" i="19"/>
  <c r="BZ131" i="19" s="1"/>
  <c r="AA131" i="19"/>
  <c r="AB131" i="19" s="1"/>
  <c r="AH131" i="19" s="1"/>
  <c r="AI131" i="19" s="1"/>
  <c r="AD132" i="19" s="1"/>
  <c r="Z132" i="19"/>
  <c r="BM132" i="19" s="1"/>
  <c r="W132" i="19"/>
  <c r="X132" i="19" s="1"/>
  <c r="S133" i="19" s="1"/>
  <c r="AL131" i="19"/>
  <c r="BO130" i="19"/>
  <c r="CA130" i="19" s="1"/>
  <c r="AM130" i="19"/>
  <c r="AN130" i="19" s="1"/>
  <c r="AT128" i="19" l="1"/>
  <c r="AX128" i="19"/>
  <c r="AR128" i="19" a="1"/>
  <c r="AR128" i="19" s="1"/>
  <c r="AW425" i="19"/>
  <c r="BP127" i="19"/>
  <c r="AY127" i="19"/>
  <c r="BG126" i="19"/>
  <c r="AK131" i="19"/>
  <c r="AS131" i="19"/>
  <c r="AJ131" i="19"/>
  <c r="Z133" i="19"/>
  <c r="BM133" i="19" s="1"/>
  <c r="W133" i="19"/>
  <c r="Y132" i="19"/>
  <c r="AG132" i="19"/>
  <c r="AL132" i="19"/>
  <c r="BO132" i="19" s="1"/>
  <c r="BO131" i="19"/>
  <c r="AV128" i="19" l="1"/>
  <c r="AV426" i="19" s="1"/>
  <c r="AW128" i="19"/>
  <c r="AT426" i="19"/>
  <c r="BQ128" i="19"/>
  <c r="BQ426" i="19" s="1"/>
  <c r="AX426" i="19"/>
  <c r="AU128" i="19"/>
  <c r="AP129" i="19" s="1"/>
  <c r="AR54" i="19"/>
  <c r="AR426" i="19"/>
  <c r="AR451" i="19" s="1"/>
  <c r="BP425" i="19"/>
  <c r="CB127" i="19"/>
  <c r="AY425" i="19"/>
  <c r="AZ127" i="19"/>
  <c r="BN131" i="19"/>
  <c r="CA131" i="19" s="1"/>
  <c r="AM131" i="19"/>
  <c r="AN131" i="19" s="1"/>
  <c r="X133" i="19"/>
  <c r="S134" i="19" s="1"/>
  <c r="AG133" i="19"/>
  <c r="Y133" i="19"/>
  <c r="AA132" i="19"/>
  <c r="AB132" i="19" s="1"/>
  <c r="AH132" i="19" s="1"/>
  <c r="BL132" i="19"/>
  <c r="BZ132" i="19" s="1"/>
  <c r="BP128" i="19" l="1"/>
  <c r="AY128" i="19"/>
  <c r="AW426" i="19"/>
  <c r="AX129" i="19"/>
  <c r="BQ129" i="19" s="1"/>
  <c r="AT129" i="19"/>
  <c r="AZ425" i="19"/>
  <c r="BC127" i="19"/>
  <c r="BB127" i="19" s="1"/>
  <c r="Z134" i="19"/>
  <c r="BM134" i="19" s="1"/>
  <c r="W134" i="19"/>
  <c r="AA133" i="19"/>
  <c r="AB133" i="19" s="1"/>
  <c r="AH133" i="19" s="1"/>
  <c r="BL133" i="19"/>
  <c r="BZ133" i="19" s="1"/>
  <c r="AI132" i="19"/>
  <c r="AD133" i="19" s="1"/>
  <c r="AJ132" i="19"/>
  <c r="AS132" i="19"/>
  <c r="AK132" i="19"/>
  <c r="BP426" i="19" l="1"/>
  <c r="CB128" i="19"/>
  <c r="CB426" i="19" s="1"/>
  <c r="AY426" i="19"/>
  <c r="AZ128" i="19"/>
  <c r="AW129" i="19"/>
  <c r="AV129" i="19"/>
  <c r="AU129" i="19"/>
  <c r="AP130" i="19" s="1"/>
  <c r="BE127" i="19"/>
  <c r="BB425" i="19"/>
  <c r="BC425" i="19"/>
  <c r="BF127" i="19"/>
  <c r="AK133" i="19"/>
  <c r="BN133" i="19" s="1"/>
  <c r="AJ133" i="19"/>
  <c r="AS133" i="19"/>
  <c r="Y134" i="19"/>
  <c r="AG134" i="19"/>
  <c r="X134" i="19"/>
  <c r="S135" i="19" s="1"/>
  <c r="AI133" i="19"/>
  <c r="AD134" i="19" s="1"/>
  <c r="AL134" i="19" s="1"/>
  <c r="BO134" i="19" s="1"/>
  <c r="AL133" i="19"/>
  <c r="BN132" i="19"/>
  <c r="CA132" i="19" s="1"/>
  <c r="AM132" i="19"/>
  <c r="AN132" i="19" s="1"/>
  <c r="AZ426" i="19" l="1"/>
  <c r="BC128" i="19"/>
  <c r="AY129" i="19"/>
  <c r="AZ129" i="19" s="1"/>
  <c r="BP129" i="19"/>
  <c r="CB129" i="19" s="1"/>
  <c r="AX130" i="19"/>
  <c r="AT130" i="19"/>
  <c r="AU130" i="19" s="1"/>
  <c r="AP131" i="19" s="1"/>
  <c r="BE425" i="19"/>
  <c r="BG127" i="19"/>
  <c r="BG425" i="19" s="1"/>
  <c r="BO133" i="19"/>
  <c r="CA133" i="19" s="1"/>
  <c r="AM133" i="19"/>
  <c r="AN133" i="19" s="1"/>
  <c r="BL134" i="19"/>
  <c r="BZ134" i="19" s="1"/>
  <c r="AA134" i="19"/>
  <c r="AB134" i="19" s="1"/>
  <c r="AH134" i="19" s="1"/>
  <c r="Z135" i="19"/>
  <c r="BM135" i="19" s="1"/>
  <c r="W135" i="19"/>
  <c r="X135" i="19" s="1"/>
  <c r="S136" i="19" s="1"/>
  <c r="BF128" i="19" l="1"/>
  <c r="BF426" i="19" s="1"/>
  <c r="BB128" i="19"/>
  <c r="BC426" i="19"/>
  <c r="BC129" i="19"/>
  <c r="BQ130" i="19"/>
  <c r="AX131" i="19"/>
  <c r="AT131" i="19"/>
  <c r="AU131" i="19" s="1"/>
  <c r="AP132" i="19" s="1"/>
  <c r="AV130" i="19"/>
  <c r="AW130" i="19"/>
  <c r="AS134" i="19"/>
  <c r="AK134" i="19"/>
  <c r="AJ134" i="19"/>
  <c r="AI134" i="19"/>
  <c r="AD135" i="19" s="1"/>
  <c r="W136" i="19"/>
  <c r="Z136" i="19"/>
  <c r="BM136" i="19" s="1"/>
  <c r="Y135" i="19"/>
  <c r="AG135" i="19"/>
  <c r="BF129" i="19" l="1"/>
  <c r="BB129" i="19"/>
  <c r="BE129" i="19" s="1"/>
  <c r="BG129" i="19" s="1"/>
  <c r="BE128" i="19"/>
  <c r="BB426" i="19"/>
  <c r="BQ131" i="19"/>
  <c r="AX132" i="19"/>
  <c r="AT132" i="19"/>
  <c r="AU132" i="19" s="1"/>
  <c r="AP133" i="19" s="1"/>
  <c r="AW131" i="19"/>
  <c r="AV131" i="19"/>
  <c r="BP130" i="19"/>
  <c r="CB130" i="19" s="1"/>
  <c r="AY130" i="19"/>
  <c r="AZ130" i="19" s="1"/>
  <c r="AM134" i="19"/>
  <c r="AN134" i="19" s="1"/>
  <c r="BN134" i="19"/>
  <c r="CA134" i="19" s="1"/>
  <c r="AL135" i="19"/>
  <c r="BO135" i="19" s="1"/>
  <c r="X136" i="19"/>
  <c r="S137" i="19" s="1"/>
  <c r="Y136" i="19"/>
  <c r="AG136" i="19"/>
  <c r="AA135" i="19"/>
  <c r="AB135" i="19" s="1"/>
  <c r="AH135" i="19" s="1"/>
  <c r="BL135" i="19"/>
  <c r="BZ135" i="19" s="1"/>
  <c r="BE426" i="19" l="1"/>
  <c r="BG128" i="19"/>
  <c r="BG426" i="19" s="1"/>
  <c r="AT133" i="19"/>
  <c r="AX133" i="19"/>
  <c r="BQ133" i="19" s="1"/>
  <c r="BQ132" i="19"/>
  <c r="AV132" i="19"/>
  <c r="AW132" i="19"/>
  <c r="BP131" i="19"/>
  <c r="CB131" i="19" s="1"/>
  <c r="AY131" i="19"/>
  <c r="AZ131" i="19" s="1"/>
  <c r="BC130" i="19"/>
  <c r="AS135" i="19"/>
  <c r="AJ135" i="19"/>
  <c r="Z137" i="19"/>
  <c r="BM137" i="19" s="1"/>
  <c r="W137" i="19"/>
  <c r="BL136" i="19"/>
  <c r="BZ136" i="19" s="1"/>
  <c r="AA136" i="19"/>
  <c r="AB136" i="19" s="1"/>
  <c r="AH136" i="19" s="1"/>
  <c r="AI135" i="19"/>
  <c r="AD136" i="19" s="1"/>
  <c r="AL136" i="19" s="1"/>
  <c r="BO136" i="19" s="1"/>
  <c r="AK135" i="19"/>
  <c r="AW133" i="19" l="1"/>
  <c r="AV133" i="19"/>
  <c r="AU133" i="19"/>
  <c r="AP134" i="19" s="1"/>
  <c r="BP132" i="19"/>
  <c r="CB132" i="19" s="1"/>
  <c r="AY132" i="19"/>
  <c r="AZ132" i="19" s="1"/>
  <c r="BC131" i="19"/>
  <c r="BF130" i="19"/>
  <c r="BB130" i="19"/>
  <c r="BE130" i="19" s="1"/>
  <c r="BG130" i="19" s="1"/>
  <c r="AS136" i="19"/>
  <c r="AJ136" i="19"/>
  <c r="X137" i="19"/>
  <c r="S138" i="19" s="1"/>
  <c r="Y137" i="19"/>
  <c r="AG137" i="19"/>
  <c r="AK136" i="19"/>
  <c r="AI136" i="19"/>
  <c r="AD137" i="19" s="1"/>
  <c r="AM135" i="19"/>
  <c r="AN135" i="19" s="1"/>
  <c r="BN135" i="19"/>
  <c r="CA135" i="19" s="1"/>
  <c r="AY133" i="19" l="1"/>
  <c r="AZ133" i="19" s="1"/>
  <c r="BP133" i="19"/>
  <c r="CB133" i="19" s="1"/>
  <c r="AT134" i="19"/>
  <c r="AU134" i="19" s="1"/>
  <c r="AP135" i="19" s="1"/>
  <c r="AX134" i="19"/>
  <c r="BC132" i="19"/>
  <c r="BF131" i="19"/>
  <c r="BB131" i="19"/>
  <c r="BE131" i="19" s="1"/>
  <c r="Z138" i="19"/>
  <c r="BM138" i="19" s="1"/>
  <c r="W138" i="19"/>
  <c r="AA137" i="19"/>
  <c r="AB137" i="19" s="1"/>
  <c r="AH137" i="19" s="1"/>
  <c r="BL137" i="19"/>
  <c r="BZ137" i="19" s="1"/>
  <c r="AM136" i="19"/>
  <c r="AN136" i="19" s="1"/>
  <c r="BN136" i="19"/>
  <c r="CA136" i="19" s="1"/>
  <c r="AL137" i="19"/>
  <c r="BO137" i="19" s="1"/>
  <c r="BG131" i="19" l="1"/>
  <c r="BC133" i="19"/>
  <c r="AT135" i="19"/>
  <c r="AU135" i="19" s="1"/>
  <c r="AP136" i="19" s="1"/>
  <c r="AX135" i="19"/>
  <c r="BQ135" i="19" s="1"/>
  <c r="AW134" i="19"/>
  <c r="AV134" i="19"/>
  <c r="BQ134" i="19"/>
  <c r="BF132" i="19"/>
  <c r="BB132" i="19"/>
  <c r="BE132" i="19" s="1"/>
  <c r="X138" i="19"/>
  <c r="S139" i="19" s="1"/>
  <c r="Y138" i="19"/>
  <c r="AG138" i="19"/>
  <c r="AK137" i="19"/>
  <c r="AJ137" i="19"/>
  <c r="AS137" i="19"/>
  <c r="AI137" i="19"/>
  <c r="AD138" i="19" s="1"/>
  <c r="AL138" i="19" s="1"/>
  <c r="BO138" i="19" s="1"/>
  <c r="BG132" i="19" l="1"/>
  <c r="AX136" i="19"/>
  <c r="BQ136" i="19" s="1"/>
  <c r="AT136" i="19"/>
  <c r="AV135" i="19"/>
  <c r="AW135" i="19"/>
  <c r="BP134" i="19"/>
  <c r="CB134" i="19" s="1"/>
  <c r="AY134" i="19"/>
  <c r="AZ134" i="19" s="1"/>
  <c r="BF133" i="19"/>
  <c r="BB133" i="19"/>
  <c r="BE133" i="19" s="1"/>
  <c r="W139" i="19"/>
  <c r="Z139" i="19"/>
  <c r="BM139" i="19" s="1"/>
  <c r="BL138" i="19"/>
  <c r="BZ138" i="19" s="1"/>
  <c r="AA138" i="19"/>
  <c r="AB138" i="19" s="1"/>
  <c r="AH138" i="19" s="1"/>
  <c r="AM137" i="19"/>
  <c r="AN137" i="19" s="1"/>
  <c r="BN137" i="19"/>
  <c r="CA137" i="19" s="1"/>
  <c r="BG133" i="19" l="1"/>
  <c r="AW136" i="19"/>
  <c r="AV136" i="19"/>
  <c r="AU136" i="19"/>
  <c r="AP137" i="19" s="1"/>
  <c r="AY135" i="19"/>
  <c r="AZ135" i="19" s="1"/>
  <c r="BP135" i="19"/>
  <c r="CB135" i="19" s="1"/>
  <c r="BC134" i="19"/>
  <c r="Y139" i="19"/>
  <c r="AG139" i="19"/>
  <c r="X139" i="19"/>
  <c r="S140" i="19" s="1"/>
  <c r="AS138" i="19"/>
  <c r="AJ138" i="19"/>
  <c r="AI138" i="19"/>
  <c r="AD139" i="19" s="1"/>
  <c r="AL139" i="19" s="1"/>
  <c r="BO139" i="19" s="1"/>
  <c r="AK138" i="19"/>
  <c r="BP136" i="19" l="1"/>
  <c r="CB136" i="19" s="1"/>
  <c r="AY136" i="19"/>
  <c r="AZ136" i="19" s="1"/>
  <c r="AT137" i="19"/>
  <c r="AU137" i="19" s="1"/>
  <c r="AP138" i="19" s="1"/>
  <c r="AX137" i="19"/>
  <c r="BQ137" i="19" s="1"/>
  <c r="BC135" i="19"/>
  <c r="BF134" i="19"/>
  <c r="BB134" i="19"/>
  <c r="BE134" i="19" s="1"/>
  <c r="BL139" i="19"/>
  <c r="BZ139" i="19" s="1"/>
  <c r="AA139" i="19"/>
  <c r="AB139" i="19" s="1"/>
  <c r="AH139" i="19" s="1"/>
  <c r="W140" i="19"/>
  <c r="Z140" i="19"/>
  <c r="BM140" i="19" s="1"/>
  <c r="BN138" i="19"/>
  <c r="CA138" i="19" s="1"/>
  <c r="AM138" i="19"/>
  <c r="AN138" i="19" s="1"/>
  <c r="BG134" i="19" l="1"/>
  <c r="BC136" i="19"/>
  <c r="AT138" i="19"/>
  <c r="AX138" i="19"/>
  <c r="BQ138" i="19" s="1"/>
  <c r="AV137" i="19"/>
  <c r="AW137" i="19"/>
  <c r="BF135" i="19"/>
  <c r="BB135" i="19"/>
  <c r="BE135" i="19" s="1"/>
  <c r="AK139" i="19"/>
  <c r="AJ139" i="19"/>
  <c r="AS139" i="19"/>
  <c r="AI139" i="19"/>
  <c r="AD140" i="19" s="1"/>
  <c r="AG140" i="19"/>
  <c r="Y140" i="19"/>
  <c r="X140" i="19"/>
  <c r="S141" i="19" s="1"/>
  <c r="BG135" i="19" l="1"/>
  <c r="BF136" i="19"/>
  <c r="BB136" i="19"/>
  <c r="BE136" i="19" s="1"/>
  <c r="BG136" i="19" s="1"/>
  <c r="AU138" i="19"/>
  <c r="AP139" i="19" s="1"/>
  <c r="AW138" i="19"/>
  <c r="AV138" i="19"/>
  <c r="AY137" i="19"/>
  <c r="AZ137" i="19" s="1"/>
  <c r="BP137" i="19"/>
  <c r="CB137" i="19" s="1"/>
  <c r="AM139" i="19"/>
  <c r="AN139" i="19" s="1"/>
  <c r="BN139" i="19"/>
  <c r="CA139" i="19" s="1"/>
  <c r="AL140" i="19"/>
  <c r="BO140" i="19" s="1"/>
  <c r="AA140" i="19"/>
  <c r="AB140" i="19" s="1"/>
  <c r="AH140" i="19" s="1"/>
  <c r="BL140" i="19"/>
  <c r="BZ140" i="19" s="1"/>
  <c r="Z141" i="19"/>
  <c r="BM141" i="19" s="1"/>
  <c r="W141" i="19"/>
  <c r="AT139" i="19" l="1"/>
  <c r="AX139" i="19"/>
  <c r="BQ139" i="19" s="1"/>
  <c r="BP138" i="19"/>
  <c r="CB138" i="19" s="1"/>
  <c r="AY138" i="19"/>
  <c r="AZ138" i="19" s="1"/>
  <c r="BC137" i="19"/>
  <c r="AG141" i="19"/>
  <c r="Y141" i="19"/>
  <c r="X141" i="19"/>
  <c r="S142" i="19" s="1"/>
  <c r="AI140" i="19"/>
  <c r="AD141" i="19" s="1"/>
  <c r="AJ140" i="19"/>
  <c r="AS140" i="19"/>
  <c r="AK140" i="19"/>
  <c r="AU139" i="19" l="1"/>
  <c r="AP140" i="19" s="1"/>
  <c r="AW139" i="19"/>
  <c r="AV139" i="19"/>
  <c r="BC138" i="19"/>
  <c r="BF137" i="19"/>
  <c r="BB137" i="19"/>
  <c r="BE137" i="19" s="1"/>
  <c r="BG137" i="19" s="1"/>
  <c r="BL141" i="19"/>
  <c r="BZ141" i="19" s="1"/>
  <c r="AA141" i="19"/>
  <c r="AB141" i="19" s="1"/>
  <c r="AH141" i="19" s="1"/>
  <c r="W142" i="19"/>
  <c r="Z142" i="19"/>
  <c r="BM142" i="19" s="1"/>
  <c r="AL141" i="19"/>
  <c r="BO141" i="19" s="1"/>
  <c r="BN140" i="19"/>
  <c r="CA140" i="19" s="1"/>
  <c r="AM140" i="19"/>
  <c r="AN140" i="19" s="1"/>
  <c r="BF138" i="19" l="1"/>
  <c r="BB138" i="19"/>
  <c r="BE138" i="19" s="1"/>
  <c r="AT140" i="19"/>
  <c r="AX140" i="19"/>
  <c r="BQ140" i="19" s="1"/>
  <c r="BP139" i="19"/>
  <c r="CB139" i="19" s="1"/>
  <c r="AY139" i="19"/>
  <c r="AZ139" i="19" s="1"/>
  <c r="BC139" i="19" s="1"/>
  <c r="Y142" i="19"/>
  <c r="AG142" i="19"/>
  <c r="X142" i="19"/>
  <c r="S143" i="19" s="1"/>
  <c r="AJ141" i="19"/>
  <c r="AS141" i="19"/>
  <c r="AK141" i="19"/>
  <c r="AI141" i="19"/>
  <c r="AD142" i="19" s="1"/>
  <c r="BG138" i="19" l="1"/>
  <c r="AU140" i="19"/>
  <c r="AP141" i="19" s="1"/>
  <c r="AW140" i="19"/>
  <c r="AV140" i="19"/>
  <c r="BF139" i="19"/>
  <c r="BB139" i="19"/>
  <c r="BE139" i="19" s="1"/>
  <c r="AA142" i="19"/>
  <c r="AB142" i="19" s="1"/>
  <c r="AH142" i="19" s="1"/>
  <c r="BL142" i="19"/>
  <c r="BZ142" i="19" s="1"/>
  <c r="W143" i="19"/>
  <c r="X143" i="19" s="1"/>
  <c r="S144" i="19" s="1"/>
  <c r="Z143" i="19"/>
  <c r="BM143" i="19" s="1"/>
  <c r="BN141" i="19"/>
  <c r="CA141" i="19" s="1"/>
  <c r="AM141" i="19"/>
  <c r="AN141" i="19" s="1"/>
  <c r="AL142" i="19"/>
  <c r="BO142" i="19" s="1"/>
  <c r="BG139" i="19" l="1"/>
  <c r="AX141" i="19"/>
  <c r="BQ141" i="19" s="1"/>
  <c r="AT141" i="19"/>
  <c r="AY140" i="19"/>
  <c r="AZ140" i="19" s="1"/>
  <c r="BP140" i="19"/>
  <c r="CB140" i="19" s="1"/>
  <c r="AJ142" i="19"/>
  <c r="AS142" i="19"/>
  <c r="AK142" i="19"/>
  <c r="AI142" i="19"/>
  <c r="AD143" i="19" s="1"/>
  <c r="AL143" i="19" s="1"/>
  <c r="BO143" i="19" s="1"/>
  <c r="Z144" i="19"/>
  <c r="BM144" i="19" s="1"/>
  <c r="W144" i="19"/>
  <c r="X144" i="19" s="1"/>
  <c r="S145" i="19" s="1"/>
  <c r="AG143" i="19"/>
  <c r="Y143" i="19"/>
  <c r="BC140" i="19" l="1"/>
  <c r="AV141" i="19"/>
  <c r="AU141" i="19"/>
  <c r="AP142" i="19" s="1"/>
  <c r="AW141" i="19"/>
  <c r="BN142" i="19"/>
  <c r="CA142" i="19" s="1"/>
  <c r="AM142" i="19"/>
  <c r="AN142" i="19" s="1"/>
  <c r="Z145" i="19"/>
  <c r="BM145" i="19" s="1"/>
  <c r="W145" i="19"/>
  <c r="X145" i="19" s="1"/>
  <c r="S146" i="19" s="1"/>
  <c r="Y144" i="19"/>
  <c r="AG144" i="19"/>
  <c r="BL143" i="19"/>
  <c r="BZ143" i="19" s="1"/>
  <c r="AA143" i="19"/>
  <c r="AB143" i="19" s="1"/>
  <c r="AH143" i="19" s="1"/>
  <c r="BF140" i="19" l="1"/>
  <c r="BB140" i="19"/>
  <c r="BE140" i="19" s="1"/>
  <c r="AX142" i="19"/>
  <c r="BQ142" i="19" s="1"/>
  <c r="AT142" i="19"/>
  <c r="AY141" i="19"/>
  <c r="AZ141" i="19" s="1"/>
  <c r="BP141" i="19"/>
  <c r="CB141" i="19" s="1"/>
  <c r="W146" i="19"/>
  <c r="X146" i="19" s="1"/>
  <c r="S147" i="19" s="1"/>
  <c r="Z146" i="19"/>
  <c r="BM146" i="19" s="1"/>
  <c r="AG145" i="19"/>
  <c r="Y145" i="19"/>
  <c r="AA144" i="19"/>
  <c r="AB144" i="19" s="1"/>
  <c r="AH144" i="19" s="1"/>
  <c r="BL144" i="19"/>
  <c r="BZ144" i="19" s="1"/>
  <c r="AI143" i="19"/>
  <c r="AD144" i="19" s="1"/>
  <c r="AL144" i="19" s="1"/>
  <c r="BO144" i="19" s="1"/>
  <c r="AS143" i="19"/>
  <c r="AJ143" i="19"/>
  <c r="AK143" i="19"/>
  <c r="BG140" i="19" l="1"/>
  <c r="AU142" i="19"/>
  <c r="AP143" i="19" s="1"/>
  <c r="AV142" i="19"/>
  <c r="AW142" i="19"/>
  <c r="BC141" i="19"/>
  <c r="Z147" i="19"/>
  <c r="BM147" i="19" s="1"/>
  <c r="W147" i="19"/>
  <c r="AG146" i="19"/>
  <c r="Y146" i="19"/>
  <c r="BL145" i="19"/>
  <c r="BZ145" i="19" s="1"/>
  <c r="AA145" i="19"/>
  <c r="AB145" i="19" s="1"/>
  <c r="AH145" i="19" s="1"/>
  <c r="BN143" i="19"/>
  <c r="CA143" i="19" s="1"/>
  <c r="AM143" i="19"/>
  <c r="AN143" i="19" s="1"/>
  <c r="AI144" i="19"/>
  <c r="AD145" i="19" s="1"/>
  <c r="AK144" i="19"/>
  <c r="AJ144" i="19"/>
  <c r="AS144" i="19"/>
  <c r="BF141" i="19" l="1"/>
  <c r="BB141" i="19"/>
  <c r="BE141" i="19" s="1"/>
  <c r="AT143" i="19"/>
  <c r="AX143" i="19"/>
  <c r="BQ143" i="19" s="1"/>
  <c r="AY142" i="19"/>
  <c r="AZ142" i="19" s="1"/>
  <c r="BP142" i="19"/>
  <c r="CB142" i="19" s="1"/>
  <c r="X147" i="19"/>
  <c r="S148" i="19" s="1"/>
  <c r="AG147" i="19"/>
  <c r="Y147" i="19"/>
  <c r="BL146" i="19"/>
  <c r="BZ146" i="19" s="1"/>
  <c r="AA146" i="19"/>
  <c r="AB146" i="19" s="1"/>
  <c r="AH146" i="19" s="1"/>
  <c r="AL145" i="19"/>
  <c r="BO145" i="19" s="1"/>
  <c r="AI145" i="19"/>
  <c r="AD146" i="19" s="1"/>
  <c r="AM144" i="19"/>
  <c r="AN144" i="19" s="1"/>
  <c r="BN144" i="19"/>
  <c r="CA144" i="19" s="1"/>
  <c r="AS145" i="19"/>
  <c r="AJ145" i="19"/>
  <c r="AK145" i="19"/>
  <c r="BG141" i="19" l="1"/>
  <c r="AU143" i="19"/>
  <c r="AP144" i="19" s="1"/>
  <c r="AV143" i="19"/>
  <c r="AW143" i="19"/>
  <c r="BC142" i="19"/>
  <c r="Z148" i="19"/>
  <c r="BM148" i="19" s="1"/>
  <c r="W148" i="19"/>
  <c r="AA147" i="19"/>
  <c r="AB147" i="19" s="1"/>
  <c r="AH147" i="19" s="1"/>
  <c r="BL147" i="19"/>
  <c r="BZ147" i="19" s="1"/>
  <c r="AI146" i="19"/>
  <c r="AD147" i="19" s="1"/>
  <c r="AL146" i="19"/>
  <c r="BO146" i="19" s="1"/>
  <c r="BN145" i="19"/>
  <c r="CA145" i="19" s="1"/>
  <c r="AM145" i="19"/>
  <c r="AN145" i="19" s="1"/>
  <c r="AJ146" i="19"/>
  <c r="AS146" i="19"/>
  <c r="AK146" i="19"/>
  <c r="BF142" i="19" l="1"/>
  <c r="BB142" i="19"/>
  <c r="BE142" i="19" s="1"/>
  <c r="AT144" i="19"/>
  <c r="AU144" i="19" s="1"/>
  <c r="AP145" i="19" s="1"/>
  <c r="AX144" i="19"/>
  <c r="BQ144" i="19" s="1"/>
  <c r="AY143" i="19"/>
  <c r="AZ143" i="19" s="1"/>
  <c r="BP143" i="19"/>
  <c r="CB143" i="19" s="1"/>
  <c r="Y148" i="19"/>
  <c r="AG148" i="19"/>
  <c r="X148" i="19"/>
  <c r="S149" i="19" s="1"/>
  <c r="AK147" i="19"/>
  <c r="AJ147" i="19"/>
  <c r="AS147" i="19"/>
  <c r="AI147" i="19"/>
  <c r="AD148" i="19" s="1"/>
  <c r="AL148" i="19" s="1"/>
  <c r="BO148" i="19" s="1"/>
  <c r="AL147" i="19"/>
  <c r="BO147" i="19" s="1"/>
  <c r="AM146" i="19"/>
  <c r="AN146" i="19" s="1"/>
  <c r="BN146" i="19"/>
  <c r="CA146" i="19" s="1"/>
  <c r="BG142" i="19" l="1"/>
  <c r="AT145" i="19"/>
  <c r="AX145" i="19"/>
  <c r="BQ145" i="19" s="1"/>
  <c r="AW144" i="19"/>
  <c r="AV144" i="19"/>
  <c r="BC143" i="19"/>
  <c r="AA148" i="19"/>
  <c r="AB148" i="19" s="1"/>
  <c r="AH148" i="19" s="1"/>
  <c r="BL148" i="19"/>
  <c r="BZ148" i="19" s="1"/>
  <c r="W149" i="19"/>
  <c r="X149" i="19" s="1"/>
  <c r="S150" i="19" s="1"/>
  <c r="Z149" i="19"/>
  <c r="BM149" i="19" s="1"/>
  <c r="AM147" i="19"/>
  <c r="AN147" i="19" s="1"/>
  <c r="BN147" i="19"/>
  <c r="CA147" i="19" s="1"/>
  <c r="BF143" i="19" l="1"/>
  <c r="BB143" i="19"/>
  <c r="BE143" i="19" s="1"/>
  <c r="AU145" i="19"/>
  <c r="AP146" i="19" s="1"/>
  <c r="AV145" i="19"/>
  <c r="AW145" i="19"/>
  <c r="BP144" i="19"/>
  <c r="CB144" i="19" s="1"/>
  <c r="AY144" i="19"/>
  <c r="AZ144" i="19" s="1"/>
  <c r="AS148" i="19"/>
  <c r="AJ148" i="19"/>
  <c r="AI148" i="19"/>
  <c r="AD149" i="19" s="1"/>
  <c r="AK148" i="19"/>
  <c r="W150" i="19"/>
  <c r="Z150" i="19"/>
  <c r="BM150" i="19" s="1"/>
  <c r="AG149" i="19"/>
  <c r="Y149" i="19"/>
  <c r="BG143" i="19" l="1"/>
  <c r="AX146" i="19"/>
  <c r="BQ146" i="19" s="1"/>
  <c r="AT146" i="19"/>
  <c r="AY145" i="19"/>
  <c r="AZ145" i="19" s="1"/>
  <c r="BP145" i="19"/>
  <c r="CB145" i="19" s="1"/>
  <c r="BC144" i="19"/>
  <c r="AL149" i="19"/>
  <c r="BO149" i="19" s="1"/>
  <c r="BN148" i="19"/>
  <c r="CA148" i="19" s="1"/>
  <c r="AM148" i="19"/>
  <c r="AN148" i="19" s="1"/>
  <c r="X150" i="19"/>
  <c r="S151" i="19" s="1"/>
  <c r="AG150" i="19"/>
  <c r="Y150" i="19"/>
  <c r="AA149" i="19"/>
  <c r="AB149" i="19" s="1"/>
  <c r="AH149" i="19" s="1"/>
  <c r="BL149" i="19"/>
  <c r="BZ149" i="19" s="1"/>
  <c r="AV146" i="19" l="1"/>
  <c r="AW146" i="19"/>
  <c r="AU146" i="19"/>
  <c r="AP147" i="19" s="1"/>
  <c r="BC145" i="19"/>
  <c r="BF144" i="19"/>
  <c r="BB144" i="19"/>
  <c r="BE144" i="19" s="1"/>
  <c r="W151" i="19"/>
  <c r="Z151" i="19"/>
  <c r="BM151" i="19" s="1"/>
  <c r="AA150" i="19"/>
  <c r="AB150" i="19" s="1"/>
  <c r="AH150" i="19" s="1"/>
  <c r="BL150" i="19"/>
  <c r="BZ150" i="19" s="1"/>
  <c r="AI149" i="19"/>
  <c r="AD150" i="19" s="1"/>
  <c r="AJ149" i="19"/>
  <c r="AS149" i="19"/>
  <c r="AK149" i="19"/>
  <c r="BG144" i="19" l="1"/>
  <c r="AY146" i="19"/>
  <c r="AZ146" i="19" s="1"/>
  <c r="BP146" i="19"/>
  <c r="CB146" i="19" s="1"/>
  <c r="AX147" i="19"/>
  <c r="BQ147" i="19" s="1"/>
  <c r="AT147" i="19"/>
  <c r="BF145" i="19"/>
  <c r="BB145" i="19"/>
  <c r="BE145" i="19" s="1"/>
  <c r="AK150" i="19"/>
  <c r="BN150" i="19" s="1"/>
  <c r="AJ150" i="19"/>
  <c r="AS150" i="19"/>
  <c r="X151" i="19"/>
  <c r="S152" i="19" s="1"/>
  <c r="AG151" i="19"/>
  <c r="Y151" i="19"/>
  <c r="AI150" i="19"/>
  <c r="AD151" i="19" s="1"/>
  <c r="AL150" i="19"/>
  <c r="BN149" i="19"/>
  <c r="CA149" i="19" s="1"/>
  <c r="AM149" i="19"/>
  <c r="AN149" i="19" s="1"/>
  <c r="BG145" i="19" l="1"/>
  <c r="AV147" i="19"/>
  <c r="AW147" i="19"/>
  <c r="AU147" i="19"/>
  <c r="AP148" i="19" s="1"/>
  <c r="BC146" i="19"/>
  <c r="W152" i="19"/>
  <c r="Z152" i="19"/>
  <c r="BM152" i="19" s="1"/>
  <c r="BL151" i="19"/>
  <c r="BZ151" i="19" s="1"/>
  <c r="AA151" i="19"/>
  <c r="AB151" i="19" s="1"/>
  <c r="AH151" i="19" s="1"/>
  <c r="AS151" i="19" s="1"/>
  <c r="AL151" i="19"/>
  <c r="BO151" i="19" s="1"/>
  <c r="BO150" i="19"/>
  <c r="CA150" i="19" s="1"/>
  <c r="AM150" i="19"/>
  <c r="AN150" i="19" s="1"/>
  <c r="BF146" i="19" l="1"/>
  <c r="BB146" i="19"/>
  <c r="BE146" i="19" s="1"/>
  <c r="BP147" i="19"/>
  <c r="CB147" i="19" s="1"/>
  <c r="AY147" i="19"/>
  <c r="AZ147" i="19" s="1"/>
  <c r="AT148" i="19"/>
  <c r="AU148" i="19" s="1"/>
  <c r="AP149" i="19" s="1"/>
  <c r="AX148" i="19"/>
  <c r="AK151" i="19"/>
  <c r="AJ151" i="19"/>
  <c r="AI151" i="19"/>
  <c r="AD152" i="19" s="1"/>
  <c r="AL152" i="19" s="1"/>
  <c r="BO152" i="19" s="1"/>
  <c r="Y152" i="19"/>
  <c r="AG152" i="19"/>
  <c r="X152" i="19"/>
  <c r="S153" i="19" s="1"/>
  <c r="BG146" i="19" l="1"/>
  <c r="BC147" i="19"/>
  <c r="AT149" i="19"/>
  <c r="AX149" i="19"/>
  <c r="BQ149" i="19" s="1"/>
  <c r="AV148" i="19"/>
  <c r="AW148" i="19"/>
  <c r="BQ148" i="19"/>
  <c r="AM151" i="19"/>
  <c r="AN151" i="19" s="1"/>
  <c r="BN151" i="19"/>
  <c r="CA151" i="19" s="1"/>
  <c r="AA152" i="19"/>
  <c r="AB152" i="19" s="1"/>
  <c r="AH152" i="19" s="1"/>
  <c r="BL152" i="19"/>
  <c r="BZ152" i="19" s="1"/>
  <c r="W153" i="19"/>
  <c r="Z153" i="19"/>
  <c r="BM153" i="19" s="1"/>
  <c r="AW149" i="19" l="1"/>
  <c r="AV149" i="19"/>
  <c r="AU149" i="19"/>
  <c r="AP150" i="19" s="1"/>
  <c r="AY148" i="19"/>
  <c r="AZ148" i="19" s="1"/>
  <c r="BP148" i="19"/>
  <c r="CB148" i="19" s="1"/>
  <c r="BF147" i="19"/>
  <c r="BB147" i="19"/>
  <c r="BE147" i="19" s="1"/>
  <c r="BG147" i="19" s="1"/>
  <c r="AK152" i="19"/>
  <c r="AI152" i="19"/>
  <c r="AD153" i="19" s="1"/>
  <c r="AL153" i="19" s="1"/>
  <c r="BO153" i="19" s="1"/>
  <c r="AJ152" i="19"/>
  <c r="AS152" i="19"/>
  <c r="AG153" i="19"/>
  <c r="Y153" i="19"/>
  <c r="X153" i="19"/>
  <c r="S154" i="19" s="1"/>
  <c r="AY149" i="19" l="1"/>
  <c r="AZ149" i="19" s="1"/>
  <c r="BP149" i="19"/>
  <c r="CB149" i="19" s="1"/>
  <c r="AX150" i="19"/>
  <c r="AT150" i="19"/>
  <c r="AU150" i="19" s="1"/>
  <c r="AP151" i="19" s="1"/>
  <c r="BC148" i="19"/>
  <c r="BN152" i="19"/>
  <c r="CA152" i="19" s="1"/>
  <c r="AM152" i="19"/>
  <c r="AN152" i="19" s="1"/>
  <c r="AA153" i="19"/>
  <c r="AB153" i="19" s="1"/>
  <c r="AH153" i="19" s="1"/>
  <c r="BL153" i="19"/>
  <c r="BZ153" i="19" s="1"/>
  <c r="W154" i="19"/>
  <c r="Z154" i="19"/>
  <c r="BM154" i="19" s="1"/>
  <c r="BC149" i="19" l="1"/>
  <c r="AX151" i="19"/>
  <c r="BQ151" i="19" s="1"/>
  <c r="AT151" i="19"/>
  <c r="AU151" i="19" s="1"/>
  <c r="AP152" i="19" s="1"/>
  <c r="AW150" i="19"/>
  <c r="AV150" i="19"/>
  <c r="BQ150" i="19"/>
  <c r="BF148" i="19"/>
  <c r="BB148" i="19"/>
  <c r="BE148" i="19" s="1"/>
  <c r="AG154" i="19"/>
  <c r="Y154" i="19"/>
  <c r="X154" i="19"/>
  <c r="S155" i="19" s="1"/>
  <c r="AI153" i="19"/>
  <c r="AD154" i="19" s="1"/>
  <c r="AJ153" i="19"/>
  <c r="AS153" i="19"/>
  <c r="AK153" i="19"/>
  <c r="BF149" i="19" l="1"/>
  <c r="BB149" i="19"/>
  <c r="BE149" i="19" s="1"/>
  <c r="BG148" i="19"/>
  <c r="AX152" i="19"/>
  <c r="BQ152" i="19" s="1"/>
  <c r="AT152" i="19"/>
  <c r="AW151" i="19"/>
  <c r="AV151" i="19"/>
  <c r="BP150" i="19"/>
  <c r="CB150" i="19" s="1"/>
  <c r="AY150" i="19"/>
  <c r="AZ150" i="19" s="1"/>
  <c r="AA154" i="19"/>
  <c r="AB154" i="19" s="1"/>
  <c r="AH154" i="19" s="1"/>
  <c r="AI154" i="19" s="1"/>
  <c r="AD155" i="19" s="1"/>
  <c r="BL154" i="19"/>
  <c r="BZ154" i="19" s="1"/>
  <c r="Z155" i="19"/>
  <c r="BM155" i="19" s="1"/>
  <c r="W155" i="19"/>
  <c r="AL154" i="19"/>
  <c r="BO154" i="19" s="1"/>
  <c r="AM153" i="19"/>
  <c r="AN153" i="19" s="1"/>
  <c r="BN153" i="19"/>
  <c r="CA153" i="19" s="1"/>
  <c r="BG149" i="19" l="1"/>
  <c r="AV152" i="19"/>
  <c r="AW152" i="19"/>
  <c r="AU152" i="19"/>
  <c r="AP153" i="19" s="1"/>
  <c r="BP151" i="19"/>
  <c r="CB151" i="19" s="1"/>
  <c r="AY151" i="19"/>
  <c r="AZ151" i="19" s="1"/>
  <c r="BC150" i="19"/>
  <c r="Y155" i="19"/>
  <c r="AG155" i="19"/>
  <c r="X155" i="19"/>
  <c r="S156" i="19" s="1"/>
  <c r="AL155" i="19"/>
  <c r="BO155" i="19" s="1"/>
  <c r="AS154" i="19"/>
  <c r="AJ154" i="19"/>
  <c r="AK154" i="19"/>
  <c r="BF150" i="19" l="1"/>
  <c r="BB150" i="19"/>
  <c r="BE150" i="19" s="1"/>
  <c r="BP152" i="19"/>
  <c r="CB152" i="19" s="1"/>
  <c r="AY152" i="19"/>
  <c r="AZ152" i="19" s="1"/>
  <c r="AX153" i="19"/>
  <c r="BQ153" i="19" s="1"/>
  <c r="AT153" i="19"/>
  <c r="AU153" i="19" s="1"/>
  <c r="AP154" i="19" s="1"/>
  <c r="BC151" i="19"/>
  <c r="AA155" i="19"/>
  <c r="AB155" i="19" s="1"/>
  <c r="AH155" i="19" s="1"/>
  <c r="BL155" i="19"/>
  <c r="BZ155" i="19" s="1"/>
  <c r="Z156" i="19"/>
  <c r="BM156" i="19" s="1"/>
  <c r="W156" i="19"/>
  <c r="X156" i="19" s="1"/>
  <c r="S157" i="19" s="1"/>
  <c r="BN154" i="19"/>
  <c r="CA154" i="19" s="1"/>
  <c r="AM154" i="19"/>
  <c r="AN154" i="19" s="1"/>
  <c r="BG150" i="19" l="1"/>
  <c r="BC152" i="19"/>
  <c r="AX154" i="19"/>
  <c r="BQ154" i="19" s="1"/>
  <c r="AT154" i="19"/>
  <c r="AV153" i="19"/>
  <c r="AW153" i="19"/>
  <c r="BF151" i="19"/>
  <c r="BB151" i="19"/>
  <c r="BE151" i="19" s="1"/>
  <c r="BG151" i="19" s="1"/>
  <c r="AS155" i="19"/>
  <c r="AJ155" i="19"/>
  <c r="W157" i="19"/>
  <c r="X157" i="19" s="1"/>
  <c r="S158" i="19" s="1"/>
  <c r="Z157" i="19"/>
  <c r="BM157" i="19" s="1"/>
  <c r="Y156" i="19"/>
  <c r="AG156" i="19"/>
  <c r="AI155" i="19"/>
  <c r="AD156" i="19" s="1"/>
  <c r="AL156" i="19" s="1"/>
  <c r="BO156" i="19" s="1"/>
  <c r="AK155" i="19"/>
  <c r="BF152" i="19" l="1"/>
  <c r="BB152" i="19"/>
  <c r="BE152" i="19" s="1"/>
  <c r="AU154" i="19"/>
  <c r="AP155" i="19" s="1"/>
  <c r="AW154" i="19"/>
  <c r="AV154" i="19"/>
  <c r="AY153" i="19"/>
  <c r="AZ153" i="19" s="1"/>
  <c r="BP153" i="19"/>
  <c r="CB153" i="19" s="1"/>
  <c r="W158" i="19"/>
  <c r="X158" i="19" s="1"/>
  <c r="S159" i="19" s="1"/>
  <c r="Z158" i="19"/>
  <c r="BM158" i="19" s="1"/>
  <c r="AG157" i="19"/>
  <c r="Y157" i="19"/>
  <c r="BL156" i="19"/>
  <c r="BZ156" i="19" s="1"/>
  <c r="AA156" i="19"/>
  <c r="AB156" i="19" s="1"/>
  <c r="AH156" i="19" s="1"/>
  <c r="BN155" i="19"/>
  <c r="CA155" i="19" s="1"/>
  <c r="AM155" i="19"/>
  <c r="AN155" i="19" s="1"/>
  <c r="BG152" i="19" l="1"/>
  <c r="AX155" i="19"/>
  <c r="BQ155" i="19" s="1"/>
  <c r="AT155" i="19"/>
  <c r="AY154" i="19"/>
  <c r="AZ154" i="19" s="1"/>
  <c r="BP154" i="19"/>
  <c r="CB154" i="19" s="1"/>
  <c r="BC153" i="19"/>
  <c r="AK156" i="19"/>
  <c r="AI156" i="19"/>
  <c r="AD157" i="19" s="1"/>
  <c r="AJ156" i="19"/>
  <c r="AS156" i="19"/>
  <c r="Z159" i="19"/>
  <c r="BM159" i="19" s="1"/>
  <c r="W159" i="19"/>
  <c r="AG158" i="19"/>
  <c r="Y158" i="19"/>
  <c r="BL157" i="19"/>
  <c r="BZ157" i="19" s="1"/>
  <c r="AA157" i="19"/>
  <c r="AB157" i="19" s="1"/>
  <c r="AH157" i="19" s="1"/>
  <c r="AU155" i="19" l="1"/>
  <c r="AP156" i="19" s="1"/>
  <c r="AW155" i="19"/>
  <c r="AV155" i="19"/>
  <c r="BC154" i="19"/>
  <c r="BF153" i="19"/>
  <c r="BB153" i="19"/>
  <c r="BE153" i="19" s="1"/>
  <c r="BG153" i="19" s="1"/>
  <c r="AM156" i="19"/>
  <c r="AN156" i="19" s="1"/>
  <c r="BN156" i="19"/>
  <c r="CA156" i="19" s="1"/>
  <c r="AL157" i="19"/>
  <c r="BO157" i="19" s="1"/>
  <c r="AI157" i="19"/>
  <c r="AD158" i="19" s="1"/>
  <c r="AG159" i="19"/>
  <c r="Y159" i="19"/>
  <c r="X159" i="19"/>
  <c r="S160" i="19" s="1"/>
  <c r="BL158" i="19"/>
  <c r="BZ158" i="19" s="1"/>
  <c r="AA158" i="19"/>
  <c r="AB158" i="19" s="1"/>
  <c r="AH158" i="19" s="1"/>
  <c r="AS157" i="19"/>
  <c r="AJ157" i="19"/>
  <c r="AK157" i="19"/>
  <c r="BF154" i="19" l="1"/>
  <c r="BB154" i="19"/>
  <c r="BE154" i="19" s="1"/>
  <c r="BG154" i="19" s="1"/>
  <c r="AT156" i="19"/>
  <c r="AX156" i="19"/>
  <c r="BQ156" i="19" s="1"/>
  <c r="AY155" i="19"/>
  <c r="AZ155" i="19" s="1"/>
  <c r="BP155" i="19"/>
  <c r="CB155" i="19" s="1"/>
  <c r="AI158" i="19"/>
  <c r="AD159" i="19" s="1"/>
  <c r="AL158" i="19"/>
  <c r="BO158" i="19" s="1"/>
  <c r="AA159" i="19"/>
  <c r="AB159" i="19" s="1"/>
  <c r="AH159" i="19" s="1"/>
  <c r="BL159" i="19"/>
  <c r="BZ159" i="19" s="1"/>
  <c r="W160" i="19"/>
  <c r="X160" i="19" s="1"/>
  <c r="S161" i="19" s="1"/>
  <c r="Z160" i="19"/>
  <c r="BM160" i="19" s="1"/>
  <c r="AM157" i="19"/>
  <c r="AN157" i="19" s="1"/>
  <c r="BN157" i="19"/>
  <c r="CA157" i="19" s="1"/>
  <c r="AS158" i="19"/>
  <c r="AJ158" i="19"/>
  <c r="AK158" i="19"/>
  <c r="AU156" i="19" l="1"/>
  <c r="AP157" i="19" s="1"/>
  <c r="AW156" i="19"/>
  <c r="AV156" i="19"/>
  <c r="BC155" i="19"/>
  <c r="AI159" i="19"/>
  <c r="AD160" i="19" s="1"/>
  <c r="AL160" i="19" s="1"/>
  <c r="BO160" i="19" s="1"/>
  <c r="AL159" i="19"/>
  <c r="BO159" i="19" s="1"/>
  <c r="W161" i="19"/>
  <c r="Z161" i="19"/>
  <c r="BM161" i="19" s="1"/>
  <c r="Y160" i="19"/>
  <c r="AG160" i="19"/>
  <c r="BN158" i="19"/>
  <c r="CA158" i="19" s="1"/>
  <c r="AM158" i="19"/>
  <c r="AN158" i="19" s="1"/>
  <c r="AJ159" i="19"/>
  <c r="AS159" i="19"/>
  <c r="AK159" i="19"/>
  <c r="BF155" i="19" l="1"/>
  <c r="BB155" i="19"/>
  <c r="BE155" i="19" s="1"/>
  <c r="AT157" i="19"/>
  <c r="AX157" i="19"/>
  <c r="BQ157" i="19" s="1"/>
  <c r="AY156" i="19"/>
  <c r="AZ156" i="19" s="1"/>
  <c r="BP156" i="19"/>
  <c r="CB156" i="19" s="1"/>
  <c r="Y161" i="19"/>
  <c r="AG161" i="19"/>
  <c r="X161" i="19"/>
  <c r="S162" i="19" s="1"/>
  <c r="BL160" i="19"/>
  <c r="BZ160" i="19" s="1"/>
  <c r="AA160" i="19"/>
  <c r="AB160" i="19" s="1"/>
  <c r="AH160" i="19" s="1"/>
  <c r="AS160" i="19" s="1"/>
  <c r="BN159" i="19"/>
  <c r="CA159" i="19" s="1"/>
  <c r="AM159" i="19"/>
  <c r="AN159" i="19" s="1"/>
  <c r="BG155" i="19" l="1"/>
  <c r="AU157" i="19"/>
  <c r="AP158" i="19" s="1"/>
  <c r="AV157" i="19"/>
  <c r="AW157" i="19"/>
  <c r="BC156" i="19"/>
  <c r="AA161" i="19"/>
  <c r="AB161" i="19" s="1"/>
  <c r="AH161" i="19" s="1"/>
  <c r="BL161" i="19"/>
  <c r="BZ161" i="19" s="1"/>
  <c r="W162" i="19"/>
  <c r="X162" i="19" s="1"/>
  <c r="S163" i="19" s="1"/>
  <c r="Z162" i="19"/>
  <c r="BM162" i="19" s="1"/>
  <c r="AI160" i="19"/>
  <c r="AD161" i="19" s="1"/>
  <c r="AL161" i="19" s="1"/>
  <c r="BO161" i="19" s="1"/>
  <c r="AK160" i="19"/>
  <c r="AJ160" i="19"/>
  <c r="AT158" i="19" l="1"/>
  <c r="AX158" i="19"/>
  <c r="BQ158" i="19" s="1"/>
  <c r="AY157" i="19"/>
  <c r="AZ157" i="19" s="1"/>
  <c r="BP157" i="19"/>
  <c r="CB157" i="19" s="1"/>
  <c r="BF156" i="19"/>
  <c r="BB156" i="19"/>
  <c r="BE156" i="19" s="1"/>
  <c r="BG156" i="19" s="1"/>
  <c r="AS161" i="19"/>
  <c r="AJ161" i="19"/>
  <c r="Z163" i="19"/>
  <c r="BM163" i="19" s="1"/>
  <c r="W163" i="19"/>
  <c r="AG162" i="19"/>
  <c r="Y162" i="19"/>
  <c r="AM160" i="19"/>
  <c r="AN160" i="19" s="1"/>
  <c r="BN160" i="19"/>
  <c r="CA160" i="19" s="1"/>
  <c r="AI161" i="19"/>
  <c r="AD162" i="19" s="1"/>
  <c r="AK161" i="19"/>
  <c r="AV158" i="19" l="1"/>
  <c r="AW158" i="19"/>
  <c r="AU158" i="19"/>
  <c r="AP159" i="19" s="1"/>
  <c r="BC157" i="19"/>
  <c r="Y163" i="19"/>
  <c r="AG163" i="19"/>
  <c r="X163" i="19"/>
  <c r="S164" i="19" s="1"/>
  <c r="BL162" i="19"/>
  <c r="BZ162" i="19" s="1"/>
  <c r="AA162" i="19"/>
  <c r="AB162" i="19" s="1"/>
  <c r="AH162" i="19" s="1"/>
  <c r="AI162" i="19" s="1"/>
  <c r="AD163" i="19" s="1"/>
  <c r="AL162" i="19"/>
  <c r="BO162" i="19" s="1"/>
  <c r="AM161" i="19"/>
  <c r="AN161" i="19" s="1"/>
  <c r="BN161" i="19"/>
  <c r="CA161" i="19" s="1"/>
  <c r="AY158" i="19" l="1"/>
  <c r="AZ158" i="19" s="1"/>
  <c r="BP158" i="19"/>
  <c r="CB158" i="19" s="1"/>
  <c r="AT159" i="19"/>
  <c r="AX159" i="19"/>
  <c r="BQ159" i="19" s="1"/>
  <c r="BF157" i="19"/>
  <c r="BB157" i="19"/>
  <c r="BE157" i="19" s="1"/>
  <c r="BL163" i="19"/>
  <c r="BZ163" i="19" s="1"/>
  <c r="AA163" i="19"/>
  <c r="AB163" i="19" s="1"/>
  <c r="AH163" i="19" s="1"/>
  <c r="W164" i="19"/>
  <c r="X164" i="19" s="1"/>
  <c r="S165" i="19" s="1"/>
  <c r="Z164" i="19"/>
  <c r="BM164" i="19" s="1"/>
  <c r="AL163" i="19"/>
  <c r="BO163" i="19" s="1"/>
  <c r="AJ162" i="19"/>
  <c r="AS162" i="19"/>
  <c r="AK162" i="19"/>
  <c r="BG157" i="19" l="1"/>
  <c r="AV159" i="19"/>
  <c r="AW159" i="19"/>
  <c r="AU159" i="19"/>
  <c r="AP160" i="19" s="1"/>
  <c r="BC158" i="19"/>
  <c r="AK163" i="19"/>
  <c r="AJ163" i="19"/>
  <c r="AS163" i="19"/>
  <c r="AI163" i="19"/>
  <c r="AD164" i="19" s="1"/>
  <c r="AL164" i="19" s="1"/>
  <c r="BO164" i="19" s="1"/>
  <c r="W165" i="19"/>
  <c r="X165" i="19" s="1"/>
  <c r="S166" i="19" s="1"/>
  <c r="Z165" i="19"/>
  <c r="BM165" i="19" s="1"/>
  <c r="Y164" i="19"/>
  <c r="AG164" i="19"/>
  <c r="AM162" i="19"/>
  <c r="AN162" i="19" s="1"/>
  <c r="BN162" i="19"/>
  <c r="CA162" i="19" s="1"/>
  <c r="BF158" i="19" l="1"/>
  <c r="BB158" i="19"/>
  <c r="BE158" i="19" s="1"/>
  <c r="BP159" i="19"/>
  <c r="CB159" i="19" s="1"/>
  <c r="AY159" i="19"/>
  <c r="AZ159" i="19" s="1"/>
  <c r="AT160" i="19"/>
  <c r="AU160" i="19" s="1"/>
  <c r="AP161" i="19" s="1"/>
  <c r="AX160" i="19"/>
  <c r="BN163" i="19"/>
  <c r="CA163" i="19" s="1"/>
  <c r="AM163" i="19"/>
  <c r="AN163" i="19" s="1"/>
  <c r="Z166" i="19"/>
  <c r="BM166" i="19" s="1"/>
  <c r="W166" i="19"/>
  <c r="AG165" i="19"/>
  <c r="Y165" i="19"/>
  <c r="BL164" i="19"/>
  <c r="BZ164" i="19" s="1"/>
  <c r="AA164" i="19"/>
  <c r="AB164" i="19" s="1"/>
  <c r="AH164" i="19" s="1"/>
  <c r="BG158" i="19" l="1"/>
  <c r="BC159" i="19"/>
  <c r="AX161" i="19"/>
  <c r="BQ161" i="19" s="1"/>
  <c r="AT161" i="19"/>
  <c r="AU161" i="19" s="1"/>
  <c r="AP162" i="19" s="1"/>
  <c r="AW160" i="19"/>
  <c r="AV160" i="19"/>
  <c r="BQ160" i="19"/>
  <c r="AJ164" i="19"/>
  <c r="AS164" i="19"/>
  <c r="Y166" i="19"/>
  <c r="AG166" i="19"/>
  <c r="X166" i="19"/>
  <c r="S167" i="19" s="1"/>
  <c r="AA165" i="19"/>
  <c r="AB165" i="19" s="1"/>
  <c r="AH165" i="19" s="1"/>
  <c r="BL165" i="19"/>
  <c r="BZ165" i="19" s="1"/>
  <c r="AI164" i="19"/>
  <c r="AD165" i="19" s="1"/>
  <c r="AK164" i="19"/>
  <c r="AX162" i="19" l="1"/>
  <c r="BQ162" i="19" s="1"/>
  <c r="AT162" i="19"/>
  <c r="AV161" i="19"/>
  <c r="AW161" i="19"/>
  <c r="BP160" i="19"/>
  <c r="CB160" i="19" s="1"/>
  <c r="AY160" i="19"/>
  <c r="AZ160" i="19" s="1"/>
  <c r="BF159" i="19"/>
  <c r="BB159" i="19"/>
  <c r="BE159" i="19" s="1"/>
  <c r="BL166" i="19"/>
  <c r="BZ166" i="19" s="1"/>
  <c r="AA166" i="19"/>
  <c r="AB166" i="19" s="1"/>
  <c r="AH166" i="19" s="1"/>
  <c r="Z167" i="19"/>
  <c r="BM167" i="19" s="1"/>
  <c r="W167" i="19"/>
  <c r="AL165" i="19"/>
  <c r="BO165" i="19" s="1"/>
  <c r="AI165" i="19"/>
  <c r="AD166" i="19" s="1"/>
  <c r="AM164" i="19"/>
  <c r="AN164" i="19" s="1"/>
  <c r="BN164" i="19"/>
  <c r="CA164" i="19" s="1"/>
  <c r="AS165" i="19"/>
  <c r="AJ165" i="19"/>
  <c r="AK165" i="19"/>
  <c r="BG159" i="19" l="1"/>
  <c r="AV162" i="19"/>
  <c r="AW162" i="19"/>
  <c r="AU162" i="19"/>
  <c r="AP163" i="19" s="1"/>
  <c r="AY161" i="19"/>
  <c r="AZ161" i="19" s="1"/>
  <c r="BP161" i="19"/>
  <c r="CB161" i="19" s="1"/>
  <c r="BC160" i="19"/>
  <c r="AG167" i="19"/>
  <c r="Y167" i="19"/>
  <c r="X167" i="19"/>
  <c r="S168" i="19" s="1"/>
  <c r="AI166" i="19"/>
  <c r="AD167" i="19" s="1"/>
  <c r="AL166" i="19"/>
  <c r="BO166" i="19" s="1"/>
  <c r="AM165" i="19"/>
  <c r="AN165" i="19" s="1"/>
  <c r="BN165" i="19"/>
  <c r="CA165" i="19" s="1"/>
  <c r="AK166" i="19"/>
  <c r="AJ166" i="19"/>
  <c r="AS166" i="19"/>
  <c r="BP162" i="19" l="1"/>
  <c r="CB162" i="19" s="1"/>
  <c r="AY162" i="19"/>
  <c r="AZ162" i="19" s="1"/>
  <c r="AX163" i="19"/>
  <c r="BQ163" i="19" s="1"/>
  <c r="AT163" i="19"/>
  <c r="BC161" i="19"/>
  <c r="BF160" i="19"/>
  <c r="BB160" i="19"/>
  <c r="BE160" i="19" s="1"/>
  <c r="AA167" i="19"/>
  <c r="AB167" i="19" s="1"/>
  <c r="AH167" i="19" s="1"/>
  <c r="BL167" i="19"/>
  <c r="BZ167" i="19" s="1"/>
  <c r="Z168" i="19"/>
  <c r="BM168" i="19" s="1"/>
  <c r="W168" i="19"/>
  <c r="X168" i="19" s="1"/>
  <c r="S169" i="19" s="1"/>
  <c r="AL167" i="19"/>
  <c r="BO167" i="19" s="1"/>
  <c r="AM166" i="19"/>
  <c r="AN166" i="19" s="1"/>
  <c r="BN166" i="19"/>
  <c r="CA166" i="19" s="1"/>
  <c r="BG160" i="19" l="1"/>
  <c r="AW163" i="19"/>
  <c r="AV163" i="19"/>
  <c r="AU163" i="19"/>
  <c r="AP164" i="19" s="1"/>
  <c r="BC162" i="19"/>
  <c r="BF161" i="19"/>
  <c r="BB161" i="19"/>
  <c r="BE161" i="19" s="1"/>
  <c r="BG161" i="19" s="1"/>
  <c r="AK167" i="19"/>
  <c r="AI167" i="19"/>
  <c r="AD168" i="19" s="1"/>
  <c r="AL168" i="19" s="1"/>
  <c r="BO168" i="19" s="1"/>
  <c r="AS167" i="19"/>
  <c r="AJ167" i="19"/>
  <c r="Z169" i="19"/>
  <c r="BM169" i="19" s="1"/>
  <c r="W169" i="19"/>
  <c r="X169" i="19" s="1"/>
  <c r="S170" i="19" s="1"/>
  <c r="Y168" i="19"/>
  <c r="AG168" i="19"/>
  <c r="BF162" i="19" l="1"/>
  <c r="BB162" i="19"/>
  <c r="BE162" i="19" s="1"/>
  <c r="BP163" i="19"/>
  <c r="CB163" i="19" s="1"/>
  <c r="AY163" i="19"/>
  <c r="AZ163" i="19" s="1"/>
  <c r="AX164" i="19"/>
  <c r="AT164" i="19"/>
  <c r="AU164" i="19" s="1"/>
  <c r="AP165" i="19" s="1"/>
  <c r="BN167" i="19"/>
  <c r="CA167" i="19" s="1"/>
  <c r="AM167" i="19"/>
  <c r="AN167" i="19" s="1"/>
  <c r="W170" i="19"/>
  <c r="Z170" i="19"/>
  <c r="BM170" i="19" s="1"/>
  <c r="AG169" i="19"/>
  <c r="Y169" i="19"/>
  <c r="BL168" i="19"/>
  <c r="BZ168" i="19" s="1"/>
  <c r="AA168" i="19"/>
  <c r="AB168" i="19" s="1"/>
  <c r="AH168" i="19" s="1"/>
  <c r="BG162" i="19" l="1"/>
  <c r="BC163" i="19"/>
  <c r="AT165" i="19"/>
  <c r="AX165" i="19"/>
  <c r="BQ165" i="19" s="1"/>
  <c r="BQ164" i="19"/>
  <c r="AV164" i="19"/>
  <c r="AW164" i="19"/>
  <c r="X170" i="19"/>
  <c r="S171" i="19" s="1"/>
  <c r="Y170" i="19"/>
  <c r="AG170" i="19"/>
  <c r="BL169" i="19"/>
  <c r="BZ169" i="19" s="1"/>
  <c r="AA169" i="19"/>
  <c r="AB169" i="19" s="1"/>
  <c r="AH169" i="19" s="1"/>
  <c r="AI168" i="19"/>
  <c r="AD169" i="19" s="1"/>
  <c r="AS168" i="19"/>
  <c r="AJ168" i="19"/>
  <c r="AK168" i="19"/>
  <c r="AV165" i="19" l="1"/>
  <c r="AW165" i="19"/>
  <c r="AU165" i="19"/>
  <c r="AP166" i="19" s="1"/>
  <c r="AY164" i="19"/>
  <c r="AZ164" i="19" s="1"/>
  <c r="BP164" i="19"/>
  <c r="CB164" i="19" s="1"/>
  <c r="BF163" i="19"/>
  <c r="BB163" i="19"/>
  <c r="BE163" i="19" s="1"/>
  <c r="Z171" i="19"/>
  <c r="BM171" i="19" s="1"/>
  <c r="W171" i="19"/>
  <c r="BL170" i="19"/>
  <c r="BZ170" i="19" s="1"/>
  <c r="AA170" i="19"/>
  <c r="AB170" i="19" s="1"/>
  <c r="AH170" i="19" s="1"/>
  <c r="AL169" i="19"/>
  <c r="BO169" i="19" s="1"/>
  <c r="AI169" i="19"/>
  <c r="AD170" i="19" s="1"/>
  <c r="BN168" i="19"/>
  <c r="CA168" i="19" s="1"/>
  <c r="AM168" i="19"/>
  <c r="AN168" i="19" s="1"/>
  <c r="AJ169" i="19"/>
  <c r="AK169" i="19"/>
  <c r="AS169" i="19"/>
  <c r="BG163" i="19" l="1"/>
  <c r="AY165" i="19"/>
  <c r="AZ165" i="19" s="1"/>
  <c r="BP165" i="19"/>
  <c r="CB165" i="19" s="1"/>
  <c r="AX166" i="19"/>
  <c r="AT166" i="19"/>
  <c r="BC164" i="19"/>
  <c r="Y171" i="19"/>
  <c r="AG171" i="19"/>
  <c r="X171" i="19"/>
  <c r="S172" i="19" s="1"/>
  <c r="AI170" i="19"/>
  <c r="AD171" i="19" s="1"/>
  <c r="AL170" i="19"/>
  <c r="BO170" i="19" s="1"/>
  <c r="BN169" i="19"/>
  <c r="CA169" i="19" s="1"/>
  <c r="AM169" i="19"/>
  <c r="AN169" i="19" s="1"/>
  <c r="AK170" i="19"/>
  <c r="AS170" i="19"/>
  <c r="AJ170" i="19"/>
  <c r="BC165" i="19" l="1"/>
  <c r="AW166" i="19"/>
  <c r="AV166" i="19"/>
  <c r="AU166" i="19"/>
  <c r="AP167" i="19" s="1"/>
  <c r="BQ166" i="19"/>
  <c r="BF164" i="19"/>
  <c r="BB164" i="19"/>
  <c r="BE164" i="19" s="1"/>
  <c r="BL171" i="19"/>
  <c r="BZ171" i="19" s="1"/>
  <c r="AA171" i="19"/>
  <c r="AB171" i="19" s="1"/>
  <c r="AH171" i="19" s="1"/>
  <c r="AI171" i="19" s="1"/>
  <c r="AD172" i="19" s="1"/>
  <c r="Z172" i="19"/>
  <c r="BM172" i="19" s="1"/>
  <c r="W172" i="19"/>
  <c r="AM170" i="19"/>
  <c r="AN170" i="19" s="1"/>
  <c r="BN170" i="19"/>
  <c r="CA170" i="19" s="1"/>
  <c r="AL171" i="19"/>
  <c r="BO171" i="19" s="1"/>
  <c r="BG164" i="19" l="1"/>
  <c r="AY166" i="19"/>
  <c r="AZ166" i="19" s="1"/>
  <c r="BP166" i="19"/>
  <c r="CB166" i="19" s="1"/>
  <c r="AX167" i="19"/>
  <c r="AT167" i="19"/>
  <c r="AU167" i="19" s="1"/>
  <c r="AP168" i="19" s="1"/>
  <c r="BF165" i="19"/>
  <c r="BB165" i="19"/>
  <c r="BE165" i="19" s="1"/>
  <c r="AK171" i="19"/>
  <c r="AJ171" i="19"/>
  <c r="AS171" i="19"/>
  <c r="Y172" i="19"/>
  <c r="AG172" i="19"/>
  <c r="X172" i="19"/>
  <c r="S173" i="19" s="1"/>
  <c r="AL172" i="19"/>
  <c r="BO172" i="19" s="1"/>
  <c r="BG165" i="19" l="1"/>
  <c r="BC166" i="19"/>
  <c r="AT168" i="19"/>
  <c r="AU168" i="19" s="1"/>
  <c r="AP169" i="19" s="1"/>
  <c r="AX168" i="19"/>
  <c r="BQ168" i="19" s="1"/>
  <c r="BQ167" i="19"/>
  <c r="AV167" i="19"/>
  <c r="AW167" i="19"/>
  <c r="BN171" i="19"/>
  <c r="CA171" i="19" s="1"/>
  <c r="AM171" i="19"/>
  <c r="AN171" i="19" s="1"/>
  <c r="BL172" i="19"/>
  <c r="BZ172" i="19" s="1"/>
  <c r="AA172" i="19"/>
  <c r="AB172" i="19" s="1"/>
  <c r="AH172" i="19" s="1"/>
  <c r="W173" i="19"/>
  <c r="X173" i="19" s="1"/>
  <c r="S174" i="19" s="1"/>
  <c r="Z173" i="19"/>
  <c r="BM173" i="19" s="1"/>
  <c r="BF166" i="19" l="1"/>
  <c r="BB166" i="19"/>
  <c r="BE166" i="19" s="1"/>
  <c r="AX169" i="19"/>
  <c r="BQ169" i="19" s="1"/>
  <c r="AT169" i="19"/>
  <c r="AU169" i="19" s="1"/>
  <c r="AP170" i="19" s="1"/>
  <c r="AW168" i="19"/>
  <c r="AV168" i="19"/>
  <c r="AY167" i="19"/>
  <c r="AZ167" i="19" s="1"/>
  <c r="BP167" i="19"/>
  <c r="CB167" i="19" s="1"/>
  <c r="AS172" i="19"/>
  <c r="AJ172" i="19"/>
  <c r="W174" i="19"/>
  <c r="Z174" i="19"/>
  <c r="BM174" i="19" s="1"/>
  <c r="Y173" i="19"/>
  <c r="AG173" i="19"/>
  <c r="AI172" i="19"/>
  <c r="AD173" i="19" s="1"/>
  <c r="AK172" i="19"/>
  <c r="BG166" i="19" l="1"/>
  <c r="AT170" i="19"/>
  <c r="AX170" i="19"/>
  <c r="BQ170" i="19" s="1"/>
  <c r="AW169" i="19"/>
  <c r="AV169" i="19"/>
  <c r="BP168" i="19"/>
  <c r="CB168" i="19" s="1"/>
  <c r="AY168" i="19"/>
  <c r="AZ168" i="19" s="1"/>
  <c r="BC167" i="19"/>
  <c r="AG174" i="19"/>
  <c r="Y174" i="19"/>
  <c r="X174" i="19"/>
  <c r="S175" i="19" s="1"/>
  <c r="BL173" i="19"/>
  <c r="BZ173" i="19" s="1"/>
  <c r="AA173" i="19"/>
  <c r="AB173" i="19" s="1"/>
  <c r="AH173" i="19" s="1"/>
  <c r="AL173" i="19"/>
  <c r="BO173" i="19" s="1"/>
  <c r="BN172" i="19"/>
  <c r="CA172" i="19" s="1"/>
  <c r="AM172" i="19"/>
  <c r="AN172" i="19" s="1"/>
  <c r="AW170" i="19" l="1"/>
  <c r="AV170" i="19"/>
  <c r="AU170" i="19"/>
  <c r="AP171" i="19" s="1"/>
  <c r="BP169" i="19"/>
  <c r="CB169" i="19" s="1"/>
  <c r="AY169" i="19"/>
  <c r="AZ169" i="19" s="1"/>
  <c r="BC168" i="19"/>
  <c r="BF167" i="19"/>
  <c r="BB167" i="19"/>
  <c r="BE167" i="19" s="1"/>
  <c r="BG167" i="19" s="1"/>
  <c r="AJ173" i="19"/>
  <c r="AS173" i="19"/>
  <c r="BL174" i="19"/>
  <c r="BZ174" i="19" s="1"/>
  <c r="AA174" i="19"/>
  <c r="AB174" i="19" s="1"/>
  <c r="AH174" i="19" s="1"/>
  <c r="Z175" i="19"/>
  <c r="BM175" i="19" s="1"/>
  <c r="W175" i="19"/>
  <c r="AI173" i="19"/>
  <c r="AD174" i="19" s="1"/>
  <c r="AK173" i="19"/>
  <c r="BP170" i="19" l="1"/>
  <c r="CB170" i="19" s="1"/>
  <c r="AY170" i="19"/>
  <c r="AZ170" i="19" s="1"/>
  <c r="AX171" i="19"/>
  <c r="BQ171" i="19" s="1"/>
  <c r="AT171" i="19"/>
  <c r="BC169" i="19"/>
  <c r="BF168" i="19"/>
  <c r="BB168" i="19"/>
  <c r="BE168" i="19" s="1"/>
  <c r="AG175" i="19"/>
  <c r="Y175" i="19"/>
  <c r="X175" i="19"/>
  <c r="S176" i="19" s="1"/>
  <c r="AL174" i="19"/>
  <c r="BO174" i="19" s="1"/>
  <c r="AI174" i="19"/>
  <c r="AD175" i="19" s="1"/>
  <c r="AM173" i="19"/>
  <c r="AN173" i="19" s="1"/>
  <c r="BN173" i="19"/>
  <c r="CA173" i="19" s="1"/>
  <c r="AS174" i="19"/>
  <c r="AK174" i="19"/>
  <c r="AJ174" i="19"/>
  <c r="BG168" i="19" l="1"/>
  <c r="AV171" i="19"/>
  <c r="AW171" i="19"/>
  <c r="AU171" i="19"/>
  <c r="AP172" i="19" s="1"/>
  <c r="BC170" i="19"/>
  <c r="BF169" i="19"/>
  <c r="BB169" i="19"/>
  <c r="BE169" i="19" s="1"/>
  <c r="BL175" i="19"/>
  <c r="BZ175" i="19" s="1"/>
  <c r="AA175" i="19"/>
  <c r="AB175" i="19" s="1"/>
  <c r="AH175" i="19" s="1"/>
  <c r="AI175" i="19" s="1"/>
  <c r="AD176" i="19" s="1"/>
  <c r="Z176" i="19"/>
  <c r="BM176" i="19" s="1"/>
  <c r="W176" i="19"/>
  <c r="X176" i="19" s="1"/>
  <c r="S177" i="19" s="1"/>
  <c r="AL175" i="19"/>
  <c r="BO175" i="19" s="1"/>
  <c r="AM174" i="19"/>
  <c r="AN174" i="19" s="1"/>
  <c r="BN174" i="19"/>
  <c r="CA174" i="19" s="1"/>
  <c r="BG169" i="19" l="1"/>
  <c r="BF170" i="19"/>
  <c r="BB170" i="19"/>
  <c r="BE170" i="19" s="1"/>
  <c r="BG170" i="19" s="1"/>
  <c r="BP171" i="19"/>
  <c r="CB171" i="19" s="1"/>
  <c r="AY171" i="19"/>
  <c r="AZ171" i="19" s="1"/>
  <c r="AX172" i="19"/>
  <c r="AT172" i="19"/>
  <c r="AU172" i="19" s="1"/>
  <c r="AP173" i="19" s="1"/>
  <c r="Z177" i="19"/>
  <c r="BM177" i="19" s="1"/>
  <c r="W177" i="19"/>
  <c r="X177" i="19" s="1"/>
  <c r="S178" i="19" s="1"/>
  <c r="AG176" i="19"/>
  <c r="Y176" i="19"/>
  <c r="AL176" i="19"/>
  <c r="BO176" i="19" s="1"/>
  <c r="AS175" i="19"/>
  <c r="AJ175" i="19"/>
  <c r="AK175" i="19"/>
  <c r="BC171" i="19" l="1"/>
  <c r="AT173" i="19"/>
  <c r="AX173" i="19"/>
  <c r="BQ173" i="19" s="1"/>
  <c r="AW172" i="19"/>
  <c r="AV172" i="19"/>
  <c r="BQ172" i="19"/>
  <c r="Z178" i="19"/>
  <c r="BM178" i="19" s="1"/>
  <c r="W178" i="19"/>
  <c r="X178" i="19" s="1"/>
  <c r="S179" i="19" s="1"/>
  <c r="Y177" i="19"/>
  <c r="AG177" i="19"/>
  <c r="AA176" i="19"/>
  <c r="AB176" i="19" s="1"/>
  <c r="AH176" i="19" s="1"/>
  <c r="BL176" i="19"/>
  <c r="BZ176" i="19" s="1"/>
  <c r="AM175" i="19"/>
  <c r="AN175" i="19" s="1"/>
  <c r="BN175" i="19"/>
  <c r="CA175" i="19" s="1"/>
  <c r="AW173" i="19" l="1"/>
  <c r="AV173" i="19"/>
  <c r="AU173" i="19"/>
  <c r="AP174" i="19" s="1"/>
  <c r="AY172" i="19"/>
  <c r="AZ172" i="19" s="1"/>
  <c r="BP172" i="19"/>
  <c r="CB172" i="19" s="1"/>
  <c r="BF171" i="19"/>
  <c r="BB171" i="19"/>
  <c r="BE171" i="19" s="1"/>
  <c r="BG171" i="19" s="1"/>
  <c r="W179" i="19"/>
  <c r="Z179" i="19"/>
  <c r="BM179" i="19" s="1"/>
  <c r="Y178" i="19"/>
  <c r="AG178" i="19"/>
  <c r="AA177" i="19"/>
  <c r="AB177" i="19" s="1"/>
  <c r="AH177" i="19" s="1"/>
  <c r="BL177" i="19"/>
  <c r="BZ177" i="19" s="1"/>
  <c r="AI176" i="19"/>
  <c r="AD177" i="19" s="1"/>
  <c r="AJ176" i="19"/>
  <c r="AS176" i="19"/>
  <c r="AK176" i="19"/>
  <c r="AY173" i="19" l="1"/>
  <c r="AZ173" i="19" s="1"/>
  <c r="BP173" i="19"/>
  <c r="CB173" i="19" s="1"/>
  <c r="AX174" i="19"/>
  <c r="AT174" i="19"/>
  <c r="AU174" i="19" s="1"/>
  <c r="AP175" i="19" s="1"/>
  <c r="BC172" i="19"/>
  <c r="X179" i="19"/>
  <c r="S180" i="19" s="1"/>
  <c r="AG179" i="19"/>
  <c r="Y179" i="19"/>
  <c r="AA178" i="19"/>
  <c r="AB178" i="19" s="1"/>
  <c r="AH178" i="19" s="1"/>
  <c r="BL178" i="19"/>
  <c r="BZ178" i="19" s="1"/>
  <c r="AL177" i="19"/>
  <c r="BO177" i="19" s="1"/>
  <c r="AI177" i="19"/>
  <c r="AD178" i="19" s="1"/>
  <c r="AM176" i="19"/>
  <c r="AN176" i="19" s="1"/>
  <c r="BN176" i="19"/>
  <c r="CA176" i="19" s="1"/>
  <c r="AK177" i="19"/>
  <c r="AJ177" i="19"/>
  <c r="AS177" i="19"/>
  <c r="BC173" i="19" l="1"/>
  <c r="AX175" i="19"/>
  <c r="BQ175" i="19" s="1"/>
  <c r="AT175" i="19"/>
  <c r="BQ174" i="19"/>
  <c r="AV174" i="19"/>
  <c r="AW174" i="19"/>
  <c r="BF172" i="19"/>
  <c r="BB172" i="19"/>
  <c r="BE172" i="19" s="1"/>
  <c r="BG172" i="19" s="1"/>
  <c r="AK178" i="19"/>
  <c r="BN178" i="19" s="1"/>
  <c r="AJ178" i="19"/>
  <c r="AS178" i="19"/>
  <c r="W180" i="19"/>
  <c r="Z180" i="19"/>
  <c r="BM180" i="19" s="1"/>
  <c r="AA179" i="19"/>
  <c r="AB179" i="19" s="1"/>
  <c r="AH179" i="19" s="1"/>
  <c r="BL179" i="19"/>
  <c r="BZ179" i="19" s="1"/>
  <c r="AI178" i="19"/>
  <c r="AD179" i="19" s="1"/>
  <c r="AL178" i="19"/>
  <c r="AM177" i="19"/>
  <c r="AN177" i="19" s="1"/>
  <c r="BN177" i="19"/>
  <c r="CA177" i="19" s="1"/>
  <c r="AW175" i="19" l="1"/>
  <c r="AV175" i="19"/>
  <c r="AU175" i="19"/>
  <c r="AP176" i="19" s="1"/>
  <c r="BP174" i="19"/>
  <c r="CB174" i="19" s="1"/>
  <c r="AY174" i="19"/>
  <c r="AZ174" i="19" s="1"/>
  <c r="BF173" i="19"/>
  <c r="BB173" i="19"/>
  <c r="BE173" i="19" s="1"/>
  <c r="X180" i="19"/>
  <c r="S181" i="19" s="1"/>
  <c r="AG180" i="19"/>
  <c r="Y180" i="19"/>
  <c r="AI179" i="19"/>
  <c r="AD180" i="19" s="1"/>
  <c r="AL180" i="19" s="1"/>
  <c r="BO180" i="19" s="1"/>
  <c r="AL179" i="19"/>
  <c r="AK179" i="19"/>
  <c r="BN179" i="19" s="1"/>
  <c r="AJ179" i="19"/>
  <c r="AS179" i="19"/>
  <c r="BO178" i="19"/>
  <c r="CA178" i="19" s="1"/>
  <c r="AM178" i="19"/>
  <c r="AN178" i="19" s="1"/>
  <c r="BG173" i="19" l="1"/>
  <c r="BP175" i="19"/>
  <c r="CB175" i="19" s="1"/>
  <c r="AY175" i="19"/>
  <c r="AZ175" i="19" s="1"/>
  <c r="AT176" i="19"/>
  <c r="AU176" i="19" s="1"/>
  <c r="AP177" i="19" s="1"/>
  <c r="AX176" i="19"/>
  <c r="BC174" i="19"/>
  <c r="Z181" i="19"/>
  <c r="BM181" i="19" s="1"/>
  <c r="W181" i="19"/>
  <c r="AA180" i="19"/>
  <c r="AB180" i="19" s="1"/>
  <c r="AH180" i="19" s="1"/>
  <c r="BL180" i="19"/>
  <c r="BZ180" i="19" s="1"/>
  <c r="AM179" i="19"/>
  <c r="AN179" i="19" s="1"/>
  <c r="BO179" i="19"/>
  <c r="CA179" i="19" s="1"/>
  <c r="BC175" i="19" l="1"/>
  <c r="AT177" i="19"/>
  <c r="AX177" i="19"/>
  <c r="AW176" i="19"/>
  <c r="AV176" i="19"/>
  <c r="BQ176" i="19"/>
  <c r="BF174" i="19"/>
  <c r="BB174" i="19"/>
  <c r="BE174" i="19" s="1"/>
  <c r="X181" i="19"/>
  <c r="S182" i="19" s="1"/>
  <c r="AG181" i="19"/>
  <c r="Y181" i="19"/>
  <c r="AJ180" i="19"/>
  <c r="AS180" i="19"/>
  <c r="AK180" i="19"/>
  <c r="AI180" i="19"/>
  <c r="AD181" i="19" s="1"/>
  <c r="BG174" i="19" l="1"/>
  <c r="AV177" i="19"/>
  <c r="AW177" i="19"/>
  <c r="AU177" i="19"/>
  <c r="AP178" i="19" s="1"/>
  <c r="AY176" i="19"/>
  <c r="AZ176" i="19" s="1"/>
  <c r="BP176" i="19"/>
  <c r="CB176" i="19" s="1"/>
  <c r="BF175" i="19"/>
  <c r="BB175" i="19"/>
  <c r="BE175" i="19" s="1"/>
  <c r="BQ177" i="19"/>
  <c r="Z182" i="19"/>
  <c r="BM182" i="19" s="1"/>
  <c r="W182" i="19"/>
  <c r="AA181" i="19"/>
  <c r="AB181" i="19" s="1"/>
  <c r="AH181" i="19" s="1"/>
  <c r="BL181" i="19"/>
  <c r="BZ181" i="19" s="1"/>
  <c r="AM180" i="19"/>
  <c r="AN180" i="19" s="1"/>
  <c r="BN180" i="19"/>
  <c r="CA180" i="19" s="1"/>
  <c r="AL181" i="19"/>
  <c r="BO181" i="19" s="1"/>
  <c r="BG175" i="19" l="1"/>
  <c r="AY177" i="19"/>
  <c r="AZ177" i="19" s="1"/>
  <c r="BP177" i="19"/>
  <c r="CB177" i="19" s="1"/>
  <c r="AT178" i="19"/>
  <c r="AU178" i="19" s="1"/>
  <c r="AP179" i="19" s="1"/>
  <c r="AX178" i="19"/>
  <c r="BQ178" i="19" s="1"/>
  <c r="BC176" i="19"/>
  <c r="AK181" i="19"/>
  <c r="AS181" i="19"/>
  <c r="AJ181" i="19"/>
  <c r="AI181" i="19"/>
  <c r="AD182" i="19" s="1"/>
  <c r="AL182" i="19" s="1"/>
  <c r="BO182" i="19" s="1"/>
  <c r="AG182" i="19"/>
  <c r="Y182" i="19"/>
  <c r="X182" i="19"/>
  <c r="S183" i="19" s="1"/>
  <c r="BC177" i="19" l="1"/>
  <c r="AT179" i="19"/>
  <c r="AU179" i="19" s="1"/>
  <c r="AP180" i="19" s="1"/>
  <c r="AX179" i="19"/>
  <c r="BQ179" i="19" s="1"/>
  <c r="AW178" i="19"/>
  <c r="AV178" i="19"/>
  <c r="BF176" i="19"/>
  <c r="BB176" i="19"/>
  <c r="BE176" i="19" s="1"/>
  <c r="AM181" i="19"/>
  <c r="AN181" i="19" s="1"/>
  <c r="BN181" i="19"/>
  <c r="CA181" i="19" s="1"/>
  <c r="BL182" i="19"/>
  <c r="BZ182" i="19" s="1"/>
  <c r="AA182" i="19"/>
  <c r="AB182" i="19" s="1"/>
  <c r="AH182" i="19" s="1"/>
  <c r="Z183" i="19"/>
  <c r="BM183" i="19" s="1"/>
  <c r="W183" i="19"/>
  <c r="BG176" i="19" l="1"/>
  <c r="AT180" i="19"/>
  <c r="AX180" i="19"/>
  <c r="BQ180" i="19" s="1"/>
  <c r="AV179" i="19"/>
  <c r="AW179" i="19"/>
  <c r="BP178" i="19"/>
  <c r="CB178" i="19" s="1"/>
  <c r="AY178" i="19"/>
  <c r="AZ178" i="19" s="1"/>
  <c r="BF177" i="19"/>
  <c r="BB177" i="19"/>
  <c r="BE177" i="19" s="1"/>
  <c r="AK182" i="19"/>
  <c r="AI182" i="19"/>
  <c r="AD183" i="19" s="1"/>
  <c r="AJ182" i="19"/>
  <c r="AS182" i="19"/>
  <c r="AG183" i="19"/>
  <c r="Y183" i="19"/>
  <c r="X183" i="19"/>
  <c r="S184" i="19" s="1"/>
  <c r="BG177" i="19" l="1"/>
  <c r="AV180" i="19"/>
  <c r="AW180" i="19"/>
  <c r="AU180" i="19"/>
  <c r="AP181" i="19" s="1"/>
  <c r="AY179" i="19"/>
  <c r="AZ179" i="19" s="1"/>
  <c r="BP179" i="19"/>
  <c r="CB179" i="19" s="1"/>
  <c r="BC178" i="19"/>
  <c r="BN182" i="19"/>
  <c r="CA182" i="19" s="1"/>
  <c r="AM182" i="19"/>
  <c r="AN182" i="19" s="1"/>
  <c r="AL183" i="19"/>
  <c r="BO183" i="19" s="1"/>
  <c r="BL183" i="19"/>
  <c r="BZ183" i="19" s="1"/>
  <c r="AA183" i="19"/>
  <c r="AB183" i="19" s="1"/>
  <c r="AH183" i="19" s="1"/>
  <c r="Z184" i="19"/>
  <c r="BM184" i="19" s="1"/>
  <c r="W184" i="19"/>
  <c r="BP180" i="19" l="1"/>
  <c r="CB180" i="19" s="1"/>
  <c r="AY180" i="19"/>
  <c r="AZ180" i="19" s="1"/>
  <c r="AT181" i="19"/>
  <c r="AU181" i="19" s="1"/>
  <c r="AP182" i="19" s="1"/>
  <c r="AX181" i="19"/>
  <c r="BQ181" i="19" s="1"/>
  <c r="BC179" i="19"/>
  <c r="BF178" i="19"/>
  <c r="BB178" i="19"/>
  <c r="BE178" i="19" s="1"/>
  <c r="AG184" i="19"/>
  <c r="Y184" i="19"/>
  <c r="X184" i="19"/>
  <c r="S185" i="19" s="1"/>
  <c r="AI183" i="19"/>
  <c r="AD184" i="19" s="1"/>
  <c r="AJ183" i="19"/>
  <c r="AS183" i="19"/>
  <c r="AK183" i="19"/>
  <c r="BG178" i="19" l="1"/>
  <c r="AT182" i="19"/>
  <c r="AX182" i="19"/>
  <c r="BQ182" i="19" s="1"/>
  <c r="AV181" i="19"/>
  <c r="AW181" i="19"/>
  <c r="BC180" i="19"/>
  <c r="BF179" i="19"/>
  <c r="BB179" i="19"/>
  <c r="BE179" i="19" s="1"/>
  <c r="AA184" i="19"/>
  <c r="AB184" i="19" s="1"/>
  <c r="AH184" i="19" s="1"/>
  <c r="BL184" i="19"/>
  <c r="BZ184" i="19" s="1"/>
  <c r="Z185" i="19"/>
  <c r="BM185" i="19" s="1"/>
  <c r="W185" i="19"/>
  <c r="X185" i="19" s="1"/>
  <c r="S186" i="19" s="1"/>
  <c r="AL184" i="19"/>
  <c r="BO184" i="19" s="1"/>
  <c r="BN183" i="19"/>
  <c r="CA183" i="19" s="1"/>
  <c r="AM183" i="19"/>
  <c r="AN183" i="19" s="1"/>
  <c r="BG179" i="19" l="1"/>
  <c r="BF180" i="19"/>
  <c r="BB180" i="19"/>
  <c r="BE180" i="19" s="1"/>
  <c r="AU182" i="19"/>
  <c r="AP183" i="19" s="1"/>
  <c r="AW182" i="19"/>
  <c r="AV182" i="19"/>
  <c r="AY181" i="19"/>
  <c r="AZ181" i="19" s="1"/>
  <c r="BP181" i="19"/>
  <c r="CB181" i="19" s="1"/>
  <c r="Z186" i="19"/>
  <c r="BM186" i="19" s="1"/>
  <c r="W186" i="19"/>
  <c r="X186" i="19" s="1"/>
  <c r="S187" i="19" s="1"/>
  <c r="Y185" i="19"/>
  <c r="AG185" i="19"/>
  <c r="AI184" i="19"/>
  <c r="AD185" i="19" s="1"/>
  <c r="AJ184" i="19"/>
  <c r="AS184" i="19"/>
  <c r="AK184" i="19"/>
  <c r="BG180" i="19" l="1"/>
  <c r="AX183" i="19"/>
  <c r="BQ183" i="19" s="1"/>
  <c r="AT183" i="19"/>
  <c r="BP182" i="19"/>
  <c r="CB182" i="19" s="1"/>
  <c r="AY182" i="19"/>
  <c r="AZ182" i="19" s="1"/>
  <c r="BC181" i="19"/>
  <c r="Z187" i="19"/>
  <c r="BM187" i="19" s="1"/>
  <c r="W187" i="19"/>
  <c r="X187" i="19" s="1"/>
  <c r="S188" i="19" s="1"/>
  <c r="Y186" i="19"/>
  <c r="AG186" i="19"/>
  <c r="BL185" i="19"/>
  <c r="BZ185" i="19" s="1"/>
  <c r="AA185" i="19"/>
  <c r="AB185" i="19" s="1"/>
  <c r="AH185" i="19" s="1"/>
  <c r="AL185" i="19"/>
  <c r="BN184" i="19"/>
  <c r="CA184" i="19" s="1"/>
  <c r="AM184" i="19"/>
  <c r="AN184" i="19" s="1"/>
  <c r="AU183" i="19" l="1"/>
  <c r="AP184" i="19" s="1"/>
  <c r="AV183" i="19"/>
  <c r="AW183" i="19"/>
  <c r="BC182" i="19"/>
  <c r="BF181" i="19"/>
  <c r="BB181" i="19"/>
  <c r="BE181" i="19" s="1"/>
  <c r="Z188" i="19"/>
  <c r="BM188" i="19" s="1"/>
  <c r="W188" i="19"/>
  <c r="Y187" i="19"/>
  <c r="AG187" i="19"/>
  <c r="AG54" i="19" s="1"/>
  <c r="BL186" i="19"/>
  <c r="BZ186" i="19" s="1"/>
  <c r="AA186" i="19"/>
  <c r="AB186" i="19" s="1"/>
  <c r="AH186" i="19" s="1"/>
  <c r="AJ186" i="19" s="1"/>
  <c r="BO185" i="19"/>
  <c r="AJ185" i="19"/>
  <c r="AS185" i="19"/>
  <c r="AI185" i="19"/>
  <c r="AD186" i="19" s="1"/>
  <c r="AK185" i="19"/>
  <c r="BG181" i="19" l="1"/>
  <c r="AX184" i="19"/>
  <c r="BQ184" i="19" s="1"/>
  <c r="AT184" i="19"/>
  <c r="BP183" i="19"/>
  <c r="CB183" i="19" s="1"/>
  <c r="AY183" i="19"/>
  <c r="AZ183" i="19" s="1"/>
  <c r="BF182" i="19"/>
  <c r="BB182" i="19"/>
  <c r="BE182" i="19" s="1"/>
  <c r="X188" i="19"/>
  <c r="S189" i="19" s="1"/>
  <c r="Y188" i="19"/>
  <c r="AG188" i="19"/>
  <c r="BL187" i="19"/>
  <c r="BZ187" i="19" s="1"/>
  <c r="AA187" i="19"/>
  <c r="AB187" i="19" s="1"/>
  <c r="AH187" i="19" s="1"/>
  <c r="AL186" i="19"/>
  <c r="AI186" i="19"/>
  <c r="AD187" i="19" s="1"/>
  <c r="BN185" i="19"/>
  <c r="CA185" i="19" s="1"/>
  <c r="AM185" i="19"/>
  <c r="AS186" i="19"/>
  <c r="AK186" i="19"/>
  <c r="BG182" i="19" l="1"/>
  <c r="AU184" i="19"/>
  <c r="AP185" i="19" s="1"/>
  <c r="AW184" i="19"/>
  <c r="AV184" i="19"/>
  <c r="BC183" i="19"/>
  <c r="AS187" i="19"/>
  <c r="AS54" i="19" s="1"/>
  <c r="AJ187" i="19"/>
  <c r="AJ54" i="19" s="1"/>
  <c r="Z189" i="19"/>
  <c r="BM189" i="19" s="1"/>
  <c r="W189" i="19"/>
  <c r="BL188" i="19"/>
  <c r="BZ188" i="19" s="1"/>
  <c r="AA188" i="19"/>
  <c r="AB188" i="19" s="1"/>
  <c r="AH188" i="19" s="1"/>
  <c r="BO186" i="19"/>
  <c r="AI187" i="19"/>
  <c r="AD188" i="19" s="1"/>
  <c r="AL187" i="19"/>
  <c r="AM186" i="19"/>
  <c r="BN186" i="19"/>
  <c r="AH54" i="19"/>
  <c r="AK187" i="19"/>
  <c r="AN185" i="19"/>
  <c r="BF183" i="19" l="1"/>
  <c r="BB183" i="19"/>
  <c r="BE183" i="19" s="1"/>
  <c r="AX185" i="19"/>
  <c r="BQ185" i="19" s="1"/>
  <c r="AT185" i="19"/>
  <c r="BP184" i="19"/>
  <c r="CB184" i="19" s="1"/>
  <c r="AY184" i="19"/>
  <c r="AZ184" i="19" s="1"/>
  <c r="CA186" i="19"/>
  <c r="AK188" i="19"/>
  <c r="AS188" i="19"/>
  <c r="AJ188" i="19"/>
  <c r="AG189" i="19"/>
  <c r="Y189" i="19"/>
  <c r="X189" i="19"/>
  <c r="S190" i="19" s="1"/>
  <c r="AI188" i="19"/>
  <c r="AD189" i="19" s="1"/>
  <c r="AL189" i="19" s="1"/>
  <c r="BO189" i="19" s="1"/>
  <c r="AL188" i="19"/>
  <c r="BO188" i="19" s="1"/>
  <c r="AM187" i="19"/>
  <c r="BN187" i="19"/>
  <c r="BO187" i="19"/>
  <c r="AL54" i="19"/>
  <c r="AN186" i="19"/>
  <c r="AK54" i="19"/>
  <c r="BG183" i="19" l="1"/>
  <c r="AU185" i="19"/>
  <c r="AP186" i="19" s="1"/>
  <c r="AV185" i="19"/>
  <c r="AW185" i="19"/>
  <c r="BC184" i="19"/>
  <c r="BN188" i="19"/>
  <c r="CA188" i="19" s="1"/>
  <c r="AM188" i="19"/>
  <c r="AN188" i="19" s="1"/>
  <c r="CA187" i="19"/>
  <c r="AA189" i="19"/>
  <c r="AB189" i="19" s="1"/>
  <c r="AH189" i="19" s="1"/>
  <c r="BL189" i="19"/>
  <c r="BZ189" i="19" s="1"/>
  <c r="W190" i="19"/>
  <c r="X190" i="19" s="1"/>
  <c r="S191" i="19" s="1"/>
  <c r="Z190" i="19"/>
  <c r="BM190" i="19" s="1"/>
  <c r="AN187" i="19"/>
  <c r="AN54" i="19" s="1"/>
  <c r="AM54" i="19"/>
  <c r="AX186" i="19" l="1"/>
  <c r="BQ186" i="19" s="1"/>
  <c r="AT186" i="19"/>
  <c r="AY185" i="19"/>
  <c r="AZ185" i="19" s="1"/>
  <c r="BP185" i="19"/>
  <c r="CB185" i="19" s="1"/>
  <c r="BF184" i="19"/>
  <c r="BB184" i="19"/>
  <c r="BE184" i="19" s="1"/>
  <c r="BG184" i="19" s="1"/>
  <c r="AI189" i="19"/>
  <c r="AD190" i="19" s="1"/>
  <c r="AK189" i="19"/>
  <c r="AS189" i="19"/>
  <c r="AJ189" i="19"/>
  <c r="W191" i="19"/>
  <c r="Z191" i="19"/>
  <c r="BM191" i="19" s="1"/>
  <c r="AG190" i="19"/>
  <c r="Y190" i="19"/>
  <c r="AU186" i="19" l="1"/>
  <c r="AP187" i="19" s="1"/>
  <c r="AV186" i="19"/>
  <c r="AW186" i="19"/>
  <c r="BC185" i="19"/>
  <c r="AL190" i="19"/>
  <c r="BO190" i="19" s="1"/>
  <c r="BN189" i="19"/>
  <c r="CA189" i="19" s="1"/>
  <c r="AM189" i="19"/>
  <c r="AN189" i="19" s="1"/>
  <c r="X191" i="19"/>
  <c r="S192" i="19" s="1"/>
  <c r="AG191" i="19"/>
  <c r="Y191" i="19"/>
  <c r="AA190" i="19"/>
  <c r="AB190" i="19" s="1"/>
  <c r="AH190" i="19" s="1"/>
  <c r="BL190" i="19"/>
  <c r="BZ190" i="19" s="1"/>
  <c r="AT187" i="19" l="1"/>
  <c r="AX187" i="19"/>
  <c r="BP186" i="19"/>
  <c r="CB186" i="19" s="1"/>
  <c r="AY186" i="19"/>
  <c r="AZ186" i="19" s="1"/>
  <c r="BC186" i="19" s="1"/>
  <c r="BF185" i="19"/>
  <c r="BB185" i="19"/>
  <c r="BE185" i="19" s="1"/>
  <c r="Z192" i="19"/>
  <c r="BM192" i="19" s="1"/>
  <c r="W192" i="19"/>
  <c r="AA191" i="19"/>
  <c r="AB191" i="19" s="1"/>
  <c r="AH191" i="19" s="1"/>
  <c r="BL191" i="19"/>
  <c r="BZ191" i="19" s="1"/>
  <c r="AK190" i="19"/>
  <c r="AI190" i="19"/>
  <c r="AD191" i="19" s="1"/>
  <c r="AS190" i="19"/>
  <c r="AJ190" i="19"/>
  <c r="BG185" i="19" l="1"/>
  <c r="AU187" i="19"/>
  <c r="AP188" i="19" s="1"/>
  <c r="AT54" i="19"/>
  <c r="AV187" i="19"/>
  <c r="AV54" i="19" s="1"/>
  <c r="AW187" i="19"/>
  <c r="AX54" i="19"/>
  <c r="BQ187" i="19"/>
  <c r="AK191" i="19"/>
  <c r="BN191" i="19" s="1"/>
  <c r="AS191" i="19"/>
  <c r="AJ191" i="19"/>
  <c r="Y192" i="19"/>
  <c r="AG192" i="19"/>
  <c r="X192" i="19"/>
  <c r="S193" i="19" s="1"/>
  <c r="BF186" i="19"/>
  <c r="BB186" i="19"/>
  <c r="AM190" i="19"/>
  <c r="AN190" i="19" s="1"/>
  <c r="BN190" i="19"/>
  <c r="CA190" i="19" s="1"/>
  <c r="AI191" i="19"/>
  <c r="AD192" i="19" s="1"/>
  <c r="AL191" i="19"/>
  <c r="AT188" i="19" l="1"/>
  <c r="AX188" i="19"/>
  <c r="BQ188" i="19" s="1"/>
  <c r="AW54" i="19"/>
  <c r="AY187" i="19"/>
  <c r="BP187" i="19"/>
  <c r="CB187" i="19" s="1"/>
  <c r="BL192" i="19"/>
  <c r="BZ192" i="19" s="1"/>
  <c r="AA192" i="19"/>
  <c r="AB192" i="19" s="1"/>
  <c r="AH192" i="19" s="1"/>
  <c r="Z193" i="19"/>
  <c r="BM193" i="19" s="1"/>
  <c r="W193" i="19"/>
  <c r="BE186" i="19"/>
  <c r="BG186" i="19" s="1"/>
  <c r="AM191" i="19"/>
  <c r="AN191" i="19" s="1"/>
  <c r="BO191" i="19"/>
  <c r="CA191" i="19" s="1"/>
  <c r="AL192" i="19"/>
  <c r="BO192" i="19" s="1"/>
  <c r="AV188" i="19" l="1"/>
  <c r="AW188" i="19"/>
  <c r="AU188" i="19"/>
  <c r="AP189" i="19" s="1"/>
  <c r="AY54" i="19"/>
  <c r="AZ187" i="19"/>
  <c r="AS192" i="19"/>
  <c r="AJ192" i="19"/>
  <c r="AG193" i="19"/>
  <c r="Y193" i="19"/>
  <c r="X193" i="19"/>
  <c r="S194" i="19" s="1"/>
  <c r="AK192" i="19"/>
  <c r="AI192" i="19"/>
  <c r="AD193" i="19" s="1"/>
  <c r="AY188" i="19" l="1"/>
  <c r="AZ188" i="19" s="1"/>
  <c r="BP188" i="19"/>
  <c r="CB188" i="19" s="1"/>
  <c r="AT189" i="19"/>
  <c r="AU189" i="19" s="1"/>
  <c r="AP190" i="19" s="1"/>
  <c r="AX189" i="19"/>
  <c r="BQ189" i="19" s="1"/>
  <c r="BC187" i="19"/>
  <c r="AZ54" i="19"/>
  <c r="BL193" i="19"/>
  <c r="BZ193" i="19" s="1"/>
  <c r="AA193" i="19"/>
  <c r="AB193" i="19" s="1"/>
  <c r="AH193" i="19" s="1"/>
  <c r="AI193" i="19" s="1"/>
  <c r="AD194" i="19" s="1"/>
  <c r="Z194" i="19"/>
  <c r="BM194" i="19" s="1"/>
  <c r="W194" i="19"/>
  <c r="X194" i="19" s="1"/>
  <c r="S195" i="19" s="1"/>
  <c r="AM192" i="19"/>
  <c r="AN192" i="19" s="1"/>
  <c r="BN192" i="19"/>
  <c r="CA192" i="19" s="1"/>
  <c r="AL193" i="19"/>
  <c r="BO193" i="19" s="1"/>
  <c r="AX190" i="19" l="1"/>
  <c r="BQ190" i="19" s="1"/>
  <c r="AT190" i="19"/>
  <c r="AW189" i="19"/>
  <c r="AV189" i="19"/>
  <c r="BF187" i="19"/>
  <c r="BC54" i="19"/>
  <c r="I28" i="19" s="1"/>
  <c r="BB187" i="19"/>
  <c r="BC188" i="19"/>
  <c r="W195" i="19"/>
  <c r="X195" i="19" s="1"/>
  <c r="S196" i="19" s="1"/>
  <c r="Z195" i="19"/>
  <c r="BM195" i="19" s="1"/>
  <c r="Y194" i="19"/>
  <c r="AG194" i="19"/>
  <c r="AL194" i="19"/>
  <c r="BO194" i="19" s="1"/>
  <c r="AJ193" i="19"/>
  <c r="AS193" i="19"/>
  <c r="AK193" i="19"/>
  <c r="BF188" i="19" l="1"/>
  <c r="BB188" i="19"/>
  <c r="BE188" i="19" s="1"/>
  <c r="AU190" i="19"/>
  <c r="AP191" i="19" s="1"/>
  <c r="AW190" i="19"/>
  <c r="AV190" i="19"/>
  <c r="AY189" i="19"/>
  <c r="AZ189" i="19" s="1"/>
  <c r="BP189" i="19"/>
  <c r="CB189" i="19" s="1"/>
  <c r="BE187" i="19"/>
  <c r="BG187" i="19" s="1"/>
  <c r="BB54" i="19"/>
  <c r="J28" i="19" s="1"/>
  <c r="Z196" i="19"/>
  <c r="BM196" i="19" s="1"/>
  <c r="W196" i="19"/>
  <c r="AG195" i="19"/>
  <c r="Y195" i="19"/>
  <c r="BL194" i="19"/>
  <c r="BZ194" i="19" s="1"/>
  <c r="AA194" i="19"/>
  <c r="AB194" i="19" s="1"/>
  <c r="AH194" i="19" s="1"/>
  <c r="BN193" i="19"/>
  <c r="CA193" i="19" s="1"/>
  <c r="AM193" i="19"/>
  <c r="AN193" i="19" s="1"/>
  <c r="BG188" i="19" l="1"/>
  <c r="AX191" i="19"/>
  <c r="BQ191" i="19" s="1"/>
  <c r="AT191" i="19"/>
  <c r="AY190" i="19"/>
  <c r="AZ190" i="19" s="1"/>
  <c r="BP190" i="19"/>
  <c r="CB190" i="19" s="1"/>
  <c r="BC189" i="19"/>
  <c r="H28" i="19"/>
  <c r="X196" i="19"/>
  <c r="S197" i="19" s="1"/>
  <c r="AG196" i="19"/>
  <c r="Y196" i="19"/>
  <c r="AA195" i="19"/>
  <c r="AB195" i="19" s="1"/>
  <c r="AH195" i="19" s="1"/>
  <c r="BL195" i="19"/>
  <c r="BZ195" i="19" s="1"/>
  <c r="AI194" i="19"/>
  <c r="AD195" i="19" s="1"/>
  <c r="AK194" i="19"/>
  <c r="AS194" i="19"/>
  <c r="AJ194" i="19"/>
  <c r="AV191" i="19" l="1"/>
  <c r="AW191" i="19"/>
  <c r="AU191" i="19"/>
  <c r="AP192" i="19" s="1"/>
  <c r="BC190" i="19"/>
  <c r="BF189" i="19"/>
  <c r="BB189" i="19"/>
  <c r="BE189" i="19" s="1"/>
  <c r="BG189" i="19" s="1"/>
  <c r="K28" i="19"/>
  <c r="G28" i="19"/>
  <c r="Z197" i="19"/>
  <c r="BM197" i="19" s="1"/>
  <c r="W197" i="19"/>
  <c r="AA196" i="19"/>
  <c r="AB196" i="19" s="1"/>
  <c r="AH196" i="19" s="1"/>
  <c r="BL196" i="19"/>
  <c r="BZ196" i="19" s="1"/>
  <c r="AL195" i="19"/>
  <c r="BO195" i="19" s="1"/>
  <c r="AI195" i="19"/>
  <c r="AD196" i="19" s="1"/>
  <c r="BN194" i="19"/>
  <c r="CA194" i="19" s="1"/>
  <c r="AM194" i="19"/>
  <c r="AN194" i="19" s="1"/>
  <c r="AJ195" i="19"/>
  <c r="AS195" i="19"/>
  <c r="AK195" i="19"/>
  <c r="BF190" i="19" l="1"/>
  <c r="BB190" i="19"/>
  <c r="BE190" i="19" s="1"/>
  <c r="BG190" i="19" s="1"/>
  <c r="AY191" i="19"/>
  <c r="AZ191" i="19" s="1"/>
  <c r="BP191" i="19"/>
  <c r="CB191" i="19" s="1"/>
  <c r="AT192" i="19"/>
  <c r="AX192" i="19"/>
  <c r="BQ192" i="19" s="1"/>
  <c r="X197" i="19"/>
  <c r="S198" i="19" s="1"/>
  <c r="AG197" i="19"/>
  <c r="Y197" i="19"/>
  <c r="AK196" i="19"/>
  <c r="AJ196" i="19"/>
  <c r="AS196" i="19"/>
  <c r="AI196" i="19"/>
  <c r="AD197" i="19" s="1"/>
  <c r="AL197" i="19" s="1"/>
  <c r="BO197" i="19" s="1"/>
  <c r="AL196" i="19"/>
  <c r="BO196" i="19" s="1"/>
  <c r="AM195" i="19"/>
  <c r="AN195" i="19" s="1"/>
  <c r="BN195" i="19"/>
  <c r="CA195" i="19" s="1"/>
  <c r="AV192" i="19" l="1"/>
  <c r="AW192" i="19"/>
  <c r="AU192" i="19"/>
  <c r="AP193" i="19" s="1"/>
  <c r="BC191" i="19"/>
  <c r="Z198" i="19"/>
  <c r="BM198" i="19" s="1"/>
  <c r="W198" i="19"/>
  <c r="BL197" i="19"/>
  <c r="BZ197" i="19" s="1"/>
  <c r="AA197" i="19"/>
  <c r="AB197" i="19" s="1"/>
  <c r="AH197" i="19" s="1"/>
  <c r="BN196" i="19"/>
  <c r="CA196" i="19" s="1"/>
  <c r="AM196" i="19"/>
  <c r="AN196" i="19" s="1"/>
  <c r="BF191" i="19" l="1"/>
  <c r="BB191" i="19"/>
  <c r="BE191" i="19" s="1"/>
  <c r="AY192" i="19"/>
  <c r="AZ192" i="19" s="1"/>
  <c r="BP192" i="19"/>
  <c r="CB192" i="19" s="1"/>
  <c r="AT193" i="19"/>
  <c r="AX193" i="19"/>
  <c r="X198" i="19"/>
  <c r="S199" i="19" s="1"/>
  <c r="Y198" i="19"/>
  <c r="AG198" i="19"/>
  <c r="AK197" i="19"/>
  <c r="AS197" i="19"/>
  <c r="AI197" i="19"/>
  <c r="AD198" i="19" s="1"/>
  <c r="AL198" i="19" s="1"/>
  <c r="BO198" i="19" s="1"/>
  <c r="AJ197" i="19"/>
  <c r="BG191" i="19" l="1"/>
  <c r="BC192" i="19"/>
  <c r="AV193" i="19"/>
  <c r="AW193" i="19"/>
  <c r="AU193" i="19"/>
  <c r="AP194" i="19" s="1"/>
  <c r="BQ193" i="19"/>
  <c r="Z199" i="19"/>
  <c r="BM199" i="19" s="1"/>
  <c r="W199" i="19"/>
  <c r="AA198" i="19"/>
  <c r="AB198" i="19" s="1"/>
  <c r="AH198" i="19" s="1"/>
  <c r="BL198" i="19"/>
  <c r="BZ198" i="19" s="1"/>
  <c r="AM197" i="19"/>
  <c r="AN197" i="19" s="1"/>
  <c r="BN197" i="19"/>
  <c r="CA197" i="19" s="1"/>
  <c r="BP193" i="19" l="1"/>
  <c r="CB193" i="19" s="1"/>
  <c r="AY193" i="19"/>
  <c r="AZ193" i="19" s="1"/>
  <c r="AT194" i="19"/>
  <c r="AU194" i="19" s="1"/>
  <c r="AP195" i="19" s="1"/>
  <c r="AX194" i="19"/>
  <c r="BF192" i="19"/>
  <c r="BB192" i="19"/>
  <c r="BE192" i="19" s="1"/>
  <c r="X199" i="19"/>
  <c r="S200" i="19" s="1"/>
  <c r="AG199" i="19"/>
  <c r="Y199" i="19"/>
  <c r="AK198" i="19"/>
  <c r="AS198" i="19"/>
  <c r="AJ198" i="19"/>
  <c r="AI198" i="19"/>
  <c r="AD199" i="19" s="1"/>
  <c r="AL199" i="19" s="1"/>
  <c r="BO199" i="19" s="1"/>
  <c r="BG192" i="19" l="1"/>
  <c r="BC193" i="19"/>
  <c r="AT195" i="19"/>
  <c r="AX195" i="19"/>
  <c r="BQ195" i="19" s="1"/>
  <c r="AV194" i="19"/>
  <c r="AW194" i="19"/>
  <c r="BQ194" i="19"/>
  <c r="Z200" i="19"/>
  <c r="BM200" i="19" s="1"/>
  <c r="W200" i="19"/>
  <c r="BL199" i="19"/>
  <c r="BZ199" i="19" s="1"/>
  <c r="AA199" i="19"/>
  <c r="AB199" i="19" s="1"/>
  <c r="AH199" i="19" s="1"/>
  <c r="BN198" i="19"/>
  <c r="CA198" i="19" s="1"/>
  <c r="AM198" i="19"/>
  <c r="AN198" i="19" s="1"/>
  <c r="AV195" i="19" l="1"/>
  <c r="AW195" i="19"/>
  <c r="AU195" i="19"/>
  <c r="AP196" i="19" s="1"/>
  <c r="AY194" i="19"/>
  <c r="AZ194" i="19" s="1"/>
  <c r="BP194" i="19"/>
  <c r="CB194" i="19" s="1"/>
  <c r="BF193" i="19"/>
  <c r="BB193" i="19"/>
  <c r="BE193" i="19" s="1"/>
  <c r="X200" i="19"/>
  <c r="S201" i="19" s="1"/>
  <c r="AG200" i="19"/>
  <c r="Y200" i="19"/>
  <c r="AK199" i="19"/>
  <c r="AS199" i="19"/>
  <c r="AJ199" i="19"/>
  <c r="AI199" i="19"/>
  <c r="AD200" i="19" s="1"/>
  <c r="BG193" i="19" l="1"/>
  <c r="AY195" i="19"/>
  <c r="AZ195" i="19" s="1"/>
  <c r="BP195" i="19"/>
  <c r="CB195" i="19" s="1"/>
  <c r="AX196" i="19"/>
  <c r="AT196" i="19"/>
  <c r="BC194" i="19"/>
  <c r="Z201" i="19"/>
  <c r="BM201" i="19" s="1"/>
  <c r="W201" i="19"/>
  <c r="AA200" i="19"/>
  <c r="AB200" i="19" s="1"/>
  <c r="AH200" i="19" s="1"/>
  <c r="AI200" i="19" s="1"/>
  <c r="AD201" i="19" s="1"/>
  <c r="AL201" i="19" s="1"/>
  <c r="BL200" i="19"/>
  <c r="BZ200" i="19" s="1"/>
  <c r="AM199" i="19"/>
  <c r="AN199" i="19" s="1"/>
  <c r="BN199" i="19"/>
  <c r="CA199" i="19" s="1"/>
  <c r="AL200" i="19"/>
  <c r="BO200" i="19" s="1"/>
  <c r="BO201" i="19" l="1"/>
  <c r="BC195" i="19"/>
  <c r="BQ196" i="19"/>
  <c r="AV196" i="19"/>
  <c r="AW196" i="19"/>
  <c r="AU196" i="19"/>
  <c r="AP197" i="19" s="1"/>
  <c r="BF194" i="19"/>
  <c r="BB194" i="19"/>
  <c r="BE194" i="19" s="1"/>
  <c r="BG194" i="19" s="1"/>
  <c r="AG201" i="19"/>
  <c r="X201" i="19"/>
  <c r="S202" i="19" s="1"/>
  <c r="Y201" i="19"/>
  <c r="AK200" i="19"/>
  <c r="AJ200" i="19"/>
  <c r="AS200" i="19"/>
  <c r="AY196" i="19" l="1"/>
  <c r="AZ196" i="19" s="1"/>
  <c r="BP196" i="19"/>
  <c r="CB196" i="19" s="1"/>
  <c r="AX197" i="19"/>
  <c r="AT197" i="19"/>
  <c r="AU197" i="19" s="1"/>
  <c r="AP198" i="19" s="1"/>
  <c r="BF195" i="19"/>
  <c r="BB195" i="19"/>
  <c r="BE195" i="19" s="1"/>
  <c r="W202" i="19"/>
  <c r="Z202" i="19"/>
  <c r="BM202" i="19" s="1"/>
  <c r="AA201" i="19"/>
  <c r="AB201" i="19" s="1"/>
  <c r="AH201" i="19" s="1"/>
  <c r="BL201" i="19"/>
  <c r="BZ201" i="19" s="1"/>
  <c r="AM200" i="19"/>
  <c r="AN200" i="19" s="1"/>
  <c r="BN200" i="19"/>
  <c r="CA200" i="19" s="1"/>
  <c r="BG195" i="19" l="1"/>
  <c r="BC196" i="19"/>
  <c r="BQ197" i="19"/>
  <c r="AT198" i="19"/>
  <c r="AX198" i="19"/>
  <c r="AV197" i="19"/>
  <c r="AW197" i="19"/>
  <c r="X202" i="19"/>
  <c r="S203" i="19" s="1"/>
  <c r="AG202" i="19"/>
  <c r="Y202" i="19"/>
  <c r="AI201" i="19"/>
  <c r="AD202" i="19" s="1"/>
  <c r="AL202" i="19" s="1"/>
  <c r="BO202" i="19" s="1"/>
  <c r="AJ201" i="19"/>
  <c r="AS201" i="19"/>
  <c r="AK201" i="19"/>
  <c r="BF196" i="19" l="1"/>
  <c r="BB196" i="19"/>
  <c r="BE196" i="19" s="1"/>
  <c r="AW198" i="19"/>
  <c r="AV198" i="19"/>
  <c r="AU198" i="19"/>
  <c r="AP199" i="19" s="1"/>
  <c r="BQ198" i="19"/>
  <c r="BP197" i="19"/>
  <c r="CB197" i="19" s="1"/>
  <c r="AY197" i="19"/>
  <c r="AZ197" i="19" s="1"/>
  <c r="Z203" i="19"/>
  <c r="BM203" i="19" s="1"/>
  <c r="W203" i="19"/>
  <c r="AA202" i="19"/>
  <c r="AB202" i="19" s="1"/>
  <c r="AH202" i="19" s="1"/>
  <c r="BL202" i="19"/>
  <c r="BZ202" i="19" s="1"/>
  <c r="AM201" i="19"/>
  <c r="AN201" i="19" s="1"/>
  <c r="BN201" i="19"/>
  <c r="CA201" i="19" s="1"/>
  <c r="BG196" i="19" l="1"/>
  <c r="BP198" i="19"/>
  <c r="CB198" i="19" s="1"/>
  <c r="AY198" i="19"/>
  <c r="AZ198" i="19" s="1"/>
  <c r="AT199" i="19"/>
  <c r="AU199" i="19" s="1"/>
  <c r="AP200" i="19" s="1"/>
  <c r="AX199" i="19"/>
  <c r="BC197" i="19"/>
  <c r="AG203" i="19"/>
  <c r="X203" i="19"/>
  <c r="S204" i="19" s="1"/>
  <c r="Y203" i="19"/>
  <c r="AI202" i="19"/>
  <c r="AD203" i="19" s="1"/>
  <c r="AJ202" i="19"/>
  <c r="AS202" i="19"/>
  <c r="AK202" i="19"/>
  <c r="BC198" i="19" l="1"/>
  <c r="AX200" i="19"/>
  <c r="AT200" i="19"/>
  <c r="AU200" i="19" s="1"/>
  <c r="AP201" i="19" s="1"/>
  <c r="AV199" i="19"/>
  <c r="AW199" i="19"/>
  <c r="BQ199" i="19"/>
  <c r="BF197" i="19"/>
  <c r="BB197" i="19"/>
  <c r="BE197" i="19" s="1"/>
  <c r="Z204" i="19"/>
  <c r="BM204" i="19" s="1"/>
  <c r="W204" i="19"/>
  <c r="BL203" i="19"/>
  <c r="BZ203" i="19" s="1"/>
  <c r="AA203" i="19"/>
  <c r="AB203" i="19" s="1"/>
  <c r="AH203" i="19" s="1"/>
  <c r="BN202" i="19"/>
  <c r="CA202" i="19" s="1"/>
  <c r="AM202" i="19"/>
  <c r="AN202" i="19" s="1"/>
  <c r="AL203" i="19"/>
  <c r="BO203" i="19" s="1"/>
  <c r="BG197" i="19" l="1"/>
  <c r="AT201" i="19"/>
  <c r="AU201" i="19" s="1"/>
  <c r="AP202" i="19" s="1"/>
  <c r="BQ200" i="19"/>
  <c r="AV200" i="19"/>
  <c r="AW200" i="19"/>
  <c r="AY199" i="19"/>
  <c r="AZ199" i="19" s="1"/>
  <c r="BP199" i="19"/>
  <c r="CB199" i="19" s="1"/>
  <c r="BF198" i="19"/>
  <c r="BB198" i="19"/>
  <c r="BE198" i="19" s="1"/>
  <c r="BG198" i="19" s="1"/>
  <c r="AK203" i="19"/>
  <c r="AS203" i="19"/>
  <c r="AJ203" i="19"/>
  <c r="AI203" i="19"/>
  <c r="AD204" i="19" s="1"/>
  <c r="AL204" i="19" s="1"/>
  <c r="BO204" i="19" s="1"/>
  <c r="Y204" i="19"/>
  <c r="AG204" i="19"/>
  <c r="X204" i="19"/>
  <c r="S205" i="19" s="1"/>
  <c r="AT202" i="19" l="1"/>
  <c r="AU202" i="19" s="1"/>
  <c r="AP203" i="19" s="1"/>
  <c r="AX202" i="19"/>
  <c r="BQ202" i="19" s="1"/>
  <c r="AW201" i="19"/>
  <c r="AV201" i="19"/>
  <c r="AX201" i="19"/>
  <c r="AY200" i="19"/>
  <c r="AZ200" i="19" s="1"/>
  <c r="BP200" i="19"/>
  <c r="CB200" i="19" s="1"/>
  <c r="BC199" i="19"/>
  <c r="AM203" i="19"/>
  <c r="AN203" i="19" s="1"/>
  <c r="BN203" i="19"/>
  <c r="CA203" i="19" s="1"/>
  <c r="BL204" i="19"/>
  <c r="BZ204" i="19" s="1"/>
  <c r="AA204" i="19"/>
  <c r="AB204" i="19" s="1"/>
  <c r="AH204" i="19" s="1"/>
  <c r="AI204" i="19" s="1"/>
  <c r="AD205" i="19" s="1"/>
  <c r="Z205" i="19"/>
  <c r="BM205" i="19" s="1"/>
  <c r="W205" i="19"/>
  <c r="AX203" i="19" l="1"/>
  <c r="BQ203" i="19" s="1"/>
  <c r="AT203" i="19"/>
  <c r="AW202" i="19"/>
  <c r="AV202" i="19"/>
  <c r="BP201" i="19"/>
  <c r="AY201" i="19"/>
  <c r="AZ201" i="19" s="1"/>
  <c r="BQ201" i="19"/>
  <c r="BC200" i="19"/>
  <c r="BF199" i="19"/>
  <c r="BB199" i="19"/>
  <c r="BE199" i="19" s="1"/>
  <c r="AG205" i="19"/>
  <c r="Y205" i="19"/>
  <c r="X205" i="19"/>
  <c r="S206" i="19" s="1"/>
  <c r="AK204" i="19"/>
  <c r="AJ204" i="19"/>
  <c r="AS204" i="19"/>
  <c r="AL205" i="19"/>
  <c r="BO205" i="19" s="1"/>
  <c r="BG199" i="19" l="1"/>
  <c r="AU203" i="19"/>
  <c r="AP204" i="19" s="1"/>
  <c r="AW203" i="19"/>
  <c r="AV203" i="19"/>
  <c r="BP202" i="19"/>
  <c r="CB202" i="19" s="1"/>
  <c r="AY202" i="19"/>
  <c r="AZ202" i="19" s="1"/>
  <c r="BC201" i="19"/>
  <c r="CB201" i="19"/>
  <c r="BF200" i="19"/>
  <c r="BB200" i="19"/>
  <c r="BE200" i="19" s="1"/>
  <c r="AA205" i="19"/>
  <c r="AB205" i="19" s="1"/>
  <c r="AH205" i="19" s="1"/>
  <c r="BL205" i="19"/>
  <c r="BZ205" i="19" s="1"/>
  <c r="W206" i="19"/>
  <c r="X206" i="19" s="1"/>
  <c r="S207" i="19" s="1"/>
  <c r="Z206" i="19"/>
  <c r="BM206" i="19" s="1"/>
  <c r="BN204" i="19"/>
  <c r="CA204" i="19" s="1"/>
  <c r="AM204" i="19"/>
  <c r="AN204" i="19" s="1"/>
  <c r="BG200" i="19" l="1"/>
  <c r="AT204" i="19"/>
  <c r="AX204" i="19"/>
  <c r="BQ204" i="19" s="1"/>
  <c r="BP203" i="19"/>
  <c r="CB203" i="19" s="1"/>
  <c r="AY203" i="19"/>
  <c r="AZ203" i="19" s="1"/>
  <c r="BC202" i="19"/>
  <c r="BF201" i="19"/>
  <c r="BB201" i="19"/>
  <c r="BE201" i="19" s="1"/>
  <c r="Z207" i="19"/>
  <c r="BM207" i="19" s="1"/>
  <c r="W207" i="19"/>
  <c r="Y206" i="19"/>
  <c r="AG206" i="19"/>
  <c r="AI205" i="19"/>
  <c r="AD206" i="19" s="1"/>
  <c r="AS205" i="19"/>
  <c r="AJ205" i="19"/>
  <c r="AK205" i="19"/>
  <c r="BG201" i="19" l="1"/>
  <c r="AU204" i="19"/>
  <c r="AP205" i="19" s="1"/>
  <c r="AW204" i="19"/>
  <c r="AV204" i="19"/>
  <c r="BC203" i="19"/>
  <c r="BF202" i="19"/>
  <c r="BB202" i="19"/>
  <c r="BE202" i="19" s="1"/>
  <c r="Y207" i="19"/>
  <c r="AG207" i="19"/>
  <c r="X207" i="19"/>
  <c r="S208" i="19" s="1"/>
  <c r="AA206" i="19"/>
  <c r="AB206" i="19" s="1"/>
  <c r="AH206" i="19" s="1"/>
  <c r="BL206" i="19"/>
  <c r="BZ206" i="19" s="1"/>
  <c r="AL206" i="19"/>
  <c r="BO206" i="19" s="1"/>
  <c r="BN205" i="19"/>
  <c r="CA205" i="19" s="1"/>
  <c r="AM205" i="19"/>
  <c r="AN205" i="19" s="1"/>
  <c r="BG202" i="19" l="1"/>
  <c r="AT205" i="19"/>
  <c r="AX205" i="19"/>
  <c r="BQ205" i="19" s="1"/>
  <c r="BP204" i="19"/>
  <c r="CB204" i="19" s="1"/>
  <c r="AY204" i="19"/>
  <c r="AZ204" i="19" s="1"/>
  <c r="BF203" i="19"/>
  <c r="BB203" i="19"/>
  <c r="BE203" i="19" s="1"/>
  <c r="AK206" i="19"/>
  <c r="AS206" i="19"/>
  <c r="AI206" i="19"/>
  <c r="AD207" i="19" s="1"/>
  <c r="AL207" i="19" s="1"/>
  <c r="BO207" i="19" s="1"/>
  <c r="AJ206" i="19"/>
  <c r="BL207" i="19"/>
  <c r="BZ207" i="19" s="1"/>
  <c r="AA207" i="19"/>
  <c r="AB207" i="19" s="1"/>
  <c r="AH207" i="19" s="1"/>
  <c r="Z208" i="19"/>
  <c r="BM208" i="19" s="1"/>
  <c r="W208" i="19"/>
  <c r="BG203" i="19" l="1"/>
  <c r="BC204" i="19"/>
  <c r="AW205" i="19"/>
  <c r="AU205" i="19"/>
  <c r="AP206" i="19" s="1"/>
  <c r="AV205" i="19"/>
  <c r="BN206" i="19"/>
  <c r="CA206" i="19" s="1"/>
  <c r="AM206" i="19"/>
  <c r="AN206" i="19" s="1"/>
  <c r="AS207" i="19"/>
  <c r="AJ207" i="19"/>
  <c r="Y208" i="19"/>
  <c r="AG208" i="19"/>
  <c r="X208" i="19"/>
  <c r="S209" i="19" s="1"/>
  <c r="AI207" i="19"/>
  <c r="AD208" i="19" s="1"/>
  <c r="AL208" i="19" s="1"/>
  <c r="BO208" i="19" s="1"/>
  <c r="AK207" i="19"/>
  <c r="BF204" i="19" l="1"/>
  <c r="BB204" i="19"/>
  <c r="BE204" i="19" s="1"/>
  <c r="BP205" i="19"/>
  <c r="CB205" i="19" s="1"/>
  <c r="AY205" i="19"/>
  <c r="AZ205" i="19" s="1"/>
  <c r="AT206" i="19"/>
  <c r="AX206" i="19"/>
  <c r="BQ206" i="19" s="1"/>
  <c r="BL208" i="19"/>
  <c r="BZ208" i="19" s="1"/>
  <c r="AA208" i="19"/>
  <c r="AB208" i="19" s="1"/>
  <c r="AH208" i="19" s="1"/>
  <c r="Z209" i="19"/>
  <c r="BM209" i="19" s="1"/>
  <c r="W209" i="19"/>
  <c r="X209" i="19" s="1"/>
  <c r="S210" i="19" s="1"/>
  <c r="BN207" i="19"/>
  <c r="CA207" i="19" s="1"/>
  <c r="AM207" i="19"/>
  <c r="AN207" i="19" s="1"/>
  <c r="BG204" i="19" l="1"/>
  <c r="BC205" i="19"/>
  <c r="AU206" i="19"/>
  <c r="AP207" i="19" s="1"/>
  <c r="AW206" i="19"/>
  <c r="AV206" i="19"/>
  <c r="AJ208" i="19"/>
  <c r="AS208" i="19"/>
  <c r="Z210" i="19"/>
  <c r="BM210" i="19" s="1"/>
  <c r="W210" i="19"/>
  <c r="X210" i="19" s="1"/>
  <c r="S211" i="19" s="1"/>
  <c r="AG209" i="19"/>
  <c r="Y209" i="19"/>
  <c r="AI208" i="19"/>
  <c r="AD209" i="19" s="1"/>
  <c r="AK208" i="19"/>
  <c r="AX207" i="19" l="1"/>
  <c r="BQ207" i="19" s="1"/>
  <c r="AT207" i="19"/>
  <c r="AY206" i="19"/>
  <c r="AZ206" i="19" s="1"/>
  <c r="BP206" i="19"/>
  <c r="CB206" i="19" s="1"/>
  <c r="BF205" i="19"/>
  <c r="BB205" i="19"/>
  <c r="BE205" i="19" s="1"/>
  <c r="BG205" i="19" s="1"/>
  <c r="Z211" i="19"/>
  <c r="BM211" i="19" s="1"/>
  <c r="W211" i="19"/>
  <c r="X211" i="19" s="1"/>
  <c r="S212" i="19" s="1"/>
  <c r="AG210" i="19"/>
  <c r="Y210" i="19"/>
  <c r="AA209" i="19"/>
  <c r="AB209" i="19" s="1"/>
  <c r="AH209" i="19" s="1"/>
  <c r="AI209" i="19" s="1"/>
  <c r="AD210" i="19" s="1"/>
  <c r="BL209" i="19"/>
  <c r="BZ209" i="19" s="1"/>
  <c r="AL209" i="19"/>
  <c r="BO209" i="19" s="1"/>
  <c r="BN208" i="19"/>
  <c r="CA208" i="19" s="1"/>
  <c r="AM208" i="19"/>
  <c r="AN208" i="19" s="1"/>
  <c r="AV207" i="19" l="1"/>
  <c r="AW207" i="19"/>
  <c r="AU207" i="19"/>
  <c r="AP208" i="19" s="1"/>
  <c r="BC206" i="19"/>
  <c r="Z212" i="19"/>
  <c r="BM212" i="19" s="1"/>
  <c r="W212" i="19"/>
  <c r="Y211" i="19"/>
  <c r="AG211" i="19"/>
  <c r="AA210" i="19"/>
  <c r="AB210" i="19" s="1"/>
  <c r="AH210" i="19" s="1"/>
  <c r="AI210" i="19" s="1"/>
  <c r="AD211" i="19" s="1"/>
  <c r="BL210" i="19"/>
  <c r="BZ210" i="19" s="1"/>
  <c r="AL210" i="19"/>
  <c r="BO210" i="19" s="1"/>
  <c r="AJ209" i="19"/>
  <c r="AS209" i="19"/>
  <c r="AK209" i="19"/>
  <c r="BF206" i="19" l="1"/>
  <c r="BB206" i="19"/>
  <c r="BE206" i="19" s="1"/>
  <c r="AY207" i="19"/>
  <c r="AZ207" i="19" s="1"/>
  <c r="BP207" i="19"/>
  <c r="CB207" i="19" s="1"/>
  <c r="AT208" i="19"/>
  <c r="AX208" i="19"/>
  <c r="BQ208" i="19" s="1"/>
  <c r="X212" i="19"/>
  <c r="S213" i="19" s="1"/>
  <c r="AG212" i="19"/>
  <c r="Y212" i="19"/>
  <c r="AA211" i="19"/>
  <c r="AB211" i="19" s="1"/>
  <c r="AH211" i="19" s="1"/>
  <c r="BL211" i="19"/>
  <c r="BZ211" i="19" s="1"/>
  <c r="AL211" i="19"/>
  <c r="BO211" i="19" s="1"/>
  <c r="AM209" i="19"/>
  <c r="AN209" i="19" s="1"/>
  <c r="BN209" i="19"/>
  <c r="CA209" i="19" s="1"/>
  <c r="AS210" i="19"/>
  <c r="AJ210" i="19"/>
  <c r="AK210" i="19"/>
  <c r="BG206" i="19" l="1"/>
  <c r="BC207" i="19"/>
  <c r="AV208" i="19"/>
  <c r="AU208" i="19"/>
  <c r="AP209" i="19" s="1"/>
  <c r="AW208" i="19"/>
  <c r="AK211" i="19"/>
  <c r="AJ211" i="19"/>
  <c r="AS211" i="19"/>
  <c r="AI211" i="19"/>
  <c r="AD212" i="19" s="1"/>
  <c r="AL212" i="19" s="1"/>
  <c r="BO212" i="19" s="1"/>
  <c r="Z213" i="19"/>
  <c r="BM213" i="19" s="1"/>
  <c r="W213" i="19"/>
  <c r="BL212" i="19"/>
  <c r="BZ212" i="19" s="1"/>
  <c r="AA212" i="19"/>
  <c r="AB212" i="19" s="1"/>
  <c r="AH212" i="19" s="1"/>
  <c r="BN210" i="19"/>
  <c r="CA210" i="19" s="1"/>
  <c r="AM210" i="19"/>
  <c r="AN210" i="19" s="1"/>
  <c r="AT209" i="19" l="1"/>
  <c r="AX209" i="19"/>
  <c r="BQ209" i="19" s="1"/>
  <c r="BP208" i="19"/>
  <c r="CB208" i="19" s="1"/>
  <c r="AY208" i="19"/>
  <c r="AZ208" i="19" s="1"/>
  <c r="BF207" i="19"/>
  <c r="BB207" i="19"/>
  <c r="BE207" i="19" s="1"/>
  <c r="BG207" i="19" s="1"/>
  <c r="BN211" i="19"/>
  <c r="CA211" i="19" s="1"/>
  <c r="AM211" i="19"/>
  <c r="AN211" i="19" s="1"/>
  <c r="Y213" i="19"/>
  <c r="AG213" i="19"/>
  <c r="X213" i="19"/>
  <c r="S214" i="19" s="1"/>
  <c r="AI212" i="19"/>
  <c r="AD213" i="19" s="1"/>
  <c r="AS212" i="19"/>
  <c r="AK212" i="19"/>
  <c r="AJ212" i="19"/>
  <c r="AV209" i="19" l="1"/>
  <c r="AU209" i="19"/>
  <c r="AP210" i="19" s="1"/>
  <c r="AW209" i="19"/>
  <c r="BC208" i="19"/>
  <c r="AA213" i="19"/>
  <c r="AB213" i="19" s="1"/>
  <c r="AH213" i="19" s="1"/>
  <c r="BL213" i="19"/>
  <c r="BZ213" i="19" s="1"/>
  <c r="Z214" i="19"/>
  <c r="BM214" i="19" s="1"/>
  <c r="W214" i="19"/>
  <c r="BN212" i="19"/>
  <c r="CA212" i="19" s="1"/>
  <c r="AM212" i="19"/>
  <c r="AN212" i="19" s="1"/>
  <c r="AL213" i="19"/>
  <c r="BO213" i="19" s="1"/>
  <c r="BF208" i="19" l="1"/>
  <c r="BB208" i="19"/>
  <c r="BE208" i="19" s="1"/>
  <c r="AT210" i="19"/>
  <c r="AX210" i="19"/>
  <c r="BQ210" i="19" s="1"/>
  <c r="BP209" i="19"/>
  <c r="CB209" i="19" s="1"/>
  <c r="AY209" i="19"/>
  <c r="AZ209" i="19" s="1"/>
  <c r="AK213" i="19"/>
  <c r="AS213" i="19"/>
  <c r="AJ213" i="19"/>
  <c r="AI213" i="19"/>
  <c r="AD214" i="19" s="1"/>
  <c r="AL214" i="19" s="1"/>
  <c r="BO214" i="19" s="1"/>
  <c r="AG214" i="19"/>
  <c r="Y214" i="19"/>
  <c r="X214" i="19"/>
  <c r="S215" i="19" s="1"/>
  <c r="BG208" i="19" l="1"/>
  <c r="AU210" i="19"/>
  <c r="AP211" i="19" s="1"/>
  <c r="AV210" i="19"/>
  <c r="AW210" i="19"/>
  <c r="BC209" i="19"/>
  <c r="BN213" i="19"/>
  <c r="CA213" i="19" s="1"/>
  <c r="AM213" i="19"/>
  <c r="AN213" i="19" s="1"/>
  <c r="BL214" i="19"/>
  <c r="BZ214" i="19" s="1"/>
  <c r="AA214" i="19"/>
  <c r="AB214" i="19" s="1"/>
  <c r="AH214" i="19" s="1"/>
  <c r="AK214" i="19" s="1"/>
  <c r="Z215" i="19"/>
  <c r="BM215" i="19" s="1"/>
  <c r="W215" i="19"/>
  <c r="X215" i="19" s="1"/>
  <c r="S216" i="19" s="1"/>
  <c r="BF209" i="19" l="1"/>
  <c r="BB209" i="19"/>
  <c r="BE209" i="19" s="1"/>
  <c r="AT211" i="19"/>
  <c r="AX211" i="19"/>
  <c r="BQ211" i="19" s="1"/>
  <c r="AY210" i="19"/>
  <c r="AZ210" i="19" s="1"/>
  <c r="BP210" i="19"/>
  <c r="CB210" i="19" s="1"/>
  <c r="AM214" i="19"/>
  <c r="AN214" i="19" s="1"/>
  <c r="BN214" i="19"/>
  <c r="CA214" i="19" s="1"/>
  <c r="AI214" i="19"/>
  <c r="AD215" i="19" s="1"/>
  <c r="AJ214" i="19"/>
  <c r="AS214" i="19"/>
  <c r="Z216" i="19"/>
  <c r="BM216" i="19" s="1"/>
  <c r="W216" i="19"/>
  <c r="X216" i="19" s="1"/>
  <c r="S217" i="19" s="1"/>
  <c r="Y215" i="19"/>
  <c r="AG215" i="19"/>
  <c r="BG209" i="19" l="1"/>
  <c r="BC210" i="19"/>
  <c r="AU211" i="19"/>
  <c r="AP212" i="19" s="1"/>
  <c r="AV211" i="19"/>
  <c r="AW211" i="19"/>
  <c r="AL215" i="19"/>
  <c r="BO215" i="19" s="1"/>
  <c r="Z217" i="19"/>
  <c r="BM217" i="19" s="1"/>
  <c r="W217" i="19"/>
  <c r="Y216" i="19"/>
  <c r="AG216" i="19"/>
  <c r="AA215" i="19"/>
  <c r="AB215" i="19" s="1"/>
  <c r="AH215" i="19" s="1"/>
  <c r="BL215" i="19"/>
  <c r="BZ215" i="19" s="1"/>
  <c r="BF210" i="19" l="1"/>
  <c r="BB210" i="19"/>
  <c r="BE210" i="19" s="1"/>
  <c r="AX212" i="19"/>
  <c r="BQ212" i="19" s="1"/>
  <c r="AT212" i="19"/>
  <c r="BP211" i="19"/>
  <c r="CB211" i="19" s="1"/>
  <c r="AY211" i="19"/>
  <c r="AZ211" i="19" s="1"/>
  <c r="AS215" i="19"/>
  <c r="AJ215" i="19"/>
  <c r="X217" i="19"/>
  <c r="S218" i="19" s="1"/>
  <c r="Y217" i="19"/>
  <c r="AG217" i="19"/>
  <c r="BL216" i="19"/>
  <c r="BZ216" i="19" s="1"/>
  <c r="AA216" i="19"/>
  <c r="AB216" i="19" s="1"/>
  <c r="AH216" i="19" s="1"/>
  <c r="AJ216" i="19" s="1"/>
  <c r="AI215" i="19"/>
  <c r="AD216" i="19" s="1"/>
  <c r="AK215" i="19"/>
  <c r="BG210" i="19" l="1"/>
  <c r="AV212" i="19"/>
  <c r="AU212" i="19"/>
  <c r="AP213" i="19" s="1"/>
  <c r="AW212" i="19"/>
  <c r="BC211" i="19"/>
  <c r="AK216" i="19"/>
  <c r="BN216" i="19" s="1"/>
  <c r="AS216" i="19"/>
  <c r="W218" i="19"/>
  <c r="Z218" i="19"/>
  <c r="BM218" i="19" s="1"/>
  <c r="AA217" i="19"/>
  <c r="AB217" i="19" s="1"/>
  <c r="AH217" i="19" s="1"/>
  <c r="BL217" i="19"/>
  <c r="BZ217" i="19" s="1"/>
  <c r="AL216" i="19"/>
  <c r="AI216" i="19"/>
  <c r="AD217" i="19" s="1"/>
  <c r="BN215" i="19"/>
  <c r="CA215" i="19" s="1"/>
  <c r="AM215" i="19"/>
  <c r="AN215" i="19" s="1"/>
  <c r="AX213" i="19" l="1"/>
  <c r="BQ213" i="19" s="1"/>
  <c r="AT213" i="19"/>
  <c r="BP212" i="19"/>
  <c r="CB212" i="19" s="1"/>
  <c r="AY212" i="19"/>
  <c r="AZ212" i="19" s="1"/>
  <c r="BC212" i="19" s="1"/>
  <c r="BF211" i="19"/>
  <c r="BB211" i="19"/>
  <c r="BE211" i="19" s="1"/>
  <c r="BG211" i="19" s="1"/>
  <c r="BO216" i="19"/>
  <c r="CA216" i="19" s="1"/>
  <c r="AM216" i="19"/>
  <c r="AN216" i="19" s="1"/>
  <c r="AG218" i="19"/>
  <c r="Y218" i="19"/>
  <c r="X218" i="19"/>
  <c r="S219" i="19" s="1"/>
  <c r="AI217" i="19"/>
  <c r="AD218" i="19" s="1"/>
  <c r="AL218" i="19" s="1"/>
  <c r="BO218" i="19" s="1"/>
  <c r="AL217" i="19"/>
  <c r="BO217" i="19" s="1"/>
  <c r="AK217" i="19"/>
  <c r="AS217" i="19"/>
  <c r="AJ217" i="19"/>
  <c r="AU213" i="19" l="1"/>
  <c r="AP214" i="19" s="1"/>
  <c r="AV213" i="19"/>
  <c r="AW213" i="19"/>
  <c r="BF212" i="19"/>
  <c r="BB212" i="19"/>
  <c r="BE212" i="19" s="1"/>
  <c r="AA218" i="19"/>
  <c r="AB218" i="19" s="1"/>
  <c r="AH218" i="19" s="1"/>
  <c r="BL218" i="19"/>
  <c r="BZ218" i="19" s="1"/>
  <c r="Z219" i="19"/>
  <c r="BM219" i="19" s="1"/>
  <c r="W219" i="19"/>
  <c r="BN217" i="19"/>
  <c r="CA217" i="19" s="1"/>
  <c r="AM217" i="19"/>
  <c r="AN217" i="19" s="1"/>
  <c r="BG212" i="19" l="1"/>
  <c r="AT214" i="19"/>
  <c r="AX214" i="19"/>
  <c r="BQ214" i="19" s="1"/>
  <c r="AY213" i="19"/>
  <c r="AZ213" i="19" s="1"/>
  <c r="BP213" i="19"/>
  <c r="CB213" i="19" s="1"/>
  <c r="AK218" i="19"/>
  <c r="AI218" i="19"/>
  <c r="AD219" i="19" s="1"/>
  <c r="AL219" i="19" s="1"/>
  <c r="BO219" i="19" s="1"/>
  <c r="Y219" i="19"/>
  <c r="AG219" i="19"/>
  <c r="X219" i="19"/>
  <c r="S220" i="19" s="1"/>
  <c r="AS218" i="19"/>
  <c r="AJ218" i="19"/>
  <c r="BC213" i="19" l="1"/>
  <c r="AV214" i="19"/>
  <c r="AW214" i="19"/>
  <c r="AU214" i="19"/>
  <c r="AP215" i="19" s="1"/>
  <c r="BN218" i="19"/>
  <c r="CA218" i="19" s="1"/>
  <c r="AM218" i="19"/>
  <c r="AN218" i="19" s="1"/>
  <c r="AA219" i="19"/>
  <c r="AB219" i="19" s="1"/>
  <c r="AH219" i="19" s="1"/>
  <c r="BL219" i="19"/>
  <c r="BZ219" i="19" s="1"/>
  <c r="Z220" i="19"/>
  <c r="BM220" i="19" s="1"/>
  <c r="W220" i="19"/>
  <c r="BF213" i="19" l="1"/>
  <c r="BB213" i="19"/>
  <c r="BE213" i="19" s="1"/>
  <c r="AY214" i="19"/>
  <c r="AZ214" i="19" s="1"/>
  <c r="BP214" i="19"/>
  <c r="CB214" i="19" s="1"/>
  <c r="AT215" i="19"/>
  <c r="AX215" i="19"/>
  <c r="BQ215" i="19" s="1"/>
  <c r="AJ219" i="19"/>
  <c r="AS219" i="19"/>
  <c r="AK219" i="19"/>
  <c r="AI219" i="19"/>
  <c r="AD220" i="19" s="1"/>
  <c r="AG220" i="19"/>
  <c r="Y220" i="19"/>
  <c r="X220" i="19"/>
  <c r="S221" i="19" s="1"/>
  <c r="BG213" i="19" l="1"/>
  <c r="AV215" i="19"/>
  <c r="AW215" i="19"/>
  <c r="AU215" i="19"/>
  <c r="AP216" i="19" s="1"/>
  <c r="BC214" i="19"/>
  <c r="AM219" i="19"/>
  <c r="AN219" i="19" s="1"/>
  <c r="BN219" i="19"/>
  <c r="CA219" i="19" s="1"/>
  <c r="AL220" i="19"/>
  <c r="BO220" i="19" s="1"/>
  <c r="BL220" i="19"/>
  <c r="BZ220" i="19" s="1"/>
  <c r="AA220" i="19"/>
  <c r="AB220" i="19" s="1"/>
  <c r="AH220" i="19" s="1"/>
  <c r="W221" i="19"/>
  <c r="X221" i="19" s="1"/>
  <c r="S222" i="19" s="1"/>
  <c r="Z221" i="19"/>
  <c r="BM221" i="19" s="1"/>
  <c r="BF214" i="19" l="1"/>
  <c r="BB214" i="19"/>
  <c r="BE214" i="19" s="1"/>
  <c r="BG214" i="19" s="1"/>
  <c r="BP215" i="19"/>
  <c r="CB215" i="19" s="1"/>
  <c r="AY215" i="19"/>
  <c r="AZ215" i="19" s="1"/>
  <c r="AX216" i="19"/>
  <c r="BQ216" i="19" s="1"/>
  <c r="AT216" i="19"/>
  <c r="AU216" i="19" s="1"/>
  <c r="AP217" i="19" s="1"/>
  <c r="W222" i="19"/>
  <c r="X222" i="19" s="1"/>
  <c r="S223" i="19" s="1"/>
  <c r="Z222" i="19"/>
  <c r="BM222" i="19" s="1"/>
  <c r="Y221" i="19"/>
  <c r="AG221" i="19"/>
  <c r="AJ220" i="19"/>
  <c r="AI220" i="19"/>
  <c r="AD221" i="19" s="1"/>
  <c r="AS220" i="19"/>
  <c r="AK220" i="19"/>
  <c r="BC215" i="19" l="1"/>
  <c r="AX217" i="19"/>
  <c r="BQ217" i="19" s="1"/>
  <c r="AT217" i="19"/>
  <c r="AV216" i="19"/>
  <c r="AW216" i="19"/>
  <c r="Z223" i="19"/>
  <c r="BM223" i="19" s="1"/>
  <c r="W223" i="19"/>
  <c r="AG222" i="19"/>
  <c r="Y222" i="19"/>
  <c r="AA221" i="19"/>
  <c r="AB221" i="19" s="1"/>
  <c r="AH221" i="19" s="1"/>
  <c r="BL221" i="19"/>
  <c r="BZ221" i="19" s="1"/>
  <c r="AL221" i="19"/>
  <c r="BO221" i="19" s="1"/>
  <c r="AM220" i="19"/>
  <c r="AN220" i="19" s="1"/>
  <c r="BN220" i="19"/>
  <c r="CA220" i="19" s="1"/>
  <c r="AV217" i="19" l="1"/>
  <c r="AW217" i="19"/>
  <c r="AU217" i="19"/>
  <c r="AP218" i="19" s="1"/>
  <c r="BP216" i="19"/>
  <c r="CB216" i="19" s="1"/>
  <c r="AY216" i="19"/>
  <c r="AZ216" i="19" s="1"/>
  <c r="BF215" i="19"/>
  <c r="BB215" i="19"/>
  <c r="BE215" i="19" s="1"/>
  <c r="AJ221" i="19"/>
  <c r="AS221" i="19"/>
  <c r="AK221" i="19"/>
  <c r="AI221" i="19"/>
  <c r="AD222" i="19" s="1"/>
  <c r="Y223" i="19"/>
  <c r="AG223" i="19"/>
  <c r="X223" i="19"/>
  <c r="S224" i="19" s="1"/>
  <c r="BL222" i="19"/>
  <c r="BZ222" i="19" s="1"/>
  <c r="AA222" i="19"/>
  <c r="AB222" i="19" s="1"/>
  <c r="AH222" i="19" s="1"/>
  <c r="BG215" i="19" l="1"/>
  <c r="AY217" i="19"/>
  <c r="AZ217" i="19" s="1"/>
  <c r="BP217" i="19"/>
  <c r="CB217" i="19" s="1"/>
  <c r="AX218" i="19"/>
  <c r="AT218" i="19"/>
  <c r="AU218" i="19" s="1"/>
  <c r="AP219" i="19" s="1"/>
  <c r="BC216" i="19"/>
  <c r="AM221" i="19"/>
  <c r="AN221" i="19" s="1"/>
  <c r="BN221" i="19"/>
  <c r="CA221" i="19" s="1"/>
  <c r="AL222" i="19"/>
  <c r="BO222" i="19" s="1"/>
  <c r="AI222" i="19"/>
  <c r="AD223" i="19" s="1"/>
  <c r="AL223" i="19" s="1"/>
  <c r="BO223" i="19" s="1"/>
  <c r="BL223" i="19"/>
  <c r="BZ223" i="19" s="1"/>
  <c r="AA223" i="19"/>
  <c r="AB223" i="19" s="1"/>
  <c r="AH223" i="19" s="1"/>
  <c r="W224" i="19"/>
  <c r="X224" i="19" s="1"/>
  <c r="S225" i="19" s="1"/>
  <c r="Z224" i="19"/>
  <c r="BM224" i="19" s="1"/>
  <c r="AJ222" i="19"/>
  <c r="AS222" i="19"/>
  <c r="AK222" i="19"/>
  <c r="BF216" i="19" l="1"/>
  <c r="BB216" i="19"/>
  <c r="BE216" i="19" s="1"/>
  <c r="BC217" i="19"/>
  <c r="AX219" i="19"/>
  <c r="BQ219" i="19" s="1"/>
  <c r="AT219" i="19"/>
  <c r="AU219" i="19" s="1"/>
  <c r="AP220" i="19" s="1"/>
  <c r="AW218" i="19"/>
  <c r="AV218" i="19"/>
  <c r="BQ218" i="19"/>
  <c r="AJ223" i="19"/>
  <c r="AK223" i="19"/>
  <c r="AI223" i="19"/>
  <c r="AD224" i="19" s="1"/>
  <c r="AS223" i="19"/>
  <c r="W225" i="19"/>
  <c r="Z225" i="19"/>
  <c r="BM225" i="19" s="1"/>
  <c r="AG224" i="19"/>
  <c r="Y224" i="19"/>
  <c r="AM222" i="19"/>
  <c r="AN222" i="19" s="1"/>
  <c r="BN222" i="19"/>
  <c r="CA222" i="19" s="1"/>
  <c r="BG216" i="19" l="1"/>
  <c r="AT220" i="19"/>
  <c r="AX220" i="19"/>
  <c r="BQ220" i="19" s="1"/>
  <c r="AW219" i="19"/>
  <c r="AV219" i="19"/>
  <c r="BP218" i="19"/>
  <c r="CB218" i="19" s="1"/>
  <c r="AY218" i="19"/>
  <c r="AZ218" i="19" s="1"/>
  <c r="BF217" i="19"/>
  <c r="BB217" i="19"/>
  <c r="BE217" i="19" s="1"/>
  <c r="BN223" i="19"/>
  <c r="CA223" i="19" s="1"/>
  <c r="AM223" i="19"/>
  <c r="AN223" i="19" s="1"/>
  <c r="AL224" i="19"/>
  <c r="BO224" i="19" s="1"/>
  <c r="X225" i="19"/>
  <c r="S226" i="19" s="1"/>
  <c r="Y225" i="19"/>
  <c r="AG225" i="19"/>
  <c r="BL224" i="19"/>
  <c r="BZ224" i="19" s="1"/>
  <c r="AA224" i="19"/>
  <c r="AB224" i="19" s="1"/>
  <c r="AH224" i="19" s="1"/>
  <c r="BG217" i="19" l="1"/>
  <c r="AU220" i="19"/>
  <c r="AP221" i="19" s="1"/>
  <c r="AW220" i="19"/>
  <c r="AV220" i="19"/>
  <c r="BP219" i="19"/>
  <c r="CB219" i="19" s="1"/>
  <c r="AY219" i="19"/>
  <c r="AZ219" i="19" s="1"/>
  <c r="BC218" i="19"/>
  <c r="W226" i="19"/>
  <c r="Z226" i="19"/>
  <c r="BM226" i="19" s="1"/>
  <c r="AA225" i="19"/>
  <c r="AB225" i="19" s="1"/>
  <c r="AH225" i="19" s="1"/>
  <c r="BL225" i="19"/>
  <c r="BZ225" i="19" s="1"/>
  <c r="AJ224" i="19"/>
  <c r="AI224" i="19"/>
  <c r="AD225" i="19" s="1"/>
  <c r="AS224" i="19"/>
  <c r="AK224" i="19"/>
  <c r="AX221" i="19" l="1"/>
  <c r="BQ221" i="19" s="1"/>
  <c r="AT221" i="19"/>
  <c r="BP220" i="19"/>
  <c r="CB220" i="19" s="1"/>
  <c r="AY220" i="19"/>
  <c r="AZ220" i="19" s="1"/>
  <c r="BC219" i="19"/>
  <c r="BF218" i="19"/>
  <c r="BB218" i="19"/>
  <c r="BE218" i="19" s="1"/>
  <c r="AK225" i="19"/>
  <c r="BN225" i="19" s="1"/>
  <c r="AS225" i="19"/>
  <c r="AJ225" i="19"/>
  <c r="X226" i="19"/>
  <c r="S227" i="19" s="1"/>
  <c r="AG226" i="19"/>
  <c r="Y226" i="19"/>
  <c r="AI225" i="19"/>
  <c r="AD226" i="19" s="1"/>
  <c r="AL226" i="19" s="1"/>
  <c r="BO226" i="19" s="1"/>
  <c r="AL225" i="19"/>
  <c r="BN224" i="19"/>
  <c r="CA224" i="19" s="1"/>
  <c r="AM224" i="19"/>
  <c r="AN224" i="19" s="1"/>
  <c r="BG218" i="19" l="1"/>
  <c r="BC220" i="19"/>
  <c r="AU221" i="19"/>
  <c r="AP222" i="19" s="1"/>
  <c r="AV221" i="19"/>
  <c r="AW221" i="19"/>
  <c r="BF219" i="19"/>
  <c r="BB219" i="19"/>
  <c r="BE219" i="19" s="1"/>
  <c r="BO225" i="19"/>
  <c r="CA225" i="19" s="1"/>
  <c r="AM225" i="19"/>
  <c r="AN225" i="19" s="1"/>
  <c r="W227" i="19"/>
  <c r="Z227" i="19"/>
  <c r="BM227" i="19" s="1"/>
  <c r="AA226" i="19"/>
  <c r="AB226" i="19" s="1"/>
  <c r="AH226" i="19" s="1"/>
  <c r="BL226" i="19"/>
  <c r="BZ226" i="19" s="1"/>
  <c r="BF220" i="19" l="1"/>
  <c r="BB220" i="19"/>
  <c r="BE220" i="19" s="1"/>
  <c r="BG220" i="19" s="1"/>
  <c r="BG219" i="19"/>
  <c r="AX222" i="19"/>
  <c r="BQ222" i="19" s="1"/>
  <c r="AT222" i="19"/>
  <c r="AY221" i="19"/>
  <c r="AZ221" i="19" s="1"/>
  <c r="BP221" i="19"/>
  <c r="CB221" i="19" s="1"/>
  <c r="Y227" i="19"/>
  <c r="AG227" i="19"/>
  <c r="X227" i="19"/>
  <c r="S228" i="19" s="1"/>
  <c r="AK226" i="19"/>
  <c r="AS226" i="19"/>
  <c r="AI226" i="19"/>
  <c r="AD227" i="19" s="1"/>
  <c r="AL227" i="19" s="1"/>
  <c r="BO227" i="19" s="1"/>
  <c r="AJ226" i="19"/>
  <c r="AV222" i="19" l="1"/>
  <c r="AW222" i="19"/>
  <c r="AU222" i="19"/>
  <c r="AP223" i="19" s="1"/>
  <c r="BC221" i="19"/>
  <c r="AA227" i="19"/>
  <c r="AB227" i="19" s="1"/>
  <c r="AH227" i="19" s="1"/>
  <c r="BL227" i="19"/>
  <c r="BZ227" i="19" s="1"/>
  <c r="Z228" i="19"/>
  <c r="BM228" i="19" s="1"/>
  <c r="W228" i="19"/>
  <c r="BN226" i="19"/>
  <c r="CA226" i="19" s="1"/>
  <c r="AM226" i="19"/>
  <c r="AN226" i="19" s="1"/>
  <c r="BF221" i="19" l="1"/>
  <c r="BB221" i="19"/>
  <c r="BE221" i="19" s="1"/>
  <c r="AY222" i="19"/>
  <c r="AZ222" i="19" s="1"/>
  <c r="BP222" i="19"/>
  <c r="CB222" i="19" s="1"/>
  <c r="AT223" i="19"/>
  <c r="AU223" i="19" s="1"/>
  <c r="AP224" i="19" s="1"/>
  <c r="AX223" i="19"/>
  <c r="BQ223" i="19" s="1"/>
  <c r="AK227" i="19"/>
  <c r="AI227" i="19"/>
  <c r="AD228" i="19" s="1"/>
  <c r="AL228" i="19" s="1"/>
  <c r="BO228" i="19" s="1"/>
  <c r="AG228" i="19"/>
  <c r="Y228" i="19"/>
  <c r="X228" i="19"/>
  <c r="S229" i="19" s="1"/>
  <c r="AJ227" i="19"/>
  <c r="AS227" i="19"/>
  <c r="BG221" i="19" l="1"/>
  <c r="AT224" i="19"/>
  <c r="AX224" i="19"/>
  <c r="BQ224" i="19" s="1"/>
  <c r="AW223" i="19"/>
  <c r="AV223" i="19"/>
  <c r="BC222" i="19"/>
  <c r="AM227" i="19"/>
  <c r="AN227" i="19" s="1"/>
  <c r="BN227" i="19"/>
  <c r="CA227" i="19" s="1"/>
  <c r="BL228" i="19"/>
  <c r="BZ228" i="19" s="1"/>
  <c r="AA228" i="19"/>
  <c r="AB228" i="19" s="1"/>
  <c r="AH228" i="19" s="1"/>
  <c r="Z229" i="19"/>
  <c r="BM229" i="19" s="1"/>
  <c r="W229" i="19"/>
  <c r="BF222" i="19" l="1"/>
  <c r="BB222" i="19"/>
  <c r="BE222" i="19" s="1"/>
  <c r="AW224" i="19"/>
  <c r="AV224" i="19"/>
  <c r="AU224" i="19"/>
  <c r="AP225" i="19" s="1"/>
  <c r="BP223" i="19"/>
  <c r="CB223" i="19" s="1"/>
  <c r="AY223" i="19"/>
  <c r="AZ223" i="19" s="1"/>
  <c r="Y229" i="19"/>
  <c r="AG229" i="19"/>
  <c r="X229" i="19"/>
  <c r="S230" i="19" s="1"/>
  <c r="AI228" i="19"/>
  <c r="AD229" i="19" s="1"/>
  <c r="AL229" i="19" s="1"/>
  <c r="BO229" i="19" s="1"/>
  <c r="AS228" i="19"/>
  <c r="AJ228" i="19"/>
  <c r="AK228" i="19"/>
  <c r="BG222" i="19" l="1"/>
  <c r="AY224" i="19"/>
  <c r="AZ224" i="19" s="1"/>
  <c r="BP224" i="19"/>
  <c r="CB224" i="19" s="1"/>
  <c r="AT225" i="19"/>
  <c r="AU225" i="19" s="1"/>
  <c r="AP226" i="19" s="1"/>
  <c r="AX225" i="19"/>
  <c r="BQ225" i="19" s="1"/>
  <c r="BC223" i="19"/>
  <c r="AA229" i="19"/>
  <c r="AB229" i="19" s="1"/>
  <c r="AH229" i="19" s="1"/>
  <c r="BL229" i="19"/>
  <c r="BZ229" i="19" s="1"/>
  <c r="Z230" i="19"/>
  <c r="BM230" i="19" s="1"/>
  <c r="W230" i="19"/>
  <c r="BN228" i="19"/>
  <c r="CA228" i="19" s="1"/>
  <c r="AM228" i="19"/>
  <c r="AN228" i="19" s="1"/>
  <c r="BF223" i="19" l="1"/>
  <c r="BB223" i="19"/>
  <c r="BE223" i="19" s="1"/>
  <c r="AT226" i="19"/>
  <c r="AX226" i="19"/>
  <c r="BQ226" i="19" s="1"/>
  <c r="AV225" i="19"/>
  <c r="AW225" i="19"/>
  <c r="BC224" i="19"/>
  <c r="AG230" i="19"/>
  <c r="Y230" i="19"/>
  <c r="X230" i="19"/>
  <c r="S231" i="19" s="1"/>
  <c r="AI229" i="19"/>
  <c r="AD230" i="19" s="1"/>
  <c r="AL230" i="19" s="1"/>
  <c r="BO230" i="19" s="1"/>
  <c r="AK229" i="19"/>
  <c r="AS229" i="19"/>
  <c r="AJ229" i="19"/>
  <c r="BF224" i="19" l="1"/>
  <c r="BB224" i="19"/>
  <c r="BE224" i="19" s="1"/>
  <c r="BG223" i="19"/>
  <c r="AV226" i="19"/>
  <c r="AW226" i="19"/>
  <c r="AU226" i="19"/>
  <c r="AP227" i="19" s="1"/>
  <c r="AY225" i="19"/>
  <c r="AZ225" i="19" s="1"/>
  <c r="BP225" i="19"/>
  <c r="CB225" i="19" s="1"/>
  <c r="BL230" i="19"/>
  <c r="BZ230" i="19" s="1"/>
  <c r="AA230" i="19"/>
  <c r="AB230" i="19" s="1"/>
  <c r="AH230" i="19" s="1"/>
  <c r="Z231" i="19"/>
  <c r="BM231" i="19" s="1"/>
  <c r="W231" i="19"/>
  <c r="X231" i="19" s="1"/>
  <c r="S232" i="19" s="1"/>
  <c r="BN229" i="19"/>
  <c r="CA229" i="19" s="1"/>
  <c r="AM229" i="19"/>
  <c r="AN229" i="19" s="1"/>
  <c r="BG224" i="19" l="1"/>
  <c r="AY226" i="19"/>
  <c r="AZ226" i="19" s="1"/>
  <c r="BP226" i="19"/>
  <c r="CB226" i="19" s="1"/>
  <c r="AX227" i="19"/>
  <c r="BQ227" i="19" s="1"/>
  <c r="AT227" i="19"/>
  <c r="AU227" i="19" s="1"/>
  <c r="AP228" i="19" s="1"/>
  <c r="BC225" i="19"/>
  <c r="W232" i="19"/>
  <c r="X232" i="19" s="1"/>
  <c r="S233" i="19" s="1"/>
  <c r="Z232" i="19"/>
  <c r="BM232" i="19" s="1"/>
  <c r="AG231" i="19"/>
  <c r="Y231" i="19"/>
  <c r="AI230" i="19"/>
  <c r="AD231" i="19" s="1"/>
  <c r="AJ230" i="19"/>
  <c r="AS230" i="19"/>
  <c r="AK230" i="19"/>
  <c r="BF225" i="19" l="1"/>
  <c r="BB225" i="19"/>
  <c r="BE225" i="19" s="1"/>
  <c r="BG225" i="19" s="1"/>
  <c r="AX228" i="19"/>
  <c r="BQ228" i="19" s="1"/>
  <c r="AT228" i="19"/>
  <c r="AV227" i="19"/>
  <c r="AW227" i="19"/>
  <c r="BC226" i="19"/>
  <c r="Z233" i="19"/>
  <c r="BM233" i="19" s="1"/>
  <c r="W233" i="19"/>
  <c r="X233" i="19" s="1"/>
  <c r="S234" i="19" s="1"/>
  <c r="Y232" i="19"/>
  <c r="AG232" i="19"/>
  <c r="AA231" i="19"/>
  <c r="AB231" i="19" s="1"/>
  <c r="AH231" i="19" s="1"/>
  <c r="AI231" i="19" s="1"/>
  <c r="AD232" i="19" s="1"/>
  <c r="BL231" i="19"/>
  <c r="BZ231" i="19" s="1"/>
  <c r="AL231" i="19"/>
  <c r="BO231" i="19" s="1"/>
  <c r="BN230" i="19"/>
  <c r="CA230" i="19" s="1"/>
  <c r="AM230" i="19"/>
  <c r="AN230" i="19" s="1"/>
  <c r="BF226" i="19" l="1"/>
  <c r="BB226" i="19"/>
  <c r="BE226" i="19" s="1"/>
  <c r="AU228" i="19"/>
  <c r="AP229" i="19" s="1"/>
  <c r="AW228" i="19"/>
  <c r="AV228" i="19"/>
  <c r="AY227" i="19"/>
  <c r="AZ227" i="19" s="1"/>
  <c r="BP227" i="19"/>
  <c r="CB227" i="19" s="1"/>
  <c r="Z234" i="19"/>
  <c r="BM234" i="19" s="1"/>
  <c r="W234" i="19"/>
  <c r="X234" i="19" s="1"/>
  <c r="S235" i="19" s="1"/>
  <c r="Y233" i="19"/>
  <c r="AG233" i="19"/>
  <c r="AA232" i="19"/>
  <c r="AB232" i="19" s="1"/>
  <c r="AH232" i="19" s="1"/>
  <c r="BL232" i="19"/>
  <c r="BZ232" i="19" s="1"/>
  <c r="AL232" i="19"/>
  <c r="BO232" i="19" s="1"/>
  <c r="AS231" i="19"/>
  <c r="AK231" i="19"/>
  <c r="AJ231" i="19"/>
  <c r="BG226" i="19" l="1"/>
  <c r="AX229" i="19"/>
  <c r="BQ229" i="19" s="1"/>
  <c r="AT229" i="19"/>
  <c r="BP228" i="19"/>
  <c r="CB228" i="19" s="1"/>
  <c r="AY228" i="19"/>
  <c r="AZ228" i="19" s="1"/>
  <c r="BC227" i="19"/>
  <c r="Z235" i="19"/>
  <c r="BM235" i="19" s="1"/>
  <c r="W235" i="19"/>
  <c r="Y234" i="19"/>
  <c r="AG234" i="19"/>
  <c r="AA233" i="19"/>
  <c r="AB233" i="19" s="1"/>
  <c r="AH233" i="19" s="1"/>
  <c r="BL233" i="19"/>
  <c r="BZ233" i="19" s="1"/>
  <c r="AM231" i="19"/>
  <c r="AN231" i="19" s="1"/>
  <c r="BN231" i="19"/>
  <c r="CA231" i="19" s="1"/>
  <c r="AK232" i="19"/>
  <c r="AS232" i="19"/>
  <c r="AJ232" i="19"/>
  <c r="AI232" i="19"/>
  <c r="AD233" i="19" s="1"/>
  <c r="AL233" i="19" s="1"/>
  <c r="BO233" i="19" s="1"/>
  <c r="BC228" i="19" l="1"/>
  <c r="AU229" i="19"/>
  <c r="AP230" i="19" s="1"/>
  <c r="AV229" i="19"/>
  <c r="AW229" i="19"/>
  <c r="BF227" i="19"/>
  <c r="BB227" i="19"/>
  <c r="BE227" i="19" s="1"/>
  <c r="AK233" i="19"/>
  <c r="AJ233" i="19"/>
  <c r="AS233" i="19"/>
  <c r="X235" i="19"/>
  <c r="S236" i="19" s="1"/>
  <c r="AG235" i="19"/>
  <c r="Y235" i="19"/>
  <c r="BL234" i="19"/>
  <c r="BZ234" i="19" s="1"/>
  <c r="AA234" i="19"/>
  <c r="AB234" i="19" s="1"/>
  <c r="AH234" i="19" s="1"/>
  <c r="BN232" i="19"/>
  <c r="CA232" i="19" s="1"/>
  <c r="AM232" i="19"/>
  <c r="AN232" i="19" s="1"/>
  <c r="AI233" i="19"/>
  <c r="AD234" i="19" s="1"/>
  <c r="BG227" i="19" l="1"/>
  <c r="BF228" i="19"/>
  <c r="BB228" i="19"/>
  <c r="BE228" i="19" s="1"/>
  <c r="BG228" i="19" s="1"/>
  <c r="AX230" i="19"/>
  <c r="BQ230" i="19" s="1"/>
  <c r="AT230" i="19"/>
  <c r="BP229" i="19"/>
  <c r="CB229" i="19" s="1"/>
  <c r="AY229" i="19"/>
  <c r="AZ229" i="19" s="1"/>
  <c r="BC229" i="19" s="1"/>
  <c r="BN233" i="19"/>
  <c r="CA233" i="19" s="1"/>
  <c r="AM233" i="19"/>
  <c r="AN233" i="19" s="1"/>
  <c r="W236" i="19"/>
  <c r="Z236" i="19"/>
  <c r="BM236" i="19" s="1"/>
  <c r="AA235" i="19"/>
  <c r="AB235" i="19" s="1"/>
  <c r="AH235" i="19" s="1"/>
  <c r="BL235" i="19"/>
  <c r="BZ235" i="19" s="1"/>
  <c r="AL234" i="19"/>
  <c r="BO234" i="19" s="1"/>
  <c r="AI234" i="19"/>
  <c r="AD235" i="19" s="1"/>
  <c r="AJ234" i="19"/>
  <c r="AS234" i="19"/>
  <c r="AK234" i="19"/>
  <c r="AU230" i="19" l="1"/>
  <c r="AP231" i="19" s="1"/>
  <c r="AW230" i="19"/>
  <c r="AV230" i="19"/>
  <c r="BB229" i="19"/>
  <c r="BE229" i="19" s="1"/>
  <c r="BF229" i="19"/>
  <c r="AK235" i="19"/>
  <c r="BN235" i="19" s="1"/>
  <c r="AS235" i="19"/>
  <c r="AJ235" i="19"/>
  <c r="X236" i="19"/>
  <c r="S237" i="19" s="1"/>
  <c r="Y236" i="19"/>
  <c r="AG236" i="19"/>
  <c r="AL235" i="19"/>
  <c r="AI235" i="19"/>
  <c r="AD236" i="19" s="1"/>
  <c r="AM234" i="19"/>
  <c r="AN234" i="19" s="1"/>
  <c r="BN234" i="19"/>
  <c r="CA234" i="19" s="1"/>
  <c r="BG229" i="19" l="1"/>
  <c r="AX231" i="19"/>
  <c r="BQ231" i="19" s="1"/>
  <c r="AT231" i="19"/>
  <c r="BP230" i="19"/>
  <c r="CB230" i="19" s="1"/>
  <c r="AY230" i="19"/>
  <c r="AZ230" i="19" s="1"/>
  <c r="W237" i="19"/>
  <c r="Z237" i="19"/>
  <c r="BM237" i="19" s="1"/>
  <c r="AA236" i="19"/>
  <c r="AB236" i="19" s="1"/>
  <c r="AH236" i="19" s="1"/>
  <c r="AI236" i="19" s="1"/>
  <c r="AD237" i="19" s="1"/>
  <c r="AL237" i="19" s="1"/>
  <c r="BL236" i="19"/>
  <c r="BZ236" i="19" s="1"/>
  <c r="AM235" i="19"/>
  <c r="AN235" i="19" s="1"/>
  <c r="BO235" i="19"/>
  <c r="CA235" i="19" s="1"/>
  <c r="AL236" i="19"/>
  <c r="BO236" i="19" s="1"/>
  <c r="AV231" i="19" l="1"/>
  <c r="AW231" i="19"/>
  <c r="AU231" i="19"/>
  <c r="AP232" i="19" s="1"/>
  <c r="BC230" i="19"/>
  <c r="BO237" i="19"/>
  <c r="AG237" i="19"/>
  <c r="Y237" i="19"/>
  <c r="X237" i="19"/>
  <c r="S238" i="19" s="1"/>
  <c r="AS236" i="19"/>
  <c r="AK236" i="19"/>
  <c r="AJ236" i="19"/>
  <c r="BF230" i="19" l="1"/>
  <c r="BB230" i="19"/>
  <c r="BE230" i="19" s="1"/>
  <c r="AY231" i="19"/>
  <c r="AZ231" i="19" s="1"/>
  <c r="BP231" i="19"/>
  <c r="CB231" i="19" s="1"/>
  <c r="AX232" i="19"/>
  <c r="BQ232" i="19" s="1"/>
  <c r="AT232" i="19"/>
  <c r="AA237" i="19"/>
  <c r="AB237" i="19" s="1"/>
  <c r="AH237" i="19" s="1"/>
  <c r="BL237" i="19"/>
  <c r="BZ237" i="19" s="1"/>
  <c r="Z238" i="19"/>
  <c r="BM238" i="19" s="1"/>
  <c r="W238" i="19"/>
  <c r="X238" i="19" s="1"/>
  <c r="S239" i="19" s="1"/>
  <c r="BN236" i="19"/>
  <c r="CA236" i="19" s="1"/>
  <c r="AM236" i="19"/>
  <c r="AN236" i="19" s="1"/>
  <c r="BG230" i="19" l="1"/>
  <c r="BC231" i="19"/>
  <c r="AV232" i="19"/>
  <c r="AW232" i="19"/>
  <c r="AU232" i="19"/>
  <c r="AP233" i="19" s="1"/>
  <c r="Z239" i="19"/>
  <c r="BM239" i="19" s="1"/>
  <c r="W239" i="19"/>
  <c r="AG238" i="19"/>
  <c r="Y238" i="19"/>
  <c r="AK237" i="19"/>
  <c r="AI237" i="19"/>
  <c r="AD238" i="19" s="1"/>
  <c r="AS237" i="19"/>
  <c r="AJ237" i="19"/>
  <c r="BF231" i="19" l="1"/>
  <c r="BB231" i="19"/>
  <c r="BE231" i="19" s="1"/>
  <c r="BP232" i="19"/>
  <c r="CB232" i="19" s="1"/>
  <c r="AY232" i="19"/>
  <c r="AZ232" i="19" s="1"/>
  <c r="AT233" i="19"/>
  <c r="AU233" i="19" s="1"/>
  <c r="AP234" i="19" s="1"/>
  <c r="AX233" i="19"/>
  <c r="BQ233" i="19" s="1"/>
  <c r="X239" i="19"/>
  <c r="S240" i="19" s="1"/>
  <c r="Y239" i="19"/>
  <c r="AG239" i="19"/>
  <c r="BL238" i="19"/>
  <c r="BZ238" i="19" s="1"/>
  <c r="AA238" i="19"/>
  <c r="AB238" i="19" s="1"/>
  <c r="AH238" i="19" s="1"/>
  <c r="AM237" i="19"/>
  <c r="AN237" i="19" s="1"/>
  <c r="BN237" i="19"/>
  <c r="CA237" i="19" s="1"/>
  <c r="AL238" i="19"/>
  <c r="BO238" i="19" s="1"/>
  <c r="BG231" i="19" l="1"/>
  <c r="BC232" i="19"/>
  <c r="AT234" i="19"/>
  <c r="AX234" i="19"/>
  <c r="BQ234" i="19" s="1"/>
  <c r="AV233" i="19"/>
  <c r="AW233" i="19"/>
  <c r="W240" i="19"/>
  <c r="Z240" i="19"/>
  <c r="BM240" i="19" s="1"/>
  <c r="AA239" i="19"/>
  <c r="AB239" i="19" s="1"/>
  <c r="AH239" i="19" s="1"/>
  <c r="BL239" i="19"/>
  <c r="BZ239" i="19" s="1"/>
  <c r="AK238" i="19"/>
  <c r="AI238" i="19"/>
  <c r="AD239" i="19" s="1"/>
  <c r="AS238" i="19"/>
  <c r="AJ238" i="19"/>
  <c r="BF232" i="19" l="1"/>
  <c r="BB232" i="19"/>
  <c r="BE232" i="19" s="1"/>
  <c r="AU234" i="19"/>
  <c r="AP235" i="19" s="1"/>
  <c r="AV234" i="19"/>
  <c r="AW234" i="19"/>
  <c r="BP233" i="19"/>
  <c r="CB233" i="19" s="1"/>
  <c r="AY233" i="19"/>
  <c r="AZ233" i="19" s="1"/>
  <c r="X240" i="19"/>
  <c r="S241" i="19" s="1"/>
  <c r="AG240" i="19"/>
  <c r="Y240" i="19"/>
  <c r="AM238" i="19"/>
  <c r="AN238" i="19" s="1"/>
  <c r="BN238" i="19"/>
  <c r="CA238" i="19" s="1"/>
  <c r="AI239" i="19"/>
  <c r="AD240" i="19" s="1"/>
  <c r="AL240" i="19" s="1"/>
  <c r="BO240" i="19" s="1"/>
  <c r="AL239" i="19"/>
  <c r="BO239" i="19" s="1"/>
  <c r="AK239" i="19"/>
  <c r="AJ239" i="19"/>
  <c r="AS239" i="19"/>
  <c r="BG232" i="19" l="1"/>
  <c r="AX235" i="19"/>
  <c r="BQ235" i="19" s="1"/>
  <c r="AT235" i="19"/>
  <c r="AY234" i="19"/>
  <c r="AZ234" i="19" s="1"/>
  <c r="BP234" i="19"/>
  <c r="CB234" i="19" s="1"/>
  <c r="BC233" i="19"/>
  <c r="Z241" i="19"/>
  <c r="BM241" i="19" s="1"/>
  <c r="W241" i="19"/>
  <c r="X241" i="19" s="1"/>
  <c r="S242" i="19" s="1"/>
  <c r="BL240" i="19"/>
  <c r="BZ240" i="19" s="1"/>
  <c r="AA240" i="19"/>
  <c r="AB240" i="19" s="1"/>
  <c r="AH240" i="19" s="1"/>
  <c r="BN239" i="19"/>
  <c r="CA239" i="19" s="1"/>
  <c r="AM239" i="19"/>
  <c r="AN239" i="19" s="1"/>
  <c r="BC234" i="19" l="1"/>
  <c r="AU235" i="19"/>
  <c r="AP236" i="19" s="1"/>
  <c r="AW235" i="19"/>
  <c r="AV235" i="19"/>
  <c r="BF233" i="19"/>
  <c r="BB233" i="19"/>
  <c r="BE233" i="19" s="1"/>
  <c r="BG233" i="19" s="1"/>
  <c r="Y241" i="19"/>
  <c r="AG241" i="19"/>
  <c r="W242" i="19"/>
  <c r="Z242" i="19"/>
  <c r="BM242" i="19" s="1"/>
  <c r="AK240" i="19"/>
  <c r="AI240" i="19"/>
  <c r="AD241" i="19" s="1"/>
  <c r="AL241" i="19" s="1"/>
  <c r="BO241" i="19" s="1"/>
  <c r="AS240" i="19"/>
  <c r="AJ240" i="19"/>
  <c r="BF234" i="19" l="1"/>
  <c r="BB234" i="19"/>
  <c r="BE234" i="19" s="1"/>
  <c r="BG234" i="19" s="1"/>
  <c r="AX236" i="19"/>
  <c r="BQ236" i="19" s="1"/>
  <c r="AT236" i="19"/>
  <c r="BP235" i="19"/>
  <c r="CB235" i="19" s="1"/>
  <c r="AY235" i="19"/>
  <c r="AZ235" i="19" s="1"/>
  <c r="BC235" i="19" s="1"/>
  <c r="AA241" i="19"/>
  <c r="AB241" i="19" s="1"/>
  <c r="AH241" i="19" s="1"/>
  <c r="BL241" i="19"/>
  <c r="BZ241" i="19" s="1"/>
  <c r="X242" i="19"/>
  <c r="S243" i="19" s="1"/>
  <c r="AG242" i="19"/>
  <c r="Y242" i="19"/>
  <c r="BN240" i="19"/>
  <c r="CA240" i="19" s="1"/>
  <c r="AM240" i="19"/>
  <c r="AN240" i="19" s="1"/>
  <c r="BB235" i="19" l="1"/>
  <c r="BE235" i="19" s="1"/>
  <c r="BF235" i="19"/>
  <c r="AW236" i="19"/>
  <c r="AV236" i="19"/>
  <c r="AU236" i="19"/>
  <c r="AP237" i="19" s="1"/>
  <c r="AK241" i="19"/>
  <c r="AJ241" i="19"/>
  <c r="AS241" i="19"/>
  <c r="AI241" i="19"/>
  <c r="AD242" i="19" s="1"/>
  <c r="Z243" i="19"/>
  <c r="BM243" i="19" s="1"/>
  <c r="W243" i="19"/>
  <c r="BL242" i="19"/>
  <c r="BZ242" i="19" s="1"/>
  <c r="AA242" i="19"/>
  <c r="AB242" i="19" s="1"/>
  <c r="AH242" i="19" s="1"/>
  <c r="BG235" i="19" l="1"/>
  <c r="BP236" i="19"/>
  <c r="CB236" i="19" s="1"/>
  <c r="AY236" i="19"/>
  <c r="AZ236" i="19" s="1"/>
  <c r="AT237" i="19"/>
  <c r="AX237" i="19"/>
  <c r="BQ237" i="19" s="1"/>
  <c r="BN241" i="19"/>
  <c r="CA241" i="19" s="1"/>
  <c r="AM241" i="19"/>
  <c r="AN241" i="19" s="1"/>
  <c r="AI242" i="19"/>
  <c r="AD243" i="19" s="1"/>
  <c r="AL243" i="19" s="1"/>
  <c r="BO243" i="19" s="1"/>
  <c r="AL242" i="19"/>
  <c r="BO242" i="19" s="1"/>
  <c r="Y243" i="19"/>
  <c r="AG243" i="19"/>
  <c r="X243" i="19"/>
  <c r="S244" i="19" s="1"/>
  <c r="AK242" i="19"/>
  <c r="AS242" i="19"/>
  <c r="AJ242" i="19"/>
  <c r="AU237" i="19" l="1"/>
  <c r="AP238" i="19" s="1"/>
  <c r="AW237" i="19"/>
  <c r="AV237" i="19"/>
  <c r="BC236" i="19"/>
  <c r="AA243" i="19"/>
  <c r="AB243" i="19" s="1"/>
  <c r="AH243" i="19" s="1"/>
  <c r="BL243" i="19"/>
  <c r="BZ243" i="19" s="1"/>
  <c r="Z244" i="19"/>
  <c r="BM244" i="19" s="1"/>
  <c r="W244" i="19"/>
  <c r="BN242" i="19"/>
  <c r="CA242" i="19" s="1"/>
  <c r="AM242" i="19"/>
  <c r="AN242" i="19" s="1"/>
  <c r="BF236" i="19" l="1"/>
  <c r="BB236" i="19"/>
  <c r="BE236" i="19" s="1"/>
  <c r="AX238" i="19"/>
  <c r="BQ238" i="19" s="1"/>
  <c r="AT238" i="19"/>
  <c r="BP237" i="19"/>
  <c r="CB237" i="19" s="1"/>
  <c r="AY237" i="19"/>
  <c r="AZ237" i="19" s="1"/>
  <c r="BC237" i="19" s="1"/>
  <c r="AI243" i="19"/>
  <c r="AD244" i="19" s="1"/>
  <c r="AK243" i="19"/>
  <c r="AS243" i="19"/>
  <c r="AJ243" i="19"/>
  <c r="AG244" i="19"/>
  <c r="Y244" i="19"/>
  <c r="X244" i="19"/>
  <c r="S245" i="19" s="1"/>
  <c r="BG236" i="19" l="1"/>
  <c r="AW238" i="19"/>
  <c r="AV238" i="19"/>
  <c r="AU238" i="19"/>
  <c r="AP239" i="19" s="1"/>
  <c r="BF237" i="19"/>
  <c r="BB237" i="19"/>
  <c r="BE237" i="19" s="1"/>
  <c r="BG237" i="19" s="1"/>
  <c r="AL244" i="19"/>
  <c r="BO244" i="19" s="1"/>
  <c r="BN243" i="19"/>
  <c r="CA243" i="19" s="1"/>
  <c r="AM243" i="19"/>
  <c r="AN243" i="19" s="1"/>
  <c r="BL244" i="19"/>
  <c r="BZ244" i="19" s="1"/>
  <c r="AA244" i="19"/>
  <c r="AB244" i="19" s="1"/>
  <c r="AH244" i="19" s="1"/>
  <c r="Z245" i="19"/>
  <c r="BM245" i="19" s="1"/>
  <c r="W245" i="19"/>
  <c r="BP238" i="19" l="1"/>
  <c r="CB238" i="19" s="1"/>
  <c r="AY238" i="19"/>
  <c r="AZ238" i="19" s="1"/>
  <c r="AT239" i="19"/>
  <c r="AU239" i="19" s="1"/>
  <c r="AP240" i="19" s="1"/>
  <c r="AX239" i="19"/>
  <c r="BQ239" i="19" s="1"/>
  <c r="Y245" i="19"/>
  <c r="AG245" i="19"/>
  <c r="X245" i="19"/>
  <c r="S246" i="19" s="1"/>
  <c r="AK244" i="19"/>
  <c r="AI244" i="19"/>
  <c r="AD245" i="19" s="1"/>
  <c r="AJ244" i="19"/>
  <c r="AS244" i="19"/>
  <c r="BC238" i="19" l="1"/>
  <c r="AX240" i="19"/>
  <c r="BQ240" i="19" s="1"/>
  <c r="AT240" i="19"/>
  <c r="AV239" i="19"/>
  <c r="AW239" i="19"/>
  <c r="AA245" i="19"/>
  <c r="AB245" i="19" s="1"/>
  <c r="AH245" i="19" s="1"/>
  <c r="BL245" i="19"/>
  <c r="BZ245" i="19" s="1"/>
  <c r="W246" i="19"/>
  <c r="X246" i="19" s="1"/>
  <c r="S247" i="19" s="1"/>
  <c r="Z246" i="19"/>
  <c r="BM246" i="19" s="1"/>
  <c r="BN244" i="19"/>
  <c r="CA244" i="19" s="1"/>
  <c r="AM244" i="19"/>
  <c r="AN244" i="19" s="1"/>
  <c r="AL245" i="19"/>
  <c r="BO245" i="19" s="1"/>
  <c r="BF238" i="19" l="1"/>
  <c r="BB238" i="19"/>
  <c r="BE238" i="19" s="1"/>
  <c r="AU240" i="19"/>
  <c r="AP241" i="19" s="1"/>
  <c r="AW240" i="19"/>
  <c r="AV240" i="19"/>
  <c r="AY239" i="19"/>
  <c r="AZ239" i="19" s="1"/>
  <c r="BP239" i="19"/>
  <c r="CB239" i="19" s="1"/>
  <c r="AJ245" i="19"/>
  <c r="AS245" i="19"/>
  <c r="Z247" i="19"/>
  <c r="BM247" i="19" s="1"/>
  <c r="W247" i="19"/>
  <c r="X247" i="19" s="1"/>
  <c r="S248" i="19" s="1"/>
  <c r="AG246" i="19"/>
  <c r="Y246" i="19"/>
  <c r="AI245" i="19"/>
  <c r="AD246" i="19" s="1"/>
  <c r="AK245" i="19"/>
  <c r="BG238" i="19" l="1"/>
  <c r="AT241" i="19"/>
  <c r="AX241" i="19"/>
  <c r="BQ241" i="19" s="1"/>
  <c r="BP240" i="19"/>
  <c r="CB240" i="19" s="1"/>
  <c r="AY240" i="19"/>
  <c r="AZ240" i="19" s="1"/>
  <c r="BC239" i="19"/>
  <c r="Z248" i="19"/>
  <c r="BM248" i="19" s="1"/>
  <c r="W248" i="19"/>
  <c r="Y247" i="19"/>
  <c r="AG247" i="19"/>
  <c r="AA246" i="19"/>
  <c r="AB246" i="19" s="1"/>
  <c r="AH246" i="19" s="1"/>
  <c r="AI246" i="19" s="1"/>
  <c r="AD247" i="19" s="1"/>
  <c r="BL246" i="19"/>
  <c r="BZ246" i="19" s="1"/>
  <c r="AL246" i="19"/>
  <c r="BO246" i="19" s="1"/>
  <c r="BN245" i="19"/>
  <c r="CA245" i="19" s="1"/>
  <c r="AM245" i="19"/>
  <c r="AN245" i="19" s="1"/>
  <c r="BF239" i="19" l="1"/>
  <c r="BB239" i="19"/>
  <c r="BE239" i="19" s="1"/>
  <c r="AU241" i="19"/>
  <c r="AP242" i="19" s="1"/>
  <c r="AW241" i="19"/>
  <c r="AV241" i="19"/>
  <c r="BC240" i="19"/>
  <c r="AG248" i="19"/>
  <c r="Y248" i="19"/>
  <c r="X248" i="19"/>
  <c r="S249" i="19" s="1"/>
  <c r="AA247" i="19"/>
  <c r="AB247" i="19" s="1"/>
  <c r="AH247" i="19" s="1"/>
  <c r="BL247" i="19"/>
  <c r="BZ247" i="19" s="1"/>
  <c r="AL247" i="19"/>
  <c r="BO247" i="19" s="1"/>
  <c r="AK246" i="19"/>
  <c r="AS246" i="19"/>
  <c r="AJ246" i="19"/>
  <c r="BG239" i="19" l="1"/>
  <c r="BF240" i="19"/>
  <c r="BB240" i="19"/>
  <c r="BE240" i="19" s="1"/>
  <c r="AX242" i="19"/>
  <c r="BQ242" i="19" s="1"/>
  <c r="AT242" i="19"/>
  <c r="AY241" i="19"/>
  <c r="AZ241" i="19" s="1"/>
  <c r="BP241" i="19"/>
  <c r="CB241" i="19" s="1"/>
  <c r="AJ247" i="19"/>
  <c r="AI247" i="19"/>
  <c r="AD248" i="19" s="1"/>
  <c r="AL248" i="19" s="1"/>
  <c r="BO248" i="19" s="1"/>
  <c r="AK247" i="19"/>
  <c r="AS247" i="19"/>
  <c r="AA248" i="19"/>
  <c r="AB248" i="19" s="1"/>
  <c r="AH248" i="19" s="1"/>
  <c r="BL248" i="19"/>
  <c r="BZ248" i="19" s="1"/>
  <c r="Z249" i="19"/>
  <c r="BM249" i="19" s="1"/>
  <c r="W249" i="19"/>
  <c r="BN246" i="19"/>
  <c r="CA246" i="19" s="1"/>
  <c r="AM246" i="19"/>
  <c r="AN246" i="19" s="1"/>
  <c r="BG240" i="19" l="1"/>
  <c r="AV242" i="19"/>
  <c r="AW242" i="19"/>
  <c r="AU242" i="19"/>
  <c r="AP243" i="19" s="1"/>
  <c r="BC241" i="19"/>
  <c r="AI248" i="19"/>
  <c r="AD249" i="19" s="1"/>
  <c r="AL249" i="19" s="1"/>
  <c r="BO249" i="19" s="1"/>
  <c r="BN247" i="19"/>
  <c r="CA247" i="19" s="1"/>
  <c r="AM247" i="19"/>
  <c r="AN247" i="19" s="1"/>
  <c r="Y249" i="19"/>
  <c r="AG249" i="19"/>
  <c r="X249" i="19"/>
  <c r="S250" i="19" s="1"/>
  <c r="AJ248" i="19"/>
  <c r="AS248" i="19"/>
  <c r="AK248" i="19"/>
  <c r="BF241" i="19" l="1"/>
  <c r="BB241" i="19"/>
  <c r="BE241" i="19" s="1"/>
  <c r="AY242" i="19"/>
  <c r="AZ242" i="19" s="1"/>
  <c r="BP242" i="19"/>
  <c r="CB242" i="19" s="1"/>
  <c r="AX243" i="19"/>
  <c r="BQ243" i="19" s="1"/>
  <c r="AT243" i="19"/>
  <c r="AU243" i="19" s="1"/>
  <c r="AP244" i="19" s="1"/>
  <c r="AA249" i="19"/>
  <c r="AB249" i="19" s="1"/>
  <c r="AH249" i="19" s="1"/>
  <c r="BL249" i="19"/>
  <c r="BZ249" i="19" s="1"/>
  <c r="W250" i="19"/>
  <c r="X250" i="19" s="1"/>
  <c r="S251" i="19" s="1"/>
  <c r="Z250" i="19"/>
  <c r="BM250" i="19" s="1"/>
  <c r="AM248" i="19"/>
  <c r="AN248" i="19" s="1"/>
  <c r="BN248" i="19"/>
  <c r="CA248" i="19" s="1"/>
  <c r="BG241" i="19" l="1"/>
  <c r="AT244" i="19"/>
  <c r="AX244" i="19"/>
  <c r="BQ244" i="19" s="1"/>
  <c r="AV243" i="19"/>
  <c r="AW243" i="19"/>
  <c r="BC242" i="19"/>
  <c r="AJ249" i="19"/>
  <c r="AS249" i="19"/>
  <c r="W251" i="19"/>
  <c r="X251" i="19" s="1"/>
  <c r="S252" i="19" s="1"/>
  <c r="Z251" i="19"/>
  <c r="BM251" i="19" s="1"/>
  <c r="AG250" i="19"/>
  <c r="Y250" i="19"/>
  <c r="AI249" i="19"/>
  <c r="AD250" i="19" s="1"/>
  <c r="AL250" i="19" s="1"/>
  <c r="BO250" i="19" s="1"/>
  <c r="AK249" i="19"/>
  <c r="BF242" i="19" l="1"/>
  <c r="BB242" i="19"/>
  <c r="BE242" i="19" s="1"/>
  <c r="AV244" i="19"/>
  <c r="AW244" i="19"/>
  <c r="AU244" i="19"/>
  <c r="AP245" i="19" s="1"/>
  <c r="BP243" i="19"/>
  <c r="CB243" i="19" s="1"/>
  <c r="AY243" i="19"/>
  <c r="AZ243" i="19" s="1"/>
  <c r="Z252" i="19"/>
  <c r="BM252" i="19" s="1"/>
  <c r="W252" i="19"/>
  <c r="Y251" i="19"/>
  <c r="AG251" i="19"/>
  <c r="AA250" i="19"/>
  <c r="AB250" i="19" s="1"/>
  <c r="AH250" i="19" s="1"/>
  <c r="BL250" i="19"/>
  <c r="BZ250" i="19" s="1"/>
  <c r="BN249" i="19"/>
  <c r="CA249" i="19" s="1"/>
  <c r="AM249" i="19"/>
  <c r="AN249" i="19" s="1"/>
  <c r="BG242" i="19" l="1"/>
  <c r="AY244" i="19"/>
  <c r="AZ244" i="19" s="1"/>
  <c r="BP244" i="19"/>
  <c r="CB244" i="19" s="1"/>
  <c r="AX245" i="19"/>
  <c r="BQ245" i="19" s="1"/>
  <c r="AT245" i="19"/>
  <c r="BC243" i="19"/>
  <c r="Y252" i="19"/>
  <c r="AG252" i="19"/>
  <c r="X252" i="19"/>
  <c r="S253" i="19" s="1"/>
  <c r="AA251" i="19"/>
  <c r="AB251" i="19" s="1"/>
  <c r="AH251" i="19" s="1"/>
  <c r="AJ251" i="19" s="1"/>
  <c r="BL251" i="19"/>
  <c r="BZ251" i="19" s="1"/>
  <c r="AK250" i="19"/>
  <c r="AI250" i="19"/>
  <c r="AD251" i="19" s="1"/>
  <c r="AJ250" i="19"/>
  <c r="AS250" i="19"/>
  <c r="BC244" i="19" l="1"/>
  <c r="AW245" i="19"/>
  <c r="AV245" i="19"/>
  <c r="AU245" i="19"/>
  <c r="AP246" i="19" s="1"/>
  <c r="BF243" i="19"/>
  <c r="BB243" i="19"/>
  <c r="BE243" i="19" s="1"/>
  <c r="AK251" i="19"/>
  <c r="BN251" i="19" s="1"/>
  <c r="AS251" i="19"/>
  <c r="BL252" i="19"/>
  <c r="BZ252" i="19" s="1"/>
  <c r="AA252" i="19"/>
  <c r="AB252" i="19" s="1"/>
  <c r="AH252" i="19" s="1"/>
  <c r="AJ252" i="19" s="1"/>
  <c r="Z253" i="19"/>
  <c r="BM253" i="19" s="1"/>
  <c r="W253" i="19"/>
  <c r="BN250" i="19"/>
  <c r="CA250" i="19" s="1"/>
  <c r="AM250" i="19"/>
  <c r="AN250" i="19" s="1"/>
  <c r="AL251" i="19"/>
  <c r="AI251" i="19"/>
  <c r="AD252" i="19" s="1"/>
  <c r="BG243" i="19" l="1"/>
  <c r="BF244" i="19"/>
  <c r="BB244" i="19"/>
  <c r="BE244" i="19" s="1"/>
  <c r="BG244" i="19" s="1"/>
  <c r="AY245" i="19"/>
  <c r="AZ245" i="19" s="1"/>
  <c r="BP245" i="19"/>
  <c r="CB245" i="19" s="1"/>
  <c r="AX246" i="19"/>
  <c r="BQ246" i="19" s="1"/>
  <c r="AT246" i="19"/>
  <c r="AK252" i="19"/>
  <c r="BN252" i="19" s="1"/>
  <c r="AS252" i="19"/>
  <c r="AG253" i="19"/>
  <c r="Y253" i="19"/>
  <c r="X253" i="19"/>
  <c r="S254" i="19" s="1"/>
  <c r="AI252" i="19"/>
  <c r="AD253" i="19" s="1"/>
  <c r="AL252" i="19"/>
  <c r="BO251" i="19"/>
  <c r="CA251" i="19" s="1"/>
  <c r="AM251" i="19"/>
  <c r="AN251" i="19" s="1"/>
  <c r="BC245" i="19" l="1"/>
  <c r="AW246" i="19"/>
  <c r="AV246" i="19"/>
  <c r="AU246" i="19"/>
  <c r="AP247" i="19" s="1"/>
  <c r="BO252" i="19"/>
  <c r="CA252" i="19" s="1"/>
  <c r="AM252" i="19"/>
  <c r="AN252" i="19" s="1"/>
  <c r="AA253" i="19"/>
  <c r="AB253" i="19" s="1"/>
  <c r="AH253" i="19" s="1"/>
  <c r="BL253" i="19"/>
  <c r="BZ253" i="19" s="1"/>
  <c r="Z254" i="19"/>
  <c r="BM254" i="19" s="1"/>
  <c r="W254" i="19"/>
  <c r="X254" i="19" s="1"/>
  <c r="S255" i="19" s="1"/>
  <c r="AL253" i="19"/>
  <c r="BO253" i="19" s="1"/>
  <c r="BF245" i="19" l="1"/>
  <c r="BB245" i="19"/>
  <c r="BE245" i="19" s="1"/>
  <c r="BP246" i="19"/>
  <c r="CB246" i="19" s="1"/>
  <c r="AY246" i="19"/>
  <c r="AZ246" i="19" s="1"/>
  <c r="AT247" i="19"/>
  <c r="AU247" i="19" s="1"/>
  <c r="AP248" i="19" s="1"/>
  <c r="AX247" i="19"/>
  <c r="W255" i="19"/>
  <c r="X255" i="19" s="1"/>
  <c r="S256" i="19" s="1"/>
  <c r="Z255" i="19"/>
  <c r="BM255" i="19" s="1"/>
  <c r="AG254" i="19"/>
  <c r="Y254" i="19"/>
  <c r="AI253" i="19"/>
  <c r="AD254" i="19" s="1"/>
  <c r="AJ253" i="19"/>
  <c r="AS253" i="19"/>
  <c r="AK253" i="19"/>
  <c r="BG245" i="19" l="1"/>
  <c r="BC246" i="19"/>
  <c r="AX248" i="19"/>
  <c r="AT248" i="19"/>
  <c r="AW247" i="19"/>
  <c r="AV247" i="19"/>
  <c r="BQ247" i="19"/>
  <c r="W256" i="19"/>
  <c r="X256" i="19" s="1"/>
  <c r="S257" i="19" s="1"/>
  <c r="Z256" i="19"/>
  <c r="BM256" i="19" s="1"/>
  <c r="Y255" i="19"/>
  <c r="AG255" i="19"/>
  <c r="BL254" i="19"/>
  <c r="BZ254" i="19" s="1"/>
  <c r="AA254" i="19"/>
  <c r="AB254" i="19" s="1"/>
  <c r="AH254" i="19" s="1"/>
  <c r="AL254" i="19"/>
  <c r="BO254" i="19" s="1"/>
  <c r="BN253" i="19"/>
  <c r="CA253" i="19" s="1"/>
  <c r="AM253" i="19"/>
  <c r="AN253" i="19" s="1"/>
  <c r="AW248" i="19" l="1"/>
  <c r="AV248" i="19"/>
  <c r="AU248" i="19"/>
  <c r="AP249" i="19" s="1"/>
  <c r="BP247" i="19"/>
  <c r="CB247" i="19" s="1"/>
  <c r="AY247" i="19"/>
  <c r="AZ247" i="19" s="1"/>
  <c r="BF246" i="19"/>
  <c r="BB246" i="19"/>
  <c r="BE246" i="19" s="1"/>
  <c r="BG246" i="19" s="1"/>
  <c r="BQ248" i="19"/>
  <c r="Z257" i="19"/>
  <c r="BM257" i="19" s="1"/>
  <c r="W257" i="19"/>
  <c r="AG256" i="19"/>
  <c r="Y256" i="19"/>
  <c r="AA255" i="19"/>
  <c r="AB255" i="19" s="1"/>
  <c r="AH255" i="19" s="1"/>
  <c r="BL255" i="19"/>
  <c r="BZ255" i="19" s="1"/>
  <c r="AS254" i="19"/>
  <c r="AJ254" i="19"/>
  <c r="AK254" i="19"/>
  <c r="AI254" i="19"/>
  <c r="AD255" i="19" s="1"/>
  <c r="AY248" i="19" l="1"/>
  <c r="AZ248" i="19" s="1"/>
  <c r="BP248" i="19"/>
  <c r="CB248" i="19" s="1"/>
  <c r="AX249" i="19"/>
  <c r="AT249" i="19"/>
  <c r="AU249" i="19" s="1"/>
  <c r="AP250" i="19" s="1"/>
  <c r="BC247" i="19"/>
  <c r="AK255" i="19"/>
  <c r="BN255" i="19" s="1"/>
  <c r="AS255" i="19"/>
  <c r="AJ255" i="19"/>
  <c r="AG257" i="19"/>
  <c r="Y257" i="19"/>
  <c r="X257" i="19"/>
  <c r="S258" i="19" s="1"/>
  <c r="BL256" i="19"/>
  <c r="BZ256" i="19" s="1"/>
  <c r="AA256" i="19"/>
  <c r="AB256" i="19" s="1"/>
  <c r="AH256" i="19" s="1"/>
  <c r="BN254" i="19"/>
  <c r="CA254" i="19" s="1"/>
  <c r="AM254" i="19"/>
  <c r="AN254" i="19" s="1"/>
  <c r="AL255" i="19"/>
  <c r="AI255" i="19"/>
  <c r="AD256" i="19" s="1"/>
  <c r="BC248" i="19" l="1"/>
  <c r="AX250" i="19"/>
  <c r="BQ250" i="19" s="1"/>
  <c r="AT250" i="19"/>
  <c r="AU250" i="19" s="1"/>
  <c r="AP251" i="19" s="1"/>
  <c r="BQ249" i="19"/>
  <c r="AW249" i="19"/>
  <c r="AV249" i="19"/>
  <c r="BF247" i="19"/>
  <c r="BB247" i="19"/>
  <c r="BE247" i="19" s="1"/>
  <c r="BG247" i="19" s="1"/>
  <c r="BO255" i="19"/>
  <c r="CA255" i="19" s="1"/>
  <c r="AM255" i="19"/>
  <c r="AN255" i="19" s="1"/>
  <c r="AA257" i="19"/>
  <c r="AB257" i="19" s="1"/>
  <c r="AH257" i="19" s="1"/>
  <c r="BL257" i="19"/>
  <c r="BZ257" i="19" s="1"/>
  <c r="Z258" i="19"/>
  <c r="BM258" i="19" s="1"/>
  <c r="W258" i="19"/>
  <c r="AI256" i="19"/>
  <c r="AD257" i="19" s="1"/>
  <c r="AL257" i="19" s="1"/>
  <c r="BO257" i="19" s="1"/>
  <c r="AL256" i="19"/>
  <c r="BO256" i="19" s="1"/>
  <c r="AK256" i="19"/>
  <c r="AS256" i="19"/>
  <c r="AJ256" i="19"/>
  <c r="AX251" i="19" l="1"/>
  <c r="BQ251" i="19" s="1"/>
  <c r="AT251" i="19"/>
  <c r="AU251" i="19" s="1"/>
  <c r="AP252" i="19" s="1"/>
  <c r="AV250" i="19"/>
  <c r="AW250" i="19"/>
  <c r="BP249" i="19"/>
  <c r="CB249" i="19" s="1"/>
  <c r="AY249" i="19"/>
  <c r="AZ249" i="19" s="1"/>
  <c r="BF248" i="19"/>
  <c r="BB248" i="19"/>
  <c r="BE248" i="19" s="1"/>
  <c r="AG258" i="19"/>
  <c r="Y258" i="19"/>
  <c r="X258" i="19"/>
  <c r="S259" i="19" s="1"/>
  <c r="BN256" i="19"/>
  <c r="CA256" i="19" s="1"/>
  <c r="AM256" i="19"/>
  <c r="AN256" i="19" s="1"/>
  <c r="AI257" i="19"/>
  <c r="AD258" i="19" s="1"/>
  <c r="AJ257" i="19"/>
  <c r="AS257" i="19"/>
  <c r="AK257" i="19"/>
  <c r="BG248" i="19" l="1"/>
  <c r="AX252" i="19"/>
  <c r="BQ252" i="19" s="1"/>
  <c r="AT252" i="19"/>
  <c r="AW251" i="19"/>
  <c r="AV251" i="19"/>
  <c r="BP250" i="19"/>
  <c r="CB250" i="19" s="1"/>
  <c r="AY250" i="19"/>
  <c r="AZ250" i="19" s="1"/>
  <c r="BC249" i="19"/>
  <c r="AA258" i="19"/>
  <c r="AB258" i="19" s="1"/>
  <c r="AH258" i="19" s="1"/>
  <c r="BL258" i="19"/>
  <c r="BZ258" i="19" s="1"/>
  <c r="Z259" i="19"/>
  <c r="BM259" i="19" s="1"/>
  <c r="W259" i="19"/>
  <c r="AL258" i="19"/>
  <c r="BO258" i="19" s="1"/>
  <c r="AM257" i="19"/>
  <c r="AN257" i="19" s="1"/>
  <c r="BN257" i="19"/>
  <c r="CA257" i="19" s="1"/>
  <c r="AW252" i="19" l="1"/>
  <c r="AV252" i="19"/>
  <c r="AU252" i="19"/>
  <c r="AP253" i="19" s="1"/>
  <c r="BP251" i="19"/>
  <c r="CB251" i="19" s="1"/>
  <c r="AY251" i="19"/>
  <c r="AZ251" i="19" s="1"/>
  <c r="BC250" i="19"/>
  <c r="BF249" i="19"/>
  <c r="BB249" i="19"/>
  <c r="BE249" i="19" s="1"/>
  <c r="AI258" i="19"/>
  <c r="AD259" i="19" s="1"/>
  <c r="AL259" i="19" s="1"/>
  <c r="BO259" i="19" s="1"/>
  <c r="AK258" i="19"/>
  <c r="Y259" i="19"/>
  <c r="AG259" i="19"/>
  <c r="X259" i="19"/>
  <c r="S260" i="19" s="1"/>
  <c r="AJ258" i="19"/>
  <c r="AS258" i="19"/>
  <c r="BG249" i="19" l="1"/>
  <c r="BF250" i="19"/>
  <c r="BB250" i="19"/>
  <c r="BE250" i="19" s="1"/>
  <c r="BG250" i="19" s="1"/>
  <c r="BP252" i="19"/>
  <c r="CB252" i="19" s="1"/>
  <c r="AY252" i="19"/>
  <c r="AZ252" i="19" s="1"/>
  <c r="AT253" i="19"/>
  <c r="AU253" i="19" s="1"/>
  <c r="AP254" i="19" s="1"/>
  <c r="AX253" i="19"/>
  <c r="BQ253" i="19" s="1"/>
  <c r="BC251" i="19"/>
  <c r="BN258" i="19"/>
  <c r="CA258" i="19" s="1"/>
  <c r="AM258" i="19"/>
  <c r="AN258" i="19" s="1"/>
  <c r="BL259" i="19"/>
  <c r="BZ259" i="19" s="1"/>
  <c r="AA259" i="19"/>
  <c r="AB259" i="19" s="1"/>
  <c r="AH259" i="19" s="1"/>
  <c r="Z260" i="19"/>
  <c r="BM260" i="19" s="1"/>
  <c r="W260" i="19"/>
  <c r="AT254" i="19" l="1"/>
  <c r="AX254" i="19"/>
  <c r="BQ254" i="19" s="1"/>
  <c r="AW253" i="19"/>
  <c r="AV253" i="19"/>
  <c r="BC252" i="19"/>
  <c r="BF251" i="19"/>
  <c r="BB251" i="19"/>
  <c r="BE251" i="19" s="1"/>
  <c r="AJ259" i="19"/>
  <c r="AS259" i="19"/>
  <c r="AG260" i="19"/>
  <c r="Y260" i="19"/>
  <c r="X260" i="19"/>
  <c r="S261" i="19" s="1"/>
  <c r="AI259" i="19"/>
  <c r="AD260" i="19" s="1"/>
  <c r="AL260" i="19" s="1"/>
  <c r="BO260" i="19" s="1"/>
  <c r="AK259" i="19"/>
  <c r="BG251" i="19" l="1"/>
  <c r="BF252" i="19"/>
  <c r="BB252" i="19"/>
  <c r="BE252" i="19" s="1"/>
  <c r="BG252" i="19" s="1"/>
  <c r="AV254" i="19"/>
  <c r="AW254" i="19"/>
  <c r="AU254" i="19"/>
  <c r="AP255" i="19" s="1"/>
  <c r="AY253" i="19"/>
  <c r="AZ253" i="19" s="1"/>
  <c r="BP253" i="19"/>
  <c r="CB253" i="19" s="1"/>
  <c r="BL260" i="19"/>
  <c r="BZ260" i="19" s="1"/>
  <c r="AA260" i="19"/>
  <c r="AB260" i="19" s="1"/>
  <c r="AH260" i="19" s="1"/>
  <c r="W261" i="19"/>
  <c r="X261" i="19" s="1"/>
  <c r="S262" i="19" s="1"/>
  <c r="Z261" i="19"/>
  <c r="BM261" i="19" s="1"/>
  <c r="BN259" i="19"/>
  <c r="CA259" i="19" s="1"/>
  <c r="AM259" i="19"/>
  <c r="AN259" i="19" s="1"/>
  <c r="BP254" i="19" l="1"/>
  <c r="CB254" i="19" s="1"/>
  <c r="AY254" i="19"/>
  <c r="AZ254" i="19" s="1"/>
  <c r="AT255" i="19"/>
  <c r="AX255" i="19"/>
  <c r="BQ255" i="19" s="1"/>
  <c r="BC253" i="19"/>
  <c r="Z262" i="19"/>
  <c r="BM262" i="19" s="1"/>
  <c r="W262" i="19"/>
  <c r="AG261" i="19"/>
  <c r="Y261" i="19"/>
  <c r="AI260" i="19"/>
  <c r="AD261" i="19" s="1"/>
  <c r="AS260" i="19"/>
  <c r="AJ260" i="19"/>
  <c r="AK260" i="19"/>
  <c r="AW255" i="19" l="1"/>
  <c r="AV255" i="19"/>
  <c r="AU255" i="19"/>
  <c r="AP256" i="19" s="1"/>
  <c r="BC254" i="19"/>
  <c r="BF253" i="19"/>
  <c r="BB253" i="19"/>
  <c r="BE253" i="19" s="1"/>
  <c r="AG262" i="19"/>
  <c r="Y262" i="19"/>
  <c r="X262" i="19"/>
  <c r="S263" i="19" s="1"/>
  <c r="BL261" i="19"/>
  <c r="BZ261" i="19" s="1"/>
  <c r="AA261" i="19"/>
  <c r="AB261" i="19" s="1"/>
  <c r="AH261" i="19" s="1"/>
  <c r="AL261" i="19"/>
  <c r="BO261" i="19" s="1"/>
  <c r="AM260" i="19"/>
  <c r="AN260" i="19" s="1"/>
  <c r="BN260" i="19"/>
  <c r="CA260" i="19" s="1"/>
  <c r="BG253" i="19" l="1"/>
  <c r="BF254" i="19"/>
  <c r="BB254" i="19"/>
  <c r="BE254" i="19" s="1"/>
  <c r="BP255" i="19"/>
  <c r="CB255" i="19" s="1"/>
  <c r="AY255" i="19"/>
  <c r="AZ255" i="19" s="1"/>
  <c r="AX256" i="19"/>
  <c r="BQ256" i="19" s="1"/>
  <c r="AT256" i="19"/>
  <c r="AU256" i="19" s="1"/>
  <c r="AP257" i="19" s="1"/>
  <c r="AA262" i="19"/>
  <c r="AB262" i="19" s="1"/>
  <c r="AH262" i="19" s="1"/>
  <c r="BL262" i="19"/>
  <c r="BZ262" i="19" s="1"/>
  <c r="W263" i="19"/>
  <c r="X263" i="19" s="1"/>
  <c r="S264" i="19" s="1"/>
  <c r="Z263" i="19"/>
  <c r="BM263" i="19" s="1"/>
  <c r="AK261" i="19"/>
  <c r="AS261" i="19"/>
  <c r="AI261" i="19"/>
  <c r="AD262" i="19" s="1"/>
  <c r="AJ261" i="19"/>
  <c r="BG254" i="19" l="1"/>
  <c r="BC255" i="19"/>
  <c r="AX257" i="19"/>
  <c r="BQ257" i="19" s="1"/>
  <c r="AT257" i="19"/>
  <c r="AW256" i="19"/>
  <c r="AV256" i="19"/>
  <c r="Z264" i="19"/>
  <c r="BM264" i="19" s="1"/>
  <c r="W264" i="19"/>
  <c r="Y263" i="19"/>
  <c r="AG263" i="19"/>
  <c r="BN261" i="19"/>
  <c r="CA261" i="19" s="1"/>
  <c r="AM261" i="19"/>
  <c r="AN261" i="19" s="1"/>
  <c r="AI262" i="19"/>
  <c r="AD263" i="19" s="1"/>
  <c r="AL262" i="19"/>
  <c r="BO262" i="19" s="1"/>
  <c r="AK262" i="19"/>
  <c r="AS262" i="19"/>
  <c r="AJ262" i="19"/>
  <c r="AW257" i="19" l="1"/>
  <c r="AV257" i="19"/>
  <c r="AU257" i="19"/>
  <c r="AP258" i="19" s="1"/>
  <c r="BP256" i="19"/>
  <c r="CB256" i="19" s="1"/>
  <c r="AY256" i="19"/>
  <c r="AZ256" i="19" s="1"/>
  <c r="BF255" i="19"/>
  <c r="BB255" i="19"/>
  <c r="BE255" i="19" s="1"/>
  <c r="BG255" i="19" s="1"/>
  <c r="Y264" i="19"/>
  <c r="AG264" i="19"/>
  <c r="X264" i="19"/>
  <c r="S265" i="19" s="1"/>
  <c r="BL263" i="19"/>
  <c r="BZ263" i="19" s="1"/>
  <c r="AA263" i="19"/>
  <c r="AB263" i="19" s="1"/>
  <c r="AH263" i="19" s="1"/>
  <c r="AL263" i="19"/>
  <c r="BO263" i="19" s="1"/>
  <c r="BN262" i="19"/>
  <c r="CA262" i="19" s="1"/>
  <c r="AM262" i="19"/>
  <c r="AN262" i="19" s="1"/>
  <c r="BP257" i="19" l="1"/>
  <c r="CB257" i="19" s="1"/>
  <c r="AY257" i="19"/>
  <c r="AZ257" i="19" s="1"/>
  <c r="AX258" i="19"/>
  <c r="BQ258" i="19" s="1"/>
  <c r="AT258" i="19"/>
  <c r="BC256" i="19"/>
  <c r="AJ263" i="19"/>
  <c r="AS263" i="19"/>
  <c r="AA264" i="19"/>
  <c r="AB264" i="19" s="1"/>
  <c r="AH264" i="19" s="1"/>
  <c r="BL264" i="19"/>
  <c r="BZ264" i="19" s="1"/>
  <c r="W265" i="19"/>
  <c r="X265" i="19" s="1"/>
  <c r="S266" i="19" s="1"/>
  <c r="Z265" i="19"/>
  <c r="BM265" i="19" s="1"/>
  <c r="AI263" i="19"/>
  <c r="AD264" i="19" s="1"/>
  <c r="AK263" i="19"/>
  <c r="BC257" i="19" l="1"/>
  <c r="AV258" i="19"/>
  <c r="AW258" i="19"/>
  <c r="AU258" i="19"/>
  <c r="AP259" i="19" s="1"/>
  <c r="BF256" i="19"/>
  <c r="BB256" i="19"/>
  <c r="BE256" i="19" s="1"/>
  <c r="BG256" i="19" s="1"/>
  <c r="AK264" i="19"/>
  <c r="BN264" i="19" s="1"/>
  <c r="AS264" i="19"/>
  <c r="AJ264" i="19"/>
  <c r="Z266" i="19"/>
  <c r="BM266" i="19" s="1"/>
  <c r="W266" i="19"/>
  <c r="X266" i="19" s="1"/>
  <c r="S267" i="19" s="1"/>
  <c r="AG265" i="19"/>
  <c r="Y265" i="19"/>
  <c r="AL264" i="19"/>
  <c r="AI264" i="19"/>
  <c r="AD265" i="19" s="1"/>
  <c r="BN263" i="19"/>
  <c r="CA263" i="19" s="1"/>
  <c r="AM263" i="19"/>
  <c r="AN263" i="19" s="1"/>
  <c r="BP258" i="19" l="1"/>
  <c r="CB258" i="19" s="1"/>
  <c r="AY258" i="19"/>
  <c r="AZ258" i="19" s="1"/>
  <c r="AT259" i="19"/>
  <c r="AU259" i="19" s="1"/>
  <c r="AP260" i="19" s="1"/>
  <c r="AX259" i="19"/>
  <c r="BF257" i="19"/>
  <c r="BB257" i="19"/>
  <c r="BE257" i="19" s="1"/>
  <c r="BO264" i="19"/>
  <c r="CA264" i="19" s="1"/>
  <c r="AM264" i="19"/>
  <c r="AN264" i="19" s="1"/>
  <c r="W267" i="19"/>
  <c r="X267" i="19" s="1"/>
  <c r="S268" i="19" s="1"/>
  <c r="Z267" i="19"/>
  <c r="BM267" i="19" s="1"/>
  <c r="Y266" i="19"/>
  <c r="AG266" i="19"/>
  <c r="BL265" i="19"/>
  <c r="BZ265" i="19" s="1"/>
  <c r="AA265" i="19"/>
  <c r="AB265" i="19" s="1"/>
  <c r="AH265" i="19" s="1"/>
  <c r="AL265" i="19"/>
  <c r="BO265" i="19" s="1"/>
  <c r="BG257" i="19" l="1"/>
  <c r="BC258" i="19"/>
  <c r="AX260" i="19"/>
  <c r="BQ260" i="19" s="1"/>
  <c r="AT260" i="19"/>
  <c r="AW259" i="19"/>
  <c r="AV259" i="19"/>
  <c r="BQ259" i="19"/>
  <c r="Z268" i="19"/>
  <c r="BM268" i="19" s="1"/>
  <c r="W268" i="19"/>
  <c r="AG267" i="19"/>
  <c r="Y267" i="19"/>
  <c r="AA266" i="19"/>
  <c r="AB266" i="19" s="1"/>
  <c r="AH266" i="19" s="1"/>
  <c r="BL266" i="19"/>
  <c r="BZ266" i="19" s="1"/>
  <c r="AK265" i="19"/>
  <c r="AI265" i="19"/>
  <c r="AD266" i="19" s="1"/>
  <c r="AJ265" i="19"/>
  <c r="AS265" i="19"/>
  <c r="AW260" i="19" l="1"/>
  <c r="AV260" i="19"/>
  <c r="AU260" i="19"/>
  <c r="AP261" i="19" s="1"/>
  <c r="BP259" i="19"/>
  <c r="CB259" i="19" s="1"/>
  <c r="AY259" i="19"/>
  <c r="AZ259" i="19" s="1"/>
  <c r="BF258" i="19"/>
  <c r="BB258" i="19"/>
  <c r="BE258" i="19" s="1"/>
  <c r="AK266" i="19"/>
  <c r="AJ266" i="19"/>
  <c r="AS266" i="19"/>
  <c r="AG268" i="19"/>
  <c r="Y268" i="19"/>
  <c r="X268" i="19"/>
  <c r="S269" i="19" s="1"/>
  <c r="BL267" i="19"/>
  <c r="BZ267" i="19" s="1"/>
  <c r="AA267" i="19"/>
  <c r="AB267" i="19" s="1"/>
  <c r="AH267" i="19" s="1"/>
  <c r="AM265" i="19"/>
  <c r="AN265" i="19" s="1"/>
  <c r="BN265" i="19"/>
  <c r="CA265" i="19" s="1"/>
  <c r="AI266" i="19"/>
  <c r="AD267" i="19" s="1"/>
  <c r="AL266" i="19"/>
  <c r="BO266" i="19" s="1"/>
  <c r="BG258" i="19" l="1"/>
  <c r="BP260" i="19"/>
  <c r="CB260" i="19" s="1"/>
  <c r="AY260" i="19"/>
  <c r="AZ260" i="19" s="1"/>
  <c r="AT261" i="19"/>
  <c r="AX261" i="19"/>
  <c r="BC259" i="19"/>
  <c r="AM266" i="19"/>
  <c r="AN266" i="19" s="1"/>
  <c r="BN266" i="19"/>
  <c r="CA266" i="19" s="1"/>
  <c r="AA268" i="19"/>
  <c r="AB268" i="19" s="1"/>
  <c r="AH268" i="19" s="1"/>
  <c r="BL268" i="19"/>
  <c r="BZ268" i="19" s="1"/>
  <c r="W269" i="19"/>
  <c r="X269" i="19" s="1"/>
  <c r="S270" i="19" s="1"/>
  <c r="Z269" i="19"/>
  <c r="BM269" i="19" s="1"/>
  <c r="AI267" i="19"/>
  <c r="AD268" i="19" s="1"/>
  <c r="AL267" i="19"/>
  <c r="BO267" i="19" s="1"/>
  <c r="AJ267" i="19"/>
  <c r="AS267" i="19"/>
  <c r="AK267" i="19"/>
  <c r="BF259" i="19" l="1"/>
  <c r="BB259" i="19"/>
  <c r="BE259" i="19" s="1"/>
  <c r="BC260" i="19"/>
  <c r="AW261" i="19"/>
  <c r="AV261" i="19"/>
  <c r="AU261" i="19"/>
  <c r="AP262" i="19" s="1"/>
  <c r="BQ261" i="19"/>
  <c r="W270" i="19"/>
  <c r="X270" i="19" s="1"/>
  <c r="S271" i="19" s="1"/>
  <c r="Z270" i="19"/>
  <c r="BM270" i="19" s="1"/>
  <c r="AG269" i="19"/>
  <c r="Y269" i="19"/>
  <c r="AI268" i="19"/>
  <c r="AD269" i="19" s="1"/>
  <c r="AL268" i="19"/>
  <c r="BO268" i="19" s="1"/>
  <c r="AM267" i="19"/>
  <c r="AN267" i="19" s="1"/>
  <c r="BN267" i="19"/>
  <c r="CA267" i="19" s="1"/>
  <c r="AS268" i="19"/>
  <c r="AJ268" i="19"/>
  <c r="AK268" i="19"/>
  <c r="BG259" i="19" l="1"/>
  <c r="BP261" i="19"/>
  <c r="CB261" i="19" s="1"/>
  <c r="AY261" i="19"/>
  <c r="AZ261" i="19" s="1"/>
  <c r="AT262" i="19"/>
  <c r="AU262" i="19" s="1"/>
  <c r="AP263" i="19" s="1"/>
  <c r="AX262" i="19"/>
  <c r="BF260" i="19"/>
  <c r="BB260" i="19"/>
  <c r="BE260" i="19" s="1"/>
  <c r="BG260" i="19" s="1"/>
  <c r="Z271" i="19"/>
  <c r="BM271" i="19" s="1"/>
  <c r="W271" i="19"/>
  <c r="Y270" i="19"/>
  <c r="AG270" i="19"/>
  <c r="BL269" i="19"/>
  <c r="BZ269" i="19" s="1"/>
  <c r="AA269" i="19"/>
  <c r="AB269" i="19" s="1"/>
  <c r="AH269" i="19" s="1"/>
  <c r="AI269" i="19" s="1"/>
  <c r="AD270" i="19" s="1"/>
  <c r="AL269" i="19"/>
  <c r="BO269" i="19" s="1"/>
  <c r="AM268" i="19"/>
  <c r="AN268" i="19" s="1"/>
  <c r="BN268" i="19"/>
  <c r="CA268" i="19" s="1"/>
  <c r="BC261" i="19" l="1"/>
  <c r="AX263" i="19"/>
  <c r="AT263" i="19"/>
  <c r="AU263" i="19" s="1"/>
  <c r="AP264" i="19" s="1"/>
  <c r="AW262" i="19"/>
  <c r="AV262" i="19"/>
  <c r="BQ262" i="19"/>
  <c r="AG271" i="19"/>
  <c r="Y271" i="19"/>
  <c r="X271" i="19"/>
  <c r="S272" i="19" s="1"/>
  <c r="AA270" i="19"/>
  <c r="AB270" i="19" s="1"/>
  <c r="AH270" i="19" s="1"/>
  <c r="BL270" i="19"/>
  <c r="BZ270" i="19" s="1"/>
  <c r="AL270" i="19"/>
  <c r="BO270" i="19" s="1"/>
  <c r="AS269" i="19"/>
  <c r="AJ269" i="19"/>
  <c r="AK269" i="19"/>
  <c r="AT264" i="19" l="1"/>
  <c r="AU264" i="19" s="1"/>
  <c r="AP265" i="19" s="1"/>
  <c r="AX264" i="19"/>
  <c r="BQ264" i="19" s="1"/>
  <c r="BQ263" i="19"/>
  <c r="AW263" i="19"/>
  <c r="AV263" i="19"/>
  <c r="AY262" i="19"/>
  <c r="AZ262" i="19" s="1"/>
  <c r="BP262" i="19"/>
  <c r="CB262" i="19" s="1"/>
  <c r="BF261" i="19"/>
  <c r="BB261" i="19"/>
  <c r="BE261" i="19" s="1"/>
  <c r="AK270" i="19"/>
  <c r="AS270" i="19"/>
  <c r="AJ270" i="19"/>
  <c r="AI270" i="19"/>
  <c r="AD271" i="19" s="1"/>
  <c r="BL271" i="19"/>
  <c r="BZ271" i="19" s="1"/>
  <c r="AA271" i="19"/>
  <c r="AB271" i="19" s="1"/>
  <c r="AH271" i="19" s="1"/>
  <c r="W272" i="19"/>
  <c r="X272" i="19" s="1"/>
  <c r="S273" i="19" s="1"/>
  <c r="Z272" i="19"/>
  <c r="BM272" i="19" s="1"/>
  <c r="BN269" i="19"/>
  <c r="CA269" i="19" s="1"/>
  <c r="AM269" i="19"/>
  <c r="AN269" i="19" s="1"/>
  <c r="BG261" i="19" l="1"/>
  <c r="AX265" i="19"/>
  <c r="BQ265" i="19" s="1"/>
  <c r="AT265" i="19"/>
  <c r="AU265" i="19" s="1"/>
  <c r="AP266" i="19" s="1"/>
  <c r="AV264" i="19"/>
  <c r="AW264" i="19"/>
  <c r="BP263" i="19"/>
  <c r="CB263" i="19" s="1"/>
  <c r="AY263" i="19"/>
  <c r="AZ263" i="19" s="1"/>
  <c r="BC262" i="19"/>
  <c r="BN270" i="19"/>
  <c r="CA270" i="19" s="1"/>
  <c r="AM270" i="19"/>
  <c r="AN270" i="19" s="1"/>
  <c r="AL271" i="19"/>
  <c r="BO271" i="19" s="1"/>
  <c r="AI271" i="19"/>
  <c r="AD272" i="19" s="1"/>
  <c r="AL272" i="19" s="1"/>
  <c r="BO272" i="19" s="1"/>
  <c r="W273" i="19"/>
  <c r="Z273" i="19"/>
  <c r="BM273" i="19" s="1"/>
  <c r="Y272" i="19"/>
  <c r="AG272" i="19"/>
  <c r="AK271" i="19"/>
  <c r="AS271" i="19"/>
  <c r="AJ271" i="19"/>
  <c r="BF262" i="19" l="1"/>
  <c r="BB262" i="19"/>
  <c r="BE262" i="19" s="1"/>
  <c r="AT266" i="19"/>
  <c r="AX266" i="19"/>
  <c r="BQ266" i="19" s="1"/>
  <c r="AV265" i="19"/>
  <c r="AW265" i="19"/>
  <c r="BP264" i="19"/>
  <c r="CB264" i="19" s="1"/>
  <c r="AY264" i="19"/>
  <c r="AZ264" i="19" s="1"/>
  <c r="BC263" i="19"/>
  <c r="X273" i="19"/>
  <c r="S274" i="19" s="1"/>
  <c r="Y273" i="19"/>
  <c r="AG273" i="19"/>
  <c r="AA272" i="19"/>
  <c r="AB272" i="19" s="1"/>
  <c r="AH272" i="19" s="1"/>
  <c r="BL272" i="19"/>
  <c r="BZ272" i="19" s="1"/>
  <c r="AM271" i="19"/>
  <c r="AN271" i="19" s="1"/>
  <c r="BN271" i="19"/>
  <c r="CA271" i="19" s="1"/>
  <c r="BG262" i="19" l="1"/>
  <c r="AU266" i="19"/>
  <c r="AP267" i="19" s="1"/>
  <c r="AV266" i="19"/>
  <c r="AW266" i="19"/>
  <c r="AY265" i="19"/>
  <c r="AZ265" i="19" s="1"/>
  <c r="BP265" i="19"/>
  <c r="CB265" i="19" s="1"/>
  <c r="BC264" i="19"/>
  <c r="BF263" i="19"/>
  <c r="BB263" i="19"/>
  <c r="BE263" i="19" s="1"/>
  <c r="AJ272" i="19"/>
  <c r="AS272" i="19"/>
  <c r="Z274" i="19"/>
  <c r="BM274" i="19" s="1"/>
  <c r="W274" i="19"/>
  <c r="AA273" i="19"/>
  <c r="AB273" i="19" s="1"/>
  <c r="AH273" i="19" s="1"/>
  <c r="BL273" i="19"/>
  <c r="BZ273" i="19" s="1"/>
  <c r="AI272" i="19"/>
  <c r="AD273" i="19" s="1"/>
  <c r="AK272" i="19"/>
  <c r="BG263" i="19" l="1"/>
  <c r="AT267" i="19"/>
  <c r="AX267" i="19"/>
  <c r="BQ267" i="19" s="1"/>
  <c r="AY266" i="19"/>
  <c r="AZ266" i="19" s="1"/>
  <c r="BP266" i="19"/>
  <c r="CB266" i="19" s="1"/>
  <c r="BC265" i="19"/>
  <c r="BF264" i="19"/>
  <c r="BB264" i="19"/>
  <c r="BE264" i="19" s="1"/>
  <c r="AK273" i="19"/>
  <c r="BN273" i="19" s="1"/>
  <c r="AS273" i="19"/>
  <c r="AJ273" i="19"/>
  <c r="X274" i="19"/>
  <c r="S275" i="19" s="1"/>
  <c r="Y274" i="19"/>
  <c r="AG274" i="19"/>
  <c r="AI273" i="19"/>
  <c r="AD274" i="19" s="1"/>
  <c r="AL274" i="19" s="1"/>
  <c r="BO274" i="19" s="1"/>
  <c r="AL273" i="19"/>
  <c r="BN272" i="19"/>
  <c r="CA272" i="19" s="1"/>
  <c r="AM272" i="19"/>
  <c r="AN272" i="19" s="1"/>
  <c r="BG264" i="19" l="1"/>
  <c r="AU267" i="19"/>
  <c r="AP268" i="19" s="1"/>
  <c r="AW267" i="19"/>
  <c r="AV267" i="19"/>
  <c r="BC266" i="19"/>
  <c r="BF265" i="19"/>
  <c r="BB265" i="19"/>
  <c r="BE265" i="19" s="1"/>
  <c r="BO273" i="19"/>
  <c r="CA273" i="19" s="1"/>
  <c r="AM273" i="19"/>
  <c r="AN273" i="19" s="1"/>
  <c r="W275" i="19"/>
  <c r="Z275" i="19"/>
  <c r="BM275" i="19" s="1"/>
  <c r="BL274" i="19"/>
  <c r="BZ274" i="19" s="1"/>
  <c r="AA274" i="19"/>
  <c r="AB274" i="19" s="1"/>
  <c r="AH274" i="19" s="1"/>
  <c r="BG265" i="19" l="1"/>
  <c r="BF266" i="19"/>
  <c r="BB266" i="19"/>
  <c r="BE266" i="19" s="1"/>
  <c r="AX268" i="19"/>
  <c r="BQ268" i="19" s="1"/>
  <c r="AT268" i="19"/>
  <c r="BP267" i="19"/>
  <c r="CB267" i="19" s="1"/>
  <c r="AY267" i="19"/>
  <c r="AZ267" i="19" s="1"/>
  <c r="X275" i="19"/>
  <c r="S276" i="19" s="1"/>
  <c r="AG275" i="19"/>
  <c r="Y275" i="19"/>
  <c r="AK274" i="19"/>
  <c r="AS274" i="19"/>
  <c r="AJ274" i="19"/>
  <c r="AI274" i="19"/>
  <c r="AD275" i="19" s="1"/>
  <c r="AL275" i="19" s="1"/>
  <c r="BO275" i="19" s="1"/>
  <c r="BG266" i="19" l="1"/>
  <c r="BC267" i="19"/>
  <c r="AU268" i="19"/>
  <c r="AP269" i="19" s="1"/>
  <c r="AW268" i="19"/>
  <c r="AV268" i="19"/>
  <c r="Z276" i="19"/>
  <c r="BM276" i="19" s="1"/>
  <c r="W276" i="19"/>
  <c r="X276" i="19" s="1"/>
  <c r="S277" i="19" s="1"/>
  <c r="BL275" i="19"/>
  <c r="BZ275" i="19" s="1"/>
  <c r="AA275" i="19"/>
  <c r="AB275" i="19" s="1"/>
  <c r="AH275" i="19" s="1"/>
  <c r="AM274" i="19"/>
  <c r="AN274" i="19" s="1"/>
  <c r="BN274" i="19"/>
  <c r="CA274" i="19" s="1"/>
  <c r="BF267" i="19" l="1"/>
  <c r="BB267" i="19"/>
  <c r="BE267" i="19" s="1"/>
  <c r="AT269" i="19"/>
  <c r="AX269" i="19"/>
  <c r="BQ269" i="19" s="1"/>
  <c r="BP268" i="19"/>
  <c r="CB268" i="19" s="1"/>
  <c r="AY268" i="19"/>
  <c r="AZ268" i="19" s="1"/>
  <c r="Y276" i="19"/>
  <c r="AG276" i="19"/>
  <c r="W277" i="19"/>
  <c r="Z277" i="19"/>
  <c r="BM277" i="19" s="1"/>
  <c r="AI275" i="19"/>
  <c r="AD276" i="19" s="1"/>
  <c r="AK275" i="19"/>
  <c r="AJ275" i="19"/>
  <c r="AS275" i="19"/>
  <c r="BG267" i="19" l="1"/>
  <c r="BC268" i="19"/>
  <c r="AU269" i="19"/>
  <c r="AP270" i="19" s="1"/>
  <c r="AW269" i="19"/>
  <c r="AV269" i="19"/>
  <c r="AA276" i="19"/>
  <c r="AB276" i="19" s="1"/>
  <c r="AH276" i="19" s="1"/>
  <c r="BL276" i="19"/>
  <c r="BZ276" i="19" s="1"/>
  <c r="X277" i="19"/>
  <c r="S278" i="19" s="1"/>
  <c r="AG277" i="19"/>
  <c r="Y277" i="19"/>
  <c r="AM275" i="19"/>
  <c r="AN275" i="19" s="1"/>
  <c r="BN275" i="19"/>
  <c r="CA275" i="19" s="1"/>
  <c r="AL276" i="19"/>
  <c r="BO276" i="19" s="1"/>
  <c r="BF268" i="19" l="1"/>
  <c r="BB268" i="19"/>
  <c r="BE268" i="19" s="1"/>
  <c r="AX270" i="19"/>
  <c r="BQ270" i="19" s="1"/>
  <c r="AT270" i="19"/>
  <c r="BP269" i="19"/>
  <c r="CB269" i="19" s="1"/>
  <c r="AY269" i="19"/>
  <c r="AZ269" i="19" s="1"/>
  <c r="Z278" i="19"/>
  <c r="BM278" i="19" s="1"/>
  <c r="W278" i="19"/>
  <c r="X278" i="19" s="1"/>
  <c r="S279" i="19" s="1"/>
  <c r="AA277" i="19"/>
  <c r="AB277" i="19" s="1"/>
  <c r="AH277" i="19" s="1"/>
  <c r="BL277" i="19"/>
  <c r="BZ277" i="19" s="1"/>
  <c r="AK276" i="19"/>
  <c r="AJ276" i="19"/>
  <c r="AS276" i="19"/>
  <c r="AI276" i="19"/>
  <c r="AD277" i="19" s="1"/>
  <c r="BG268" i="19" l="1"/>
  <c r="BC269" i="19"/>
  <c r="AW270" i="19"/>
  <c r="AV270" i="19"/>
  <c r="AU270" i="19"/>
  <c r="AP271" i="19" s="1"/>
  <c r="Y278" i="19"/>
  <c r="AG278" i="19"/>
  <c r="W279" i="19"/>
  <c r="Z279" i="19"/>
  <c r="BM279" i="19" s="1"/>
  <c r="AM276" i="19"/>
  <c r="AN276" i="19" s="1"/>
  <c r="BN276" i="19"/>
  <c r="CA276" i="19" s="1"/>
  <c r="AI277" i="19"/>
  <c r="AD278" i="19" s="1"/>
  <c r="AL277" i="19"/>
  <c r="BO277" i="19" s="1"/>
  <c r="AK277" i="19"/>
  <c r="AS277" i="19"/>
  <c r="AJ277" i="19"/>
  <c r="BF269" i="19" l="1"/>
  <c r="BB269" i="19"/>
  <c r="BE269" i="19" s="1"/>
  <c r="BP270" i="19"/>
  <c r="CB270" i="19" s="1"/>
  <c r="AY270" i="19"/>
  <c r="AZ270" i="19" s="1"/>
  <c r="BC270" i="19" s="1"/>
  <c r="AX271" i="19"/>
  <c r="BQ271" i="19" s="1"/>
  <c r="AT271" i="19"/>
  <c r="AA278" i="19"/>
  <c r="AB278" i="19" s="1"/>
  <c r="AH278" i="19" s="1"/>
  <c r="AI278" i="19" s="1"/>
  <c r="AD279" i="19" s="1"/>
  <c r="AL279" i="19" s="1"/>
  <c r="BL278" i="19"/>
  <c r="BZ278" i="19" s="1"/>
  <c r="X279" i="19"/>
  <c r="S280" i="19" s="1"/>
  <c r="AG279" i="19"/>
  <c r="Y279" i="19"/>
  <c r="AM277" i="19"/>
  <c r="AN277" i="19" s="1"/>
  <c r="BN277" i="19"/>
  <c r="CA277" i="19" s="1"/>
  <c r="AL278" i="19"/>
  <c r="BO278" i="19" s="1"/>
  <c r="BG269" i="19" l="1"/>
  <c r="AU271" i="19"/>
  <c r="AP272" i="19" s="1"/>
  <c r="AW271" i="19"/>
  <c r="AV271" i="19"/>
  <c r="BF270" i="19"/>
  <c r="BB270" i="19"/>
  <c r="BE270" i="19" s="1"/>
  <c r="AK278" i="19"/>
  <c r="AS278" i="19"/>
  <c r="AJ278" i="19"/>
  <c r="W280" i="19"/>
  <c r="Z280" i="19"/>
  <c r="BM280" i="19" s="1"/>
  <c r="BL279" i="19"/>
  <c r="BZ279" i="19" s="1"/>
  <c r="AA279" i="19"/>
  <c r="AB279" i="19" s="1"/>
  <c r="AH279" i="19" s="1"/>
  <c r="BO279" i="19"/>
  <c r="BG270" i="19" l="1"/>
  <c r="AX272" i="19"/>
  <c r="BQ272" i="19" s="1"/>
  <c r="AT272" i="19"/>
  <c r="AY271" i="19"/>
  <c r="AZ271" i="19" s="1"/>
  <c r="BP271" i="19"/>
  <c r="CB271" i="19" s="1"/>
  <c r="AM278" i="19"/>
  <c r="AN278" i="19" s="1"/>
  <c r="BN278" i="19"/>
  <c r="CA278" i="19" s="1"/>
  <c r="Y280" i="19"/>
  <c r="AG280" i="19"/>
  <c r="X280" i="19"/>
  <c r="S281" i="19" s="1"/>
  <c r="AI279" i="19"/>
  <c r="AD280" i="19" s="1"/>
  <c r="AK279" i="19"/>
  <c r="AS279" i="19"/>
  <c r="AJ279" i="19"/>
  <c r="BC271" i="19" l="1"/>
  <c r="AV272" i="19"/>
  <c r="AW272" i="19"/>
  <c r="AU272" i="19"/>
  <c r="AP273" i="19" s="1"/>
  <c r="AA280" i="19"/>
  <c r="AB280" i="19" s="1"/>
  <c r="AH280" i="19" s="1"/>
  <c r="BL280" i="19"/>
  <c r="BZ280" i="19" s="1"/>
  <c r="Z281" i="19"/>
  <c r="BM281" i="19" s="1"/>
  <c r="W281" i="19"/>
  <c r="AM279" i="19"/>
  <c r="AN279" i="19" s="1"/>
  <c r="BN279" i="19"/>
  <c r="CA279" i="19" s="1"/>
  <c r="AL280" i="19"/>
  <c r="BO280" i="19" s="1"/>
  <c r="BF271" i="19" l="1"/>
  <c r="BB271" i="19"/>
  <c r="BE271" i="19" s="1"/>
  <c r="BP272" i="19"/>
  <c r="CB272" i="19" s="1"/>
  <c r="AY272" i="19"/>
  <c r="AZ272" i="19" s="1"/>
  <c r="AX273" i="19"/>
  <c r="BQ273" i="19" s="1"/>
  <c r="AT273" i="19"/>
  <c r="AU273" i="19" s="1"/>
  <c r="AP274" i="19" s="1"/>
  <c r="AG281" i="19"/>
  <c r="Y281" i="19"/>
  <c r="X281" i="19"/>
  <c r="S282" i="19" s="1"/>
  <c r="AK280" i="19"/>
  <c r="AJ280" i="19"/>
  <c r="AS280" i="19"/>
  <c r="AI280" i="19"/>
  <c r="AD281" i="19" s="1"/>
  <c r="BG271" i="19" l="1"/>
  <c r="AX274" i="19"/>
  <c r="BQ274" i="19" s="1"/>
  <c r="AT274" i="19"/>
  <c r="AW273" i="19"/>
  <c r="AV273" i="19"/>
  <c r="BC272" i="19"/>
  <c r="BL281" i="19"/>
  <c r="BZ281" i="19" s="1"/>
  <c r="AA281" i="19"/>
  <c r="AB281" i="19" s="1"/>
  <c r="AH281" i="19" s="1"/>
  <c r="AI281" i="19" s="1"/>
  <c r="AD282" i="19" s="1"/>
  <c r="W282" i="19"/>
  <c r="X282" i="19" s="1"/>
  <c r="S283" i="19" s="1"/>
  <c r="Z282" i="19"/>
  <c r="BM282" i="19" s="1"/>
  <c r="BN280" i="19"/>
  <c r="CA280" i="19" s="1"/>
  <c r="AM280" i="19"/>
  <c r="AN280" i="19" s="1"/>
  <c r="AL281" i="19"/>
  <c r="BO281" i="19" s="1"/>
  <c r="BF272" i="19" l="1"/>
  <c r="BB272" i="19"/>
  <c r="BE272" i="19" s="1"/>
  <c r="AU274" i="19"/>
  <c r="AP275" i="19" s="1"/>
  <c r="AV274" i="19"/>
  <c r="AW274" i="19"/>
  <c r="AY273" i="19"/>
  <c r="AZ273" i="19" s="1"/>
  <c r="BP273" i="19"/>
  <c r="CB273" i="19" s="1"/>
  <c r="W283" i="19"/>
  <c r="X283" i="19" s="1"/>
  <c r="S284" i="19" s="1"/>
  <c r="Z283" i="19"/>
  <c r="BM283" i="19" s="1"/>
  <c r="Y282" i="19"/>
  <c r="AG282" i="19"/>
  <c r="AL282" i="19"/>
  <c r="BO282" i="19" s="1"/>
  <c r="AS281" i="19"/>
  <c r="AJ281" i="19"/>
  <c r="AK281" i="19"/>
  <c r="BG272" i="19" l="1"/>
  <c r="AX275" i="19"/>
  <c r="BQ275" i="19" s="1"/>
  <c r="AT275" i="19"/>
  <c r="AY274" i="19"/>
  <c r="AZ274" i="19" s="1"/>
  <c r="BP274" i="19"/>
  <c r="CB274" i="19" s="1"/>
  <c r="BC273" i="19"/>
  <c r="Z284" i="19"/>
  <c r="BM284" i="19" s="1"/>
  <c r="W284" i="19"/>
  <c r="AG283" i="19"/>
  <c r="Y283" i="19"/>
  <c r="AA282" i="19"/>
  <c r="AB282" i="19" s="1"/>
  <c r="AH282" i="19" s="1"/>
  <c r="BL282" i="19"/>
  <c r="BZ282" i="19" s="1"/>
  <c r="AM281" i="19"/>
  <c r="AN281" i="19" s="1"/>
  <c r="BN281" i="19"/>
  <c r="CA281" i="19" s="1"/>
  <c r="BF273" i="19" l="1"/>
  <c r="BB273" i="19"/>
  <c r="BE273" i="19" s="1"/>
  <c r="AV275" i="19"/>
  <c r="AW275" i="19"/>
  <c r="AU275" i="19"/>
  <c r="AP276" i="19" s="1"/>
  <c r="BC274" i="19"/>
  <c r="AS282" i="19"/>
  <c r="AJ282" i="19"/>
  <c r="X284" i="19"/>
  <c r="S285" i="19" s="1"/>
  <c r="AG284" i="19"/>
  <c r="Y284" i="19"/>
  <c r="BL283" i="19"/>
  <c r="BZ283" i="19" s="1"/>
  <c r="AA283" i="19"/>
  <c r="AB283" i="19" s="1"/>
  <c r="AH283" i="19" s="1"/>
  <c r="AI282" i="19"/>
  <c r="AD283" i="19" s="1"/>
  <c r="AK282" i="19"/>
  <c r="BG273" i="19" l="1"/>
  <c r="BF274" i="19"/>
  <c r="BB274" i="19"/>
  <c r="BE274" i="19" s="1"/>
  <c r="AY275" i="19"/>
  <c r="AZ275" i="19" s="1"/>
  <c r="BP275" i="19"/>
  <c r="CB275" i="19" s="1"/>
  <c r="AT276" i="19"/>
  <c r="AU276" i="19" s="1"/>
  <c r="AP277" i="19" s="1"/>
  <c r="AX276" i="19"/>
  <c r="BQ276" i="19" s="1"/>
  <c r="W285" i="19"/>
  <c r="Z285" i="19"/>
  <c r="BM285" i="19" s="1"/>
  <c r="AA284" i="19"/>
  <c r="AB284" i="19" s="1"/>
  <c r="AH284" i="19" s="1"/>
  <c r="BL284" i="19"/>
  <c r="BZ284" i="19" s="1"/>
  <c r="AL283" i="19"/>
  <c r="BO283" i="19" s="1"/>
  <c r="AI283" i="19"/>
  <c r="AD284" i="19" s="1"/>
  <c r="AM282" i="19"/>
  <c r="AN282" i="19" s="1"/>
  <c r="BN282" i="19"/>
  <c r="CA282" i="19" s="1"/>
  <c r="AK283" i="19"/>
  <c r="AJ283" i="19"/>
  <c r="AS283" i="19"/>
  <c r="BG274" i="19" l="1"/>
  <c r="AT277" i="19"/>
  <c r="AX277" i="19"/>
  <c r="BQ277" i="19" s="1"/>
  <c r="AV276" i="19"/>
  <c r="AW276" i="19"/>
  <c r="BC275" i="19"/>
  <c r="AK284" i="19"/>
  <c r="BN284" i="19" s="1"/>
  <c r="AJ284" i="19"/>
  <c r="AS284" i="19"/>
  <c r="X285" i="19"/>
  <c r="S286" i="19" s="1"/>
  <c r="AG285" i="19"/>
  <c r="Y285" i="19"/>
  <c r="AI284" i="19"/>
  <c r="AD285" i="19" s="1"/>
  <c r="AL284" i="19"/>
  <c r="BN283" i="19"/>
  <c r="CA283" i="19" s="1"/>
  <c r="AM283" i="19"/>
  <c r="AN283" i="19" s="1"/>
  <c r="BF275" i="19" l="1"/>
  <c r="BB275" i="19"/>
  <c r="BE275" i="19" s="1"/>
  <c r="AW277" i="19"/>
  <c r="AV277" i="19"/>
  <c r="AU277" i="19"/>
  <c r="AP278" i="19" s="1"/>
  <c r="AY276" i="19"/>
  <c r="AZ276" i="19" s="1"/>
  <c r="BP276" i="19"/>
  <c r="CB276" i="19" s="1"/>
  <c r="BO284" i="19"/>
  <c r="CA284" i="19" s="1"/>
  <c r="AM284" i="19"/>
  <c r="AN284" i="19" s="1"/>
  <c r="Z286" i="19"/>
  <c r="BM286" i="19" s="1"/>
  <c r="W286" i="19"/>
  <c r="BL285" i="19"/>
  <c r="BZ285" i="19" s="1"/>
  <c r="AA285" i="19"/>
  <c r="AB285" i="19" s="1"/>
  <c r="AH285" i="19" s="1"/>
  <c r="AL285" i="19"/>
  <c r="BO285" i="19" s="1"/>
  <c r="BG275" i="19" l="1"/>
  <c r="AY277" i="19"/>
  <c r="AZ277" i="19" s="1"/>
  <c r="BP277" i="19"/>
  <c r="CB277" i="19" s="1"/>
  <c r="AT278" i="19"/>
  <c r="AX278" i="19"/>
  <c r="BQ278" i="19" s="1"/>
  <c r="BC276" i="19"/>
  <c r="AS285" i="19"/>
  <c r="AI285" i="19"/>
  <c r="AD286" i="19" s="1"/>
  <c r="AL286" i="19" s="1"/>
  <c r="BO286" i="19" s="1"/>
  <c r="Y286" i="19"/>
  <c r="AG286" i="19"/>
  <c r="X286" i="19"/>
  <c r="S287" i="19" s="1"/>
  <c r="AK285" i="19"/>
  <c r="AJ285" i="19"/>
  <c r="AU278" i="19" l="1"/>
  <c r="AP279" i="19" s="1"/>
  <c r="AV278" i="19"/>
  <c r="AW278" i="19"/>
  <c r="BC277" i="19"/>
  <c r="BF276" i="19"/>
  <c r="BB276" i="19"/>
  <c r="BE276" i="19" s="1"/>
  <c r="BG276" i="19" s="1"/>
  <c r="AA286" i="19"/>
  <c r="AB286" i="19" s="1"/>
  <c r="AH286" i="19" s="1"/>
  <c r="BL286" i="19"/>
  <c r="BZ286" i="19" s="1"/>
  <c r="W287" i="19"/>
  <c r="X287" i="19" s="1"/>
  <c r="S288" i="19" s="1"/>
  <c r="Z287" i="19"/>
  <c r="BM287" i="19" s="1"/>
  <c r="BN285" i="19"/>
  <c r="CA285" i="19" s="1"/>
  <c r="AM285" i="19"/>
  <c r="AN285" i="19" s="1"/>
  <c r="BF277" i="19" l="1"/>
  <c r="BB277" i="19"/>
  <c r="BE277" i="19" s="1"/>
  <c r="AT279" i="19"/>
  <c r="AX279" i="19"/>
  <c r="BQ279" i="19" s="1"/>
  <c r="BP278" i="19"/>
  <c r="CB278" i="19" s="1"/>
  <c r="AY278" i="19"/>
  <c r="AZ278" i="19" s="1"/>
  <c r="AK286" i="19"/>
  <c r="AI286" i="19"/>
  <c r="AD287" i="19" s="1"/>
  <c r="AL287" i="19" s="1"/>
  <c r="BO287" i="19" s="1"/>
  <c r="AJ286" i="19"/>
  <c r="AS286" i="19"/>
  <c r="Z288" i="19"/>
  <c r="BM288" i="19" s="1"/>
  <c r="W288" i="19"/>
  <c r="AG287" i="19"/>
  <c r="Y287" i="19"/>
  <c r="BG277" i="19" l="1"/>
  <c r="AU279" i="19"/>
  <c r="AP280" i="19" s="1"/>
  <c r="AW279" i="19"/>
  <c r="AV279" i="19"/>
  <c r="BC278" i="19"/>
  <c r="AM286" i="19"/>
  <c r="AN286" i="19" s="1"/>
  <c r="BN286" i="19"/>
  <c r="CA286" i="19" s="1"/>
  <c r="Y288" i="19"/>
  <c r="AG288" i="19"/>
  <c r="X288" i="19"/>
  <c r="S289" i="19" s="1"/>
  <c r="BL287" i="19"/>
  <c r="BZ287" i="19" s="1"/>
  <c r="AA287" i="19"/>
  <c r="AB287" i="19" s="1"/>
  <c r="AH287" i="19" s="1"/>
  <c r="BF278" i="19" l="1"/>
  <c r="BB278" i="19"/>
  <c r="BE278" i="19" s="1"/>
  <c r="AT280" i="19"/>
  <c r="AX280" i="19"/>
  <c r="BQ280" i="19" s="1"/>
  <c r="BP279" i="19"/>
  <c r="CB279" i="19" s="1"/>
  <c r="AY279" i="19"/>
  <c r="AZ279" i="19" s="1"/>
  <c r="BC279" i="19" s="1"/>
  <c r="AA288" i="19"/>
  <c r="AB288" i="19" s="1"/>
  <c r="AH288" i="19" s="1"/>
  <c r="BL288" i="19"/>
  <c r="BZ288" i="19" s="1"/>
  <c r="Z289" i="19"/>
  <c r="BM289" i="19" s="1"/>
  <c r="W289" i="19"/>
  <c r="AI287" i="19"/>
  <c r="AD288" i="19" s="1"/>
  <c r="AJ287" i="19"/>
  <c r="AS287" i="19"/>
  <c r="AK287" i="19"/>
  <c r="BG278" i="19" l="1"/>
  <c r="AW280" i="19"/>
  <c r="AV280" i="19"/>
  <c r="AU280" i="19"/>
  <c r="AP281" i="19" s="1"/>
  <c r="BF279" i="19"/>
  <c r="BB279" i="19"/>
  <c r="BE279" i="19" s="1"/>
  <c r="AK288" i="19"/>
  <c r="BN288" i="19" s="1"/>
  <c r="AJ288" i="19"/>
  <c r="AS288" i="19"/>
  <c r="Y289" i="19"/>
  <c r="AG289" i="19"/>
  <c r="X289" i="19"/>
  <c r="S290" i="19" s="1"/>
  <c r="AL288" i="19"/>
  <c r="AI288" i="19"/>
  <c r="AD289" i="19" s="1"/>
  <c r="AM287" i="19"/>
  <c r="AN287" i="19" s="1"/>
  <c r="BN287" i="19"/>
  <c r="CA287" i="19" s="1"/>
  <c r="BG279" i="19" l="1"/>
  <c r="BP280" i="19"/>
  <c r="CB280" i="19" s="1"/>
  <c r="AY280" i="19"/>
  <c r="AZ280" i="19" s="1"/>
  <c r="AX281" i="19"/>
  <c r="BQ281" i="19" s="1"/>
  <c r="AT281" i="19"/>
  <c r="AU281" i="19" s="1"/>
  <c r="AP282" i="19" s="1"/>
  <c r="BL289" i="19"/>
  <c r="BZ289" i="19" s="1"/>
  <c r="AA289" i="19"/>
  <c r="AB289" i="19" s="1"/>
  <c r="AH289" i="19" s="1"/>
  <c r="Z290" i="19"/>
  <c r="BM290" i="19" s="1"/>
  <c r="W290" i="19"/>
  <c r="AL289" i="19"/>
  <c r="BO289" i="19" s="1"/>
  <c r="BO288" i="19"/>
  <c r="CA288" i="19" s="1"/>
  <c r="AM288" i="19"/>
  <c r="AN288" i="19" s="1"/>
  <c r="BC280" i="19" l="1"/>
  <c r="AT282" i="19"/>
  <c r="AX282" i="19"/>
  <c r="BQ282" i="19" s="1"/>
  <c r="AW281" i="19"/>
  <c r="AV281" i="19"/>
  <c r="AK289" i="19"/>
  <c r="AS289" i="19"/>
  <c r="AI289" i="19"/>
  <c r="AD290" i="19" s="1"/>
  <c r="AL290" i="19" s="1"/>
  <c r="BO290" i="19" s="1"/>
  <c r="AJ289" i="19"/>
  <c r="Y290" i="19"/>
  <c r="AG290" i="19"/>
  <c r="X290" i="19"/>
  <c r="S291" i="19" s="1"/>
  <c r="BF280" i="19" l="1"/>
  <c r="BB280" i="19"/>
  <c r="BE280" i="19" s="1"/>
  <c r="BG280" i="19" s="1"/>
  <c r="AU282" i="19"/>
  <c r="AP283" i="19" s="1"/>
  <c r="AV282" i="19"/>
  <c r="AW282" i="19"/>
  <c r="BP281" i="19"/>
  <c r="CB281" i="19" s="1"/>
  <c r="AY281" i="19"/>
  <c r="AZ281" i="19" s="1"/>
  <c r="BN289" i="19"/>
  <c r="CA289" i="19" s="1"/>
  <c r="AM289" i="19"/>
  <c r="AN289" i="19" s="1"/>
  <c r="BL290" i="19"/>
  <c r="BZ290" i="19" s="1"/>
  <c r="AA290" i="19"/>
  <c r="AB290" i="19" s="1"/>
  <c r="AH290" i="19" s="1"/>
  <c r="W291" i="19"/>
  <c r="X291" i="19" s="1"/>
  <c r="S292" i="19" s="1"/>
  <c r="Z291" i="19"/>
  <c r="BM291" i="19" s="1"/>
  <c r="AT283" i="19" l="1"/>
  <c r="AX283" i="19"/>
  <c r="BQ283" i="19" s="1"/>
  <c r="BP282" i="19"/>
  <c r="CB282" i="19" s="1"/>
  <c r="AY282" i="19"/>
  <c r="AZ282" i="19" s="1"/>
  <c r="BC281" i="19"/>
  <c r="AJ290" i="19"/>
  <c r="AS290" i="19"/>
  <c r="W292" i="19"/>
  <c r="Z292" i="19"/>
  <c r="BM292" i="19" s="1"/>
  <c r="AG291" i="19"/>
  <c r="Y291" i="19"/>
  <c r="AI290" i="19"/>
  <c r="AD291" i="19" s="1"/>
  <c r="AL291" i="19" s="1"/>
  <c r="BO291" i="19" s="1"/>
  <c r="AK290" i="19"/>
  <c r="BC282" i="19" l="1"/>
  <c r="AU283" i="19"/>
  <c r="AP284" i="19" s="1"/>
  <c r="AW283" i="19"/>
  <c r="AV283" i="19"/>
  <c r="BF281" i="19"/>
  <c r="BB281" i="19"/>
  <c r="BE281" i="19" s="1"/>
  <c r="Y292" i="19"/>
  <c r="AG292" i="19"/>
  <c r="X292" i="19"/>
  <c r="S293" i="19" s="1"/>
  <c r="AA291" i="19"/>
  <c r="AB291" i="19" s="1"/>
  <c r="AH291" i="19" s="1"/>
  <c r="BL291" i="19"/>
  <c r="BZ291" i="19" s="1"/>
  <c r="AM290" i="19"/>
  <c r="AN290" i="19" s="1"/>
  <c r="BN290" i="19"/>
  <c r="CA290" i="19" s="1"/>
  <c r="BG281" i="19" l="1"/>
  <c r="BF282" i="19"/>
  <c r="BB282" i="19"/>
  <c r="BE282" i="19" s="1"/>
  <c r="AX284" i="19"/>
  <c r="BQ284" i="19" s="1"/>
  <c r="AT284" i="19"/>
  <c r="BP283" i="19"/>
  <c r="CB283" i="19" s="1"/>
  <c r="AY283" i="19"/>
  <c r="AZ283" i="19" s="1"/>
  <c r="BC283" i="19" s="1"/>
  <c r="BL292" i="19"/>
  <c r="BZ292" i="19" s="1"/>
  <c r="AA292" i="19"/>
  <c r="AB292" i="19" s="1"/>
  <c r="AH292" i="19" s="1"/>
  <c r="Z293" i="19"/>
  <c r="BM293" i="19" s="1"/>
  <c r="W293" i="19"/>
  <c r="AK291" i="19"/>
  <c r="AI291" i="19"/>
  <c r="AD292" i="19" s="1"/>
  <c r="AS291" i="19"/>
  <c r="AJ291" i="19"/>
  <c r="BG282" i="19" l="1"/>
  <c r="AV284" i="19"/>
  <c r="AW284" i="19"/>
  <c r="AU284" i="19"/>
  <c r="AP285" i="19" s="1"/>
  <c r="BB283" i="19"/>
  <c r="BE283" i="19" s="1"/>
  <c r="BF283" i="19"/>
  <c r="AK292" i="19"/>
  <c r="BN292" i="19" s="1"/>
  <c r="AJ292" i="19"/>
  <c r="AS292" i="19"/>
  <c r="AG293" i="19"/>
  <c r="Y293" i="19"/>
  <c r="X293" i="19"/>
  <c r="S294" i="19" s="1"/>
  <c r="AM291" i="19"/>
  <c r="AN291" i="19" s="1"/>
  <c r="BN291" i="19"/>
  <c r="CA291" i="19" s="1"/>
  <c r="AL292" i="19"/>
  <c r="AI292" i="19"/>
  <c r="AD293" i="19" s="1"/>
  <c r="BG283" i="19" l="1"/>
  <c r="BP284" i="19"/>
  <c r="CB284" i="19" s="1"/>
  <c r="AY284" i="19"/>
  <c r="AZ284" i="19" s="1"/>
  <c r="AX285" i="19"/>
  <c r="BQ285" i="19" s="1"/>
  <c r="AT285" i="19"/>
  <c r="BL293" i="19"/>
  <c r="BZ293" i="19" s="1"/>
  <c r="AA293" i="19"/>
  <c r="AB293" i="19" s="1"/>
  <c r="AH293" i="19" s="1"/>
  <c r="AI293" i="19" s="1"/>
  <c r="AD294" i="19" s="1"/>
  <c r="W294" i="19"/>
  <c r="Z294" i="19"/>
  <c r="BM294" i="19" s="1"/>
  <c r="AL293" i="19"/>
  <c r="BO293" i="19" s="1"/>
  <c r="BO292" i="19"/>
  <c r="CA292" i="19" s="1"/>
  <c r="AM292" i="19"/>
  <c r="AN292" i="19" s="1"/>
  <c r="BC284" i="19" l="1"/>
  <c r="AU285" i="19"/>
  <c r="AP286" i="19" s="1"/>
  <c r="AW285" i="19"/>
  <c r="AV285" i="19"/>
  <c r="AG294" i="19"/>
  <c r="Y294" i="19"/>
  <c r="X294" i="19"/>
  <c r="S295" i="19" s="1"/>
  <c r="AL294" i="19"/>
  <c r="BO294" i="19" s="1"/>
  <c r="AK293" i="19"/>
  <c r="AJ293" i="19"/>
  <c r="AS293" i="19"/>
  <c r="BF284" i="19" l="1"/>
  <c r="BB284" i="19"/>
  <c r="BE284" i="19" s="1"/>
  <c r="AT286" i="19"/>
  <c r="AX286" i="19"/>
  <c r="BQ286" i="19" s="1"/>
  <c r="AY285" i="19"/>
  <c r="AZ285" i="19" s="1"/>
  <c r="BP285" i="19"/>
  <c r="CB285" i="19" s="1"/>
  <c r="AA294" i="19"/>
  <c r="AB294" i="19" s="1"/>
  <c r="AH294" i="19" s="1"/>
  <c r="BL294" i="19"/>
  <c r="BZ294" i="19" s="1"/>
  <c r="Z295" i="19"/>
  <c r="BM295" i="19" s="1"/>
  <c r="W295" i="19"/>
  <c r="X295" i="19" s="1"/>
  <c r="S296" i="19" s="1"/>
  <c r="BN293" i="19"/>
  <c r="CA293" i="19" s="1"/>
  <c r="AM293" i="19"/>
  <c r="AN293" i="19" s="1"/>
  <c r="BG284" i="19" l="1"/>
  <c r="AU286" i="19"/>
  <c r="AP287" i="19" s="1"/>
  <c r="AV286" i="19"/>
  <c r="AW286" i="19"/>
  <c r="BC285" i="19"/>
  <c r="AI294" i="19"/>
  <c r="AD295" i="19" s="1"/>
  <c r="AK294" i="19"/>
  <c r="Z296" i="19"/>
  <c r="BM296" i="19" s="1"/>
  <c r="W296" i="19"/>
  <c r="X296" i="19" s="1"/>
  <c r="S297" i="19" s="1"/>
  <c r="AG295" i="19"/>
  <c r="Y295" i="19"/>
  <c r="AS294" i="19"/>
  <c r="AJ294" i="19"/>
  <c r="AX287" i="19" l="1"/>
  <c r="BQ287" i="19" s="1"/>
  <c r="AT287" i="19"/>
  <c r="BP286" i="19"/>
  <c r="CB286" i="19" s="1"/>
  <c r="AY286" i="19"/>
  <c r="AZ286" i="19" s="1"/>
  <c r="BF285" i="19"/>
  <c r="BB285" i="19"/>
  <c r="BE285" i="19" s="1"/>
  <c r="AL295" i="19"/>
  <c r="BO295" i="19" s="1"/>
  <c r="AM294" i="19"/>
  <c r="AN294" i="19" s="1"/>
  <c r="BN294" i="19"/>
  <c r="CA294" i="19" s="1"/>
  <c r="Z297" i="19"/>
  <c r="BM297" i="19" s="1"/>
  <c r="W297" i="19"/>
  <c r="X297" i="19" s="1"/>
  <c r="S298" i="19" s="1"/>
  <c r="Y296" i="19"/>
  <c r="AG296" i="19"/>
  <c r="AA295" i="19"/>
  <c r="AB295" i="19" s="1"/>
  <c r="AH295" i="19" s="1"/>
  <c r="BL295" i="19"/>
  <c r="BZ295" i="19" s="1"/>
  <c r="BG285" i="19" l="1"/>
  <c r="AU287" i="19"/>
  <c r="AP288" i="19" s="1"/>
  <c r="AW287" i="19"/>
  <c r="AV287" i="19"/>
  <c r="BC286" i="19"/>
  <c r="AI295" i="19"/>
  <c r="AD296" i="19" s="1"/>
  <c r="AL296" i="19" s="1"/>
  <c r="BO296" i="19" s="1"/>
  <c r="AJ295" i="19"/>
  <c r="Z298" i="19"/>
  <c r="BM298" i="19" s="1"/>
  <c r="W298" i="19"/>
  <c r="AG297" i="19"/>
  <c r="Y297" i="19"/>
  <c r="BL296" i="19"/>
  <c r="BZ296" i="19" s="1"/>
  <c r="AA296" i="19"/>
  <c r="AB296" i="19" s="1"/>
  <c r="AH296" i="19" s="1"/>
  <c r="AK295" i="19"/>
  <c r="AS295" i="19"/>
  <c r="BF286" i="19" l="1"/>
  <c r="BB286" i="19"/>
  <c r="BE286" i="19" s="1"/>
  <c r="AT288" i="19"/>
  <c r="AX288" i="19"/>
  <c r="BQ288" i="19" s="1"/>
  <c r="AY287" i="19"/>
  <c r="AZ287" i="19" s="1"/>
  <c r="BC287" i="19" s="1"/>
  <c r="BP287" i="19"/>
  <c r="CB287" i="19" s="1"/>
  <c r="AS296" i="19"/>
  <c r="AJ296" i="19"/>
  <c r="Y298" i="19"/>
  <c r="AG298" i="19"/>
  <c r="X298" i="19"/>
  <c r="S299" i="19" s="1"/>
  <c r="AA297" i="19"/>
  <c r="AB297" i="19" s="1"/>
  <c r="AH297" i="19" s="1"/>
  <c r="BL297" i="19"/>
  <c r="BZ297" i="19" s="1"/>
  <c r="BN295" i="19"/>
  <c r="CA295" i="19" s="1"/>
  <c r="AM295" i="19"/>
  <c r="AN295" i="19" s="1"/>
  <c r="AI296" i="19"/>
  <c r="AD297" i="19" s="1"/>
  <c r="AK296" i="19"/>
  <c r="BG286" i="19" l="1"/>
  <c r="BF287" i="19"/>
  <c r="BB287" i="19"/>
  <c r="BE287" i="19" s="1"/>
  <c r="AU288" i="19"/>
  <c r="AP289" i="19" s="1"/>
  <c r="AV288" i="19"/>
  <c r="AW288" i="19"/>
  <c r="BL298" i="19"/>
  <c r="BZ298" i="19" s="1"/>
  <c r="AA298" i="19"/>
  <c r="AB298" i="19" s="1"/>
  <c r="AH298" i="19" s="1"/>
  <c r="AS298" i="19" s="1"/>
  <c r="W299" i="19"/>
  <c r="X299" i="19" s="1"/>
  <c r="S300" i="19" s="1"/>
  <c r="Z299" i="19"/>
  <c r="BM299" i="19" s="1"/>
  <c r="AL297" i="19"/>
  <c r="BO297" i="19" s="1"/>
  <c r="AI297" i="19"/>
  <c r="AD298" i="19" s="1"/>
  <c r="BN296" i="19"/>
  <c r="CA296" i="19" s="1"/>
  <c r="AM296" i="19"/>
  <c r="AN296" i="19" s="1"/>
  <c r="AS297" i="19"/>
  <c r="AJ297" i="19"/>
  <c r="AK297" i="19"/>
  <c r="BG287" i="19" l="1"/>
  <c r="AX289" i="19"/>
  <c r="BQ289" i="19" s="1"/>
  <c r="AT289" i="19"/>
  <c r="BP288" i="19"/>
  <c r="CB288" i="19" s="1"/>
  <c r="AY288" i="19"/>
  <c r="AZ288" i="19" s="1"/>
  <c r="BC288" i="19" s="1"/>
  <c r="AK298" i="19"/>
  <c r="BN298" i="19" s="1"/>
  <c r="AJ298" i="19"/>
  <c r="W300" i="19"/>
  <c r="X300" i="19" s="1"/>
  <c r="S301" i="19" s="1"/>
  <c r="Z300" i="19"/>
  <c r="BM300" i="19" s="1"/>
  <c r="AG299" i="19"/>
  <c r="Y299" i="19"/>
  <c r="AI298" i="19"/>
  <c r="AD299" i="19" s="1"/>
  <c r="AL298" i="19"/>
  <c r="AM297" i="19"/>
  <c r="AN297" i="19" s="1"/>
  <c r="BN297" i="19"/>
  <c r="CA297" i="19" s="1"/>
  <c r="AU289" i="19" l="1"/>
  <c r="AP290" i="19" s="1"/>
  <c r="AW289" i="19"/>
  <c r="AV289" i="19"/>
  <c r="BF288" i="19"/>
  <c r="BB288" i="19"/>
  <c r="BE288" i="19" s="1"/>
  <c r="W301" i="19"/>
  <c r="X301" i="19" s="1"/>
  <c r="S302" i="19" s="1"/>
  <c r="Z301" i="19"/>
  <c r="BM301" i="19" s="1"/>
  <c r="AG300" i="19"/>
  <c r="Y300" i="19"/>
  <c r="BL299" i="19"/>
  <c r="BZ299" i="19" s="1"/>
  <c r="AA299" i="19"/>
  <c r="AB299" i="19" s="1"/>
  <c r="AH299" i="19" s="1"/>
  <c r="AI299" i="19" s="1"/>
  <c r="AD300" i="19" s="1"/>
  <c r="AL299" i="19"/>
  <c r="BO299" i="19" s="1"/>
  <c r="BO298" i="19"/>
  <c r="CA298" i="19" s="1"/>
  <c r="AM298" i="19"/>
  <c r="AN298" i="19" s="1"/>
  <c r="BG288" i="19" l="1"/>
  <c r="AT290" i="19"/>
  <c r="AX290" i="19"/>
  <c r="BQ290" i="19" s="1"/>
  <c r="BP289" i="19"/>
  <c r="CB289" i="19" s="1"/>
  <c r="AY289" i="19"/>
  <c r="AZ289" i="19" s="1"/>
  <c r="W302" i="19"/>
  <c r="X302" i="19" s="1"/>
  <c r="S303" i="19" s="1"/>
  <c r="Z302" i="19"/>
  <c r="BM302" i="19" s="1"/>
  <c r="AG301" i="19"/>
  <c r="Y301" i="19"/>
  <c r="AA300" i="19"/>
  <c r="AB300" i="19" s="1"/>
  <c r="AH300" i="19" s="1"/>
  <c r="BL300" i="19"/>
  <c r="BZ300" i="19" s="1"/>
  <c r="AL300" i="19"/>
  <c r="BO300" i="19" s="1"/>
  <c r="AK299" i="19"/>
  <c r="AS299" i="19"/>
  <c r="AJ299" i="19"/>
  <c r="AV290" i="19" l="1"/>
  <c r="AU290" i="19"/>
  <c r="AP291" i="19" s="1"/>
  <c r="AW290" i="19"/>
  <c r="BC289" i="19"/>
  <c r="Y302" i="19"/>
  <c r="AG302" i="19"/>
  <c r="Z303" i="19"/>
  <c r="BM303" i="19" s="1"/>
  <c r="W303" i="19"/>
  <c r="AA301" i="19"/>
  <c r="AB301" i="19" s="1"/>
  <c r="AH301" i="19" s="1"/>
  <c r="BL301" i="19"/>
  <c r="BZ301" i="19" s="1"/>
  <c r="BN299" i="19"/>
  <c r="CA299" i="19" s="1"/>
  <c r="AM299" i="19"/>
  <c r="AN299" i="19" s="1"/>
  <c r="AI300" i="19"/>
  <c r="AD301" i="19" s="1"/>
  <c r="AJ300" i="19"/>
  <c r="AS300" i="19"/>
  <c r="AK300" i="19"/>
  <c r="BF289" i="19" l="1"/>
  <c r="BB289" i="19"/>
  <c r="BE289" i="19" s="1"/>
  <c r="AX291" i="19"/>
  <c r="BQ291" i="19" s="1"/>
  <c r="AT291" i="19"/>
  <c r="AY290" i="19"/>
  <c r="AZ290" i="19" s="1"/>
  <c r="BP290" i="19"/>
  <c r="CB290" i="19" s="1"/>
  <c r="AA302" i="19"/>
  <c r="AB302" i="19" s="1"/>
  <c r="AH302" i="19" s="1"/>
  <c r="BL302" i="19"/>
  <c r="BZ302" i="19" s="1"/>
  <c r="X303" i="19"/>
  <c r="S304" i="19" s="1"/>
  <c r="AG303" i="19"/>
  <c r="Y303" i="19"/>
  <c r="AL301" i="19"/>
  <c r="BO301" i="19" s="1"/>
  <c r="AI301" i="19"/>
  <c r="AD302" i="19" s="1"/>
  <c r="AM300" i="19"/>
  <c r="AN300" i="19" s="1"/>
  <c r="BN300" i="19"/>
  <c r="CA300" i="19" s="1"/>
  <c r="AK301" i="19"/>
  <c r="AJ301" i="19"/>
  <c r="AS301" i="19"/>
  <c r="BG289" i="19" l="1"/>
  <c r="AU291" i="19"/>
  <c r="AP292" i="19" s="1"/>
  <c r="AV291" i="19"/>
  <c r="AW291" i="19"/>
  <c r="BC290" i="19"/>
  <c r="AK302" i="19"/>
  <c r="AJ302" i="19"/>
  <c r="AS302" i="19"/>
  <c r="W304" i="19"/>
  <c r="Z304" i="19"/>
  <c r="BM304" i="19" s="1"/>
  <c r="AA303" i="19"/>
  <c r="AB303" i="19" s="1"/>
  <c r="AH303" i="19" s="1"/>
  <c r="BL303" i="19"/>
  <c r="BZ303" i="19" s="1"/>
  <c r="AI302" i="19"/>
  <c r="AD303" i="19" s="1"/>
  <c r="AL302" i="19"/>
  <c r="BO302" i="19" s="1"/>
  <c r="BN301" i="19"/>
  <c r="CA301" i="19" s="1"/>
  <c r="AM301" i="19"/>
  <c r="AN301" i="19" s="1"/>
  <c r="BF290" i="19" l="1"/>
  <c r="BB290" i="19"/>
  <c r="BE290" i="19" s="1"/>
  <c r="BG290" i="19" s="1"/>
  <c r="AT292" i="19"/>
  <c r="AX292" i="19"/>
  <c r="BQ292" i="19" s="1"/>
  <c r="AY291" i="19"/>
  <c r="AZ291" i="19" s="1"/>
  <c r="BP291" i="19"/>
  <c r="CB291" i="19" s="1"/>
  <c r="BN302" i="19"/>
  <c r="CA302" i="19" s="1"/>
  <c r="AM302" i="19"/>
  <c r="AN302" i="19" s="1"/>
  <c r="AG304" i="19"/>
  <c r="Y304" i="19"/>
  <c r="X304" i="19"/>
  <c r="S305" i="19" s="1"/>
  <c r="AL303" i="19"/>
  <c r="BO303" i="19" s="1"/>
  <c r="AI303" i="19"/>
  <c r="AD304" i="19" s="1"/>
  <c r="AK303" i="19"/>
  <c r="AS303" i="19"/>
  <c r="AJ303" i="19"/>
  <c r="AU292" i="19" l="1"/>
  <c r="AP293" i="19" s="1"/>
  <c r="AW292" i="19"/>
  <c r="AV292" i="19"/>
  <c r="BC291" i="19"/>
  <c r="AA304" i="19"/>
  <c r="AB304" i="19" s="1"/>
  <c r="AH304" i="19" s="1"/>
  <c r="BL304" i="19"/>
  <c r="BZ304" i="19" s="1"/>
  <c r="W305" i="19"/>
  <c r="X305" i="19" s="1"/>
  <c r="S306" i="19" s="1"/>
  <c r="Z305" i="19"/>
  <c r="BM305" i="19" s="1"/>
  <c r="AL304" i="19"/>
  <c r="BO304" i="19" s="1"/>
  <c r="AM303" i="19"/>
  <c r="AN303" i="19" s="1"/>
  <c r="BN303" i="19"/>
  <c r="CA303" i="19" s="1"/>
  <c r="BF291" i="19" l="1"/>
  <c r="BB291" i="19"/>
  <c r="BE291" i="19" s="1"/>
  <c r="AX293" i="19"/>
  <c r="BQ293" i="19" s="1"/>
  <c r="AT293" i="19"/>
  <c r="AY292" i="19"/>
  <c r="AZ292" i="19" s="1"/>
  <c r="BP292" i="19"/>
  <c r="CB292" i="19" s="1"/>
  <c r="AI304" i="19"/>
  <c r="AD305" i="19" s="1"/>
  <c r="AL305" i="19" s="1"/>
  <c r="BO305" i="19" s="1"/>
  <c r="AJ304" i="19"/>
  <c r="Z306" i="19"/>
  <c r="BM306" i="19" s="1"/>
  <c r="W306" i="19"/>
  <c r="AG305" i="19"/>
  <c r="Y305" i="19"/>
  <c r="AK304" i="19"/>
  <c r="AS304" i="19"/>
  <c r="BG291" i="19" l="1"/>
  <c r="AW293" i="19"/>
  <c r="AU293" i="19"/>
  <c r="AP294" i="19" s="1"/>
  <c r="AV293" i="19"/>
  <c r="BC292" i="19"/>
  <c r="AG306" i="19"/>
  <c r="Y306" i="19"/>
  <c r="X306" i="19"/>
  <c r="S307" i="19" s="1"/>
  <c r="AA305" i="19"/>
  <c r="AB305" i="19" s="1"/>
  <c r="AH305" i="19" s="1"/>
  <c r="BL305" i="19"/>
  <c r="BZ305" i="19" s="1"/>
  <c r="AM304" i="19"/>
  <c r="AN304" i="19" s="1"/>
  <c r="BN304" i="19"/>
  <c r="CA304" i="19" s="1"/>
  <c r="BF292" i="19" l="1"/>
  <c r="BB292" i="19"/>
  <c r="BE292" i="19" s="1"/>
  <c r="AY293" i="19"/>
  <c r="AZ293" i="19" s="1"/>
  <c r="BP293" i="19"/>
  <c r="CB293" i="19" s="1"/>
  <c r="AT294" i="19"/>
  <c r="AX294" i="19"/>
  <c r="BQ294" i="19" s="1"/>
  <c r="AA306" i="19"/>
  <c r="AB306" i="19" s="1"/>
  <c r="AH306" i="19" s="1"/>
  <c r="BL306" i="19"/>
  <c r="BZ306" i="19" s="1"/>
  <c r="Z307" i="19"/>
  <c r="BM307" i="19" s="1"/>
  <c r="W307" i="19"/>
  <c r="AI305" i="19"/>
  <c r="AD306" i="19" s="1"/>
  <c r="AK305" i="19"/>
  <c r="AJ305" i="19"/>
  <c r="AS305" i="19"/>
  <c r="BG292" i="19" l="1"/>
  <c r="AW294" i="19"/>
  <c r="AV294" i="19"/>
  <c r="AU294" i="19"/>
  <c r="AP295" i="19" s="1"/>
  <c r="BC293" i="19"/>
  <c r="AK306" i="19"/>
  <c r="BN306" i="19" s="1"/>
  <c r="AS306" i="19"/>
  <c r="AJ306" i="19"/>
  <c r="AG307" i="19"/>
  <c r="Y307" i="19"/>
  <c r="X307" i="19"/>
  <c r="S308" i="19" s="1"/>
  <c r="AI306" i="19"/>
  <c r="AD307" i="19" s="1"/>
  <c r="AL306" i="19"/>
  <c r="AM305" i="19"/>
  <c r="AN305" i="19" s="1"/>
  <c r="BN305" i="19"/>
  <c r="CA305" i="19" s="1"/>
  <c r="BF293" i="19" l="1"/>
  <c r="BB293" i="19"/>
  <c r="BE293" i="19" s="1"/>
  <c r="AY294" i="19"/>
  <c r="AZ294" i="19" s="1"/>
  <c r="BP294" i="19"/>
  <c r="CB294" i="19" s="1"/>
  <c r="AT295" i="19"/>
  <c r="AU295" i="19" s="1"/>
  <c r="AP296" i="19" s="1"/>
  <c r="AX295" i="19"/>
  <c r="BQ295" i="19" s="1"/>
  <c r="BL307" i="19"/>
  <c r="BZ307" i="19" s="1"/>
  <c r="AA307" i="19"/>
  <c r="AB307" i="19" s="1"/>
  <c r="AH307" i="19" s="1"/>
  <c r="AI307" i="19" s="1"/>
  <c r="AD308" i="19" s="1"/>
  <c r="Z308" i="19"/>
  <c r="BM308" i="19" s="1"/>
  <c r="W308" i="19"/>
  <c r="X308" i="19" s="1"/>
  <c r="S309" i="19" s="1"/>
  <c r="AL307" i="19"/>
  <c r="BO307" i="19" s="1"/>
  <c r="AM306" i="19"/>
  <c r="AN306" i="19" s="1"/>
  <c r="BO306" i="19"/>
  <c r="CA306" i="19" s="1"/>
  <c r="BG293" i="19" l="1"/>
  <c r="AT296" i="19"/>
  <c r="AX296" i="19"/>
  <c r="BQ296" i="19" s="1"/>
  <c r="AV295" i="19"/>
  <c r="AW295" i="19"/>
  <c r="BC294" i="19"/>
  <c r="Z309" i="19"/>
  <c r="BM309" i="19" s="1"/>
  <c r="W309" i="19"/>
  <c r="AG308" i="19"/>
  <c r="Y308" i="19"/>
  <c r="AL308" i="19"/>
  <c r="BO308" i="19" s="1"/>
  <c r="AJ307" i="19"/>
  <c r="AS307" i="19"/>
  <c r="AK307" i="19"/>
  <c r="BF294" i="19" l="1"/>
  <c r="BB294" i="19"/>
  <c r="BE294" i="19" s="1"/>
  <c r="AW296" i="19"/>
  <c r="AV296" i="19"/>
  <c r="AU296" i="19"/>
  <c r="AP297" i="19" s="1"/>
  <c r="BP295" i="19"/>
  <c r="CB295" i="19" s="1"/>
  <c r="AY295" i="19"/>
  <c r="AZ295" i="19" s="1"/>
  <c r="AG309" i="19"/>
  <c r="Y309" i="19"/>
  <c r="X309" i="19"/>
  <c r="S310" i="19" s="1"/>
  <c r="AA308" i="19"/>
  <c r="AB308" i="19" s="1"/>
  <c r="AH308" i="19" s="1"/>
  <c r="BL308" i="19"/>
  <c r="BZ308" i="19" s="1"/>
  <c r="AM307" i="19"/>
  <c r="AN307" i="19" s="1"/>
  <c r="BN307" i="19"/>
  <c r="CA307" i="19" s="1"/>
  <c r="BG294" i="19" l="1"/>
  <c r="BP296" i="19"/>
  <c r="CB296" i="19" s="1"/>
  <c r="AY296" i="19"/>
  <c r="AZ296" i="19" s="1"/>
  <c r="AT297" i="19"/>
  <c r="AU297" i="19" s="1"/>
  <c r="AP298" i="19" s="1"/>
  <c r="AX297" i="19"/>
  <c r="BQ297" i="19" s="1"/>
  <c r="BC295" i="19"/>
  <c r="BL309" i="19"/>
  <c r="BZ309" i="19" s="1"/>
  <c r="AA309" i="19"/>
  <c r="AB309" i="19" s="1"/>
  <c r="AH309" i="19" s="1"/>
  <c r="Z310" i="19"/>
  <c r="BM310" i="19" s="1"/>
  <c r="W310" i="19"/>
  <c r="AI308" i="19"/>
  <c r="AD309" i="19" s="1"/>
  <c r="AK308" i="19"/>
  <c r="AJ308" i="19"/>
  <c r="AS308" i="19"/>
  <c r="BC296" i="19" l="1"/>
  <c r="AX298" i="19"/>
  <c r="BQ298" i="19" s="1"/>
  <c r="AT298" i="19"/>
  <c r="AW297" i="19"/>
  <c r="AV297" i="19"/>
  <c r="BF295" i="19"/>
  <c r="BB295" i="19"/>
  <c r="BE295" i="19" s="1"/>
  <c r="BG295" i="19" s="1"/>
  <c r="AG310" i="19"/>
  <c r="Y310" i="19"/>
  <c r="X310" i="19"/>
  <c r="S311" i="19" s="1"/>
  <c r="AL309" i="19"/>
  <c r="BO309" i="19" s="1"/>
  <c r="AI309" i="19"/>
  <c r="AD310" i="19" s="1"/>
  <c r="AM308" i="19"/>
  <c r="AN308" i="19" s="1"/>
  <c r="BN308" i="19"/>
  <c r="CA308" i="19" s="1"/>
  <c r="AK309" i="19"/>
  <c r="AS309" i="19"/>
  <c r="AJ309" i="19"/>
  <c r="BF296" i="19" l="1"/>
  <c r="BB296" i="19"/>
  <c r="BE296" i="19" s="1"/>
  <c r="AU298" i="19"/>
  <c r="AP299" i="19" s="1"/>
  <c r="AV298" i="19"/>
  <c r="AW298" i="19"/>
  <c r="AY297" i="19"/>
  <c r="AZ297" i="19" s="1"/>
  <c r="BP297" i="19"/>
  <c r="CB297" i="19" s="1"/>
  <c r="BL310" i="19"/>
  <c r="BZ310" i="19" s="1"/>
  <c r="AA310" i="19"/>
  <c r="AB310" i="19" s="1"/>
  <c r="AH310" i="19" s="1"/>
  <c r="Z311" i="19"/>
  <c r="BM311" i="19" s="1"/>
  <c r="W311" i="19"/>
  <c r="X311" i="19" s="1"/>
  <c r="S312" i="19" s="1"/>
  <c r="AL310" i="19"/>
  <c r="BO310" i="19" s="1"/>
  <c r="AM309" i="19"/>
  <c r="AN309" i="19" s="1"/>
  <c r="BN309" i="19"/>
  <c r="CA309" i="19" s="1"/>
  <c r="BG296" i="19" l="1"/>
  <c r="AT299" i="19"/>
  <c r="AX299" i="19"/>
  <c r="BQ299" i="19" s="1"/>
  <c r="BP298" i="19"/>
  <c r="CB298" i="19" s="1"/>
  <c r="AY298" i="19"/>
  <c r="AZ298" i="19" s="1"/>
  <c r="BC297" i="19"/>
  <c r="W312" i="19"/>
  <c r="X312" i="19" s="1"/>
  <c r="S313" i="19" s="1"/>
  <c r="Z312" i="19"/>
  <c r="BM312" i="19" s="1"/>
  <c r="AG311" i="19"/>
  <c r="Y311" i="19"/>
  <c r="AK310" i="19"/>
  <c r="AI310" i="19"/>
  <c r="AD311" i="19" s="1"/>
  <c r="AJ310" i="19"/>
  <c r="AS310" i="19"/>
  <c r="AV299" i="19" l="1"/>
  <c r="AW299" i="19"/>
  <c r="AU299" i="19"/>
  <c r="AP300" i="19" s="1"/>
  <c r="BC298" i="19"/>
  <c r="BF297" i="19"/>
  <c r="BB297" i="19"/>
  <c r="BE297" i="19" s="1"/>
  <c r="BG297" i="19" s="1"/>
  <c r="W313" i="19"/>
  <c r="X313" i="19" s="1"/>
  <c r="S314" i="19" s="1"/>
  <c r="Z313" i="19"/>
  <c r="BM313" i="19" s="1"/>
  <c r="Y312" i="19"/>
  <c r="AG312" i="19"/>
  <c r="AA311" i="19"/>
  <c r="AB311" i="19" s="1"/>
  <c r="AH311" i="19" s="1"/>
  <c r="AI311" i="19" s="1"/>
  <c r="AD312" i="19" s="1"/>
  <c r="BL311" i="19"/>
  <c r="BZ311" i="19" s="1"/>
  <c r="BN310" i="19"/>
  <c r="CA310" i="19" s="1"/>
  <c r="AM310" i="19"/>
  <c r="AN310" i="19" s="1"/>
  <c r="AL311" i="19"/>
  <c r="BO311" i="19" s="1"/>
  <c r="BF298" i="19" l="1"/>
  <c r="BB298" i="19"/>
  <c r="BE298" i="19" s="1"/>
  <c r="AY299" i="19"/>
  <c r="AZ299" i="19" s="1"/>
  <c r="BP299" i="19"/>
  <c r="CB299" i="19" s="1"/>
  <c r="AT300" i="19"/>
  <c r="AX300" i="19"/>
  <c r="BQ300" i="19" s="1"/>
  <c r="Z314" i="19"/>
  <c r="BM314" i="19" s="1"/>
  <c r="W314" i="19"/>
  <c r="AG313" i="19"/>
  <c r="Y313" i="19"/>
  <c r="AA312" i="19"/>
  <c r="AB312" i="19" s="1"/>
  <c r="AH312" i="19" s="1"/>
  <c r="AI312" i="19" s="1"/>
  <c r="AD313" i="19" s="1"/>
  <c r="BL312" i="19"/>
  <c r="BZ312" i="19" s="1"/>
  <c r="AL312" i="19"/>
  <c r="BO312" i="19" s="1"/>
  <c r="AS311" i="19"/>
  <c r="AJ311" i="19"/>
  <c r="AK311" i="19"/>
  <c r="BG298" i="19" l="1"/>
  <c r="AV300" i="19"/>
  <c r="AW300" i="19"/>
  <c r="AU300" i="19"/>
  <c r="AP301" i="19" s="1"/>
  <c r="BC299" i="19"/>
  <c r="AG314" i="19"/>
  <c r="Y314" i="19"/>
  <c r="X314" i="19"/>
  <c r="S315" i="19" s="1"/>
  <c r="AA313" i="19"/>
  <c r="AB313" i="19" s="1"/>
  <c r="AH313" i="19" s="1"/>
  <c r="AI313" i="19" s="1"/>
  <c r="AD314" i="19" s="1"/>
  <c r="BL313" i="19"/>
  <c r="BZ313" i="19" s="1"/>
  <c r="AL313" i="19"/>
  <c r="BO313" i="19" s="1"/>
  <c r="AM311" i="19"/>
  <c r="AN311" i="19" s="1"/>
  <c r="BN311" i="19"/>
  <c r="CA311" i="19" s="1"/>
  <c r="AK312" i="19"/>
  <c r="AS312" i="19"/>
  <c r="AJ312" i="19"/>
  <c r="BF299" i="19" l="1"/>
  <c r="BB299" i="19"/>
  <c r="BE299" i="19" s="1"/>
  <c r="AY300" i="19"/>
  <c r="AZ300" i="19" s="1"/>
  <c r="BP300" i="19"/>
  <c r="CB300" i="19" s="1"/>
  <c r="AX301" i="19"/>
  <c r="BQ301" i="19" s="1"/>
  <c r="AT301" i="19"/>
  <c r="AA314" i="19"/>
  <c r="AB314" i="19" s="1"/>
  <c r="AH314" i="19" s="1"/>
  <c r="BL314" i="19"/>
  <c r="BZ314" i="19" s="1"/>
  <c r="W315" i="19"/>
  <c r="X315" i="19" s="1"/>
  <c r="S316" i="19" s="1"/>
  <c r="Z315" i="19"/>
  <c r="BM315" i="19" s="1"/>
  <c r="AM312" i="19"/>
  <c r="AN312" i="19" s="1"/>
  <c r="BN312" i="19"/>
  <c r="CA312" i="19" s="1"/>
  <c r="AK313" i="19"/>
  <c r="AJ313" i="19"/>
  <c r="AS313" i="19"/>
  <c r="AL314" i="19"/>
  <c r="BO314" i="19" s="1"/>
  <c r="BG299" i="19" l="1"/>
  <c r="BC300" i="19"/>
  <c r="AV301" i="19"/>
  <c r="AW301" i="19"/>
  <c r="AU301" i="19"/>
  <c r="AP302" i="19" s="1"/>
  <c r="Z316" i="19"/>
  <c r="BM316" i="19" s="1"/>
  <c r="W316" i="19"/>
  <c r="AG315" i="19"/>
  <c r="Y315" i="19"/>
  <c r="BN313" i="19"/>
  <c r="CA313" i="19" s="1"/>
  <c r="AM313" i="19"/>
  <c r="AN313" i="19" s="1"/>
  <c r="AK314" i="19"/>
  <c r="AI314" i="19"/>
  <c r="AD315" i="19" s="1"/>
  <c r="AJ314" i="19"/>
  <c r="AS314" i="19"/>
  <c r="AY301" i="19" l="1"/>
  <c r="AZ301" i="19" s="1"/>
  <c r="BP301" i="19"/>
  <c r="CB301" i="19" s="1"/>
  <c r="AT302" i="19"/>
  <c r="AU302" i="19" s="1"/>
  <c r="AP303" i="19" s="1"/>
  <c r="AX302" i="19"/>
  <c r="BF300" i="19"/>
  <c r="BB300" i="19"/>
  <c r="BE300" i="19" s="1"/>
  <c r="BN314" i="19"/>
  <c r="CA314" i="19" s="1"/>
  <c r="AM314" i="19"/>
  <c r="AN314" i="19" s="1"/>
  <c r="Y316" i="19"/>
  <c r="AG316" i="19"/>
  <c r="X316" i="19"/>
  <c r="S317" i="19" s="1"/>
  <c r="BL315" i="19"/>
  <c r="BZ315" i="19" s="1"/>
  <c r="AA315" i="19"/>
  <c r="AB315" i="19" s="1"/>
  <c r="AH315" i="19" s="1"/>
  <c r="AI315" i="19" s="1"/>
  <c r="AD316" i="19" s="1"/>
  <c r="AL315" i="19"/>
  <c r="BO315" i="19" s="1"/>
  <c r="BG300" i="19" l="1"/>
  <c r="BC301" i="19"/>
  <c r="AT303" i="19"/>
  <c r="AU303" i="19" s="1"/>
  <c r="AP304" i="19" s="1"/>
  <c r="AX303" i="19"/>
  <c r="BQ303" i="19" s="1"/>
  <c r="AW302" i="19"/>
  <c r="AV302" i="19"/>
  <c r="BQ302" i="19"/>
  <c r="AA316" i="19"/>
  <c r="AB316" i="19" s="1"/>
  <c r="AH316" i="19" s="1"/>
  <c r="AI316" i="19" s="1"/>
  <c r="AD317" i="19" s="1"/>
  <c r="BL316" i="19"/>
  <c r="BZ316" i="19" s="1"/>
  <c r="Z317" i="19"/>
  <c r="BM317" i="19" s="1"/>
  <c r="W317" i="19"/>
  <c r="X317" i="19" s="1"/>
  <c r="S318" i="19" s="1"/>
  <c r="AS315" i="19"/>
  <c r="AJ315" i="19"/>
  <c r="AK315" i="19"/>
  <c r="AL316" i="19"/>
  <c r="BO316" i="19" s="1"/>
  <c r="AX304" i="19" l="1"/>
  <c r="BQ304" i="19" s="1"/>
  <c r="AT304" i="19"/>
  <c r="AU304" i="19" s="1"/>
  <c r="AP305" i="19" s="1"/>
  <c r="AV303" i="19"/>
  <c r="AW303" i="19"/>
  <c r="BP302" i="19"/>
  <c r="CB302" i="19" s="1"/>
  <c r="AY302" i="19"/>
  <c r="AZ302" i="19" s="1"/>
  <c r="BF301" i="19"/>
  <c r="BB301" i="19"/>
  <c r="BE301" i="19" s="1"/>
  <c r="AK316" i="19"/>
  <c r="AS316" i="19"/>
  <c r="AJ316" i="19"/>
  <c r="W318" i="19"/>
  <c r="Z318" i="19"/>
  <c r="BM318" i="19" s="1"/>
  <c r="Y317" i="19"/>
  <c r="AG317" i="19"/>
  <c r="AM315" i="19"/>
  <c r="AN315" i="19" s="1"/>
  <c r="BN315" i="19"/>
  <c r="CA315" i="19" s="1"/>
  <c r="AL317" i="19"/>
  <c r="BO317" i="19" s="1"/>
  <c r="BG301" i="19" l="1"/>
  <c r="AX305" i="19"/>
  <c r="BQ305" i="19" s="1"/>
  <c r="AT305" i="19"/>
  <c r="AV304" i="19"/>
  <c r="AW304" i="19"/>
  <c r="AY303" i="19"/>
  <c r="AZ303" i="19" s="1"/>
  <c r="BP303" i="19"/>
  <c r="CB303" i="19" s="1"/>
  <c r="BC302" i="19"/>
  <c r="AM316" i="19"/>
  <c r="AN316" i="19" s="1"/>
  <c r="BN316" i="19"/>
  <c r="CA316" i="19" s="1"/>
  <c r="X318" i="19"/>
  <c r="S319" i="19" s="1"/>
  <c r="AG318" i="19"/>
  <c r="Y318" i="19"/>
  <c r="AA317" i="19"/>
  <c r="AB317" i="19" s="1"/>
  <c r="AH317" i="19" s="1"/>
  <c r="BL317" i="19"/>
  <c r="BZ317" i="19" s="1"/>
  <c r="AW305" i="19" l="1"/>
  <c r="AV305" i="19"/>
  <c r="AU305" i="19"/>
  <c r="AP306" i="19" s="1"/>
  <c r="AY304" i="19"/>
  <c r="AZ304" i="19" s="1"/>
  <c r="BP304" i="19"/>
  <c r="CB304" i="19" s="1"/>
  <c r="BC303" i="19"/>
  <c r="BF302" i="19"/>
  <c r="BB302" i="19"/>
  <c r="BE302" i="19" s="1"/>
  <c r="AJ317" i="19"/>
  <c r="AS317" i="19"/>
  <c r="W319" i="19"/>
  <c r="Z319" i="19"/>
  <c r="BM319" i="19" s="1"/>
  <c r="BL318" i="19"/>
  <c r="BZ318" i="19" s="1"/>
  <c r="AA318" i="19"/>
  <c r="AB318" i="19" s="1"/>
  <c r="AH318" i="19" s="1"/>
  <c r="AI317" i="19"/>
  <c r="AD318" i="19" s="1"/>
  <c r="AL318" i="19" s="1"/>
  <c r="BO318" i="19" s="1"/>
  <c r="AK317" i="19"/>
  <c r="BG302" i="19" l="1"/>
  <c r="AY305" i="19"/>
  <c r="AZ305" i="19" s="1"/>
  <c r="BP305" i="19"/>
  <c r="CB305" i="19" s="1"/>
  <c r="AT306" i="19"/>
  <c r="AU306" i="19" s="1"/>
  <c r="AP307" i="19" s="1"/>
  <c r="AX306" i="19"/>
  <c r="BQ306" i="19" s="1"/>
  <c r="BC304" i="19"/>
  <c r="BF303" i="19"/>
  <c r="BB303" i="19"/>
  <c r="BE303" i="19" s="1"/>
  <c r="X319" i="19"/>
  <c r="S320" i="19" s="1"/>
  <c r="Y319" i="19"/>
  <c r="AG319" i="19"/>
  <c r="AI318" i="19"/>
  <c r="AD319" i="19" s="1"/>
  <c r="AK318" i="19"/>
  <c r="AJ318" i="19"/>
  <c r="AS318" i="19"/>
  <c r="BN317" i="19"/>
  <c r="CA317" i="19" s="1"/>
  <c r="AM317" i="19"/>
  <c r="AN317" i="19" s="1"/>
  <c r="BG303" i="19" l="1"/>
  <c r="AT307" i="19"/>
  <c r="AX307" i="19"/>
  <c r="BQ307" i="19" s="1"/>
  <c r="AV306" i="19"/>
  <c r="AW306" i="19"/>
  <c r="BC305" i="19"/>
  <c r="BF304" i="19"/>
  <c r="BB304" i="19"/>
  <c r="BE304" i="19" s="1"/>
  <c r="BG304" i="19" s="1"/>
  <c r="W320" i="19"/>
  <c r="Z320" i="19"/>
  <c r="BM320" i="19" s="1"/>
  <c r="AA319" i="19"/>
  <c r="AB319" i="19" s="1"/>
  <c r="AH319" i="19" s="1"/>
  <c r="BL319" i="19"/>
  <c r="BZ319" i="19" s="1"/>
  <c r="AL319" i="19"/>
  <c r="BO319" i="19" s="1"/>
  <c r="AM318" i="19"/>
  <c r="AN318" i="19" s="1"/>
  <c r="BN318" i="19"/>
  <c r="CA318" i="19" s="1"/>
  <c r="BF305" i="19" l="1"/>
  <c r="BB305" i="19"/>
  <c r="BE305" i="19" s="1"/>
  <c r="AW307" i="19"/>
  <c r="AV307" i="19"/>
  <c r="AU307" i="19"/>
  <c r="AP308" i="19" s="1"/>
  <c r="AY306" i="19"/>
  <c r="AZ306" i="19" s="1"/>
  <c r="BP306" i="19"/>
  <c r="CB306" i="19" s="1"/>
  <c r="AS319" i="19"/>
  <c r="AJ319" i="19"/>
  <c r="AK319" i="19"/>
  <c r="AI319" i="19"/>
  <c r="AD320" i="19" s="1"/>
  <c r="AL320" i="19" s="1"/>
  <c r="BO320" i="19" s="1"/>
  <c r="Y320" i="19"/>
  <c r="AG320" i="19"/>
  <c r="X320" i="19"/>
  <c r="S321" i="19" s="1"/>
  <c r="BG305" i="19" l="1"/>
  <c r="BP307" i="19"/>
  <c r="CB307" i="19" s="1"/>
  <c r="AY307" i="19"/>
  <c r="AZ307" i="19" s="1"/>
  <c r="AT308" i="19"/>
  <c r="AU308" i="19" s="1"/>
  <c r="AP309" i="19" s="1"/>
  <c r="AX308" i="19"/>
  <c r="BQ308" i="19" s="1"/>
  <c r="BC306" i="19"/>
  <c r="BN319" i="19"/>
  <c r="CA319" i="19" s="1"/>
  <c r="AM319" i="19"/>
  <c r="AN319" i="19" s="1"/>
  <c r="AA320" i="19"/>
  <c r="AB320" i="19" s="1"/>
  <c r="AH320" i="19" s="1"/>
  <c r="BL320" i="19"/>
  <c r="BZ320" i="19" s="1"/>
  <c r="W321" i="19"/>
  <c r="X321" i="19" s="1"/>
  <c r="S322" i="19" s="1"/>
  <c r="Z321" i="19"/>
  <c r="BM321" i="19" s="1"/>
  <c r="BC307" i="19" l="1"/>
  <c r="AX309" i="19"/>
  <c r="BQ309" i="19" s="1"/>
  <c r="AT309" i="19"/>
  <c r="AV308" i="19"/>
  <c r="AW308" i="19"/>
  <c r="BF306" i="19"/>
  <c r="BB306" i="19"/>
  <c r="BE306" i="19" s="1"/>
  <c r="BG306" i="19" s="1"/>
  <c r="AK320" i="19"/>
  <c r="AI320" i="19"/>
  <c r="AD321" i="19" s="1"/>
  <c r="AL321" i="19" s="1"/>
  <c r="BO321" i="19" s="1"/>
  <c r="AS320" i="19"/>
  <c r="AJ320" i="19"/>
  <c r="W322" i="19"/>
  <c r="Z322" i="19"/>
  <c r="BM322" i="19" s="1"/>
  <c r="AG321" i="19"/>
  <c r="Y321" i="19"/>
  <c r="BF307" i="19" l="1"/>
  <c r="BB307" i="19"/>
  <c r="BE307" i="19" s="1"/>
  <c r="AU309" i="19"/>
  <c r="AP310" i="19" s="1"/>
  <c r="AV309" i="19"/>
  <c r="AW309" i="19"/>
  <c r="BP308" i="19"/>
  <c r="CB308" i="19" s="1"/>
  <c r="AY308" i="19"/>
  <c r="AZ308" i="19" s="1"/>
  <c r="AM320" i="19"/>
  <c r="AN320" i="19" s="1"/>
  <c r="BN320" i="19"/>
  <c r="CA320" i="19" s="1"/>
  <c r="X322" i="19"/>
  <c r="S323" i="19" s="1"/>
  <c r="AG322" i="19"/>
  <c r="Y322" i="19"/>
  <c r="BL321" i="19"/>
  <c r="BZ321" i="19" s="1"/>
  <c r="AA321" i="19"/>
  <c r="AB321" i="19" s="1"/>
  <c r="AH321" i="19" s="1"/>
  <c r="BG307" i="19" l="1"/>
  <c r="AT310" i="19"/>
  <c r="AX310" i="19"/>
  <c r="BQ310" i="19" s="1"/>
  <c r="BP309" i="19"/>
  <c r="CB309" i="19" s="1"/>
  <c r="AY309" i="19"/>
  <c r="AZ309" i="19" s="1"/>
  <c r="BC308" i="19"/>
  <c r="Z323" i="19"/>
  <c r="BM323" i="19" s="1"/>
  <c r="W323" i="19"/>
  <c r="AA322" i="19"/>
  <c r="AB322" i="19" s="1"/>
  <c r="AH322" i="19" s="1"/>
  <c r="BL322" i="19"/>
  <c r="BZ322" i="19" s="1"/>
  <c r="AK321" i="19"/>
  <c r="AI321" i="19"/>
  <c r="AD322" i="19" s="1"/>
  <c r="AJ321" i="19"/>
  <c r="AS321" i="19"/>
  <c r="AV310" i="19" l="1"/>
  <c r="AW310" i="19"/>
  <c r="AU310" i="19"/>
  <c r="AP311" i="19" s="1"/>
  <c r="BC309" i="19"/>
  <c r="BF308" i="19"/>
  <c r="BB308" i="19"/>
  <c r="BE308" i="19" s="1"/>
  <c r="X323" i="19"/>
  <c r="S324" i="19" s="1"/>
  <c r="AG323" i="19"/>
  <c r="Y323" i="19"/>
  <c r="BN321" i="19"/>
  <c r="CA321" i="19" s="1"/>
  <c r="AM321" i="19"/>
  <c r="AN321" i="19" s="1"/>
  <c r="AI322" i="19"/>
  <c r="AD323" i="19" s="1"/>
  <c r="AL322" i="19"/>
  <c r="BO322" i="19" s="1"/>
  <c r="AK322" i="19"/>
  <c r="AS322" i="19"/>
  <c r="AJ322" i="19"/>
  <c r="BG308" i="19" l="1"/>
  <c r="BF309" i="19"/>
  <c r="BB309" i="19"/>
  <c r="BE309" i="19" s="1"/>
  <c r="BP310" i="19"/>
  <c r="CB310" i="19" s="1"/>
  <c r="AY310" i="19"/>
  <c r="AZ310" i="19" s="1"/>
  <c r="AX311" i="19"/>
  <c r="BQ311" i="19" s="1"/>
  <c r="AT311" i="19"/>
  <c r="AU311" i="19" s="1"/>
  <c r="AP312" i="19" s="1"/>
  <c r="Z324" i="19"/>
  <c r="BM324" i="19" s="1"/>
  <c r="W324" i="19"/>
  <c r="AA323" i="19"/>
  <c r="AB323" i="19" s="1"/>
  <c r="AH323" i="19" s="1"/>
  <c r="AI323" i="19" s="1"/>
  <c r="AD324" i="19" s="1"/>
  <c r="BL323" i="19"/>
  <c r="BZ323" i="19" s="1"/>
  <c r="AM322" i="19"/>
  <c r="AN322" i="19" s="1"/>
  <c r="BN322" i="19"/>
  <c r="CA322" i="19" s="1"/>
  <c r="AL323" i="19"/>
  <c r="BO323" i="19" s="1"/>
  <c r="BG309" i="19" l="1"/>
  <c r="AX312" i="19"/>
  <c r="BQ312" i="19" s="1"/>
  <c r="AT312" i="19"/>
  <c r="AV311" i="19"/>
  <c r="AW311" i="19"/>
  <c r="BC310" i="19"/>
  <c r="X324" i="19"/>
  <c r="S325" i="19" s="1"/>
  <c r="AG324" i="19"/>
  <c r="Y324" i="19"/>
  <c r="AK323" i="19"/>
  <c r="AS323" i="19"/>
  <c r="AJ323" i="19"/>
  <c r="AL324" i="19"/>
  <c r="BO324" i="19" s="1"/>
  <c r="BF310" i="19" l="1"/>
  <c r="BB310" i="19"/>
  <c r="BE310" i="19" s="1"/>
  <c r="AW312" i="19"/>
  <c r="AV312" i="19"/>
  <c r="AU312" i="19"/>
  <c r="AP313" i="19" s="1"/>
  <c r="BP311" i="19"/>
  <c r="CB311" i="19" s="1"/>
  <c r="AY311" i="19"/>
  <c r="AZ311" i="19" s="1"/>
  <c r="BN323" i="19"/>
  <c r="CA323" i="19" s="1"/>
  <c r="AM323" i="19"/>
  <c r="AN323" i="19" s="1"/>
  <c r="Z325" i="19"/>
  <c r="BM325" i="19" s="1"/>
  <c r="W325" i="19"/>
  <c r="AA324" i="19"/>
  <c r="AB324" i="19" s="1"/>
  <c r="AH324" i="19" s="1"/>
  <c r="BL324" i="19"/>
  <c r="BZ324" i="19" s="1"/>
  <c r="BG310" i="19" l="1"/>
  <c r="AY312" i="19"/>
  <c r="AZ312" i="19" s="1"/>
  <c r="BP312" i="19"/>
  <c r="CB312" i="19" s="1"/>
  <c r="AX313" i="19"/>
  <c r="BQ313" i="19" s="1"/>
  <c r="AT313" i="19"/>
  <c r="BC311" i="19"/>
  <c r="X325" i="19"/>
  <c r="S326" i="19" s="1"/>
  <c r="Y325" i="19"/>
  <c r="AG325" i="19"/>
  <c r="AI324" i="19"/>
  <c r="AD325" i="19" s="1"/>
  <c r="AK324" i="19"/>
  <c r="AS324" i="19"/>
  <c r="AJ324" i="19"/>
  <c r="BF311" i="19" l="1"/>
  <c r="BB311" i="19"/>
  <c r="BE311" i="19" s="1"/>
  <c r="AW313" i="19"/>
  <c r="AV313" i="19"/>
  <c r="AU313" i="19"/>
  <c r="AP314" i="19" s="1"/>
  <c r="BC312" i="19"/>
  <c r="Z326" i="19"/>
  <c r="BM326" i="19" s="1"/>
  <c r="W326" i="19"/>
  <c r="AA325" i="19"/>
  <c r="AB325" i="19" s="1"/>
  <c r="AH325" i="19" s="1"/>
  <c r="BL325" i="19"/>
  <c r="BZ325" i="19" s="1"/>
  <c r="BN324" i="19"/>
  <c r="CA324" i="19" s="1"/>
  <c r="AM324" i="19"/>
  <c r="AN324" i="19" s="1"/>
  <c r="AL325" i="19"/>
  <c r="BO325" i="19" s="1"/>
  <c r="BG311" i="19" l="1"/>
  <c r="BF312" i="19"/>
  <c r="BB312" i="19"/>
  <c r="BE312" i="19" s="1"/>
  <c r="BP313" i="19"/>
  <c r="CB313" i="19" s="1"/>
  <c r="AY313" i="19"/>
  <c r="AZ313" i="19" s="1"/>
  <c r="AX314" i="19"/>
  <c r="BQ314" i="19" s="1"/>
  <c r="AT314" i="19"/>
  <c r="AK325" i="19"/>
  <c r="AS325" i="19"/>
  <c r="AJ325" i="19"/>
  <c r="AI325" i="19"/>
  <c r="AD326" i="19" s="1"/>
  <c r="AL326" i="19" s="1"/>
  <c r="BO326" i="19" s="1"/>
  <c r="X326" i="19"/>
  <c r="S327" i="19" s="1"/>
  <c r="Y326" i="19"/>
  <c r="AG326" i="19"/>
  <c r="BG312" i="19" l="1"/>
  <c r="BC313" i="19"/>
  <c r="AV314" i="19"/>
  <c r="AW314" i="19"/>
  <c r="AU314" i="19"/>
  <c r="AP315" i="19" s="1"/>
  <c r="BN325" i="19"/>
  <c r="CA325" i="19" s="1"/>
  <c r="AM325" i="19"/>
  <c r="AN325" i="19" s="1"/>
  <c r="W327" i="19"/>
  <c r="Z327" i="19"/>
  <c r="BM327" i="19" s="1"/>
  <c r="AA326" i="19"/>
  <c r="AB326" i="19" s="1"/>
  <c r="AH326" i="19" s="1"/>
  <c r="BL326" i="19"/>
  <c r="BZ326" i="19" s="1"/>
  <c r="AY314" i="19" l="1"/>
  <c r="AZ314" i="19" s="1"/>
  <c r="BP314" i="19"/>
  <c r="CB314" i="19" s="1"/>
  <c r="AT315" i="19"/>
  <c r="AU315" i="19" s="1"/>
  <c r="AP316" i="19" s="1"/>
  <c r="AX315" i="19"/>
  <c r="BF313" i="19"/>
  <c r="BB313" i="19"/>
  <c r="BE313" i="19" s="1"/>
  <c r="BG313" i="19" s="1"/>
  <c r="AK326" i="19"/>
  <c r="AI326" i="19"/>
  <c r="AD327" i="19" s="1"/>
  <c r="AL327" i="19" s="1"/>
  <c r="BO327" i="19" s="1"/>
  <c r="AS326" i="19"/>
  <c r="AJ326" i="19"/>
  <c r="X327" i="19"/>
  <c r="S328" i="19" s="1"/>
  <c r="Y327" i="19"/>
  <c r="AG327" i="19"/>
  <c r="BC314" i="19" l="1"/>
  <c r="AT316" i="19"/>
  <c r="AU316" i="19" s="1"/>
  <c r="AP317" i="19" s="1"/>
  <c r="AX316" i="19"/>
  <c r="AV315" i="19"/>
  <c r="AW315" i="19"/>
  <c r="BQ315" i="19"/>
  <c r="BN326" i="19"/>
  <c r="CA326" i="19" s="1"/>
  <c r="AM326" i="19"/>
  <c r="AN326" i="19" s="1"/>
  <c r="W328" i="19"/>
  <c r="Z328" i="19"/>
  <c r="BM328" i="19" s="1"/>
  <c r="AA327" i="19"/>
  <c r="AB327" i="19" s="1"/>
  <c r="AH327" i="19" s="1"/>
  <c r="BL327" i="19"/>
  <c r="BZ327" i="19" s="1"/>
  <c r="AX317" i="19" l="1"/>
  <c r="BQ317" i="19" s="1"/>
  <c r="AT317" i="19"/>
  <c r="AU317" i="19" s="1"/>
  <c r="AP318" i="19" s="1"/>
  <c r="AW316" i="19"/>
  <c r="AV316" i="19"/>
  <c r="BP315" i="19"/>
  <c r="CB315" i="19" s="1"/>
  <c r="AY315" i="19"/>
  <c r="AZ315" i="19" s="1"/>
  <c r="BF314" i="19"/>
  <c r="BB314" i="19"/>
  <c r="BE314" i="19" s="1"/>
  <c r="BG314" i="19" s="1"/>
  <c r="BQ316" i="19"/>
  <c r="X328" i="19"/>
  <c r="S329" i="19" s="1"/>
  <c r="Y328" i="19"/>
  <c r="AG328" i="19"/>
  <c r="AK327" i="19"/>
  <c r="AI327" i="19"/>
  <c r="AD328" i="19" s="1"/>
  <c r="AL328" i="19" s="1"/>
  <c r="BO328" i="19" s="1"/>
  <c r="AS327" i="19"/>
  <c r="AJ327" i="19"/>
  <c r="AT318" i="19" l="1"/>
  <c r="AX318" i="19"/>
  <c r="BQ318" i="19" s="1"/>
  <c r="AV317" i="19"/>
  <c r="AW317" i="19"/>
  <c r="BP316" i="19"/>
  <c r="CB316" i="19" s="1"/>
  <c r="AY316" i="19"/>
  <c r="AZ316" i="19" s="1"/>
  <c r="BC315" i="19"/>
  <c r="W329" i="19"/>
  <c r="Z329" i="19"/>
  <c r="BM329" i="19" s="1"/>
  <c r="AA328" i="19"/>
  <c r="AB328" i="19" s="1"/>
  <c r="AH328" i="19" s="1"/>
  <c r="BL328" i="19"/>
  <c r="BZ328" i="19" s="1"/>
  <c r="AM327" i="19"/>
  <c r="AN327" i="19" s="1"/>
  <c r="BN327" i="19"/>
  <c r="CA327" i="19" s="1"/>
  <c r="AU318" i="19" l="1"/>
  <c r="AP319" i="19" s="1"/>
  <c r="AW318" i="19"/>
  <c r="AV318" i="19"/>
  <c r="AY317" i="19"/>
  <c r="AZ317" i="19" s="1"/>
  <c r="BP317" i="19"/>
  <c r="CB317" i="19" s="1"/>
  <c r="BC316" i="19"/>
  <c r="BF315" i="19"/>
  <c r="BB315" i="19"/>
  <c r="BE315" i="19" s="1"/>
  <c r="X329" i="19"/>
  <c r="S330" i="19" s="1"/>
  <c r="AG329" i="19"/>
  <c r="Y329" i="19"/>
  <c r="AS328" i="19"/>
  <c r="AJ328" i="19"/>
  <c r="AI328" i="19"/>
  <c r="AD329" i="19" s="1"/>
  <c r="AK328" i="19"/>
  <c r="BG315" i="19" l="1"/>
  <c r="AT319" i="19"/>
  <c r="AX319" i="19"/>
  <c r="BQ319" i="19" s="1"/>
  <c r="AY318" i="19"/>
  <c r="AZ318" i="19" s="1"/>
  <c r="BP318" i="19"/>
  <c r="CB318" i="19" s="1"/>
  <c r="BC317" i="19"/>
  <c r="BF316" i="19"/>
  <c r="BB316" i="19"/>
  <c r="BE316" i="19" s="1"/>
  <c r="W330" i="19"/>
  <c r="Z330" i="19"/>
  <c r="BM330" i="19" s="1"/>
  <c r="AA329" i="19"/>
  <c r="AB329" i="19" s="1"/>
  <c r="AH329" i="19" s="1"/>
  <c r="BL329" i="19"/>
  <c r="BZ329" i="19" s="1"/>
  <c r="AL329" i="19"/>
  <c r="BO329" i="19" s="1"/>
  <c r="AM328" i="19"/>
  <c r="AN328" i="19" s="1"/>
  <c r="BN328" i="19"/>
  <c r="CA328" i="19" s="1"/>
  <c r="BG316" i="19" l="1"/>
  <c r="AW319" i="19"/>
  <c r="AV319" i="19"/>
  <c r="AU319" i="19"/>
  <c r="AP320" i="19" s="1"/>
  <c r="BC318" i="19"/>
  <c r="BF317" i="19"/>
  <c r="BB317" i="19"/>
  <c r="BE317" i="19" s="1"/>
  <c r="X330" i="19"/>
  <c r="S331" i="19" s="1"/>
  <c r="Y330" i="19"/>
  <c r="AG330" i="19"/>
  <c r="AK329" i="19"/>
  <c r="AI329" i="19"/>
  <c r="AD330" i="19" s="1"/>
  <c r="AL330" i="19" s="1"/>
  <c r="BO330" i="19" s="1"/>
  <c r="AJ329" i="19"/>
  <c r="AS329" i="19"/>
  <c r="BG317" i="19" l="1"/>
  <c r="BF318" i="19"/>
  <c r="BB318" i="19"/>
  <c r="BE318" i="19" s="1"/>
  <c r="AY319" i="19"/>
  <c r="AZ319" i="19" s="1"/>
  <c r="BP319" i="19"/>
  <c r="CB319" i="19" s="1"/>
  <c r="AX320" i="19"/>
  <c r="BQ320" i="19" s="1"/>
  <c r="AT320" i="19"/>
  <c r="W331" i="19"/>
  <c r="Z331" i="19"/>
  <c r="BM331" i="19" s="1"/>
  <c r="BL330" i="19"/>
  <c r="BZ330" i="19" s="1"/>
  <c r="AA330" i="19"/>
  <c r="AB330" i="19" s="1"/>
  <c r="AH330" i="19" s="1"/>
  <c r="BN329" i="19"/>
  <c r="CA329" i="19" s="1"/>
  <c r="AM329" i="19"/>
  <c r="AN329" i="19" s="1"/>
  <c r="BG318" i="19" l="1"/>
  <c r="AV320" i="19"/>
  <c r="AW320" i="19"/>
  <c r="AU320" i="19"/>
  <c r="AP321" i="19" s="1"/>
  <c r="BC319" i="19"/>
  <c r="X331" i="19"/>
  <c r="S332" i="19" s="1"/>
  <c r="Y331" i="19"/>
  <c r="AG331" i="19"/>
  <c r="AS330" i="19"/>
  <c r="AJ330" i="19"/>
  <c r="AI330" i="19"/>
  <c r="AD331" i="19" s="1"/>
  <c r="AL331" i="19" s="1"/>
  <c r="BO331" i="19" s="1"/>
  <c r="AK330" i="19"/>
  <c r="BF319" i="19" l="1"/>
  <c r="BB319" i="19"/>
  <c r="BE319" i="19" s="1"/>
  <c r="BP320" i="19"/>
  <c r="CB320" i="19" s="1"/>
  <c r="AY320" i="19"/>
  <c r="AZ320" i="19" s="1"/>
  <c r="AX321" i="19"/>
  <c r="BQ321" i="19" s="1"/>
  <c r="AT321" i="19"/>
  <c r="AU321" i="19" s="1"/>
  <c r="AP322" i="19" s="1"/>
  <c r="Z332" i="19"/>
  <c r="BM332" i="19" s="1"/>
  <c r="W332" i="19"/>
  <c r="BL331" i="19"/>
  <c r="BZ331" i="19" s="1"/>
  <c r="AA331" i="19"/>
  <c r="AB331" i="19" s="1"/>
  <c r="AH331" i="19" s="1"/>
  <c r="BN330" i="19"/>
  <c r="CA330" i="19" s="1"/>
  <c r="AM330" i="19"/>
  <c r="AN330" i="19" s="1"/>
  <c r="BG319" i="19" l="1"/>
  <c r="BC320" i="19"/>
  <c r="AX322" i="19"/>
  <c r="BQ322" i="19" s="1"/>
  <c r="AT322" i="19"/>
  <c r="AU322" i="19" s="1"/>
  <c r="AP323" i="19" s="1"/>
  <c r="AV321" i="19"/>
  <c r="AW321" i="19"/>
  <c r="X332" i="19"/>
  <c r="S333" i="19" s="1"/>
  <c r="AG332" i="19"/>
  <c r="Y332" i="19"/>
  <c r="AK331" i="19"/>
  <c r="AI331" i="19"/>
  <c r="AD332" i="19" s="1"/>
  <c r="AS331" i="19"/>
  <c r="AJ331" i="19"/>
  <c r="AT323" i="19" l="1"/>
  <c r="AX323" i="19"/>
  <c r="BQ323" i="19" s="1"/>
  <c r="AV322" i="19"/>
  <c r="AW322" i="19"/>
  <c r="BP321" i="19"/>
  <c r="CB321" i="19" s="1"/>
  <c r="AY321" i="19"/>
  <c r="AZ321" i="19" s="1"/>
  <c r="BF320" i="19"/>
  <c r="BB320" i="19"/>
  <c r="BE320" i="19" s="1"/>
  <c r="Z333" i="19"/>
  <c r="BM333" i="19" s="1"/>
  <c r="W333" i="19"/>
  <c r="AA332" i="19"/>
  <c r="AB332" i="19" s="1"/>
  <c r="AH332" i="19" s="1"/>
  <c r="BL332" i="19"/>
  <c r="BZ332" i="19" s="1"/>
  <c r="AM331" i="19"/>
  <c r="AN331" i="19" s="1"/>
  <c r="BN331" i="19"/>
  <c r="CA331" i="19" s="1"/>
  <c r="AL332" i="19"/>
  <c r="BO332" i="19" s="1"/>
  <c r="BG320" i="19" l="1"/>
  <c r="AU323" i="19"/>
  <c r="AP324" i="19" s="1"/>
  <c r="AV323" i="19"/>
  <c r="AW323" i="19"/>
  <c r="AY322" i="19"/>
  <c r="AZ322" i="19" s="1"/>
  <c r="BP322" i="19"/>
  <c r="CB322" i="19" s="1"/>
  <c r="BC321" i="19"/>
  <c r="X333" i="19"/>
  <c r="S334" i="19" s="1"/>
  <c r="AG333" i="19"/>
  <c r="Y333" i="19"/>
  <c r="AK332" i="19"/>
  <c r="AI332" i="19"/>
  <c r="AD333" i="19" s="1"/>
  <c r="AL333" i="19" s="1"/>
  <c r="BO333" i="19" s="1"/>
  <c r="AJ332" i="19"/>
  <c r="AS332" i="19"/>
  <c r="AT324" i="19" l="1"/>
  <c r="AX324" i="19"/>
  <c r="BQ324" i="19" s="1"/>
  <c r="AY323" i="19"/>
  <c r="AZ323" i="19" s="1"/>
  <c r="BC323" i="19" s="1"/>
  <c r="BP323" i="19"/>
  <c r="CB323" i="19" s="1"/>
  <c r="BC322" i="19"/>
  <c r="BF321" i="19"/>
  <c r="BB321" i="19"/>
  <c r="BE321" i="19" s="1"/>
  <c r="W334" i="19"/>
  <c r="Z334" i="19"/>
  <c r="BM334" i="19" s="1"/>
  <c r="BL333" i="19"/>
  <c r="BZ333" i="19" s="1"/>
  <c r="AA333" i="19"/>
  <c r="AB333" i="19" s="1"/>
  <c r="AH333" i="19" s="1"/>
  <c r="BN332" i="19"/>
  <c r="CA332" i="19" s="1"/>
  <c r="AM332" i="19"/>
  <c r="AN332" i="19" s="1"/>
  <c r="BG321" i="19" l="1"/>
  <c r="BF323" i="19"/>
  <c r="BB323" i="19"/>
  <c r="BE323" i="19" s="1"/>
  <c r="BG323" i="19" s="1"/>
  <c r="AV324" i="19"/>
  <c r="AW324" i="19"/>
  <c r="AU324" i="19"/>
  <c r="AP325" i="19" s="1"/>
  <c r="BF322" i="19"/>
  <c r="BB322" i="19"/>
  <c r="BE322" i="19" s="1"/>
  <c r="X334" i="19"/>
  <c r="S335" i="19" s="1"/>
  <c r="AG334" i="19"/>
  <c r="Y334" i="19"/>
  <c r="AK333" i="19"/>
  <c r="AJ333" i="19"/>
  <c r="AS333" i="19"/>
  <c r="AI333" i="19"/>
  <c r="AD334" i="19" s="1"/>
  <c r="BG322" i="19" l="1"/>
  <c r="BP324" i="19"/>
  <c r="CB324" i="19" s="1"/>
  <c r="AY324" i="19"/>
  <c r="AZ324" i="19" s="1"/>
  <c r="BC324" i="19" s="1"/>
  <c r="AX325" i="19"/>
  <c r="BQ325" i="19" s="1"/>
  <c r="AT325" i="19"/>
  <c r="Z335" i="19"/>
  <c r="BM335" i="19" s="1"/>
  <c r="W335" i="19"/>
  <c r="AA334" i="19"/>
  <c r="AB334" i="19" s="1"/>
  <c r="AH334" i="19" s="1"/>
  <c r="AI334" i="19" s="1"/>
  <c r="AD335" i="19" s="1"/>
  <c r="AL335" i="19" s="1"/>
  <c r="BL334" i="19"/>
  <c r="BZ334" i="19" s="1"/>
  <c r="BN333" i="19"/>
  <c r="CA333" i="19" s="1"/>
  <c r="AM333" i="19"/>
  <c r="AN333" i="19" s="1"/>
  <c r="AL334" i="19"/>
  <c r="BO334" i="19" s="1"/>
  <c r="AU325" i="19" l="1"/>
  <c r="AP326" i="19" s="1"/>
  <c r="AW325" i="19"/>
  <c r="AV325" i="19"/>
  <c r="BF324" i="19"/>
  <c r="BB324" i="19"/>
  <c r="BE324" i="19" s="1"/>
  <c r="BO335" i="19"/>
  <c r="X335" i="19"/>
  <c r="S336" i="19" s="1"/>
  <c r="Y335" i="19"/>
  <c r="AG335" i="19"/>
  <c r="AK334" i="19"/>
  <c r="AS334" i="19"/>
  <c r="AJ334" i="19"/>
  <c r="BG324" i="19" l="1"/>
  <c r="AT326" i="19"/>
  <c r="AX326" i="19"/>
  <c r="BQ326" i="19" s="1"/>
  <c r="BP325" i="19"/>
  <c r="CB325" i="19" s="1"/>
  <c r="AY325" i="19"/>
  <c r="AZ325" i="19" s="1"/>
  <c r="W336" i="19"/>
  <c r="Z336" i="19"/>
  <c r="BM336" i="19" s="1"/>
  <c r="BL335" i="19"/>
  <c r="BZ335" i="19" s="1"/>
  <c r="AA335" i="19"/>
  <c r="AB335" i="19" s="1"/>
  <c r="AH335" i="19" s="1"/>
  <c r="BN334" i="19"/>
  <c r="CA334" i="19" s="1"/>
  <c r="AM334" i="19"/>
  <c r="AN334" i="19" s="1"/>
  <c r="AU326" i="19" l="1"/>
  <c r="AP327" i="19" s="1"/>
  <c r="AV326" i="19"/>
  <c r="AW326" i="19"/>
  <c r="BC325" i="19"/>
  <c r="X336" i="19"/>
  <c r="S337" i="19" s="1"/>
  <c r="Y336" i="19"/>
  <c r="AG336" i="19"/>
  <c r="AK335" i="19"/>
  <c r="AI335" i="19"/>
  <c r="AD336" i="19" s="1"/>
  <c r="AJ335" i="19"/>
  <c r="AS335" i="19"/>
  <c r="AX327" i="19" l="1"/>
  <c r="BQ327" i="19" s="1"/>
  <c r="AT327" i="19"/>
  <c r="BP326" i="19"/>
  <c r="CB326" i="19" s="1"/>
  <c r="AY326" i="19"/>
  <c r="AZ326" i="19" s="1"/>
  <c r="BF325" i="19"/>
  <c r="BB325" i="19"/>
  <c r="BE325" i="19" s="1"/>
  <c r="BG325" i="19" s="1"/>
  <c r="W337" i="19"/>
  <c r="Z337" i="19"/>
  <c r="BM337" i="19" s="1"/>
  <c r="AA336" i="19"/>
  <c r="AB336" i="19" s="1"/>
  <c r="AH336" i="19" s="1"/>
  <c r="BL336" i="19"/>
  <c r="BZ336" i="19" s="1"/>
  <c r="AM335" i="19"/>
  <c r="AN335" i="19" s="1"/>
  <c r="BN335" i="19"/>
  <c r="CA335" i="19" s="1"/>
  <c r="AL336" i="19"/>
  <c r="BO336" i="19" s="1"/>
  <c r="AU327" i="19" l="1"/>
  <c r="AP328" i="19" s="1"/>
  <c r="AW327" i="19"/>
  <c r="AV327" i="19"/>
  <c r="BC326" i="19"/>
  <c r="AK336" i="19"/>
  <c r="AI336" i="19"/>
  <c r="AD337" i="19" s="1"/>
  <c r="AL337" i="19" s="1"/>
  <c r="BO337" i="19" s="1"/>
  <c r="AS336" i="19"/>
  <c r="AJ336" i="19"/>
  <c r="X337" i="19"/>
  <c r="S338" i="19" s="1"/>
  <c r="AG337" i="19"/>
  <c r="Y337" i="19"/>
  <c r="AT328" i="19" l="1"/>
  <c r="AX328" i="19"/>
  <c r="BQ328" i="19" s="1"/>
  <c r="AY327" i="19"/>
  <c r="AZ327" i="19" s="1"/>
  <c r="BP327" i="19"/>
  <c r="CB327" i="19" s="1"/>
  <c r="BF326" i="19"/>
  <c r="BB326" i="19"/>
  <c r="BE326" i="19" s="1"/>
  <c r="BN336" i="19"/>
  <c r="CA336" i="19" s="1"/>
  <c r="AM336" i="19"/>
  <c r="AN336" i="19" s="1"/>
  <c r="W338" i="19"/>
  <c r="Z338" i="19"/>
  <c r="BM338" i="19" s="1"/>
  <c r="BL337" i="19"/>
  <c r="BZ337" i="19" s="1"/>
  <c r="AA337" i="19"/>
  <c r="AB337" i="19" s="1"/>
  <c r="AH337" i="19" s="1"/>
  <c r="BG326" i="19" l="1"/>
  <c r="AU328" i="19"/>
  <c r="AP329" i="19" s="1"/>
  <c r="AW328" i="19"/>
  <c r="AV328" i="19"/>
  <c r="BC327" i="19"/>
  <c r="X338" i="19"/>
  <c r="S339" i="19" s="1"/>
  <c r="Y338" i="19"/>
  <c r="AG338" i="19"/>
  <c r="AI337" i="19"/>
  <c r="AD338" i="19" s="1"/>
  <c r="AK337" i="19"/>
  <c r="AS337" i="19"/>
  <c r="AJ337" i="19"/>
  <c r="BF327" i="19" l="1"/>
  <c r="BB327" i="19"/>
  <c r="BE327" i="19" s="1"/>
  <c r="AX329" i="19"/>
  <c r="BQ329" i="19" s="1"/>
  <c r="AT329" i="19"/>
  <c r="AY328" i="19"/>
  <c r="AZ328" i="19" s="1"/>
  <c r="BC328" i="19" s="1"/>
  <c r="BP328" i="19"/>
  <c r="CB328" i="19" s="1"/>
  <c r="W339" i="19"/>
  <c r="Z339" i="19"/>
  <c r="BM339" i="19" s="1"/>
  <c r="AA338" i="19"/>
  <c r="AB338" i="19" s="1"/>
  <c r="AH338" i="19" s="1"/>
  <c r="BL338" i="19"/>
  <c r="BZ338" i="19" s="1"/>
  <c r="BN337" i="19"/>
  <c r="CA337" i="19" s="1"/>
  <c r="AM337" i="19"/>
  <c r="AN337" i="19" s="1"/>
  <c r="AL338" i="19"/>
  <c r="BO338" i="19" s="1"/>
  <c r="BG327" i="19" l="1"/>
  <c r="AU329" i="19"/>
  <c r="AP330" i="19" s="1"/>
  <c r="AW329" i="19"/>
  <c r="AV329" i="19"/>
  <c r="BB328" i="19"/>
  <c r="BE328" i="19" s="1"/>
  <c r="BF328" i="19"/>
  <c r="X339" i="19"/>
  <c r="S340" i="19" s="1"/>
  <c r="AG339" i="19"/>
  <c r="Y339" i="19"/>
  <c r="AK338" i="19"/>
  <c r="AS338" i="19"/>
  <c r="AJ338" i="19"/>
  <c r="AI338" i="19"/>
  <c r="AD339" i="19" s="1"/>
  <c r="BG328" i="19" l="1"/>
  <c r="AX330" i="19"/>
  <c r="BQ330" i="19" s="1"/>
  <c r="AT330" i="19"/>
  <c r="AY329" i="19"/>
  <c r="AZ329" i="19" s="1"/>
  <c r="BC329" i="19" s="1"/>
  <c r="BP329" i="19"/>
  <c r="CB329" i="19" s="1"/>
  <c r="W340" i="19"/>
  <c r="Z340" i="19"/>
  <c r="BM340" i="19" s="1"/>
  <c r="AA339" i="19"/>
  <c r="AB339" i="19" s="1"/>
  <c r="AH339" i="19" s="1"/>
  <c r="BL339" i="19"/>
  <c r="BZ339" i="19" s="1"/>
  <c r="AM338" i="19"/>
  <c r="AN338" i="19" s="1"/>
  <c r="BN338" i="19"/>
  <c r="CA338" i="19" s="1"/>
  <c r="AL339" i="19"/>
  <c r="BO339" i="19" s="1"/>
  <c r="AU330" i="19" l="1"/>
  <c r="AP331" i="19" s="1"/>
  <c r="AW330" i="19"/>
  <c r="AV330" i="19"/>
  <c r="BF329" i="19"/>
  <c r="BB329" i="19"/>
  <c r="BE329" i="19" s="1"/>
  <c r="AG340" i="19"/>
  <c r="Y340" i="19"/>
  <c r="X340" i="19"/>
  <c r="S341" i="19" s="1"/>
  <c r="AK339" i="19"/>
  <c r="AI339" i="19"/>
  <c r="AD340" i="19" s="1"/>
  <c r="AJ339" i="19"/>
  <c r="AS339" i="19"/>
  <c r="BG329" i="19" l="1"/>
  <c r="AT331" i="19"/>
  <c r="AX331" i="19"/>
  <c r="BQ331" i="19" s="1"/>
  <c r="AY330" i="19"/>
  <c r="AZ330" i="19" s="1"/>
  <c r="BC330" i="19" s="1"/>
  <c r="BP330" i="19"/>
  <c r="CB330" i="19" s="1"/>
  <c r="AA340" i="19"/>
  <c r="AB340" i="19" s="1"/>
  <c r="AH340" i="19" s="1"/>
  <c r="BL340" i="19"/>
  <c r="BZ340" i="19" s="1"/>
  <c r="W341" i="19"/>
  <c r="Z341" i="19"/>
  <c r="BM341" i="19" s="1"/>
  <c r="BN339" i="19"/>
  <c r="CA339" i="19" s="1"/>
  <c r="AM339" i="19"/>
  <c r="AN339" i="19" s="1"/>
  <c r="AL340" i="19"/>
  <c r="BO340" i="19" s="1"/>
  <c r="BF330" i="19" l="1"/>
  <c r="BB330" i="19"/>
  <c r="BE330" i="19" s="1"/>
  <c r="AU331" i="19"/>
  <c r="AP332" i="19" s="1"/>
  <c r="AV331" i="19"/>
  <c r="AW331" i="19"/>
  <c r="AG341" i="19"/>
  <c r="Y341" i="19"/>
  <c r="X341" i="19"/>
  <c r="S342" i="19" s="1"/>
  <c r="AK340" i="19"/>
  <c r="AI340" i="19"/>
  <c r="AD341" i="19" s="1"/>
  <c r="AS340" i="19"/>
  <c r="AJ340" i="19"/>
  <c r="BG330" i="19" l="1"/>
  <c r="AT332" i="19"/>
  <c r="AX332" i="19"/>
  <c r="BQ332" i="19" s="1"/>
  <c r="AY331" i="19"/>
  <c r="AZ331" i="19" s="1"/>
  <c r="BP331" i="19"/>
  <c r="CB331" i="19" s="1"/>
  <c r="AA341" i="19"/>
  <c r="AB341" i="19" s="1"/>
  <c r="AH341" i="19" s="1"/>
  <c r="BL341" i="19"/>
  <c r="BZ341" i="19" s="1"/>
  <c r="W342" i="19"/>
  <c r="Z342" i="19"/>
  <c r="BM342" i="19" s="1"/>
  <c r="BN340" i="19"/>
  <c r="CA340" i="19" s="1"/>
  <c r="AM340" i="19"/>
  <c r="AN340" i="19" s="1"/>
  <c r="AL341" i="19"/>
  <c r="BO341" i="19" s="1"/>
  <c r="AU332" i="19" l="1"/>
  <c r="AP333" i="19" s="1"/>
  <c r="AV332" i="19"/>
  <c r="AW332" i="19"/>
  <c r="BC331" i="19"/>
  <c r="Y342" i="19"/>
  <c r="AG342" i="19"/>
  <c r="X342" i="19"/>
  <c r="S343" i="19" s="1"/>
  <c r="AK341" i="19"/>
  <c r="AI341" i="19"/>
  <c r="AD342" i="19" s="1"/>
  <c r="AS341" i="19"/>
  <c r="AJ341" i="19"/>
  <c r="BF331" i="19" l="1"/>
  <c r="BB331" i="19"/>
  <c r="BE331" i="19" s="1"/>
  <c r="AT333" i="19"/>
  <c r="AX333" i="19"/>
  <c r="BQ333" i="19" s="1"/>
  <c r="BP332" i="19"/>
  <c r="CB332" i="19" s="1"/>
  <c r="AY332" i="19"/>
  <c r="AZ332" i="19" s="1"/>
  <c r="AA342" i="19"/>
  <c r="AB342" i="19" s="1"/>
  <c r="AH342" i="19" s="1"/>
  <c r="BL342" i="19"/>
  <c r="BZ342" i="19" s="1"/>
  <c r="Z343" i="19"/>
  <c r="BM343" i="19" s="1"/>
  <c r="W343" i="19"/>
  <c r="X343" i="19" s="1"/>
  <c r="S344" i="19" s="1"/>
  <c r="BN341" i="19"/>
  <c r="CA341" i="19" s="1"/>
  <c r="AM341" i="19"/>
  <c r="AN341" i="19" s="1"/>
  <c r="AL342" i="19"/>
  <c r="BO342" i="19" s="1"/>
  <c r="BG331" i="19" l="1"/>
  <c r="BC332" i="19"/>
  <c r="AU333" i="19"/>
  <c r="AP334" i="19" s="1"/>
  <c r="AW333" i="19"/>
  <c r="AV333" i="19"/>
  <c r="AS342" i="19"/>
  <c r="AJ342" i="19"/>
  <c r="Z344" i="19"/>
  <c r="BM344" i="19" s="1"/>
  <c r="W344" i="19"/>
  <c r="X344" i="19" s="1"/>
  <c r="S345" i="19" s="1"/>
  <c r="AG343" i="19"/>
  <c r="Y343" i="19"/>
  <c r="AI342" i="19"/>
  <c r="AD343" i="19" s="1"/>
  <c r="AK342" i="19"/>
  <c r="BF332" i="19" l="1"/>
  <c r="BB332" i="19"/>
  <c r="BE332" i="19" s="1"/>
  <c r="AT334" i="19"/>
  <c r="AX334" i="19"/>
  <c r="BQ334" i="19" s="1"/>
  <c r="BP333" i="19"/>
  <c r="CB333" i="19" s="1"/>
  <c r="AY333" i="19"/>
  <c r="AZ333" i="19" s="1"/>
  <c r="Z345" i="19"/>
  <c r="BM345" i="19" s="1"/>
  <c r="W345" i="19"/>
  <c r="Y344" i="19"/>
  <c r="AG344" i="19"/>
  <c r="BL343" i="19"/>
  <c r="BZ343" i="19" s="1"/>
  <c r="AA343" i="19"/>
  <c r="AB343" i="19" s="1"/>
  <c r="AH343" i="19" s="1"/>
  <c r="AL343" i="19"/>
  <c r="BO343" i="19" s="1"/>
  <c r="AM342" i="19"/>
  <c r="AN342" i="19" s="1"/>
  <c r="BN342" i="19"/>
  <c r="CA342" i="19" s="1"/>
  <c r="BG332" i="19" l="1"/>
  <c r="AU334" i="19"/>
  <c r="AP335" i="19" s="1"/>
  <c r="AW334" i="19"/>
  <c r="AV334" i="19"/>
  <c r="BC333" i="19"/>
  <c r="AG345" i="19"/>
  <c r="Y345" i="19"/>
  <c r="X345" i="19"/>
  <c r="S346" i="19" s="1"/>
  <c r="AA344" i="19"/>
  <c r="AB344" i="19" s="1"/>
  <c r="AH344" i="19" s="1"/>
  <c r="BL344" i="19"/>
  <c r="BZ344" i="19" s="1"/>
  <c r="AK343" i="19"/>
  <c r="AI343" i="19"/>
  <c r="AD344" i="19" s="1"/>
  <c r="AS343" i="19"/>
  <c r="AJ343" i="19"/>
  <c r="BF333" i="19" l="1"/>
  <c r="BB333" i="19"/>
  <c r="BE333" i="19" s="1"/>
  <c r="BG333" i="19" s="1"/>
  <c r="AT335" i="19"/>
  <c r="AX335" i="19"/>
  <c r="BQ335" i="19" s="1"/>
  <c r="BP334" i="19"/>
  <c r="CB334" i="19" s="1"/>
  <c r="AY334" i="19"/>
  <c r="AZ334" i="19" s="1"/>
  <c r="AK344" i="19"/>
  <c r="BN344" i="19" s="1"/>
  <c r="AS344" i="19"/>
  <c r="AJ344" i="19"/>
  <c r="BL345" i="19"/>
  <c r="BZ345" i="19" s="1"/>
  <c r="AA345" i="19"/>
  <c r="AB345" i="19" s="1"/>
  <c r="AH345" i="19" s="1"/>
  <c r="W346" i="19"/>
  <c r="X346" i="19" s="1"/>
  <c r="S347" i="19" s="1"/>
  <c r="Z346" i="19"/>
  <c r="BM346" i="19" s="1"/>
  <c r="BN343" i="19"/>
  <c r="CA343" i="19" s="1"/>
  <c r="AM343" i="19"/>
  <c r="AN343" i="19" s="1"/>
  <c r="AI344" i="19"/>
  <c r="AD345" i="19" s="1"/>
  <c r="AL344" i="19"/>
  <c r="BC334" i="19" l="1"/>
  <c r="AV335" i="19"/>
  <c r="AW335" i="19"/>
  <c r="AU335" i="19"/>
  <c r="AP336" i="19" s="1"/>
  <c r="BO344" i="19"/>
  <c r="CA344" i="19" s="1"/>
  <c r="AM344" i="19"/>
  <c r="AN344" i="19" s="1"/>
  <c r="W347" i="19"/>
  <c r="X347" i="19" s="1"/>
  <c r="S348" i="19" s="1"/>
  <c r="Z347" i="19"/>
  <c r="BM347" i="19" s="1"/>
  <c r="AG346" i="19"/>
  <c r="Y346" i="19"/>
  <c r="AI345" i="19"/>
  <c r="AD346" i="19" s="1"/>
  <c r="AL345" i="19"/>
  <c r="BO345" i="19" s="1"/>
  <c r="AJ345" i="19"/>
  <c r="AS345" i="19"/>
  <c r="AK345" i="19"/>
  <c r="BF334" i="19" l="1"/>
  <c r="BB334" i="19"/>
  <c r="BE334" i="19" s="1"/>
  <c r="AY335" i="19"/>
  <c r="AZ335" i="19" s="1"/>
  <c r="BP335" i="19"/>
  <c r="CB335" i="19" s="1"/>
  <c r="AT336" i="19"/>
  <c r="AX336" i="19"/>
  <c r="BQ336" i="19" s="1"/>
  <c r="Z348" i="19"/>
  <c r="BM348" i="19" s="1"/>
  <c r="W348" i="19"/>
  <c r="AG347" i="19"/>
  <c r="Y347" i="19"/>
  <c r="AA346" i="19"/>
  <c r="AB346" i="19" s="1"/>
  <c r="AH346" i="19" s="1"/>
  <c r="AI346" i="19" s="1"/>
  <c r="AD347" i="19" s="1"/>
  <c r="BL346" i="19"/>
  <c r="BZ346" i="19" s="1"/>
  <c r="AL346" i="19"/>
  <c r="BO346" i="19" s="1"/>
  <c r="AM345" i="19"/>
  <c r="AN345" i="19" s="1"/>
  <c r="BN345" i="19"/>
  <c r="CA345" i="19" s="1"/>
  <c r="BG334" i="19" l="1"/>
  <c r="BC335" i="19"/>
  <c r="AV336" i="19"/>
  <c r="AW336" i="19"/>
  <c r="AU336" i="19"/>
  <c r="AP337" i="19" s="1"/>
  <c r="AG348" i="19"/>
  <c r="Y348" i="19"/>
  <c r="X348" i="19"/>
  <c r="S349" i="19" s="1"/>
  <c r="BL347" i="19"/>
  <c r="BZ347" i="19" s="1"/>
  <c r="AA347" i="19"/>
  <c r="AB347" i="19" s="1"/>
  <c r="AH347" i="19" s="1"/>
  <c r="AI347" i="19" s="1"/>
  <c r="AD348" i="19" s="1"/>
  <c r="AL348" i="19" s="1"/>
  <c r="BO348" i="19" s="1"/>
  <c r="AL347" i="19"/>
  <c r="BO347" i="19" s="1"/>
  <c r="AK346" i="19"/>
  <c r="AS346" i="19"/>
  <c r="AJ346" i="19"/>
  <c r="BF335" i="19" l="1"/>
  <c r="BB335" i="19"/>
  <c r="BE335" i="19" s="1"/>
  <c r="AY336" i="19"/>
  <c r="AZ336" i="19" s="1"/>
  <c r="BP336" i="19"/>
  <c r="CB336" i="19" s="1"/>
  <c r="AT337" i="19"/>
  <c r="AX337" i="19"/>
  <c r="BQ337" i="19" s="1"/>
  <c r="AA348" i="19"/>
  <c r="AB348" i="19" s="1"/>
  <c r="AH348" i="19" s="1"/>
  <c r="BL348" i="19"/>
  <c r="BZ348" i="19" s="1"/>
  <c r="Z349" i="19"/>
  <c r="BM349" i="19" s="1"/>
  <c r="W349" i="19"/>
  <c r="BN346" i="19"/>
  <c r="CA346" i="19" s="1"/>
  <c r="AM346" i="19"/>
  <c r="AN346" i="19" s="1"/>
  <c r="AK347" i="19"/>
  <c r="AS347" i="19"/>
  <c r="AJ347" i="19"/>
  <c r="BG335" i="19" l="1"/>
  <c r="BC336" i="19"/>
  <c r="AV337" i="19"/>
  <c r="AW337" i="19"/>
  <c r="AU337" i="19"/>
  <c r="AP338" i="19" s="1"/>
  <c r="AK348" i="19"/>
  <c r="AJ348" i="19"/>
  <c r="AS348" i="19"/>
  <c r="AI348" i="19"/>
  <c r="AD349" i="19" s="1"/>
  <c r="Y349" i="19"/>
  <c r="AG349" i="19"/>
  <c r="X349" i="19"/>
  <c r="S350" i="19" s="1"/>
  <c r="AM347" i="19"/>
  <c r="AN347" i="19" s="1"/>
  <c r="BN347" i="19"/>
  <c r="CA347" i="19" s="1"/>
  <c r="AY337" i="19" l="1"/>
  <c r="AZ337" i="19" s="1"/>
  <c r="BP337" i="19"/>
  <c r="CB337" i="19" s="1"/>
  <c r="AT338" i="19"/>
  <c r="AX338" i="19"/>
  <c r="BF336" i="19"/>
  <c r="BB336" i="19"/>
  <c r="BE336" i="19" s="1"/>
  <c r="BG336" i="19" s="1"/>
  <c r="BN348" i="19"/>
  <c r="CA348" i="19" s="1"/>
  <c r="AM348" i="19"/>
  <c r="AN348" i="19" s="1"/>
  <c r="AL349" i="19"/>
  <c r="BO349" i="19" s="1"/>
  <c r="AA349" i="19"/>
  <c r="AB349" i="19" s="1"/>
  <c r="AH349" i="19" s="1"/>
  <c r="BL349" i="19"/>
  <c r="BZ349" i="19" s="1"/>
  <c r="Z350" i="19"/>
  <c r="BM350" i="19" s="1"/>
  <c r="W350" i="19"/>
  <c r="X350" i="19" s="1"/>
  <c r="S351" i="19" s="1"/>
  <c r="BC337" i="19" l="1"/>
  <c r="AW338" i="19"/>
  <c r="AV338" i="19"/>
  <c r="AU338" i="19"/>
  <c r="AP339" i="19" s="1"/>
  <c r="BQ338" i="19"/>
  <c r="Z351" i="19"/>
  <c r="BM351" i="19" s="1"/>
  <c r="W351" i="19"/>
  <c r="AG350" i="19"/>
  <c r="Y350" i="19"/>
  <c r="AS349" i="19"/>
  <c r="AJ349" i="19"/>
  <c r="AI349" i="19"/>
  <c r="AD350" i="19" s="1"/>
  <c r="AK349" i="19"/>
  <c r="BP338" i="19" l="1"/>
  <c r="CB338" i="19" s="1"/>
  <c r="AY338" i="19"/>
  <c r="AZ338" i="19" s="1"/>
  <c r="AX339" i="19"/>
  <c r="AT339" i="19"/>
  <c r="AU339" i="19" s="1"/>
  <c r="AP340" i="19" s="1"/>
  <c r="BF337" i="19"/>
  <c r="BB337" i="19"/>
  <c r="BE337" i="19" s="1"/>
  <c r="BG337" i="19" s="1"/>
  <c r="Y351" i="19"/>
  <c r="AG351" i="19"/>
  <c r="X351" i="19"/>
  <c r="S352" i="19" s="1"/>
  <c r="AA350" i="19"/>
  <c r="AB350" i="19" s="1"/>
  <c r="AH350" i="19" s="1"/>
  <c r="BL350" i="19"/>
  <c r="BZ350" i="19" s="1"/>
  <c r="AL350" i="19"/>
  <c r="BO350" i="19" s="1"/>
  <c r="AM349" i="19"/>
  <c r="AN349" i="19" s="1"/>
  <c r="BN349" i="19"/>
  <c r="CA349" i="19" s="1"/>
  <c r="BC338" i="19" l="1"/>
  <c r="AT340" i="19"/>
  <c r="AU340" i="19" s="1"/>
  <c r="AP341" i="19" s="1"/>
  <c r="AX340" i="19"/>
  <c r="BQ339" i="19"/>
  <c r="AV339" i="19"/>
  <c r="AW339" i="19"/>
  <c r="AA351" i="19"/>
  <c r="AB351" i="19" s="1"/>
  <c r="AH351" i="19" s="1"/>
  <c r="BL351" i="19"/>
  <c r="BZ351" i="19" s="1"/>
  <c r="Z352" i="19"/>
  <c r="BM352" i="19" s="1"/>
  <c r="W352" i="19"/>
  <c r="AK350" i="19"/>
  <c r="AI350" i="19"/>
  <c r="AD351" i="19" s="1"/>
  <c r="AS350" i="19"/>
  <c r="AJ350" i="19"/>
  <c r="AX341" i="19" l="1"/>
  <c r="BQ341" i="19" s="1"/>
  <c r="AT341" i="19"/>
  <c r="AU341" i="19" s="1"/>
  <c r="AP342" i="19" s="1"/>
  <c r="AW340" i="19"/>
  <c r="AV340" i="19"/>
  <c r="BQ340" i="19"/>
  <c r="AY339" i="19"/>
  <c r="AZ339" i="19" s="1"/>
  <c r="BP339" i="19"/>
  <c r="CB339" i="19" s="1"/>
  <c r="BF338" i="19"/>
  <c r="BB338" i="19"/>
  <c r="BE338" i="19" s="1"/>
  <c r="AK351" i="19"/>
  <c r="BN351" i="19" s="1"/>
  <c r="AJ351" i="19"/>
  <c r="AS351" i="19"/>
  <c r="AG352" i="19"/>
  <c r="Y352" i="19"/>
  <c r="X352" i="19"/>
  <c r="S353" i="19" s="1"/>
  <c r="BN350" i="19"/>
  <c r="CA350" i="19" s="1"/>
  <c r="AM350" i="19"/>
  <c r="AN350" i="19" s="1"/>
  <c r="AL351" i="19"/>
  <c r="AI351" i="19"/>
  <c r="AD352" i="19" s="1"/>
  <c r="BG338" i="19" l="1"/>
  <c r="AT342" i="19"/>
  <c r="AU342" i="19" s="1"/>
  <c r="AP343" i="19" s="1"/>
  <c r="AX342" i="19"/>
  <c r="BQ342" i="19" s="1"/>
  <c r="AV341" i="19"/>
  <c r="AW341" i="19"/>
  <c r="AY340" i="19"/>
  <c r="AZ340" i="19" s="1"/>
  <c r="BP340" i="19"/>
  <c r="CB340" i="19" s="1"/>
  <c r="BC339" i="19"/>
  <c r="BL352" i="19"/>
  <c r="BZ352" i="19" s="1"/>
  <c r="AA352" i="19"/>
  <c r="AB352" i="19" s="1"/>
  <c r="AH352" i="19" s="1"/>
  <c r="AI352" i="19" s="1"/>
  <c r="AD353" i="19" s="1"/>
  <c r="W353" i="19"/>
  <c r="X353" i="19" s="1"/>
  <c r="S354" i="19" s="1"/>
  <c r="Z353" i="19"/>
  <c r="BM353" i="19" s="1"/>
  <c r="AL352" i="19"/>
  <c r="BO352" i="19" s="1"/>
  <c r="BO351" i="19"/>
  <c r="CA351" i="19" s="1"/>
  <c r="AM351" i="19"/>
  <c r="AN351" i="19" s="1"/>
  <c r="AT343" i="19" l="1"/>
  <c r="AX343" i="19"/>
  <c r="BQ343" i="19" s="1"/>
  <c r="AW342" i="19"/>
  <c r="AV342" i="19"/>
  <c r="AY341" i="19"/>
  <c r="AZ341" i="19" s="1"/>
  <c r="BP341" i="19"/>
  <c r="CB341" i="19" s="1"/>
  <c r="BC340" i="19"/>
  <c r="BF339" i="19"/>
  <c r="BB339" i="19"/>
  <c r="BE339" i="19" s="1"/>
  <c r="Z354" i="19"/>
  <c r="BM354" i="19" s="1"/>
  <c r="W354" i="19"/>
  <c r="AG353" i="19"/>
  <c r="Y353" i="19"/>
  <c r="AL353" i="19"/>
  <c r="BO353" i="19" s="1"/>
  <c r="AK352" i="19"/>
  <c r="AS352" i="19"/>
  <c r="AJ352" i="19"/>
  <c r="BG339" i="19" l="1"/>
  <c r="BF340" i="19"/>
  <c r="BB340" i="19"/>
  <c r="BE340" i="19" s="1"/>
  <c r="BG340" i="19" s="1"/>
  <c r="AV343" i="19"/>
  <c r="AW343" i="19"/>
  <c r="AU343" i="19"/>
  <c r="AP344" i="19" s="1"/>
  <c r="AY342" i="19"/>
  <c r="AZ342" i="19" s="1"/>
  <c r="BP342" i="19"/>
  <c r="CB342" i="19" s="1"/>
  <c r="BC341" i="19"/>
  <c r="Y354" i="19"/>
  <c r="AG354" i="19"/>
  <c r="X354" i="19"/>
  <c r="S355" i="19" s="1"/>
  <c r="BL353" i="19"/>
  <c r="BZ353" i="19" s="1"/>
  <c r="AA353" i="19"/>
  <c r="AB353" i="19" s="1"/>
  <c r="AH353" i="19" s="1"/>
  <c r="AM352" i="19"/>
  <c r="AN352" i="19" s="1"/>
  <c r="BN352" i="19"/>
  <c r="CA352" i="19" s="1"/>
  <c r="BP343" i="19" l="1"/>
  <c r="CB343" i="19" s="1"/>
  <c r="AY343" i="19"/>
  <c r="AZ343" i="19" s="1"/>
  <c r="AX344" i="19"/>
  <c r="BQ344" i="19" s="1"/>
  <c r="AT344" i="19"/>
  <c r="BC342" i="19"/>
  <c r="BF341" i="19"/>
  <c r="BB341" i="19"/>
  <c r="BE341" i="19" s="1"/>
  <c r="BL354" i="19"/>
  <c r="BZ354" i="19" s="1"/>
  <c r="AA354" i="19"/>
  <c r="AB354" i="19" s="1"/>
  <c r="AH354" i="19" s="1"/>
  <c r="AS354" i="19" s="1"/>
  <c r="Z355" i="19"/>
  <c r="BM355" i="19" s="1"/>
  <c r="W355" i="19"/>
  <c r="X355" i="19" s="1"/>
  <c r="S356" i="19" s="1"/>
  <c r="AI353" i="19"/>
  <c r="AD354" i="19" s="1"/>
  <c r="AK353" i="19"/>
  <c r="AS353" i="19"/>
  <c r="AJ353" i="19"/>
  <c r="BG341" i="19" l="1"/>
  <c r="BC343" i="19"/>
  <c r="AW344" i="19"/>
  <c r="AV344" i="19"/>
  <c r="AU344" i="19"/>
  <c r="AP345" i="19" s="1"/>
  <c r="BF342" i="19"/>
  <c r="BB342" i="19"/>
  <c r="BE342" i="19" s="1"/>
  <c r="BG342" i="19" s="1"/>
  <c r="AK354" i="19"/>
  <c r="BN354" i="19" s="1"/>
  <c r="AJ354" i="19"/>
  <c r="W356" i="19"/>
  <c r="Z356" i="19"/>
  <c r="BM356" i="19" s="1"/>
  <c r="Y355" i="19"/>
  <c r="AG355" i="19"/>
  <c r="AI354" i="19"/>
  <c r="AD355" i="19" s="1"/>
  <c r="AL354" i="19"/>
  <c r="AM353" i="19"/>
  <c r="AN353" i="19" s="1"/>
  <c r="BN353" i="19"/>
  <c r="CA353" i="19" s="1"/>
  <c r="BF343" i="19" l="1"/>
  <c r="BB343" i="19"/>
  <c r="BE343" i="19" s="1"/>
  <c r="AY344" i="19"/>
  <c r="AZ344" i="19" s="1"/>
  <c r="BP344" i="19"/>
  <c r="CB344" i="19" s="1"/>
  <c r="AT345" i="19"/>
  <c r="AX345" i="19"/>
  <c r="BQ345" i="19" s="1"/>
  <c r="AG356" i="19"/>
  <c r="Y356" i="19"/>
  <c r="X356" i="19"/>
  <c r="S357" i="19" s="1"/>
  <c r="BL355" i="19"/>
  <c r="BZ355" i="19" s="1"/>
  <c r="AA355" i="19"/>
  <c r="AB355" i="19" s="1"/>
  <c r="AH355" i="19" s="1"/>
  <c r="AL355" i="19"/>
  <c r="BO355" i="19" s="1"/>
  <c r="BO354" i="19"/>
  <c r="CA354" i="19" s="1"/>
  <c r="AM354" i="19"/>
  <c r="AN354" i="19" s="1"/>
  <c r="BG343" i="19" l="1"/>
  <c r="BC344" i="19"/>
  <c r="AW345" i="19"/>
  <c r="AV345" i="19"/>
  <c r="AU345" i="19"/>
  <c r="AP346" i="19" s="1"/>
  <c r="AA356" i="19"/>
  <c r="AB356" i="19" s="1"/>
  <c r="AH356" i="19" s="1"/>
  <c r="BL356" i="19"/>
  <c r="BZ356" i="19" s="1"/>
  <c r="W357" i="19"/>
  <c r="X357" i="19" s="1"/>
  <c r="S358" i="19" s="1"/>
  <c r="Z357" i="19"/>
  <c r="BM357" i="19" s="1"/>
  <c r="AK355" i="19"/>
  <c r="AS355" i="19"/>
  <c r="AJ355" i="19"/>
  <c r="AI355" i="19"/>
  <c r="AD356" i="19" s="1"/>
  <c r="BP345" i="19" l="1"/>
  <c r="CB345" i="19" s="1"/>
  <c r="AY345" i="19"/>
  <c r="AZ345" i="19" s="1"/>
  <c r="AX346" i="19"/>
  <c r="AT346" i="19"/>
  <c r="BF344" i="19"/>
  <c r="BB344" i="19"/>
  <c r="BE344" i="19" s="1"/>
  <c r="W358" i="19"/>
  <c r="X358" i="19" s="1"/>
  <c r="S359" i="19" s="1"/>
  <c r="Z358" i="19"/>
  <c r="BM358" i="19" s="1"/>
  <c r="AG357" i="19"/>
  <c r="Y357" i="19"/>
  <c r="BN355" i="19"/>
  <c r="CA355" i="19" s="1"/>
  <c r="AM355" i="19"/>
  <c r="AN355" i="19" s="1"/>
  <c r="AL356" i="19"/>
  <c r="BO356" i="19" s="1"/>
  <c r="AI356" i="19"/>
  <c r="AD357" i="19" s="1"/>
  <c r="AJ356" i="19"/>
  <c r="AS356" i="19"/>
  <c r="AK356" i="19"/>
  <c r="BG344" i="19" l="1"/>
  <c r="BC345" i="19"/>
  <c r="BQ346" i="19"/>
  <c r="AW346" i="19"/>
  <c r="AV346" i="19"/>
  <c r="AU346" i="19"/>
  <c r="AP347" i="19" s="1"/>
  <c r="W359" i="19"/>
  <c r="X359" i="19" s="1"/>
  <c r="S360" i="19" s="1"/>
  <c r="Z359" i="19"/>
  <c r="BM359" i="19" s="1"/>
  <c r="Y358" i="19"/>
  <c r="AG358" i="19"/>
  <c r="AA357" i="19"/>
  <c r="AB357" i="19" s="1"/>
  <c r="AH357" i="19" s="1"/>
  <c r="BL357" i="19"/>
  <c r="BZ357" i="19" s="1"/>
  <c r="AL357" i="19"/>
  <c r="BO357" i="19" s="1"/>
  <c r="AM356" i="19"/>
  <c r="AN356" i="19" s="1"/>
  <c r="BN356" i="19"/>
  <c r="CA356" i="19" s="1"/>
  <c r="BP346" i="19" l="1"/>
  <c r="CB346" i="19" s="1"/>
  <c r="AY346" i="19"/>
  <c r="AZ346" i="19" s="1"/>
  <c r="AT347" i="19"/>
  <c r="AU347" i="19" s="1"/>
  <c r="AP348" i="19" s="1"/>
  <c r="AX347" i="19"/>
  <c r="BF345" i="19"/>
  <c r="BB345" i="19"/>
  <c r="BE345" i="19" s="1"/>
  <c r="BG345" i="19" s="1"/>
  <c r="Z360" i="19"/>
  <c r="BM360" i="19" s="1"/>
  <c r="W360" i="19"/>
  <c r="Y359" i="19"/>
  <c r="AG359" i="19"/>
  <c r="AA358" i="19"/>
  <c r="AB358" i="19" s="1"/>
  <c r="AH358" i="19" s="1"/>
  <c r="BL358" i="19"/>
  <c r="BZ358" i="19" s="1"/>
  <c r="AI357" i="19"/>
  <c r="AD358" i="19" s="1"/>
  <c r="AJ357" i="19"/>
  <c r="AS357" i="19"/>
  <c r="AK357" i="19"/>
  <c r="BC346" i="19" l="1"/>
  <c r="AX348" i="19"/>
  <c r="AT348" i="19"/>
  <c r="AV347" i="19"/>
  <c r="AW347" i="19"/>
  <c r="BQ347" i="19"/>
  <c r="AK358" i="19"/>
  <c r="BN358" i="19" s="1"/>
  <c r="AJ358" i="19"/>
  <c r="AS358" i="19"/>
  <c r="Y360" i="19"/>
  <c r="AG360" i="19"/>
  <c r="X360" i="19"/>
  <c r="S361" i="19" s="1"/>
  <c r="BL359" i="19"/>
  <c r="BZ359" i="19" s="1"/>
  <c r="AA359" i="19"/>
  <c r="AB359" i="19" s="1"/>
  <c r="AH359" i="19" s="1"/>
  <c r="AS359" i="19" s="1"/>
  <c r="AL358" i="19"/>
  <c r="AI358" i="19"/>
  <c r="AD359" i="19" s="1"/>
  <c r="BN357" i="19"/>
  <c r="CA357" i="19" s="1"/>
  <c r="AM357" i="19"/>
  <c r="AN357" i="19" s="1"/>
  <c r="BQ348" i="19" l="1"/>
  <c r="AV348" i="19"/>
  <c r="AW348" i="19"/>
  <c r="AU348" i="19"/>
  <c r="AP349" i="19" s="1"/>
  <c r="AY347" i="19"/>
  <c r="AZ347" i="19" s="1"/>
  <c r="BP347" i="19"/>
  <c r="CB347" i="19" s="1"/>
  <c r="BF346" i="19"/>
  <c r="BB346" i="19"/>
  <c r="BE346" i="19" s="1"/>
  <c r="AK359" i="19"/>
  <c r="BN359" i="19" s="1"/>
  <c r="AJ359" i="19"/>
  <c r="AA360" i="19"/>
  <c r="AB360" i="19" s="1"/>
  <c r="AH360" i="19" s="1"/>
  <c r="BL360" i="19"/>
  <c r="BZ360" i="19" s="1"/>
  <c r="Z361" i="19"/>
  <c r="BM361" i="19" s="1"/>
  <c r="W361" i="19"/>
  <c r="X361" i="19" s="1"/>
  <c r="S362" i="19" s="1"/>
  <c r="AI359" i="19"/>
  <c r="AD360" i="19" s="1"/>
  <c r="AL359" i="19"/>
  <c r="BO358" i="19"/>
  <c r="CA358" i="19" s="1"/>
  <c r="AM358" i="19"/>
  <c r="AN358" i="19" s="1"/>
  <c r="BG346" i="19" l="1"/>
  <c r="AY348" i="19"/>
  <c r="AZ348" i="19" s="1"/>
  <c r="BP348" i="19"/>
  <c r="CB348" i="19" s="1"/>
  <c r="AX349" i="19"/>
  <c r="AT349" i="19"/>
  <c r="BC347" i="19"/>
  <c r="AK360" i="19"/>
  <c r="BN360" i="19" s="1"/>
  <c r="AJ360" i="19"/>
  <c r="AS360" i="19"/>
  <c r="Z362" i="19"/>
  <c r="BM362" i="19" s="1"/>
  <c r="W362" i="19"/>
  <c r="Y361" i="19"/>
  <c r="AG361" i="19"/>
  <c r="AI360" i="19"/>
  <c r="AD361" i="19" s="1"/>
  <c r="AL360" i="19"/>
  <c r="BO359" i="19"/>
  <c r="CA359" i="19" s="1"/>
  <c r="AM359" i="19"/>
  <c r="AN359" i="19" s="1"/>
  <c r="BF347" i="19" l="1"/>
  <c r="BB347" i="19"/>
  <c r="BE347" i="19" s="1"/>
  <c r="BC348" i="19"/>
  <c r="BQ349" i="19"/>
  <c r="AW349" i="19"/>
  <c r="AV349" i="19"/>
  <c r="AU349" i="19"/>
  <c r="AP350" i="19" s="1"/>
  <c r="Y362" i="19"/>
  <c r="AG362" i="19"/>
  <c r="X362" i="19"/>
  <c r="S363" i="19" s="1"/>
  <c r="AA361" i="19"/>
  <c r="AB361" i="19" s="1"/>
  <c r="AH361" i="19" s="1"/>
  <c r="BL361" i="19"/>
  <c r="BZ361" i="19" s="1"/>
  <c r="AL361" i="19"/>
  <c r="BO361" i="19" s="1"/>
  <c r="AM360" i="19"/>
  <c r="AN360" i="19" s="1"/>
  <c r="BO360" i="19"/>
  <c r="CA360" i="19" s="1"/>
  <c r="BG347" i="19" l="1"/>
  <c r="BP349" i="19"/>
  <c r="CB349" i="19" s="1"/>
  <c r="AY349" i="19"/>
  <c r="AZ349" i="19" s="1"/>
  <c r="AT350" i="19"/>
  <c r="AU350" i="19" s="1"/>
  <c r="AP351" i="19" s="1"/>
  <c r="AX350" i="19"/>
  <c r="BF348" i="19"/>
  <c r="BB348" i="19"/>
  <c r="BE348" i="19" s="1"/>
  <c r="AS361" i="19"/>
  <c r="AJ361" i="19"/>
  <c r="AA362" i="19"/>
  <c r="AB362" i="19" s="1"/>
  <c r="AH362" i="19" s="1"/>
  <c r="BL362" i="19"/>
  <c r="BZ362" i="19" s="1"/>
  <c r="W363" i="19"/>
  <c r="X363" i="19" s="1"/>
  <c r="S364" i="19" s="1"/>
  <c r="Z363" i="19"/>
  <c r="BM363" i="19" s="1"/>
  <c r="AK361" i="19"/>
  <c r="AI361" i="19"/>
  <c r="AD362" i="19" s="1"/>
  <c r="BG348" i="19" l="1"/>
  <c r="BC349" i="19"/>
  <c r="AX351" i="19"/>
  <c r="AT351" i="19"/>
  <c r="AU351" i="19" s="1"/>
  <c r="AP352" i="19" s="1"/>
  <c r="AV350" i="19"/>
  <c r="AW350" i="19"/>
  <c r="BQ350" i="19"/>
  <c r="AK362" i="19"/>
  <c r="AS362" i="19"/>
  <c r="AJ362" i="19"/>
  <c r="W364" i="19"/>
  <c r="Z364" i="19"/>
  <c r="BM364" i="19" s="1"/>
  <c r="Y363" i="19"/>
  <c r="AG363" i="19"/>
  <c r="AM361" i="19"/>
  <c r="AN361" i="19" s="1"/>
  <c r="BN361" i="19"/>
  <c r="CA361" i="19" s="1"/>
  <c r="AI362" i="19"/>
  <c r="AD363" i="19" s="1"/>
  <c r="AL362" i="19"/>
  <c r="BO362" i="19" s="1"/>
  <c r="AT352" i="19" l="1"/>
  <c r="AX352" i="19"/>
  <c r="BQ351" i="19"/>
  <c r="AW351" i="19"/>
  <c r="AV351" i="19"/>
  <c r="BP350" i="19"/>
  <c r="CB350" i="19" s="1"/>
  <c r="AY350" i="19"/>
  <c r="AZ350" i="19" s="1"/>
  <c r="BF349" i="19"/>
  <c r="BB349" i="19"/>
  <c r="BE349" i="19" s="1"/>
  <c r="BN362" i="19"/>
  <c r="CA362" i="19" s="1"/>
  <c r="AM362" i="19"/>
  <c r="AN362" i="19" s="1"/>
  <c r="AG364" i="19"/>
  <c r="Y364" i="19"/>
  <c r="X364" i="19"/>
  <c r="S365" i="19" s="1"/>
  <c r="BL363" i="19"/>
  <c r="BZ363" i="19" s="1"/>
  <c r="AA363" i="19"/>
  <c r="AB363" i="19" s="1"/>
  <c r="AH363" i="19" s="1"/>
  <c r="AL363" i="19"/>
  <c r="BO363" i="19" s="1"/>
  <c r="BG349" i="19" l="1"/>
  <c r="AW352" i="19"/>
  <c r="AV352" i="19"/>
  <c r="AU352" i="19"/>
  <c r="AP353" i="19" s="1"/>
  <c r="BQ352" i="19"/>
  <c r="AY351" i="19"/>
  <c r="AZ351" i="19" s="1"/>
  <c r="BP351" i="19"/>
  <c r="CB351" i="19" s="1"/>
  <c r="BC350" i="19"/>
  <c r="BL364" i="19"/>
  <c r="BZ364" i="19" s="1"/>
  <c r="AA364" i="19"/>
  <c r="AB364" i="19" s="1"/>
  <c r="AH364" i="19" s="1"/>
  <c r="W365" i="19"/>
  <c r="X365" i="19" s="1"/>
  <c r="S366" i="19" s="1"/>
  <c r="Z365" i="19"/>
  <c r="BM365" i="19" s="1"/>
  <c r="AI363" i="19"/>
  <c r="AD364" i="19" s="1"/>
  <c r="AK363" i="19"/>
  <c r="AJ363" i="19"/>
  <c r="AS363" i="19"/>
  <c r="BP352" i="19" l="1"/>
  <c r="CB352" i="19" s="1"/>
  <c r="AY352" i="19"/>
  <c r="AZ352" i="19" s="1"/>
  <c r="AT353" i="19"/>
  <c r="AX353" i="19"/>
  <c r="BC351" i="19"/>
  <c r="BF350" i="19"/>
  <c r="BB350" i="19"/>
  <c r="BE350" i="19" s="1"/>
  <c r="Z366" i="19"/>
  <c r="BM366" i="19" s="1"/>
  <c r="W366" i="19"/>
  <c r="AG365" i="19"/>
  <c r="Y365" i="19"/>
  <c r="AI364" i="19"/>
  <c r="AD365" i="19" s="1"/>
  <c r="AL364" i="19"/>
  <c r="BO364" i="19" s="1"/>
  <c r="AM363" i="19"/>
  <c r="AN363" i="19" s="1"/>
  <c r="BN363" i="19"/>
  <c r="CA363" i="19" s="1"/>
  <c r="AK364" i="19"/>
  <c r="AS364" i="19"/>
  <c r="AJ364" i="19"/>
  <c r="BG350" i="19" l="1"/>
  <c r="BC352" i="19"/>
  <c r="AV353" i="19"/>
  <c r="AW353" i="19"/>
  <c r="AU353" i="19"/>
  <c r="AP354" i="19" s="1"/>
  <c r="BQ353" i="19"/>
  <c r="BF351" i="19"/>
  <c r="BB351" i="19"/>
  <c r="BE351" i="19" s="1"/>
  <c r="Y366" i="19"/>
  <c r="AG366" i="19"/>
  <c r="X366" i="19"/>
  <c r="S367" i="19" s="1"/>
  <c r="BL365" i="19"/>
  <c r="BZ365" i="19" s="1"/>
  <c r="AA365" i="19"/>
  <c r="AB365" i="19" s="1"/>
  <c r="AH365" i="19" s="1"/>
  <c r="AL365" i="19"/>
  <c r="BO365" i="19" s="1"/>
  <c r="BN364" i="19"/>
  <c r="CA364" i="19" s="1"/>
  <c r="AM364" i="19"/>
  <c r="AN364" i="19" s="1"/>
  <c r="BG351" i="19" l="1"/>
  <c r="BP353" i="19"/>
  <c r="CB353" i="19" s="1"/>
  <c r="AY353" i="19"/>
  <c r="AZ353" i="19" s="1"/>
  <c r="AT354" i="19"/>
  <c r="AU354" i="19" s="1"/>
  <c r="AP355" i="19" s="1"/>
  <c r="AX354" i="19"/>
  <c r="BF352" i="19"/>
  <c r="BB352" i="19"/>
  <c r="BE352" i="19" s="1"/>
  <c r="BG352" i="19" s="1"/>
  <c r="AA366" i="19"/>
  <c r="AB366" i="19" s="1"/>
  <c r="AH366" i="19" s="1"/>
  <c r="BL366" i="19"/>
  <c r="BZ366" i="19" s="1"/>
  <c r="W367" i="19"/>
  <c r="Z367" i="19"/>
  <c r="BM367" i="19" s="1"/>
  <c r="AI365" i="19"/>
  <c r="AD366" i="19" s="1"/>
  <c r="AJ365" i="19"/>
  <c r="AS365" i="19"/>
  <c r="AK365" i="19"/>
  <c r="BC353" i="19" l="1"/>
  <c r="AX355" i="19"/>
  <c r="AT355" i="19"/>
  <c r="AW354" i="19"/>
  <c r="AV354" i="19"/>
  <c r="BQ354" i="19"/>
  <c r="Y367" i="19"/>
  <c r="AG367" i="19"/>
  <c r="X367" i="19"/>
  <c r="S368" i="19" s="1"/>
  <c r="AI366" i="19"/>
  <c r="AD367" i="19" s="1"/>
  <c r="AL366" i="19"/>
  <c r="BO366" i="19" s="1"/>
  <c r="AM365" i="19"/>
  <c r="AN365" i="19" s="1"/>
  <c r="BN365" i="19"/>
  <c r="CA365" i="19" s="1"/>
  <c r="AK366" i="19"/>
  <c r="AS366" i="19"/>
  <c r="AJ366" i="19"/>
  <c r="W420" i="19"/>
  <c r="W421" i="19"/>
  <c r="W422" i="19"/>
  <c r="W423" i="19"/>
  <c r="W424" i="19"/>
  <c r="Z50" i="19"/>
  <c r="Z420" i="19"/>
  <c r="Z421" i="19"/>
  <c r="Z422" i="19"/>
  <c r="Z423" i="19"/>
  <c r="Z424" i="19"/>
  <c r="BQ355" i="19" l="1"/>
  <c r="AV355" i="19"/>
  <c r="AW355" i="19"/>
  <c r="AU355" i="19"/>
  <c r="AP356" i="19" s="1"/>
  <c r="BP354" i="19"/>
  <c r="CB354" i="19" s="1"/>
  <c r="AY354" i="19"/>
  <c r="AZ354" i="19" s="1"/>
  <c r="BF353" i="19"/>
  <c r="BB353" i="19"/>
  <c r="BE353" i="19" s="1"/>
  <c r="BG353" i="19" s="1"/>
  <c r="AA367" i="19"/>
  <c r="AB367" i="19" s="1"/>
  <c r="AH367" i="19" s="1"/>
  <c r="BL367" i="19"/>
  <c r="BZ367" i="19" s="1"/>
  <c r="Z368" i="19"/>
  <c r="BM368" i="19" s="1"/>
  <c r="W368" i="19"/>
  <c r="AL367" i="19"/>
  <c r="BO367" i="19" s="1"/>
  <c r="AM366" i="19"/>
  <c r="AN366" i="19" s="1"/>
  <c r="BN366" i="19"/>
  <c r="CA366" i="19" s="1"/>
  <c r="W451" i="19"/>
  <c r="Z451" i="19"/>
  <c r="BM420" i="19"/>
  <c r="BM421" i="19"/>
  <c r="BM422" i="19"/>
  <c r="BM423" i="19"/>
  <c r="BM424" i="19"/>
  <c r="AG420" i="19"/>
  <c r="AG421" i="19"/>
  <c r="AG422" i="19"/>
  <c r="AG423" i="19"/>
  <c r="AG424" i="19"/>
  <c r="Y420" i="19"/>
  <c r="Y50" i="19"/>
  <c r="Y421" i="19"/>
  <c r="Y422" i="19"/>
  <c r="Y423" i="19"/>
  <c r="Y424" i="19"/>
  <c r="BP355" i="19" l="1"/>
  <c r="CB355" i="19" s="1"/>
  <c r="AY355" i="19"/>
  <c r="AZ355" i="19" s="1"/>
  <c r="AX356" i="19"/>
  <c r="AT356" i="19"/>
  <c r="BC354" i="19"/>
  <c r="AS367" i="19"/>
  <c r="AJ367" i="19"/>
  <c r="AK367" i="19"/>
  <c r="AI367" i="19"/>
  <c r="AD368" i="19" s="1"/>
  <c r="AL368" i="19" s="1"/>
  <c r="BO368" i="19" s="1"/>
  <c r="AG368" i="19"/>
  <c r="Y368" i="19"/>
  <c r="X368" i="19"/>
  <c r="S369" i="19" s="1"/>
  <c r="BM451" i="19"/>
  <c r="AG451" i="19"/>
  <c r="BL420" i="19"/>
  <c r="BL421" i="19"/>
  <c r="BL422" i="19"/>
  <c r="BL423" i="19"/>
  <c r="BL424" i="19"/>
  <c r="Y451" i="19"/>
  <c r="AA420" i="19"/>
  <c r="AA50" i="19"/>
  <c r="AA421" i="19"/>
  <c r="AA422" i="19"/>
  <c r="AA423" i="19"/>
  <c r="AA424" i="19"/>
  <c r="BF354" i="19" l="1"/>
  <c r="BB354" i="19"/>
  <c r="BE354" i="19" s="1"/>
  <c r="BC355" i="19"/>
  <c r="BQ356" i="19"/>
  <c r="AW356" i="19"/>
  <c r="AV356" i="19"/>
  <c r="AU356" i="19"/>
  <c r="AP357" i="19" s="1"/>
  <c r="AM367" i="19"/>
  <c r="AN367" i="19" s="1"/>
  <c r="BN367" i="19"/>
  <c r="CA367" i="19" s="1"/>
  <c r="BL368" i="19"/>
  <c r="BZ368" i="19" s="1"/>
  <c r="AA368" i="19"/>
  <c r="AB368" i="19" s="1"/>
  <c r="AH368" i="19" s="1"/>
  <c r="Z369" i="19"/>
  <c r="BM369" i="19" s="1"/>
  <c r="W369" i="19"/>
  <c r="X369" i="19" s="1"/>
  <c r="S370" i="19" s="1"/>
  <c r="BL451" i="19"/>
  <c r="AB420" i="19"/>
  <c r="AB421" i="19"/>
  <c r="AB422" i="19"/>
  <c r="AB423" i="19"/>
  <c r="AB424" i="19"/>
  <c r="BZ420" i="19"/>
  <c r="BZ421" i="19"/>
  <c r="BZ422" i="19"/>
  <c r="BZ423" i="19"/>
  <c r="BZ424" i="19"/>
  <c r="AA451" i="19"/>
  <c r="BG354" i="19" l="1"/>
  <c r="BP356" i="19"/>
  <c r="CB356" i="19" s="1"/>
  <c r="AY356" i="19"/>
  <c r="AZ356" i="19" s="1"/>
  <c r="AX357" i="19"/>
  <c r="AT357" i="19"/>
  <c r="BF355" i="19"/>
  <c r="BB355" i="19"/>
  <c r="BE355" i="19" s="1"/>
  <c r="AI368" i="19"/>
  <c r="AD369" i="19" s="1"/>
  <c r="AK368" i="19"/>
  <c r="W370" i="19"/>
  <c r="X370" i="19" s="1"/>
  <c r="S371" i="19" s="1"/>
  <c r="Z370" i="19"/>
  <c r="BM370" i="19" s="1"/>
  <c r="Y369" i="19"/>
  <c r="AG369" i="19"/>
  <c r="AS368" i="19"/>
  <c r="AJ368" i="19"/>
  <c r="AH420" i="19"/>
  <c r="AH421" i="19"/>
  <c r="AH422" i="19"/>
  <c r="AH423" i="19"/>
  <c r="AH424" i="19"/>
  <c r="AB451" i="19"/>
  <c r="BZ451" i="19"/>
  <c r="BG355" i="19" l="1"/>
  <c r="BC356" i="19"/>
  <c r="BQ357" i="19"/>
  <c r="AV357" i="19"/>
  <c r="AW357" i="19"/>
  <c r="AU357" i="19"/>
  <c r="AP358" i="19" s="1"/>
  <c r="AL369" i="19"/>
  <c r="BO369" i="19" s="1"/>
  <c r="AM368" i="19"/>
  <c r="AN368" i="19" s="1"/>
  <c r="BN368" i="19"/>
  <c r="CA368" i="19" s="1"/>
  <c r="Z371" i="19"/>
  <c r="BM371" i="19" s="1"/>
  <c r="W371" i="19"/>
  <c r="Y370" i="19"/>
  <c r="AG370" i="19"/>
  <c r="AA369" i="19"/>
  <c r="AB369" i="19" s="1"/>
  <c r="AH369" i="19" s="1"/>
  <c r="BL369" i="19"/>
  <c r="BZ369" i="19" s="1"/>
  <c r="AH451" i="19"/>
  <c r="AS420" i="19"/>
  <c r="AS421" i="19"/>
  <c r="AS422" i="19"/>
  <c r="AS423" i="19"/>
  <c r="AS424" i="19"/>
  <c r="AJ420" i="19"/>
  <c r="AJ421" i="19"/>
  <c r="AJ422" i="19"/>
  <c r="AJ423" i="19"/>
  <c r="AJ424" i="19"/>
  <c r="AK420" i="19"/>
  <c r="AK421" i="19"/>
  <c r="AK422" i="19"/>
  <c r="AK423" i="19"/>
  <c r="AK424" i="19"/>
  <c r="AY357" i="19" l="1"/>
  <c r="AZ357" i="19" s="1"/>
  <c r="BP357" i="19"/>
  <c r="CB357" i="19" s="1"/>
  <c r="AT358" i="19"/>
  <c r="AU358" i="19" s="1"/>
  <c r="AP359" i="19" s="1"/>
  <c r="AX358" i="19"/>
  <c r="BF356" i="19"/>
  <c r="BB356" i="19"/>
  <c r="BE356" i="19" s="1"/>
  <c r="BG356" i="19" s="1"/>
  <c r="AG371" i="19"/>
  <c r="Y371" i="19"/>
  <c r="X371" i="19"/>
  <c r="S372" i="19" s="1"/>
  <c r="AA370" i="19"/>
  <c r="AB370" i="19" s="1"/>
  <c r="AH370" i="19" s="1"/>
  <c r="AS370" i="19" s="1"/>
  <c r="BL370" i="19"/>
  <c r="BZ370" i="19" s="1"/>
  <c r="AS369" i="19"/>
  <c r="AJ369" i="19"/>
  <c r="AI369" i="19"/>
  <c r="AD370" i="19" s="1"/>
  <c r="AK369" i="19"/>
  <c r="AJ451" i="19"/>
  <c r="AS451" i="19"/>
  <c r="AM420" i="19"/>
  <c r="AM421" i="19"/>
  <c r="AM422" i="19"/>
  <c r="AM423" i="19"/>
  <c r="AM424" i="19"/>
  <c r="AL420" i="19"/>
  <c r="AL421" i="19"/>
  <c r="AL422" i="19"/>
  <c r="AL423" i="19"/>
  <c r="AL424" i="19"/>
  <c r="BN420" i="19"/>
  <c r="BN421" i="19"/>
  <c r="BN422" i="19"/>
  <c r="BN423" i="19"/>
  <c r="BN424" i="19"/>
  <c r="AK451" i="19"/>
  <c r="BC357" i="19" l="1"/>
  <c r="AX359" i="19"/>
  <c r="AT359" i="19"/>
  <c r="AW358" i="19"/>
  <c r="AV358" i="19"/>
  <c r="BQ358" i="19"/>
  <c r="AK370" i="19"/>
  <c r="BN370" i="19" s="1"/>
  <c r="AJ370" i="19"/>
  <c r="BL371" i="19"/>
  <c r="BZ371" i="19" s="1"/>
  <c r="AA371" i="19"/>
  <c r="AB371" i="19" s="1"/>
  <c r="AH371" i="19" s="1"/>
  <c r="Z372" i="19"/>
  <c r="BM372" i="19" s="1"/>
  <c r="W372" i="19"/>
  <c r="AI370" i="19"/>
  <c r="AD371" i="19" s="1"/>
  <c r="AL370" i="19"/>
  <c r="BN369" i="19"/>
  <c r="CA369" i="19" s="1"/>
  <c r="AM369" i="19"/>
  <c r="AN369" i="19" s="1"/>
  <c r="AL451" i="19"/>
  <c r="BN451" i="19"/>
  <c r="BO420" i="19"/>
  <c r="BO421" i="19"/>
  <c r="BO422" i="19"/>
  <c r="BO423" i="19"/>
  <c r="BO424" i="19"/>
  <c r="AM451" i="19"/>
  <c r="CA420" i="19"/>
  <c r="CA421" i="19"/>
  <c r="CA422" i="19"/>
  <c r="CA423" i="19"/>
  <c r="CA424" i="19"/>
  <c r="AN420" i="19"/>
  <c r="AN421" i="19"/>
  <c r="AN422" i="19"/>
  <c r="AN423" i="19"/>
  <c r="AN424" i="19"/>
  <c r="BF357" i="19" l="1"/>
  <c r="BB357" i="19"/>
  <c r="BE357" i="19" s="1"/>
  <c r="BQ359" i="19"/>
  <c r="AW359" i="19"/>
  <c r="AV359" i="19"/>
  <c r="AU359" i="19"/>
  <c r="AP360" i="19" s="1"/>
  <c r="BP358" i="19"/>
  <c r="CB358" i="19" s="1"/>
  <c r="AY358" i="19"/>
  <c r="AZ358" i="19" s="1"/>
  <c r="Y372" i="19"/>
  <c r="AG372" i="19"/>
  <c r="X372" i="19"/>
  <c r="S373" i="19" s="1"/>
  <c r="AI371" i="19"/>
  <c r="AD372" i="19" s="1"/>
  <c r="AL371" i="19"/>
  <c r="BO371" i="19" s="1"/>
  <c r="AJ371" i="19"/>
  <c r="AS371" i="19"/>
  <c r="AK371" i="19"/>
  <c r="BO370" i="19"/>
  <c r="CA370" i="19" s="1"/>
  <c r="AM370" i="19"/>
  <c r="AN370" i="19" s="1"/>
  <c r="BO451" i="19"/>
  <c r="CA451" i="19"/>
  <c r="AN451" i="19"/>
  <c r="BG357" i="19" l="1"/>
  <c r="AY359" i="19"/>
  <c r="AZ359" i="19" s="1"/>
  <c r="BP359" i="19"/>
  <c r="CB359" i="19" s="1"/>
  <c r="AX360" i="19"/>
  <c r="AT360" i="19"/>
  <c r="AU360" i="19" s="1"/>
  <c r="AP361" i="19" s="1"/>
  <c r="BC358" i="19"/>
  <c r="AA372" i="19"/>
  <c r="AB372" i="19" s="1"/>
  <c r="AH372" i="19" s="1"/>
  <c r="BL372" i="19"/>
  <c r="BZ372" i="19" s="1"/>
  <c r="W373" i="19"/>
  <c r="Z373" i="19"/>
  <c r="BM373" i="19" s="1"/>
  <c r="AL372" i="19"/>
  <c r="BO372" i="19" s="1"/>
  <c r="AM371" i="19"/>
  <c r="AN371" i="19" s="1"/>
  <c r="BN371" i="19"/>
  <c r="CA371" i="19" s="1"/>
  <c r="BC359" i="19" l="1"/>
  <c r="AT361" i="19"/>
  <c r="AU361" i="19" s="1"/>
  <c r="AP362" i="19" s="1"/>
  <c r="AX361" i="19"/>
  <c r="BQ360" i="19"/>
  <c r="AW360" i="19"/>
  <c r="AV360" i="19"/>
  <c r="BF358" i="19"/>
  <c r="BB358" i="19"/>
  <c r="BE358" i="19" s="1"/>
  <c r="Y373" i="19"/>
  <c r="AG373" i="19"/>
  <c r="X373" i="19"/>
  <c r="S374" i="19" s="1"/>
  <c r="AI372" i="19"/>
  <c r="AD373" i="19" s="1"/>
  <c r="AK372" i="19"/>
  <c r="AJ372" i="19"/>
  <c r="AS372" i="19"/>
  <c r="BG358" i="19" l="1"/>
  <c r="AT362" i="19"/>
  <c r="AU362" i="19" s="1"/>
  <c r="AP363" i="19" s="1"/>
  <c r="AX362" i="19"/>
  <c r="AV361" i="19"/>
  <c r="AW361" i="19"/>
  <c r="BQ361" i="19"/>
  <c r="BP360" i="19"/>
  <c r="CB360" i="19" s="1"/>
  <c r="AY360" i="19"/>
  <c r="AZ360" i="19" s="1"/>
  <c r="BF359" i="19"/>
  <c r="BB359" i="19"/>
  <c r="BE359" i="19" s="1"/>
  <c r="BL373" i="19"/>
  <c r="BZ373" i="19" s="1"/>
  <c r="AA373" i="19"/>
  <c r="AB373" i="19" s="1"/>
  <c r="AH373" i="19" s="1"/>
  <c r="W374" i="19"/>
  <c r="Z374" i="19"/>
  <c r="BM374" i="19" s="1"/>
  <c r="AL373" i="19"/>
  <c r="BO373" i="19" s="1"/>
  <c r="AM372" i="19"/>
  <c r="AN372" i="19" s="1"/>
  <c r="BN372" i="19"/>
  <c r="CA372" i="19" s="1"/>
  <c r="BG359" i="19" l="1"/>
  <c r="AT363" i="19"/>
  <c r="AU363" i="19" s="1"/>
  <c r="AP364" i="19" s="1"/>
  <c r="AX363" i="19"/>
  <c r="AW362" i="19"/>
  <c r="AV362" i="19"/>
  <c r="BQ362" i="19"/>
  <c r="AY361" i="19"/>
  <c r="AZ361" i="19" s="1"/>
  <c r="BP361" i="19"/>
  <c r="CB361" i="19" s="1"/>
  <c r="BC360" i="19"/>
  <c r="Y374" i="19"/>
  <c r="AG374" i="19"/>
  <c r="X374" i="19"/>
  <c r="S375" i="19" s="1"/>
  <c r="AI373" i="19"/>
  <c r="AD374" i="19" s="1"/>
  <c r="AS373" i="19"/>
  <c r="AJ373" i="19"/>
  <c r="AK373" i="19"/>
  <c r="AT364" i="19" l="1"/>
  <c r="AX364" i="19"/>
  <c r="AW363" i="19"/>
  <c r="AV363" i="19"/>
  <c r="BQ363" i="19"/>
  <c r="AY362" i="19"/>
  <c r="AZ362" i="19" s="1"/>
  <c r="BP362" i="19"/>
  <c r="CB362" i="19" s="1"/>
  <c r="BC361" i="19"/>
  <c r="BF360" i="19"/>
  <c r="BB360" i="19"/>
  <c r="BE360" i="19" s="1"/>
  <c r="AA374" i="19"/>
  <c r="AB374" i="19" s="1"/>
  <c r="AH374" i="19" s="1"/>
  <c r="BL374" i="19"/>
  <c r="BZ374" i="19" s="1"/>
  <c r="W375" i="19"/>
  <c r="X375" i="19" s="1"/>
  <c r="S376" i="19" s="1"/>
  <c r="Z375" i="19"/>
  <c r="BM375" i="19" s="1"/>
  <c r="AL374" i="19"/>
  <c r="BO374" i="19" s="1"/>
  <c r="AM373" i="19"/>
  <c r="AN373" i="19" s="1"/>
  <c r="BN373" i="19"/>
  <c r="CA373" i="19" s="1"/>
  <c r="BG360" i="19" l="1"/>
  <c r="AV364" i="19"/>
  <c r="AW364" i="19"/>
  <c r="AU364" i="19"/>
  <c r="AP365" i="19" s="1"/>
  <c r="BQ364" i="19"/>
  <c r="BP363" i="19"/>
  <c r="CB363" i="19" s="1"/>
  <c r="AY363" i="19"/>
  <c r="AZ363" i="19" s="1"/>
  <c r="BC362" i="19"/>
  <c r="BF361" i="19"/>
  <c r="BB361" i="19"/>
  <c r="BE361" i="19" s="1"/>
  <c r="BG361" i="19" s="1"/>
  <c r="Z376" i="19"/>
  <c r="BM376" i="19" s="1"/>
  <c r="W376" i="19"/>
  <c r="X376" i="19" s="1"/>
  <c r="S377" i="19" s="1"/>
  <c r="Y375" i="19"/>
  <c r="AG375" i="19"/>
  <c r="AI374" i="19"/>
  <c r="AD375" i="19" s="1"/>
  <c r="AS374" i="19"/>
  <c r="AJ374" i="19"/>
  <c r="AK374" i="19"/>
  <c r="BP364" i="19" l="1"/>
  <c r="CB364" i="19" s="1"/>
  <c r="AY364" i="19"/>
  <c r="AZ364" i="19" s="1"/>
  <c r="AT365" i="19"/>
  <c r="AU365" i="19" s="1"/>
  <c r="AP366" i="19" s="1"/>
  <c r="AX365" i="19"/>
  <c r="BC363" i="19"/>
  <c r="BF362" i="19"/>
  <c r="BB362" i="19"/>
  <c r="BE362" i="19" s="1"/>
  <c r="Z377" i="19"/>
  <c r="BM377" i="19" s="1"/>
  <c r="W377" i="19"/>
  <c r="X377" i="19" s="1"/>
  <c r="S378" i="19" s="1"/>
  <c r="Y376" i="19"/>
  <c r="AG376" i="19"/>
  <c r="BL375" i="19"/>
  <c r="BZ375" i="19" s="1"/>
  <c r="AA375" i="19"/>
  <c r="AB375" i="19" s="1"/>
  <c r="AH375" i="19" s="1"/>
  <c r="AL375" i="19"/>
  <c r="BO375" i="19" s="1"/>
  <c r="BN374" i="19"/>
  <c r="CA374" i="19" s="1"/>
  <c r="AM374" i="19"/>
  <c r="AN374" i="19" s="1"/>
  <c r="AX420" i="19"/>
  <c r="AX421" i="19"/>
  <c r="AX422" i="19"/>
  <c r="AX423" i="19"/>
  <c r="AX424" i="19"/>
  <c r="AT420" i="19"/>
  <c r="AT421" i="19"/>
  <c r="AT422" i="19"/>
  <c r="AT423" i="19"/>
  <c r="AT424" i="19"/>
  <c r="AT425" i="19"/>
  <c r="BG362" i="19" l="1"/>
  <c r="BF363" i="19"/>
  <c r="BB363" i="19"/>
  <c r="BE363" i="19" s="1"/>
  <c r="BC364" i="19"/>
  <c r="AT366" i="19"/>
  <c r="AX366" i="19"/>
  <c r="AW365" i="19"/>
  <c r="AV365" i="19"/>
  <c r="BQ365" i="19"/>
  <c r="AJ375" i="19"/>
  <c r="AS375" i="19"/>
  <c r="Z378" i="19"/>
  <c r="BM378" i="19" s="1"/>
  <c r="W378" i="19"/>
  <c r="Y377" i="19"/>
  <c r="AG377" i="19"/>
  <c r="AA376" i="19"/>
  <c r="AB376" i="19" s="1"/>
  <c r="AH376" i="19" s="1"/>
  <c r="AS376" i="19" s="1"/>
  <c r="BL376" i="19"/>
  <c r="BZ376" i="19" s="1"/>
  <c r="AK375" i="19"/>
  <c r="AI375" i="19"/>
  <c r="AD376" i="19" s="1"/>
  <c r="AX451" i="19"/>
  <c r="AT451" i="19"/>
  <c r="AV420" i="19"/>
  <c r="AV421" i="19"/>
  <c r="AV422" i="19"/>
  <c r="AV423" i="19"/>
  <c r="AV424" i="19"/>
  <c r="AV425" i="19"/>
  <c r="AW420" i="19"/>
  <c r="AW421" i="19"/>
  <c r="AW422" i="19"/>
  <c r="AW423" i="19"/>
  <c r="AW424" i="19"/>
  <c r="BQ420" i="19"/>
  <c r="BQ421" i="19"/>
  <c r="BQ422" i="19"/>
  <c r="BQ423" i="19"/>
  <c r="BQ424" i="19"/>
  <c r="BG363" i="19" l="1"/>
  <c r="AW366" i="19"/>
  <c r="AV366" i="19"/>
  <c r="AU366" i="19"/>
  <c r="AP367" i="19" s="1"/>
  <c r="BQ366" i="19"/>
  <c r="BP365" i="19"/>
  <c r="CB365" i="19" s="1"/>
  <c r="AY365" i="19"/>
  <c r="AZ365" i="19" s="1"/>
  <c r="BF364" i="19"/>
  <c r="BB364" i="19"/>
  <c r="BE364" i="19" s="1"/>
  <c r="AK376" i="19"/>
  <c r="BN376" i="19" s="1"/>
  <c r="AJ376" i="19"/>
  <c r="AG378" i="19"/>
  <c r="Y378" i="19"/>
  <c r="X378" i="19"/>
  <c r="S379" i="19" s="1"/>
  <c r="BL377" i="19"/>
  <c r="BZ377" i="19" s="1"/>
  <c r="AA377" i="19"/>
  <c r="AB377" i="19" s="1"/>
  <c r="AH377" i="19" s="1"/>
  <c r="AM375" i="19"/>
  <c r="AN375" i="19" s="1"/>
  <c r="BN375" i="19"/>
  <c r="CA375" i="19" s="1"/>
  <c r="AL376" i="19"/>
  <c r="AI376" i="19"/>
  <c r="AD377" i="19" s="1"/>
  <c r="AW451" i="19"/>
  <c r="BP420" i="19"/>
  <c r="BP421" i="19"/>
  <c r="BP422" i="19"/>
  <c r="BP423" i="19"/>
  <c r="BP424" i="19"/>
  <c r="AV451" i="19"/>
  <c r="AY420" i="19"/>
  <c r="AY421" i="19"/>
  <c r="AY422" i="19"/>
  <c r="AY423" i="19"/>
  <c r="AY424" i="19"/>
  <c r="BQ451" i="19"/>
  <c r="BG364" i="19" l="1"/>
  <c r="AY366" i="19"/>
  <c r="AZ366" i="19" s="1"/>
  <c r="BP366" i="19"/>
  <c r="CB366" i="19" s="1"/>
  <c r="AT367" i="19"/>
  <c r="AU367" i="19" s="1"/>
  <c r="AP368" i="19" s="1"/>
  <c r="AX367" i="19"/>
  <c r="BC365" i="19"/>
  <c r="BL378" i="19"/>
  <c r="BZ378" i="19" s="1"/>
  <c r="AA378" i="19"/>
  <c r="AB378" i="19" s="1"/>
  <c r="AH378" i="19" s="1"/>
  <c r="Z379" i="19"/>
  <c r="BM379" i="19" s="1"/>
  <c r="W379" i="19"/>
  <c r="X379" i="19" s="1"/>
  <c r="S380" i="19" s="1"/>
  <c r="AI377" i="19"/>
  <c r="AD378" i="19" s="1"/>
  <c r="AL377" i="19"/>
  <c r="BO377" i="19" s="1"/>
  <c r="AK377" i="19"/>
  <c r="AJ377" i="19"/>
  <c r="AS377" i="19"/>
  <c r="BO376" i="19"/>
  <c r="CA376" i="19" s="1"/>
  <c r="AM376" i="19"/>
  <c r="AN376" i="19" s="1"/>
  <c r="AY451" i="19"/>
  <c r="AZ420" i="19"/>
  <c r="AZ421" i="19"/>
  <c r="AZ422" i="19"/>
  <c r="AZ423" i="19"/>
  <c r="AZ424" i="19"/>
  <c r="BP451" i="19"/>
  <c r="CB420" i="19"/>
  <c r="CB421" i="19"/>
  <c r="CB422" i="19"/>
  <c r="CB423" i="19"/>
  <c r="CB424" i="19"/>
  <c r="CB425" i="19"/>
  <c r="BC366" i="19" l="1"/>
  <c r="AT368" i="19"/>
  <c r="AU368" i="19" s="1"/>
  <c r="AP369" i="19" s="1"/>
  <c r="AX368" i="19"/>
  <c r="AW367" i="19"/>
  <c r="AV367" i="19"/>
  <c r="BQ367" i="19"/>
  <c r="BF365" i="19"/>
  <c r="BB365" i="19"/>
  <c r="BE365" i="19" s="1"/>
  <c r="W380" i="19"/>
  <c r="X380" i="19" s="1"/>
  <c r="S381" i="19" s="1"/>
  <c r="Z380" i="19"/>
  <c r="BM380" i="19" s="1"/>
  <c r="Y379" i="19"/>
  <c r="AG379" i="19"/>
  <c r="AI378" i="19"/>
  <c r="AD379" i="19" s="1"/>
  <c r="AL378" i="19"/>
  <c r="BO378" i="19" s="1"/>
  <c r="AM377" i="19"/>
  <c r="AN377" i="19" s="1"/>
  <c r="BN377" i="19"/>
  <c r="CA377" i="19" s="1"/>
  <c r="AJ378" i="19"/>
  <c r="AS378" i="19"/>
  <c r="AK378" i="19"/>
  <c r="AZ451" i="19"/>
  <c r="CB451" i="19"/>
  <c r="BC420" i="19"/>
  <c r="BC421" i="19"/>
  <c r="BC422" i="19"/>
  <c r="BC423" i="19"/>
  <c r="BC424" i="19"/>
  <c r="BG365" i="19" l="1"/>
  <c r="AT369" i="19"/>
  <c r="AU369" i="19" s="1"/>
  <c r="AP370" i="19" s="1"/>
  <c r="AX369" i="19"/>
  <c r="BQ369" i="19" s="1"/>
  <c r="AW368" i="19"/>
  <c r="AV368" i="19"/>
  <c r="BQ368" i="19"/>
  <c r="AY367" i="19"/>
  <c r="AZ367" i="19" s="1"/>
  <c r="BP367" i="19"/>
  <c r="CB367" i="19" s="1"/>
  <c r="BF366" i="19"/>
  <c r="BB366" i="19"/>
  <c r="BE366" i="19" s="1"/>
  <c r="Z381" i="19"/>
  <c r="BM381" i="19" s="1"/>
  <c r="W381" i="19"/>
  <c r="X381" i="19" s="1"/>
  <c r="S382" i="19" s="1"/>
  <c r="Y380" i="19"/>
  <c r="AG380" i="19"/>
  <c r="AA379" i="19"/>
  <c r="AB379" i="19" s="1"/>
  <c r="AH379" i="19" s="1"/>
  <c r="BL379" i="19"/>
  <c r="BZ379" i="19" s="1"/>
  <c r="AL379" i="19"/>
  <c r="BO379" i="19" s="1"/>
  <c r="AM378" i="19"/>
  <c r="AN378" i="19" s="1"/>
  <c r="BN378" i="19"/>
  <c r="CA378" i="19" s="1"/>
  <c r="BC451" i="19"/>
  <c r="BB420" i="19"/>
  <c r="BB421" i="19"/>
  <c r="BB422" i="19"/>
  <c r="BB423" i="19"/>
  <c r="BB424" i="19"/>
  <c r="BF420" i="19"/>
  <c r="BF421" i="19"/>
  <c r="BF422" i="19"/>
  <c r="BF423" i="19"/>
  <c r="BF424" i="19"/>
  <c r="BF425" i="19"/>
  <c r="BG366" i="19" l="1"/>
  <c r="AT370" i="19"/>
  <c r="AU370" i="19" s="1"/>
  <c r="AP371" i="19" s="1"/>
  <c r="AX370" i="19"/>
  <c r="BQ370" i="19" s="1"/>
  <c r="AV369" i="19"/>
  <c r="AW369" i="19"/>
  <c r="BP368" i="19"/>
  <c r="CB368" i="19" s="1"/>
  <c r="AY368" i="19"/>
  <c r="AZ368" i="19" s="1"/>
  <c r="BC367" i="19"/>
  <c r="AJ379" i="19"/>
  <c r="AI379" i="19"/>
  <c r="AD380" i="19" s="1"/>
  <c r="AL380" i="19" s="1"/>
  <c r="BO380" i="19" s="1"/>
  <c r="AK379" i="19"/>
  <c r="AS379" i="19"/>
  <c r="Z382" i="19"/>
  <c r="BM382" i="19" s="1"/>
  <c r="W382" i="19"/>
  <c r="Y381" i="19"/>
  <c r="AG381" i="19"/>
  <c r="AA380" i="19"/>
  <c r="AB380" i="19" s="1"/>
  <c r="AH380" i="19" s="1"/>
  <c r="BL380" i="19"/>
  <c r="BZ380" i="19" s="1"/>
  <c r="BB451" i="19"/>
  <c r="BF451" i="19"/>
  <c r="BE420" i="19"/>
  <c r="BE421" i="19"/>
  <c r="BE422" i="19"/>
  <c r="BE423" i="19"/>
  <c r="BE424" i="19"/>
  <c r="AX371" i="19" l="1"/>
  <c r="BQ371" i="19" s="1"/>
  <c r="AT371" i="19"/>
  <c r="AW370" i="19"/>
  <c r="AV370" i="19"/>
  <c r="AY369" i="19"/>
  <c r="AZ369" i="19" s="1"/>
  <c r="BP369" i="19"/>
  <c r="CB369" i="19" s="1"/>
  <c r="BC368" i="19"/>
  <c r="BF367" i="19"/>
  <c r="BB367" i="19"/>
  <c r="BE367" i="19" s="1"/>
  <c r="AJ380" i="19"/>
  <c r="AS380" i="19"/>
  <c r="BN379" i="19"/>
  <c r="CA379" i="19" s="1"/>
  <c r="AM379" i="19"/>
  <c r="AN379" i="19" s="1"/>
  <c r="X382" i="19"/>
  <c r="S383" i="19" s="1"/>
  <c r="Y382" i="19"/>
  <c r="AG382" i="19"/>
  <c r="BL381" i="19"/>
  <c r="BZ381" i="19" s="1"/>
  <c r="AA381" i="19"/>
  <c r="AB381" i="19" s="1"/>
  <c r="AH381" i="19" s="1"/>
  <c r="AI380" i="19"/>
  <c r="AD381" i="19" s="1"/>
  <c r="AK380" i="19"/>
  <c r="BE451" i="19"/>
  <c r="BG420" i="19"/>
  <c r="BG421" i="19"/>
  <c r="BG422" i="19"/>
  <c r="BG423" i="19"/>
  <c r="BG424" i="19"/>
  <c r="BG367" i="19" l="1"/>
  <c r="BF368" i="19"/>
  <c r="BB368" i="19"/>
  <c r="BE368" i="19" s="1"/>
  <c r="AW371" i="19"/>
  <c r="AV371" i="19"/>
  <c r="AU371" i="19"/>
  <c r="AP372" i="19" s="1"/>
  <c r="AY370" i="19"/>
  <c r="AZ370" i="19" s="1"/>
  <c r="BP370" i="19"/>
  <c r="CB370" i="19" s="1"/>
  <c r="BC369" i="19"/>
  <c r="AK381" i="19"/>
  <c r="BN381" i="19" s="1"/>
  <c r="AJ381" i="19"/>
  <c r="AS381" i="19"/>
  <c r="Z383" i="19"/>
  <c r="BM383" i="19" s="1"/>
  <c r="W383" i="19"/>
  <c r="BL382" i="19"/>
  <c r="BZ382" i="19" s="1"/>
  <c r="AA382" i="19"/>
  <c r="AB382" i="19" s="1"/>
  <c r="AH382" i="19" s="1"/>
  <c r="AL381" i="19"/>
  <c r="AI381" i="19"/>
  <c r="AD382" i="19" s="1"/>
  <c r="AM380" i="19"/>
  <c r="AN380" i="19" s="1"/>
  <c r="BN380" i="19"/>
  <c r="CA380" i="19" s="1"/>
  <c r="BG451" i="19"/>
  <c r="BG368" i="19" l="1"/>
  <c r="BF369" i="19"/>
  <c r="BB369" i="19"/>
  <c r="BE369" i="19" s="1"/>
  <c r="AY371" i="19"/>
  <c r="AZ371" i="19" s="1"/>
  <c r="BC371" i="19" s="1"/>
  <c r="BP371" i="19"/>
  <c r="CB371" i="19" s="1"/>
  <c r="AT372" i="19"/>
  <c r="AU372" i="19" s="1"/>
  <c r="AP373" i="19" s="1"/>
  <c r="AX372" i="19"/>
  <c r="BQ372" i="19" s="1"/>
  <c r="BC370" i="19"/>
  <c r="AK382" i="19"/>
  <c r="AJ382" i="19"/>
  <c r="AS382" i="19"/>
  <c r="X383" i="19"/>
  <c r="S384" i="19" s="1"/>
  <c r="Y383" i="19"/>
  <c r="AG383" i="19"/>
  <c r="AI382" i="19"/>
  <c r="AD383" i="19" s="1"/>
  <c r="AL382" i="19"/>
  <c r="BO382" i="19" s="1"/>
  <c r="BO381" i="19"/>
  <c r="CA381" i="19" s="1"/>
  <c r="AM381" i="19"/>
  <c r="AN381" i="19" s="1"/>
  <c r="BG369" i="19" l="1"/>
  <c r="BB371" i="19"/>
  <c r="BE371" i="19" s="1"/>
  <c r="BF371" i="19"/>
  <c r="AX373" i="19"/>
  <c r="BQ373" i="19" s="1"/>
  <c r="AT373" i="19"/>
  <c r="AV372" i="19"/>
  <c r="AW372" i="19"/>
  <c r="BF370" i="19"/>
  <c r="BB370" i="19"/>
  <c r="BE370" i="19" s="1"/>
  <c r="BG370" i="19" s="1"/>
  <c r="BN382" i="19"/>
  <c r="CA382" i="19" s="1"/>
  <c r="AM382" i="19"/>
  <c r="AN382" i="19" s="1"/>
  <c r="W384" i="19"/>
  <c r="Z384" i="19"/>
  <c r="BM384" i="19" s="1"/>
  <c r="AA383" i="19"/>
  <c r="AB383" i="19" s="1"/>
  <c r="AH383" i="19" s="1"/>
  <c r="AI383" i="19" s="1"/>
  <c r="AD384" i="19" s="1"/>
  <c r="AL384" i="19" s="1"/>
  <c r="BL383" i="19"/>
  <c r="BZ383" i="19" s="1"/>
  <c r="AL383" i="19"/>
  <c r="BO383" i="19" s="1"/>
  <c r="BG371" i="19" l="1"/>
  <c r="AW373" i="19"/>
  <c r="AV373" i="19"/>
  <c r="AU373" i="19"/>
  <c r="AP374" i="19" s="1"/>
  <c r="BP372" i="19"/>
  <c r="CB372" i="19" s="1"/>
  <c r="AY372" i="19"/>
  <c r="AZ372" i="19" s="1"/>
  <c r="BO384" i="19"/>
  <c r="X384" i="19"/>
  <c r="S385" i="19" s="1"/>
  <c r="AG384" i="19"/>
  <c r="Y384" i="19"/>
  <c r="AK383" i="19"/>
  <c r="AJ383" i="19"/>
  <c r="AS383" i="19"/>
  <c r="AY373" i="19" l="1"/>
  <c r="AZ373" i="19" s="1"/>
  <c r="BP373" i="19"/>
  <c r="CB373" i="19" s="1"/>
  <c r="AX374" i="19"/>
  <c r="BQ374" i="19" s="1"/>
  <c r="AT374" i="19"/>
  <c r="BC372" i="19"/>
  <c r="W385" i="19"/>
  <c r="Z385" i="19"/>
  <c r="BM385" i="19" s="1"/>
  <c r="BL384" i="19"/>
  <c r="BZ384" i="19" s="1"/>
  <c r="AA384" i="19"/>
  <c r="AB384" i="19" s="1"/>
  <c r="AH384" i="19" s="1"/>
  <c r="AM383" i="19"/>
  <c r="AN383" i="19" s="1"/>
  <c r="BN383" i="19"/>
  <c r="CA383" i="19" s="1"/>
  <c r="BC373" i="19" l="1"/>
  <c r="AW374" i="19"/>
  <c r="AV374" i="19"/>
  <c r="AU374" i="19"/>
  <c r="AP375" i="19" s="1"/>
  <c r="BF372" i="19"/>
  <c r="BB372" i="19"/>
  <c r="BE372" i="19" s="1"/>
  <c r="BG372" i="19" s="1"/>
  <c r="X385" i="19"/>
  <c r="S386" i="19" s="1"/>
  <c r="AG385" i="19"/>
  <c r="Y385" i="19"/>
  <c r="AK384" i="19"/>
  <c r="AI384" i="19"/>
  <c r="AD385" i="19" s="1"/>
  <c r="AS384" i="19"/>
  <c r="AJ384" i="19"/>
  <c r="BF373" i="19" l="1"/>
  <c r="BB373" i="19"/>
  <c r="BE373" i="19" s="1"/>
  <c r="BP374" i="19"/>
  <c r="CB374" i="19" s="1"/>
  <c r="AY374" i="19"/>
  <c r="AZ374" i="19" s="1"/>
  <c r="AT375" i="19"/>
  <c r="AU375" i="19" s="1"/>
  <c r="AP376" i="19" s="1"/>
  <c r="AX375" i="19"/>
  <c r="Z386" i="19"/>
  <c r="BM386" i="19" s="1"/>
  <c r="W386" i="19"/>
  <c r="BL385" i="19"/>
  <c r="BZ385" i="19" s="1"/>
  <c r="AA385" i="19"/>
  <c r="AB385" i="19" s="1"/>
  <c r="AH385" i="19" s="1"/>
  <c r="BN384" i="19"/>
  <c r="CA384" i="19" s="1"/>
  <c r="AM384" i="19"/>
  <c r="AN384" i="19" s="1"/>
  <c r="AL385" i="19"/>
  <c r="BO385" i="19" s="1"/>
  <c r="BG373" i="19" l="1"/>
  <c r="BC374" i="19"/>
  <c r="AT376" i="19"/>
  <c r="AX376" i="19"/>
  <c r="BQ376" i="19" s="1"/>
  <c r="AV375" i="19"/>
  <c r="AW375" i="19"/>
  <c r="BQ375" i="19"/>
  <c r="Y386" i="19"/>
  <c r="AG386" i="19"/>
  <c r="X386" i="19"/>
  <c r="S387" i="19" s="1"/>
  <c r="AK385" i="19"/>
  <c r="AJ385" i="19"/>
  <c r="AS385" i="19"/>
  <c r="AI385" i="19"/>
  <c r="AD386" i="19" s="1"/>
  <c r="BF374" i="19" l="1"/>
  <c r="BB374" i="19"/>
  <c r="BE374" i="19" s="1"/>
  <c r="AW376" i="19"/>
  <c r="AV376" i="19"/>
  <c r="AU376" i="19"/>
  <c r="AP377" i="19" s="1"/>
  <c r="BP375" i="19"/>
  <c r="CB375" i="19" s="1"/>
  <c r="AY375" i="19"/>
  <c r="AZ375" i="19" s="1"/>
  <c r="BL386" i="19"/>
  <c r="BZ386" i="19" s="1"/>
  <c r="AA386" i="19"/>
  <c r="AB386" i="19" s="1"/>
  <c r="AH386" i="19" s="1"/>
  <c r="Z387" i="19"/>
  <c r="BM387" i="19" s="1"/>
  <c r="W387" i="19"/>
  <c r="AM385" i="19"/>
  <c r="AN385" i="19" s="1"/>
  <c r="BN385" i="19"/>
  <c r="CA385" i="19" s="1"/>
  <c r="AL386" i="19"/>
  <c r="BO386" i="19" s="1"/>
  <c r="BG374" i="19" l="1"/>
  <c r="BP376" i="19"/>
  <c r="CB376" i="19" s="1"/>
  <c r="AY376" i="19"/>
  <c r="AZ376" i="19" s="1"/>
  <c r="AT377" i="19"/>
  <c r="AX377" i="19"/>
  <c r="BC375" i="19"/>
  <c r="AK386" i="19"/>
  <c r="AI386" i="19"/>
  <c r="AD387" i="19" s="1"/>
  <c r="AL387" i="19" s="1"/>
  <c r="BO387" i="19" s="1"/>
  <c r="AJ386" i="19"/>
  <c r="AS386" i="19"/>
  <c r="AG387" i="19"/>
  <c r="Y387" i="19"/>
  <c r="X387" i="19"/>
  <c r="S388" i="19" s="1"/>
  <c r="BF375" i="19" l="1"/>
  <c r="BB375" i="19"/>
  <c r="BE375" i="19" s="1"/>
  <c r="BC376" i="19"/>
  <c r="AV377" i="19"/>
  <c r="AW377" i="19"/>
  <c r="AU377" i="19"/>
  <c r="AP378" i="19" s="1"/>
  <c r="BQ377" i="19"/>
  <c r="BN386" i="19"/>
  <c r="CA386" i="19" s="1"/>
  <c r="AM386" i="19"/>
  <c r="AN386" i="19" s="1"/>
  <c r="AA387" i="19"/>
  <c r="AB387" i="19" s="1"/>
  <c r="AH387" i="19" s="1"/>
  <c r="BL387" i="19"/>
  <c r="BZ387" i="19" s="1"/>
  <c r="Z388" i="19"/>
  <c r="BM388" i="19" s="1"/>
  <c r="W388" i="19"/>
  <c r="BG375" i="19" l="1"/>
  <c r="BF376" i="19"/>
  <c r="BB376" i="19"/>
  <c r="BE376" i="19" s="1"/>
  <c r="BP377" i="19"/>
  <c r="CB377" i="19" s="1"/>
  <c r="AY377" i="19"/>
  <c r="AZ377" i="19" s="1"/>
  <c r="AT378" i="19"/>
  <c r="AU378" i="19" s="1"/>
  <c r="AP379" i="19" s="1"/>
  <c r="AX378" i="19"/>
  <c r="Y388" i="19"/>
  <c r="AG388" i="19"/>
  <c r="X388" i="19"/>
  <c r="S389" i="19" s="1"/>
  <c r="AI387" i="19"/>
  <c r="AD388" i="19" s="1"/>
  <c r="AK387" i="19"/>
  <c r="AS387" i="19"/>
  <c r="AJ387" i="19"/>
  <c r="BG376" i="19" l="1"/>
  <c r="BC377" i="19"/>
  <c r="AT379" i="19"/>
  <c r="AU379" i="19" s="1"/>
  <c r="AP380" i="19" s="1"/>
  <c r="AX379" i="19"/>
  <c r="BQ379" i="19" s="1"/>
  <c r="AV378" i="19"/>
  <c r="AW378" i="19"/>
  <c r="BQ378" i="19"/>
  <c r="AA388" i="19"/>
  <c r="AB388" i="19" s="1"/>
  <c r="AH388" i="19" s="1"/>
  <c r="BL388" i="19"/>
  <c r="BZ388" i="19" s="1"/>
  <c r="Z389" i="19"/>
  <c r="BM389" i="19" s="1"/>
  <c r="W389" i="19"/>
  <c r="X389" i="19" s="1"/>
  <c r="S390" i="19" s="1"/>
  <c r="AL388" i="19"/>
  <c r="BO388" i="19" s="1"/>
  <c r="BN387" i="19"/>
  <c r="CA387" i="19" s="1"/>
  <c r="AM387" i="19"/>
  <c r="AN387" i="19" s="1"/>
  <c r="BF377" i="19" l="1"/>
  <c r="BB377" i="19"/>
  <c r="BE377" i="19" s="1"/>
  <c r="AT380" i="19"/>
  <c r="AX380" i="19"/>
  <c r="BQ380" i="19" s="1"/>
  <c r="AW379" i="19"/>
  <c r="AV379" i="19"/>
  <c r="BP378" i="19"/>
  <c r="CB378" i="19" s="1"/>
  <c r="AY378" i="19"/>
  <c r="AZ378" i="19" s="1"/>
  <c r="AS388" i="19"/>
  <c r="AJ388" i="19"/>
  <c r="AK388" i="19"/>
  <c r="AI388" i="19"/>
  <c r="AD389" i="19" s="1"/>
  <c r="AL389" i="19" s="1"/>
  <c r="BO389" i="19" s="1"/>
  <c r="Z390" i="19"/>
  <c r="BM390" i="19" s="1"/>
  <c r="W390" i="19"/>
  <c r="X390" i="19" s="1"/>
  <c r="S391" i="19" s="1"/>
  <c r="Y389" i="19"/>
  <c r="AG389" i="19"/>
  <c r="BG377" i="19" l="1"/>
  <c r="AW380" i="19"/>
  <c r="AV380" i="19"/>
  <c r="AU380" i="19"/>
  <c r="AP381" i="19" s="1"/>
  <c r="BP379" i="19"/>
  <c r="CB379" i="19" s="1"/>
  <c r="AY379" i="19"/>
  <c r="AZ379" i="19" s="1"/>
  <c r="BC378" i="19"/>
  <c r="AM388" i="19"/>
  <c r="AN388" i="19" s="1"/>
  <c r="BN388" i="19"/>
  <c r="CA388" i="19" s="1"/>
  <c r="Z391" i="19"/>
  <c r="BM391" i="19" s="1"/>
  <c r="W391" i="19"/>
  <c r="X391" i="19" s="1"/>
  <c r="S392" i="19" s="1"/>
  <c r="AG390" i="19"/>
  <c r="Y390" i="19"/>
  <c r="BL389" i="19"/>
  <c r="BZ389" i="19" s="1"/>
  <c r="AA389" i="19"/>
  <c r="AB389" i="19" s="1"/>
  <c r="AH389" i="19" s="1"/>
  <c r="BF378" i="19" l="1"/>
  <c r="BB378" i="19"/>
  <c r="BE378" i="19" s="1"/>
  <c r="BP380" i="19"/>
  <c r="CB380" i="19" s="1"/>
  <c r="AY380" i="19"/>
  <c r="AZ380" i="19" s="1"/>
  <c r="AT381" i="19"/>
  <c r="AX381" i="19"/>
  <c r="BC379" i="19"/>
  <c r="AJ389" i="19"/>
  <c r="AS389" i="19"/>
  <c r="Z392" i="19"/>
  <c r="BM392" i="19" s="1"/>
  <c r="W392" i="19"/>
  <c r="Y391" i="19"/>
  <c r="AG391" i="19"/>
  <c r="AA390" i="19"/>
  <c r="AB390" i="19" s="1"/>
  <c r="AH390" i="19" s="1"/>
  <c r="BL390" i="19"/>
  <c r="BZ390" i="19" s="1"/>
  <c r="AI389" i="19"/>
  <c r="AD390" i="19" s="1"/>
  <c r="AL390" i="19" s="1"/>
  <c r="BO390" i="19" s="1"/>
  <c r="AK389" i="19"/>
  <c r="BG378" i="19" l="1"/>
  <c r="BC380" i="19"/>
  <c r="AW381" i="19"/>
  <c r="AV381" i="19"/>
  <c r="AU381" i="19"/>
  <c r="AP382" i="19" s="1"/>
  <c r="BQ381" i="19"/>
  <c r="BF379" i="19"/>
  <c r="BB379" i="19"/>
  <c r="BE379" i="19" s="1"/>
  <c r="AG392" i="19"/>
  <c r="Y392" i="19"/>
  <c r="X392" i="19"/>
  <c r="S393" i="19" s="1"/>
  <c r="BL391" i="19"/>
  <c r="BZ391" i="19" s="1"/>
  <c r="AA391" i="19"/>
  <c r="AB391" i="19" s="1"/>
  <c r="AH391" i="19" s="1"/>
  <c r="BN389" i="19"/>
  <c r="CA389" i="19" s="1"/>
  <c r="AM389" i="19"/>
  <c r="AN389" i="19" s="1"/>
  <c r="AI390" i="19"/>
  <c r="AD391" i="19" s="1"/>
  <c r="AS390" i="19"/>
  <c r="AJ390" i="19"/>
  <c r="AK390" i="19"/>
  <c r="BG379" i="19" l="1"/>
  <c r="BP381" i="19"/>
  <c r="CB381" i="19" s="1"/>
  <c r="AY381" i="19"/>
  <c r="AZ381" i="19" s="1"/>
  <c r="AT382" i="19"/>
  <c r="AX382" i="19"/>
  <c r="BF380" i="19"/>
  <c r="BB380" i="19"/>
  <c r="BE380" i="19" s="1"/>
  <c r="BL392" i="19"/>
  <c r="BZ392" i="19" s="1"/>
  <c r="AA392" i="19"/>
  <c r="AB392" i="19" s="1"/>
  <c r="AH392" i="19" s="1"/>
  <c r="W393" i="19"/>
  <c r="X393" i="19" s="1"/>
  <c r="S394" i="19" s="1"/>
  <c r="Z393" i="19"/>
  <c r="BM393" i="19" s="1"/>
  <c r="AL391" i="19"/>
  <c r="BO391" i="19" s="1"/>
  <c r="AI391" i="19"/>
  <c r="AD392" i="19" s="1"/>
  <c r="AM390" i="19"/>
  <c r="AN390" i="19" s="1"/>
  <c r="BN390" i="19"/>
  <c r="CA390" i="19" s="1"/>
  <c r="AK391" i="19"/>
  <c r="AS391" i="19"/>
  <c r="AJ391" i="19"/>
  <c r="BG380" i="19" l="1"/>
  <c r="BC381" i="19"/>
  <c r="AW382" i="19"/>
  <c r="AV382" i="19"/>
  <c r="AU382" i="19"/>
  <c r="AP383" i="19" s="1"/>
  <c r="BQ382" i="19"/>
  <c r="AK392" i="19"/>
  <c r="AJ392" i="19"/>
  <c r="AS392" i="19"/>
  <c r="W394" i="19"/>
  <c r="Z394" i="19"/>
  <c r="BM394" i="19" s="1"/>
  <c r="Y393" i="19"/>
  <c r="AG393" i="19"/>
  <c r="AI392" i="19"/>
  <c r="AD393" i="19" s="1"/>
  <c r="AL392" i="19"/>
  <c r="BO392" i="19" s="1"/>
  <c r="AM391" i="19"/>
  <c r="AN391" i="19" s="1"/>
  <c r="BN391" i="19"/>
  <c r="CA391" i="19" s="1"/>
  <c r="X421" i="19" a="1"/>
  <c r="X421" i="19" s="1"/>
  <c r="X422" i="19" a="1"/>
  <c r="X422" i="19" s="1"/>
  <c r="X423" i="19" a="1"/>
  <c r="X423" i="19" s="1"/>
  <c r="X424" i="19" a="1"/>
  <c r="X424" i="19" s="1"/>
  <c r="X425" i="19" a="1"/>
  <c r="X425" i="19" s="1"/>
  <c r="BP382" i="19" l="1"/>
  <c r="CB382" i="19" s="1"/>
  <c r="AY382" i="19"/>
  <c r="AZ382" i="19" s="1"/>
  <c r="AT383" i="19"/>
  <c r="AX383" i="19"/>
  <c r="BF381" i="19"/>
  <c r="BB381" i="19"/>
  <c r="BE381" i="19" s="1"/>
  <c r="AM392" i="19"/>
  <c r="AN392" i="19" s="1"/>
  <c r="BN392" i="19"/>
  <c r="CA392" i="19" s="1"/>
  <c r="X394" i="19"/>
  <c r="S395" i="19" s="1"/>
  <c r="AG394" i="19"/>
  <c r="Y394" i="19"/>
  <c r="AA393" i="19"/>
  <c r="AB393" i="19" s="1"/>
  <c r="AH393" i="19" s="1"/>
  <c r="BL393" i="19"/>
  <c r="BZ393" i="19" s="1"/>
  <c r="AL393" i="19"/>
  <c r="BO393" i="19" s="1"/>
  <c r="BG381" i="19" l="1"/>
  <c r="BC382" i="19"/>
  <c r="AV383" i="19"/>
  <c r="AW383" i="19"/>
  <c r="AU383" i="19"/>
  <c r="AP384" i="19" s="1"/>
  <c r="BQ383" i="19"/>
  <c r="AK393" i="19"/>
  <c r="AS393" i="19"/>
  <c r="AJ393" i="19"/>
  <c r="AI393" i="19"/>
  <c r="AD394" i="19" s="1"/>
  <c r="AL394" i="19" s="1"/>
  <c r="BO394" i="19" s="1"/>
  <c r="Z395" i="19"/>
  <c r="BM395" i="19" s="1"/>
  <c r="W395" i="19"/>
  <c r="BL394" i="19"/>
  <c r="BZ394" i="19" s="1"/>
  <c r="AA394" i="19"/>
  <c r="AB394" i="19" s="1"/>
  <c r="AH394" i="19" s="1"/>
  <c r="X426" i="19" a="1"/>
  <c r="X426" i="19" s="1"/>
  <c r="AY383" i="19" l="1"/>
  <c r="AZ383" i="19" s="1"/>
  <c r="BP383" i="19"/>
  <c r="CB383" i="19" s="1"/>
  <c r="AX384" i="19"/>
  <c r="AT384" i="19"/>
  <c r="AU384" i="19" s="1"/>
  <c r="AP385" i="19" s="1"/>
  <c r="BF382" i="19"/>
  <c r="BB382" i="19"/>
  <c r="BE382" i="19" s="1"/>
  <c r="BG382" i="19" s="1"/>
  <c r="AI394" i="19"/>
  <c r="AD395" i="19" s="1"/>
  <c r="AL395" i="19" s="1"/>
  <c r="BO395" i="19" s="1"/>
  <c r="BN393" i="19"/>
  <c r="CA393" i="19" s="1"/>
  <c r="AM393" i="19"/>
  <c r="AN393" i="19" s="1"/>
  <c r="X395" i="19"/>
  <c r="S396" i="19" s="1"/>
  <c r="Y395" i="19"/>
  <c r="AG395" i="19"/>
  <c r="AK394" i="19"/>
  <c r="AJ394" i="19"/>
  <c r="AS394" i="19"/>
  <c r="BC383" i="19" l="1"/>
  <c r="AX385" i="19"/>
  <c r="AT385" i="19"/>
  <c r="AU385" i="19" s="1"/>
  <c r="AP386" i="19" s="1"/>
  <c r="BQ384" i="19"/>
  <c r="AW384" i="19"/>
  <c r="AV384" i="19"/>
  <c r="W396" i="19"/>
  <c r="Z396" i="19"/>
  <c r="BM396" i="19" s="1"/>
  <c r="AA395" i="19"/>
  <c r="AB395" i="19" s="1"/>
  <c r="AH395" i="19" s="1"/>
  <c r="BL395" i="19"/>
  <c r="BZ395" i="19" s="1"/>
  <c r="BN394" i="19"/>
  <c r="CA394" i="19" s="1"/>
  <c r="AM394" i="19"/>
  <c r="AN394" i="19" s="1"/>
  <c r="AX386" i="19" l="1"/>
  <c r="AT386" i="19"/>
  <c r="AU386" i="19" s="1"/>
  <c r="AP387" i="19" s="1"/>
  <c r="BQ385" i="19"/>
  <c r="AW385" i="19"/>
  <c r="AV385" i="19"/>
  <c r="AY384" i="19"/>
  <c r="AZ384" i="19" s="1"/>
  <c r="BP384" i="19"/>
  <c r="CB384" i="19" s="1"/>
  <c r="BF383" i="19"/>
  <c r="BB383" i="19"/>
  <c r="BE383" i="19" s="1"/>
  <c r="BG383" i="19" s="1"/>
  <c r="AS395" i="19"/>
  <c r="AJ395" i="19"/>
  <c r="AG396" i="19"/>
  <c r="Y396" i="19"/>
  <c r="X396" i="19"/>
  <c r="S397" i="19" s="1"/>
  <c r="AK395" i="19"/>
  <c r="AI395" i="19"/>
  <c r="AD396" i="19" s="1"/>
  <c r="AL396" i="19" s="1"/>
  <c r="BO396" i="19" s="1"/>
  <c r="AI421" i="19" a="1"/>
  <c r="AI421" i="19" s="1"/>
  <c r="AI422" i="19" a="1"/>
  <c r="AI422" i="19" s="1"/>
  <c r="AI423" i="19" a="1"/>
  <c r="AI423" i="19" s="1"/>
  <c r="AI424" i="19" a="1"/>
  <c r="AI424" i="19" s="1"/>
  <c r="AI425" i="19" a="1"/>
  <c r="AI425" i="19" s="1"/>
  <c r="AT387" i="19" l="1"/>
  <c r="AU387" i="19" s="1"/>
  <c r="AP388" i="19" s="1"/>
  <c r="AX387" i="19"/>
  <c r="BQ386" i="19"/>
  <c r="AV386" i="19"/>
  <c r="AW386" i="19"/>
  <c r="BP385" i="19"/>
  <c r="CB385" i="19" s="1"/>
  <c r="AY385" i="19"/>
  <c r="AZ385" i="19" s="1"/>
  <c r="BC384" i="19"/>
  <c r="BL396" i="19"/>
  <c r="BZ396" i="19" s="1"/>
  <c r="AA396" i="19"/>
  <c r="AB396" i="19" s="1"/>
  <c r="AH396" i="19" s="1"/>
  <c r="Z397" i="19"/>
  <c r="BM397" i="19" s="1"/>
  <c r="W397" i="19"/>
  <c r="AM395" i="19"/>
  <c r="AN395" i="19" s="1"/>
  <c r="BN395" i="19"/>
  <c r="CA395" i="19" s="1"/>
  <c r="AT388" i="19" l="1"/>
  <c r="AU388" i="19" s="1"/>
  <c r="AP389" i="19" s="1"/>
  <c r="AX388" i="19"/>
  <c r="BQ388" i="19" s="1"/>
  <c r="AV387" i="19"/>
  <c r="AW387" i="19"/>
  <c r="AY386" i="19"/>
  <c r="AZ386" i="19" s="1"/>
  <c r="BP386" i="19"/>
  <c r="CB386" i="19" s="1"/>
  <c r="BC385" i="19"/>
  <c r="BQ387" i="19"/>
  <c r="BF384" i="19"/>
  <c r="BB384" i="19"/>
  <c r="BE384" i="19" s="1"/>
  <c r="BG384" i="19" s="1"/>
  <c r="Y397" i="19"/>
  <c r="AG397" i="19"/>
  <c r="X397" i="19"/>
  <c r="S398" i="19" s="1"/>
  <c r="AJ396" i="19"/>
  <c r="AS396" i="19"/>
  <c r="AK396" i="19"/>
  <c r="AI396" i="19"/>
  <c r="AI426" i="19" a="1"/>
  <c r="AI426" i="19" s="1"/>
  <c r="AT389" i="19" l="1"/>
  <c r="AX389" i="19"/>
  <c r="BQ389" i="19" s="1"/>
  <c r="AV388" i="19"/>
  <c r="AW388" i="19"/>
  <c r="AY387" i="19"/>
  <c r="AZ387" i="19" s="1"/>
  <c r="BP387" i="19"/>
  <c r="CB387" i="19" s="1"/>
  <c r="BC386" i="19"/>
  <c r="BF385" i="19"/>
  <c r="BB385" i="19"/>
  <c r="BE385" i="19" s="1"/>
  <c r="BG385" i="19" s="1"/>
  <c r="BL397" i="19"/>
  <c r="BZ397" i="19" s="1"/>
  <c r="AA397" i="19"/>
  <c r="AB397" i="19" s="1"/>
  <c r="AH397" i="19" s="1"/>
  <c r="Z398" i="19"/>
  <c r="BM398" i="19" s="1"/>
  <c r="W398" i="19"/>
  <c r="BN396" i="19"/>
  <c r="AM396" i="19"/>
  <c r="AD397" i="19"/>
  <c r="AU421" i="19" a="1"/>
  <c r="AU421" i="19" s="1"/>
  <c r="AU422" i="19" a="1"/>
  <c r="AU422" i="19" s="1"/>
  <c r="AU423" i="19" a="1"/>
  <c r="AU423" i="19" s="1"/>
  <c r="AU424" i="19" a="1"/>
  <c r="AU424" i="19" s="1"/>
  <c r="AU425" i="19" a="1"/>
  <c r="AU425" i="19" s="1"/>
  <c r="AU389" i="19" l="1"/>
  <c r="AP390" i="19" s="1"/>
  <c r="AV389" i="19"/>
  <c r="AW389" i="19"/>
  <c r="AY388" i="19"/>
  <c r="AZ388" i="19" s="1"/>
  <c r="BP388" i="19"/>
  <c r="CB388" i="19" s="1"/>
  <c r="BC387" i="19"/>
  <c r="BF386" i="19"/>
  <c r="BB386" i="19"/>
  <c r="BE386" i="19" s="1"/>
  <c r="AK397" i="19"/>
  <c r="BN397" i="19" s="1"/>
  <c r="AS397" i="19"/>
  <c r="AJ397" i="19"/>
  <c r="AG398" i="19"/>
  <c r="Y398" i="19"/>
  <c r="X398" i="19"/>
  <c r="S399" i="19" s="1"/>
  <c r="CA396" i="19"/>
  <c r="AN396" i="19"/>
  <c r="AL397" i="19"/>
  <c r="AI397" i="19"/>
  <c r="BG386" i="19" l="1"/>
  <c r="BF387" i="19"/>
  <c r="BB387" i="19"/>
  <c r="BE387" i="19" s="1"/>
  <c r="BG387" i="19" s="1"/>
  <c r="AT390" i="19"/>
  <c r="AX390" i="19"/>
  <c r="BQ390" i="19" s="1"/>
  <c r="AY389" i="19"/>
  <c r="AZ389" i="19" s="1"/>
  <c r="BP389" i="19"/>
  <c r="CB389" i="19" s="1"/>
  <c r="BC388" i="19"/>
  <c r="AA398" i="19"/>
  <c r="AB398" i="19" s="1"/>
  <c r="AH398" i="19" s="1"/>
  <c r="BL398" i="19"/>
  <c r="BZ398" i="19" s="1"/>
  <c r="Z399" i="19"/>
  <c r="BM399" i="19" s="1"/>
  <c r="W399" i="19"/>
  <c r="AM397" i="19"/>
  <c r="BO397" i="19"/>
  <c r="AD398" i="19"/>
  <c r="AU390" i="19" l="1"/>
  <c r="AP391" i="19" s="1"/>
  <c r="AV390" i="19"/>
  <c r="AW390" i="19"/>
  <c r="BC389" i="19"/>
  <c r="BF388" i="19"/>
  <c r="BB388" i="19"/>
  <c r="BE388" i="19" s="1"/>
  <c r="AJ398" i="19"/>
  <c r="AS398" i="19"/>
  <c r="AK398" i="19"/>
  <c r="BN398" i="19" s="1"/>
  <c r="AG399" i="19"/>
  <c r="Y399" i="19"/>
  <c r="X399" i="19"/>
  <c r="S400" i="19" s="1"/>
  <c r="AN397" i="19"/>
  <c r="CA397" i="19"/>
  <c r="AI398" i="19"/>
  <c r="AL398" i="19"/>
  <c r="BG388" i="19" l="1"/>
  <c r="BF389" i="19"/>
  <c r="BB389" i="19"/>
  <c r="BE389" i="19" s="1"/>
  <c r="AT391" i="19"/>
  <c r="AX391" i="19"/>
  <c r="BQ391" i="19" s="1"/>
  <c r="AY390" i="19"/>
  <c r="AZ390" i="19" s="1"/>
  <c r="BC390" i="19" s="1"/>
  <c r="BP390" i="19"/>
  <c r="CB390" i="19" s="1"/>
  <c r="BL399" i="19"/>
  <c r="BZ399" i="19" s="1"/>
  <c r="AA399" i="19"/>
  <c r="AB399" i="19" s="1"/>
  <c r="AH399" i="19" s="1"/>
  <c r="Z400" i="19"/>
  <c r="BM400" i="19" s="1"/>
  <c r="W400" i="19"/>
  <c r="AD399" i="19"/>
  <c r="AM398" i="19"/>
  <c r="BO398" i="19"/>
  <c r="BG389" i="19" l="1"/>
  <c r="AU391" i="19"/>
  <c r="AP392" i="19" s="1"/>
  <c r="AV391" i="19"/>
  <c r="AW391" i="19"/>
  <c r="BB390" i="19"/>
  <c r="BE390" i="19" s="1"/>
  <c r="BF390" i="19"/>
  <c r="Y400" i="19"/>
  <c r="AG400" i="19"/>
  <c r="X400" i="19"/>
  <c r="S401" i="19" s="1"/>
  <c r="AJ399" i="19"/>
  <c r="AS399" i="19"/>
  <c r="AK399" i="19"/>
  <c r="BN399" i="19" s="1"/>
  <c r="AI399" i="19"/>
  <c r="AL399" i="19"/>
  <c r="AN398" i="19"/>
  <c r="CA398" i="19"/>
  <c r="BG390" i="19" l="1"/>
  <c r="AX392" i="19"/>
  <c r="BQ392" i="19" s="1"/>
  <c r="AT392" i="19"/>
  <c r="BP391" i="19"/>
  <c r="CB391" i="19" s="1"/>
  <c r="AY391" i="19"/>
  <c r="AZ391" i="19" s="1"/>
  <c r="AA400" i="19"/>
  <c r="AB400" i="19" s="1"/>
  <c r="AH400" i="19" s="1"/>
  <c r="BL400" i="19"/>
  <c r="BZ400" i="19" s="1"/>
  <c r="Z401" i="19"/>
  <c r="BM401" i="19" s="1"/>
  <c r="W401" i="19"/>
  <c r="AD400" i="19"/>
  <c r="AM399" i="19"/>
  <c r="BO399" i="19"/>
  <c r="AU426" i="19" a="1"/>
  <c r="AU426" i="19" s="1"/>
  <c r="BC391" i="19" l="1"/>
  <c r="AV392" i="19"/>
  <c r="AW392" i="19"/>
  <c r="AU392" i="19"/>
  <c r="AP393" i="19" s="1"/>
  <c r="Y401" i="19"/>
  <c r="AG401" i="19"/>
  <c r="X401" i="19"/>
  <c r="S402" i="19" s="1"/>
  <c r="AS400" i="19"/>
  <c r="AJ400" i="19"/>
  <c r="AK400" i="19"/>
  <c r="BN400" i="19" s="1"/>
  <c r="AI400" i="19"/>
  <c r="AD401" i="19" s="1"/>
  <c r="AL400" i="19"/>
  <c r="AN399" i="19"/>
  <c r="CA399" i="19"/>
  <c r="BF391" i="19" l="1"/>
  <c r="BB391" i="19"/>
  <c r="BE391" i="19" s="1"/>
  <c r="BG391" i="19" s="1"/>
  <c r="BP392" i="19"/>
  <c r="CB392" i="19" s="1"/>
  <c r="AY392" i="19"/>
  <c r="AZ392" i="19" s="1"/>
  <c r="AX393" i="19"/>
  <c r="BQ393" i="19" s="1"/>
  <c r="AT393" i="19"/>
  <c r="BL401" i="19"/>
  <c r="BZ401" i="19" s="1"/>
  <c r="AA401" i="19"/>
  <c r="AB401" i="19" s="1"/>
  <c r="AH401" i="19" s="1"/>
  <c r="Z402" i="19"/>
  <c r="BM402" i="19" s="1"/>
  <c r="W402" i="19"/>
  <c r="AL401" i="19"/>
  <c r="AM400" i="19"/>
  <c r="AN400" i="19" s="1"/>
  <c r="BO400" i="19"/>
  <c r="AV393" i="19" l="1"/>
  <c r="AW393" i="19"/>
  <c r="AU393" i="19"/>
  <c r="AP394" i="19" s="1"/>
  <c r="BC392" i="19"/>
  <c r="AS401" i="19"/>
  <c r="AJ401" i="19"/>
  <c r="AK401" i="19"/>
  <c r="AI401" i="19"/>
  <c r="AD402" i="19" s="1"/>
  <c r="AL402" i="19" s="1"/>
  <c r="AG402" i="19"/>
  <c r="Y402" i="19"/>
  <c r="X402" i="19"/>
  <c r="S403" i="19" s="1"/>
  <c r="BO401" i="19"/>
  <c r="CA400" i="19"/>
  <c r="BF392" i="19" l="1"/>
  <c r="BB392" i="19"/>
  <c r="BE392" i="19" s="1"/>
  <c r="BP393" i="19"/>
  <c r="CB393" i="19" s="1"/>
  <c r="AY393" i="19"/>
  <c r="AZ393" i="19" s="1"/>
  <c r="BC393" i="19" s="1"/>
  <c r="AT394" i="19"/>
  <c r="AX394" i="19"/>
  <c r="BQ394" i="19" s="1"/>
  <c r="BN401" i="19"/>
  <c r="CA401" i="19" s="1"/>
  <c r="AM401" i="19"/>
  <c r="AN401" i="19" s="1"/>
  <c r="BL402" i="19"/>
  <c r="BZ402" i="19" s="1"/>
  <c r="AA402" i="19"/>
  <c r="AB402" i="19" s="1"/>
  <c r="AH402" i="19" s="1"/>
  <c r="Z403" i="19"/>
  <c r="BM403" i="19" s="1"/>
  <c r="W403" i="19"/>
  <c r="X403" i="19" s="1"/>
  <c r="S404" i="19" s="1"/>
  <c r="BO402" i="19"/>
  <c r="BG392" i="19" l="1"/>
  <c r="AV394" i="19"/>
  <c r="AU394" i="19"/>
  <c r="AP395" i="19" s="1"/>
  <c r="AW394" i="19"/>
  <c r="BF393" i="19"/>
  <c r="BB393" i="19"/>
  <c r="BE393" i="19" s="1"/>
  <c r="AI402" i="19"/>
  <c r="AD403" i="19" s="1"/>
  <c r="AK402" i="19"/>
  <c r="Z404" i="19"/>
  <c r="BM404" i="19" s="1"/>
  <c r="W404" i="19"/>
  <c r="AG403" i="19"/>
  <c r="Y403" i="19"/>
  <c r="AS402" i="19"/>
  <c r="AJ402" i="19"/>
  <c r="BG393" i="19" l="1"/>
  <c r="AT395" i="19"/>
  <c r="AX395" i="19"/>
  <c r="BQ395" i="19" s="1"/>
  <c r="BP394" i="19"/>
  <c r="CB394" i="19" s="1"/>
  <c r="AY394" i="19"/>
  <c r="AZ394" i="19" s="1"/>
  <c r="BC394" i="19" s="1"/>
  <c r="AL403" i="19"/>
  <c r="BO403" i="19" s="1"/>
  <c r="AM402" i="19"/>
  <c r="AN402" i="19" s="1"/>
  <c r="BN402" i="19"/>
  <c r="CA402" i="19" s="1"/>
  <c r="Y404" i="19"/>
  <c r="AG404" i="19"/>
  <c r="X404" i="19"/>
  <c r="S405" i="19" s="1"/>
  <c r="BL403" i="19"/>
  <c r="BZ403" i="19" s="1"/>
  <c r="AA403" i="19"/>
  <c r="AB403" i="19" s="1"/>
  <c r="AH403" i="19" s="1"/>
  <c r="AW395" i="19" l="1"/>
  <c r="AU395" i="19"/>
  <c r="AP396" i="19" s="1"/>
  <c r="AV395" i="19"/>
  <c r="BF394" i="19"/>
  <c r="BB394" i="19"/>
  <c r="BE394" i="19" s="1"/>
  <c r="BL404" i="19"/>
  <c r="BZ404" i="19" s="1"/>
  <c r="AA404" i="19"/>
  <c r="AB404" i="19" s="1"/>
  <c r="AH404" i="19" s="1"/>
  <c r="Z405" i="19"/>
  <c r="BM405" i="19" s="1"/>
  <c r="W405" i="19"/>
  <c r="AI403" i="19"/>
  <c r="AD404" i="19" s="1"/>
  <c r="AS403" i="19"/>
  <c r="AJ403" i="19"/>
  <c r="AK403" i="19"/>
  <c r="BG394" i="19" l="1"/>
  <c r="AY395" i="19"/>
  <c r="AZ395" i="19" s="1"/>
  <c r="BP395" i="19"/>
  <c r="CB395" i="19" s="1"/>
  <c r="AT396" i="19"/>
  <c r="AX396" i="19"/>
  <c r="BQ396" i="19" s="1"/>
  <c r="AK404" i="19"/>
  <c r="BN404" i="19" s="1"/>
  <c r="AJ404" i="19"/>
  <c r="AS404" i="19"/>
  <c r="Y405" i="19"/>
  <c r="AG405" i="19"/>
  <c r="X405" i="19"/>
  <c r="S406" i="19" s="1"/>
  <c r="AI404" i="19"/>
  <c r="AD405" i="19" s="1"/>
  <c r="AL404" i="19"/>
  <c r="BN403" i="19"/>
  <c r="CA403" i="19" s="1"/>
  <c r="AM403" i="19"/>
  <c r="AN403" i="19" s="1"/>
  <c r="AW396" i="19" l="1"/>
  <c r="AV396" i="19"/>
  <c r="AU396" i="19"/>
  <c r="AP397" i="19" s="1"/>
  <c r="BC395" i="19"/>
  <c r="AA405" i="19"/>
  <c r="AB405" i="19" s="1"/>
  <c r="AH405" i="19" s="1"/>
  <c r="BL405" i="19"/>
  <c r="BZ405" i="19" s="1"/>
  <c r="Z406" i="19"/>
  <c r="BM406" i="19" s="1"/>
  <c r="W406" i="19"/>
  <c r="AL405" i="19"/>
  <c r="BO405" i="19" s="1"/>
  <c r="BO404" i="19"/>
  <c r="CA404" i="19" s="1"/>
  <c r="AM404" i="19"/>
  <c r="AN404" i="19" s="1"/>
  <c r="BF395" i="19" l="1"/>
  <c r="BB395" i="19"/>
  <c r="BE395" i="19" s="1"/>
  <c r="BP396" i="19"/>
  <c r="CB396" i="19" s="1"/>
  <c r="AY396" i="19"/>
  <c r="AZ396" i="19" s="1"/>
  <c r="AX397" i="19"/>
  <c r="BQ397" i="19" s="1"/>
  <c r="AT397" i="19"/>
  <c r="AU397" i="19" s="1"/>
  <c r="AP398" i="19" s="1"/>
  <c r="AI405" i="19"/>
  <c r="AD406" i="19" s="1"/>
  <c r="AL406" i="19" s="1"/>
  <c r="BO406" i="19" s="1"/>
  <c r="AK405" i="19"/>
  <c r="AJ405" i="19"/>
  <c r="AS405" i="19"/>
  <c r="AG406" i="19"/>
  <c r="Y406" i="19"/>
  <c r="X406" i="19"/>
  <c r="S407" i="19" s="1"/>
  <c r="BG395" i="19" l="1"/>
  <c r="AT398" i="19"/>
  <c r="AX398" i="19"/>
  <c r="BQ398" i="19" s="1"/>
  <c r="AV397" i="19"/>
  <c r="AW397" i="19"/>
  <c r="BC396" i="19"/>
  <c r="AM405" i="19"/>
  <c r="AN405" i="19" s="1"/>
  <c r="BN405" i="19"/>
  <c r="CA405" i="19" s="1"/>
  <c r="BL406" i="19"/>
  <c r="BZ406" i="19" s="1"/>
  <c r="AA406" i="19"/>
  <c r="AB406" i="19" s="1"/>
  <c r="AH406" i="19" s="1"/>
  <c r="W407" i="19"/>
  <c r="Z407" i="19"/>
  <c r="BM407" i="19" s="1"/>
  <c r="BF396" i="19" l="1"/>
  <c r="BB396" i="19"/>
  <c r="BE396" i="19" s="1"/>
  <c r="BG396" i="19" s="1"/>
  <c r="AU398" i="19"/>
  <c r="AP399" i="19" s="1"/>
  <c r="AV398" i="19"/>
  <c r="AW398" i="19"/>
  <c r="BP397" i="19"/>
  <c r="CB397" i="19" s="1"/>
  <c r="AY397" i="19"/>
  <c r="AZ397" i="19" s="1"/>
  <c r="AG407" i="19"/>
  <c r="Y407" i="19"/>
  <c r="X407" i="19"/>
  <c r="S408" i="19" s="1"/>
  <c r="AI406" i="19"/>
  <c r="AD407" i="19" s="1"/>
  <c r="AL407" i="19" s="1"/>
  <c r="BO407" i="19" s="1"/>
  <c r="AJ406" i="19"/>
  <c r="AS406" i="19"/>
  <c r="AK406" i="19"/>
  <c r="AT399" i="19" l="1"/>
  <c r="AX399" i="19"/>
  <c r="BQ399" i="19" s="1"/>
  <c r="BP398" i="19"/>
  <c r="CB398" i="19" s="1"/>
  <c r="AY398" i="19"/>
  <c r="AZ398" i="19" s="1"/>
  <c r="BC397" i="19"/>
  <c r="BL407" i="19"/>
  <c r="BZ407" i="19" s="1"/>
  <c r="AA407" i="19"/>
  <c r="AB407" i="19" s="1"/>
  <c r="AH407" i="19" s="1"/>
  <c r="Z408" i="19"/>
  <c r="W408" i="19"/>
  <c r="BN406" i="19"/>
  <c r="CA406" i="19" s="1"/>
  <c r="AM406" i="19"/>
  <c r="AN406" i="19" s="1"/>
  <c r="BC398" i="19" l="1"/>
  <c r="AU399" i="19"/>
  <c r="AP400" i="19" s="1"/>
  <c r="AW399" i="19"/>
  <c r="AV399" i="19"/>
  <c r="BF397" i="19"/>
  <c r="BB397" i="19"/>
  <c r="BE397" i="19" s="1"/>
  <c r="BG397" i="19" s="1"/>
  <c r="BM408" i="19"/>
  <c r="AG408" i="19"/>
  <c r="Y408" i="19"/>
  <c r="X408" i="19"/>
  <c r="S409" i="19" s="1"/>
  <c r="AK407" i="19"/>
  <c r="AI407" i="19"/>
  <c r="AD408" i="19" s="1"/>
  <c r="AJ407" i="19"/>
  <c r="AS407" i="19"/>
  <c r="BF398" i="19" l="1"/>
  <c r="BB398" i="19"/>
  <c r="BE398" i="19" s="1"/>
  <c r="BG398" i="19" s="1"/>
  <c r="AX400" i="19"/>
  <c r="BQ400" i="19" s="1"/>
  <c r="AT400" i="19"/>
  <c r="AY399" i="19"/>
  <c r="AZ399" i="19" s="1"/>
  <c r="BP399" i="19"/>
  <c r="CB399" i="19" s="1"/>
  <c r="BL408" i="19"/>
  <c r="AA408" i="19"/>
  <c r="Z409" i="19"/>
  <c r="W409" i="19"/>
  <c r="X409" i="19" s="1"/>
  <c r="S410" i="19" s="1"/>
  <c r="BN407" i="19"/>
  <c r="CA407" i="19" s="1"/>
  <c r="AM407" i="19"/>
  <c r="AN407" i="19" s="1"/>
  <c r="AL408" i="19"/>
  <c r="BO408" i="19" s="1"/>
  <c r="BC399" i="19" l="1"/>
  <c r="AU400" i="19"/>
  <c r="AP401" i="19" s="1"/>
  <c r="AW400" i="19"/>
  <c r="AV400" i="19"/>
  <c r="BZ408" i="19"/>
  <c r="AB408" i="19"/>
  <c r="Z410" i="19"/>
  <c r="BM410" i="19" s="1"/>
  <c r="W410" i="19"/>
  <c r="BM409" i="19"/>
  <c r="Y409" i="19"/>
  <c r="AG409" i="19"/>
  <c r="BF399" i="19" l="1"/>
  <c r="BB399" i="19"/>
  <c r="BE399" i="19" s="1"/>
  <c r="AX401" i="19"/>
  <c r="BQ401" i="19" s="1"/>
  <c r="AT401" i="19"/>
  <c r="BP400" i="19"/>
  <c r="CB400" i="19" s="1"/>
  <c r="AY400" i="19"/>
  <c r="AZ400" i="19" s="1"/>
  <c r="AH408" i="19"/>
  <c r="AG410" i="19"/>
  <c r="Y410" i="19"/>
  <c r="X410" i="19"/>
  <c r="S411" i="19" s="1"/>
  <c r="BL409" i="19"/>
  <c r="AA409" i="19"/>
  <c r="BG399" i="19" l="1"/>
  <c r="AV401" i="19"/>
  <c r="AW401" i="19"/>
  <c r="AU401" i="19"/>
  <c r="AP402" i="19" s="1"/>
  <c r="BC400" i="19"/>
  <c r="AS408" i="19"/>
  <c r="AI408" i="19"/>
  <c r="AJ408" i="19"/>
  <c r="AK408" i="19"/>
  <c r="BL410" i="19"/>
  <c r="BZ410" i="19" s="1"/>
  <c r="AA410" i="19"/>
  <c r="AB410" i="19" s="1"/>
  <c r="AH410" i="19" s="1"/>
  <c r="W411" i="19"/>
  <c r="Z411" i="19"/>
  <c r="BZ409" i="19"/>
  <c r="AB409" i="19"/>
  <c r="BF400" i="19" l="1"/>
  <c r="BB400" i="19"/>
  <c r="BE400" i="19" s="1"/>
  <c r="BP401" i="19"/>
  <c r="CB401" i="19" s="1"/>
  <c r="AY401" i="19"/>
  <c r="AZ401" i="19" s="1"/>
  <c r="AT402" i="19"/>
  <c r="AU402" i="19" s="1"/>
  <c r="AP403" i="19" s="1"/>
  <c r="AX402" i="19"/>
  <c r="BQ402" i="19" s="1"/>
  <c r="AD409" i="19"/>
  <c r="AM408" i="19"/>
  <c r="BN408" i="19"/>
  <c r="Y411" i="19"/>
  <c r="AG411" i="19"/>
  <c r="X411" i="19"/>
  <c r="S412" i="19" s="1"/>
  <c r="BM411" i="19"/>
  <c r="AH409" i="19"/>
  <c r="AJ410" i="19"/>
  <c r="AS410" i="19"/>
  <c r="AK410" i="19"/>
  <c r="BG400" i="19" l="1"/>
  <c r="BC401" i="19"/>
  <c r="AT403" i="19"/>
  <c r="AX403" i="19"/>
  <c r="BQ403" i="19" s="1"/>
  <c r="AV402" i="19"/>
  <c r="AW402" i="19"/>
  <c r="AI409" i="19"/>
  <c r="AL409" i="19"/>
  <c r="AN408" i="19"/>
  <c r="CA408" i="19"/>
  <c r="BL411" i="19"/>
  <c r="AA411" i="19"/>
  <c r="Z412" i="19"/>
  <c r="W412" i="19"/>
  <c r="AJ409" i="19"/>
  <c r="AS409" i="19"/>
  <c r="AK409" i="19"/>
  <c r="BN410" i="19"/>
  <c r="BF401" i="19" l="1"/>
  <c r="BB401" i="19"/>
  <c r="BE401" i="19" s="1"/>
  <c r="BG401" i="19" s="1"/>
  <c r="AU403" i="19"/>
  <c r="AP404" i="19" s="1"/>
  <c r="AW403" i="19"/>
  <c r="AV403" i="19"/>
  <c r="BP402" i="19"/>
  <c r="CB402" i="19" s="1"/>
  <c r="AY402" i="19"/>
  <c r="AZ402" i="19" s="1"/>
  <c r="AD410" i="19"/>
  <c r="BO409" i="19"/>
  <c r="BZ411" i="19"/>
  <c r="AB411" i="19"/>
  <c r="BM412" i="19"/>
  <c r="AG412" i="19"/>
  <c r="Y412" i="19"/>
  <c r="X412" i="19"/>
  <c r="S413" i="19" s="1"/>
  <c r="BN409" i="19"/>
  <c r="AM409" i="19"/>
  <c r="AT404" i="19" l="1"/>
  <c r="AX404" i="19"/>
  <c r="BQ404" i="19" s="1"/>
  <c r="AY403" i="19"/>
  <c r="AZ403" i="19" s="1"/>
  <c r="BP403" i="19"/>
  <c r="CB403" i="19" s="1"/>
  <c r="BC402" i="19"/>
  <c r="AI410" i="19"/>
  <c r="AL410" i="19"/>
  <c r="CA409" i="19"/>
  <c r="AH411" i="19"/>
  <c r="AA412" i="19"/>
  <c r="BL412" i="19"/>
  <c r="W413" i="19"/>
  <c r="Z413" i="19"/>
  <c r="BM413" i="19" s="1"/>
  <c r="AN409" i="19"/>
  <c r="AV404" i="19" l="1"/>
  <c r="AU404" i="19"/>
  <c r="AP405" i="19" s="1"/>
  <c r="AW404" i="19"/>
  <c r="BC403" i="19"/>
  <c r="BF402" i="19"/>
  <c r="BB402" i="19"/>
  <c r="BE402" i="19" s="1"/>
  <c r="AD411" i="19"/>
  <c r="AM410" i="19"/>
  <c r="BO410" i="19"/>
  <c r="AJ411" i="19"/>
  <c r="AS411" i="19"/>
  <c r="AK411" i="19"/>
  <c r="AB412" i="19"/>
  <c r="BZ412" i="19"/>
  <c r="Y413" i="19"/>
  <c r="AG413" i="19"/>
  <c r="X413" i="19"/>
  <c r="S414" i="19" s="1"/>
  <c r="BG402" i="19" l="1"/>
  <c r="BF403" i="19"/>
  <c r="BB403" i="19"/>
  <c r="BE403" i="19" s="1"/>
  <c r="BG403" i="19" s="1"/>
  <c r="AX405" i="19"/>
  <c r="BQ405" i="19" s="1"/>
  <c r="AT405" i="19"/>
  <c r="AY404" i="19"/>
  <c r="AZ404" i="19" s="1"/>
  <c r="BC404" i="19" s="1"/>
  <c r="BP404" i="19"/>
  <c r="CB404" i="19" s="1"/>
  <c r="AL411" i="19"/>
  <c r="AM411" i="19" s="1"/>
  <c r="AI411" i="19"/>
  <c r="AN410" i="19"/>
  <c r="CA410" i="19"/>
  <c r="BN411" i="19"/>
  <c r="AH412" i="19"/>
  <c r="AA413" i="19"/>
  <c r="AB413" i="19" s="1"/>
  <c r="AH413" i="19" s="1"/>
  <c r="BL413" i="19"/>
  <c r="BZ413" i="19" s="1"/>
  <c r="Z414" i="19"/>
  <c r="BM414" i="19" s="1"/>
  <c r="W414" i="19"/>
  <c r="X414" i="19" s="1"/>
  <c r="S415" i="19" s="1"/>
  <c r="BB404" i="19" l="1"/>
  <c r="BE404" i="19" s="1"/>
  <c r="BF404" i="19"/>
  <c r="AU405" i="19"/>
  <c r="AP406" i="19" s="1"/>
  <c r="AW405" i="19"/>
  <c r="AV405" i="19"/>
  <c r="AK413" i="19"/>
  <c r="BN413" i="19" s="1"/>
  <c r="AS413" i="19"/>
  <c r="AJ413" i="19"/>
  <c r="BO411" i="19"/>
  <c r="AD412" i="19"/>
  <c r="AJ412" i="19"/>
  <c r="AS412" i="19"/>
  <c r="AK412" i="19"/>
  <c r="W415" i="19"/>
  <c r="Z415" i="19"/>
  <c r="AG414" i="19"/>
  <c r="Y414" i="19"/>
  <c r="AN411" i="19"/>
  <c r="BG404" i="19" l="1"/>
  <c r="AT406" i="19"/>
  <c r="AX406" i="19"/>
  <c r="BQ406" i="19" s="1"/>
  <c r="BP405" i="19"/>
  <c r="CB405" i="19" s="1"/>
  <c r="AY405" i="19"/>
  <c r="AZ405" i="19" s="1"/>
  <c r="CA411" i="19"/>
  <c r="AL412" i="19"/>
  <c r="AM412" i="19" s="1"/>
  <c r="AN412" i="19" s="1"/>
  <c r="AI412" i="19"/>
  <c r="AD413" i="19" s="1"/>
  <c r="BN412" i="19"/>
  <c r="W54" i="19"/>
  <c r="W417" i="19"/>
  <c r="AG415" i="19"/>
  <c r="Y415" i="19"/>
  <c r="X415" i="19"/>
  <c r="S416" i="19" s="1"/>
  <c r="Z54" i="19"/>
  <c r="I25" i="19" s="1"/>
  <c r="Z417" i="19"/>
  <c r="BM415" i="19"/>
  <c r="AA414" i="19"/>
  <c r="AB414" i="19" s="1"/>
  <c r="AH414" i="19" s="1"/>
  <c r="BL414" i="19"/>
  <c r="BZ414" i="19" s="1"/>
  <c r="BC405" i="19" l="1"/>
  <c r="AV406" i="19"/>
  <c r="AW406" i="19"/>
  <c r="AU406" i="19"/>
  <c r="AP407" i="19" s="1"/>
  <c r="BO412" i="19"/>
  <c r="AL413" i="19"/>
  <c r="AI413" i="19"/>
  <c r="AD414" i="19" s="1"/>
  <c r="AG417" i="19"/>
  <c r="Y417" i="19"/>
  <c r="Y54" i="19"/>
  <c r="J25" i="19" s="1"/>
  <c r="BL415" i="19"/>
  <c r="AA415" i="19"/>
  <c r="Z416" i="19"/>
  <c r="W416" i="19"/>
  <c r="X416" i="19" s="1"/>
  <c r="BM55" i="19"/>
  <c r="BM417" i="19"/>
  <c r="AK414" i="19"/>
  <c r="AJ414" i="19"/>
  <c r="AS414" i="19"/>
  <c r="BF405" i="19" l="1"/>
  <c r="BB405" i="19"/>
  <c r="BE405" i="19" s="1"/>
  <c r="BG405" i="19" s="1"/>
  <c r="BP406" i="19"/>
  <c r="CB406" i="19" s="1"/>
  <c r="AY406" i="19"/>
  <c r="AZ406" i="19" s="1"/>
  <c r="AX407" i="19"/>
  <c r="BQ407" i="19" s="1"/>
  <c r="AT407" i="19"/>
  <c r="CA412" i="19"/>
  <c r="AM413" i="19"/>
  <c r="AN413" i="19" s="1"/>
  <c r="BO413" i="19"/>
  <c r="CA413" i="19" s="1"/>
  <c r="AL414" i="19"/>
  <c r="AI414" i="19"/>
  <c r="AD415" i="19" s="1"/>
  <c r="H25" i="19"/>
  <c r="BL417" i="19"/>
  <c r="BL55" i="19"/>
  <c r="BZ415" i="19"/>
  <c r="BZ417" i="19" s="1"/>
  <c r="AA54" i="19"/>
  <c r="AA417" i="19"/>
  <c r="AB415" i="19"/>
  <c r="X433" i="19" a="1"/>
  <c r="X433" i="19" s="1"/>
  <c r="X444" i="19" a="1"/>
  <c r="X444" i="19" s="1"/>
  <c r="X430" i="19" a="1"/>
  <c r="X430" i="19" s="1"/>
  <c r="X436" i="19" a="1"/>
  <c r="X436" i="19" s="1"/>
  <c r="X438" i="19" a="1"/>
  <c r="X438" i="19" s="1"/>
  <c r="X431" i="19" a="1"/>
  <c r="X431" i="19" s="1"/>
  <c r="X443" i="19" a="1"/>
  <c r="X443" i="19" s="1"/>
  <c r="X428" i="19" a="1"/>
  <c r="X428" i="19" s="1"/>
  <c r="X441" i="19" a="1"/>
  <c r="X441" i="19" s="1"/>
  <c r="X442" i="19" a="1"/>
  <c r="X442" i="19" s="1"/>
  <c r="X434" i="19" a="1"/>
  <c r="X434" i="19" s="1"/>
  <c r="X449" i="19" a="1"/>
  <c r="X449" i="19" s="1"/>
  <c r="X445" i="19" a="1"/>
  <c r="X445" i="19" s="1"/>
  <c r="X429" i="19" a="1"/>
  <c r="X429" i="19" s="1"/>
  <c r="X446" i="19" a="1"/>
  <c r="X446" i="19" s="1"/>
  <c r="X448" i="19" a="1"/>
  <c r="X448" i="19" s="1"/>
  <c r="X447" i="19" a="1"/>
  <c r="X447" i="19" s="1"/>
  <c r="X435" i="19" a="1"/>
  <c r="X435" i="19" s="1"/>
  <c r="X427" i="19" a="1"/>
  <c r="X427" i="19" s="1"/>
  <c r="X439" i="19" a="1"/>
  <c r="X439" i="19" s="1"/>
  <c r="X440" i="19" a="1"/>
  <c r="X440" i="19" s="1"/>
  <c r="X432" i="19" a="1"/>
  <c r="X432" i="19" s="1"/>
  <c r="X437" i="19" a="1"/>
  <c r="X437" i="19" s="1"/>
  <c r="Z55" i="19"/>
  <c r="BM416" i="19"/>
  <c r="AG416" i="19"/>
  <c r="Y416" i="19"/>
  <c r="BN414" i="19"/>
  <c r="BC406" i="19" l="1"/>
  <c r="AW407" i="19"/>
  <c r="AV407" i="19"/>
  <c r="AU407" i="19"/>
  <c r="AP408" i="19" s="1"/>
  <c r="BO414" i="19"/>
  <c r="CA414" i="19" s="1"/>
  <c r="AM414" i="19"/>
  <c r="AN414" i="19" s="1"/>
  <c r="AL415" i="19"/>
  <c r="AB54" i="19"/>
  <c r="AB417" i="19"/>
  <c r="AH415" i="19"/>
  <c r="AI415" i="19" s="1"/>
  <c r="Y55" i="19"/>
  <c r="BL416" i="19"/>
  <c r="AA416" i="19"/>
  <c r="K25" i="19"/>
  <c r="G25" i="19"/>
  <c r="BF406" i="19" l="1"/>
  <c r="BB406" i="19"/>
  <c r="BE406" i="19" s="1"/>
  <c r="BP407" i="19"/>
  <c r="CB407" i="19" s="1"/>
  <c r="AY407" i="19"/>
  <c r="AZ407" i="19" s="1"/>
  <c r="AX408" i="19"/>
  <c r="AT408" i="19"/>
  <c r="AU408" i="19" s="1"/>
  <c r="AP409" i="19" s="1"/>
  <c r="AL55" i="19"/>
  <c r="AL417" i="19"/>
  <c r="BO415" i="19"/>
  <c r="AI417" i="19"/>
  <c r="AD416" i="19"/>
  <c r="AK415" i="19"/>
  <c r="AM415" i="19" s="1"/>
  <c r="AJ415" i="19"/>
  <c r="AJ417" i="19" s="1"/>
  <c r="AS415" i="19"/>
  <c r="AH417" i="19"/>
  <c r="AA55" i="19"/>
  <c r="AB416" i="19"/>
  <c r="AH416" i="19" s="1"/>
  <c r="BZ416" i="19"/>
  <c r="BZ55" i="19" s="1"/>
  <c r="BG406" i="19" l="1"/>
  <c r="BC407" i="19"/>
  <c r="AX409" i="19"/>
  <c r="BQ409" i="19" s="1"/>
  <c r="AT409" i="19"/>
  <c r="AU409" i="19" s="1"/>
  <c r="AP410" i="19" s="1"/>
  <c r="AW408" i="19"/>
  <c r="AV408" i="19"/>
  <c r="BQ408" i="19"/>
  <c r="BO55" i="19"/>
  <c r="I26" i="19" s="1"/>
  <c r="BO417" i="19"/>
  <c r="AM55" i="19"/>
  <c r="AM417" i="19"/>
  <c r="AN415" i="19"/>
  <c r="AN417" i="19" s="1"/>
  <c r="AI416" i="19"/>
  <c r="AL416" i="19"/>
  <c r="BO416" i="19" s="1"/>
  <c r="BN415" i="19"/>
  <c r="CA415" i="19" s="1"/>
  <c r="AK417" i="19"/>
  <c r="AK55" i="19"/>
  <c r="AS417" i="19"/>
  <c r="AK416" i="19"/>
  <c r="AS416" i="19"/>
  <c r="AJ416" i="19"/>
  <c r="AX410" i="19" l="1"/>
  <c r="BQ410" i="19" s="1"/>
  <c r="AT410" i="19"/>
  <c r="AV409" i="19"/>
  <c r="AW409" i="19"/>
  <c r="BP408" i="19"/>
  <c r="CB408" i="19" s="1"/>
  <c r="AY408" i="19"/>
  <c r="AZ408" i="19" s="1"/>
  <c r="BF407" i="19"/>
  <c r="BB407" i="19"/>
  <c r="BE407" i="19" s="1"/>
  <c r="BG407" i="19" s="1"/>
  <c r="CA55" i="19"/>
  <c r="CA417" i="19"/>
  <c r="AI427" i="19" a="1"/>
  <c r="AI427" i="19" s="1"/>
  <c r="AI440" i="19" a="1"/>
  <c r="AI440" i="19" s="1"/>
  <c r="AI428" i="19" a="1"/>
  <c r="AI428" i="19" s="1"/>
  <c r="AI433" i="19" a="1"/>
  <c r="AI433" i="19" s="1"/>
  <c r="AI442" i="19" a="1"/>
  <c r="AI442" i="19" s="1"/>
  <c r="AI445" i="19" a="1"/>
  <c r="AI445" i="19" s="1"/>
  <c r="AI434" i="19" a="1"/>
  <c r="AI434" i="19" s="1"/>
  <c r="AI444" i="19" a="1"/>
  <c r="AI444" i="19" s="1"/>
  <c r="AI441" i="19" a="1"/>
  <c r="AI441" i="19" s="1"/>
  <c r="AI429" i="19" a="1"/>
  <c r="AI429" i="19" s="1"/>
  <c r="AI449" i="19" a="1"/>
  <c r="AI449" i="19" s="1"/>
  <c r="AI447" i="19" a="1"/>
  <c r="AI447" i="19" s="1"/>
  <c r="AI439" i="19" a="1"/>
  <c r="AI439" i="19" s="1"/>
  <c r="AI431" i="19" a="1"/>
  <c r="AI431" i="19" s="1"/>
  <c r="AI446" i="19" a="1"/>
  <c r="AI446" i="19" s="1"/>
  <c r="AI443" i="19" a="1"/>
  <c r="AI443" i="19" s="1"/>
  <c r="AI435" i="19" a="1"/>
  <c r="AI435" i="19" s="1"/>
  <c r="AI438" i="19" a="1"/>
  <c r="AI438" i="19" s="1"/>
  <c r="AI436" i="19" a="1"/>
  <c r="AI436" i="19" s="1"/>
  <c r="AI430" i="19" a="1"/>
  <c r="AI430" i="19" s="1"/>
  <c r="AI432" i="19" a="1"/>
  <c r="AI432" i="19" s="1"/>
  <c r="AI437" i="19" a="1"/>
  <c r="AI437" i="19" s="1"/>
  <c r="AI448" i="19" a="1"/>
  <c r="AI448" i="19" s="1"/>
  <c r="BN417" i="19"/>
  <c r="BN55" i="19"/>
  <c r="J26" i="19" s="1"/>
  <c r="BN416" i="19"/>
  <c r="AM416" i="19"/>
  <c r="AN416" i="19" s="1"/>
  <c r="AV410" i="19" l="1"/>
  <c r="AW410" i="19"/>
  <c r="AU410" i="19"/>
  <c r="AP411" i="19" s="1"/>
  <c r="BP409" i="19"/>
  <c r="CB409" i="19" s="1"/>
  <c r="AY409" i="19"/>
  <c r="AZ409" i="19" s="1"/>
  <c r="BC408" i="19"/>
  <c r="H26" i="19"/>
  <c r="CA416" i="19"/>
  <c r="AY410" i="19" l="1"/>
  <c r="AZ410" i="19" s="1"/>
  <c r="BP410" i="19"/>
  <c r="CB410" i="19" s="1"/>
  <c r="AX411" i="19"/>
  <c r="BQ411" i="19" s="1"/>
  <c r="AT411" i="19"/>
  <c r="AU411" i="19" s="1"/>
  <c r="AP412" i="19" s="1"/>
  <c r="BC409" i="19"/>
  <c r="BF408" i="19"/>
  <c r="BB408" i="19"/>
  <c r="BE408" i="19" s="1"/>
  <c r="BG408" i="19" s="1"/>
  <c r="G26" i="19"/>
  <c r="K26" i="19"/>
  <c r="AX412" i="19" l="1"/>
  <c r="BQ412" i="19" s="1"/>
  <c r="AT412" i="19"/>
  <c r="AV411" i="19"/>
  <c r="AW411" i="19"/>
  <c r="BC410" i="19"/>
  <c r="BF409" i="19"/>
  <c r="BB409" i="19"/>
  <c r="BE409" i="19" s="1"/>
  <c r="BG409" i="19" l="1"/>
  <c r="BF410" i="19"/>
  <c r="BB410" i="19"/>
  <c r="BE410" i="19" s="1"/>
  <c r="AU412" i="19"/>
  <c r="AP413" i="19" s="1"/>
  <c r="AW412" i="19"/>
  <c r="AV412" i="19"/>
  <c r="BP411" i="19"/>
  <c r="CB411" i="19" s="1"/>
  <c r="AY411" i="19"/>
  <c r="AZ411" i="19" s="1"/>
  <c r="BG410" i="19" l="1"/>
  <c r="AX413" i="19"/>
  <c r="BQ413" i="19" s="1"/>
  <c r="AT413" i="19"/>
  <c r="AY412" i="19"/>
  <c r="AZ412" i="19" s="1"/>
  <c r="BP412" i="19"/>
  <c r="CB412" i="19" s="1"/>
  <c r="BC411" i="19"/>
  <c r="BF411" i="19" l="1"/>
  <c r="BB411" i="19"/>
  <c r="BE411" i="19" s="1"/>
  <c r="BC412" i="19"/>
  <c r="AU413" i="19"/>
  <c r="AP414" i="19" s="1"/>
  <c r="AV413" i="19"/>
  <c r="AW413" i="19"/>
  <c r="BF412" i="19" l="1"/>
  <c r="BB412" i="19"/>
  <c r="BE412" i="19" s="1"/>
  <c r="BG411" i="19"/>
  <c r="AT414" i="19"/>
  <c r="AX414" i="19"/>
  <c r="BQ414" i="19" s="1"/>
  <c r="BP413" i="19"/>
  <c r="CB413" i="19" s="1"/>
  <c r="AY413" i="19"/>
  <c r="AZ413" i="19" s="1"/>
  <c r="BC413" i="19" s="1"/>
  <c r="BB413" i="19" s="1"/>
  <c r="BG412" i="19" l="1"/>
  <c r="AW414" i="19"/>
  <c r="AV414" i="19"/>
  <c r="AU414" i="19"/>
  <c r="AP415" i="19" s="1"/>
  <c r="BE413" i="19"/>
  <c r="BF413" i="19"/>
  <c r="BP414" i="19" l="1"/>
  <c r="CB414" i="19" s="1"/>
  <c r="AY414" i="19"/>
  <c r="AZ414" i="19" s="1"/>
  <c r="BC414" i="19" s="1"/>
  <c r="AX415" i="19"/>
  <c r="AT415" i="19"/>
  <c r="AU415" i="19" s="1"/>
  <c r="AP416" i="19" s="1"/>
  <c r="BG413" i="19"/>
  <c r="AX416" i="19" l="1"/>
  <c r="BQ416" i="19" s="1"/>
  <c r="BU416" i="19" s="1"/>
  <c r="AT416" i="19"/>
  <c r="AX417" i="19"/>
  <c r="AX55" i="19"/>
  <c r="BQ415" i="19"/>
  <c r="AV415" i="19"/>
  <c r="AV417" i="19" s="1"/>
  <c r="AW415" i="19"/>
  <c r="AT417" i="19"/>
  <c r="BF414" i="19"/>
  <c r="BB414" i="19"/>
  <c r="AV416" i="19" l="1"/>
  <c r="AW416" i="19"/>
  <c r="AU416" i="19"/>
  <c r="BQ417" i="19"/>
  <c r="BQ55" i="19"/>
  <c r="I27" i="19" s="1"/>
  <c r="AW417" i="19"/>
  <c r="AW55" i="19"/>
  <c r="BP415" i="19"/>
  <c r="AY415" i="19"/>
  <c r="BE414" i="19"/>
  <c r="AY416" i="19" l="1"/>
  <c r="AZ416" i="19" s="1"/>
  <c r="BP416" i="19"/>
  <c r="AU447" i="19" a="1"/>
  <c r="AU447" i="19" s="1"/>
  <c r="AU438" i="19" a="1"/>
  <c r="AU438" i="19" s="1"/>
  <c r="AU446" i="19" a="1"/>
  <c r="AU446" i="19" s="1"/>
  <c r="AU429" i="19" a="1"/>
  <c r="AU429" i="19" s="1"/>
  <c r="AU435" i="19" a="1"/>
  <c r="AU435" i="19" s="1"/>
  <c r="AU436" i="19" a="1"/>
  <c r="AU436" i="19" s="1"/>
  <c r="AU448" i="19" a="1"/>
  <c r="AU448" i="19" s="1"/>
  <c r="AU434" i="19" a="1"/>
  <c r="AU434" i="19" s="1"/>
  <c r="AU445" i="19" a="1"/>
  <c r="AU445" i="19" s="1"/>
  <c r="AU437" i="19" a="1"/>
  <c r="AU437" i="19" s="1"/>
  <c r="AU439" i="19" a="1"/>
  <c r="AU439" i="19" s="1"/>
  <c r="AU432" i="19" a="1"/>
  <c r="AU432" i="19" s="1"/>
  <c r="AU430" i="19" a="1"/>
  <c r="AU430" i="19" s="1"/>
  <c r="AU443" i="19" a="1"/>
  <c r="AU443" i="19" s="1"/>
  <c r="AU442" i="19" a="1"/>
  <c r="AU442" i="19" s="1"/>
  <c r="AU431" i="19" a="1"/>
  <c r="AU431" i="19" s="1"/>
  <c r="AU441" i="19" a="1"/>
  <c r="AU441" i="19" s="1"/>
  <c r="AU440" i="19" a="1"/>
  <c r="AU440" i="19" s="1"/>
  <c r="AU449" i="19" a="1"/>
  <c r="AU449" i="19" s="1"/>
  <c r="AU444" i="19" a="1"/>
  <c r="AU444" i="19" s="1"/>
  <c r="AU428" i="19" a="1"/>
  <c r="AU428" i="19" s="1"/>
  <c r="AU427" i="19" a="1"/>
  <c r="AU427" i="19" s="1"/>
  <c r="AU433" i="19" a="1"/>
  <c r="AU433" i="19" s="1"/>
  <c r="I29" i="19"/>
  <c r="I34" i="19"/>
  <c r="BP417" i="19"/>
  <c r="CB415" i="19"/>
  <c r="BP55" i="19"/>
  <c r="J27" i="19" s="1"/>
  <c r="AY55" i="19"/>
  <c r="AZ415" i="19"/>
  <c r="AY417" i="19"/>
  <c r="BG414" i="19"/>
  <c r="BT416" i="19" l="1"/>
  <c r="CB416" i="19"/>
  <c r="CD416" i="19" s="1"/>
  <c r="CB417" i="19"/>
  <c r="CB55" i="19"/>
  <c r="J29" i="19"/>
  <c r="H27" i="19"/>
  <c r="G27" i="19" s="1"/>
  <c r="J34" i="19"/>
  <c r="H34" i="19" s="1"/>
  <c r="AZ417" i="19"/>
  <c r="BC415" i="19"/>
  <c r="BB415" i="19" s="1"/>
  <c r="BC416" i="19"/>
  <c r="BF416" i="19" l="1"/>
  <c r="BB416" i="19"/>
  <c r="BE416" i="19" s="1"/>
  <c r="H29" i="19"/>
  <c r="K27" i="19"/>
  <c r="BB417" i="19"/>
  <c r="BE415" i="19"/>
  <c r="BR56" i="19" a="1"/>
  <c r="BS56" i="19" a="1"/>
  <c r="BF415" i="19"/>
  <c r="BC417" i="19"/>
  <c r="BG416" i="19" l="1"/>
  <c r="I30" i="19"/>
  <c r="G29" i="19"/>
  <c r="J30" i="19"/>
  <c r="K29" i="19"/>
  <c r="BE54" i="19"/>
  <c r="BE417" i="19"/>
  <c r="BE55" i="19"/>
  <c r="J36" i="19"/>
  <c r="BG415" i="19"/>
  <c r="CC245" i="19"/>
  <c r="CD245" i="19" s="1"/>
  <c r="CC160" i="19"/>
  <c r="CD160" i="19" s="1"/>
  <c r="CC253" i="19"/>
  <c r="CD253" i="19" s="1"/>
  <c r="CC263" i="19"/>
  <c r="CD263" i="19" s="1"/>
  <c r="CC269" i="19"/>
  <c r="CD269" i="19" s="1"/>
  <c r="CC273" i="19"/>
  <c r="CD273" i="19" s="1"/>
  <c r="CC277" i="19"/>
  <c r="CD277" i="19" s="1"/>
  <c r="CC279" i="19"/>
  <c r="CD279" i="19" s="1"/>
  <c r="CC283" i="19"/>
  <c r="CD283" i="19" s="1"/>
  <c r="CC285" i="19"/>
  <c r="CD285" i="19" s="1"/>
  <c r="CC136" i="19"/>
  <c r="CD136" i="19" s="1"/>
  <c r="CC74" i="19"/>
  <c r="CD74" i="19" s="1"/>
  <c r="CC289" i="19"/>
  <c r="CD289" i="19" s="1"/>
  <c r="CC295" i="19"/>
  <c r="CD295" i="19" s="1"/>
  <c r="CC321" i="19"/>
  <c r="CD321" i="19" s="1"/>
  <c r="CC243" i="19"/>
  <c r="CD243" i="19" s="1"/>
  <c r="CC247" i="19"/>
  <c r="CD247" i="19" s="1"/>
  <c r="CC200" i="19"/>
  <c r="CD200" i="19" s="1"/>
  <c r="CC261" i="19"/>
  <c r="CD261" i="19" s="1"/>
  <c r="CC265" i="19"/>
  <c r="CD265" i="19" s="1"/>
  <c r="CC267" i="19"/>
  <c r="CD267" i="19" s="1"/>
  <c r="CC271" i="19"/>
  <c r="CD271" i="19" s="1"/>
  <c r="CC275" i="19"/>
  <c r="CD275" i="19" s="1"/>
  <c r="CC281" i="19"/>
  <c r="CD281" i="19" s="1"/>
  <c r="BT415" i="19"/>
  <c r="CC405" i="19"/>
  <c r="CD405" i="19" s="1"/>
  <c r="CC132" i="19"/>
  <c r="CD132" i="19" s="1"/>
  <c r="CC83" i="19"/>
  <c r="CD83" i="19" s="1"/>
  <c r="CC287" i="19"/>
  <c r="CD287" i="19" s="1"/>
  <c r="CC291" i="19"/>
  <c r="CD291" i="19" s="1"/>
  <c r="CC293" i="19"/>
  <c r="CD293" i="19" s="1"/>
  <c r="CC297" i="19"/>
  <c r="CD297" i="19" s="1"/>
  <c r="CC299" i="19"/>
  <c r="CD299" i="19" s="1"/>
  <c r="CC301" i="19"/>
  <c r="CD301" i="19" s="1"/>
  <c r="CC303" i="19"/>
  <c r="CD303" i="19" s="1"/>
  <c r="CC305" i="19"/>
  <c r="CD305" i="19" s="1"/>
  <c r="CC307" i="19"/>
  <c r="CD307" i="19" s="1"/>
  <c r="CC309" i="19"/>
  <c r="CD309" i="19" s="1"/>
  <c r="CC311" i="19"/>
  <c r="CD311" i="19" s="1"/>
  <c r="CC313" i="19"/>
  <c r="CD313" i="19" s="1"/>
  <c r="CC315" i="19"/>
  <c r="CD315" i="19" s="1"/>
  <c r="CC317" i="19"/>
  <c r="CD317" i="19" s="1"/>
  <c r="CC319" i="19"/>
  <c r="CD319" i="19" s="1"/>
  <c r="CC323" i="19"/>
  <c r="CD323" i="19" s="1"/>
  <c r="CC325" i="19"/>
  <c r="CD325" i="19" s="1"/>
  <c r="CC251" i="19"/>
  <c r="CD251" i="19" s="1"/>
  <c r="CC262" i="19"/>
  <c r="CD262" i="19" s="1"/>
  <c r="CC264" i="19"/>
  <c r="CD264" i="19" s="1"/>
  <c r="CC266" i="19"/>
  <c r="CD266" i="19" s="1"/>
  <c r="CC268" i="19"/>
  <c r="CD268" i="19" s="1"/>
  <c r="CC270" i="19"/>
  <c r="CD270" i="19" s="1"/>
  <c r="CC272" i="19"/>
  <c r="CD272" i="19" s="1"/>
  <c r="CC274" i="19"/>
  <c r="CD274" i="19" s="1"/>
  <c r="CC276" i="19"/>
  <c r="CD276" i="19" s="1"/>
  <c r="CC278" i="19"/>
  <c r="CD278" i="19" s="1"/>
  <c r="CC280" i="19"/>
  <c r="CD280" i="19" s="1"/>
  <c r="CC282" i="19"/>
  <c r="CD282" i="19" s="1"/>
  <c r="CC284" i="19"/>
  <c r="CD284" i="19" s="1"/>
  <c r="CC211" i="19"/>
  <c r="CD211" i="19" s="1"/>
  <c r="CC255" i="19"/>
  <c r="CD255" i="19" s="1"/>
  <c r="CC260" i="19"/>
  <c r="CD260" i="19" s="1"/>
  <c r="CC302" i="19"/>
  <c r="CD302" i="19" s="1"/>
  <c r="CC310" i="19"/>
  <c r="CD310" i="19" s="1"/>
  <c r="CC318" i="19"/>
  <c r="CD318" i="19" s="1"/>
  <c r="CC326" i="19"/>
  <c r="CD326" i="19" s="1"/>
  <c r="CC327" i="19"/>
  <c r="CD327" i="19" s="1"/>
  <c r="CC329" i="19"/>
  <c r="CD329" i="19" s="1"/>
  <c r="CC331" i="19"/>
  <c r="CD331" i="19" s="1"/>
  <c r="CC333" i="19"/>
  <c r="CD333" i="19" s="1"/>
  <c r="CC335" i="19"/>
  <c r="CD335" i="19" s="1"/>
  <c r="CC337" i="19"/>
  <c r="CD337" i="19" s="1"/>
  <c r="CC339" i="19"/>
  <c r="CD339" i="19" s="1"/>
  <c r="CC341" i="19"/>
  <c r="CD341" i="19" s="1"/>
  <c r="CC343" i="19"/>
  <c r="CD343" i="19" s="1"/>
  <c r="CC345" i="19"/>
  <c r="CD345" i="19" s="1"/>
  <c r="CC347" i="19"/>
  <c r="CD347" i="19" s="1"/>
  <c r="CC349" i="19"/>
  <c r="CD349" i="19" s="1"/>
  <c r="CC389" i="19"/>
  <c r="CD389" i="19" s="1"/>
  <c r="CC393" i="19"/>
  <c r="CD393" i="19" s="1"/>
  <c r="CC397" i="19"/>
  <c r="CD397" i="19" s="1"/>
  <c r="CC401" i="19"/>
  <c r="CD401" i="19" s="1"/>
  <c r="BT83" i="19"/>
  <c r="CC308" i="19"/>
  <c r="CD308" i="19" s="1"/>
  <c r="CC362" i="19"/>
  <c r="CD362" i="19" s="1"/>
  <c r="CC371" i="19"/>
  <c r="CD371" i="19" s="1"/>
  <c r="CC380" i="19"/>
  <c r="CD380" i="19" s="1"/>
  <c r="CC384" i="19"/>
  <c r="CD384" i="19" s="1"/>
  <c r="CC388" i="19"/>
  <c r="CD388" i="19" s="1"/>
  <c r="CC392" i="19"/>
  <c r="CD392" i="19" s="1"/>
  <c r="CC356" i="19"/>
  <c r="CD356" i="19" s="1"/>
  <c r="BT338" i="19"/>
  <c r="BT109" i="19"/>
  <c r="BT384" i="19"/>
  <c r="BT112" i="19"/>
  <c r="BT321" i="19"/>
  <c r="BT142" i="19"/>
  <c r="BT171" i="19"/>
  <c r="BT176" i="19"/>
  <c r="BT180" i="19"/>
  <c r="BT186" i="19"/>
  <c r="BT190" i="19"/>
  <c r="BT193" i="19"/>
  <c r="BT198" i="19"/>
  <c r="BT204" i="19"/>
  <c r="BT207" i="19"/>
  <c r="BT216" i="19"/>
  <c r="BR423" i="19"/>
  <c r="BT58" i="19"/>
  <c r="BT87" i="19"/>
  <c r="CC108" i="19"/>
  <c r="CD108" i="19" s="1"/>
  <c r="BT94" i="19"/>
  <c r="BT72" i="19"/>
  <c r="BT132" i="19"/>
  <c r="BT301" i="19"/>
  <c r="BT308" i="19"/>
  <c r="BT317" i="19"/>
  <c r="BT323" i="19"/>
  <c r="BT327" i="19"/>
  <c r="BT331" i="19"/>
  <c r="BT336" i="19"/>
  <c r="BT302" i="19"/>
  <c r="BT409" i="19"/>
  <c r="BT392" i="19"/>
  <c r="BT124" i="19"/>
  <c r="BT337" i="19"/>
  <c r="BT341" i="19"/>
  <c r="BT349" i="19"/>
  <c r="BT353" i="19"/>
  <c r="BT357" i="19"/>
  <c r="BT360" i="19"/>
  <c r="BT245" i="19"/>
  <c r="BT364" i="19"/>
  <c r="BT71" i="19"/>
  <c r="BT95" i="19"/>
  <c r="BT76" i="19"/>
  <c r="BT89" i="19"/>
  <c r="BT97" i="19"/>
  <c r="BT85" i="19"/>
  <c r="BT64" i="19"/>
  <c r="BT77" i="19"/>
  <c r="BT103" i="19"/>
  <c r="BT110" i="19"/>
  <c r="BT315" i="19"/>
  <c r="BT200" i="19"/>
  <c r="BT214" i="19"/>
  <c r="BT230" i="19"/>
  <c r="BT258" i="19"/>
  <c r="BT189" i="19"/>
  <c r="BT241" i="19"/>
  <c r="BT296" i="19"/>
  <c r="BT270" i="19"/>
  <c r="BT310" i="19"/>
  <c r="BT168" i="19"/>
  <c r="BT63" i="19"/>
  <c r="BT79" i="19"/>
  <c r="BT305" i="19"/>
  <c r="BT320" i="19"/>
  <c r="BT345" i="19"/>
  <c r="BT369" i="19"/>
  <c r="BT175" i="19"/>
  <c r="BT225" i="19"/>
  <c r="BT312" i="19"/>
  <c r="BT280" i="19"/>
  <c r="BT404" i="19"/>
  <c r="BT344" i="19"/>
  <c r="BT183" i="19"/>
  <c r="BT255" i="19"/>
  <c r="BT406" i="19"/>
  <c r="BT91" i="19"/>
  <c r="BT234" i="19"/>
  <c r="BT375" i="19"/>
  <c r="BT177" i="19"/>
  <c r="BT374" i="19"/>
  <c r="BT70" i="19"/>
  <c r="BT251" i="19"/>
  <c r="BT62" i="19"/>
  <c r="BT82" i="19"/>
  <c r="BT84" i="19"/>
  <c r="BT80" i="19"/>
  <c r="BT90" i="19"/>
  <c r="BT114" i="19"/>
  <c r="BT120" i="19"/>
  <c r="BT335" i="19"/>
  <c r="BT140" i="19"/>
  <c r="BT148" i="19"/>
  <c r="BT154" i="19"/>
  <c r="BT156" i="19"/>
  <c r="BT160" i="19"/>
  <c r="BT164" i="19"/>
  <c r="BT286" i="19"/>
  <c r="BT248" i="19"/>
  <c r="BR56" i="19"/>
  <c r="BT133" i="19"/>
  <c r="BT332" i="19"/>
  <c r="BR426" i="19"/>
  <c r="BT388" i="19"/>
  <c r="BT381" i="19"/>
  <c r="BT192" i="19"/>
  <c r="BT240" i="19"/>
  <c r="BT269" i="19"/>
  <c r="BT127" i="19"/>
  <c r="BT319" i="19"/>
  <c r="BT348" i="19"/>
  <c r="BT390" i="19"/>
  <c r="BR425" i="19"/>
  <c r="BT57" i="19"/>
  <c r="BT59" i="19"/>
  <c r="BT135" i="19"/>
  <c r="BT314" i="19"/>
  <c r="BT328" i="19"/>
  <c r="BT339" i="19"/>
  <c r="BT350" i="19"/>
  <c r="BT379" i="19"/>
  <c r="BT141" i="19"/>
  <c r="BT151" i="19"/>
  <c r="BT163" i="19"/>
  <c r="BT187" i="19"/>
  <c r="BT213" i="19"/>
  <c r="BT239" i="19"/>
  <c r="BT295" i="19"/>
  <c r="BT403" i="19"/>
  <c r="BT268" i="19"/>
  <c r="BT274" i="19"/>
  <c r="BT306" i="19"/>
  <c r="BR421" i="19"/>
  <c r="BT205" i="19"/>
  <c r="BT236" i="19"/>
  <c r="BT264" i="19"/>
  <c r="BT123" i="19"/>
  <c r="BT136" i="19"/>
  <c r="BT147" i="19"/>
  <c r="BT299" i="19"/>
  <c r="BT231" i="19"/>
  <c r="BT69" i="19"/>
  <c r="BT218" i="19"/>
  <c r="BT413" i="19"/>
  <c r="BT326" i="19"/>
  <c r="BT309" i="19"/>
  <c r="BT74" i="19"/>
  <c r="BT325" i="19"/>
  <c r="BT333" i="19"/>
  <c r="BT356" i="19"/>
  <c r="BT373" i="19"/>
  <c r="BT385" i="19"/>
  <c r="BT398" i="19"/>
  <c r="BT145" i="19"/>
  <c r="BT159" i="19"/>
  <c r="BT170" i="19"/>
  <c r="BT181" i="19"/>
  <c r="BT196" i="19"/>
  <c r="BT203" i="19"/>
  <c r="BT217" i="19"/>
  <c r="BT233" i="19"/>
  <c r="BT247" i="19"/>
  <c r="BT253" i="19"/>
  <c r="BT265" i="19"/>
  <c r="BT273" i="19"/>
  <c r="BT281" i="19"/>
  <c r="BT289" i="19"/>
  <c r="BT303" i="19"/>
  <c r="BT322" i="19"/>
  <c r="BT397" i="19"/>
  <c r="BT402" i="19"/>
  <c r="BT271" i="19"/>
  <c r="BT276" i="19"/>
  <c r="BR424" i="19"/>
  <c r="BT298" i="19"/>
  <c r="BT131" i="19"/>
  <c r="BT346" i="19"/>
  <c r="BT368" i="19"/>
  <c r="BT81" i="19"/>
  <c r="BT195" i="19"/>
  <c r="BT232" i="19"/>
  <c r="BT261" i="19"/>
  <c r="BT297" i="19"/>
  <c r="BT235" i="19"/>
  <c r="BT387" i="19"/>
  <c r="BT313" i="19"/>
  <c r="BT278" i="19"/>
  <c r="BT115" i="19"/>
  <c r="BT246" i="19"/>
  <c r="BT411" i="19"/>
  <c r="BT210" i="19"/>
  <c r="BT144" i="19"/>
  <c r="BT169" i="19"/>
  <c r="BT405" i="19"/>
  <c r="BT105" i="19"/>
  <c r="BT377" i="19"/>
  <c r="BT143" i="19"/>
  <c r="BT173" i="19"/>
  <c r="BT194" i="19"/>
  <c r="BT223" i="19"/>
  <c r="BT244" i="19"/>
  <c r="BT257" i="19"/>
  <c r="BT275" i="19"/>
  <c r="BT294" i="19"/>
  <c r="BT307" i="19"/>
  <c r="BT153" i="19"/>
  <c r="BT362" i="19"/>
  <c r="BT222" i="19"/>
  <c r="BT242" i="19"/>
  <c r="BT288" i="19"/>
  <c r="BT267" i="19"/>
  <c r="BT293" i="19"/>
  <c r="BR422" i="19"/>
  <c r="BT292" i="19"/>
  <c r="BT125" i="19"/>
  <c r="BT354" i="19"/>
  <c r="BT157" i="19"/>
  <c r="BT343" i="19"/>
  <c r="BT347" i="19"/>
  <c r="BT351" i="19"/>
  <c r="BT355" i="19"/>
  <c r="BT359" i="19"/>
  <c r="BT361" i="19"/>
  <c r="BT363" i="19"/>
  <c r="BT365" i="19"/>
  <c r="BT414" i="19"/>
  <c r="CC256" i="19"/>
  <c r="CD256" i="19" s="1"/>
  <c r="CC60" i="19"/>
  <c r="CD60" i="19" s="1"/>
  <c r="CC328" i="19"/>
  <c r="CD328" i="19" s="1"/>
  <c r="CC396" i="19"/>
  <c r="CD396" i="19" s="1"/>
  <c r="BT318" i="19"/>
  <c r="BT101" i="19"/>
  <c r="BT376" i="19"/>
  <c r="BT98" i="19"/>
  <c r="BT182" i="19"/>
  <c r="BT228" i="19"/>
  <c r="BT256" i="19"/>
  <c r="BT291" i="19"/>
  <c r="BT290" i="19"/>
  <c r="BT340" i="19"/>
  <c r="BT285" i="19"/>
  <c r="BT367" i="19"/>
  <c r="BT366" i="19"/>
  <c r="BT100" i="19"/>
  <c r="BT279" i="19"/>
  <c r="BT408" i="19"/>
  <c r="BT116" i="19"/>
  <c r="BT166" i="19"/>
  <c r="BT386" i="19"/>
  <c r="BT73" i="19"/>
  <c r="BT358" i="19"/>
  <c r="BT395" i="19"/>
  <c r="BT161" i="19"/>
  <c r="BT184" i="19"/>
  <c r="BT215" i="19"/>
  <c r="BT250" i="19"/>
  <c r="BT263" i="19"/>
  <c r="BT283" i="19"/>
  <c r="BT300" i="19"/>
  <c r="BT316" i="19"/>
  <c r="BT201" i="19"/>
  <c r="BT382" i="19"/>
  <c r="CC75" i="19"/>
  <c r="CD75" i="19" s="1"/>
  <c r="CC372" i="19"/>
  <c r="CD372" i="19" s="1"/>
  <c r="CC370" i="19"/>
  <c r="CD370" i="19" s="1"/>
  <c r="CC113" i="19"/>
  <c r="CD113" i="19" s="1"/>
  <c r="CC292" i="19"/>
  <c r="CD292" i="19" s="1"/>
  <c r="CC300" i="19"/>
  <c r="CD300" i="19" s="1"/>
  <c r="CC361" i="19"/>
  <c r="CD361" i="19" s="1"/>
  <c r="CC365" i="19"/>
  <c r="CD365" i="19" s="1"/>
  <c r="CC332" i="19"/>
  <c r="CD332" i="19" s="1"/>
  <c r="CC346" i="19"/>
  <c r="CD346" i="19" s="1"/>
  <c r="CC306" i="19"/>
  <c r="CD306" i="19" s="1"/>
  <c r="CC344" i="19"/>
  <c r="CD344" i="19" s="1"/>
  <c r="CC338" i="19"/>
  <c r="CD338" i="19" s="1"/>
  <c r="CC290" i="19"/>
  <c r="CD290" i="19" s="1"/>
  <c r="CC316" i="19"/>
  <c r="CD316" i="19" s="1"/>
  <c r="CC368" i="19"/>
  <c r="CD368" i="19" s="1"/>
  <c r="CC82" i="19"/>
  <c r="CD82" i="19" s="1"/>
  <c r="CC100" i="19"/>
  <c r="CD100" i="19" s="1"/>
  <c r="CC71" i="19"/>
  <c r="CD71" i="19" s="1"/>
  <c r="CC386" i="19"/>
  <c r="CD386" i="19" s="1"/>
  <c r="CC398" i="19"/>
  <c r="CD398" i="19" s="1"/>
  <c r="CC406" i="19"/>
  <c r="CD406" i="19" s="1"/>
  <c r="CC340" i="19"/>
  <c r="CD340" i="19" s="1"/>
  <c r="CC408" i="19"/>
  <c r="CD408" i="19" s="1"/>
  <c r="CC76" i="19"/>
  <c r="CD76" i="19" s="1"/>
  <c r="CC104" i="19"/>
  <c r="CC353" i="19"/>
  <c r="CD353" i="19" s="1"/>
  <c r="CC296" i="19"/>
  <c r="CD296" i="19" s="1"/>
  <c r="CC177" i="19"/>
  <c r="CD177" i="19" s="1"/>
  <c r="CC189" i="19"/>
  <c r="CD189" i="19" s="1"/>
  <c r="CC188" i="19"/>
  <c r="CD188" i="19" s="1"/>
  <c r="CC176" i="19"/>
  <c r="CD176" i="19" s="1"/>
  <c r="CC205" i="19"/>
  <c r="CD205" i="19" s="1"/>
  <c r="CC214" i="19"/>
  <c r="CD214" i="19" s="1"/>
  <c r="CC218" i="19"/>
  <c r="CD218" i="19" s="1"/>
  <c r="BT130" i="19"/>
  <c r="BT352" i="19"/>
  <c r="BT117" i="19"/>
  <c r="BT67" i="19"/>
  <c r="BT138" i="19"/>
  <c r="BT212" i="19"/>
  <c r="BT243" i="19"/>
  <c r="BT277" i="19"/>
  <c r="BT262" i="19"/>
  <c r="BT128" i="19"/>
  <c r="BT426" i="19" s="1"/>
  <c r="BT165" i="19"/>
  <c r="BT272" i="19"/>
  <c r="BT197" i="19"/>
  <c r="BT66" i="19"/>
  <c r="BT226" i="19"/>
  <c r="BT410" i="19"/>
  <c r="BT99" i="19"/>
  <c r="BT162" i="19"/>
  <c r="BT371" i="19"/>
  <c r="BT88" i="19"/>
  <c r="BT370" i="19"/>
  <c r="BT137" i="19"/>
  <c r="BT167" i="19"/>
  <c r="BT199" i="19"/>
  <c r="BT229" i="19"/>
  <c r="CC222" i="19"/>
  <c r="CD222" i="19" s="1"/>
  <c r="CC230" i="19"/>
  <c r="CD230" i="19" s="1"/>
  <c r="CC236" i="19"/>
  <c r="CD236" i="19" s="1"/>
  <c r="CC252" i="19"/>
  <c r="CD252" i="19" s="1"/>
  <c r="CC258" i="19"/>
  <c r="CD258" i="19" s="1"/>
  <c r="CC107" i="19"/>
  <c r="CD107" i="19" s="1"/>
  <c r="CC131" i="19"/>
  <c r="CD131" i="19" s="1"/>
  <c r="CC118" i="19"/>
  <c r="CD118" i="19" s="1"/>
  <c r="CC180" i="19"/>
  <c r="CD180" i="19" s="1"/>
  <c r="CC181" i="19"/>
  <c r="CD181" i="19" s="1"/>
  <c r="CC357" i="19"/>
  <c r="CD357" i="19" s="1"/>
  <c r="CC342" i="19"/>
  <c r="CD342" i="19" s="1"/>
  <c r="CC139" i="19"/>
  <c r="CD139" i="19" s="1"/>
  <c r="CC148" i="19"/>
  <c r="CD148" i="19" s="1"/>
  <c r="CC68" i="19"/>
  <c r="CC151" i="19"/>
  <c r="CD151" i="19" s="1"/>
  <c r="CC161" i="19"/>
  <c r="CD161" i="19" s="1"/>
  <c r="CC88" i="19"/>
  <c r="CD88" i="19" s="1"/>
  <c r="CC103" i="19"/>
  <c r="CD103" i="19" s="1"/>
  <c r="CC123" i="19"/>
  <c r="CD123" i="19" s="1"/>
  <c r="CC99" i="19"/>
  <c r="CD99" i="19" s="1"/>
  <c r="CC96" i="19"/>
  <c r="CD96" i="19" s="1"/>
  <c r="CC122" i="19"/>
  <c r="CD122" i="19" s="1"/>
  <c r="CC128" i="19"/>
  <c r="CC72" i="19"/>
  <c r="CD72" i="19" s="1"/>
  <c r="BT393" i="19"/>
  <c r="BT208" i="19"/>
  <c r="CC101" i="19"/>
  <c r="CD101" i="19" s="1"/>
  <c r="CC117" i="19"/>
  <c r="CD117" i="19" s="1"/>
  <c r="CC135" i="19"/>
  <c r="CD135" i="19" s="1"/>
  <c r="CC102" i="19"/>
  <c r="CD102" i="19" s="1"/>
  <c r="CC141" i="19"/>
  <c r="CD141" i="19" s="1"/>
  <c r="CC145" i="19"/>
  <c r="CD145" i="19" s="1"/>
  <c r="CC133" i="19"/>
  <c r="CD133" i="19" s="1"/>
  <c r="CC376" i="19"/>
  <c r="CD376" i="19" s="1"/>
  <c r="CC57" i="19"/>
  <c r="CC64" i="19"/>
  <c r="CD64" i="19" s="1"/>
  <c r="CC124" i="19"/>
  <c r="CD124" i="19" s="1"/>
  <c r="CC69" i="19"/>
  <c r="CD69" i="19" s="1"/>
  <c r="CC87" i="19"/>
  <c r="CD87" i="19" s="1"/>
  <c r="CC90" i="19"/>
  <c r="CD90" i="19" s="1"/>
  <c r="CC126" i="19"/>
  <c r="CD126" i="19" s="1"/>
  <c r="CC134" i="19"/>
  <c r="CD134" i="19" s="1"/>
  <c r="CC106" i="19"/>
  <c r="CD106" i="19" s="1"/>
  <c r="CC116" i="19"/>
  <c r="CC98" i="19"/>
  <c r="CD98" i="19" s="1"/>
  <c r="CC149" i="19"/>
  <c r="CD149" i="19" s="1"/>
  <c r="CC112" i="19"/>
  <c r="CD112" i="19" s="1"/>
  <c r="CC157" i="19"/>
  <c r="CD157" i="19" s="1"/>
  <c r="CC62" i="19"/>
  <c r="CD62" i="19" s="1"/>
  <c r="BT342" i="19"/>
  <c r="BT113" i="19"/>
  <c r="BT380" i="19"/>
  <c r="BT107" i="19"/>
  <c r="BT185" i="19"/>
  <c r="BT249" i="19"/>
  <c r="BT282" i="19"/>
  <c r="BT126" i="19"/>
  <c r="BT304" i="19"/>
  <c r="BT191" i="19"/>
  <c r="BT172" i="19"/>
  <c r="BT394" i="19"/>
  <c r="BT209" i="19"/>
  <c r="BT412" i="19"/>
  <c r="BT119" i="19"/>
  <c r="BT152" i="19"/>
  <c r="BT92" i="19"/>
  <c r="BT75" i="19"/>
  <c r="BT121" i="19"/>
  <c r="BT383" i="19"/>
  <c r="BT149" i="19"/>
  <c r="BT179" i="19"/>
  <c r="BT206" i="19"/>
  <c r="BT237" i="19"/>
  <c r="CC226" i="19"/>
  <c r="CD226" i="19" s="1"/>
  <c r="CC232" i="19"/>
  <c r="CD232" i="19" s="1"/>
  <c r="CC413" i="19"/>
  <c r="CD413" i="19" s="1"/>
  <c r="CC115" i="19"/>
  <c r="CD115" i="19" s="1"/>
  <c r="CC94" i="19"/>
  <c r="CD94" i="19" s="1"/>
  <c r="CC129" i="19"/>
  <c r="CD129" i="19" s="1"/>
  <c r="CC153" i="19"/>
  <c r="CD153" i="19" s="1"/>
  <c r="CC154" i="19"/>
  <c r="CD154" i="19" s="1"/>
  <c r="CC209" i="19"/>
  <c r="CD209" i="19" s="1"/>
  <c r="CC366" i="19"/>
  <c r="CD366" i="19" s="1"/>
  <c r="CC63" i="19"/>
  <c r="CD63" i="19" s="1"/>
  <c r="CC85" i="19"/>
  <c r="CD85" i="19" s="1"/>
  <c r="CC80" i="19"/>
  <c r="BT68" i="19"/>
  <c r="CC58" i="19"/>
  <c r="CD58" i="19" s="1"/>
  <c r="BT329" i="19"/>
  <c r="BT106" i="19"/>
  <c r="BT372" i="19"/>
  <c r="BT86" i="19"/>
  <c r="BT174" i="19"/>
  <c r="BT224" i="19"/>
  <c r="BT252" i="19"/>
  <c r="BT287" i="19"/>
  <c r="BT284" i="19"/>
  <c r="BT324" i="19"/>
  <c r="BT219" i="19"/>
  <c r="BR420" i="19"/>
  <c r="BT108" i="19"/>
  <c r="BT158" i="19"/>
  <c r="BT311" i="19"/>
  <c r="BT60" i="19"/>
  <c r="BT330" i="19"/>
  <c r="BT389" i="19"/>
  <c r="BT155" i="19"/>
  <c r="CC92" i="19"/>
  <c r="CC111" i="19"/>
  <c r="CD111" i="19" s="1"/>
  <c r="CC167" i="19"/>
  <c r="CD167" i="19" s="1"/>
  <c r="CC156" i="19"/>
  <c r="CD156" i="19" s="1"/>
  <c r="CC187" i="19"/>
  <c r="CD187" i="19" s="1"/>
  <c r="CC191" i="19"/>
  <c r="CD191" i="19" s="1"/>
  <c r="CC67" i="19"/>
  <c r="CD67" i="19" s="1"/>
  <c r="CC314" i="19"/>
  <c r="CD314" i="19" s="1"/>
  <c r="CC403" i="19"/>
  <c r="CD403" i="19" s="1"/>
  <c r="CC169" i="19"/>
  <c r="CD169" i="19" s="1"/>
  <c r="CC127" i="19"/>
  <c r="CD127" i="19" s="1"/>
  <c r="CC105" i="19"/>
  <c r="CD105" i="19" s="1"/>
  <c r="CC322" i="19"/>
  <c r="CD322" i="19" s="1"/>
  <c r="BT259" i="19"/>
  <c r="CC109" i="19"/>
  <c r="CD109" i="19" s="1"/>
  <c r="CC143" i="19"/>
  <c r="CD143" i="19" s="1"/>
  <c r="BT78" i="19"/>
  <c r="BT96" i="19"/>
  <c r="BT102" i="19"/>
  <c r="BT111" i="19"/>
  <c r="BT118" i="19"/>
  <c r="BT146" i="19"/>
  <c r="BT150" i="19"/>
  <c r="BT178" i="19"/>
  <c r="BT188" i="19"/>
  <c r="BT202" i="19"/>
  <c r="CC364" i="19"/>
  <c r="CD364" i="19" s="1"/>
  <c r="CC400" i="19"/>
  <c r="CD400" i="19" s="1"/>
  <c r="CC65" i="19"/>
  <c r="CD65" i="19" s="1"/>
  <c r="CC78" i="19"/>
  <c r="CD78" i="19" s="1"/>
  <c r="CC70" i="19"/>
  <c r="CD70" i="19" s="1"/>
  <c r="CC95" i="19"/>
  <c r="CD95" i="19" s="1"/>
  <c r="CC409" i="19"/>
  <c r="CD409" i="19" s="1"/>
  <c r="CC402" i="19"/>
  <c r="CD402" i="19" s="1"/>
  <c r="CC330" i="19"/>
  <c r="CD330" i="19" s="1"/>
  <c r="CC381" i="19"/>
  <c r="CD381" i="19" s="1"/>
  <c r="CC84" i="19"/>
  <c r="CD84" i="19" s="1"/>
  <c r="CC77" i="19"/>
  <c r="CD77" i="19" s="1"/>
  <c r="CC159" i="19"/>
  <c r="CD159" i="19" s="1"/>
  <c r="CC121" i="19"/>
  <c r="CD121" i="19" s="1"/>
  <c r="CC150" i="19"/>
  <c r="CD150" i="19" s="1"/>
  <c r="CC144" i="19"/>
  <c r="CD144" i="19" s="1"/>
  <c r="CC174" i="19"/>
  <c r="CD174" i="19" s="1"/>
  <c r="CC89" i="19"/>
  <c r="CD89" i="19" s="1"/>
  <c r="CC379" i="19"/>
  <c r="CD379" i="19" s="1"/>
  <c r="CC59" i="19"/>
  <c r="CD59" i="19" s="1"/>
  <c r="CC91" i="19"/>
  <c r="CD91" i="19" s="1"/>
  <c r="CC93" i="19"/>
  <c r="CD93" i="19" s="1"/>
  <c r="CC61" i="19"/>
  <c r="CD61" i="19" s="1"/>
  <c r="CC394" i="19"/>
  <c r="CD394" i="19" s="1"/>
  <c r="CC336" i="19"/>
  <c r="CD336" i="19" s="1"/>
  <c r="CC410" i="19"/>
  <c r="CD410" i="19" s="1"/>
  <c r="CC138" i="19"/>
  <c r="CD138" i="19" s="1"/>
  <c r="CC110" i="19"/>
  <c r="CD110" i="19" s="1"/>
  <c r="CC334" i="19"/>
  <c r="CD334" i="19" s="1"/>
  <c r="CC374" i="19"/>
  <c r="CD374" i="19" s="1"/>
  <c r="CC390" i="19"/>
  <c r="CD390" i="19" s="1"/>
  <c r="CC178" i="19"/>
  <c r="CD178" i="19" s="1"/>
  <c r="CC185" i="19"/>
  <c r="CD185" i="19" s="1"/>
  <c r="CC194" i="19"/>
  <c r="CD194" i="19" s="1"/>
  <c r="CC175" i="19"/>
  <c r="CD175" i="19" s="1"/>
  <c r="CC199" i="19"/>
  <c r="CD199" i="19" s="1"/>
  <c r="CC204" i="19"/>
  <c r="CD204" i="19" s="1"/>
  <c r="CC212" i="19"/>
  <c r="CD212" i="19" s="1"/>
  <c r="CC216" i="19"/>
  <c r="CD216" i="19" s="1"/>
  <c r="CC220" i="19"/>
  <c r="CD220" i="19" s="1"/>
  <c r="CC224" i="19"/>
  <c r="CD224" i="19" s="1"/>
  <c r="CC228" i="19"/>
  <c r="CD228" i="19" s="1"/>
  <c r="CC234" i="19"/>
  <c r="CD234" i="19" s="1"/>
  <c r="CC411" i="19"/>
  <c r="CD411" i="19" s="1"/>
  <c r="CC250" i="19"/>
  <c r="CD250" i="19" s="1"/>
  <c r="CC254" i="19"/>
  <c r="CD254" i="19" s="1"/>
  <c r="CC66" i="19"/>
  <c r="CD66" i="19" s="1"/>
  <c r="CC73" i="19"/>
  <c r="CD73" i="19" s="1"/>
  <c r="CC119" i="19"/>
  <c r="CD119" i="19" s="1"/>
  <c r="CC125" i="19"/>
  <c r="CD125" i="19" s="1"/>
  <c r="CC163" i="19"/>
  <c r="CD163" i="19" s="1"/>
  <c r="CC171" i="19"/>
  <c r="CD171" i="19" s="1"/>
  <c r="CC137" i="19"/>
  <c r="CD137" i="19" s="1"/>
  <c r="CC114" i="19"/>
  <c r="CD114" i="19" s="1"/>
  <c r="CC166" i="19"/>
  <c r="CD166" i="19" s="1"/>
  <c r="CC158" i="19"/>
  <c r="CD158" i="19" s="1"/>
  <c r="CC152" i="19"/>
  <c r="CD152" i="19" s="1"/>
  <c r="CC172" i="19"/>
  <c r="CD172" i="19" s="1"/>
  <c r="CC198" i="19"/>
  <c r="CD198" i="19" s="1"/>
  <c r="CC203" i="19"/>
  <c r="CD203" i="19" s="1"/>
  <c r="BT134" i="19"/>
  <c r="BT407" i="19"/>
  <c r="BT122" i="19"/>
  <c r="BT396" i="19"/>
  <c r="BT139" i="19"/>
  <c r="BT220" i="19"/>
  <c r="CC173" i="19"/>
  <c r="CD173" i="19" s="1"/>
  <c r="CC186" i="19"/>
  <c r="CD186" i="19" s="1"/>
  <c r="CC202" i="19"/>
  <c r="CD202" i="19" s="1"/>
  <c r="CC207" i="19"/>
  <c r="CD207" i="19" s="1"/>
  <c r="CC351" i="19"/>
  <c r="CD351" i="19" s="1"/>
  <c r="BT334" i="19"/>
  <c r="BT401" i="19"/>
  <c r="BT129" i="19"/>
  <c r="BT391" i="19"/>
  <c r="BT211" i="19"/>
  <c r="BT378" i="19"/>
  <c r="BT61" i="19"/>
  <c r="BT254" i="19"/>
  <c r="BT400" i="19"/>
  <c r="BT260" i="19"/>
  <c r="BT399" i="19"/>
  <c r="BT238" i="19"/>
  <c r="BT266" i="19"/>
  <c r="BT227" i="19"/>
  <c r="BT65" i="19"/>
  <c r="BT93" i="19"/>
  <c r="BT104" i="19"/>
  <c r="CC257" i="19"/>
  <c r="CD257" i="19" s="1"/>
  <c r="CC288" i="19"/>
  <c r="CD288" i="19" s="1"/>
  <c r="CC363" i="19"/>
  <c r="CD363" i="19" s="1"/>
  <c r="CC304" i="19"/>
  <c r="CD304" i="19" s="1"/>
  <c r="CC320" i="19"/>
  <c r="CD320" i="19" s="1"/>
  <c r="CC324" i="19"/>
  <c r="CD324" i="19" s="1"/>
  <c r="CC378" i="19"/>
  <c r="CD378" i="19" s="1"/>
  <c r="CC387" i="19"/>
  <c r="CD387" i="19" s="1"/>
  <c r="CC79" i="19"/>
  <c r="CD79" i="19" s="1"/>
  <c r="CC81" i="19"/>
  <c r="CD81" i="19" s="1"/>
  <c r="CC86" i="19"/>
  <c r="CD86" i="19" s="1"/>
  <c r="CC130" i="19"/>
  <c r="CD130" i="19" s="1"/>
  <c r="CC97" i="19"/>
  <c r="CD97" i="19" s="1"/>
  <c r="CC147" i="19"/>
  <c r="CD147" i="19" s="1"/>
  <c r="CC165" i="19"/>
  <c r="CD165" i="19" s="1"/>
  <c r="CC120" i="19"/>
  <c r="CD120" i="19" s="1"/>
  <c r="CC142" i="19"/>
  <c r="CD142" i="19" s="1"/>
  <c r="CC162" i="19"/>
  <c r="CD162" i="19" s="1"/>
  <c r="CC140" i="19"/>
  <c r="CD140" i="19" s="1"/>
  <c r="CC146" i="19"/>
  <c r="CD146" i="19" s="1"/>
  <c r="CC179" i="19"/>
  <c r="CD179" i="19" s="1"/>
  <c r="CC193" i="19"/>
  <c r="CD193" i="19" s="1"/>
  <c r="CC192" i="19"/>
  <c r="CD192" i="19" s="1"/>
  <c r="CC208" i="19"/>
  <c r="CD208" i="19" s="1"/>
  <c r="CC168" i="19"/>
  <c r="CD168" i="19" s="1"/>
  <c r="CC182" i="19"/>
  <c r="CD182" i="19" s="1"/>
  <c r="CC197" i="19"/>
  <c r="CD197" i="19" s="1"/>
  <c r="CC170" i="19"/>
  <c r="CD170" i="19" s="1"/>
  <c r="CC196" i="19"/>
  <c r="CD196" i="19" s="1"/>
  <c r="CC164" i="19"/>
  <c r="CD164" i="19" s="1"/>
  <c r="CC391" i="19"/>
  <c r="CD391" i="19" s="1"/>
  <c r="CC412" i="19"/>
  <c r="CD412" i="19" s="1"/>
  <c r="CC355" i="19"/>
  <c r="CD355" i="19" s="1"/>
  <c r="CC286" i="19"/>
  <c r="CD286" i="19" s="1"/>
  <c r="CC259" i="19"/>
  <c r="CD259" i="19" s="1"/>
  <c r="CC294" i="19"/>
  <c r="CD294" i="19" s="1"/>
  <c r="CC348" i="19"/>
  <c r="CD348" i="19" s="1"/>
  <c r="CC367" i="19"/>
  <c r="CD367" i="19" s="1"/>
  <c r="CC358" i="19"/>
  <c r="CD358" i="19" s="1"/>
  <c r="CC352" i="19"/>
  <c r="CD352" i="19" s="1"/>
  <c r="CC298" i="19"/>
  <c r="CD298" i="19" s="1"/>
  <c r="CC360" i="19"/>
  <c r="CD360" i="19" s="1"/>
  <c r="CC373" i="19"/>
  <c r="CD373" i="19" s="1"/>
  <c r="CC375" i="19"/>
  <c r="CD375" i="19" s="1"/>
  <c r="CC383" i="19"/>
  <c r="CD383" i="19" s="1"/>
  <c r="CC395" i="19"/>
  <c r="CD395" i="19" s="1"/>
  <c r="CC350" i="19"/>
  <c r="CD350" i="19" s="1"/>
  <c r="CC354" i="19"/>
  <c r="CD354" i="19" s="1"/>
  <c r="CC385" i="19"/>
  <c r="CD385" i="19" s="1"/>
  <c r="CC407" i="19"/>
  <c r="CD407" i="19" s="1"/>
  <c r="CC382" i="19"/>
  <c r="CD382" i="19" s="1"/>
  <c r="CC377" i="19"/>
  <c r="CD377" i="19" s="1"/>
  <c r="BT221" i="19"/>
  <c r="CC414" i="19"/>
  <c r="CD414" i="19" s="1"/>
  <c r="CC155" i="19"/>
  <c r="CD155" i="19" s="1"/>
  <c r="CC404" i="19"/>
  <c r="CD404" i="19" s="1"/>
  <c r="CC359" i="19"/>
  <c r="CD359" i="19" s="1"/>
  <c r="CC369" i="19"/>
  <c r="CD369" i="19" s="1"/>
  <c r="CC312" i="19"/>
  <c r="CD312" i="19" s="1"/>
  <c r="CC399" i="19"/>
  <c r="CD399" i="19" s="1"/>
  <c r="CC415" i="19"/>
  <c r="CD415" i="19" s="1"/>
  <c r="CC238" i="19"/>
  <c r="CD238" i="19" s="1"/>
  <c r="CC240" i="19"/>
  <c r="CD240" i="19" s="1"/>
  <c r="CC242" i="19"/>
  <c r="CD242" i="19" s="1"/>
  <c r="CC244" i="19"/>
  <c r="CD244" i="19" s="1"/>
  <c r="CC246" i="19"/>
  <c r="CD246" i="19" s="1"/>
  <c r="CC248" i="19"/>
  <c r="CD248" i="19" s="1"/>
  <c r="CC210" i="19"/>
  <c r="CD210" i="19" s="1"/>
  <c r="CC183" i="19"/>
  <c r="CD183" i="19" s="1"/>
  <c r="CC184" i="19"/>
  <c r="CD184" i="19" s="1"/>
  <c r="CC190" i="19"/>
  <c r="CD190" i="19" s="1"/>
  <c r="CC195" i="19"/>
  <c r="CD195" i="19" s="1"/>
  <c r="CC201" i="19"/>
  <c r="CD201" i="19" s="1"/>
  <c r="CC206" i="19"/>
  <c r="CD206" i="19" s="1"/>
  <c r="CC213" i="19"/>
  <c r="CD213" i="19" s="1"/>
  <c r="CC215" i="19"/>
  <c r="CD215" i="19" s="1"/>
  <c r="CC217" i="19"/>
  <c r="CD217" i="19" s="1"/>
  <c r="CC219" i="19"/>
  <c r="CD219" i="19" s="1"/>
  <c r="CC221" i="19"/>
  <c r="CD221" i="19" s="1"/>
  <c r="CC223" i="19"/>
  <c r="CD223" i="19" s="1"/>
  <c r="CC225" i="19"/>
  <c r="CD225" i="19" s="1"/>
  <c r="CC227" i="19"/>
  <c r="CD227" i="19" s="1"/>
  <c r="CC229" i="19"/>
  <c r="CD229" i="19" s="1"/>
  <c r="CC231" i="19"/>
  <c r="CD231" i="19" s="1"/>
  <c r="CC233" i="19"/>
  <c r="CD233" i="19" s="1"/>
  <c r="CC235" i="19"/>
  <c r="CD235" i="19" s="1"/>
  <c r="CC237" i="19"/>
  <c r="CD237" i="19" s="1"/>
  <c r="CC239" i="19"/>
  <c r="CD239" i="19" s="1"/>
  <c r="CC241" i="19"/>
  <c r="CD241" i="19" s="1"/>
  <c r="CC249" i="19"/>
  <c r="CD249" i="19" s="1"/>
  <c r="BU323" i="19"/>
  <c r="BU355" i="19"/>
  <c r="BU397" i="19"/>
  <c r="BU380" i="19"/>
  <c r="BU368" i="19"/>
  <c r="BU354" i="19"/>
  <c r="BU322" i="19"/>
  <c r="BU371" i="19"/>
  <c r="BU413" i="19"/>
  <c r="BU410" i="19"/>
  <c r="BU407" i="19"/>
  <c r="BU395" i="19"/>
  <c r="BU387" i="19"/>
  <c r="BU378" i="19"/>
  <c r="BU360" i="19"/>
  <c r="BU255" i="19"/>
  <c r="BU218" i="19"/>
  <c r="BU347" i="19"/>
  <c r="BU405" i="19"/>
  <c r="BU298" i="19"/>
  <c r="BU389" i="19"/>
  <c r="BU330" i="19"/>
  <c r="BU301" i="19"/>
  <c r="BS56" i="19"/>
  <c r="BU352" i="19"/>
  <c r="BU348" i="19"/>
  <c r="BU340" i="19"/>
  <c r="BU332" i="19"/>
  <c r="BU324" i="19"/>
  <c r="BU316" i="19"/>
  <c r="BU307" i="19"/>
  <c r="BU299" i="19"/>
  <c r="BU291" i="19"/>
  <c r="BU404" i="19"/>
  <c r="BU369" i="19"/>
  <c r="BU359" i="19"/>
  <c r="BU339" i="19"/>
  <c r="BU327" i="19"/>
  <c r="BU315" i="19"/>
  <c r="BU302" i="19"/>
  <c r="BU97" i="19"/>
  <c r="BU86" i="19"/>
  <c r="BU69" i="19"/>
  <c r="BS423" i="19"/>
  <c r="BU204" i="19"/>
  <c r="BU203" i="19"/>
  <c r="BU202" i="19"/>
  <c r="BU201" i="19"/>
  <c r="BU200" i="19"/>
  <c r="BU245" i="19"/>
  <c r="BU222" i="19"/>
  <c r="BU216" i="19"/>
  <c r="BU103" i="19"/>
  <c r="BU375" i="19"/>
  <c r="BU317" i="19"/>
  <c r="BU135" i="19"/>
  <c r="BU126" i="19"/>
  <c r="BU115" i="19"/>
  <c r="BU82" i="19"/>
  <c r="BU63" i="19"/>
  <c r="BU71" i="19"/>
  <c r="BU288" i="19"/>
  <c r="BU276" i="19"/>
  <c r="BU267" i="19"/>
  <c r="BU261" i="19"/>
  <c r="BU253" i="19"/>
  <c r="BU247" i="19"/>
  <c r="BU239" i="19"/>
  <c r="BU232" i="19"/>
  <c r="BU224" i="19"/>
  <c r="BU219" i="19"/>
  <c r="BU72" i="19"/>
  <c r="BU285" i="19"/>
  <c r="BU277" i="19"/>
  <c r="BU319" i="19"/>
  <c r="BU308" i="19"/>
  <c r="BU270" i="19"/>
  <c r="BU266" i="19"/>
  <c r="BU262" i="19"/>
  <c r="BU258" i="19"/>
  <c r="BU254" i="19"/>
  <c r="BU250" i="19"/>
  <c r="BU246" i="19"/>
  <c r="BU242" i="19"/>
  <c r="BU238" i="19"/>
  <c r="BU234" i="19"/>
  <c r="BU231" i="19"/>
  <c r="BU196" i="19"/>
  <c r="BU192" i="19"/>
  <c r="BU188" i="19"/>
  <c r="BU184" i="19"/>
  <c r="BU180" i="19"/>
  <c r="BU176" i="19"/>
  <c r="BU172" i="19"/>
  <c r="BU168" i="19"/>
  <c r="BU166" i="19"/>
  <c r="BU162" i="19"/>
  <c r="BU158" i="19"/>
  <c r="BU154" i="19"/>
  <c r="BU150" i="19"/>
  <c r="BU146" i="19"/>
  <c r="BU142" i="19"/>
  <c r="BU134" i="19"/>
  <c r="BU125" i="19"/>
  <c r="BU116" i="19"/>
  <c r="BU114" i="19"/>
  <c r="BU110" i="19"/>
  <c r="BU105" i="19"/>
  <c r="BU237" i="19"/>
  <c r="BU406" i="19"/>
  <c r="BU198" i="19"/>
  <c r="BU193" i="19"/>
  <c r="BU181" i="19"/>
  <c r="BU165" i="19"/>
  <c r="BU365" i="19"/>
  <c r="BU374" i="19"/>
  <c r="BU104" i="19"/>
  <c r="BU230" i="19"/>
  <c r="BU213" i="19"/>
  <c r="BU199" i="19"/>
  <c r="BU195" i="19"/>
  <c r="BU185" i="19"/>
  <c r="BU173" i="19"/>
  <c r="BU400" i="19"/>
  <c r="BU345" i="19"/>
  <c r="BU314" i="19"/>
  <c r="BU284" i="19"/>
  <c r="BU91" i="19"/>
  <c r="BU62" i="19"/>
  <c r="BU383" i="19"/>
  <c r="BU366" i="19"/>
  <c r="BU342" i="19"/>
  <c r="BU309" i="19"/>
  <c r="BU300" i="19"/>
  <c r="BU240" i="19"/>
  <c r="BU182" i="19"/>
  <c r="BU148" i="19"/>
  <c r="BU132" i="19"/>
  <c r="BU113" i="19"/>
  <c r="BU153" i="19"/>
  <c r="BU101" i="19"/>
  <c r="BU128" i="19"/>
  <c r="BU426" i="19" s="1"/>
  <c r="BU145" i="19"/>
  <c r="BU215" i="19"/>
  <c r="BU210" i="19"/>
  <c r="BU208" i="19"/>
  <c r="BU206" i="19"/>
  <c r="BU205" i="19"/>
  <c r="BU183" i="19"/>
  <c r="BU177" i="19"/>
  <c r="BU167" i="19"/>
  <c r="BU289" i="19"/>
  <c r="BU268" i="19"/>
  <c r="BU236" i="19"/>
  <c r="BU186" i="19"/>
  <c r="BU170" i="19"/>
  <c r="BU152" i="19"/>
  <c r="BS422" i="19"/>
  <c r="BU292" i="19"/>
  <c r="BU278" i="19"/>
  <c r="BU269" i="19"/>
  <c r="BU259" i="19"/>
  <c r="BU249" i="19"/>
  <c r="BU241" i="19"/>
  <c r="BU233" i="19"/>
  <c r="BU227" i="19"/>
  <c r="BU223" i="19"/>
  <c r="BU220" i="19"/>
  <c r="BU214" i="19"/>
  <c r="BU211" i="19"/>
  <c r="BU207" i="19"/>
  <c r="BU191" i="19"/>
  <c r="BU179" i="19"/>
  <c r="BU163" i="19"/>
  <c r="BU260" i="19"/>
  <c r="BS421" i="19"/>
  <c r="BU98" i="19"/>
  <c r="BU225" i="19"/>
  <c r="BU412" i="19"/>
  <c r="BU209" i="19"/>
  <c r="BU187" i="19"/>
  <c r="BU171" i="19"/>
  <c r="BU399" i="19"/>
  <c r="BU391" i="19"/>
  <c r="BU382" i="19"/>
  <c r="BU372" i="19"/>
  <c r="BS420" i="19"/>
  <c r="BU197" i="19"/>
  <c r="BU189" i="19"/>
  <c r="BU175" i="19"/>
  <c r="BU161" i="19"/>
  <c r="BU396" i="19"/>
  <c r="BU329" i="19"/>
  <c r="BU290" i="19"/>
  <c r="BU280" i="19"/>
  <c r="BU84" i="19"/>
  <c r="BU95" i="19"/>
  <c r="BU124" i="19"/>
  <c r="BU112" i="19"/>
  <c r="BU108" i="19"/>
  <c r="BU275" i="19"/>
  <c r="BU102" i="19"/>
  <c r="BU81" i="19"/>
  <c r="BU66" i="19"/>
  <c r="BU127" i="19"/>
  <c r="BU89" i="19"/>
  <c r="BU390" i="19"/>
  <c r="BU129" i="19"/>
  <c r="BU119" i="19"/>
  <c r="BU283" i="19"/>
  <c r="BU106" i="19"/>
  <c r="BU100" i="19"/>
  <c r="BU93" i="19"/>
  <c r="BU94" i="19"/>
  <c r="BU67" i="19"/>
  <c r="BU57" i="19"/>
  <c r="BU155" i="19"/>
  <c r="BU139" i="19"/>
  <c r="BU133" i="19"/>
  <c r="BU121" i="19"/>
  <c r="BU117" i="19"/>
  <c r="BU111" i="19"/>
  <c r="BU358" i="19"/>
  <c r="BU344" i="19"/>
  <c r="BU336" i="19"/>
  <c r="BU328" i="19"/>
  <c r="BU320" i="19"/>
  <c r="BU311" i="19"/>
  <c r="BU303" i="19"/>
  <c r="BU295" i="19"/>
  <c r="BU287" i="19"/>
  <c r="BU279" i="19"/>
  <c r="BU373" i="19"/>
  <c r="BU363" i="19"/>
  <c r="BU353" i="19"/>
  <c r="BU136" i="19"/>
  <c r="BU118" i="19"/>
  <c r="BU90" i="19"/>
  <c r="BU343" i="19"/>
  <c r="BU141" i="19"/>
  <c r="BU131" i="19"/>
  <c r="BU123" i="19"/>
  <c r="BU109" i="19"/>
  <c r="BU83" i="19"/>
  <c r="BU87" i="19"/>
  <c r="BU61" i="19"/>
  <c r="BU367" i="19"/>
  <c r="BU325" i="19"/>
  <c r="BU159" i="19"/>
  <c r="BU147" i="19"/>
  <c r="BU78" i="19"/>
  <c r="BU68" i="19"/>
  <c r="BU73" i="19"/>
  <c r="BU88" i="19"/>
  <c r="BS425" i="19"/>
  <c r="BU138" i="19"/>
  <c r="BU130" i="19"/>
  <c r="BU120" i="19"/>
  <c r="BU388" i="19"/>
  <c r="BU385" i="19"/>
  <c r="BU381" i="19"/>
  <c r="BU377" i="19"/>
  <c r="BU370" i="19"/>
  <c r="BU362" i="19"/>
  <c r="BU59" i="19"/>
  <c r="BU357" i="19"/>
  <c r="BU321" i="19"/>
  <c r="BU282" i="19"/>
  <c r="BU271" i="19"/>
  <c r="BU257" i="19"/>
  <c r="BU244" i="19"/>
  <c r="BU228" i="19"/>
  <c r="BU350" i="19"/>
  <c r="BU403" i="19"/>
  <c r="BU265" i="19"/>
  <c r="BU221" i="19"/>
  <c r="BU297" i="19"/>
  <c r="BU140" i="19"/>
  <c r="BU341" i="19"/>
  <c r="BU251" i="19"/>
  <c r="BU226" i="19"/>
  <c r="BU334" i="19"/>
  <c r="BU264" i="19"/>
  <c r="BS424" i="19"/>
  <c r="BU393" i="19"/>
  <c r="BU376" i="19"/>
  <c r="BS426" i="19"/>
  <c r="BU169" i="19"/>
  <c r="BU394" i="19"/>
  <c r="BU386" i="19"/>
  <c r="BU356" i="19"/>
  <c r="BU293" i="19"/>
  <c r="BU190" i="19"/>
  <c r="BU99" i="19"/>
  <c r="BU60" i="19"/>
  <c r="BU361" i="19"/>
  <c r="BU331" i="19"/>
  <c r="BU157" i="19"/>
  <c r="BU149" i="19"/>
  <c r="BU294" i="19"/>
  <c r="BU235" i="19"/>
  <c r="BU80" i="19"/>
  <c r="BU318" i="19"/>
  <c r="BU272" i="19"/>
  <c r="BU248" i="19"/>
  <c r="BU229" i="19"/>
  <c r="BU174" i="19"/>
  <c r="BU156" i="19"/>
  <c r="BU122" i="19"/>
  <c r="BU107" i="19"/>
  <c r="BU401" i="19"/>
  <c r="BU384" i="19"/>
  <c r="BU364" i="19"/>
  <c r="BU338" i="19"/>
  <c r="BU305" i="19"/>
  <c r="BU312" i="19"/>
  <c r="BU243" i="19"/>
  <c r="BU194" i="19"/>
  <c r="BU178" i="19"/>
  <c r="BU160" i="19"/>
  <c r="BU144" i="19"/>
  <c r="BU349" i="19"/>
  <c r="BU143" i="19"/>
  <c r="BU96" i="19"/>
  <c r="BU75" i="19"/>
  <c r="BU92" i="19"/>
  <c r="BU70" i="19"/>
  <c r="BU76" i="19"/>
  <c r="BU274" i="19"/>
  <c r="BU415" i="19"/>
  <c r="BU398" i="19"/>
  <c r="BU392" i="19"/>
  <c r="BU379" i="19"/>
  <c r="BU326" i="19"/>
  <c r="BU256" i="19"/>
  <c r="BU164" i="19"/>
  <c r="BU333" i="19"/>
  <c r="BU217" i="19"/>
  <c r="BU212" i="19"/>
  <c r="BU409" i="19"/>
  <c r="BU408" i="19"/>
  <c r="BU414" i="19"/>
  <c r="BU74" i="19"/>
  <c r="BU64" i="19"/>
  <c r="BU402" i="19"/>
  <c r="BU337" i="19"/>
  <c r="BU306" i="19"/>
  <c r="BU151" i="19"/>
  <c r="BU137" i="19"/>
  <c r="BU58" i="19"/>
  <c r="BU65" i="19"/>
  <c r="BU79" i="19"/>
  <c r="BU77" i="19"/>
  <c r="BU85" i="19"/>
  <c r="BU351" i="19"/>
  <c r="BU335" i="19"/>
  <c r="BU304" i="19"/>
  <c r="BU286" i="19"/>
  <c r="BU273" i="19"/>
  <c r="BU346" i="19"/>
  <c r="BU313" i="19"/>
  <c r="BU281" i="19"/>
  <c r="BU252" i="19"/>
  <c r="BU310" i="19"/>
  <c r="BU296" i="19"/>
  <c r="BU263" i="19"/>
  <c r="BU411" i="19"/>
  <c r="BF54" i="19"/>
  <c r="I36" i="19"/>
  <c r="BF417" i="19"/>
  <c r="BF55" i="19"/>
  <c r="H30" i="19" l="1"/>
  <c r="BG55" i="19"/>
  <c r="BG54" i="19"/>
  <c r="BG417" i="19"/>
  <c r="CC56" i="19"/>
  <c r="BR55" i="19"/>
  <c r="BT56" i="19"/>
  <c r="BR417" i="19"/>
  <c r="CC424" i="19"/>
  <c r="CD104" i="19"/>
  <c r="CD424" i="19" s="1"/>
  <c r="CC421" i="19"/>
  <c r="CD68" i="19"/>
  <c r="CD421" i="19" s="1"/>
  <c r="CD128" i="19"/>
  <c r="CD426" i="19" s="1"/>
  <c r="CC426" i="19"/>
  <c r="CC420" i="19"/>
  <c r="CD57" i="19"/>
  <c r="CD420" i="19" s="1"/>
  <c r="CC425" i="19"/>
  <c r="CD116" i="19"/>
  <c r="CD425" i="19" s="1"/>
  <c r="CC422" i="19"/>
  <c r="CD80" i="19"/>
  <c r="CD422" i="19" s="1"/>
  <c r="CC423" i="19"/>
  <c r="CD92" i="19"/>
  <c r="CD423" i="19" s="1"/>
  <c r="BS55" i="19"/>
  <c r="BS417" i="19"/>
  <c r="BU56" i="19"/>
  <c r="BT422" i="19"/>
  <c r="BT420" i="19"/>
  <c r="BT425" i="19"/>
  <c r="BT423" i="19"/>
  <c r="BT421" i="19"/>
  <c r="BR451" i="19"/>
  <c r="BT424" i="19"/>
  <c r="BU421" i="19"/>
  <c r="BS451" i="19"/>
  <c r="BU425" i="19"/>
  <c r="BU424" i="19"/>
  <c r="BU420" i="19"/>
  <c r="BU422" i="19"/>
  <c r="BU423" i="19"/>
  <c r="CC451" i="19" l="1"/>
  <c r="CD56" i="19"/>
  <c r="CC55" i="19"/>
  <c r="CC417" i="19"/>
  <c r="BT417" i="19"/>
  <c r="BT55" i="19"/>
  <c r="J35" i="19" s="1"/>
  <c r="J37" i="19" s="1"/>
  <c r="BU417" i="19"/>
  <c r="BU55" i="19"/>
  <c r="I35" i="19" s="1"/>
  <c r="K30" i="19"/>
  <c r="G30" i="19"/>
  <c r="CD55" i="19" l="1"/>
  <c r="CD417" i="19"/>
  <c r="H35" i="19"/>
  <c r="H37" i="19" s="1"/>
  <c r="I37" i="19"/>
  <c r="S20" i="19" l="1"/>
  <c r="T20" i="19"/>
  <c r="U20" i="19"/>
  <c r="V20" i="19"/>
  <c r="W20" i="19"/>
  <c r="X20" i="19"/>
  <c r="Y20" i="19"/>
  <c r="S21" i="19"/>
  <c r="T21" i="19"/>
  <c r="U21" i="19"/>
  <c r="V21" i="19"/>
  <c r="W21" i="19"/>
  <c r="X21" i="19"/>
  <c r="Y21" i="19"/>
  <c r="S25" i="19"/>
  <c r="T25" i="19"/>
  <c r="U25" i="19"/>
  <c r="V25" i="19"/>
  <c r="W25" i="19"/>
  <c r="X25" i="19"/>
  <c r="Y25" i="19"/>
  <c r="S26" i="19"/>
  <c r="T26" i="19"/>
  <c r="U26" i="19"/>
  <c r="V26" i="19"/>
  <c r="W26" i="19"/>
  <c r="X26" i="19"/>
  <c r="Y26" i="19"/>
  <c r="S30" i="19"/>
  <c r="T30" i="19"/>
  <c r="U30" i="19"/>
  <c r="V30" i="19"/>
  <c r="W30" i="19"/>
  <c r="X30" i="19"/>
  <c r="Y30" i="19"/>
  <c r="S31" i="19"/>
  <c r="T31" i="19"/>
  <c r="U31" i="19"/>
  <c r="V31" i="19"/>
  <c r="W31" i="19"/>
  <c r="X31" i="19"/>
  <c r="Y31" i="19"/>
  <c r="S35" i="19"/>
  <c r="T35" i="19"/>
  <c r="U35" i="19"/>
  <c r="V35" i="19"/>
  <c r="W35" i="19"/>
  <c r="X35" i="19"/>
  <c r="Y35" i="19"/>
  <c r="S36" i="19"/>
  <c r="T36" i="19"/>
  <c r="U36" i="19"/>
  <c r="V36" i="19"/>
  <c r="W36" i="19"/>
  <c r="X36" i="19"/>
  <c r="Y36" i="19"/>
  <c r="U39" i="19" l="1"/>
  <c r="Y40" i="19"/>
  <c r="X40" i="19"/>
  <c r="W39" i="19"/>
  <c r="V39" i="19"/>
  <c r="S39" i="19"/>
  <c r="T39" i="19"/>
  <c r="X39" i="19"/>
  <c r="Y39" i="19"/>
  <c r="S40" i="19"/>
  <c r="T40" i="19"/>
  <c r="U40" i="19"/>
  <c r="W40" i="19"/>
  <c r="V40" i="19"/>
  <c r="O39" i="19" l="1"/>
  <c r="O40" i="19"/>
  <c r="AC1" i="17"/>
  <c r="AD1" i="17"/>
  <c r="AE1" i="17"/>
  <c r="AP4" i="17"/>
  <c r="AE7" i="17"/>
  <c r="AF7" i="17"/>
  <c r="AG7" i="17"/>
  <c r="AM7" i="17"/>
  <c r="AN7" i="17"/>
  <c r="AO7" i="17"/>
  <c r="AP7" i="17"/>
  <c r="AC8" i="17" a="1"/>
  <c r="AC8" i="17"/>
  <c r="AD8" i="17"/>
  <c r="AE8" i="17"/>
  <c r="AF8" i="17"/>
  <c r="AG8" i="17"/>
  <c r="AM8" i="17" a="1"/>
  <c r="AM8" i="17"/>
  <c r="AN8" i="17" a="1"/>
  <c r="AN8" i="17"/>
  <c r="AO8" i="17"/>
  <c r="AP8" i="17"/>
  <c r="AC9" i="17" a="1"/>
  <c r="AC9" i="17"/>
  <c r="AD9" i="17"/>
  <c r="AE9" i="17"/>
  <c r="AF9" i="17"/>
  <c r="AG9" i="17"/>
  <c r="AO9" i="17"/>
  <c r="AP9" i="17"/>
  <c r="AC10" i="17" a="1"/>
  <c r="AC10" i="17"/>
  <c r="AD10" i="17"/>
  <c r="AE10" i="17"/>
  <c r="AF10" i="17"/>
  <c r="AG10" i="17"/>
  <c r="AO10" i="17"/>
  <c r="AP10" i="17"/>
  <c r="AC11" i="17" a="1"/>
  <c r="AC11" i="17"/>
  <c r="AD11" i="17"/>
  <c r="AE11" i="17"/>
  <c r="AF11" i="17"/>
  <c r="AG11" i="17"/>
  <c r="AO11" i="17"/>
  <c r="AP11" i="17"/>
  <c r="AC12" i="17" a="1"/>
  <c r="AC12" i="17"/>
  <c r="AD12" i="17"/>
  <c r="AE12" i="17"/>
  <c r="AF12" i="17"/>
  <c r="AG12" i="17"/>
  <c r="AO12" i="17"/>
  <c r="AP12" i="17"/>
  <c r="AC13" i="17" a="1"/>
  <c r="AC13" i="17"/>
  <c r="AD13" i="17"/>
  <c r="AE13" i="17"/>
  <c r="AF13" i="17"/>
  <c r="AG13" i="17"/>
  <c r="AO13" i="17"/>
  <c r="AP13" i="17"/>
  <c r="AC14" i="17" a="1"/>
  <c r="AC14" i="17"/>
  <c r="AD14" i="17"/>
  <c r="AE14" i="17"/>
  <c r="AF14" i="17"/>
  <c r="AG14" i="17"/>
  <c r="AO14" i="17"/>
  <c r="AP14" i="17"/>
  <c r="AC15" i="17" a="1"/>
  <c r="AC15" i="17"/>
  <c r="AD15" i="17"/>
  <c r="AE15" i="17"/>
  <c r="AF15" i="17"/>
  <c r="AG15" i="17"/>
  <c r="AO15" i="17"/>
  <c r="AP15" i="17"/>
  <c r="AC16" i="17" a="1"/>
  <c r="AC16" i="17"/>
  <c r="AD16" i="17"/>
  <c r="AE16" i="17"/>
  <c r="AF16" i="17"/>
  <c r="AG16" i="17"/>
  <c r="AO16" i="17"/>
  <c r="AP16" i="17"/>
  <c r="AC17" i="17" a="1"/>
  <c r="AC17" i="17"/>
  <c r="AD17" i="17"/>
  <c r="AE17" i="17"/>
  <c r="AF17" i="17"/>
  <c r="AG17" i="17"/>
  <c r="AO17" i="17"/>
  <c r="AP17" i="17"/>
  <c r="AC18" i="17" a="1"/>
  <c r="AC18" i="17"/>
  <c r="AD18" i="17"/>
  <c r="AE18" i="17"/>
  <c r="AF18" i="17"/>
  <c r="AG18" i="17"/>
  <c r="AO18" i="17"/>
  <c r="AP18" i="17"/>
  <c r="AC19" i="17" a="1"/>
  <c r="AC19" i="17"/>
  <c r="AD19" i="17"/>
  <c r="AE19" i="17"/>
  <c r="AF19" i="17"/>
  <c r="AG19" i="17"/>
  <c r="AO19" i="17"/>
  <c r="AP19" i="17"/>
  <c r="AC20" i="17" a="1"/>
  <c r="AC20" i="17"/>
  <c r="AD20" i="17"/>
  <c r="AE20" i="17"/>
  <c r="AF20" i="17"/>
  <c r="AG20" i="17"/>
  <c r="AO20" i="17"/>
  <c r="AP20" i="17"/>
  <c r="AC21" i="17" a="1"/>
  <c r="AC21" i="17"/>
  <c r="AD21" i="17"/>
  <c r="AE21" i="17"/>
  <c r="AF21" i="17"/>
  <c r="AG21" i="17"/>
  <c r="AO21" i="17"/>
  <c r="AP21" i="17"/>
  <c r="AC22" i="17" a="1"/>
  <c r="AC22" i="17"/>
  <c r="AD22" i="17"/>
  <c r="AE22" i="17"/>
  <c r="AF22" i="17"/>
  <c r="AG22" i="17"/>
  <c r="AO22" i="17"/>
  <c r="AP22" i="17"/>
  <c r="AC23" i="17" a="1"/>
  <c r="AC23" i="17"/>
  <c r="AD23" i="17"/>
  <c r="AE23" i="17"/>
  <c r="AF23" i="17"/>
  <c r="AG23" i="17"/>
  <c r="AO23" i="17"/>
  <c r="AP23" i="17"/>
  <c r="AC24" i="17" a="1"/>
  <c r="AC24" i="17"/>
  <c r="AD24" i="17"/>
  <c r="AE24" i="17"/>
  <c r="AF24" i="17"/>
  <c r="AG24" i="17"/>
  <c r="AO24" i="17"/>
  <c r="AP24" i="17"/>
  <c r="AC25" i="17" a="1"/>
  <c r="AC25" i="17"/>
  <c r="AD25" i="17"/>
  <c r="AE25" i="17"/>
  <c r="AF25" i="17"/>
  <c r="AG25" i="17"/>
  <c r="AO25" i="17"/>
  <c r="AP25" i="17"/>
  <c r="AC26" i="17" a="1"/>
  <c r="AC26" i="17"/>
  <c r="AD26" i="17"/>
  <c r="AE26" i="17"/>
  <c r="AF26" i="17"/>
  <c r="AG26" i="17"/>
  <c r="AO26" i="17"/>
  <c r="AP26" i="17"/>
  <c r="AC27" i="17" a="1"/>
  <c r="AC27" i="17"/>
  <c r="AD27" i="17"/>
  <c r="AE27" i="17"/>
  <c r="AF27" i="17"/>
  <c r="AG27" i="17"/>
  <c r="AO27" i="17"/>
  <c r="AP27" i="17"/>
  <c r="AC28" i="17" a="1"/>
  <c r="AC28" i="17"/>
  <c r="AD28" i="17"/>
  <c r="AE28" i="17"/>
  <c r="AF28" i="17"/>
  <c r="AG28" i="17"/>
  <c r="AO28" i="17"/>
  <c r="AP28" i="17"/>
  <c r="AC29" i="17" a="1"/>
  <c r="AC29" i="17"/>
  <c r="AD29" i="17"/>
  <c r="AE29" i="17"/>
  <c r="AF29" i="17"/>
  <c r="AG29" i="17"/>
  <c r="AO29" i="17"/>
  <c r="AP29" i="17"/>
  <c r="AC30" i="17" a="1"/>
  <c r="AC30" i="17"/>
  <c r="AD30" i="17"/>
  <c r="AE30" i="17"/>
  <c r="AF30" i="17"/>
  <c r="AG30" i="17"/>
  <c r="AO30" i="17"/>
  <c r="AP30" i="17"/>
  <c r="AC31" i="17" a="1"/>
  <c r="AC31" i="17"/>
  <c r="AD31" i="17"/>
  <c r="AE31" i="17"/>
  <c r="AF31" i="17"/>
  <c r="AG31" i="17"/>
  <c r="AO31" i="17"/>
  <c r="AP31" i="17"/>
  <c r="AC32" i="17" a="1"/>
  <c r="AC32" i="17"/>
  <c r="AD32" i="17"/>
  <c r="AE32" i="17"/>
  <c r="AF32" i="17"/>
  <c r="AG32" i="17"/>
  <c r="AO32" i="17"/>
  <c r="AP32" i="17"/>
  <c r="AC33" i="17" a="1"/>
  <c r="AC33" i="17"/>
  <c r="AD33" i="17"/>
  <c r="AE33" i="17"/>
  <c r="AF33" i="17"/>
  <c r="AG33" i="17"/>
  <c r="AO33" i="17"/>
  <c r="AP33" i="17"/>
  <c r="AC34" i="17" a="1"/>
  <c r="AC34" i="17"/>
  <c r="AD34" i="17"/>
  <c r="AE34" i="17"/>
  <c r="AF34" i="17"/>
  <c r="AG34" i="17"/>
  <c r="AO34" i="17"/>
  <c r="AP34" i="17"/>
  <c r="AC35" i="17" a="1"/>
  <c r="AC35" i="17"/>
  <c r="AD35" i="17"/>
  <c r="AE35" i="17"/>
  <c r="AF35" i="17"/>
  <c r="AG35" i="17"/>
  <c r="AO35" i="17"/>
  <c r="AP35" i="17"/>
  <c r="AC36" i="17" a="1"/>
  <c r="AC36" i="17"/>
  <c r="AD36" i="17"/>
  <c r="AE36" i="17"/>
  <c r="AF36" i="17"/>
  <c r="AG36" i="17"/>
  <c r="AO36" i="17"/>
  <c r="AP36" i="17"/>
  <c r="AC37" i="17" a="1"/>
  <c r="AC37" i="17"/>
  <c r="AD37" i="17"/>
  <c r="AE37" i="17"/>
  <c r="AF37" i="17"/>
  <c r="AG37" i="17"/>
  <c r="AO37" i="17"/>
  <c r="AP37" i="17"/>
  <c r="AC38" i="17" a="1"/>
  <c r="AC38" i="17"/>
  <c r="AD38" i="17"/>
  <c r="AE38" i="17"/>
  <c r="AF38" i="17"/>
  <c r="AG38" i="17"/>
  <c r="AO38" i="17"/>
  <c r="AP38" i="17"/>
  <c r="AC39" i="17" a="1"/>
  <c r="AC39" i="17"/>
  <c r="AD39" i="17"/>
  <c r="AE39" i="17"/>
  <c r="AF39" i="17"/>
  <c r="AG39" i="17"/>
  <c r="AO39" i="17"/>
  <c r="AP39" i="17"/>
  <c r="AC40" i="17" a="1"/>
  <c r="AC40" i="17"/>
  <c r="AD40" i="17"/>
  <c r="AE40" i="17"/>
  <c r="AF40" i="17"/>
  <c r="AG40" i="17"/>
  <c r="AO40" i="17"/>
  <c r="AP40" i="17"/>
  <c r="AC41" i="17" a="1"/>
  <c r="AC41" i="17"/>
  <c r="AD41" i="17"/>
  <c r="AE41" i="17"/>
  <c r="AF41" i="17"/>
  <c r="AG41" i="17"/>
  <c r="AO41" i="17"/>
  <c r="AP41" i="17"/>
  <c r="AC42" i="17" a="1"/>
  <c r="AC42" i="17"/>
  <c r="AD42" i="17"/>
  <c r="AE42" i="17"/>
  <c r="AF42" i="17"/>
  <c r="AG42" i="17"/>
  <c r="AO42" i="17"/>
  <c r="AP42" i="17"/>
  <c r="AC43" i="17" a="1"/>
  <c r="AC43" i="17"/>
  <c r="AD43" i="17"/>
  <c r="AE43" i="17"/>
  <c r="AF43" i="17"/>
  <c r="AG43" i="17"/>
  <c r="AO43" i="17"/>
  <c r="AP43" i="17"/>
  <c r="AC44" i="17" a="1"/>
  <c r="AC44" i="17"/>
  <c r="AD44" i="17"/>
  <c r="AE44" i="17"/>
  <c r="AF44" i="17"/>
  <c r="AG44" i="17"/>
  <c r="AO44" i="17"/>
  <c r="AP44" i="17"/>
  <c r="AC45" i="17" a="1"/>
  <c r="AC45" i="17"/>
  <c r="AD45" i="17"/>
  <c r="AE45" i="17"/>
  <c r="AF45" i="17"/>
  <c r="AG45" i="17"/>
  <c r="AO45" i="17"/>
  <c r="AP45" i="17"/>
  <c r="AC46" i="17" a="1"/>
  <c r="AC46" i="17"/>
  <c r="AD46" i="17"/>
  <c r="AE46" i="17"/>
  <c r="AF46" i="17"/>
  <c r="AG46" i="17"/>
  <c r="AO46" i="17"/>
  <c r="AP46" i="17"/>
  <c r="AC47" i="17" a="1"/>
  <c r="AC47" i="17"/>
  <c r="AD47" i="17"/>
  <c r="AE47" i="17"/>
  <c r="AF47" i="17"/>
  <c r="AG47" i="17"/>
  <c r="AO47" i="17"/>
  <c r="AP47" i="17"/>
  <c r="AC48" i="17" a="1"/>
  <c r="AC48" i="17"/>
  <c r="AD48" i="17"/>
  <c r="AE48" i="17"/>
  <c r="AF48" i="17"/>
  <c r="AG48" i="17"/>
  <c r="AO48" i="17"/>
  <c r="AP48" i="17"/>
  <c r="AC49" i="17" a="1"/>
  <c r="AC49" i="17"/>
  <c r="AD49" i="17"/>
  <c r="AE49" i="17"/>
  <c r="AF49" i="17"/>
  <c r="AG49" i="17"/>
  <c r="AO49" i="17"/>
  <c r="AP49" i="17"/>
  <c r="AC50" i="17" a="1"/>
  <c r="AC50" i="17"/>
  <c r="AD50" i="17"/>
  <c r="AE50" i="17"/>
  <c r="AF50" i="17"/>
  <c r="AG50" i="17"/>
  <c r="AO50" i="17"/>
  <c r="AP50" i="17"/>
  <c r="AC51" i="17" a="1"/>
  <c r="AC51" i="17"/>
  <c r="AD51" i="17"/>
  <c r="AE51" i="17"/>
  <c r="AF51" i="17"/>
  <c r="AG51" i="17"/>
  <c r="AO51" i="17"/>
  <c r="AP51" i="17"/>
  <c r="AC52" i="17" a="1"/>
  <c r="AC52" i="17"/>
  <c r="AD52" i="17"/>
  <c r="AE52" i="17"/>
  <c r="AF52" i="17"/>
  <c r="AG52" i="17"/>
  <c r="AO52" i="17"/>
  <c r="AP52" i="17"/>
  <c r="AC53" i="17" a="1"/>
  <c r="AC53" i="17"/>
  <c r="AD53" i="17"/>
  <c r="AE53" i="17"/>
  <c r="AF53" i="17"/>
  <c r="AG53" i="17"/>
  <c r="AO53" i="17"/>
  <c r="AP53" i="17"/>
  <c r="AC54" i="17" a="1"/>
  <c r="AC54" i="17"/>
  <c r="AD54" i="17"/>
  <c r="AE54" i="17"/>
  <c r="AF54" i="17"/>
  <c r="AG54" i="17"/>
  <c r="AO54" i="17"/>
  <c r="AP54" i="17"/>
  <c r="AC55" i="17" a="1"/>
  <c r="AC55" i="17"/>
  <c r="AD55" i="17"/>
  <c r="AE55" i="17"/>
  <c r="AF55" i="17"/>
  <c r="AG55" i="17"/>
  <c r="AO55" i="17"/>
  <c r="AP55" i="17"/>
  <c r="AC56" i="17" a="1"/>
  <c r="AC56" i="17"/>
  <c r="AD56" i="17"/>
  <c r="AE56" i="17"/>
  <c r="AF56" i="17"/>
  <c r="AG56" i="17"/>
  <c r="AO56" i="17"/>
  <c r="AP56" i="17"/>
  <c r="AC57" i="17" a="1"/>
  <c r="AC57" i="17"/>
  <c r="AD57" i="17"/>
  <c r="AE57" i="17"/>
  <c r="AF57" i="17"/>
  <c r="AG57" i="17"/>
  <c r="AO57" i="17"/>
  <c r="AP57" i="17"/>
  <c r="AC58" i="17" a="1"/>
  <c r="AC58" i="17"/>
  <c r="AD58" i="17"/>
  <c r="AE58" i="17"/>
  <c r="AF58" i="17"/>
  <c r="AG58" i="17"/>
  <c r="AO58" i="17"/>
  <c r="AP58" i="17"/>
  <c r="AC59" i="17" a="1"/>
  <c r="AC59" i="17"/>
  <c r="AD59" i="17"/>
  <c r="AE59" i="17"/>
  <c r="AF59" i="17"/>
  <c r="AG59" i="17"/>
  <c r="AO59" i="17"/>
  <c r="AP59" i="17"/>
  <c r="AC60" i="17" a="1"/>
  <c r="AC60" i="17"/>
  <c r="AD60" i="17"/>
  <c r="AE60" i="17"/>
  <c r="AF60" i="17"/>
  <c r="AG60" i="17"/>
  <c r="AO60" i="17"/>
  <c r="AP60" i="17"/>
  <c r="AC61" i="17" a="1"/>
  <c r="AC61" i="17"/>
  <c r="AD61" i="17"/>
  <c r="AE61" i="17"/>
  <c r="AF61" i="17"/>
  <c r="AG61" i="17"/>
  <c r="AO61" i="17"/>
  <c r="AP61" i="17"/>
  <c r="AC62" i="17" a="1"/>
  <c r="AC62" i="17"/>
  <c r="AD62" i="17"/>
  <c r="AE62" i="17"/>
  <c r="AF62" i="17"/>
  <c r="AG62" i="17"/>
  <c r="AO62" i="17"/>
  <c r="AP62" i="17"/>
  <c r="AC63" i="17" a="1"/>
  <c r="AC63" i="17"/>
  <c r="AD63" i="17"/>
  <c r="AE63" i="17"/>
  <c r="AF63" i="17"/>
  <c r="AG63" i="17"/>
  <c r="AO63" i="17"/>
  <c r="AP63" i="17"/>
  <c r="AC64" i="17" a="1"/>
  <c r="AC64" i="17"/>
  <c r="AD64" i="17"/>
  <c r="AE64" i="17"/>
  <c r="AF64" i="17"/>
  <c r="AG64" i="17"/>
  <c r="AO64" i="17"/>
  <c r="AP64" i="17"/>
  <c r="AC65" i="17" a="1"/>
  <c r="AC65" i="17"/>
  <c r="AD65" i="17"/>
  <c r="AE65" i="17"/>
  <c r="AF65" i="17"/>
  <c r="AG65" i="17"/>
  <c r="AO65" i="17"/>
  <c r="AP65" i="17"/>
  <c r="AC66" i="17" a="1"/>
  <c r="AC66" i="17"/>
  <c r="AD66" i="17"/>
  <c r="AE66" i="17"/>
  <c r="AF66" i="17"/>
  <c r="AG66" i="17"/>
  <c r="AO66" i="17"/>
  <c r="AP66" i="17"/>
  <c r="AC67" i="17" a="1"/>
  <c r="AC67" i="17"/>
  <c r="AD67" i="17"/>
  <c r="AE67" i="17"/>
  <c r="AF67" i="17"/>
  <c r="AG67" i="17"/>
  <c r="AO67" i="17"/>
  <c r="AP67" i="17"/>
  <c r="AC68" i="17" a="1"/>
  <c r="AC68" i="17"/>
  <c r="AD68" i="17"/>
  <c r="AE68" i="17"/>
  <c r="AF68" i="17"/>
  <c r="AG68" i="17"/>
  <c r="AO68" i="17"/>
  <c r="AP68" i="17"/>
  <c r="AC69" i="17" a="1"/>
  <c r="AC69" i="17"/>
  <c r="AD69" i="17"/>
  <c r="AE69" i="17"/>
  <c r="AF69" i="17"/>
  <c r="AG69" i="17"/>
  <c r="AO69" i="17"/>
  <c r="AP69" i="17"/>
  <c r="AC70" i="17" a="1"/>
  <c r="AC70" i="17"/>
  <c r="AD70" i="17"/>
  <c r="AE70" i="17"/>
  <c r="AF70" i="17"/>
  <c r="AG70" i="17"/>
  <c r="AO70" i="17"/>
  <c r="AP70" i="17"/>
  <c r="AC71" i="17" a="1"/>
  <c r="AC71" i="17"/>
  <c r="AD71" i="17"/>
  <c r="AE71" i="17"/>
  <c r="AF71" i="17"/>
  <c r="AG71" i="17"/>
  <c r="AO71" i="17"/>
  <c r="AP71" i="17"/>
  <c r="AC72" i="17" a="1"/>
  <c r="AC72" i="17"/>
  <c r="AD72" i="17"/>
  <c r="AE72" i="17"/>
  <c r="AF72" i="17"/>
  <c r="AG72" i="17"/>
  <c r="AO72" i="17"/>
  <c r="AP72" i="17"/>
  <c r="AC73" i="17" a="1"/>
  <c r="AC73" i="17"/>
  <c r="AD73" i="17"/>
  <c r="AE73" i="17"/>
  <c r="AF73" i="17"/>
  <c r="AG73" i="17"/>
  <c r="AO73" i="17"/>
  <c r="AP73" i="17"/>
  <c r="AC74" i="17" a="1"/>
  <c r="AC74" i="17"/>
  <c r="AD74" i="17"/>
  <c r="AE74" i="17"/>
  <c r="AF74" i="17"/>
  <c r="AG74" i="17"/>
  <c r="AO74" i="17"/>
  <c r="AP74" i="17"/>
  <c r="AC75" i="17" a="1"/>
  <c r="AC75" i="17"/>
  <c r="AD75" i="17"/>
  <c r="AE75" i="17"/>
  <c r="AF75" i="17"/>
  <c r="AG75" i="17"/>
  <c r="AO75" i="17"/>
  <c r="AP75" i="17"/>
  <c r="AC76" i="17" a="1"/>
  <c r="AC76" i="17"/>
  <c r="AD76" i="17"/>
  <c r="AE76" i="17"/>
  <c r="AF76" i="17"/>
  <c r="AG76" i="17"/>
  <c r="AO76" i="17"/>
  <c r="AP76" i="17"/>
  <c r="AC77" i="17" a="1"/>
  <c r="AC77" i="17"/>
  <c r="AD77" i="17"/>
  <c r="AE77" i="17"/>
  <c r="AF77" i="17"/>
  <c r="AG77" i="17"/>
  <c r="AO77" i="17"/>
  <c r="AP77" i="17"/>
  <c r="AC78" i="17" a="1"/>
  <c r="AC78" i="17"/>
  <c r="AD78" i="17"/>
  <c r="AE78" i="17"/>
  <c r="AF78" i="17"/>
  <c r="AG78" i="17"/>
  <c r="AO78" i="17"/>
  <c r="AP78" i="17"/>
  <c r="AC79" i="17" a="1"/>
  <c r="AC79" i="17"/>
  <c r="AD79" i="17"/>
  <c r="AE79" i="17"/>
  <c r="AF79" i="17"/>
  <c r="AG79" i="17"/>
  <c r="AO79" i="17"/>
  <c r="AP79" i="17"/>
  <c r="AC80" i="17" a="1"/>
  <c r="AC80" i="17"/>
  <c r="AD80" i="17"/>
  <c r="AE80" i="17"/>
  <c r="AF80" i="17"/>
  <c r="AG80" i="17"/>
  <c r="AO80" i="17"/>
  <c r="AP80" i="17"/>
  <c r="AC81" i="17" a="1"/>
  <c r="AC81" i="17"/>
  <c r="AD81" i="17"/>
  <c r="AO81" i="17"/>
  <c r="AP81" i="17"/>
  <c r="AC82" i="17" a="1"/>
  <c r="AC82" i="17"/>
  <c r="AD82" i="17"/>
  <c r="AO82" i="17"/>
  <c r="AP82" i="17"/>
  <c r="AC83" i="17" a="1"/>
  <c r="AC83" i="17"/>
  <c r="AD83" i="17"/>
  <c r="AO83" i="17"/>
  <c r="AP83" i="17"/>
  <c r="AC84" i="17" a="1"/>
  <c r="AC84" i="17"/>
  <c r="AD84" i="17"/>
  <c r="AO84" i="17"/>
  <c r="AP84" i="17"/>
  <c r="AC85" i="17" a="1"/>
  <c r="AC85" i="17"/>
  <c r="AD85" i="17"/>
  <c r="AO85" i="17"/>
  <c r="AP85" i="17"/>
  <c r="AC86" i="17" a="1"/>
  <c r="AC86" i="17"/>
  <c r="AD86" i="17"/>
  <c r="AO86" i="17"/>
  <c r="AP86" i="17"/>
  <c r="AC87" i="17" a="1"/>
  <c r="AC87" i="17"/>
  <c r="AD87" i="17"/>
  <c r="AO87" i="17"/>
  <c r="AP87" i="17"/>
  <c r="AC88" i="17" a="1"/>
  <c r="AC88" i="17"/>
  <c r="AD88" i="17"/>
  <c r="AO88" i="17"/>
  <c r="AP88" i="17"/>
  <c r="AC89" i="17" a="1"/>
  <c r="AC89" i="17"/>
  <c r="AD89" i="17"/>
  <c r="AO89" i="17"/>
  <c r="AP89" i="17"/>
  <c r="AC90" i="17" a="1"/>
  <c r="AC90" i="17"/>
  <c r="AD90" i="17"/>
  <c r="AO90" i="17"/>
  <c r="AP90" i="17"/>
  <c r="AC91" i="17" a="1"/>
  <c r="AC91" i="17"/>
  <c r="AD91" i="17"/>
  <c r="AO91" i="17"/>
  <c r="AP91" i="17"/>
  <c r="AC92" i="17" a="1"/>
  <c r="AC92" i="17"/>
  <c r="AD92" i="17"/>
  <c r="AO92" i="17"/>
  <c r="AP92" i="17"/>
  <c r="AC93" i="17" a="1"/>
  <c r="AC93" i="17"/>
  <c r="AD93" i="17"/>
  <c r="AO93" i="17"/>
  <c r="AP93" i="17"/>
  <c r="AC94" i="17" a="1"/>
  <c r="AC94" i="17"/>
  <c r="AO94" i="17"/>
  <c r="AP94" i="17"/>
  <c r="AC95" i="17" a="1"/>
  <c r="AC95" i="17"/>
  <c r="AO95" i="17"/>
  <c r="AP95" i="17"/>
  <c r="AC96" i="17" a="1"/>
  <c r="AC96" i="17"/>
  <c r="AO96" i="17"/>
  <c r="AP96" i="17"/>
  <c r="AC97" i="17" a="1"/>
  <c r="AC97" i="17"/>
  <c r="AO97" i="17"/>
  <c r="AP97" i="17"/>
  <c r="AC98" i="17" a="1"/>
  <c r="AC98" i="17"/>
  <c r="AO98" i="17"/>
  <c r="AP98" i="17"/>
  <c r="AC99" i="17" a="1"/>
  <c r="AC99" i="17"/>
  <c r="AO99" i="17"/>
  <c r="AP99" i="17"/>
  <c r="AO100" i="17"/>
  <c r="AP100" i="17"/>
  <c r="AO101" i="17"/>
  <c r="AP101" i="17"/>
  <c r="AO102" i="17"/>
  <c r="AP102" i="17"/>
  <c r="AO103" i="17"/>
  <c r="AP103" i="17"/>
  <c r="AO104" i="17"/>
  <c r="AP104" i="17"/>
  <c r="AO105" i="17"/>
  <c r="AP105" i="17"/>
  <c r="AO106" i="17"/>
  <c r="AP106" i="17"/>
  <c r="AO107" i="17"/>
  <c r="AP107" i="17"/>
  <c r="AO108" i="17"/>
  <c r="AP108" i="17"/>
  <c r="AO109" i="17"/>
  <c r="AP109" i="17"/>
  <c r="AO110" i="17"/>
  <c r="AP110" i="17"/>
  <c r="AO111" i="17"/>
  <c r="AP111" i="17"/>
  <c r="AO112" i="17"/>
  <c r="AP112" i="17"/>
  <c r="AO113" i="17"/>
  <c r="AP113" i="17"/>
  <c r="AO114" i="17"/>
  <c r="AP114" i="17"/>
  <c r="AO115" i="17"/>
  <c r="AP115" i="17"/>
  <c r="AO116" i="17"/>
  <c r="AP116" i="17"/>
  <c r="AO117" i="17"/>
  <c r="AP117" i="17"/>
  <c r="AO118" i="17"/>
  <c r="AP118" i="17"/>
  <c r="AO119" i="17"/>
  <c r="AP119" i="17"/>
  <c r="AO120" i="17"/>
  <c r="AP120" i="17"/>
  <c r="AO121" i="17"/>
  <c r="AP121" i="17"/>
  <c r="AO122" i="17"/>
  <c r="AP122" i="17"/>
  <c r="AO123" i="17"/>
  <c r="AP123" i="17"/>
  <c r="AO124" i="17"/>
  <c r="AP124" i="17"/>
  <c r="AO125" i="17"/>
  <c r="AP125" i="17"/>
  <c r="AO126" i="17"/>
  <c r="AP126" i="17"/>
  <c r="AO127" i="17"/>
  <c r="AP127" i="17"/>
  <c r="AO128" i="17"/>
  <c r="AP128" i="17"/>
  <c r="AO129" i="17"/>
  <c r="AP129" i="17"/>
  <c r="AO130" i="17"/>
  <c r="AP130" i="17"/>
  <c r="AO131" i="17"/>
  <c r="AP131" i="17"/>
  <c r="AO132" i="17"/>
  <c r="AP132" i="17"/>
  <c r="AO133" i="17"/>
  <c r="AP133" i="17"/>
  <c r="AO134" i="17"/>
  <c r="AP134" i="17"/>
  <c r="AO135" i="17"/>
  <c r="AP135" i="17"/>
  <c r="AO136" i="17"/>
  <c r="AP136" i="17"/>
  <c r="AO137" i="17"/>
  <c r="AP137" i="17"/>
  <c r="AO138" i="17"/>
  <c r="AP138" i="17"/>
  <c r="AO139" i="17"/>
  <c r="AP139" i="17"/>
  <c r="AO140" i="17"/>
  <c r="AP140" i="17"/>
  <c r="AO141" i="17"/>
  <c r="AP141" i="17"/>
  <c r="AO142" i="17"/>
  <c r="AP142" i="17"/>
  <c r="AO143" i="17"/>
  <c r="AP143" i="17"/>
  <c r="AO144" i="17"/>
  <c r="AP144" i="17"/>
  <c r="AO145" i="17"/>
  <c r="AP145" i="17"/>
  <c r="AO146" i="17"/>
  <c r="AP146" i="17"/>
  <c r="AO147" i="17"/>
  <c r="AP147" i="17"/>
  <c r="AO148" i="17"/>
  <c r="AP148" i="17"/>
  <c r="AO149" i="17"/>
  <c r="AP149" i="17"/>
  <c r="AO150" i="17"/>
  <c r="AP150" i="17"/>
  <c r="AO151" i="17"/>
  <c r="AP151" i="17"/>
  <c r="AO152" i="17"/>
  <c r="AP152" i="17"/>
  <c r="AO153" i="17"/>
  <c r="AP153" i="17"/>
  <c r="AO154" i="17"/>
  <c r="AP154" i="17"/>
  <c r="AO155" i="17"/>
  <c r="AP155" i="17"/>
  <c r="AO156" i="17"/>
  <c r="AP156" i="17"/>
  <c r="AO157" i="17"/>
  <c r="AP157" i="17"/>
  <c r="AO158" i="17"/>
  <c r="AP158" i="17"/>
  <c r="AO159" i="17"/>
  <c r="AP159" i="17"/>
  <c r="AO160" i="17"/>
  <c r="AP160" i="17"/>
  <c r="AO161" i="17"/>
  <c r="AP161" i="17"/>
  <c r="AO162" i="17"/>
  <c r="AP162" i="17"/>
  <c r="AO163" i="17"/>
  <c r="AP163" i="17"/>
  <c r="AO164" i="17"/>
  <c r="AP164" i="17"/>
  <c r="AO165" i="17"/>
  <c r="AP165" i="17"/>
  <c r="AO166" i="17"/>
  <c r="AP166" i="17"/>
  <c r="AO167" i="17"/>
  <c r="AP167" i="17"/>
  <c r="AO168" i="17"/>
  <c r="AP168" i="17"/>
  <c r="AO169" i="17"/>
  <c r="AP169" i="17"/>
  <c r="AO170" i="17"/>
  <c r="AP170" i="17"/>
  <c r="AO171" i="17"/>
  <c r="AP171" i="17"/>
  <c r="AO172" i="17"/>
  <c r="AP172" i="17"/>
  <c r="AO173" i="17"/>
  <c r="AP173" i="17"/>
  <c r="AO174" i="17"/>
  <c r="AP174" i="17"/>
  <c r="AO175" i="17"/>
  <c r="AP175" i="17"/>
  <c r="AO176" i="17"/>
  <c r="AP176" i="17"/>
  <c r="AO177" i="17"/>
  <c r="AP177" i="17"/>
  <c r="AO178" i="17"/>
  <c r="AP178" i="17"/>
  <c r="AO179" i="17"/>
  <c r="AP179" i="17"/>
  <c r="AO180" i="17"/>
  <c r="AP180" i="17"/>
  <c r="AO181" i="17"/>
  <c r="AP181" i="17"/>
  <c r="AO182" i="17"/>
  <c r="AP182" i="17"/>
  <c r="AO183" i="17"/>
  <c r="AP183" i="17"/>
  <c r="AO184" i="17"/>
  <c r="AP184" i="17"/>
  <c r="AO185" i="17"/>
  <c r="AP185" i="17"/>
  <c r="AO186" i="17"/>
  <c r="AP186" i="17"/>
  <c r="AO187" i="17"/>
  <c r="AP187" i="17"/>
  <c r="AO188" i="17"/>
  <c r="AP188" i="17"/>
  <c r="AO189" i="17"/>
  <c r="AP189" i="17"/>
  <c r="AO190" i="17"/>
  <c r="AP190" i="17"/>
  <c r="AO191" i="17"/>
  <c r="AP191" i="17"/>
  <c r="AO192" i="17"/>
  <c r="AP192" i="17"/>
  <c r="AO193" i="17"/>
  <c r="AP193" i="17"/>
  <c r="AO194" i="17"/>
  <c r="AP194" i="17"/>
  <c r="AO195" i="17"/>
  <c r="AP195" i="17"/>
  <c r="AO196" i="17"/>
  <c r="AP196" i="17"/>
  <c r="AO197" i="17"/>
  <c r="AP197" i="17"/>
  <c r="AO198" i="17"/>
  <c r="AP198" i="17"/>
  <c r="AO199" i="17"/>
  <c r="AP199" i="17"/>
  <c r="AO200" i="17"/>
  <c r="AP200" i="17"/>
  <c r="AO201" i="17"/>
  <c r="AP201" i="17"/>
  <c r="AO202" i="17"/>
  <c r="AP202" i="17"/>
  <c r="AO203" i="17"/>
  <c r="AP203" i="17"/>
  <c r="AO204" i="17"/>
  <c r="AP204" i="17"/>
  <c r="AO205" i="17"/>
  <c r="AP205" i="17"/>
  <c r="AO206" i="17"/>
  <c r="AP206" i="17"/>
  <c r="AO207" i="17"/>
  <c r="AP207" i="17"/>
  <c r="AO208" i="17"/>
  <c r="AP208" i="17"/>
  <c r="AO209" i="17"/>
  <c r="AP209" i="17"/>
  <c r="AO210" i="17"/>
  <c r="AP210" i="17"/>
  <c r="AO211" i="17"/>
  <c r="AP211" i="17"/>
  <c r="AO212" i="17"/>
  <c r="AP212" i="17"/>
  <c r="AO213" i="17"/>
  <c r="AP213" i="17"/>
  <c r="AO214" i="17"/>
  <c r="AP214" i="17"/>
  <c r="AO215" i="17"/>
  <c r="AP215" i="17"/>
  <c r="AO216" i="17"/>
  <c r="AP216" i="17"/>
  <c r="AO217" i="17"/>
  <c r="AP217" i="17"/>
  <c r="AO218" i="17"/>
  <c r="AP218" i="17"/>
  <c r="AO219" i="17"/>
  <c r="AP219" i="17"/>
  <c r="AO220" i="17"/>
  <c r="AP220" i="17"/>
  <c r="AO221" i="17"/>
  <c r="AP221" i="17"/>
  <c r="AO222" i="17"/>
  <c r="AP222" i="17"/>
  <c r="AO223" i="17"/>
  <c r="AP223" i="17"/>
  <c r="AO224" i="17"/>
  <c r="AP224" i="17"/>
  <c r="AO225" i="17"/>
  <c r="AP225" i="17"/>
  <c r="AO226" i="17"/>
  <c r="AP226" i="17"/>
  <c r="AO227" i="17"/>
  <c r="AP227" i="17"/>
  <c r="AO228" i="17"/>
  <c r="AP228" i="17"/>
  <c r="AO229" i="17"/>
  <c r="AP229" i="17"/>
  <c r="AO230" i="17"/>
  <c r="AP230" i="17"/>
  <c r="AO231" i="17"/>
  <c r="AP231" i="17"/>
  <c r="AO232" i="17"/>
  <c r="AP232" i="17"/>
  <c r="AO233" i="17"/>
  <c r="AP233" i="17"/>
  <c r="AO234" i="17"/>
  <c r="AP234" i="17"/>
  <c r="AO235" i="17"/>
  <c r="AP235" i="17"/>
  <c r="AO236" i="17"/>
  <c r="AP236" i="17"/>
  <c r="AO237" i="17"/>
  <c r="AP237" i="17"/>
  <c r="AO238" i="17"/>
  <c r="AP238" i="17"/>
  <c r="AO239" i="17"/>
  <c r="AP239" i="17"/>
  <c r="AO240" i="17"/>
  <c r="AP240" i="17"/>
  <c r="AO241" i="17"/>
  <c r="AP241" i="17"/>
  <c r="AO242" i="17"/>
  <c r="AP242" i="17"/>
  <c r="AO243" i="17"/>
  <c r="AP243" i="17"/>
  <c r="AO244" i="17"/>
  <c r="AP244" i="17"/>
  <c r="AO245" i="17"/>
  <c r="AP245" i="17"/>
  <c r="AO246" i="17"/>
  <c r="AP246" i="17"/>
  <c r="AO247" i="17"/>
  <c r="AP247" i="17"/>
  <c r="AO248" i="17"/>
  <c r="AP248" i="17"/>
  <c r="AO249" i="17"/>
  <c r="AP249" i="17"/>
  <c r="AO250" i="17"/>
  <c r="AP250" i="17"/>
  <c r="AO251" i="17"/>
  <c r="AP251" i="17"/>
  <c r="AO252" i="17"/>
  <c r="AP252" i="17"/>
  <c r="AO253" i="17"/>
  <c r="AP253" i="17"/>
  <c r="AO254" i="17"/>
  <c r="AP254" i="17"/>
  <c r="AO255" i="17"/>
  <c r="AP255" i="17"/>
  <c r="AO256" i="17"/>
  <c r="AP256" i="17"/>
  <c r="AO257" i="17"/>
  <c r="AP257" i="17"/>
  <c r="AO258" i="17"/>
  <c r="AP258" i="17"/>
  <c r="AO259" i="17"/>
  <c r="AP259" i="17"/>
  <c r="AO260" i="17"/>
  <c r="AP260" i="17"/>
  <c r="AO261" i="17"/>
  <c r="AP261" i="17"/>
  <c r="AO262" i="17"/>
  <c r="AP262" i="17"/>
  <c r="AO263" i="17"/>
  <c r="AP263" i="17"/>
  <c r="AO264" i="17"/>
  <c r="AP264" i="17"/>
  <c r="AO265" i="17"/>
  <c r="AP265" i="17"/>
  <c r="AO266" i="17"/>
  <c r="AP266" i="17"/>
  <c r="AO267" i="17"/>
  <c r="AP267" i="17"/>
  <c r="AO268" i="17"/>
  <c r="AP268" i="17"/>
  <c r="AO269" i="17"/>
  <c r="AP269" i="17"/>
  <c r="AO270" i="17"/>
  <c r="AP270" i="17"/>
  <c r="AO271" i="17"/>
  <c r="AP271" i="17"/>
  <c r="AO272" i="17"/>
  <c r="AP272" i="17"/>
  <c r="AO273" i="17"/>
  <c r="AP273" i="17"/>
  <c r="AO274" i="17"/>
  <c r="AP274" i="17"/>
  <c r="AO275" i="17"/>
  <c r="AP275" i="17"/>
  <c r="AO276" i="17"/>
  <c r="AP276" i="17"/>
  <c r="AO277" i="17"/>
  <c r="AP277" i="17"/>
  <c r="AO278" i="17"/>
  <c r="AP278" i="17"/>
  <c r="AO279" i="17"/>
  <c r="AP279" i="17"/>
  <c r="AO280" i="17"/>
  <c r="AP280" i="17"/>
  <c r="AO281" i="17"/>
  <c r="AP281" i="17"/>
  <c r="AO282" i="17"/>
  <c r="AP282" i="17"/>
  <c r="AO283" i="17"/>
  <c r="AP283" i="17"/>
  <c r="AO284" i="17"/>
  <c r="AP284" i="17"/>
  <c r="AO285" i="17"/>
  <c r="AP285" i="17"/>
  <c r="AO286" i="17"/>
  <c r="AP286" i="17"/>
  <c r="AO287" i="17"/>
  <c r="AP287" i="17"/>
  <c r="AO288" i="17"/>
  <c r="AP288" i="17"/>
  <c r="AO289" i="17"/>
  <c r="AP289" i="17"/>
  <c r="AO290" i="17"/>
  <c r="AP290" i="17"/>
  <c r="AO291" i="17"/>
  <c r="AP291" i="17"/>
  <c r="AO292" i="17"/>
  <c r="AP292" i="17"/>
  <c r="AO293" i="17"/>
  <c r="AP293" i="17"/>
  <c r="AO294" i="17"/>
  <c r="AP294" i="17"/>
  <c r="AO295" i="17"/>
  <c r="AP295" i="17"/>
  <c r="AO296" i="17"/>
  <c r="AP296" i="17"/>
  <c r="AO297" i="17"/>
  <c r="AP297" i="17"/>
  <c r="AO298" i="17"/>
  <c r="AP298" i="17"/>
  <c r="AO299" i="17"/>
  <c r="AP299" i="17"/>
  <c r="AO300" i="17"/>
  <c r="AP300" i="17"/>
  <c r="AO301" i="17"/>
  <c r="AP301" i="17"/>
  <c r="AO302" i="17"/>
  <c r="AP302" i="17"/>
  <c r="AO303" i="17"/>
  <c r="AP303" i="17"/>
  <c r="AO304" i="17"/>
  <c r="AP304" i="17"/>
  <c r="AO305" i="17"/>
  <c r="AP305" i="17"/>
  <c r="AO306" i="17"/>
  <c r="AP306" i="17"/>
  <c r="AO307" i="17"/>
  <c r="AP307" i="17"/>
  <c r="AO308" i="17"/>
  <c r="AP308" i="17"/>
  <c r="AO309" i="17"/>
  <c r="AP309" i="17"/>
  <c r="AO310" i="17"/>
  <c r="AP310" i="17"/>
  <c r="AO311" i="17"/>
  <c r="AP311" i="17"/>
  <c r="AO312" i="17"/>
  <c r="AP312" i="17"/>
  <c r="AO313" i="17"/>
  <c r="AP313" i="17"/>
  <c r="AO314" i="17"/>
  <c r="AP314" i="17"/>
  <c r="AO315" i="17"/>
  <c r="AP315" i="17"/>
  <c r="AO316" i="17"/>
  <c r="AP316" i="17"/>
  <c r="AO317" i="17"/>
  <c r="AP317" i="17"/>
  <c r="AO318" i="17"/>
  <c r="AP318" i="17"/>
  <c r="AO319" i="17"/>
  <c r="AP319" i="17"/>
  <c r="AO320" i="17"/>
  <c r="AP320" i="17"/>
  <c r="AO321" i="17"/>
  <c r="AP321" i="17"/>
  <c r="AO322" i="17"/>
  <c r="AP322" i="17"/>
  <c r="AO323" i="17"/>
  <c r="AP323" i="17"/>
  <c r="AO324" i="17"/>
  <c r="AP324" i="17"/>
  <c r="AO325" i="17"/>
  <c r="AP325" i="17"/>
  <c r="AO326" i="17"/>
  <c r="AP326" i="17"/>
  <c r="AO327" i="17"/>
  <c r="AP327" i="17"/>
  <c r="AO328" i="17"/>
  <c r="AP328" i="17"/>
  <c r="AO329" i="17"/>
  <c r="AP329" i="17"/>
  <c r="AO330" i="17"/>
  <c r="AP330" i="17"/>
  <c r="AO331" i="17"/>
  <c r="AP331" i="17"/>
  <c r="AO332" i="17"/>
  <c r="AP332" i="17"/>
  <c r="AO333" i="17"/>
  <c r="AP333" i="17"/>
  <c r="AO334" i="17"/>
  <c r="AP334" i="17"/>
  <c r="AO335" i="17"/>
  <c r="AP335" i="17"/>
  <c r="AO336" i="17"/>
  <c r="AP336" i="17"/>
  <c r="AO337" i="17"/>
  <c r="AP337" i="17"/>
  <c r="AO338" i="17"/>
  <c r="AP338" i="17"/>
  <c r="AO339" i="17"/>
  <c r="AP339" i="17"/>
  <c r="AO340" i="17"/>
  <c r="AP340" i="17"/>
  <c r="AO341" i="17"/>
  <c r="AP341" i="17"/>
  <c r="AO342" i="17"/>
  <c r="AP342" i="17"/>
  <c r="AO343" i="17"/>
  <c r="AP343" i="17"/>
  <c r="AO344" i="17"/>
  <c r="AP344" i="17"/>
  <c r="AO345" i="17"/>
  <c r="AP345" i="17"/>
  <c r="AO346" i="17"/>
  <c r="AP346" i="17"/>
  <c r="AO347" i="17"/>
  <c r="AP347" i="17"/>
  <c r="AO348" i="17"/>
  <c r="AP348" i="17"/>
  <c r="AO349" i="17"/>
  <c r="AP349" i="17"/>
  <c r="AO350" i="17"/>
  <c r="AP350" i="17"/>
  <c r="AO351" i="17"/>
  <c r="AP351" i="17"/>
  <c r="AO352" i="17"/>
  <c r="AP352" i="17"/>
  <c r="AO353" i="17"/>
  <c r="AP353" i="17"/>
  <c r="AO354" i="17"/>
  <c r="AP354" i="17"/>
  <c r="AO355" i="17"/>
  <c r="AP355" i="17"/>
  <c r="AO356" i="17"/>
  <c r="AP356" i="17"/>
  <c r="AO357" i="17"/>
  <c r="AP357" i="17"/>
  <c r="AO358" i="17"/>
  <c r="AP358" i="17"/>
  <c r="AO359" i="17"/>
  <c r="AP359" i="17"/>
  <c r="AO360" i="17"/>
  <c r="AP360" i="17"/>
  <c r="AO361" i="17"/>
  <c r="AP361" i="17"/>
  <c r="AO362" i="17"/>
  <c r="AP362" i="17"/>
  <c r="AO363" i="17"/>
  <c r="AP363" i="17"/>
  <c r="AO364" i="17"/>
  <c r="AP364" i="17"/>
  <c r="AO365" i="17"/>
  <c r="AP365" i="17"/>
  <c r="AO366" i="17"/>
  <c r="AP366" i="17"/>
  <c r="AO367" i="17"/>
  <c r="AP367" i="17"/>
  <c r="AO368" i="17"/>
  <c r="AP368" i="17"/>
  <c r="AO369" i="17"/>
  <c r="AP369" i="17"/>
  <c r="AO370" i="17"/>
  <c r="AP370" i="17"/>
  <c r="AO371" i="17"/>
  <c r="AP371" i="17"/>
  <c r="AO372" i="17"/>
  <c r="AP372" i="17"/>
  <c r="AO373" i="17"/>
  <c r="AP373" i="17"/>
  <c r="AO374" i="17"/>
  <c r="AP374" i="17"/>
  <c r="AO375" i="17"/>
  <c r="AP375" i="1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Gregg Wolin</author>
  </authors>
  <commentList>
    <comment ref="D6" authorId="0" shapeId="0" xr:uid="{E368EF8C-924F-DF4A-9485-9C2E49A800D1}">
      <text>
        <r>
          <rPr>
            <b/>
            <sz val="9"/>
            <color indexed="81"/>
            <rFont val="Tahoma"/>
            <family val="2"/>
          </rPr>
          <t xml:space="preserve">VBA: 
</t>
        </r>
        <r>
          <rPr>
            <sz val="9"/>
            <color indexed="81"/>
            <rFont val="Tahoma"/>
            <family val="2"/>
          </rPr>
          <t xml:space="preserve">
For Custom Ribbon - 
Equity Tab should include buttons to show / hide detail columns without grouping buttons.  
Equity Tab should include button to toggle the annual or monthly views including freezing panes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<sst xmlns="http://schemas.openxmlformats.org/spreadsheetml/2006/main" count="705" uniqueCount="347">
  <si>
    <t>Analysis Start Date</t>
  </si>
  <si>
    <t>-</t>
  </si>
  <si>
    <t>Notes</t>
  </si>
  <si>
    <t>Periodicity</t>
  </si>
  <si>
    <t>Project Name</t>
  </si>
  <si>
    <t>Location</t>
  </si>
  <si>
    <t>Type</t>
  </si>
  <si>
    <t>Maximum Analysis term</t>
  </si>
  <si>
    <t>Project Info</t>
  </si>
  <si>
    <t>Clarendon Preserve</t>
  </si>
  <si>
    <t>Sun Valley, ID</t>
  </si>
  <si>
    <t>Custom Lots / Land</t>
  </si>
  <si>
    <t>Acres</t>
  </si>
  <si>
    <t>Area</t>
  </si>
  <si>
    <t>Total</t>
  </si>
  <si>
    <t>Project Budget</t>
  </si>
  <si>
    <t>Land Planning &amp; PUD App Prep/Revisions (15% of Cost)</t>
  </si>
  <si>
    <t>Future Entitlement Management Overhead</t>
  </si>
  <si>
    <t>Civil - Road Design &amp; Grading</t>
  </si>
  <si>
    <t>Preconstruction Estimating &amp; Project Management</t>
  </si>
  <si>
    <t>Legal / Entitlement</t>
  </si>
  <si>
    <t>Accounting &amp; CPA costs ($ per year)</t>
  </si>
  <si>
    <t>Professionals Contingency</t>
  </si>
  <si>
    <t>Internal Road: Base + Gravel Finish @ 45 Lots</t>
  </si>
  <si>
    <t>Internal Road: Strip top 3" and Widen Road to 24'</t>
  </si>
  <si>
    <t>Internal Road: Paving @ 45 Lots</t>
  </si>
  <si>
    <t>County/USFS Road: BASE + GRAVEL FINISH @ end of existing</t>
  </si>
  <si>
    <t>County/USFS Road: PAVING @ end of existing to back gate</t>
  </si>
  <si>
    <t>Road: Bridges (1)  @ Spillway</t>
  </si>
  <si>
    <t>Utilities: County/USFS Power Trench+Line (4.5 miles)</t>
  </si>
  <si>
    <t>Utilities: Power &amp; Transformers @ 45 Lots (8,500 LF)</t>
  </si>
  <si>
    <t>Utilities: Gas Line in Joint Trench</t>
  </si>
  <si>
    <t>Utilities: Gas Lines @ 45 Lots</t>
  </si>
  <si>
    <t>Utilities: Comm. Distrib. @ 45 Lots (8,500 LF)</t>
  </si>
  <si>
    <t>Utilities: Water Main @ 45 Lots</t>
  </si>
  <si>
    <t>Utilities: Water Wells, Pumps &amp; Backup Power Requirements</t>
  </si>
  <si>
    <t>Utilities: Lift Station @ 45 Lots (8,500 LF)</t>
  </si>
  <si>
    <t>Utilities: Inspect &amp; Restore Exsisting Sewer Lines</t>
  </si>
  <si>
    <t>Utilities: Sewer Treatment Drainfield Sys (4 EA)</t>
  </si>
  <si>
    <t>Utilities: Geothermal Infrastructure @ 45 Lots</t>
  </si>
  <si>
    <t>Landscape: Early Plantings in Public Areas</t>
  </si>
  <si>
    <t>Construction Management Overhead</t>
  </si>
  <si>
    <t>Construction Cost Escalation</t>
  </si>
  <si>
    <t>Developer Construction Contingency</t>
  </si>
  <si>
    <t>County Permit Fees - Site</t>
  </si>
  <si>
    <t>County Permit Fees - Build</t>
  </si>
  <si>
    <t>Replacement Bond Cost</t>
  </si>
  <si>
    <t>LOT #</t>
  </si>
  <si>
    <t xml:space="preserve">Jimmy Creek </t>
  </si>
  <si>
    <t>Deer Creek</t>
  </si>
  <si>
    <t>Forest</t>
  </si>
  <si>
    <t>Bench</t>
  </si>
  <si>
    <t>Hillside</t>
  </si>
  <si>
    <t>Land</t>
  </si>
  <si>
    <t>Infra</t>
  </si>
  <si>
    <t>total</t>
  </si>
  <si>
    <t>{"hash":"8379c9c4b9bb6c5424029d22d9db7b6cde1d943795834b3c953c8aabb75f3da6","version":1,"value":"[[\"=PI() * R7^2\"]]"}</t>
  </si>
  <si>
    <t>Rad</t>
  </si>
  <si>
    <t>Phase 1</t>
  </si>
  <si>
    <t>Retail</t>
  </si>
  <si>
    <t>Share</t>
  </si>
  <si>
    <t>Cost Allocation</t>
  </si>
  <si>
    <t>Civil, Surveying &amp; PUD App Prep/Revisions (10% of Infra Cost)</t>
  </si>
  <si>
    <t>Real Estate Taxes (Annual)</t>
  </si>
  <si>
    <t>Liability Insurance (Annual)</t>
  </si>
  <si>
    <t xml:space="preserve">Developer Overhead </t>
  </si>
  <si>
    <t>Total Costs</t>
  </si>
  <si>
    <t>Internal Road: Base + Gravel Finish @ Lower 80</t>
  </si>
  <si>
    <t>28, 20</t>
  </si>
  <si>
    <t>21,23</t>
  </si>
  <si>
    <t>31,32</t>
  </si>
  <si>
    <t>Revenue</t>
  </si>
  <si>
    <t>Gross</t>
  </si>
  <si>
    <t>Sale Schedule</t>
  </si>
  <si>
    <t xml:space="preserve"> + OS Alloc =</t>
  </si>
  <si>
    <t>Total Ac</t>
  </si>
  <si>
    <t>Project Cash Flow</t>
  </si>
  <si>
    <t>Land Acquisition</t>
  </si>
  <si>
    <t>Close</t>
  </si>
  <si>
    <t>Site Development</t>
  </si>
  <si>
    <t>Sale Revenue</t>
  </si>
  <si>
    <t>Project Costs</t>
  </si>
  <si>
    <t>Total Project Costs</t>
  </si>
  <si>
    <t>Total Lot Revenue</t>
  </si>
  <si>
    <t>Cumulative</t>
  </si>
  <si>
    <t>MNTO</t>
  </si>
  <si>
    <t>Estimate</t>
  </si>
  <si>
    <t>Year</t>
  </si>
  <si>
    <t>Variance</t>
  </si>
  <si>
    <t>Total Lots Sold</t>
  </si>
  <si>
    <t>Option</t>
  </si>
  <si>
    <t>Variance to Retail</t>
  </si>
  <si>
    <t>MTN Origins Retail</t>
  </si>
  <si>
    <t>Envelope</t>
  </si>
  <si>
    <t>Lots</t>
  </si>
  <si>
    <t>Merge</t>
  </si>
  <si>
    <t>Date</t>
  </si>
  <si>
    <t>Qtr</t>
  </si>
  <si>
    <t>Qtr Date</t>
  </si>
  <si>
    <t>Year#</t>
  </si>
  <si>
    <t xml:space="preserve">Mo# </t>
  </si>
  <si>
    <t>Project Development Budget</t>
  </si>
  <si>
    <t>Hard Costs - Site, Restoration &amp; Infrastructure</t>
  </si>
  <si>
    <t>Soft Costs Professionals - Final Entitlements &amp; Site Infra.</t>
  </si>
  <si>
    <t>Soft Costs - Taxes And Insurance</t>
  </si>
  <si>
    <t>Soft Costs - Municipality Fees</t>
  </si>
  <si>
    <t>Total Project Budget</t>
  </si>
  <si>
    <t>Lot Data</t>
  </si>
  <si>
    <t>Option Equity</t>
  </si>
  <si>
    <t>Sale</t>
  </si>
  <si>
    <t>Month</t>
  </si>
  <si>
    <t>Building</t>
  </si>
  <si>
    <t>Yr</t>
  </si>
  <si>
    <t>Radius</t>
  </si>
  <si>
    <t>SqFt</t>
  </si>
  <si>
    <t>Cost Allocation - Lot Area</t>
  </si>
  <si>
    <t>Lot Area</t>
  </si>
  <si>
    <t>Retail Val</t>
  </si>
  <si>
    <t>Absorption Summary</t>
  </si>
  <si>
    <t>Land Area Allocation</t>
  </si>
  <si>
    <t>Project</t>
  </si>
  <si>
    <t>Costs</t>
  </si>
  <si>
    <t>Development Schedule</t>
  </si>
  <si>
    <t>Total Development Costs</t>
  </si>
  <si>
    <t>Development Start Period</t>
  </si>
  <si>
    <t>Periods to Complete</t>
  </si>
  <si>
    <t>Option Revenue</t>
  </si>
  <si>
    <t>Deposit</t>
  </si>
  <si>
    <t>ID</t>
  </si>
  <si>
    <t>Cost Allocation - Market Val</t>
  </si>
  <si>
    <t xml:space="preserve"> Lotbank Schedule</t>
  </si>
  <si>
    <t>Project Cost Allocation</t>
  </si>
  <si>
    <t>by Market Value</t>
  </si>
  <si>
    <t>Reports</t>
  </si>
  <si>
    <t>Rolling Option Lot Price</t>
  </si>
  <si>
    <t>Takedown Schedule</t>
  </si>
  <si>
    <t>Units</t>
  </si>
  <si>
    <t>$/Lot</t>
  </si>
  <si>
    <t>Area Percentage of</t>
  </si>
  <si>
    <t>Project Area</t>
  </si>
  <si>
    <t>Summary</t>
  </si>
  <si>
    <t>Market Data</t>
  </si>
  <si>
    <t>Tom Drougas - Christies</t>
  </si>
  <si>
    <t>Addendum to Zonda 2023</t>
  </si>
  <si>
    <t>Provided MLS data</t>
  </si>
  <si>
    <t>Land Acquisition Cost</t>
  </si>
  <si>
    <t xml:space="preserve">Site Development </t>
  </si>
  <si>
    <t>Total Acqusition &amp; Development Cost</t>
  </si>
  <si>
    <t>Add additional resort site costs?</t>
  </si>
  <si>
    <t>Retail Lot Value</t>
  </si>
  <si>
    <t>Gross Option Price</t>
  </si>
  <si>
    <t>$ / Lot</t>
  </si>
  <si>
    <t>Project Cost</t>
  </si>
  <si>
    <t>Multiple</t>
  </si>
  <si>
    <t>Project Acquisition</t>
  </si>
  <si>
    <t>Development Costs</t>
  </si>
  <si>
    <t>Clarendon Lotbank Cash Flow</t>
  </si>
  <si>
    <t>Lotbank</t>
  </si>
  <si>
    <t>CashFlow</t>
  </si>
  <si>
    <t>P</t>
  </si>
  <si>
    <t>H1</t>
  </si>
  <si>
    <t>H2</t>
  </si>
  <si>
    <t>H3</t>
  </si>
  <si>
    <t>Res</t>
  </si>
  <si>
    <t>SUM</t>
  </si>
  <si>
    <t>Summary View</t>
  </si>
  <si>
    <t>notes</t>
  </si>
  <si>
    <t>link to model start</t>
  </si>
  <si>
    <t>Final Cash Flow Period</t>
  </si>
  <si>
    <t>Period</t>
  </si>
  <si>
    <t>Results</t>
  </si>
  <si>
    <t>Equity Contributions %</t>
  </si>
  <si>
    <t>Equity Contributions $</t>
  </si>
  <si>
    <t>Distribution Waterfall</t>
  </si>
  <si>
    <t>Promote</t>
  </si>
  <si>
    <t>GP</t>
  </si>
  <si>
    <t>LP</t>
  </si>
  <si>
    <t>Preferred Return</t>
  </si>
  <si>
    <t>Return of Capital</t>
  </si>
  <si>
    <t>Distributions: LP</t>
  </si>
  <si>
    <t>Distributions: GP</t>
  </si>
  <si>
    <t>Hurdle 1 Rate</t>
  </si>
  <si>
    <t>Hurdle 2 Rate</t>
  </si>
  <si>
    <t>Hurdle 1</t>
  </si>
  <si>
    <t>Hurdle 3 Rate</t>
  </si>
  <si>
    <t>GP Promote</t>
  </si>
  <si>
    <t>Residual</t>
  </si>
  <si>
    <t>Distributions to</t>
  </si>
  <si>
    <t>Hurdle 2</t>
  </si>
  <si>
    <t>Hurdle 3</t>
  </si>
  <si>
    <t>Total Distributions</t>
  </si>
  <si>
    <t>Share of Total</t>
  </si>
  <si>
    <t>Total Investment</t>
  </si>
  <si>
    <t>Total Profit</t>
  </si>
  <si>
    <t>Leveraged IRR</t>
  </si>
  <si>
    <t>Equity Multiple</t>
  </si>
  <si>
    <t>Total LP Cash Flow</t>
  </si>
  <si>
    <t>Total GP Cash Flow</t>
  </si>
  <si>
    <t>Periocity</t>
  </si>
  <si>
    <t>Preferred</t>
  </si>
  <si>
    <t>Cash Flow</t>
  </si>
  <si>
    <t>Split</t>
  </si>
  <si>
    <t>Avail for</t>
  </si>
  <si>
    <t>Accrued</t>
  </si>
  <si>
    <t>LP Pref</t>
  </si>
  <si>
    <t>Cash Flow Distributions - Preferred</t>
  </si>
  <si>
    <t>LP Hurdle 1</t>
  </si>
  <si>
    <t>Contributions</t>
  </si>
  <si>
    <t>Accrued to</t>
  </si>
  <si>
    <t>LP Prior</t>
  </si>
  <si>
    <t>to Hurdle 1</t>
  </si>
  <si>
    <t>Cash Flow Distributions - Thru Hurdle 1</t>
  </si>
  <si>
    <t>LP Hurdle 2</t>
  </si>
  <si>
    <t>Ending Bal</t>
  </si>
  <si>
    <t>Pref to H2</t>
  </si>
  <si>
    <t>Cash Flow Distributions - Hurdle 2</t>
  </si>
  <si>
    <t>LP Hurdle 3</t>
  </si>
  <si>
    <t>Pref to H3</t>
  </si>
  <si>
    <t>Cash Flow Distributions - Hurdle 3</t>
  </si>
  <si>
    <t>Cash Flow Distributions</t>
  </si>
  <si>
    <t>Thru Preferred</t>
  </si>
  <si>
    <t>to Hurdle 2</t>
  </si>
  <si>
    <t>to Hurdle 3</t>
  </si>
  <si>
    <t>Hurdle</t>
  </si>
  <si>
    <t>End</t>
  </si>
  <si>
    <t>Fiscal</t>
  </si>
  <si>
    <t>Distribution</t>
  </si>
  <si>
    <t>Start Balance</t>
  </si>
  <si>
    <t>Distributions</t>
  </si>
  <si>
    <t xml:space="preserve">End </t>
  </si>
  <si>
    <t>to LP</t>
  </si>
  <si>
    <t>to GP</t>
  </si>
  <si>
    <t>by LP</t>
  </si>
  <si>
    <t>LP Capital</t>
  </si>
  <si>
    <t>Check</t>
  </si>
  <si>
    <t>Return</t>
  </si>
  <si>
    <t>Rate 1</t>
  </si>
  <si>
    <t>Rate 2</t>
  </si>
  <si>
    <t>Rate 3</t>
  </si>
  <si>
    <t>Cash</t>
  </si>
  <si>
    <t>Mo</t>
  </si>
  <si>
    <t>Balance</t>
  </si>
  <si>
    <t>Flow</t>
  </si>
  <si>
    <t>Option Deposit</t>
  </si>
  <si>
    <t>x</t>
  </si>
  <si>
    <t>Tier 1</t>
  </si>
  <si>
    <t>Return Capital</t>
  </si>
  <si>
    <t>Tier 2</t>
  </si>
  <si>
    <t>CFAD</t>
  </si>
  <si>
    <t>Residual to</t>
  </si>
  <si>
    <t>Tier 3</t>
  </si>
  <si>
    <t>Less: Management Fees + Overhead</t>
  </si>
  <si>
    <t>Net Cash Flow to Equity</t>
  </si>
  <si>
    <t>Second</t>
  </si>
  <si>
    <t>Proforma Distributions</t>
  </si>
  <si>
    <t>Tier 1: Return Capital</t>
  </si>
  <si>
    <t>Equity</t>
  </si>
  <si>
    <t>Manager</t>
  </si>
  <si>
    <t>Return Equity</t>
  </si>
  <si>
    <t>To LP</t>
  </si>
  <si>
    <t>Tier 1:</t>
  </si>
  <si>
    <t>Tier 2:</t>
  </si>
  <si>
    <t>Equity X</t>
  </si>
  <si>
    <t>Mgmt  Fee</t>
  </si>
  <si>
    <t>Tier 3:</t>
  </si>
  <si>
    <t>Partnership</t>
  </si>
  <si>
    <t>Option Sales by Area</t>
  </si>
  <si>
    <t>Option Revenue by Area</t>
  </si>
  <si>
    <t>Total Lot Sales</t>
  </si>
  <si>
    <t>Lot ID</t>
  </si>
  <si>
    <t>by  Envelope Size</t>
  </si>
  <si>
    <t>Lot Option Takedown Price</t>
  </si>
  <si>
    <t>Total Retail</t>
  </si>
  <si>
    <t>Retail / Lot</t>
  </si>
  <si>
    <t>MTN Origins Estimate</t>
  </si>
  <si>
    <t>Estimate of Retail Value</t>
  </si>
  <si>
    <t>Project Cost Basis</t>
  </si>
  <si>
    <t>Lotbank Option Price</t>
  </si>
  <si>
    <t>Cash Flow to Lotbanker</t>
  </si>
  <si>
    <t>MTN Estimate</t>
  </si>
  <si>
    <t>Value</t>
  </si>
  <si>
    <t>Equity at</t>
  </si>
  <si>
    <t>Takedown</t>
  </si>
  <si>
    <t xml:space="preserve">Residual Land </t>
  </si>
  <si>
    <t>Builder Profit</t>
  </si>
  <si>
    <t>Cost / SF</t>
  </si>
  <si>
    <t>Price / SF</t>
  </si>
  <si>
    <t>House Size</t>
  </si>
  <si>
    <t>Creek</t>
  </si>
  <si>
    <t>Deer</t>
  </si>
  <si>
    <t>Jimmy</t>
  </si>
  <si>
    <t>Proforma Revenue</t>
  </si>
  <si>
    <t>Resort Site (Hot Springs / Fishing preserve)</t>
  </si>
  <si>
    <t>Developer Overhead</t>
  </si>
  <si>
    <t>Total Acquisiition Cost</t>
  </si>
  <si>
    <t>Resort Site Costs (Hot Springs / Fishing preserve)</t>
  </si>
  <si>
    <t>Design, Engineering, Misc</t>
  </si>
  <si>
    <t>Acquisition</t>
  </si>
  <si>
    <t>Closing</t>
  </si>
  <si>
    <t>Cottages</t>
  </si>
  <si>
    <t>Homesites</t>
  </si>
  <si>
    <t>Property Data - Phase 1</t>
  </si>
  <si>
    <t>Resort</t>
  </si>
  <si>
    <t>Property Data - Phase 2</t>
  </si>
  <si>
    <t>Land Use</t>
  </si>
  <si>
    <t>Montage LB</t>
  </si>
  <si>
    <t>Rooms</t>
  </si>
  <si>
    <t>Resi</t>
  </si>
  <si>
    <t>Montage DV</t>
  </si>
  <si>
    <t>Montage Napa</t>
  </si>
  <si>
    <t>Montage Cabo</t>
  </si>
  <si>
    <t>Montage Big Sky</t>
  </si>
  <si>
    <t>?</t>
  </si>
  <si>
    <t>Cost Allocation - Envelope Area</t>
  </si>
  <si>
    <t>Measures</t>
  </si>
  <si>
    <t>OS / Recreation</t>
  </si>
  <si>
    <t>Property Description</t>
  </si>
  <si>
    <t>Parcel 2: Resort</t>
  </si>
  <si>
    <t>Parcel 1: Lots</t>
  </si>
  <si>
    <t>Acqusition &amp; Development Cost</t>
  </si>
  <si>
    <t>Total Land Cost</t>
  </si>
  <si>
    <t>Plus: Site Development</t>
  </si>
  <si>
    <t>Total A&amp;D Budget (rounded)</t>
  </si>
  <si>
    <t>Development Budget</t>
  </si>
  <si>
    <t>Subtotal: Site Development (rounded)</t>
  </si>
  <si>
    <t>Fees / Closing Costs</t>
  </si>
  <si>
    <t>Retail Value Comparison</t>
  </si>
  <si>
    <t>Cashflow Model</t>
  </si>
  <si>
    <t>Periods</t>
  </si>
  <si>
    <t>Price</t>
  </si>
  <si>
    <t>General Assumptions &amp; Summary</t>
  </si>
  <si>
    <t>Gross Retail Option Price</t>
  </si>
  <si>
    <t>Underwriting Fee - CBH</t>
  </si>
  <si>
    <t>Base Option Terms</t>
  </si>
  <si>
    <t>Land Cost</t>
  </si>
  <si>
    <t>Other Transaction Fees - Oler</t>
  </si>
  <si>
    <t>Construction Agreement</t>
  </si>
  <si>
    <t>Option Terms</t>
  </si>
  <si>
    <t>Year 1 &gt; Option Markup to Cost</t>
  </si>
  <si>
    <t>Years 2+ &gt; Additional Annual Markup</t>
  </si>
  <si>
    <t>Total Gross Markup to Cost [Total]</t>
  </si>
  <si>
    <t>Closing Costs / Advisory (Oler)</t>
  </si>
  <si>
    <t>Total Project Cost</t>
  </si>
  <si>
    <t>Initial Lot Takedown</t>
  </si>
  <si>
    <t>Final Lot Takedown</t>
  </si>
  <si>
    <t>Resort Site Option Price</t>
  </si>
  <si>
    <t>Acquisiton +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</si>
</sst>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6" formatCode="&quot;$&quot;#,##0_);[Red]\(&quot;$&quot;#,##0\)"/>
    <numFmt numFmtId="41" formatCode="_(* #,##0_);_(* \(#,##0\);_(* &quot;-&quot;_);_(@_)"/>
    <numFmt numFmtId="43" formatCode="_(* #,##0.00_);_(* \(#,##0.00\);_(* &quot;-&quot;??_);_(@_)"/>
    <numFmt numFmtId="164" formatCode="_(#,##0_);\(#,##0\);_(&quot;-&quot;_)"/>
    <numFmt numFmtId="165" formatCode="_(#,##0_);\(#,##0\);_(&quot;&quot;_)"/>
    <numFmt numFmtId="166" formatCode="_(###0_);\(###0\);_(&quot;&quot;_)"/>
    <numFmt numFmtId="167" formatCode="_(#,##0_);_(\(#,##0\);_(&quot;-&quot;??_);_(@_)"/>
    <numFmt numFmtId="168" formatCode="_(#,##0_);_(\(#,##0\);_(&quot;-&quot;_)"/>
    <numFmt numFmtId="169" formatCode="_(#,##0.000_);_(\(#,##0.000\);_(&quot;-&quot;_)"/>
    <numFmt numFmtId="170" formatCode="_(#,##0.0_);_(\(#,##0.0\);_(&quot;-&quot;_)"/>
    <numFmt numFmtId="171" formatCode="\L\o\t\ #"/>
    <numFmt numFmtId="172" formatCode="_(* #,##0_);_(* \(#,##0\);_(* &quot;-&quot;??_);_(@_)"/>
    <numFmt numFmtId="173" formatCode="&quot;Year&quot;\ #"/>
    <numFmt numFmtId="174" formatCode="0%&quot; irr&quot;"/>
    <numFmt numFmtId="175" formatCode="0.0%"/>
    <numFmt numFmtId="176" formatCode="0.0"/>
    <numFmt numFmtId="177" formatCode="0&quot; lots&quot;"/>
    <numFmt numFmtId="178" formatCode="&quot;$&quot;#,##0"/>
    <numFmt numFmtId="179" formatCode="_(#,##0.00_);_(\(#,##0.00\);_(&quot;-&quot;_)"/>
    <numFmt numFmtId="180" formatCode="0.00000%"/>
    <numFmt numFmtId="181" formatCode="_(&quot;$&quot;#,##0_);\(&quot;$&quot;#,##0\);_(&quot;-&quot;_)"/>
    <numFmt numFmtId="182" formatCode="0%;;&quot;-&quot;"/>
    <numFmt numFmtId="183" formatCode="0.0%;;&quot;-&quot;"/>
    <numFmt numFmtId="184" formatCode="&quot;&lt;=&quot;\ 0.0%\ \I\R\R&quot; to LP&quot;"/>
    <numFmt numFmtId="185" formatCode="_(#,##0.00_);\(#,##0.00\);_(&quot;-&quot;_)"/>
    <numFmt numFmtId="186" formatCode="[$-409]mmm\-yy;@"/>
    <numFmt numFmtId="187" formatCode="0.00&quot; x&quot;"/>
    <numFmt numFmtId="188" formatCode="0&quot; acres&quot;"/>
    <numFmt numFmtId="189" formatCode="0.0%&quot; irr&quot;"/>
    <numFmt numFmtId="190" formatCode="0_);\(0\)"/>
    <numFmt numFmtId="191" formatCode="0&quot; mos&quot;"/>
    <numFmt numFmtId="192" formatCode="&quot;Mo&quot;\ #"/>
  </numFmts>
  <fonts count="152">
    <font>
      <sz val="11"/>
      <color theme="1"/>
      <name val="Univers"/>
      <family val="2"/>
    </font>
    <font>
      <sz val="11"/>
      <color theme="1"/>
      <name val="Aptos"/>
      <family val="2"/>
    </font>
    <font>
      <sz val="11"/>
      <color theme="1"/>
      <name val="Microsoft Sans Serif"/>
      <family val="2"/>
    </font>
    <font>
      <sz val="11"/>
      <color theme="1"/>
      <name val="Univers"/>
      <family val="2"/>
    </font>
    <font>
      <sz val="11"/>
      <color theme="0"/>
      <name val="Univers"/>
      <family val="2"/>
    </font>
    <font>
      <sz val="11"/>
      <name val="Univers"/>
      <family val="2"/>
    </font>
    <font>
      <sz val="8"/>
      <name val="Univers"/>
      <family val="2"/>
    </font>
    <font>
      <sz val="12"/>
      <color theme="1"/>
      <name val="ArialMT"/>
      <family val="2"/>
    </font>
    <font>
      <sz val="10"/>
      <name val="Times New Roman"/>
      <family val="1"/>
    </font>
    <font>
      <sz val="11"/>
      <color theme="1"/>
      <name val="Calibri"/>
      <family val="2"/>
      <scheme val="minor"/>
    </font>
    <font>
      <sz val="11"/>
      <color theme="1"/>
      <name val="Aptos"/>
      <family val="2"/>
    </font>
    <font>
      <b/>
      <sz val="16"/>
      <color rgb="FF53D2FF"/>
      <name val="Aptos"/>
      <family val="2"/>
    </font>
    <font>
      <sz val="14"/>
      <color theme="1"/>
      <name val="Aptos"/>
      <family val="2"/>
    </font>
    <font>
      <sz val="10"/>
      <color theme="8" tint="0.79998168889431442"/>
      <name val="Aptos"/>
      <family val="2"/>
    </font>
    <font>
      <b/>
      <sz val="14"/>
      <color theme="8" tint="0.79998168889431442"/>
      <name val="Aptos"/>
      <family val="2"/>
    </font>
    <font>
      <b/>
      <sz val="12"/>
      <color theme="2" tint="-9.9978637043366805E-2"/>
      <name val="Aptos"/>
      <family val="2"/>
    </font>
    <font>
      <b/>
      <sz val="11"/>
      <color theme="1"/>
      <name val="Aptos"/>
      <family val="2"/>
    </font>
    <font>
      <b/>
      <sz val="10"/>
      <name val="Aptos"/>
      <family val="2"/>
    </font>
    <font>
      <b/>
      <sz val="14"/>
      <color theme="1"/>
      <name val="Aptos"/>
      <family val="2"/>
    </font>
    <font>
      <b/>
      <sz val="12"/>
      <color theme="1"/>
      <name val="Aptos"/>
      <family val="2"/>
    </font>
    <font>
      <sz val="12"/>
      <name val="Aptos"/>
      <family val="2"/>
    </font>
    <font>
      <sz val="12"/>
      <color theme="1"/>
      <name val="Aptos"/>
      <family val="2"/>
    </font>
    <font>
      <sz val="12"/>
      <color rgb="FF3704FF"/>
      <name val="Aptos"/>
      <family val="2"/>
    </font>
    <font>
      <sz val="10"/>
      <name val="Aptos"/>
      <family val="2"/>
    </font>
    <font>
      <sz val="11"/>
      <color theme="1"/>
      <name val="Microsoft Sans Serif"/>
      <family val="2"/>
    </font>
    <font>
      <sz val="11"/>
      <color theme="1"/>
      <name val="Arial"/>
      <family val="2"/>
    </font>
    <font>
      <b/>
      <sz val="12"/>
      <name val="Aptos"/>
      <family val="2"/>
    </font>
    <font>
      <sz val="12"/>
      <color rgb="FF0000FF"/>
      <name val="Aptos"/>
      <family val="2"/>
    </font>
    <font>
      <sz val="12"/>
      <color theme="1"/>
      <name val="Univers"/>
      <family val="2"/>
    </font>
    <font>
      <b/>
      <sz val="11"/>
      <name val="Aptos"/>
      <family val="2"/>
    </font>
    <font>
      <b/>
      <sz val="14"/>
      <color theme="0"/>
      <name val="Aptos"/>
      <family val="2"/>
    </font>
    <font>
      <b/>
      <sz val="12"/>
      <color theme="0"/>
      <name val="Aptos"/>
      <family val="2"/>
    </font>
    <font>
      <b/>
      <sz val="11"/>
      <color theme="1"/>
      <name val="Univers"/>
      <family val="2"/>
    </font>
    <font>
      <b/>
      <sz val="10"/>
      <color theme="1"/>
      <name val="Univers"/>
      <family val="2"/>
    </font>
    <font>
      <b/>
      <sz val="10"/>
      <color theme="1"/>
      <name val="Aptos"/>
      <family val="2"/>
    </font>
    <font>
      <b/>
      <sz val="10"/>
      <color theme="0"/>
      <name val="Aptos"/>
      <family val="2"/>
    </font>
    <font>
      <sz val="10"/>
      <color theme="1"/>
      <name val="Aptos"/>
      <family val="2"/>
    </font>
    <font>
      <b/>
      <u/>
      <sz val="12"/>
      <color rgb="FF0000FF"/>
      <name val="Aptos"/>
      <family val="2"/>
    </font>
    <font>
      <b/>
      <sz val="10"/>
      <color theme="0"/>
      <name val="Eye glass Extended"/>
      <family val="2"/>
    </font>
    <font>
      <b/>
      <sz val="10"/>
      <color theme="0"/>
      <name val="Univers"/>
      <family val="2"/>
    </font>
    <font>
      <sz val="9"/>
      <color theme="1"/>
      <name val="Aptos"/>
      <family val="2"/>
    </font>
    <font>
      <sz val="9"/>
      <color theme="1"/>
      <name val="Univers"/>
      <family val="2"/>
    </font>
    <font>
      <sz val="9"/>
      <color theme="0"/>
      <name val="Univers"/>
      <family val="2"/>
    </font>
    <font>
      <b/>
      <sz val="11"/>
      <color theme="1"/>
      <name val="Univers"/>
      <family val="2"/>
    </font>
    <font>
      <sz val="11"/>
      <color theme="1"/>
      <name val="Univers"/>
      <family val="2"/>
    </font>
    <font>
      <sz val="12"/>
      <color theme="1"/>
      <name val="Univers"/>
      <family val="2"/>
    </font>
    <font>
      <u val="singleAccounting"/>
      <sz val="12"/>
      <color theme="1"/>
      <name val="Univers"/>
      <family val="2"/>
    </font>
    <font>
      <b/>
      <sz val="10"/>
      <color theme="1"/>
      <name val="Univers"/>
      <family val="2"/>
    </font>
    <font>
      <b/>
      <u/>
      <sz val="10"/>
      <color theme="1"/>
      <name val="Univers"/>
      <family val="2"/>
    </font>
    <font>
      <sz val="12"/>
      <color theme="1"/>
      <name val="Aptos"/>
      <family val="2"/>
    </font>
    <font>
      <sz val="11"/>
      <color rgb="FF00FF00"/>
      <name val="Eye glass Extended"/>
      <family val="2"/>
    </font>
    <font>
      <sz val="12"/>
      <color rgb="FF000000"/>
      <name val="Aptos"/>
      <family val="2"/>
    </font>
    <font>
      <sz val="11"/>
      <color theme="1"/>
      <name val="Aptos"/>
      <family val="2"/>
    </font>
    <font>
      <u/>
      <sz val="12"/>
      <color theme="1"/>
      <name val="Aptos"/>
      <family val="2"/>
    </font>
    <font>
      <b/>
      <sz val="12"/>
      <color theme="1"/>
      <name val="Aptos"/>
      <family val="2"/>
    </font>
    <font>
      <b/>
      <sz val="11"/>
      <color theme="1"/>
      <name val="Aptos"/>
      <family val="2"/>
    </font>
    <font>
      <b/>
      <sz val="10"/>
      <color rgb="FFA3FFA3"/>
      <name val="Eye glass Extended"/>
      <family val="2"/>
    </font>
    <font>
      <b/>
      <sz val="16"/>
      <color rgb="FFA3FFA3"/>
      <name val="Aptos"/>
      <family val="2"/>
    </font>
    <font>
      <sz val="14"/>
      <color rgb="FFA3FFA3"/>
      <name val="Aptos"/>
      <family val="2"/>
    </font>
    <font>
      <b/>
      <sz val="14"/>
      <color theme="1"/>
      <name val="Aptos"/>
      <family val="2"/>
    </font>
    <font>
      <sz val="14"/>
      <color rgb="FF000000"/>
      <name val="Aptos"/>
      <family val="2"/>
    </font>
    <font>
      <sz val="14"/>
      <color theme="1"/>
      <name val="Aptos"/>
      <family val="2"/>
    </font>
    <font>
      <sz val="14"/>
      <color theme="1"/>
      <name val="Wingdings 2"/>
      <family val="1"/>
      <charset val="2"/>
    </font>
    <font>
      <b/>
      <sz val="16"/>
      <color rgb="FFA3FFA3"/>
      <name val="Eye glass Extended"/>
      <family val="2"/>
    </font>
    <font>
      <b/>
      <sz val="10"/>
      <color rgb="FF7FDFFF"/>
      <name val="Eye glass Extended"/>
      <family val="2"/>
    </font>
    <font>
      <b/>
      <sz val="12"/>
      <name val="Aptos"/>
      <family val="2"/>
    </font>
    <font>
      <sz val="11"/>
      <color theme="0"/>
      <name val="Aptos"/>
      <family val="2"/>
    </font>
    <font>
      <b/>
      <sz val="12"/>
      <color theme="0"/>
      <name val="Aptos"/>
      <family val="2"/>
    </font>
    <font>
      <sz val="10"/>
      <name val="Aptos"/>
      <family val="2"/>
    </font>
    <font>
      <sz val="12"/>
      <name val="Aptos"/>
      <family val="2"/>
    </font>
    <font>
      <b/>
      <sz val="12"/>
      <color rgb="FF0000FF"/>
      <name val="Aptos"/>
      <family val="2"/>
    </font>
    <font>
      <sz val="12"/>
      <color theme="0"/>
      <name val="Aptos"/>
      <family val="2"/>
    </font>
    <font>
      <b/>
      <sz val="12"/>
      <color theme="1"/>
      <name val="Univers"/>
      <family val="2"/>
    </font>
    <font>
      <b/>
      <sz val="12"/>
      <color theme="1"/>
      <name val="Univers"/>
      <family val="2"/>
    </font>
    <font>
      <sz val="11"/>
      <color theme="0"/>
      <name val="Univers"/>
      <family val="2"/>
    </font>
    <font>
      <sz val="10"/>
      <color theme="1"/>
      <name val="Univers"/>
      <family val="2"/>
    </font>
    <font>
      <sz val="12"/>
      <color theme="0"/>
      <name val="Univers"/>
      <family val="2"/>
    </font>
    <font>
      <b/>
      <sz val="10"/>
      <color theme="0"/>
      <name val="Aptos"/>
      <family val="2"/>
    </font>
    <font>
      <b/>
      <sz val="14"/>
      <color theme="0"/>
      <name val="Aptos"/>
      <family val="2"/>
    </font>
    <font>
      <b/>
      <sz val="11"/>
      <name val="Aptos"/>
      <family val="2"/>
    </font>
    <font>
      <sz val="10"/>
      <color theme="0"/>
      <name val="Univers"/>
      <family val="2"/>
    </font>
    <font>
      <sz val="10"/>
      <color theme="0"/>
      <name val="Aptos"/>
      <family val="2"/>
    </font>
    <font>
      <sz val="10"/>
      <color theme="1"/>
      <name val="Aptos"/>
      <family val="2"/>
    </font>
    <font>
      <b/>
      <sz val="10"/>
      <color theme="1"/>
      <name val="Aptos"/>
      <family val="2"/>
    </font>
    <font>
      <sz val="10"/>
      <color theme="2" tint="-0.249977111117893"/>
      <name val="Aptos"/>
      <family val="2"/>
    </font>
    <font>
      <b/>
      <sz val="12"/>
      <color rgb="FF7FDFFF"/>
      <name val="Eye glass Extended"/>
      <family val="2"/>
    </font>
    <font>
      <sz val="14"/>
      <color theme="0"/>
      <name val="Univers"/>
      <family val="2"/>
    </font>
    <font>
      <sz val="14"/>
      <color rgb="FF00FF00"/>
      <name val="Eye glass Extended"/>
      <family val="2"/>
    </font>
    <font>
      <u val="singleAccounting"/>
      <sz val="11"/>
      <color theme="1"/>
      <name val="Aptos"/>
      <family val="2"/>
    </font>
    <font>
      <sz val="12"/>
      <color theme="1"/>
      <name val="Aptos"/>
      <family val="2"/>
    </font>
    <font>
      <b/>
      <sz val="12"/>
      <color theme="8" tint="0.79998168889431442"/>
      <name val="Aptos"/>
      <family val="2"/>
    </font>
    <font>
      <sz val="12"/>
      <color theme="0"/>
      <name val="Aptos"/>
      <family val="2"/>
    </font>
    <font>
      <sz val="12"/>
      <color theme="1"/>
      <name val="Univers"/>
      <family val="2"/>
    </font>
    <font>
      <b/>
      <sz val="12"/>
      <color theme="1"/>
      <name val="Aptos"/>
      <family val="2"/>
    </font>
    <font>
      <b/>
      <sz val="12"/>
      <color theme="1"/>
      <name val="Univers"/>
      <family val="2"/>
    </font>
    <font>
      <b/>
      <sz val="11"/>
      <color theme="1"/>
      <name val="Univers"/>
      <family val="2"/>
    </font>
    <font>
      <b/>
      <sz val="10"/>
      <color theme="1"/>
      <name val="Univers"/>
      <family val="2"/>
    </font>
    <font>
      <sz val="10"/>
      <color theme="1"/>
      <name val="Univers"/>
      <family val="2"/>
    </font>
    <font>
      <sz val="14"/>
      <color theme="1"/>
      <name val="Aptos"/>
      <family val="2"/>
    </font>
    <font>
      <b/>
      <sz val="14"/>
      <color rgb="FF000000"/>
      <name val="Aptos"/>
      <family val="2"/>
    </font>
    <font>
      <b/>
      <sz val="14"/>
      <color theme="1"/>
      <name val="Aptos"/>
      <family val="2"/>
    </font>
    <font>
      <b/>
      <sz val="12"/>
      <color rgb="FF000000"/>
      <name val="Aptos"/>
      <family val="2"/>
    </font>
    <font>
      <b/>
      <sz val="12"/>
      <color rgb="FFFF0000"/>
      <name val="Aptos"/>
      <family val="2"/>
    </font>
    <font>
      <b/>
      <sz val="11"/>
      <color theme="1"/>
      <name val="Aptos"/>
      <family val="2"/>
    </font>
    <font>
      <sz val="12"/>
      <color rgb="FF67FD8B"/>
      <name val="Univers"/>
      <family val="2"/>
    </font>
    <font>
      <sz val="11"/>
      <color theme="0"/>
      <name val="Arial"/>
      <family val="2"/>
    </font>
    <font>
      <sz val="8"/>
      <color theme="1"/>
      <name val="Arial"/>
      <family val="2"/>
    </font>
    <font>
      <sz val="10"/>
      <name val="Arial"/>
      <family val="2"/>
    </font>
    <font>
      <sz val="10"/>
      <name val="Univers"/>
      <family val="2"/>
    </font>
    <font>
      <sz val="10"/>
      <color theme="1"/>
      <name val="ArialMT"/>
      <family val="2"/>
    </font>
    <font>
      <b/>
      <sz val="10"/>
      <name val="Arial"/>
      <family val="2"/>
    </font>
    <font>
      <b/>
      <sz val="11"/>
      <name val="Arial"/>
      <family val="2"/>
    </font>
    <font>
      <b/>
      <sz val="8"/>
      <name val="Arial"/>
      <family val="2"/>
    </font>
    <font>
      <b/>
      <sz val="10"/>
      <color rgb="FF0000FF"/>
      <name val="Univers"/>
      <family val="2"/>
    </font>
    <font>
      <sz val="8"/>
      <color theme="1"/>
      <name val="ArialMT"/>
      <family val="2"/>
    </font>
    <font>
      <b/>
      <sz val="11"/>
      <color theme="0"/>
      <name val="Univers"/>
      <family val="2"/>
    </font>
    <font>
      <sz val="10"/>
      <name val="Wingdings 2"/>
      <family val="1"/>
      <charset val="2"/>
    </font>
    <font>
      <sz val="11"/>
      <color theme="1" tint="0.499984740745262"/>
      <name val="Univers"/>
      <family val="2"/>
    </font>
    <font>
      <sz val="9"/>
      <name val="Univers"/>
      <family val="2"/>
    </font>
    <font>
      <b/>
      <sz val="10"/>
      <name val="Univers"/>
      <family val="2"/>
    </font>
    <font>
      <b/>
      <sz val="11"/>
      <color theme="0"/>
      <name val="Arial"/>
      <family val="2"/>
    </font>
    <font>
      <b/>
      <sz val="12"/>
      <color theme="0"/>
      <name val="Arial"/>
      <family val="2"/>
    </font>
    <font>
      <sz val="8"/>
      <color theme="0"/>
      <name val="Arial"/>
      <family val="2"/>
    </font>
    <font>
      <b/>
      <sz val="10"/>
      <color theme="0"/>
      <name val="Arial"/>
      <family val="2"/>
    </font>
    <font>
      <b/>
      <sz val="14"/>
      <color theme="0"/>
      <name val="Arial"/>
      <family val="2"/>
    </font>
    <font>
      <sz val="14"/>
      <color theme="0"/>
      <name val="Arial"/>
      <family val="2"/>
    </font>
    <font>
      <sz val="9"/>
      <color theme="0"/>
      <name val="Arial"/>
      <family val="2"/>
    </font>
    <font>
      <b/>
      <sz val="9"/>
      <color theme="0"/>
      <name val="Arial"/>
      <family val="2"/>
    </font>
    <font>
      <sz val="10"/>
      <color theme="0"/>
      <name val="Arial"/>
      <family val="2"/>
    </font>
    <font>
      <sz val="9"/>
      <color rgb="FF0000FF"/>
      <name val="Univers"/>
      <family val="2"/>
    </font>
    <font>
      <sz val="9"/>
      <color theme="1"/>
      <name val="Calibri"/>
      <family val="2"/>
      <scheme val="minor"/>
    </font>
    <font>
      <b/>
      <sz val="9"/>
      <name val="Arial"/>
      <family val="2"/>
    </font>
    <font>
      <sz val="8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0"/>
      <color theme="1"/>
      <name val="Aptos"/>
      <family val="2"/>
    </font>
    <font>
      <sz val="9"/>
      <color theme="1"/>
      <name val="Univers"/>
      <family val="2"/>
    </font>
    <font>
      <b/>
      <u val="singleAccounting"/>
      <sz val="12"/>
      <color theme="1"/>
      <name val="Aptos"/>
      <family val="2"/>
    </font>
    <font>
      <sz val="11"/>
      <color theme="0"/>
      <name val="Univers"/>
      <family val="2"/>
    </font>
    <font>
      <b/>
      <sz val="11"/>
      <color theme="0"/>
      <name val="Univers"/>
      <family val="2"/>
    </font>
    <font>
      <b/>
      <sz val="10"/>
      <color theme="1"/>
      <name val="Aptos"/>
      <family val="2"/>
    </font>
    <font>
      <sz val="11"/>
      <name val="Aptos"/>
      <family val="2"/>
    </font>
    <font>
      <sz val="9"/>
      <color theme="0"/>
      <name val="Aptos"/>
      <family val="2"/>
    </font>
    <font>
      <sz val="11"/>
      <color rgb="FF0033CC"/>
      <name val="Aptos"/>
      <family val="2"/>
    </font>
    <font>
      <sz val="9"/>
      <color rgb="FF0033CC"/>
      <name val="Aptos"/>
      <family val="2"/>
    </font>
    <font>
      <sz val="12"/>
      <color rgb="FF0033CC"/>
      <name val="Aptos"/>
      <family val="2"/>
    </font>
    <font>
      <b/>
      <sz val="12"/>
      <color theme="1"/>
      <name val="Aptos"/>
      <family val="2"/>
    </font>
    <font>
      <u/>
      <sz val="12"/>
      <color rgb="FF3704FF"/>
      <name val="Aptos"/>
      <family val="2"/>
    </font>
    <font>
      <b/>
      <sz val="11"/>
      <color rgb="FF7FDFFF"/>
      <name val="Eye glass Extended"/>
      <family val="2"/>
    </font>
    <font>
      <b/>
      <sz val="11"/>
      <name val="Univers"/>
      <family val="2"/>
    </font>
    <font>
      <b/>
      <sz val="9"/>
      <color theme="0"/>
      <name val="Aptos"/>
      <family val="2"/>
    </font>
    <font>
      <b/>
      <sz val="9"/>
      <name val="Aptos"/>
      <family val="2"/>
    </font>
  </fonts>
  <fills count="4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rgb="FFEBEBEB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EDADB2"/>
        <bgColor indexed="64"/>
      </patternFill>
    </fill>
    <fill>
      <patternFill patternType="solid">
        <fgColor rgb="FF9FFFA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CD8EA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rgb="FFFFF8DE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C8"/>
        <bgColor indexed="64"/>
      </patternFill>
    </fill>
    <fill>
      <patternFill patternType="solid">
        <fgColor rgb="FF0066FF"/>
        <bgColor indexed="64"/>
      </patternFill>
    </fill>
    <fill>
      <patternFill patternType="solid">
        <fgColor rgb="FFC1FFC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C9C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498AFF"/>
        <bgColor indexed="64"/>
      </patternFill>
    </fill>
    <fill>
      <patternFill patternType="solid">
        <fgColor rgb="FFAAFFA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BFFE6"/>
        <bgColor indexed="64"/>
      </patternFill>
    </fill>
    <fill>
      <patternFill patternType="solid">
        <fgColor rgb="FF960000"/>
        <bgColor indexed="64"/>
      </patternFill>
    </fill>
    <fill>
      <patternFill patternType="solid">
        <fgColor rgb="FF2F3A47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435265"/>
        <bgColor indexed="64"/>
      </patternFill>
    </fill>
    <fill>
      <patternFill patternType="solid">
        <fgColor rgb="FF2862A8"/>
        <bgColor indexed="64"/>
      </patternFill>
    </fill>
    <fill>
      <patternFill patternType="solid">
        <fgColor rgb="FF204D84"/>
        <bgColor indexed="64"/>
      </patternFill>
    </fill>
    <fill>
      <patternFill patternType="solid">
        <fgColor rgb="FF2D6CB9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54677E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21FF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4" tint="0.59999389629810485"/>
        <bgColor indexed="64"/>
      </patternFill>
    </fill>
  </fills>
  <borders count="166">
    <border>
      <left/>
      <right/>
      <top/>
      <bottom/>
      <diagonal/>
    </border>
    <border>
      <left style="thick">
        <color rgb="FFE1E1E1"/>
      </left>
      <right style="thick">
        <color rgb="FFE1E1E1"/>
      </right>
      <top style="thick">
        <color rgb="FFE1E1E1"/>
      </top>
      <bottom style="thick">
        <color rgb="FFE1E1E1"/>
      </bottom>
      <diagonal/>
    </border>
    <border>
      <left style="thick">
        <color rgb="FFE1E1E1"/>
      </left>
      <right style="thick">
        <color rgb="FFE1E1E1"/>
      </right>
      <top style="thin">
        <color theme="2" tint="-0.499984740745262"/>
      </top>
      <bottom style="thick">
        <color rgb="FFE1E1E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2" tint="-9.9948118533890809E-2"/>
      </left>
      <right style="thin">
        <color theme="2" tint="-9.9948118533890809E-2"/>
      </right>
      <top style="thin">
        <color indexed="64"/>
      </top>
      <bottom/>
      <diagonal/>
    </border>
    <border>
      <left style="thin">
        <color theme="2" tint="-9.9948118533890809E-2"/>
      </left>
      <right style="thin">
        <color theme="2" tint="-9.9948118533890809E-2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/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 style="medium">
        <color theme="0"/>
      </left>
      <right/>
      <top/>
      <bottom/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1"/>
      </left>
      <right/>
      <top style="thin">
        <color theme="0" tint="-0.24994659260841701"/>
      </top>
      <bottom/>
      <diagonal/>
    </border>
    <border>
      <left style="thin">
        <color theme="1"/>
      </left>
      <right/>
      <top/>
      <bottom/>
      <diagonal/>
    </border>
    <border>
      <left style="thin">
        <color theme="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1"/>
      </left>
      <right/>
      <top style="thin">
        <color indexed="64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ck">
        <color theme="0"/>
      </left>
      <right style="thick">
        <color theme="0"/>
      </right>
      <top/>
      <bottom/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/>
      <bottom style="thin">
        <color indexed="64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 style="thick">
        <color theme="0"/>
      </left>
      <right/>
      <top style="thick">
        <color theme="0"/>
      </top>
      <bottom style="thick">
        <color theme="0"/>
      </bottom>
      <diagonal/>
    </border>
    <border>
      <left/>
      <right/>
      <top style="thick">
        <color theme="0"/>
      </top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 style="thick">
        <color theme="0"/>
      </bottom>
      <diagonal/>
    </border>
    <border>
      <left style="thick">
        <color theme="0"/>
      </left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/>
      <right style="thick">
        <color theme="0"/>
      </right>
      <top style="thick">
        <color theme="0"/>
      </top>
      <bottom style="thin">
        <color indexed="64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n">
        <color indexed="64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/>
      <top style="thin">
        <color theme="0" tint="-0.499984740745262"/>
      </top>
      <bottom style="thick">
        <color theme="0"/>
      </bottom>
      <diagonal/>
    </border>
    <border>
      <left/>
      <right/>
      <top style="thin">
        <color theme="0" tint="-0.499984740745262"/>
      </top>
      <bottom style="thick">
        <color theme="0"/>
      </bottom>
      <diagonal/>
    </border>
    <border>
      <left/>
      <right style="thick">
        <color theme="0"/>
      </right>
      <top/>
      <bottom style="thick">
        <color theme="0"/>
      </bottom>
      <diagonal/>
    </border>
    <border>
      <left/>
      <right style="thick">
        <color theme="0"/>
      </right>
      <top style="thin">
        <color theme="0" tint="-0.499984740745262"/>
      </top>
      <bottom style="thick">
        <color theme="0"/>
      </bottom>
      <diagonal/>
    </border>
    <border>
      <left style="thick">
        <color theme="0"/>
      </left>
      <right style="thick">
        <color theme="0"/>
      </right>
      <top style="thin">
        <color theme="0" tint="-0.499984740745262"/>
      </top>
      <bottom style="thick">
        <color theme="0"/>
      </bottom>
      <diagonal/>
    </border>
    <border>
      <left style="thick">
        <color rgb="FFE1E1E1"/>
      </left>
      <right/>
      <top style="thick">
        <color rgb="FFE1E1E1"/>
      </top>
      <bottom/>
      <diagonal/>
    </border>
    <border>
      <left/>
      <right style="thick">
        <color rgb="FFE1E1E1"/>
      </right>
      <top style="thick">
        <color rgb="FFE1E1E1"/>
      </top>
      <bottom/>
      <diagonal/>
    </border>
    <border>
      <left/>
      <right/>
      <top style="thick">
        <color rgb="FFE1E1E1"/>
      </top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/>
      <top/>
      <bottom style="thick">
        <color theme="0"/>
      </bottom>
      <diagonal/>
    </border>
    <border>
      <left style="thick">
        <color rgb="FFE1E1E1"/>
      </left>
      <right/>
      <top/>
      <bottom style="thick">
        <color rgb="FFE1E1E1"/>
      </bottom>
      <diagonal/>
    </border>
    <border>
      <left/>
      <right style="thick">
        <color rgb="FFE1E1E1"/>
      </right>
      <top/>
      <bottom style="thick">
        <color rgb="FFE1E1E1"/>
      </bottom>
      <diagonal/>
    </border>
    <border>
      <left/>
      <right/>
      <top/>
      <bottom style="thick">
        <color rgb="FFE1E1E1"/>
      </bottom>
      <diagonal/>
    </border>
    <border>
      <left style="thick">
        <color rgb="FFE1E1E1"/>
      </left>
      <right style="thick">
        <color rgb="FFE1E1E1"/>
      </right>
      <top/>
      <bottom/>
      <diagonal/>
    </border>
    <border>
      <left/>
      <right style="thick">
        <color rgb="FFE1E1E1"/>
      </right>
      <top style="thick">
        <color theme="0"/>
      </top>
      <bottom/>
      <diagonal/>
    </border>
    <border>
      <left style="thick">
        <color rgb="FFE1E1E1"/>
      </left>
      <right/>
      <top/>
      <bottom/>
      <diagonal/>
    </border>
    <border>
      <left/>
      <right style="thick">
        <color rgb="FFE1E1E1"/>
      </right>
      <top/>
      <bottom/>
      <diagonal/>
    </border>
    <border>
      <left style="thick">
        <color rgb="FFE1E1E1"/>
      </left>
      <right/>
      <top style="thick">
        <color rgb="FFE1E1E1"/>
      </top>
      <bottom style="thick">
        <color rgb="FFE1E1E1"/>
      </bottom>
      <diagonal/>
    </border>
    <border>
      <left/>
      <right style="thick">
        <color rgb="FFE1E1E1"/>
      </right>
      <top style="thick">
        <color rgb="FFE1E1E1"/>
      </top>
      <bottom style="thick">
        <color rgb="FFE1E1E1"/>
      </bottom>
      <diagonal/>
    </border>
    <border>
      <left style="thick">
        <color rgb="FFE1E1E1"/>
      </left>
      <right style="thick">
        <color rgb="FFE1E1E1"/>
      </right>
      <top style="thick">
        <color rgb="FFE1E1E1"/>
      </top>
      <bottom/>
      <diagonal/>
    </border>
    <border>
      <left style="thick">
        <color rgb="FFE1E1E1"/>
      </left>
      <right style="thick">
        <color rgb="FFE1E1E1"/>
      </right>
      <top/>
      <bottom style="thick">
        <color theme="0"/>
      </bottom>
      <diagonal/>
    </border>
    <border>
      <left style="thick">
        <color theme="0"/>
      </left>
      <right/>
      <top style="thick">
        <color theme="0"/>
      </top>
      <bottom style="thin">
        <color indexed="64"/>
      </bottom>
      <diagonal/>
    </border>
    <border>
      <left style="thick">
        <color theme="0"/>
      </left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34998626667073579"/>
      </right>
      <top style="thin">
        <color indexed="64"/>
      </top>
      <bottom/>
      <diagonal/>
    </border>
    <border>
      <left style="thin">
        <color theme="0" tint="-0.34998626667073579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theme="0" tint="-0.34998626667073579"/>
      </right>
      <top/>
      <bottom style="thin">
        <color indexed="64"/>
      </bottom>
      <diagonal/>
    </border>
    <border>
      <left style="thin">
        <color theme="0" tint="-0.34998626667073579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 style="thin">
        <color indexed="64"/>
      </right>
      <top/>
      <bottom/>
      <diagonal/>
    </border>
    <border>
      <left style="thin">
        <color indexed="64"/>
      </left>
      <right style="thin">
        <color theme="0" tint="-0.499984740745262"/>
      </right>
      <top style="thin">
        <color indexed="64"/>
      </top>
      <bottom/>
      <diagonal/>
    </border>
    <border>
      <left style="thin">
        <color theme="0" tint="-0.499984740745262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theme="0" tint="-0.499984740745262"/>
      </right>
      <top/>
      <bottom style="thin">
        <color indexed="64"/>
      </bottom>
      <diagonal/>
    </border>
    <border>
      <left style="thin">
        <color theme="0" tint="-0.499984740745262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499984740745262"/>
      </right>
      <top/>
      <bottom/>
      <diagonal/>
    </border>
    <border>
      <left style="thin">
        <color theme="0" tint="-0.499984740745262"/>
      </left>
      <right style="thin">
        <color indexed="64"/>
      </right>
      <top/>
      <bottom/>
      <diagonal/>
    </border>
    <border>
      <left style="thin">
        <color theme="0" tint="-4.9989318521683403E-2"/>
      </left>
      <right style="thin">
        <color theme="0" tint="-4.9989318521683403E-2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24994659260841701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theme="0"/>
      </left>
      <right/>
      <top style="medium">
        <color theme="0"/>
      </top>
      <bottom style="thin">
        <color theme="1" tint="0.499984740745262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/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thin">
        <color theme="1" tint="0.499984740745262"/>
      </left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 style="thin">
        <color theme="1" tint="0.499984740745262"/>
      </right>
      <top/>
      <bottom/>
      <diagonal/>
    </border>
    <border>
      <left style="thin">
        <color theme="1" tint="0.499984740745262"/>
      </left>
      <right style="thin">
        <color theme="0" tint="-0.34998626667073579"/>
      </right>
      <top style="thin">
        <color theme="0" tint="-0.24994659260841701"/>
      </top>
      <bottom/>
      <diagonal/>
    </border>
    <border>
      <left style="thin">
        <color theme="0" tint="-0.34998626667073579"/>
      </left>
      <right style="thin">
        <color theme="1" tint="0.499984740745262"/>
      </right>
      <top style="thin">
        <color theme="0" tint="-0.24994659260841701"/>
      </top>
      <bottom/>
      <diagonal/>
    </border>
    <border>
      <left style="thin">
        <color theme="1" tint="0.499984740745262"/>
      </left>
      <right style="thin">
        <color theme="0" tint="-0.34998626667073579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1" tint="0.499984740745262"/>
      </left>
      <right style="thin">
        <color theme="0" tint="-0.34998626667073579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34998626667073579"/>
      </left>
      <right style="thin">
        <color theme="1" tint="0.499984740745262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theme="1"/>
      </top>
      <bottom/>
      <diagonal/>
    </border>
    <border>
      <left/>
      <right style="thin">
        <color indexed="64"/>
      </right>
      <top style="thin">
        <color theme="1"/>
      </top>
      <bottom/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499984740745262"/>
      </bottom>
      <diagonal/>
    </border>
    <border>
      <left/>
      <right/>
      <top style="thin">
        <color theme="0" tint="-0.24994659260841701"/>
      </top>
      <bottom style="thin">
        <color theme="0" tint="-0.499984740745262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 tint="-0.499984740745262"/>
      </bottom>
      <diagonal/>
    </border>
    <border>
      <left/>
      <right/>
      <top style="thin">
        <color indexed="64"/>
      </top>
      <bottom style="thin">
        <color theme="0" tint="-0.499984740745262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/>
      <diagonal/>
    </border>
    <border>
      <left style="thin">
        <color indexed="64"/>
      </left>
      <right style="thin">
        <color indexed="64"/>
      </right>
      <top style="thin">
        <color theme="0" tint="-0.499984740745262"/>
      </top>
      <bottom style="thin">
        <color indexed="64"/>
      </bottom>
      <diagonal/>
    </border>
    <border>
      <left style="thin">
        <color theme="1"/>
      </left>
      <right/>
      <top style="thin">
        <color theme="0" tint="-0.499984740745262"/>
      </top>
      <bottom/>
      <diagonal/>
    </border>
    <border>
      <left style="thin">
        <color theme="1"/>
      </left>
      <right/>
      <top style="thin">
        <color theme="0" tint="-0.499984740745262"/>
      </top>
      <bottom style="thin">
        <color theme="1"/>
      </bottom>
      <diagonal/>
    </border>
    <border>
      <left/>
      <right/>
      <top style="thin">
        <color theme="0" tint="-0.499984740745262"/>
      </top>
      <bottom style="thin">
        <color theme="1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1"/>
      </bottom>
      <diagonal/>
    </border>
    <border>
      <left style="thin">
        <color theme="0" tint="-0.499984740745262"/>
      </left>
      <right/>
      <top/>
      <bottom style="thin">
        <color indexed="64"/>
      </bottom>
      <diagonal/>
    </border>
    <border>
      <left style="thin">
        <color indexed="64"/>
      </left>
      <right style="thin">
        <color theme="0" tint="-0.499984740745262"/>
      </right>
      <top style="thin">
        <color theme="1"/>
      </top>
      <bottom/>
      <diagonal/>
    </border>
    <border>
      <left style="thin">
        <color theme="0" tint="-0.499984740745262"/>
      </left>
      <right/>
      <top/>
      <bottom/>
      <diagonal/>
    </border>
    <border>
      <left style="thin">
        <color theme="0" tint="-0.24994659260841701"/>
      </left>
      <right style="thin">
        <color theme="0" tint="-0.499984740745262"/>
      </right>
      <top/>
      <bottom style="thin">
        <color theme="0" tint="-0.24994659260841701"/>
      </bottom>
      <diagonal/>
    </border>
    <border>
      <left style="thin">
        <color theme="0" tint="-0.499984740745262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499984740745262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499984740745262"/>
      </left>
      <right/>
      <top style="thin">
        <color theme="0" tint="-0.24994659260841701"/>
      </top>
      <bottom style="thin">
        <color theme="0" tint="-0.499984740745262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499984740745262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499984740745262"/>
      </bottom>
      <diagonal/>
    </border>
    <border>
      <left style="thin">
        <color theme="1"/>
      </left>
      <right style="thin">
        <color theme="0" tint="-0.24994659260841701"/>
      </right>
      <top style="thin">
        <color theme="0" tint="-0.24994659260841701"/>
      </top>
      <bottom style="thin">
        <color theme="0" tint="-0.499984740745262"/>
      </bottom>
      <diagonal/>
    </border>
    <border>
      <left style="thin">
        <color theme="1"/>
      </left>
      <right/>
      <top style="thin">
        <color theme="0" tint="-0.24994659260841701"/>
      </top>
      <bottom style="thin">
        <color theme="0" tint="-0.499984740745262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24994659260841701"/>
      </top>
      <bottom style="thin">
        <color theme="0" tint="-0.499984740745262"/>
      </bottom>
      <diagonal/>
    </border>
  </borders>
  <cellStyleXfs count="21">
    <xf numFmtId="0" fontId="0" fillId="0" borderId="0"/>
    <xf numFmtId="164" fontId="5" fillId="4" borderId="1">
      <alignment horizontal="left" vertical="center" shrinkToFit="1"/>
    </xf>
    <xf numFmtId="167" fontId="3" fillId="0" borderId="0"/>
    <xf numFmtId="164" fontId="5" fillId="4" borderId="2">
      <alignment horizontal="left" vertical="center"/>
    </xf>
    <xf numFmtId="0" fontId="7" fillId="0" borderId="0"/>
    <xf numFmtId="41" fontId="8" fillId="0" borderId="0"/>
    <xf numFmtId="9" fontId="9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24" fillId="0" borderId="0"/>
    <xf numFmtId="9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0" fontId="25" fillId="0" borderId="0"/>
    <xf numFmtId="0" fontId="3" fillId="0" borderId="0"/>
    <xf numFmtId="9" fontId="25" fillId="0" borderId="0" applyFont="0" applyFill="0" applyBorder="0" applyAlignment="0" applyProtection="0"/>
    <xf numFmtId="0" fontId="2" fillId="0" borderId="0"/>
    <xf numFmtId="43" fontId="25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107" fillId="0" borderId="0"/>
    <xf numFmtId="0" fontId="109" fillId="0" borderId="0"/>
    <xf numFmtId="9" fontId="107" fillId="0" borderId="0" applyFont="0" applyFill="0" applyBorder="0" applyAlignment="0" applyProtection="0"/>
    <xf numFmtId="0" fontId="3" fillId="0" borderId="0"/>
  </cellStyleXfs>
  <cellXfs count="1112">
    <xf numFmtId="0" fontId="0" fillId="0" borderId="0" xfId="0"/>
    <xf numFmtId="0" fontId="4" fillId="3" borderId="0" xfId="0" applyFont="1" applyFill="1"/>
    <xf numFmtId="0" fontId="4" fillId="3" borderId="0" xfId="0" applyFont="1" applyFill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center"/>
    </xf>
    <xf numFmtId="0" fontId="10" fillId="0" borderId="0" xfId="0" applyFont="1"/>
    <xf numFmtId="0" fontId="11" fillId="3" borderId="0" xfId="0" applyFont="1" applyFill="1" applyAlignment="1">
      <alignment vertical="center"/>
    </xf>
    <xf numFmtId="0" fontId="12" fillId="3" borderId="0" xfId="0" applyFont="1" applyFill="1" applyAlignment="1">
      <alignment vertical="center"/>
    </xf>
    <xf numFmtId="0" fontId="13" fillId="3" borderId="0" xfId="0" quotePrefix="1" applyFont="1" applyFill="1" applyAlignment="1">
      <alignment horizontal="left" vertical="center"/>
    </xf>
    <xf numFmtId="0" fontId="15" fillId="3" borderId="0" xfId="0" applyFont="1" applyFill="1" applyAlignment="1">
      <alignment horizontal="left" vertical="top" indent="1"/>
    </xf>
    <xf numFmtId="0" fontId="10" fillId="3" borderId="0" xfId="0" applyFont="1" applyFill="1"/>
    <xf numFmtId="0" fontId="17" fillId="0" borderId="0" xfId="0" applyFont="1" applyAlignment="1">
      <alignment horizontal="left" vertical="top" indent="2"/>
    </xf>
    <xf numFmtId="0" fontId="17" fillId="0" borderId="0" xfId="0" applyFont="1" applyAlignment="1">
      <alignment vertical="top"/>
    </xf>
    <xf numFmtId="0" fontId="18" fillId="6" borderId="3" xfId="0" applyFont="1" applyFill="1" applyBorder="1" applyAlignment="1">
      <alignment horizontal="left" vertical="center" indent="1"/>
    </xf>
    <xf numFmtId="0" fontId="19" fillId="8" borderId="3" xfId="0" applyFont="1" applyFill="1" applyBorder="1" applyAlignment="1">
      <alignment horizontal="left" vertical="center" indent="1"/>
    </xf>
    <xf numFmtId="168" fontId="20" fillId="10" borderId="11" xfId="0" applyNumberFormat="1" applyFont="1" applyFill="1" applyBorder="1" applyAlignment="1">
      <alignment horizontal="right" vertical="center"/>
    </xf>
    <xf numFmtId="168" fontId="20" fillId="10" borderId="12" xfId="0" applyNumberFormat="1" applyFont="1" applyFill="1" applyBorder="1" applyAlignment="1">
      <alignment horizontal="right" vertical="center"/>
    </xf>
    <xf numFmtId="0" fontId="10" fillId="0" borderId="0" xfId="0" applyFont="1" applyAlignment="1">
      <alignment vertical="center"/>
    </xf>
    <xf numFmtId="0" fontId="21" fillId="10" borderId="7" xfId="0" applyFont="1" applyFill="1" applyBorder="1" applyAlignment="1">
      <alignment horizontal="left" vertical="center" indent="2"/>
    </xf>
    <xf numFmtId="0" fontId="21" fillId="10" borderId="9" xfId="0" applyFont="1" applyFill="1" applyBorder="1" applyAlignment="1">
      <alignment horizontal="left" vertical="center" indent="2"/>
    </xf>
    <xf numFmtId="0" fontId="21" fillId="10" borderId="19" xfId="0" applyFont="1" applyFill="1" applyBorder="1" applyAlignment="1">
      <alignment horizontal="left" vertical="center" indent="2"/>
    </xf>
    <xf numFmtId="0" fontId="25" fillId="0" borderId="0" xfId="11"/>
    <xf numFmtId="0" fontId="18" fillId="7" borderId="3" xfId="11" applyFont="1" applyFill="1" applyBorder="1" applyAlignment="1">
      <alignment horizontal="left" vertical="center" indent="1"/>
    </xf>
    <xf numFmtId="0" fontId="14" fillId="3" borderId="0" xfId="11" quotePrefix="1" applyFont="1" applyFill="1" applyAlignment="1">
      <alignment vertical="top"/>
    </xf>
    <xf numFmtId="0" fontId="10" fillId="0" borderId="0" xfId="0" applyFont="1" applyAlignment="1">
      <alignment horizontal="left" indent="1"/>
    </xf>
    <xf numFmtId="1" fontId="10" fillId="10" borderId="9" xfId="8" applyNumberFormat="1" applyFont="1" applyFill="1" applyBorder="1" applyAlignment="1">
      <alignment horizontal="left" vertical="center" indent="1"/>
    </xf>
    <xf numFmtId="168" fontId="20" fillId="10" borderId="10" xfId="0" applyNumberFormat="1" applyFont="1" applyFill="1" applyBorder="1" applyAlignment="1">
      <alignment horizontal="left" vertical="center" indent="1"/>
    </xf>
    <xf numFmtId="171" fontId="10" fillId="10" borderId="7" xfId="8" applyNumberFormat="1" applyFont="1" applyFill="1" applyBorder="1" applyAlignment="1">
      <alignment horizontal="left" vertical="center" indent="1"/>
    </xf>
    <xf numFmtId="171" fontId="10" fillId="10" borderId="9" xfId="8" applyNumberFormat="1" applyFont="1" applyFill="1" applyBorder="1" applyAlignment="1">
      <alignment horizontal="left" vertical="center" indent="1"/>
    </xf>
    <xf numFmtId="0" fontId="18" fillId="7" borderId="4" xfId="0" applyFont="1" applyFill="1" applyBorder="1" applyAlignment="1">
      <alignment horizontal="center" vertical="center"/>
    </xf>
    <xf numFmtId="0" fontId="10" fillId="0" borderId="0" xfId="0" applyFont="1" applyAlignment="1">
      <alignment horizontal="center"/>
    </xf>
    <xf numFmtId="1" fontId="10" fillId="10" borderId="24" xfId="8" applyNumberFormat="1" applyFont="1" applyFill="1" applyBorder="1" applyAlignment="1">
      <alignment horizontal="center" vertical="center"/>
    </xf>
    <xf numFmtId="170" fontId="20" fillId="10" borderId="11" xfId="0" applyNumberFormat="1" applyFont="1" applyFill="1" applyBorder="1" applyAlignment="1">
      <alignment horizontal="center" vertical="center"/>
    </xf>
    <xf numFmtId="168" fontId="20" fillId="10" borderId="11" xfId="0" applyNumberFormat="1" applyFont="1" applyFill="1" applyBorder="1" applyAlignment="1">
      <alignment horizontal="center" vertical="center"/>
    </xf>
    <xf numFmtId="169" fontId="20" fillId="10" borderId="11" xfId="0" applyNumberFormat="1" applyFont="1" applyFill="1" applyBorder="1" applyAlignment="1">
      <alignment horizontal="center" vertical="center"/>
    </xf>
    <xf numFmtId="10" fontId="20" fillId="10" borderId="11" xfId="7" applyNumberFormat="1" applyFont="1" applyFill="1" applyBorder="1" applyAlignment="1">
      <alignment horizontal="center" vertical="center"/>
    </xf>
    <xf numFmtId="170" fontId="20" fillId="10" borderId="12" xfId="0" applyNumberFormat="1" applyFont="1" applyFill="1" applyBorder="1" applyAlignment="1">
      <alignment horizontal="center" vertical="center"/>
    </xf>
    <xf numFmtId="169" fontId="20" fillId="10" borderId="12" xfId="0" applyNumberFormat="1" applyFont="1" applyFill="1" applyBorder="1" applyAlignment="1">
      <alignment horizontal="center" vertical="center"/>
    </xf>
    <xf numFmtId="10" fontId="20" fillId="10" borderId="12" xfId="7" applyNumberFormat="1" applyFont="1" applyFill="1" applyBorder="1" applyAlignment="1">
      <alignment horizontal="center" vertical="center"/>
    </xf>
    <xf numFmtId="170" fontId="20" fillId="10" borderId="37" xfId="0" applyNumberFormat="1" applyFont="1" applyFill="1" applyBorder="1" applyAlignment="1">
      <alignment horizontal="center" vertical="center"/>
    </xf>
    <xf numFmtId="169" fontId="20" fillId="10" borderId="37" xfId="0" applyNumberFormat="1" applyFont="1" applyFill="1" applyBorder="1" applyAlignment="1">
      <alignment horizontal="center" vertical="center"/>
    </xf>
    <xf numFmtId="10" fontId="20" fillId="10" borderId="37" xfId="7" applyNumberFormat="1" applyFont="1" applyFill="1" applyBorder="1" applyAlignment="1">
      <alignment horizontal="center" vertical="center"/>
    </xf>
    <xf numFmtId="168" fontId="20" fillId="10" borderId="12" xfId="0" applyNumberFormat="1" applyFont="1" applyFill="1" applyBorder="1" applyAlignment="1">
      <alignment horizontal="center" vertical="center"/>
    </xf>
    <xf numFmtId="169" fontId="26" fillId="10" borderId="11" xfId="0" applyNumberFormat="1" applyFont="1" applyFill="1" applyBorder="1" applyAlignment="1">
      <alignment horizontal="center" vertical="center"/>
    </xf>
    <xf numFmtId="169" fontId="26" fillId="10" borderId="12" xfId="0" applyNumberFormat="1" applyFont="1" applyFill="1" applyBorder="1" applyAlignment="1">
      <alignment horizontal="center" vertical="center"/>
    </xf>
    <xf numFmtId="169" fontId="26" fillId="10" borderId="37" xfId="0" applyNumberFormat="1" applyFont="1" applyFill="1" applyBorder="1" applyAlignment="1">
      <alignment horizontal="center" vertical="center"/>
    </xf>
    <xf numFmtId="0" fontId="10" fillId="0" borderId="0" xfId="0" applyFont="1" applyAlignment="1">
      <alignment vertical="top"/>
    </xf>
    <xf numFmtId="0" fontId="0" fillId="0" borderId="0" xfId="0" applyAlignment="1">
      <alignment vertical="top"/>
    </xf>
    <xf numFmtId="0" fontId="0" fillId="0" borderId="0" xfId="0" applyAlignment="1">
      <alignment horizontal="center"/>
    </xf>
    <xf numFmtId="0" fontId="26" fillId="9" borderId="21" xfId="0" applyFont="1" applyFill="1" applyBorder="1" applyAlignment="1">
      <alignment horizontal="center" vertical="top"/>
    </xf>
    <xf numFmtId="0" fontId="26" fillId="9" borderId="11" xfId="0" applyFont="1" applyFill="1" applyBorder="1" applyAlignment="1">
      <alignment horizontal="center" vertical="top"/>
    </xf>
    <xf numFmtId="0" fontId="29" fillId="9" borderId="11" xfId="0" applyFont="1" applyFill="1" applyBorder="1" applyAlignment="1">
      <alignment horizontal="center" vertical="top"/>
    </xf>
    <xf numFmtId="168" fontId="20" fillId="10" borderId="11" xfId="0" applyNumberFormat="1" applyFont="1" applyFill="1" applyBorder="1" applyAlignment="1">
      <alignment horizontal="left" vertical="center" indent="1"/>
    </xf>
    <xf numFmtId="171" fontId="10" fillId="10" borderId="16" xfId="8" applyNumberFormat="1" applyFont="1" applyFill="1" applyBorder="1" applyAlignment="1">
      <alignment horizontal="left" vertical="center" indent="1"/>
    </xf>
    <xf numFmtId="168" fontId="20" fillId="10" borderId="37" xfId="0" applyNumberFormat="1" applyFont="1" applyFill="1" applyBorder="1" applyAlignment="1">
      <alignment horizontal="center" vertical="center"/>
    </xf>
    <xf numFmtId="168" fontId="20" fillId="10" borderId="37" xfId="0" applyNumberFormat="1" applyFont="1" applyFill="1" applyBorder="1" applyAlignment="1">
      <alignment horizontal="left" vertical="center" indent="1"/>
    </xf>
    <xf numFmtId="168" fontId="20" fillId="10" borderId="37" xfId="0" applyNumberFormat="1" applyFont="1" applyFill="1" applyBorder="1" applyAlignment="1">
      <alignment horizontal="right" vertical="center"/>
    </xf>
    <xf numFmtId="168" fontId="20" fillId="10" borderId="12" xfId="0" applyNumberFormat="1" applyFont="1" applyFill="1" applyBorder="1" applyAlignment="1">
      <alignment horizontal="left" vertical="center" indent="1"/>
    </xf>
    <xf numFmtId="9" fontId="0" fillId="0" borderId="0" xfId="7" applyFont="1"/>
    <xf numFmtId="0" fontId="0" fillId="0" borderId="0" xfId="0" applyAlignment="1">
      <alignment horizontal="right"/>
    </xf>
    <xf numFmtId="0" fontId="21" fillId="13" borderId="13" xfId="0" applyFont="1" applyFill="1" applyBorder="1" applyAlignment="1">
      <alignment horizontal="left" vertical="center" indent="1"/>
    </xf>
    <xf numFmtId="0" fontId="30" fillId="17" borderId="4" xfId="0" applyFont="1" applyFill="1" applyBorder="1" applyAlignment="1">
      <alignment horizontal="center" vertical="center"/>
    </xf>
    <xf numFmtId="0" fontId="30" fillId="17" borderId="4" xfId="0" quotePrefix="1" applyFont="1" applyFill="1" applyBorder="1" applyAlignment="1">
      <alignment horizontal="center" vertical="center"/>
    </xf>
    <xf numFmtId="168" fontId="0" fillId="0" borderId="0" xfId="0" applyNumberFormat="1"/>
    <xf numFmtId="168" fontId="20" fillId="10" borderId="7" xfId="0" applyNumberFormat="1" applyFont="1" applyFill="1" applyBorder="1" applyAlignment="1">
      <alignment horizontal="right" vertical="center"/>
    </xf>
    <xf numFmtId="168" fontId="20" fillId="10" borderId="16" xfId="0" applyNumberFormat="1" applyFont="1" applyFill="1" applyBorder="1" applyAlignment="1">
      <alignment horizontal="right" vertical="center"/>
    </xf>
    <xf numFmtId="168" fontId="20" fillId="10" borderId="9" xfId="0" applyNumberFormat="1" applyFont="1" applyFill="1" applyBorder="1" applyAlignment="1">
      <alignment horizontal="right" vertical="center"/>
    </xf>
    <xf numFmtId="168" fontId="20" fillId="10" borderId="19" xfId="0" applyNumberFormat="1" applyFont="1" applyFill="1" applyBorder="1" applyAlignment="1">
      <alignment horizontal="right" vertical="center"/>
    </xf>
    <xf numFmtId="168" fontId="20" fillId="10" borderId="23" xfId="0" applyNumberFormat="1" applyFont="1" applyFill="1" applyBorder="1" applyAlignment="1">
      <alignment horizontal="right" vertical="center"/>
    </xf>
    <xf numFmtId="10" fontId="20" fillId="10" borderId="26" xfId="7" applyNumberFormat="1" applyFont="1" applyFill="1" applyBorder="1" applyAlignment="1">
      <alignment horizontal="center" vertical="center"/>
    </xf>
    <xf numFmtId="10" fontId="20" fillId="10" borderId="18" xfId="7" applyNumberFormat="1" applyFont="1" applyFill="1" applyBorder="1" applyAlignment="1">
      <alignment horizontal="center" vertical="center"/>
    </xf>
    <xf numFmtId="10" fontId="20" fillId="10" borderId="20" xfId="7" applyNumberFormat="1" applyFont="1" applyFill="1" applyBorder="1" applyAlignment="1">
      <alignment horizontal="center" vertical="center"/>
    </xf>
    <xf numFmtId="10" fontId="20" fillId="10" borderId="27" xfId="7" applyNumberFormat="1" applyFont="1" applyFill="1" applyBorder="1" applyAlignment="1">
      <alignment horizontal="center" vertical="center"/>
    </xf>
    <xf numFmtId="0" fontId="30" fillId="17" borderId="4" xfId="0" applyFont="1" applyFill="1" applyBorder="1" applyAlignment="1">
      <alignment vertical="center"/>
    </xf>
    <xf numFmtId="1" fontId="0" fillId="0" borderId="0" xfId="16" applyNumberFormat="1" applyFont="1" applyAlignment="1">
      <alignment horizontal="center"/>
    </xf>
    <xf numFmtId="0" fontId="10" fillId="0" borderId="32" xfId="0" applyFont="1" applyBorder="1"/>
    <xf numFmtId="173" fontId="26" fillId="0" borderId="7" xfId="0" applyNumberFormat="1" applyFont="1" applyBorder="1" applyAlignment="1">
      <alignment horizontal="left" vertical="center"/>
    </xf>
    <xf numFmtId="173" fontId="26" fillId="0" borderId="40" xfId="0" applyNumberFormat="1" applyFont="1" applyBorder="1" applyAlignment="1">
      <alignment horizontal="center" vertical="center"/>
    </xf>
    <xf numFmtId="173" fontId="26" fillId="0" borderId="42" xfId="0" applyNumberFormat="1" applyFont="1" applyBorder="1" applyAlignment="1">
      <alignment horizontal="center" vertical="center"/>
    </xf>
    <xf numFmtId="14" fontId="32" fillId="0" borderId="43" xfId="0" applyNumberFormat="1" applyFont="1" applyBorder="1"/>
    <xf numFmtId="1" fontId="32" fillId="0" borderId="43" xfId="16" applyNumberFormat="1" applyFont="1" applyBorder="1" applyAlignment="1">
      <alignment horizontal="center"/>
    </xf>
    <xf numFmtId="1" fontId="32" fillId="0" borderId="41" xfId="16" applyNumberFormat="1" applyFont="1" applyBorder="1" applyAlignment="1">
      <alignment horizontal="center"/>
    </xf>
    <xf numFmtId="171" fontId="21" fillId="10" borderId="7" xfId="8" applyNumberFormat="1" applyFont="1" applyFill="1" applyBorder="1" applyAlignment="1">
      <alignment horizontal="left" vertical="center" indent="1"/>
    </xf>
    <xf numFmtId="0" fontId="34" fillId="0" borderId="0" xfId="0" applyFont="1"/>
    <xf numFmtId="173" fontId="17" fillId="0" borderId="21" xfId="0" applyNumberFormat="1" applyFont="1" applyBorder="1" applyAlignment="1">
      <alignment horizontal="left" vertical="center"/>
    </xf>
    <xf numFmtId="168" fontId="23" fillId="10" borderId="11" xfId="0" applyNumberFormat="1" applyFont="1" applyFill="1" applyBorder="1" applyAlignment="1">
      <alignment horizontal="right" vertical="center" indent="1"/>
    </xf>
    <xf numFmtId="0" fontId="36" fillId="0" borderId="31" xfId="0" applyFont="1" applyBorder="1" applyAlignment="1">
      <alignment horizontal="right" indent="1"/>
    </xf>
    <xf numFmtId="171" fontId="10" fillId="5" borderId="7" xfId="8" applyNumberFormat="1" applyFont="1" applyFill="1" applyBorder="1" applyAlignment="1">
      <alignment horizontal="left" vertical="center" indent="2"/>
    </xf>
    <xf numFmtId="168" fontId="23" fillId="5" borderId="11" xfId="0" applyNumberFormat="1" applyFont="1" applyFill="1" applyBorder="1" applyAlignment="1">
      <alignment horizontal="right" vertical="center" indent="1"/>
    </xf>
    <xf numFmtId="168" fontId="20" fillId="5" borderId="11" xfId="0" applyNumberFormat="1" applyFont="1" applyFill="1" applyBorder="1" applyAlignment="1">
      <alignment horizontal="right" vertical="center"/>
    </xf>
    <xf numFmtId="0" fontId="30" fillId="21" borderId="4" xfId="0" applyFont="1" applyFill="1" applyBorder="1" applyAlignment="1">
      <alignment horizontal="centerContinuous" vertical="center"/>
    </xf>
    <xf numFmtId="0" fontId="30" fillId="21" borderId="5" xfId="0" applyFont="1" applyFill="1" applyBorder="1" applyAlignment="1">
      <alignment horizontal="centerContinuous" vertical="center"/>
    </xf>
    <xf numFmtId="0" fontId="10" fillId="3" borderId="0" xfId="0" applyFont="1" applyFill="1" applyAlignment="1">
      <alignment horizontal="center"/>
    </xf>
    <xf numFmtId="0" fontId="17" fillId="3" borderId="0" xfId="0" applyFont="1" applyFill="1" applyAlignment="1">
      <alignment vertical="top"/>
    </xf>
    <xf numFmtId="0" fontId="10" fillId="3" borderId="0" xfId="0" applyFont="1" applyFill="1" applyAlignment="1">
      <alignment horizontal="left" indent="1"/>
    </xf>
    <xf numFmtId="0" fontId="0" fillId="3" borderId="0" xfId="0" applyFill="1"/>
    <xf numFmtId="0" fontId="0" fillId="3" borderId="0" xfId="0" applyFill="1" applyAlignment="1">
      <alignment vertical="top"/>
    </xf>
    <xf numFmtId="14" fontId="38" fillId="3" borderId="0" xfId="0" applyNumberFormat="1" applyFont="1" applyFill="1" applyAlignment="1">
      <alignment vertical="top"/>
    </xf>
    <xf numFmtId="0" fontId="4" fillId="3" borderId="0" xfId="0" applyFont="1" applyFill="1" applyAlignment="1">
      <alignment horizontal="left" indent="1"/>
    </xf>
    <xf numFmtId="0" fontId="39" fillId="3" borderId="0" xfId="0" applyFont="1" applyFill="1"/>
    <xf numFmtId="168" fontId="20" fillId="10" borderId="0" xfId="0" applyNumberFormat="1" applyFont="1" applyFill="1" applyAlignment="1">
      <alignment horizontal="right" vertical="center"/>
    </xf>
    <xf numFmtId="0" fontId="42" fillId="3" borderId="0" xfId="0" applyFont="1" applyFill="1"/>
    <xf numFmtId="0" fontId="40" fillId="0" borderId="0" xfId="0" applyFont="1"/>
    <xf numFmtId="171" fontId="21" fillId="10" borderId="0" xfId="8" applyNumberFormat="1" applyFont="1" applyFill="1" applyAlignment="1">
      <alignment horizontal="left" vertical="center" indent="1"/>
    </xf>
    <xf numFmtId="168" fontId="23" fillId="10" borderId="0" xfId="0" applyNumberFormat="1" applyFont="1" applyFill="1" applyAlignment="1">
      <alignment horizontal="right" vertical="center" indent="1"/>
    </xf>
    <xf numFmtId="171" fontId="21" fillId="10" borderId="0" xfId="8" applyNumberFormat="1" applyFont="1" applyFill="1" applyAlignment="1">
      <alignment horizontal="left" vertical="center" indent="2"/>
    </xf>
    <xf numFmtId="0" fontId="21" fillId="0" borderId="0" xfId="0" applyFont="1" applyAlignment="1">
      <alignment horizontal="left" indent="2"/>
    </xf>
    <xf numFmtId="0" fontId="21" fillId="0" borderId="0" xfId="0" applyFont="1"/>
    <xf numFmtId="0" fontId="21" fillId="0" borderId="0" xfId="0" applyFont="1" applyAlignment="1">
      <alignment horizontal="left" indent="3"/>
    </xf>
    <xf numFmtId="0" fontId="19" fillId="0" borderId="0" xfId="0" applyFont="1" applyAlignment="1">
      <alignment horizontal="left" indent="1"/>
    </xf>
    <xf numFmtId="171" fontId="10" fillId="10" borderId="19" xfId="8" applyNumberFormat="1" applyFont="1" applyFill="1" applyBorder="1" applyAlignment="1">
      <alignment horizontal="left" vertical="center" indent="1"/>
    </xf>
    <xf numFmtId="168" fontId="20" fillId="10" borderId="23" xfId="0" applyNumberFormat="1" applyFont="1" applyFill="1" applyBorder="1" applyAlignment="1">
      <alignment horizontal="left" vertical="center" indent="1"/>
    </xf>
    <xf numFmtId="0" fontId="43" fillId="0" borderId="0" xfId="0" applyFont="1"/>
    <xf numFmtId="0" fontId="44" fillId="0" borderId="0" xfId="0" applyFont="1"/>
    <xf numFmtId="168" fontId="45" fillId="0" borderId="0" xfId="0" applyNumberFormat="1" applyFont="1"/>
    <xf numFmtId="168" fontId="46" fillId="0" borderId="0" xfId="0" applyNumberFormat="1" applyFont="1"/>
    <xf numFmtId="0" fontId="45" fillId="0" borderId="0" xfId="0" applyFont="1"/>
    <xf numFmtId="168" fontId="47" fillId="0" borderId="0" xfId="0" applyNumberFormat="1" applyFont="1" applyAlignment="1">
      <alignment horizontal="right" indent="1"/>
    </xf>
    <xf numFmtId="168" fontId="48" fillId="0" borderId="0" xfId="0" applyNumberFormat="1" applyFont="1" applyAlignment="1">
      <alignment horizontal="right" indent="1"/>
    </xf>
    <xf numFmtId="0" fontId="26" fillId="0" borderId="42" xfId="0" applyFont="1" applyBorder="1" applyAlignment="1">
      <alignment horizontal="center" vertical="center"/>
    </xf>
    <xf numFmtId="168" fontId="37" fillId="18" borderId="34" xfId="0" applyNumberFormat="1" applyFont="1" applyFill="1" applyBorder="1" applyAlignment="1">
      <alignment vertical="center"/>
    </xf>
    <xf numFmtId="164" fontId="22" fillId="11" borderId="20" xfId="0" applyNumberFormat="1" applyFont="1" applyFill="1" applyBorder="1" applyAlignment="1">
      <alignment horizontal="right" vertical="center" indent="1"/>
    </xf>
    <xf numFmtId="164" fontId="22" fillId="11" borderId="27" xfId="0" applyNumberFormat="1" applyFont="1" applyFill="1" applyBorder="1" applyAlignment="1">
      <alignment horizontal="right" vertical="center" indent="1"/>
    </xf>
    <xf numFmtId="164" fontId="19" fillId="7" borderId="5" xfId="0" applyNumberFormat="1" applyFont="1" applyFill="1" applyBorder="1" applyAlignment="1">
      <alignment horizontal="right" vertical="center" indent="1"/>
    </xf>
    <xf numFmtId="14" fontId="22" fillId="11" borderId="26" xfId="0" applyNumberFormat="1" applyFont="1" applyFill="1" applyBorder="1" applyAlignment="1">
      <alignment horizontal="right" vertical="center" indent="1"/>
    </xf>
    <xf numFmtId="164" fontId="21" fillId="11" borderId="20" xfId="0" applyNumberFormat="1" applyFont="1" applyFill="1" applyBorder="1" applyAlignment="1">
      <alignment horizontal="right" vertical="center" indent="1"/>
    </xf>
    <xf numFmtId="0" fontId="21" fillId="16" borderId="35" xfId="11" applyFont="1" applyFill="1" applyBorder="1" applyAlignment="1">
      <alignment horizontal="left" vertical="center" indent="1"/>
    </xf>
    <xf numFmtId="0" fontId="21" fillId="10" borderId="16" xfId="0" applyFont="1" applyFill="1" applyBorder="1" applyAlignment="1">
      <alignment horizontal="left" vertical="center" indent="1"/>
    </xf>
    <xf numFmtId="0" fontId="19" fillId="8" borderId="4" xfId="0" applyFont="1" applyFill="1" applyBorder="1" applyAlignment="1">
      <alignment horizontal="left" vertical="center" indent="1"/>
    </xf>
    <xf numFmtId="14" fontId="50" fillId="3" borderId="0" xfId="0" applyNumberFormat="1" applyFont="1" applyFill="1" applyAlignment="1">
      <alignment vertical="center"/>
    </xf>
    <xf numFmtId="0" fontId="15" fillId="0" borderId="0" xfId="0" applyFont="1" applyAlignment="1">
      <alignment horizontal="left" vertical="top" indent="1"/>
    </xf>
    <xf numFmtId="0" fontId="51" fillId="0" borderId="0" xfId="0" applyFont="1"/>
    <xf numFmtId="0" fontId="21" fillId="0" borderId="0" xfId="0" applyFont="1" applyAlignment="1">
      <alignment horizontal="center"/>
    </xf>
    <xf numFmtId="0" fontId="21" fillId="0" borderId="0" xfId="0" applyFont="1" applyAlignment="1">
      <alignment vertical="top"/>
    </xf>
    <xf numFmtId="0" fontId="49" fillId="0" borderId="0" xfId="0" applyFont="1" applyAlignment="1">
      <alignment vertical="top"/>
    </xf>
    <xf numFmtId="0" fontId="49" fillId="0" borderId="0" xfId="0" applyFont="1"/>
    <xf numFmtId="0" fontId="28" fillId="0" borderId="0" xfId="0" applyFont="1"/>
    <xf numFmtId="172" fontId="49" fillId="0" borderId="0" xfId="0" applyNumberFormat="1" applyFont="1"/>
    <xf numFmtId="0" fontId="57" fillId="3" borderId="0" xfId="0" applyFont="1" applyFill="1"/>
    <xf numFmtId="0" fontId="58" fillId="3" borderId="0" xfId="0" applyFont="1" applyFill="1"/>
    <xf numFmtId="14" fontId="56" fillId="3" borderId="0" xfId="0" applyNumberFormat="1" applyFont="1" applyFill="1"/>
    <xf numFmtId="0" fontId="15" fillId="3" borderId="0" xfId="0" applyFont="1" applyFill="1" applyAlignment="1">
      <alignment horizontal="left" vertical="top"/>
    </xf>
    <xf numFmtId="0" fontId="21" fillId="3" borderId="0" xfId="0" applyFont="1" applyFill="1" applyAlignment="1">
      <alignment vertical="top"/>
    </xf>
    <xf numFmtId="0" fontId="10" fillId="3" borderId="0" xfId="0" applyFont="1" applyFill="1" applyAlignment="1">
      <alignment vertical="top"/>
    </xf>
    <xf numFmtId="0" fontId="49" fillId="0" borderId="0" xfId="0" applyFont="1" applyAlignment="1">
      <alignment horizontal="left" indent="1"/>
    </xf>
    <xf numFmtId="164" fontId="27" fillId="11" borderId="20" xfId="0" applyNumberFormat="1" applyFont="1" applyFill="1" applyBorder="1" applyAlignment="1">
      <alignment horizontal="right" vertical="center" indent="1"/>
    </xf>
    <xf numFmtId="172" fontId="54" fillId="0" borderId="0" xfId="0" applyNumberFormat="1" applyFont="1"/>
    <xf numFmtId="0" fontId="54" fillId="0" borderId="0" xfId="0" applyFont="1"/>
    <xf numFmtId="0" fontId="18" fillId="20" borderId="6" xfId="0" applyFont="1" applyFill="1" applyBorder="1" applyAlignment="1">
      <alignment horizontal="left" vertical="center" indent="1"/>
    </xf>
    <xf numFmtId="0" fontId="18" fillId="20" borderId="3" xfId="0" applyFont="1" applyFill="1" applyBorder="1" applyAlignment="1">
      <alignment horizontal="left" vertical="center" indent="1"/>
    </xf>
    <xf numFmtId="0" fontId="18" fillId="23" borderId="6" xfId="0" applyFont="1" applyFill="1" applyBorder="1" applyAlignment="1">
      <alignment horizontal="left" vertical="center" indent="1"/>
    </xf>
    <xf numFmtId="0" fontId="28" fillId="0" borderId="0" xfId="0" applyFont="1" applyAlignment="1">
      <alignment vertical="center"/>
    </xf>
    <xf numFmtId="14" fontId="63" fillId="3" borderId="0" xfId="0" applyNumberFormat="1" applyFont="1" applyFill="1" applyAlignment="1">
      <alignment horizontal="left" indent="1"/>
    </xf>
    <xf numFmtId="14" fontId="64" fillId="3" borderId="0" xfId="0" applyNumberFormat="1" applyFont="1" applyFill="1" applyAlignment="1">
      <alignment horizontal="left" vertical="top" indent="1"/>
    </xf>
    <xf numFmtId="0" fontId="51" fillId="12" borderId="9" xfId="0" applyFont="1" applyFill="1" applyBorder="1" applyAlignment="1">
      <alignment horizontal="left" indent="2"/>
    </xf>
    <xf numFmtId="0" fontId="51" fillId="12" borderId="19" xfId="0" applyFont="1" applyFill="1" applyBorder="1" applyAlignment="1">
      <alignment horizontal="left" indent="2"/>
    </xf>
    <xf numFmtId="164" fontId="27" fillId="11" borderId="27" xfId="0" applyNumberFormat="1" applyFont="1" applyFill="1" applyBorder="1" applyAlignment="1">
      <alignment horizontal="right" vertical="center" indent="1"/>
    </xf>
    <xf numFmtId="0" fontId="51" fillId="12" borderId="44" xfId="0" applyFont="1" applyFill="1" applyBorder="1" applyAlignment="1">
      <alignment horizontal="left" vertical="center" indent="2"/>
    </xf>
    <xf numFmtId="0" fontId="51" fillId="12" borderId="9" xfId="0" applyFont="1" applyFill="1" applyBorder="1" applyAlignment="1">
      <alignment horizontal="left" vertical="center" indent="2"/>
    </xf>
    <xf numFmtId="0" fontId="60" fillId="12" borderId="9" xfId="0" applyFont="1" applyFill="1" applyBorder="1" applyAlignment="1">
      <alignment horizontal="left" vertical="center" indent="2"/>
    </xf>
    <xf numFmtId="165" fontId="22" fillId="12" borderId="39" xfId="0" applyNumberFormat="1" applyFont="1" applyFill="1" applyBorder="1" applyAlignment="1">
      <alignment horizontal="left" vertical="center" indent="1"/>
    </xf>
    <xf numFmtId="164" fontId="62" fillId="12" borderId="8" xfId="0" applyNumberFormat="1" applyFont="1" applyFill="1" applyBorder="1" applyAlignment="1">
      <alignment horizontal="left" vertical="center"/>
    </xf>
    <xf numFmtId="168" fontId="59" fillId="8" borderId="5" xfId="0" applyNumberFormat="1" applyFont="1" applyFill="1" applyBorder="1" applyAlignment="1">
      <alignment horizontal="right" vertical="center" indent="1"/>
    </xf>
    <xf numFmtId="168" fontId="65" fillId="10" borderId="26" xfId="0" applyNumberFormat="1" applyFont="1" applyFill="1" applyBorder="1" applyAlignment="1">
      <alignment horizontal="right" vertical="center"/>
    </xf>
    <xf numFmtId="168" fontId="65" fillId="10" borderId="18" xfId="0" applyNumberFormat="1" applyFont="1" applyFill="1" applyBorder="1" applyAlignment="1">
      <alignment horizontal="right" vertical="center"/>
    </xf>
    <xf numFmtId="168" fontId="65" fillId="10" borderId="20" xfId="0" applyNumberFormat="1" applyFont="1" applyFill="1" applyBorder="1" applyAlignment="1">
      <alignment horizontal="right" vertical="center"/>
    </xf>
    <xf numFmtId="168" fontId="65" fillId="10" borderId="27" xfId="0" applyNumberFormat="1" applyFont="1" applyFill="1" applyBorder="1" applyAlignment="1">
      <alignment horizontal="right" vertical="center"/>
    </xf>
    <xf numFmtId="0" fontId="55" fillId="0" borderId="0" xfId="0" applyFont="1"/>
    <xf numFmtId="0" fontId="66" fillId="15" borderId="6" xfId="0" applyFont="1" applyFill="1" applyBorder="1" applyAlignment="1">
      <alignment horizontal="center" vertical="top"/>
    </xf>
    <xf numFmtId="0" fontId="66" fillId="21" borderId="6" xfId="0" applyFont="1" applyFill="1" applyBorder="1" applyAlignment="1">
      <alignment horizontal="center" vertical="top"/>
    </xf>
    <xf numFmtId="0" fontId="31" fillId="21" borderId="4" xfId="0" applyFont="1" applyFill="1" applyBorder="1" applyAlignment="1">
      <alignment horizontal="centerContinuous" vertical="center"/>
    </xf>
    <xf numFmtId="0" fontId="67" fillId="24" borderId="7" xfId="0" applyFont="1" applyFill="1" applyBorder="1" applyAlignment="1">
      <alignment horizontal="center"/>
    </xf>
    <xf numFmtId="168" fontId="68" fillId="10" borderId="12" xfId="0" applyNumberFormat="1" applyFont="1" applyFill="1" applyBorder="1" applyAlignment="1">
      <alignment horizontal="right" vertical="center"/>
    </xf>
    <xf numFmtId="9" fontId="68" fillId="10" borderId="12" xfId="7" applyFont="1" applyFill="1" applyBorder="1" applyAlignment="1">
      <alignment horizontal="right" vertical="center"/>
    </xf>
    <xf numFmtId="168" fontId="20" fillId="10" borderId="23" xfId="0" applyNumberFormat="1" applyFont="1" applyFill="1" applyBorder="1" applyAlignment="1">
      <alignment horizontal="center" vertical="center"/>
    </xf>
    <xf numFmtId="0" fontId="67" fillId="15" borderId="8" xfId="0" applyFont="1" applyFill="1" applyBorder="1" applyAlignment="1">
      <alignment horizontal="center" vertical="center" wrapText="1"/>
    </xf>
    <xf numFmtId="0" fontId="67" fillId="24" borderId="32" xfId="0" applyFont="1" applyFill="1" applyBorder="1" applyAlignment="1">
      <alignment horizontal="center" vertical="top"/>
    </xf>
    <xf numFmtId="172" fontId="69" fillId="10" borderId="45" xfId="16" applyNumberFormat="1" applyFont="1" applyFill="1" applyBorder="1" applyAlignment="1">
      <alignment horizontal="center" vertical="center"/>
    </xf>
    <xf numFmtId="168" fontId="69" fillId="10" borderId="46" xfId="0" applyNumberFormat="1" applyFont="1" applyFill="1" applyBorder="1" applyAlignment="1">
      <alignment horizontal="right" vertical="center"/>
    </xf>
    <xf numFmtId="168" fontId="69" fillId="10" borderId="0" xfId="0" applyNumberFormat="1" applyFont="1" applyFill="1" applyAlignment="1">
      <alignment horizontal="right" vertical="center"/>
    </xf>
    <xf numFmtId="168" fontId="69" fillId="10" borderId="37" xfId="0" applyNumberFormat="1" applyFont="1" applyFill="1" applyBorder="1" applyAlignment="1">
      <alignment horizontal="left" vertical="center" indent="1"/>
    </xf>
    <xf numFmtId="172" fontId="69" fillId="10" borderId="37" xfId="16" applyNumberFormat="1" applyFont="1" applyFill="1" applyBorder="1" applyAlignment="1">
      <alignment horizontal="center" vertical="center"/>
    </xf>
    <xf numFmtId="168" fontId="69" fillId="10" borderId="18" xfId="0" applyNumberFormat="1" applyFont="1" applyFill="1" applyBorder="1" applyAlignment="1">
      <alignment horizontal="right" vertical="center"/>
    </xf>
    <xf numFmtId="168" fontId="69" fillId="10" borderId="25" xfId="0" applyNumberFormat="1" applyFont="1" applyFill="1" applyBorder="1" applyAlignment="1">
      <alignment horizontal="right" vertical="center"/>
    </xf>
    <xf numFmtId="168" fontId="69" fillId="10" borderId="12" xfId="0" applyNumberFormat="1" applyFont="1" applyFill="1" applyBorder="1" applyAlignment="1">
      <alignment horizontal="left" vertical="center" indent="1"/>
    </xf>
    <xf numFmtId="172" fontId="69" fillId="10" borderId="12" xfId="16" applyNumberFormat="1" applyFont="1" applyFill="1" applyBorder="1" applyAlignment="1">
      <alignment horizontal="center" vertical="center"/>
    </xf>
    <xf numFmtId="168" fontId="69" fillId="10" borderId="20" xfId="0" applyNumberFormat="1" applyFont="1" applyFill="1" applyBorder="1" applyAlignment="1">
      <alignment horizontal="right" vertical="center"/>
    </xf>
    <xf numFmtId="168" fontId="69" fillId="10" borderId="24" xfId="0" applyNumberFormat="1" applyFont="1" applyFill="1" applyBorder="1" applyAlignment="1">
      <alignment horizontal="right" vertical="center"/>
    </xf>
    <xf numFmtId="0" fontId="54" fillId="0" borderId="0" xfId="0" applyFont="1" applyAlignment="1">
      <alignment horizontal="left" indent="1"/>
    </xf>
    <xf numFmtId="168" fontId="69" fillId="10" borderId="23" xfId="0" applyNumberFormat="1" applyFont="1" applyFill="1" applyBorder="1" applyAlignment="1">
      <alignment horizontal="left" vertical="center" indent="1"/>
    </xf>
    <xf numFmtId="172" fontId="69" fillId="10" borderId="23" xfId="16" applyNumberFormat="1" applyFont="1" applyFill="1" applyBorder="1" applyAlignment="1">
      <alignment horizontal="center" vertical="center"/>
    </xf>
    <xf numFmtId="168" fontId="69" fillId="10" borderId="27" xfId="0" applyNumberFormat="1" applyFont="1" applyFill="1" applyBorder="1" applyAlignment="1">
      <alignment horizontal="right" vertical="center"/>
    </xf>
    <xf numFmtId="168" fontId="69" fillId="10" borderId="28" xfId="0" applyNumberFormat="1" applyFont="1" applyFill="1" applyBorder="1" applyAlignment="1">
      <alignment horizontal="right" vertical="center"/>
    </xf>
    <xf numFmtId="168" fontId="69" fillId="10" borderId="12" xfId="0" applyNumberFormat="1" applyFont="1" applyFill="1" applyBorder="1" applyAlignment="1">
      <alignment horizontal="right" vertical="center"/>
    </xf>
    <xf numFmtId="0" fontId="67" fillId="17" borderId="3" xfId="0" applyFont="1" applyFill="1" applyBorder="1" applyAlignment="1">
      <alignment vertical="center"/>
    </xf>
    <xf numFmtId="0" fontId="67" fillId="17" borderId="4" xfId="0" applyFont="1" applyFill="1" applyBorder="1" applyAlignment="1">
      <alignment horizontal="left" vertical="center" indent="2"/>
    </xf>
    <xf numFmtId="173" fontId="67" fillId="17" borderId="8" xfId="0" applyNumberFormat="1" applyFont="1" applyFill="1" applyBorder="1" applyAlignment="1">
      <alignment horizontal="center" wrapText="1"/>
    </xf>
    <xf numFmtId="0" fontId="71" fillId="19" borderId="8" xfId="0" applyFont="1" applyFill="1" applyBorder="1" applyAlignment="1">
      <alignment horizontal="center"/>
    </xf>
    <xf numFmtId="0" fontId="71" fillId="19" borderId="8" xfId="0" applyFont="1" applyFill="1" applyBorder="1" applyAlignment="1">
      <alignment horizontal="center" vertical="center"/>
    </xf>
    <xf numFmtId="0" fontId="71" fillId="24" borderId="32" xfId="0" applyFont="1" applyFill="1" applyBorder="1" applyAlignment="1">
      <alignment horizontal="center" vertical="top"/>
    </xf>
    <xf numFmtId="168" fontId="69" fillId="10" borderId="33" xfId="0" applyNumberFormat="1" applyFont="1" applyFill="1" applyBorder="1" applyAlignment="1">
      <alignment horizontal="right" vertical="center"/>
    </xf>
    <xf numFmtId="168" fontId="69" fillId="10" borderId="45" xfId="0" applyNumberFormat="1" applyFont="1" applyFill="1" applyBorder="1" applyAlignment="1">
      <alignment horizontal="right" vertical="center"/>
    </xf>
    <xf numFmtId="168" fontId="69" fillId="10" borderId="46" xfId="0" applyNumberFormat="1" applyFont="1" applyFill="1" applyBorder="1" applyAlignment="1">
      <alignment horizontal="center" vertical="center"/>
    </xf>
    <xf numFmtId="168" fontId="69" fillId="10" borderId="14" xfId="0" applyNumberFormat="1" applyFont="1" applyFill="1" applyBorder="1" applyAlignment="1">
      <alignment horizontal="right" vertical="center"/>
    </xf>
    <xf numFmtId="171" fontId="49" fillId="10" borderId="16" xfId="8" applyNumberFormat="1" applyFont="1" applyFill="1" applyBorder="1" applyAlignment="1">
      <alignment horizontal="left" vertical="center" indent="1"/>
    </xf>
    <xf numFmtId="168" fontId="69" fillId="10" borderId="16" xfId="0" applyNumberFormat="1" applyFont="1" applyFill="1" applyBorder="1" applyAlignment="1">
      <alignment horizontal="right" vertical="center"/>
    </xf>
    <xf numFmtId="168" fontId="69" fillId="10" borderId="37" xfId="0" applyNumberFormat="1" applyFont="1" applyFill="1" applyBorder="1" applyAlignment="1">
      <alignment horizontal="right" vertical="center"/>
    </xf>
    <xf numFmtId="168" fontId="69" fillId="10" borderId="18" xfId="0" applyNumberFormat="1" applyFont="1" applyFill="1" applyBorder="1" applyAlignment="1">
      <alignment horizontal="center" vertical="center"/>
    </xf>
    <xf numFmtId="168" fontId="69" fillId="10" borderId="36" xfId="0" applyNumberFormat="1" applyFont="1" applyFill="1" applyBorder="1" applyAlignment="1">
      <alignment horizontal="right" vertical="center"/>
    </xf>
    <xf numFmtId="171" fontId="49" fillId="10" borderId="9" xfId="8" applyNumberFormat="1" applyFont="1" applyFill="1" applyBorder="1" applyAlignment="1">
      <alignment horizontal="left" vertical="center" indent="1"/>
    </xf>
    <xf numFmtId="168" fontId="69" fillId="10" borderId="9" xfId="0" applyNumberFormat="1" applyFont="1" applyFill="1" applyBorder="1" applyAlignment="1">
      <alignment horizontal="right" vertical="center"/>
    </xf>
    <xf numFmtId="168" fontId="69" fillId="10" borderId="39" xfId="0" applyNumberFormat="1" applyFont="1" applyFill="1" applyBorder="1" applyAlignment="1">
      <alignment horizontal="right" vertical="center"/>
    </xf>
    <xf numFmtId="171" fontId="49" fillId="10" borderId="19" xfId="8" applyNumberFormat="1" applyFont="1" applyFill="1" applyBorder="1" applyAlignment="1">
      <alignment horizontal="left" vertical="center" indent="1"/>
    </xf>
    <xf numFmtId="168" fontId="69" fillId="10" borderId="19" xfId="0" applyNumberFormat="1" applyFont="1" applyFill="1" applyBorder="1" applyAlignment="1">
      <alignment horizontal="right" vertical="center"/>
    </xf>
    <xf numFmtId="168" fontId="69" fillId="10" borderId="23" xfId="0" applyNumberFormat="1" applyFont="1" applyFill="1" applyBorder="1" applyAlignment="1">
      <alignment horizontal="right" vertical="center"/>
    </xf>
    <xf numFmtId="168" fontId="69" fillId="10" borderId="27" xfId="0" applyNumberFormat="1" applyFont="1" applyFill="1" applyBorder="1" applyAlignment="1">
      <alignment horizontal="center" vertical="center"/>
    </xf>
    <xf numFmtId="168" fontId="69" fillId="10" borderId="38" xfId="0" applyNumberFormat="1" applyFont="1" applyFill="1" applyBorder="1" applyAlignment="1">
      <alignment horizontal="right" vertical="center"/>
    </xf>
    <xf numFmtId="0" fontId="49" fillId="0" borderId="0" xfId="0" applyFont="1" applyAlignment="1">
      <alignment horizontal="center"/>
    </xf>
    <xf numFmtId="168" fontId="45" fillId="0" borderId="0" xfId="16" applyNumberFormat="1" applyFont="1" applyAlignment="1">
      <alignment horizontal="center"/>
    </xf>
    <xf numFmtId="168" fontId="45" fillId="0" borderId="31" xfId="16" applyNumberFormat="1" applyFont="1" applyBorder="1" applyAlignment="1">
      <alignment horizontal="center"/>
    </xf>
    <xf numFmtId="0" fontId="19" fillId="0" borderId="31" xfId="0" applyFont="1" applyBorder="1" applyAlignment="1">
      <alignment horizontal="left" indent="1"/>
    </xf>
    <xf numFmtId="168" fontId="47" fillId="0" borderId="31" xfId="0" applyNumberFormat="1" applyFont="1" applyBorder="1" applyAlignment="1">
      <alignment horizontal="right" indent="1"/>
    </xf>
    <xf numFmtId="0" fontId="54" fillId="0" borderId="31" xfId="0" applyFont="1" applyBorder="1"/>
    <xf numFmtId="0" fontId="43" fillId="0" borderId="31" xfId="0" applyFont="1" applyBorder="1" applyAlignment="1">
      <alignment horizontal="center"/>
    </xf>
    <xf numFmtId="168" fontId="72" fillId="0" borderId="0" xfId="0" applyNumberFormat="1" applyFont="1" applyAlignment="1">
      <alignment horizontal="center"/>
    </xf>
    <xf numFmtId="168" fontId="72" fillId="0" borderId="0" xfId="16" applyNumberFormat="1" applyFont="1" applyAlignment="1">
      <alignment horizontal="center"/>
    </xf>
    <xf numFmtId="0" fontId="32" fillId="0" borderId="0" xfId="0" applyFont="1"/>
    <xf numFmtId="0" fontId="54" fillId="0" borderId="0" xfId="0" applyFont="1" applyAlignment="1">
      <alignment horizontal="left" indent="2"/>
    </xf>
    <xf numFmtId="0" fontId="54" fillId="0" borderId="31" xfId="0" applyFont="1" applyBorder="1" applyAlignment="1">
      <alignment horizontal="left" indent="2"/>
    </xf>
    <xf numFmtId="0" fontId="19" fillId="0" borderId="0" xfId="0" applyFont="1" applyAlignment="1">
      <alignment horizontal="left" indent="3"/>
    </xf>
    <xf numFmtId="168" fontId="33" fillId="0" borderId="0" xfId="0" applyNumberFormat="1" applyFont="1" applyAlignment="1">
      <alignment horizontal="right" indent="1"/>
    </xf>
    <xf numFmtId="0" fontId="16" fillId="0" borderId="0" xfId="0" applyFont="1"/>
    <xf numFmtId="173" fontId="73" fillId="0" borderId="31" xfId="0" applyNumberFormat="1" applyFont="1" applyBorder="1" applyAlignment="1">
      <alignment horizontal="center"/>
    </xf>
    <xf numFmtId="0" fontId="4" fillId="3" borderId="0" xfId="0" applyFont="1" applyFill="1" applyAlignment="1">
      <alignment horizontal="right"/>
    </xf>
    <xf numFmtId="0" fontId="60" fillId="12" borderId="24" xfId="0" applyFont="1" applyFill="1" applyBorder="1" applyAlignment="1">
      <alignment horizontal="left" vertical="center" indent="2"/>
    </xf>
    <xf numFmtId="0" fontId="60" fillId="12" borderId="28" xfId="0" applyFont="1" applyFill="1" applyBorder="1" applyAlignment="1">
      <alignment horizontal="left" vertical="center" indent="2"/>
    </xf>
    <xf numFmtId="0" fontId="51" fillId="12" borderId="29" xfId="0" applyFont="1" applyFill="1" applyBorder="1" applyAlignment="1">
      <alignment horizontal="left" vertical="center" indent="2"/>
    </xf>
    <xf numFmtId="0" fontId="51" fillId="12" borderId="24" xfId="0" applyFont="1" applyFill="1" applyBorder="1" applyAlignment="1">
      <alignment horizontal="left" vertical="center" indent="2"/>
    </xf>
    <xf numFmtId="0" fontId="51" fillId="12" borderId="28" xfId="0" applyFont="1" applyFill="1" applyBorder="1" applyAlignment="1">
      <alignment horizontal="left" indent="2"/>
    </xf>
    <xf numFmtId="0" fontId="18" fillId="22" borderId="3" xfId="0" applyFont="1" applyFill="1" applyBorder="1" applyAlignment="1">
      <alignment horizontal="left" vertical="center" indent="1"/>
    </xf>
    <xf numFmtId="175" fontId="51" fillId="12" borderId="24" xfId="7" applyNumberFormat="1" applyFont="1" applyFill="1" applyBorder="1" applyAlignment="1">
      <alignment horizontal="left" indent="2"/>
    </xf>
    <xf numFmtId="0" fontId="60" fillId="12" borderId="19" xfId="0" applyFont="1" applyFill="1" applyBorder="1" applyAlignment="1">
      <alignment horizontal="left" vertical="center" indent="2"/>
    </xf>
    <xf numFmtId="0" fontId="0" fillId="0" borderId="0" xfId="0" applyAlignment="1">
      <alignment horizontal="center" vertical="top"/>
    </xf>
    <xf numFmtId="0" fontId="54" fillId="0" borderId="31" xfId="0" applyFont="1" applyBorder="1" applyAlignment="1">
      <alignment horizontal="center"/>
    </xf>
    <xf numFmtId="0" fontId="54" fillId="0" borderId="0" xfId="0" applyFont="1" applyAlignment="1">
      <alignment horizontal="center"/>
    </xf>
    <xf numFmtId="0" fontId="19" fillId="0" borderId="31" xfId="0" applyFont="1" applyBorder="1" applyAlignment="1">
      <alignment horizontal="center"/>
    </xf>
    <xf numFmtId="9" fontId="49" fillId="0" borderId="0" xfId="7" applyFont="1" applyAlignment="1">
      <alignment horizontal="center"/>
    </xf>
    <xf numFmtId="0" fontId="19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49" fillId="0" borderId="0" xfId="0" applyFont="1" applyAlignment="1">
      <alignment shrinkToFit="1"/>
    </xf>
    <xf numFmtId="168" fontId="69" fillId="10" borderId="12" xfId="0" applyNumberFormat="1" applyFont="1" applyFill="1" applyBorder="1" applyAlignment="1">
      <alignment horizontal="right" vertical="center" shrinkToFit="1"/>
    </xf>
    <xf numFmtId="0" fontId="75" fillId="0" borderId="0" xfId="0" applyFont="1"/>
    <xf numFmtId="0" fontId="80" fillId="3" borderId="0" xfId="0" applyFont="1" applyFill="1"/>
    <xf numFmtId="0" fontId="82" fillId="0" borderId="0" xfId="0" applyFont="1"/>
    <xf numFmtId="0" fontId="52" fillId="0" borderId="0" xfId="11" applyFont="1"/>
    <xf numFmtId="0" fontId="52" fillId="0" borderId="0" xfId="0" applyFont="1" applyAlignment="1">
      <alignment vertical="top"/>
    </xf>
    <xf numFmtId="0" fontId="82" fillId="0" borderId="0" xfId="0" applyFont="1" applyAlignment="1">
      <alignment vertical="top"/>
    </xf>
    <xf numFmtId="0" fontId="52" fillId="0" borderId="0" xfId="0" applyFont="1"/>
    <xf numFmtId="0" fontId="78" fillId="17" borderId="21" xfId="0" applyFont="1" applyFill="1" applyBorder="1" applyAlignment="1">
      <alignment horizontal="left" vertical="center" indent="2"/>
    </xf>
    <xf numFmtId="168" fontId="52" fillId="0" borderId="0" xfId="0" applyNumberFormat="1" applyFont="1"/>
    <xf numFmtId="0" fontId="10" fillId="14" borderId="0" xfId="0" applyFont="1" applyFill="1" applyAlignment="1">
      <alignment horizontal="center"/>
    </xf>
    <xf numFmtId="0" fontId="10" fillId="14" borderId="0" xfId="0" applyFont="1" applyFill="1"/>
    <xf numFmtId="0" fontId="21" fillId="14" borderId="13" xfId="0" applyFont="1" applyFill="1" applyBorder="1" applyAlignment="1">
      <alignment horizontal="left" vertical="center" indent="1"/>
    </xf>
    <xf numFmtId="14" fontId="85" fillId="3" borderId="0" xfId="0" applyNumberFormat="1" applyFont="1" applyFill="1" applyAlignment="1">
      <alignment horizontal="left" vertical="top" indent="1"/>
    </xf>
    <xf numFmtId="0" fontId="76" fillId="3" borderId="0" xfId="0" applyFont="1" applyFill="1"/>
    <xf numFmtId="0" fontId="86" fillId="3" borderId="0" xfId="0" applyFont="1" applyFill="1"/>
    <xf numFmtId="14" fontId="87" fillId="3" borderId="0" xfId="0" applyNumberFormat="1" applyFont="1" applyFill="1" applyAlignment="1">
      <alignment vertical="center"/>
    </xf>
    <xf numFmtId="0" fontId="52" fillId="0" borderId="0" xfId="0" applyFont="1" applyAlignment="1">
      <alignment shrinkToFit="1"/>
    </xf>
    <xf numFmtId="0" fontId="0" fillId="0" borderId="0" xfId="0" applyAlignment="1">
      <alignment shrinkToFit="1"/>
    </xf>
    <xf numFmtId="0" fontId="75" fillId="0" borderId="0" xfId="0" applyFont="1" applyAlignment="1">
      <alignment shrinkToFit="1"/>
    </xf>
    <xf numFmtId="168" fontId="65" fillId="10" borderId="46" xfId="0" applyNumberFormat="1" applyFont="1" applyFill="1" applyBorder="1" applyAlignment="1">
      <alignment horizontal="right" vertical="center" shrinkToFit="1"/>
    </xf>
    <xf numFmtId="168" fontId="69" fillId="10" borderId="16" xfId="0" applyNumberFormat="1" applyFont="1" applyFill="1" applyBorder="1" applyAlignment="1">
      <alignment horizontal="right" vertical="center" shrinkToFit="1"/>
    </xf>
    <xf numFmtId="168" fontId="65" fillId="10" borderId="18" xfId="0" applyNumberFormat="1" applyFont="1" applyFill="1" applyBorder="1" applyAlignment="1">
      <alignment horizontal="right" vertical="center" shrinkToFit="1"/>
    </xf>
    <xf numFmtId="168" fontId="49" fillId="10" borderId="36" xfId="0" applyNumberFormat="1" applyFont="1" applyFill="1" applyBorder="1" applyAlignment="1">
      <alignment horizontal="right" vertical="center" shrinkToFit="1"/>
    </xf>
    <xf numFmtId="10" fontId="68" fillId="10" borderId="18" xfId="7" applyNumberFormat="1" applyFont="1" applyFill="1" applyBorder="1" applyAlignment="1">
      <alignment horizontal="center" vertical="center" shrinkToFit="1"/>
    </xf>
    <xf numFmtId="168" fontId="69" fillId="10" borderId="37" xfId="0" applyNumberFormat="1" applyFont="1" applyFill="1" applyBorder="1" applyAlignment="1">
      <alignment horizontal="right" vertical="center" shrinkToFit="1"/>
    </xf>
    <xf numFmtId="168" fontId="69" fillId="10" borderId="9" xfId="0" applyNumberFormat="1" applyFont="1" applyFill="1" applyBorder="1" applyAlignment="1">
      <alignment horizontal="right" vertical="center" shrinkToFit="1"/>
    </xf>
    <xf numFmtId="168" fontId="65" fillId="10" borderId="20" xfId="0" applyNumberFormat="1" applyFont="1" applyFill="1" applyBorder="1" applyAlignment="1">
      <alignment horizontal="right" vertical="center" shrinkToFit="1"/>
    </xf>
    <xf numFmtId="168" fontId="49" fillId="10" borderId="39" xfId="0" applyNumberFormat="1" applyFont="1" applyFill="1" applyBorder="1" applyAlignment="1">
      <alignment horizontal="right" vertical="center" shrinkToFit="1"/>
    </xf>
    <xf numFmtId="10" fontId="68" fillId="10" borderId="20" xfId="7" applyNumberFormat="1" applyFont="1" applyFill="1" applyBorder="1" applyAlignment="1">
      <alignment horizontal="center" vertical="center" shrinkToFit="1"/>
    </xf>
    <xf numFmtId="0" fontId="52" fillId="0" borderId="0" xfId="0" applyFont="1" applyAlignment="1">
      <alignment horizontal="left" shrinkToFit="1"/>
    </xf>
    <xf numFmtId="0" fontId="52" fillId="0" borderId="0" xfId="0" applyFont="1" applyAlignment="1">
      <alignment horizontal="center" shrinkToFit="1"/>
    </xf>
    <xf numFmtId="0" fontId="55" fillId="0" borderId="0" xfId="0" applyFont="1" applyAlignment="1">
      <alignment shrinkToFit="1"/>
    </xf>
    <xf numFmtId="0" fontId="61" fillId="0" borderId="0" xfId="0" applyFont="1" applyAlignment="1">
      <alignment horizontal="center" shrinkToFit="1"/>
    </xf>
    <xf numFmtId="0" fontId="49" fillId="0" borderId="0" xfId="0" applyFont="1" applyAlignment="1">
      <alignment horizontal="center" shrinkToFit="1"/>
    </xf>
    <xf numFmtId="0" fontId="54" fillId="0" borderId="0" xfId="0" applyFont="1" applyAlignment="1">
      <alignment shrinkToFit="1"/>
    </xf>
    <xf numFmtId="1" fontId="52" fillId="14" borderId="4" xfId="8" applyNumberFormat="1" applyFont="1" applyFill="1" applyBorder="1" applyAlignment="1">
      <alignment horizontal="center" vertical="center" shrinkToFit="1"/>
    </xf>
    <xf numFmtId="168" fontId="68" fillId="14" borderId="51" xfId="0" applyNumberFormat="1" applyFont="1" applyFill="1" applyBorder="1" applyAlignment="1">
      <alignment horizontal="right" vertical="center" shrinkToFit="1"/>
    </xf>
    <xf numFmtId="9" fontId="68" fillId="14" borderId="51" xfId="7" applyFont="1" applyFill="1" applyBorder="1" applyAlignment="1">
      <alignment horizontal="right" vertical="center" shrinkToFit="1"/>
    </xf>
    <xf numFmtId="168" fontId="68" fillId="14" borderId="52" xfId="0" applyNumberFormat="1" applyFont="1" applyFill="1" applyBorder="1" applyAlignment="1">
      <alignment horizontal="right" vertical="center" shrinkToFit="1"/>
    </xf>
    <xf numFmtId="168" fontId="68" fillId="14" borderId="3" xfId="0" applyNumberFormat="1" applyFont="1" applyFill="1" applyBorder="1" applyAlignment="1">
      <alignment horizontal="right" vertical="center" shrinkToFit="1"/>
    </xf>
    <xf numFmtId="1" fontId="52" fillId="14" borderId="3" xfId="8" applyNumberFormat="1" applyFont="1" applyFill="1" applyBorder="1" applyAlignment="1">
      <alignment horizontal="center" vertical="center" shrinkToFit="1"/>
    </xf>
    <xf numFmtId="168" fontId="69" fillId="10" borderId="33" xfId="0" applyNumberFormat="1" applyFont="1" applyFill="1" applyBorder="1" applyAlignment="1">
      <alignment horizontal="right" vertical="center" shrinkToFit="1"/>
    </xf>
    <xf numFmtId="0" fontId="78" fillId="17" borderId="33" xfId="0" applyFont="1" applyFill="1" applyBorder="1" applyAlignment="1">
      <alignment horizontal="left" vertical="center" indent="2"/>
    </xf>
    <xf numFmtId="168" fontId="49" fillId="10" borderId="14" xfId="0" applyNumberFormat="1" applyFont="1" applyFill="1" applyBorder="1" applyAlignment="1">
      <alignment horizontal="right" vertical="center" shrinkToFit="1"/>
    </xf>
    <xf numFmtId="10" fontId="68" fillId="10" borderId="46" xfId="7" applyNumberFormat="1" applyFont="1" applyFill="1" applyBorder="1" applyAlignment="1">
      <alignment horizontal="center" vertical="center" shrinkToFit="1"/>
    </xf>
    <xf numFmtId="168" fontId="69" fillId="10" borderId="45" xfId="0" applyNumberFormat="1" applyFont="1" applyFill="1" applyBorder="1" applyAlignment="1">
      <alignment horizontal="right" vertical="center" shrinkToFit="1"/>
    </xf>
    <xf numFmtId="0" fontId="78" fillId="17" borderId="0" xfId="0" applyFont="1" applyFill="1" applyAlignment="1">
      <alignment horizontal="centerContinuous" vertical="center"/>
    </xf>
    <xf numFmtId="0" fontId="77" fillId="17" borderId="0" xfId="0" applyFont="1" applyFill="1" applyAlignment="1">
      <alignment horizontal="centerContinuous" vertical="center"/>
    </xf>
    <xf numFmtId="0" fontId="81" fillId="19" borderId="0" xfId="0" applyFont="1" applyFill="1" applyAlignment="1">
      <alignment horizontal="center" vertical="center" shrinkToFit="1"/>
    </xf>
    <xf numFmtId="0" fontId="52" fillId="25" borderId="0" xfId="0" applyFont="1" applyFill="1" applyAlignment="1">
      <alignment horizontal="center" vertical="top" shrinkToFit="1"/>
    </xf>
    <xf numFmtId="0" fontId="66" fillId="28" borderId="56" xfId="0" applyFont="1" applyFill="1" applyBorder="1" applyAlignment="1">
      <alignment horizontal="center" vertical="top" shrinkToFit="1"/>
    </xf>
    <xf numFmtId="0" fontId="78" fillId="17" borderId="21" xfId="0" applyFont="1" applyFill="1" applyBorder="1" applyAlignment="1">
      <alignment horizontal="centerContinuous" vertical="center"/>
    </xf>
    <xf numFmtId="0" fontId="65" fillId="9" borderId="33" xfId="0" applyFont="1" applyFill="1" applyBorder="1" applyAlignment="1">
      <alignment horizontal="left" vertical="top" shrinkToFit="1"/>
    </xf>
    <xf numFmtId="176" fontId="52" fillId="14" borderId="4" xfId="8" applyNumberFormat="1" applyFont="1" applyFill="1" applyBorder="1" applyAlignment="1">
      <alignment horizontal="center" vertical="center" shrinkToFit="1"/>
    </xf>
    <xf numFmtId="177" fontId="52" fillId="14" borderId="3" xfId="8" applyNumberFormat="1" applyFont="1" applyFill="1" applyBorder="1" applyAlignment="1">
      <alignment horizontal="left" vertical="center" shrinkToFit="1"/>
    </xf>
    <xf numFmtId="171" fontId="55" fillId="0" borderId="33" xfId="8" applyNumberFormat="1" applyFont="1" applyBorder="1" applyAlignment="1">
      <alignment horizontal="left" vertical="center" shrinkToFit="1"/>
    </xf>
    <xf numFmtId="168" fontId="69" fillId="0" borderId="22" xfId="0" applyNumberFormat="1" applyFont="1" applyBorder="1" applyAlignment="1">
      <alignment horizontal="center" vertical="center" shrinkToFit="1"/>
    </xf>
    <xf numFmtId="168" fontId="69" fillId="0" borderId="22" xfId="0" applyNumberFormat="1" applyFont="1" applyBorder="1" applyAlignment="1">
      <alignment horizontal="left" vertical="center" shrinkToFit="1"/>
    </xf>
    <xf numFmtId="170" fontId="69" fillId="0" borderId="22" xfId="0" applyNumberFormat="1" applyFont="1" applyBorder="1" applyAlignment="1">
      <alignment horizontal="center" vertical="center" shrinkToFit="1"/>
    </xf>
    <xf numFmtId="10" fontId="69" fillId="0" borderId="53" xfId="7" applyNumberFormat="1" applyFont="1" applyFill="1" applyBorder="1" applyAlignment="1">
      <alignment horizontal="center" vertical="center" shrinkToFit="1"/>
    </xf>
    <xf numFmtId="168" fontId="69" fillId="0" borderId="57" xfId="0" applyNumberFormat="1" applyFont="1" applyBorder="1" applyAlignment="1">
      <alignment horizontal="right" vertical="center" shrinkToFit="1"/>
    </xf>
    <xf numFmtId="168" fontId="69" fillId="0" borderId="22" xfId="0" applyNumberFormat="1" applyFont="1" applyBorder="1" applyAlignment="1">
      <alignment horizontal="right" vertical="center" shrinkToFit="1"/>
    </xf>
    <xf numFmtId="168" fontId="65" fillId="0" borderId="53" xfId="0" applyNumberFormat="1" applyFont="1" applyBorder="1" applyAlignment="1">
      <alignment horizontal="right" vertical="center" shrinkToFit="1"/>
    </xf>
    <xf numFmtId="168" fontId="84" fillId="0" borderId="56" xfId="0" applyNumberFormat="1" applyFont="1" applyBorder="1" applyAlignment="1">
      <alignment horizontal="right" vertical="center" shrinkToFit="1"/>
    </xf>
    <xf numFmtId="168" fontId="84" fillId="0" borderId="45" xfId="0" applyNumberFormat="1" applyFont="1" applyBorder="1" applyAlignment="1">
      <alignment horizontal="right" vertical="center" shrinkToFit="1"/>
    </xf>
    <xf numFmtId="168" fontId="84" fillId="0" borderId="30" xfId="0" applyNumberFormat="1" applyFont="1" applyBorder="1" applyAlignment="1">
      <alignment horizontal="right" vertical="center" shrinkToFit="1"/>
    </xf>
    <xf numFmtId="168" fontId="84" fillId="0" borderId="37" xfId="0" applyNumberFormat="1" applyFont="1" applyBorder="1" applyAlignment="1">
      <alignment horizontal="right" vertical="center" shrinkToFit="1"/>
    </xf>
    <xf numFmtId="168" fontId="69" fillId="0" borderId="10" xfId="0" applyNumberFormat="1" applyFont="1" applyBorder="1" applyAlignment="1">
      <alignment horizontal="center" vertical="center" shrinkToFit="1"/>
    </xf>
    <xf numFmtId="171" fontId="55" fillId="0" borderId="16" xfId="8" applyNumberFormat="1" applyFont="1" applyBorder="1" applyAlignment="1">
      <alignment horizontal="left" vertical="center" shrinkToFit="1"/>
    </xf>
    <xf numFmtId="168" fontId="69" fillId="0" borderId="10" xfId="0" applyNumberFormat="1" applyFont="1" applyBorder="1" applyAlignment="1">
      <alignment horizontal="left" vertical="center" shrinkToFit="1"/>
    </xf>
    <xf numFmtId="170" fontId="69" fillId="0" borderId="10" xfId="0" applyNumberFormat="1" applyFont="1" applyBorder="1" applyAlignment="1">
      <alignment horizontal="center" vertical="center" shrinkToFit="1"/>
    </xf>
    <xf numFmtId="10" fontId="69" fillId="0" borderId="12" xfId="7" applyNumberFormat="1" applyFont="1" applyFill="1" applyBorder="1" applyAlignment="1">
      <alignment horizontal="center" vertical="center" shrinkToFit="1"/>
    </xf>
    <xf numFmtId="168" fontId="69" fillId="0" borderId="58" xfId="0" applyNumberFormat="1" applyFont="1" applyBorder="1" applyAlignment="1">
      <alignment horizontal="right" vertical="center" shrinkToFit="1"/>
    </xf>
    <xf numFmtId="168" fontId="69" fillId="0" borderId="10" xfId="0" applyNumberFormat="1" applyFont="1" applyBorder="1" applyAlignment="1">
      <alignment horizontal="right" vertical="center" shrinkToFit="1"/>
    </xf>
    <xf numFmtId="168" fontId="65" fillId="0" borderId="12" xfId="0" applyNumberFormat="1" applyFont="1" applyBorder="1" applyAlignment="1">
      <alignment horizontal="right" vertical="center" shrinkToFit="1"/>
    </xf>
    <xf numFmtId="168" fontId="84" fillId="0" borderId="55" xfId="0" applyNumberFormat="1" applyFont="1" applyBorder="1" applyAlignment="1">
      <alignment horizontal="right" vertical="center" shrinkToFit="1"/>
    </xf>
    <xf numFmtId="171" fontId="55" fillId="0" borderId="9" xfId="8" applyNumberFormat="1" applyFont="1" applyBorder="1" applyAlignment="1">
      <alignment horizontal="left" vertical="center" shrinkToFit="1"/>
    </xf>
    <xf numFmtId="168" fontId="84" fillId="0" borderId="54" xfId="0" applyNumberFormat="1" applyFont="1" applyBorder="1" applyAlignment="1">
      <alignment horizontal="right" vertical="center" shrinkToFit="1"/>
    </xf>
    <xf numFmtId="168" fontId="84" fillId="0" borderId="12" xfId="0" applyNumberFormat="1" applyFont="1" applyBorder="1" applyAlignment="1">
      <alignment horizontal="right" vertical="center" shrinkToFit="1"/>
    </xf>
    <xf numFmtId="168" fontId="84" fillId="0" borderId="10" xfId="0" applyNumberFormat="1" applyFont="1" applyBorder="1" applyAlignment="1">
      <alignment horizontal="right" vertical="center" shrinkToFit="1"/>
    </xf>
    <xf numFmtId="0" fontId="28" fillId="0" borderId="0" xfId="0" applyFont="1" applyAlignment="1">
      <alignment vertical="top"/>
    </xf>
    <xf numFmtId="168" fontId="49" fillId="0" borderId="0" xfId="0" applyNumberFormat="1" applyFont="1" applyAlignment="1">
      <alignment horizontal="center"/>
    </xf>
    <xf numFmtId="168" fontId="49" fillId="0" borderId="0" xfId="16" applyNumberFormat="1" applyFont="1" applyAlignment="1">
      <alignment horizontal="center"/>
    </xf>
    <xf numFmtId="168" fontId="49" fillId="0" borderId="31" xfId="16" applyNumberFormat="1" applyFont="1" applyBorder="1" applyAlignment="1">
      <alignment horizontal="center"/>
    </xf>
    <xf numFmtId="0" fontId="54" fillId="0" borderId="0" xfId="0" applyFont="1" applyAlignment="1">
      <alignment horizontal="left" indent="3"/>
    </xf>
    <xf numFmtId="168" fontId="49" fillId="0" borderId="0" xfId="0" applyNumberFormat="1" applyFont="1" applyAlignment="1">
      <alignment horizontal="right" indent="1"/>
    </xf>
    <xf numFmtId="168" fontId="53" fillId="0" borderId="0" xfId="0" applyNumberFormat="1" applyFont="1" applyAlignment="1">
      <alignment horizontal="right" indent="1"/>
    </xf>
    <xf numFmtId="168" fontId="88" fillId="0" borderId="0" xfId="0" applyNumberFormat="1" applyFont="1"/>
    <xf numFmtId="0" fontId="54" fillId="26" borderId="31" xfId="0" applyFont="1" applyFill="1" applyBorder="1" applyAlignment="1">
      <alignment vertical="center"/>
    </xf>
    <xf numFmtId="173" fontId="54" fillId="26" borderId="31" xfId="0" applyNumberFormat="1" applyFont="1" applyFill="1" applyBorder="1" applyAlignment="1">
      <alignment horizontal="center" vertical="center"/>
    </xf>
    <xf numFmtId="0" fontId="54" fillId="20" borderId="12" xfId="0" applyFont="1" applyFill="1" applyBorder="1" applyAlignment="1">
      <alignment horizontal="center" vertical="center"/>
    </xf>
    <xf numFmtId="168" fontId="49" fillId="20" borderId="24" xfId="0" applyNumberFormat="1" applyFont="1" applyFill="1" applyBorder="1" applyAlignment="1">
      <alignment horizontal="center" vertical="center"/>
    </xf>
    <xf numFmtId="168" fontId="52" fillId="20" borderId="24" xfId="0" applyNumberFormat="1" applyFont="1" applyFill="1" applyBorder="1" applyAlignment="1">
      <alignment horizontal="center" vertical="center"/>
    </xf>
    <xf numFmtId="168" fontId="52" fillId="20" borderId="60" xfId="0" applyNumberFormat="1" applyFont="1" applyFill="1" applyBorder="1" applyAlignment="1">
      <alignment horizontal="center" vertical="center"/>
    </xf>
    <xf numFmtId="0" fontId="67" fillId="17" borderId="59" xfId="0" applyFont="1" applyFill="1" applyBorder="1" applyAlignment="1">
      <alignment horizontal="centerContinuous" vertical="center"/>
    </xf>
    <xf numFmtId="0" fontId="54" fillId="0" borderId="0" xfId="0" applyFont="1" applyAlignment="1">
      <alignment horizontal="center" vertical="center"/>
    </xf>
    <xf numFmtId="173" fontId="54" fillId="0" borderId="0" xfId="0" applyNumberFormat="1" applyFont="1" applyAlignment="1">
      <alignment horizontal="center" vertical="center"/>
    </xf>
    <xf numFmtId="0" fontId="0" fillId="0" borderId="14" xfId="0" applyBorder="1"/>
    <xf numFmtId="0" fontId="18" fillId="23" borderId="38" xfId="0" applyFont="1" applyFill="1" applyBorder="1" applyAlignment="1">
      <alignment horizontal="left" vertical="center"/>
    </xf>
    <xf numFmtId="165" fontId="22" fillId="12" borderId="39" xfId="0" applyNumberFormat="1" applyFont="1" applyFill="1" applyBorder="1" applyAlignment="1">
      <alignment horizontal="left" vertical="center"/>
    </xf>
    <xf numFmtId="165" fontId="22" fillId="12" borderId="38" xfId="0" applyNumberFormat="1" applyFont="1" applyFill="1" applyBorder="1" applyAlignment="1">
      <alignment horizontal="left" vertical="center"/>
    </xf>
    <xf numFmtId="168" fontId="54" fillId="8" borderId="6" xfId="0" applyNumberFormat="1" applyFont="1" applyFill="1" applyBorder="1" applyAlignment="1">
      <alignment horizontal="right" indent="1"/>
    </xf>
    <xf numFmtId="165" fontId="22" fillId="12" borderId="38" xfId="0" applyNumberFormat="1" applyFont="1" applyFill="1" applyBorder="1" applyAlignment="1">
      <alignment horizontal="left" vertical="center" indent="1"/>
    </xf>
    <xf numFmtId="168" fontId="27" fillId="10" borderId="8" xfId="0" applyNumberFormat="1" applyFont="1" applyFill="1" applyBorder="1" applyAlignment="1">
      <alignment horizontal="right" vertical="center"/>
    </xf>
    <xf numFmtId="168" fontId="27" fillId="10" borderId="36" xfId="0" applyNumberFormat="1" applyFont="1" applyFill="1" applyBorder="1" applyAlignment="1">
      <alignment horizontal="right" vertical="center"/>
    </xf>
    <xf numFmtId="168" fontId="27" fillId="10" borderId="39" xfId="0" applyNumberFormat="1" applyFont="1" applyFill="1" applyBorder="1" applyAlignment="1">
      <alignment horizontal="right" vertical="center"/>
    </xf>
    <xf numFmtId="168" fontId="27" fillId="10" borderId="38" xfId="0" applyNumberFormat="1" applyFont="1" applyFill="1" applyBorder="1" applyAlignment="1">
      <alignment horizontal="right" vertical="center"/>
    </xf>
    <xf numFmtId="0" fontId="67" fillId="17" borderId="3" xfId="0" applyFont="1" applyFill="1" applyBorder="1" applyAlignment="1">
      <alignment horizontal="centerContinuous" vertical="center"/>
    </xf>
    <xf numFmtId="0" fontId="67" fillId="17" borderId="4" xfId="0" applyFont="1" applyFill="1" applyBorder="1" applyAlignment="1">
      <alignment horizontal="centerContinuous" vertical="center"/>
    </xf>
    <xf numFmtId="0" fontId="67" fillId="17" borderId="5" xfId="0" applyFont="1" applyFill="1" applyBorder="1" applyAlignment="1">
      <alignment horizontal="centerContinuous" vertical="center"/>
    </xf>
    <xf numFmtId="0" fontId="67" fillId="17" borderId="6" xfId="0" applyFont="1" applyFill="1" applyBorder="1" applyAlignment="1">
      <alignment horizontal="centerContinuous" vertical="center"/>
    </xf>
    <xf numFmtId="0" fontId="67" fillId="15" borderId="8" xfId="0" applyFont="1" applyFill="1" applyBorder="1" applyAlignment="1">
      <alignment horizontal="center" vertical="center"/>
    </xf>
    <xf numFmtId="171" fontId="49" fillId="10" borderId="33" xfId="8" applyNumberFormat="1" applyFont="1" applyFill="1" applyBorder="1" applyAlignment="1">
      <alignment horizontal="left" vertical="center" indent="1"/>
    </xf>
    <xf numFmtId="168" fontId="69" fillId="10" borderId="45" xfId="0" applyNumberFormat="1" applyFont="1" applyFill="1" applyBorder="1" applyAlignment="1">
      <alignment horizontal="left" vertical="center" indent="1"/>
    </xf>
    <xf numFmtId="0" fontId="65" fillId="9" borderId="3" xfId="0" applyFont="1" applyFill="1" applyBorder="1" applyAlignment="1">
      <alignment horizontal="left" vertical="top" indent="1"/>
    </xf>
    <xf numFmtId="0" fontId="65" fillId="9" borderId="51" xfId="0" applyFont="1" applyFill="1" applyBorder="1" applyAlignment="1">
      <alignment horizontal="left" vertical="top" indent="1"/>
    </xf>
    <xf numFmtId="0" fontId="71" fillId="24" borderId="15" xfId="0" applyFont="1" applyFill="1" applyBorder="1" applyAlignment="1">
      <alignment horizontal="center" vertical="top"/>
    </xf>
    <xf numFmtId="0" fontId="67" fillId="15" borderId="15" xfId="0" applyFont="1" applyFill="1" applyBorder="1" applyAlignment="1">
      <alignment horizontal="center" vertical="center"/>
    </xf>
    <xf numFmtId="0" fontId="67" fillId="15" borderId="15" xfId="0" applyFont="1" applyFill="1" applyBorder="1" applyAlignment="1">
      <alignment horizontal="center" vertical="center" wrapText="1"/>
    </xf>
    <xf numFmtId="0" fontId="67" fillId="15" borderId="15" xfId="0" applyFont="1" applyFill="1" applyBorder="1" applyAlignment="1">
      <alignment horizontal="centerContinuous" vertical="center"/>
    </xf>
    <xf numFmtId="0" fontId="71" fillId="19" borderId="15" xfId="0" applyFont="1" applyFill="1" applyBorder="1" applyAlignment="1">
      <alignment horizontal="center" vertical="top"/>
    </xf>
    <xf numFmtId="0" fontId="18" fillId="22" borderId="5" xfId="0" applyFont="1" applyFill="1" applyBorder="1" applyAlignment="1">
      <alignment horizontal="left" vertical="center" indent="1"/>
    </xf>
    <xf numFmtId="164" fontId="70" fillId="11" borderId="20" xfId="0" applyNumberFormat="1" applyFont="1" applyFill="1" applyBorder="1" applyAlignment="1">
      <alignment horizontal="center" vertical="center"/>
    </xf>
    <xf numFmtId="164" fontId="70" fillId="11" borderId="27" xfId="0" applyNumberFormat="1" applyFont="1" applyFill="1" applyBorder="1" applyAlignment="1">
      <alignment horizontal="center" vertical="center"/>
    </xf>
    <xf numFmtId="178" fontId="61" fillId="12" borderId="20" xfId="0" applyNumberFormat="1" applyFont="1" applyFill="1" applyBorder="1" applyAlignment="1">
      <alignment horizontal="center" vertical="center"/>
    </xf>
    <xf numFmtId="0" fontId="18" fillId="6" borderId="5" xfId="0" applyFont="1" applyFill="1" applyBorder="1" applyAlignment="1">
      <alignment horizontal="left" vertical="center" indent="1"/>
    </xf>
    <xf numFmtId="0" fontId="10" fillId="8" borderId="5" xfId="0" applyFont="1" applyFill="1" applyBorder="1"/>
    <xf numFmtId="0" fontId="10" fillId="8" borderId="5" xfId="0" applyFont="1" applyFill="1" applyBorder="1" applyAlignment="1">
      <alignment horizontal="left" indent="1"/>
    </xf>
    <xf numFmtId="0" fontId="23" fillId="9" borderId="8" xfId="0" applyFont="1" applyFill="1" applyBorder="1" applyAlignment="1">
      <alignment horizontal="center" vertical="top"/>
    </xf>
    <xf numFmtId="0" fontId="23" fillId="9" borderId="11" xfId="0" applyFont="1" applyFill="1" applyBorder="1" applyAlignment="1">
      <alignment horizontal="center" vertical="top"/>
    </xf>
    <xf numFmtId="0" fontId="81" fillId="19" borderId="3" xfId="0" applyFont="1" applyFill="1" applyBorder="1" applyAlignment="1">
      <alignment horizontal="center" vertical="center"/>
    </xf>
    <xf numFmtId="0" fontId="81" fillId="19" borderId="4" xfId="0" applyFont="1" applyFill="1" applyBorder="1" applyAlignment="1">
      <alignment horizontal="center" vertical="center"/>
    </xf>
    <xf numFmtId="0" fontId="81" fillId="19" borderId="5" xfId="0" applyFont="1" applyFill="1" applyBorder="1" applyAlignment="1">
      <alignment horizontal="center" vertical="center"/>
    </xf>
    <xf numFmtId="0" fontId="89" fillId="0" borderId="0" xfId="12" applyFont="1"/>
    <xf numFmtId="0" fontId="90" fillId="3" borderId="0" xfId="11" quotePrefix="1" applyFont="1" applyFill="1" applyAlignment="1">
      <alignment vertical="top"/>
    </xf>
    <xf numFmtId="0" fontId="91" fillId="3" borderId="0" xfId="0" applyFont="1" applyFill="1"/>
    <xf numFmtId="172" fontId="49" fillId="0" borderId="0" xfId="16" applyNumberFormat="1" applyFont="1" applyAlignment="1">
      <alignment horizontal="center"/>
    </xf>
    <xf numFmtId="9" fontId="0" fillId="0" borderId="31" xfId="7" applyFont="1" applyBorder="1"/>
    <xf numFmtId="0" fontId="49" fillId="0" borderId="31" xfId="0" applyFont="1" applyBorder="1" applyAlignment="1">
      <alignment horizontal="left" indent="1"/>
    </xf>
    <xf numFmtId="168" fontId="45" fillId="0" borderId="0" xfId="16" applyNumberFormat="1" applyFont="1" applyBorder="1" applyAlignment="1">
      <alignment horizontal="center"/>
    </xf>
    <xf numFmtId="168" fontId="72" fillId="0" borderId="0" xfId="16" applyNumberFormat="1" applyFont="1" applyBorder="1" applyAlignment="1">
      <alignment horizontal="center"/>
    </xf>
    <xf numFmtId="173" fontId="72" fillId="0" borderId="31" xfId="0" applyNumberFormat="1" applyFont="1" applyBorder="1" applyAlignment="1">
      <alignment horizontal="center"/>
    </xf>
    <xf numFmtId="168" fontId="92" fillId="0" borderId="0" xfId="0" applyNumberFormat="1" applyFont="1" applyAlignment="1">
      <alignment horizontal="right"/>
    </xf>
    <xf numFmtId="0" fontId="89" fillId="0" borderId="0" xfId="0" applyFont="1" applyAlignment="1">
      <alignment horizontal="center"/>
    </xf>
    <xf numFmtId="0" fontId="19" fillId="0" borderId="31" xfId="0" applyFont="1" applyBorder="1"/>
    <xf numFmtId="0" fontId="32" fillId="0" borderId="31" xfId="0" applyFont="1" applyBorder="1" applyAlignment="1">
      <alignment horizontal="center"/>
    </xf>
    <xf numFmtId="0" fontId="93" fillId="0" borderId="0" xfId="0" applyFont="1" applyAlignment="1">
      <alignment horizontal="left" indent="2"/>
    </xf>
    <xf numFmtId="0" fontId="54" fillId="0" borderId="31" xfId="0" applyFont="1" applyBorder="1" applyAlignment="1">
      <alignment horizontal="left" indent="1"/>
    </xf>
    <xf numFmtId="0" fontId="89" fillId="0" borderId="31" xfId="0" applyFont="1" applyBorder="1" applyAlignment="1">
      <alignment horizontal="center"/>
    </xf>
    <xf numFmtId="168" fontId="72" fillId="0" borderId="31" xfId="0" applyNumberFormat="1" applyFont="1" applyBorder="1" applyAlignment="1">
      <alignment horizontal="center"/>
    </xf>
    <xf numFmtId="168" fontId="19" fillId="0" borderId="0" xfId="16" applyNumberFormat="1" applyFont="1" applyAlignment="1">
      <alignment horizontal="center"/>
    </xf>
    <xf numFmtId="9" fontId="32" fillId="0" borderId="0" xfId="7" applyFont="1"/>
    <xf numFmtId="0" fontId="97" fillId="0" borderId="0" xfId="0" applyFont="1"/>
    <xf numFmtId="14" fontId="87" fillId="3" borderId="0" xfId="0" applyNumberFormat="1" applyFont="1" applyFill="1" applyAlignment="1">
      <alignment horizontal="left" indent="1"/>
    </xf>
    <xf numFmtId="14" fontId="85" fillId="3" borderId="0" xfId="0" applyNumberFormat="1" applyFont="1" applyFill="1" applyAlignment="1">
      <alignment horizontal="left" vertical="top" indent="2"/>
    </xf>
    <xf numFmtId="0" fontId="95" fillId="0" borderId="0" xfId="0" applyFont="1" applyAlignment="1">
      <alignment vertical="top"/>
    </xf>
    <xf numFmtId="0" fontId="0" fillId="0" borderId="0" xfId="0" applyAlignment="1">
      <alignment horizontal="left" vertical="top" indent="1"/>
    </xf>
    <xf numFmtId="170" fontId="92" fillId="0" borderId="0" xfId="0" applyNumberFormat="1" applyFont="1" applyAlignment="1">
      <alignment horizontal="right"/>
    </xf>
    <xf numFmtId="164" fontId="98" fillId="12" borderId="20" xfId="0" applyNumberFormat="1" applyFont="1" applyFill="1" applyBorder="1" applyAlignment="1">
      <alignment horizontal="right" vertical="center"/>
    </xf>
    <xf numFmtId="164" fontId="98" fillId="12" borderId="27" xfId="0" applyNumberFormat="1" applyFont="1" applyFill="1" applyBorder="1" applyAlignment="1">
      <alignment horizontal="right" vertical="center"/>
    </xf>
    <xf numFmtId="0" fontId="93" fillId="20" borderId="4" xfId="0" applyFont="1" applyFill="1" applyBorder="1" applyAlignment="1">
      <alignment horizontal="left" vertical="center" indent="1"/>
    </xf>
    <xf numFmtId="165" fontId="102" fillId="12" borderId="39" xfId="0" applyNumberFormat="1" applyFont="1" applyFill="1" applyBorder="1" applyAlignment="1">
      <alignment horizontal="left" vertical="center" indent="1"/>
    </xf>
    <xf numFmtId="168" fontId="49" fillId="0" borderId="0" xfId="0" applyNumberFormat="1" applyFont="1" applyAlignment="1">
      <alignment horizontal="left" indent="1"/>
    </xf>
    <xf numFmtId="168" fontId="21" fillId="0" borderId="0" xfId="0" applyNumberFormat="1" applyFont="1" applyAlignment="1">
      <alignment horizontal="left" indent="1"/>
    </xf>
    <xf numFmtId="179" fontId="49" fillId="0" borderId="0" xfId="16" applyNumberFormat="1" applyFont="1" applyAlignment="1">
      <alignment horizontal="center"/>
    </xf>
    <xf numFmtId="168" fontId="21" fillId="0" borderId="31" xfId="0" applyNumberFormat="1" applyFont="1" applyBorder="1" applyAlignment="1">
      <alignment horizontal="right" indent="1"/>
    </xf>
    <xf numFmtId="179" fontId="21" fillId="0" borderId="31" xfId="16" applyNumberFormat="1" applyFont="1" applyBorder="1" applyAlignment="1">
      <alignment horizontal="center"/>
    </xf>
    <xf numFmtId="0" fontId="19" fillId="26" borderId="31" xfId="0" applyFont="1" applyFill="1" applyBorder="1" applyAlignment="1">
      <alignment horizontal="center" vertical="center"/>
    </xf>
    <xf numFmtId="0" fontId="93" fillId="0" borderId="0" xfId="0" applyFont="1" applyAlignment="1">
      <alignment horizontal="left" indent="1"/>
    </xf>
    <xf numFmtId="168" fontId="94" fillId="0" borderId="0" xfId="0" applyNumberFormat="1" applyFont="1"/>
    <xf numFmtId="164" fontId="0" fillId="0" borderId="0" xfId="0" applyNumberFormat="1"/>
    <xf numFmtId="0" fontId="18" fillId="6" borderId="4" xfId="0" applyFont="1" applyFill="1" applyBorder="1" applyAlignment="1">
      <alignment horizontal="left" vertical="center" indent="1"/>
    </xf>
    <xf numFmtId="0" fontId="21" fillId="10" borderId="21" xfId="0" applyFont="1" applyFill="1" applyBorder="1" applyAlignment="1">
      <alignment horizontal="left" vertical="center" indent="2"/>
    </xf>
    <xf numFmtId="0" fontId="21" fillId="10" borderId="24" xfId="0" applyFont="1" applyFill="1" applyBorder="1" applyAlignment="1">
      <alignment horizontal="left" vertical="center" indent="2"/>
    </xf>
    <xf numFmtId="0" fontId="21" fillId="10" borderId="25" xfId="0" applyFont="1" applyFill="1" applyBorder="1" applyAlignment="1">
      <alignment horizontal="left" vertical="center" indent="2"/>
    </xf>
    <xf numFmtId="0" fontId="18" fillId="7" borderId="4" xfId="11" applyFont="1" applyFill="1" applyBorder="1" applyAlignment="1">
      <alignment horizontal="left" vertical="center" indent="1"/>
    </xf>
    <xf numFmtId="0" fontId="21" fillId="16" borderId="0" xfId="11" applyFont="1" applyFill="1" applyAlignment="1">
      <alignment horizontal="left" vertical="center" indent="1"/>
    </xf>
    <xf numFmtId="0" fontId="21" fillId="10" borderId="28" xfId="0" applyFont="1" applyFill="1" applyBorder="1" applyAlignment="1">
      <alignment horizontal="left" vertical="center" indent="2"/>
    </xf>
    <xf numFmtId="173" fontId="71" fillId="17" borderId="63" xfId="0" applyNumberFormat="1" applyFont="1" applyFill="1" applyBorder="1" applyAlignment="1">
      <alignment horizontal="center" vertical="center"/>
    </xf>
    <xf numFmtId="14" fontId="4" fillId="17" borderId="63" xfId="0" applyNumberFormat="1" applyFont="1" applyFill="1" applyBorder="1" applyAlignment="1">
      <alignment horizontal="center"/>
    </xf>
    <xf numFmtId="1" fontId="4" fillId="17" borderId="63" xfId="0" applyNumberFormat="1" applyFont="1" applyFill="1" applyBorder="1" applyAlignment="1">
      <alignment horizontal="center"/>
    </xf>
    <xf numFmtId="168" fontId="28" fillId="0" borderId="65" xfId="0" applyNumberFormat="1" applyFont="1" applyBorder="1"/>
    <xf numFmtId="0" fontId="41" fillId="0" borderId="0" xfId="0" applyFont="1" applyAlignment="1">
      <alignment horizontal="left" vertical="center"/>
    </xf>
    <xf numFmtId="0" fontId="25" fillId="29" borderId="0" xfId="11" applyFill="1" applyAlignment="1">
      <alignment vertical="center"/>
    </xf>
    <xf numFmtId="0" fontId="104" fillId="29" borderId="0" xfId="11" applyFont="1" applyFill="1" applyAlignment="1">
      <alignment horizontal="left" vertical="center"/>
    </xf>
    <xf numFmtId="0" fontId="105" fillId="29" borderId="0" xfId="11" quotePrefix="1" applyFont="1" applyFill="1" applyAlignment="1">
      <alignment vertical="center"/>
    </xf>
    <xf numFmtId="0" fontId="25" fillId="29" borderId="0" xfId="11" applyFill="1" applyAlignment="1">
      <alignment horizontal="center" vertical="center"/>
    </xf>
    <xf numFmtId="0" fontId="106" fillId="29" borderId="0" xfId="11" applyFont="1" applyFill="1" applyAlignment="1">
      <alignment vertical="center"/>
    </xf>
    <xf numFmtId="0" fontId="105" fillId="29" borderId="0" xfId="11" applyFont="1" applyFill="1" applyAlignment="1">
      <alignment horizontal="left" vertical="center"/>
    </xf>
    <xf numFmtId="0" fontId="108" fillId="0" borderId="0" xfId="17" applyFont="1"/>
    <xf numFmtId="0" fontId="109" fillId="0" borderId="0" xfId="18" applyAlignment="1">
      <alignment horizontal="left"/>
    </xf>
    <xf numFmtId="0" fontId="109" fillId="0" borderId="0" xfId="18"/>
    <xf numFmtId="0" fontId="110" fillId="0" borderId="0" xfId="17" applyFont="1" applyAlignment="1">
      <alignment horizontal="center"/>
    </xf>
    <xf numFmtId="0" fontId="111" fillId="0" borderId="0" xfId="17" applyFont="1" applyAlignment="1">
      <alignment horizontal="center"/>
    </xf>
    <xf numFmtId="180" fontId="110" fillId="0" borderId="0" xfId="7" applyNumberFormat="1" applyFont="1" applyAlignment="1">
      <alignment horizontal="center"/>
    </xf>
    <xf numFmtId="164" fontId="112" fillId="0" borderId="0" xfId="17" applyNumberFormat="1" applyFont="1" applyAlignment="1">
      <alignment horizontal="center"/>
    </xf>
    <xf numFmtId="0" fontId="112" fillId="0" borderId="0" xfId="17" applyFont="1" applyAlignment="1">
      <alignment horizontal="center"/>
    </xf>
    <xf numFmtId="181" fontId="110" fillId="0" borderId="0" xfId="17" applyNumberFormat="1" applyFont="1" applyAlignment="1">
      <alignment horizontal="center"/>
    </xf>
    <xf numFmtId="0" fontId="107" fillId="0" borderId="0" xfId="17"/>
    <xf numFmtId="164" fontId="108" fillId="0" borderId="0" xfId="17" applyNumberFormat="1" applyFont="1"/>
    <xf numFmtId="0" fontId="110" fillId="2" borderId="0" xfId="17" applyFont="1" applyFill="1" applyAlignment="1">
      <alignment horizontal="center"/>
    </xf>
    <xf numFmtId="164" fontId="109" fillId="0" borderId="0" xfId="18" applyNumberFormat="1"/>
    <xf numFmtId="0" fontId="5" fillId="0" borderId="0" xfId="17" applyFont="1" applyAlignment="1">
      <alignment vertical="center"/>
    </xf>
    <xf numFmtId="0" fontId="108" fillId="0" borderId="0" xfId="17" applyFont="1" applyAlignment="1">
      <alignment vertical="center"/>
    </xf>
    <xf numFmtId="0" fontId="114" fillId="5" borderId="0" xfId="18" applyFont="1" applyFill="1" applyAlignment="1">
      <alignment horizontal="left" vertical="center"/>
    </xf>
    <xf numFmtId="0" fontId="109" fillId="5" borderId="0" xfId="18" applyFill="1"/>
    <xf numFmtId="164" fontId="5" fillId="30" borderId="66" xfId="0" applyNumberFormat="1" applyFont="1" applyFill="1" applyBorder="1" applyAlignment="1">
      <alignment horizontal="center" vertical="center"/>
    </xf>
    <xf numFmtId="14" fontId="107" fillId="31" borderId="66" xfId="17" applyNumberFormat="1" applyFill="1" applyBorder="1" applyAlignment="1">
      <alignment horizontal="left"/>
    </xf>
    <xf numFmtId="14" fontId="75" fillId="0" borderId="0" xfId="0" applyNumberFormat="1" applyFont="1"/>
    <xf numFmtId="0" fontId="115" fillId="29" borderId="67" xfId="0" applyFont="1" applyFill="1" applyBorder="1" applyAlignment="1">
      <alignment horizontal="left" vertical="center" indent="1"/>
    </xf>
    <xf numFmtId="0" fontId="115" fillId="29" borderId="68" xfId="0" applyFont="1" applyFill="1" applyBorder="1" applyAlignment="1">
      <alignment horizontal="left" vertical="center" indent="2"/>
    </xf>
    <xf numFmtId="0" fontId="115" fillId="29" borderId="68" xfId="11" applyFont="1" applyFill="1" applyBorder="1" applyAlignment="1">
      <alignment vertical="center"/>
    </xf>
    <xf numFmtId="0" fontId="104" fillId="29" borderId="68" xfId="11" applyFont="1" applyFill="1" applyBorder="1" applyAlignment="1">
      <alignment horizontal="left" indent="2"/>
    </xf>
    <xf numFmtId="0" fontId="108" fillId="30" borderId="67" xfId="0" applyFont="1" applyFill="1" applyBorder="1" applyAlignment="1">
      <alignment horizontal="left" vertical="center" indent="2"/>
    </xf>
    <xf numFmtId="164" fontId="116" fillId="30" borderId="68" xfId="0" applyNumberFormat="1" applyFont="1" applyFill="1" applyBorder="1" applyAlignment="1">
      <alignment horizontal="right" vertical="center"/>
    </xf>
    <xf numFmtId="164" fontId="116" fillId="30" borderId="69" xfId="0" applyNumberFormat="1" applyFont="1" applyFill="1" applyBorder="1" applyAlignment="1">
      <alignment horizontal="right" vertical="center"/>
    </xf>
    <xf numFmtId="175" fontId="117" fillId="30" borderId="68" xfId="7" applyNumberFormat="1" applyFont="1" applyFill="1" applyBorder="1" applyAlignment="1">
      <alignment horizontal="center" vertical="center"/>
    </xf>
    <xf numFmtId="182" fontId="113" fillId="8" borderId="66" xfId="7" applyNumberFormat="1" applyFont="1" applyFill="1" applyBorder="1" applyAlignment="1">
      <alignment horizontal="center" vertical="center"/>
    </xf>
    <xf numFmtId="182" fontId="5" fillId="30" borderId="66" xfId="7" applyNumberFormat="1" applyFont="1" applyFill="1" applyBorder="1" applyAlignment="1">
      <alignment horizontal="center" vertical="center"/>
    </xf>
    <xf numFmtId="182" fontId="6" fillId="30" borderId="66" xfId="7" applyNumberFormat="1" applyFont="1" applyFill="1" applyBorder="1" applyAlignment="1">
      <alignment horizontal="center" vertical="center"/>
    </xf>
    <xf numFmtId="164" fontId="108" fillId="30" borderId="70" xfId="0" applyNumberFormat="1" applyFont="1" applyFill="1" applyBorder="1" applyAlignment="1">
      <alignment horizontal="right" vertical="center"/>
    </xf>
    <xf numFmtId="181" fontId="118" fillId="30" borderId="68" xfId="0" applyNumberFormat="1" applyFont="1" applyFill="1" applyBorder="1" applyAlignment="1">
      <alignment horizontal="center" vertical="center"/>
    </xf>
    <xf numFmtId="181" fontId="5" fillId="30" borderId="66" xfId="7" applyNumberFormat="1" applyFont="1" applyFill="1" applyBorder="1" applyAlignment="1">
      <alignment horizontal="center" vertical="center"/>
    </xf>
    <xf numFmtId="0" fontId="115" fillId="32" borderId="67" xfId="0" applyFont="1" applyFill="1" applyBorder="1" applyAlignment="1">
      <alignment horizontal="left" vertical="center" indent="1"/>
    </xf>
    <xf numFmtId="0" fontId="115" fillId="32" borderId="68" xfId="0" applyFont="1" applyFill="1" applyBorder="1" applyAlignment="1">
      <alignment horizontal="left" vertical="center" indent="2"/>
    </xf>
    <xf numFmtId="0" fontId="115" fillId="32" borderId="69" xfId="11" applyFont="1" applyFill="1" applyBorder="1" applyAlignment="1">
      <alignment vertical="center"/>
    </xf>
    <xf numFmtId="0" fontId="115" fillId="32" borderId="66" xfId="11" applyFont="1" applyFill="1" applyBorder="1" applyAlignment="1">
      <alignment horizontal="center" vertical="center"/>
    </xf>
    <xf numFmtId="183" fontId="75" fillId="0" borderId="0" xfId="0" applyNumberFormat="1" applyFont="1"/>
    <xf numFmtId="0" fontId="108" fillId="30" borderId="67" xfId="0" applyFont="1" applyFill="1" applyBorder="1" applyAlignment="1">
      <alignment horizontal="left" vertical="center" indent="1"/>
    </xf>
    <xf numFmtId="0" fontId="108" fillId="30" borderId="69" xfId="0" applyFont="1" applyFill="1" applyBorder="1" applyAlignment="1">
      <alignment horizontal="left" vertical="center" indent="2"/>
    </xf>
    <xf numFmtId="182" fontId="108" fillId="30" borderId="66" xfId="7" applyNumberFormat="1" applyFont="1" applyFill="1" applyBorder="1" applyAlignment="1">
      <alignment horizontal="center" vertical="center"/>
    </xf>
    <xf numFmtId="0" fontId="75" fillId="0" borderId="0" xfId="0" applyFont="1" applyAlignment="1">
      <alignment horizontal="left" indent="1"/>
    </xf>
    <xf numFmtId="182" fontId="75" fillId="0" borderId="0" xfId="0" applyNumberFormat="1" applyFont="1"/>
    <xf numFmtId="184" fontId="113" fillId="8" borderId="66" xfId="17" applyNumberFormat="1" applyFont="1" applyFill="1" applyBorder="1" applyAlignment="1">
      <alignment horizontal="center" vertical="center"/>
    </xf>
    <xf numFmtId="0" fontId="108" fillId="30" borderId="66" xfId="0" applyFont="1" applyFill="1" applyBorder="1" applyAlignment="1">
      <alignment horizontal="left" vertical="center" indent="1"/>
    </xf>
    <xf numFmtId="0" fontId="108" fillId="30" borderId="66" xfId="0" applyFont="1" applyFill="1" applyBorder="1" applyAlignment="1">
      <alignment horizontal="left" vertical="center" indent="2"/>
    </xf>
    <xf numFmtId="0" fontId="75" fillId="0" borderId="0" xfId="0" applyFont="1" applyAlignment="1">
      <alignment horizontal="left"/>
    </xf>
    <xf numFmtId="9" fontId="0" fillId="0" borderId="0" xfId="0" applyNumberFormat="1"/>
    <xf numFmtId="0" fontId="9" fillId="0" borderId="0" xfId="0" applyFont="1" applyAlignment="1">
      <alignment horizontal="left"/>
    </xf>
    <xf numFmtId="0" fontId="9" fillId="0" borderId="0" xfId="0" applyFont="1"/>
    <xf numFmtId="0" fontId="115" fillId="33" borderId="67" xfId="0" applyFont="1" applyFill="1" applyBorder="1" applyAlignment="1">
      <alignment horizontal="left" vertical="center" indent="1"/>
    </xf>
    <xf numFmtId="0" fontId="115" fillId="33" borderId="68" xfId="0" applyFont="1" applyFill="1" applyBorder="1" applyAlignment="1">
      <alignment horizontal="left" vertical="center" indent="2"/>
    </xf>
    <xf numFmtId="0" fontId="115" fillId="33" borderId="66" xfId="0" applyFont="1" applyFill="1" applyBorder="1" applyAlignment="1">
      <alignment horizontal="left" vertical="center" indent="2"/>
    </xf>
    <xf numFmtId="0" fontId="115" fillId="33" borderId="69" xfId="0" applyFont="1" applyFill="1" applyBorder="1" applyAlignment="1">
      <alignment horizontal="center" vertical="center"/>
    </xf>
    <xf numFmtId="0" fontId="115" fillId="33" borderId="66" xfId="0" applyFont="1" applyFill="1" applyBorder="1" applyAlignment="1">
      <alignment horizontal="center" vertical="center"/>
    </xf>
    <xf numFmtId="164" fontId="116" fillId="30" borderId="66" xfId="0" applyNumberFormat="1" applyFont="1" applyFill="1" applyBorder="1" applyAlignment="1">
      <alignment horizontal="right" vertical="center"/>
    </xf>
    <xf numFmtId="164" fontId="108" fillId="30" borderId="69" xfId="0" applyNumberFormat="1" applyFont="1" applyFill="1" applyBorder="1" applyAlignment="1">
      <alignment horizontal="right" vertical="center"/>
    </xf>
    <xf numFmtId="164" fontId="108" fillId="30" borderId="66" xfId="0" applyNumberFormat="1" applyFont="1" applyFill="1" applyBorder="1" applyAlignment="1">
      <alignment horizontal="right" vertical="center"/>
    </xf>
    <xf numFmtId="164" fontId="110" fillId="0" borderId="0" xfId="17" applyNumberFormat="1" applyFont="1" applyAlignment="1">
      <alignment horizontal="center"/>
    </xf>
    <xf numFmtId="0" fontId="108" fillId="30" borderId="71" xfId="0" applyFont="1" applyFill="1" applyBorder="1" applyAlignment="1">
      <alignment horizontal="left" vertical="center" indent="1"/>
    </xf>
    <xf numFmtId="0" fontId="108" fillId="30" borderId="71" xfId="0" applyFont="1" applyFill="1" applyBorder="1" applyAlignment="1">
      <alignment horizontal="left" vertical="center" indent="2"/>
    </xf>
    <xf numFmtId="164" fontId="116" fillId="30" borderId="72" xfId="0" applyNumberFormat="1" applyFont="1" applyFill="1" applyBorder="1" applyAlignment="1">
      <alignment horizontal="right" vertical="center"/>
    </xf>
    <xf numFmtId="164" fontId="116" fillId="30" borderId="73" xfId="0" applyNumberFormat="1" applyFont="1" applyFill="1" applyBorder="1" applyAlignment="1">
      <alignment horizontal="right" vertical="center"/>
    </xf>
    <xf numFmtId="164" fontId="116" fillId="30" borderId="74" xfId="0" applyNumberFormat="1" applyFont="1" applyFill="1" applyBorder="1" applyAlignment="1">
      <alignment horizontal="right" vertical="center"/>
    </xf>
    <xf numFmtId="164" fontId="108" fillId="30" borderId="75" xfId="0" applyNumberFormat="1" applyFont="1" applyFill="1" applyBorder="1" applyAlignment="1">
      <alignment horizontal="right" vertical="center"/>
    </xf>
    <xf numFmtId="164" fontId="108" fillId="30" borderId="76" xfId="0" applyNumberFormat="1" applyFont="1" applyFill="1" applyBorder="1" applyAlignment="1">
      <alignment horizontal="right" vertical="center"/>
    </xf>
    <xf numFmtId="0" fontId="119" fillId="30" borderId="77" xfId="0" applyFont="1" applyFill="1" applyBorder="1" applyAlignment="1">
      <alignment horizontal="left" vertical="center" indent="2"/>
    </xf>
    <xf numFmtId="0" fontId="119" fillId="30" borderId="77" xfId="0" applyFont="1" applyFill="1" applyBorder="1" applyAlignment="1">
      <alignment horizontal="left" vertical="center" indent="3"/>
    </xf>
    <xf numFmtId="164" fontId="116" fillId="30" borderId="78" xfId="0" applyNumberFormat="1" applyFont="1" applyFill="1" applyBorder="1" applyAlignment="1">
      <alignment horizontal="right" vertical="center"/>
    </xf>
    <xf numFmtId="164" fontId="116" fillId="30" borderId="79" xfId="0" applyNumberFormat="1" applyFont="1" applyFill="1" applyBorder="1" applyAlignment="1">
      <alignment horizontal="right" vertical="center"/>
    </xf>
    <xf numFmtId="164" fontId="116" fillId="30" borderId="70" xfId="0" applyNumberFormat="1" applyFont="1" applyFill="1" applyBorder="1" applyAlignment="1">
      <alignment horizontal="right" vertical="center"/>
    </xf>
    <xf numFmtId="164" fontId="119" fillId="30" borderId="80" xfId="0" applyNumberFormat="1" applyFont="1" applyFill="1" applyBorder="1" applyAlignment="1">
      <alignment horizontal="right" vertical="center"/>
    </xf>
    <xf numFmtId="164" fontId="119" fillId="30" borderId="81" xfId="0" applyNumberFormat="1" applyFont="1" applyFill="1" applyBorder="1" applyAlignment="1">
      <alignment horizontal="right" vertical="center"/>
    </xf>
    <xf numFmtId="0" fontId="108" fillId="30" borderId="67" xfId="0" applyFont="1" applyFill="1" applyBorder="1" applyAlignment="1">
      <alignment horizontal="left" vertical="center" indent="3"/>
    </xf>
    <xf numFmtId="0" fontId="108" fillId="30" borderId="67" xfId="0" applyFont="1" applyFill="1" applyBorder="1" applyAlignment="1">
      <alignment horizontal="left" vertical="center" indent="4"/>
    </xf>
    <xf numFmtId="182" fontId="116" fillId="30" borderId="68" xfId="7" applyNumberFormat="1" applyFont="1" applyFill="1" applyBorder="1" applyAlignment="1">
      <alignment horizontal="right" vertical="center"/>
    </xf>
    <xf numFmtId="182" fontId="116" fillId="30" borderId="69" xfId="7" applyNumberFormat="1" applyFont="1" applyFill="1" applyBorder="1" applyAlignment="1">
      <alignment horizontal="right" vertical="center"/>
    </xf>
    <xf numFmtId="182" fontId="116" fillId="30" borderId="66" xfId="7" applyNumberFormat="1" applyFont="1" applyFill="1" applyBorder="1" applyAlignment="1">
      <alignment horizontal="right" vertical="center"/>
    </xf>
    <xf numFmtId="182" fontId="108" fillId="30" borderId="69" xfId="7" applyNumberFormat="1" applyFont="1" applyFill="1" applyBorder="1" applyAlignment="1">
      <alignment horizontal="center" vertical="center"/>
    </xf>
    <xf numFmtId="0" fontId="0" fillId="0" borderId="0" xfId="0" applyAlignment="1">
      <alignment horizontal="left"/>
    </xf>
    <xf numFmtId="0" fontId="0" fillId="0" borderId="66" xfId="0" applyBorder="1"/>
    <xf numFmtId="0" fontId="108" fillId="30" borderId="68" xfId="0" applyFont="1" applyFill="1" applyBorder="1" applyAlignment="1">
      <alignment horizontal="left" vertical="center" indent="2"/>
    </xf>
    <xf numFmtId="164" fontId="108" fillId="30" borderId="69" xfId="0" applyNumberFormat="1" applyFont="1" applyFill="1" applyBorder="1" applyAlignment="1">
      <alignment horizontal="center" vertical="center"/>
    </xf>
    <xf numFmtId="164" fontId="108" fillId="30" borderId="66" xfId="0" applyNumberFormat="1" applyFont="1" applyFill="1" applyBorder="1" applyAlignment="1">
      <alignment horizontal="center" vertical="center"/>
    </xf>
    <xf numFmtId="175" fontId="108" fillId="30" borderId="69" xfId="7" applyNumberFormat="1" applyFont="1" applyFill="1" applyBorder="1" applyAlignment="1">
      <alignment horizontal="center" vertical="center"/>
    </xf>
    <xf numFmtId="183" fontId="108" fillId="30" borderId="66" xfId="7" applyNumberFormat="1" applyFont="1" applyFill="1" applyBorder="1" applyAlignment="1">
      <alignment horizontal="center" vertical="center"/>
    </xf>
    <xf numFmtId="185" fontId="108" fillId="30" borderId="69" xfId="0" applyNumberFormat="1" applyFont="1" applyFill="1" applyBorder="1" applyAlignment="1">
      <alignment horizontal="center" vertical="center"/>
    </xf>
    <xf numFmtId="185" fontId="108" fillId="30" borderId="66" xfId="0" applyNumberFormat="1" applyFont="1" applyFill="1" applyBorder="1" applyAlignment="1">
      <alignment horizontal="center" vertical="center"/>
    </xf>
    <xf numFmtId="0" fontId="120" fillId="29" borderId="71" xfId="17" applyFont="1" applyFill="1" applyBorder="1" applyAlignment="1">
      <alignment horizontal="left" indent="1"/>
    </xf>
    <xf numFmtId="0" fontId="120" fillId="29" borderId="72" xfId="17" applyFont="1" applyFill="1" applyBorder="1" applyAlignment="1">
      <alignment horizontal="center"/>
    </xf>
    <xf numFmtId="0" fontId="120" fillId="29" borderId="75" xfId="17" applyFont="1" applyFill="1" applyBorder="1" applyAlignment="1">
      <alignment horizontal="center"/>
    </xf>
    <xf numFmtId="0" fontId="120" fillId="29" borderId="76" xfId="17" applyFont="1" applyFill="1" applyBorder="1" applyAlignment="1">
      <alignment horizontal="center"/>
    </xf>
    <xf numFmtId="0" fontId="121" fillId="29" borderId="71" xfId="17" applyFont="1" applyFill="1" applyBorder="1" applyAlignment="1">
      <alignment horizontal="left" vertical="center" indent="1"/>
    </xf>
    <xf numFmtId="0" fontId="122" fillId="29" borderId="72" xfId="17" applyFont="1" applyFill="1" applyBorder="1" applyAlignment="1">
      <alignment horizontal="right" vertical="center" indent="1"/>
    </xf>
    <xf numFmtId="10" fontId="121" fillId="29" borderId="72" xfId="19" applyNumberFormat="1" applyFont="1" applyFill="1" applyBorder="1" applyAlignment="1">
      <alignment horizontal="left" vertical="center"/>
    </xf>
    <xf numFmtId="172" fontId="122" fillId="17" borderId="72" xfId="16" applyNumberFormat="1" applyFont="1" applyFill="1" applyBorder="1" applyAlignment="1">
      <alignment horizontal="right" vertical="center" indent="1"/>
    </xf>
    <xf numFmtId="0" fontId="122" fillId="29" borderId="75" xfId="17" applyFont="1" applyFill="1" applyBorder="1" applyAlignment="1">
      <alignment horizontal="right" vertical="center" indent="1"/>
    </xf>
    <xf numFmtId="0" fontId="121" fillId="17" borderId="71" xfId="17" applyFont="1" applyFill="1" applyBorder="1" applyAlignment="1">
      <alignment horizontal="left" vertical="center" indent="1"/>
    </xf>
    <xf numFmtId="0" fontId="122" fillId="17" borderId="72" xfId="17" applyFont="1" applyFill="1" applyBorder="1" applyAlignment="1">
      <alignment horizontal="right" vertical="center" indent="1"/>
    </xf>
    <xf numFmtId="10" fontId="121" fillId="17" borderId="72" xfId="19" applyNumberFormat="1" applyFont="1" applyFill="1" applyBorder="1" applyAlignment="1">
      <alignment horizontal="left" vertical="center"/>
    </xf>
    <xf numFmtId="0" fontId="122" fillId="17" borderId="75" xfId="17" applyFont="1" applyFill="1" applyBorder="1" applyAlignment="1">
      <alignment horizontal="right" vertical="center" indent="1"/>
    </xf>
    <xf numFmtId="0" fontId="121" fillId="34" borderId="71" xfId="17" applyFont="1" applyFill="1" applyBorder="1" applyAlignment="1">
      <alignment horizontal="left" vertical="center" indent="1"/>
    </xf>
    <xf numFmtId="0" fontId="122" fillId="34" borderId="72" xfId="17" applyFont="1" applyFill="1" applyBorder="1" applyAlignment="1">
      <alignment horizontal="right" vertical="center" indent="1"/>
    </xf>
    <xf numFmtId="10" fontId="121" fillId="34" borderId="72" xfId="19" applyNumberFormat="1" applyFont="1" applyFill="1" applyBorder="1" applyAlignment="1">
      <alignment horizontal="left" vertical="center"/>
    </xf>
    <xf numFmtId="0" fontId="123" fillId="34" borderId="72" xfId="17" applyFont="1" applyFill="1" applyBorder="1" applyAlignment="1">
      <alignment horizontal="left" vertical="center" indent="1"/>
    </xf>
    <xf numFmtId="10" fontId="123" fillId="34" borderId="72" xfId="19" applyNumberFormat="1" applyFont="1" applyFill="1" applyBorder="1" applyAlignment="1">
      <alignment horizontal="left" vertical="center"/>
    </xf>
    <xf numFmtId="0" fontId="122" fillId="34" borderId="75" xfId="17" applyFont="1" applyFill="1" applyBorder="1" applyAlignment="1">
      <alignment horizontal="right" vertical="center" indent="1"/>
    </xf>
    <xf numFmtId="0" fontId="121" fillId="35" borderId="71" xfId="17" applyFont="1" applyFill="1" applyBorder="1" applyAlignment="1">
      <alignment horizontal="left" vertical="center" indent="1"/>
    </xf>
    <xf numFmtId="0" fontId="122" fillId="35" borderId="72" xfId="17" applyFont="1" applyFill="1" applyBorder="1" applyAlignment="1">
      <alignment horizontal="right" vertical="center" indent="1"/>
    </xf>
    <xf numFmtId="10" fontId="121" fillId="35" borderId="72" xfId="19" applyNumberFormat="1" applyFont="1" applyFill="1" applyBorder="1" applyAlignment="1">
      <alignment horizontal="left" vertical="center"/>
    </xf>
    <xf numFmtId="0" fontId="123" fillId="35" borderId="72" xfId="17" applyFont="1" applyFill="1" applyBorder="1" applyAlignment="1">
      <alignment horizontal="left" vertical="center" indent="1"/>
    </xf>
    <xf numFmtId="10" fontId="123" fillId="35" borderId="72" xfId="19" applyNumberFormat="1" applyFont="1" applyFill="1" applyBorder="1" applyAlignment="1">
      <alignment horizontal="left" vertical="center"/>
    </xf>
    <xf numFmtId="0" fontId="122" fillId="35" borderId="75" xfId="17" applyFont="1" applyFill="1" applyBorder="1" applyAlignment="1">
      <alignment horizontal="right" vertical="center" indent="1"/>
    </xf>
    <xf numFmtId="0" fontId="124" fillId="36" borderId="82" xfId="17" applyFont="1" applyFill="1" applyBorder="1" applyAlignment="1">
      <alignment horizontal="centerContinuous" vertical="center"/>
    </xf>
    <xf numFmtId="9" fontId="125" fillId="36" borderId="84" xfId="7" applyFont="1" applyFill="1" applyBorder="1" applyAlignment="1">
      <alignment horizontal="centerContinuous" vertical="center"/>
    </xf>
    <xf numFmtId="9" fontId="126" fillId="36" borderId="83" xfId="7" applyFont="1" applyFill="1" applyBorder="1" applyAlignment="1">
      <alignment horizontal="centerContinuous" vertical="center"/>
    </xf>
    <xf numFmtId="0" fontId="121" fillId="29" borderId="71" xfId="17" applyFont="1" applyFill="1" applyBorder="1" applyAlignment="1">
      <alignment horizontal="center" vertical="center"/>
    </xf>
    <xf numFmtId="0" fontId="127" fillId="29" borderId="85" xfId="17" applyFont="1" applyFill="1" applyBorder="1" applyAlignment="1">
      <alignment horizontal="center" vertical="top"/>
    </xf>
    <xf numFmtId="0" fontId="127" fillId="29" borderId="86" xfId="17" applyFont="1" applyFill="1" applyBorder="1" applyAlignment="1">
      <alignment horizontal="center" vertical="top"/>
    </xf>
    <xf numFmtId="0" fontId="127" fillId="29" borderId="79" xfId="17" applyFont="1" applyFill="1" applyBorder="1" applyAlignment="1">
      <alignment horizontal="center" vertical="top"/>
    </xf>
    <xf numFmtId="0" fontId="127" fillId="29" borderId="70" xfId="17" applyFont="1" applyFill="1" applyBorder="1" applyAlignment="1">
      <alignment horizontal="center" vertical="top"/>
    </xf>
    <xf numFmtId="0" fontId="128" fillId="29" borderId="85" xfId="17" applyFont="1" applyFill="1" applyBorder="1" applyAlignment="1">
      <alignment horizontal="left" vertical="center" indent="2"/>
    </xf>
    <xf numFmtId="0" fontId="124" fillId="29" borderId="86" xfId="17" applyFont="1" applyFill="1" applyBorder="1" applyAlignment="1">
      <alignment vertical="center"/>
    </xf>
    <xf numFmtId="10" fontId="128" fillId="29" borderId="86" xfId="19" applyNumberFormat="1" applyFont="1" applyFill="1" applyBorder="1" applyAlignment="1">
      <alignment horizontal="left" vertical="center"/>
    </xf>
    <xf numFmtId="0" fontId="128" fillId="29" borderId="86" xfId="17" applyFont="1" applyFill="1" applyBorder="1" applyAlignment="1">
      <alignment horizontal="left" vertical="center" indent="2"/>
    </xf>
    <xf numFmtId="9" fontId="124" fillId="29" borderId="86" xfId="7" applyFont="1" applyFill="1" applyBorder="1" applyAlignment="1">
      <alignment vertical="center"/>
    </xf>
    <xf numFmtId="9" fontId="124" fillId="29" borderId="79" xfId="7" applyFont="1" applyFill="1" applyBorder="1" applyAlignment="1">
      <alignment vertical="center"/>
    </xf>
    <xf numFmtId="0" fontId="128" fillId="17" borderId="85" xfId="17" applyFont="1" applyFill="1" applyBorder="1" applyAlignment="1">
      <alignment horizontal="left" vertical="center" indent="2"/>
    </xf>
    <xf numFmtId="0" fontId="124" fillId="17" borderId="86" xfId="17" applyFont="1" applyFill="1" applyBorder="1" applyAlignment="1">
      <alignment vertical="center"/>
    </xf>
    <xf numFmtId="10" fontId="128" fillId="17" borderId="86" xfId="19" applyNumberFormat="1" applyFont="1" applyFill="1" applyBorder="1" applyAlignment="1">
      <alignment horizontal="left" vertical="center"/>
    </xf>
    <xf numFmtId="9" fontId="128" fillId="17" borderId="86" xfId="17" applyNumberFormat="1" applyFont="1" applyFill="1" applyBorder="1" applyAlignment="1">
      <alignment horizontal="left" vertical="center" indent="2"/>
    </xf>
    <xf numFmtId="9" fontId="124" fillId="17" borderId="86" xfId="7" applyFont="1" applyFill="1" applyBorder="1" applyAlignment="1">
      <alignment vertical="center"/>
    </xf>
    <xf numFmtId="9" fontId="124" fillId="17" borderId="79" xfId="7" applyFont="1" applyFill="1" applyBorder="1" applyAlignment="1">
      <alignment vertical="center"/>
    </xf>
    <xf numFmtId="0" fontId="128" fillId="34" borderId="85" xfId="17" applyFont="1" applyFill="1" applyBorder="1" applyAlignment="1">
      <alignment horizontal="left" vertical="center" indent="2"/>
    </xf>
    <xf numFmtId="0" fontId="124" fillId="34" borderId="86" xfId="17" applyFont="1" applyFill="1" applyBorder="1" applyAlignment="1">
      <alignment vertical="center"/>
    </xf>
    <xf numFmtId="10" fontId="128" fillId="34" borderId="86" xfId="19" applyNumberFormat="1" applyFont="1" applyFill="1" applyBorder="1" applyAlignment="1">
      <alignment horizontal="left" vertical="center"/>
    </xf>
    <xf numFmtId="181" fontId="127" fillId="34" borderId="86" xfId="17" applyNumberFormat="1" applyFont="1" applyFill="1" applyBorder="1" applyAlignment="1">
      <alignment vertical="center"/>
    </xf>
    <xf numFmtId="0" fontId="128" fillId="34" borderId="86" xfId="17" applyFont="1" applyFill="1" applyBorder="1" applyAlignment="1">
      <alignment horizontal="left" vertical="center" indent="2"/>
    </xf>
    <xf numFmtId="9" fontId="124" fillId="34" borderId="86" xfId="7" applyFont="1" applyFill="1" applyBorder="1" applyAlignment="1">
      <alignment vertical="center"/>
    </xf>
    <xf numFmtId="9" fontId="124" fillId="34" borderId="79" xfId="7" applyFont="1" applyFill="1" applyBorder="1" applyAlignment="1">
      <alignment vertical="center"/>
    </xf>
    <xf numFmtId="0" fontId="128" fillId="35" borderId="85" xfId="17" applyFont="1" applyFill="1" applyBorder="1" applyAlignment="1">
      <alignment horizontal="left" vertical="center" indent="2"/>
    </xf>
    <xf numFmtId="0" fontId="124" fillId="35" borderId="86" xfId="17" applyFont="1" applyFill="1" applyBorder="1" applyAlignment="1">
      <alignment vertical="center"/>
    </xf>
    <xf numFmtId="10" fontId="128" fillId="35" borderId="86" xfId="19" applyNumberFormat="1" applyFont="1" applyFill="1" applyBorder="1" applyAlignment="1">
      <alignment horizontal="left" vertical="center"/>
    </xf>
    <xf numFmtId="0" fontId="128" fillId="35" borderId="86" xfId="17" applyFont="1" applyFill="1" applyBorder="1" applyAlignment="1">
      <alignment horizontal="left" vertical="center" indent="2"/>
    </xf>
    <xf numFmtId="9" fontId="124" fillId="35" borderId="86" xfId="7" applyFont="1" applyFill="1" applyBorder="1" applyAlignment="1">
      <alignment vertical="center"/>
    </xf>
    <xf numFmtId="9" fontId="124" fillId="35" borderId="79" xfId="7" applyFont="1" applyFill="1" applyBorder="1" applyAlignment="1">
      <alignment vertical="center"/>
    </xf>
    <xf numFmtId="0" fontId="126" fillId="36" borderId="87" xfId="17" applyFont="1" applyFill="1" applyBorder="1" applyAlignment="1">
      <alignment horizontal="centerContinuous" vertical="center"/>
    </xf>
    <xf numFmtId="9" fontId="126" fillId="36" borderId="89" xfId="7" applyFont="1" applyFill="1" applyBorder="1" applyAlignment="1">
      <alignment horizontal="centerContinuous" vertical="center"/>
    </xf>
    <xf numFmtId="9" fontId="126" fillId="36" borderId="88" xfId="7" applyFont="1" applyFill="1" applyBorder="1" applyAlignment="1">
      <alignment horizontal="centerContinuous" vertical="center"/>
    </xf>
    <xf numFmtId="0" fontId="128" fillId="29" borderId="85" xfId="17" applyFont="1" applyFill="1" applyBorder="1" applyAlignment="1">
      <alignment horizontal="center" vertical="center"/>
    </xf>
    <xf numFmtId="0" fontId="128" fillId="29" borderId="90" xfId="17" applyFont="1" applyFill="1" applyBorder="1" applyAlignment="1">
      <alignment horizontal="center"/>
    </xf>
    <xf numFmtId="0" fontId="122" fillId="29" borderId="90" xfId="17" applyFont="1" applyFill="1" applyBorder="1" applyAlignment="1">
      <alignment horizontal="center"/>
    </xf>
    <xf numFmtId="0" fontId="122" fillId="29" borderId="91" xfId="17" applyFont="1" applyFill="1" applyBorder="1" applyAlignment="1">
      <alignment horizontal="center" vertical="center"/>
    </xf>
    <xf numFmtId="0" fontId="122" fillId="37" borderId="91" xfId="17" applyFont="1" applyFill="1" applyBorder="1" applyAlignment="1">
      <alignment horizontal="center" vertical="center"/>
    </xf>
    <xf numFmtId="0" fontId="126" fillId="29" borderId="70" xfId="17" applyFont="1" applyFill="1" applyBorder="1" applyAlignment="1">
      <alignment horizontal="centerContinuous" vertical="center"/>
    </xf>
    <xf numFmtId="9" fontId="126" fillId="29" borderId="70" xfId="7" applyFont="1" applyFill="1" applyBorder="1" applyAlignment="1">
      <alignment horizontal="centerContinuous" vertical="center"/>
    </xf>
    <xf numFmtId="0" fontId="122" fillId="17" borderId="90" xfId="17" applyFont="1" applyFill="1" applyBorder="1" applyAlignment="1">
      <alignment horizontal="center"/>
    </xf>
    <xf numFmtId="0" fontId="126" fillId="17" borderId="92" xfId="17" applyFont="1" applyFill="1" applyBorder="1" applyAlignment="1">
      <alignment horizontal="centerContinuous" vertical="center"/>
    </xf>
    <xf numFmtId="9" fontId="126" fillId="17" borderId="93" xfId="7" applyFont="1" applyFill="1" applyBorder="1" applyAlignment="1">
      <alignment horizontal="centerContinuous" vertical="center"/>
    </xf>
    <xf numFmtId="0" fontId="122" fillId="34" borderId="90" xfId="17" applyFont="1" applyFill="1" applyBorder="1" applyAlignment="1">
      <alignment horizontal="center"/>
    </xf>
    <xf numFmtId="0" fontId="126" fillId="34" borderId="92" xfId="17" applyFont="1" applyFill="1" applyBorder="1" applyAlignment="1">
      <alignment horizontal="centerContinuous" vertical="center"/>
    </xf>
    <xf numFmtId="9" fontId="126" fillId="34" borderId="93" xfId="7" applyFont="1" applyFill="1" applyBorder="1" applyAlignment="1">
      <alignment horizontal="centerContinuous" vertical="center"/>
    </xf>
    <xf numFmtId="0" fontId="122" fillId="35" borderId="90" xfId="17" applyFont="1" applyFill="1" applyBorder="1" applyAlignment="1">
      <alignment horizontal="center"/>
    </xf>
    <xf numFmtId="0" fontId="126" fillId="35" borderId="92" xfId="17" applyFont="1" applyFill="1" applyBorder="1" applyAlignment="1">
      <alignment horizontal="centerContinuous" vertical="center"/>
    </xf>
    <xf numFmtId="9" fontId="126" fillId="35" borderId="93" xfId="7" applyFont="1" applyFill="1" applyBorder="1" applyAlignment="1">
      <alignment horizontal="centerContinuous" vertical="center"/>
    </xf>
    <xf numFmtId="0" fontId="126" fillId="15" borderId="94" xfId="17" applyFont="1" applyFill="1" applyBorder="1" applyAlignment="1">
      <alignment horizontal="centerContinuous" vertical="center"/>
    </xf>
    <xf numFmtId="9" fontId="126" fillId="15" borderId="95" xfId="7" applyFont="1" applyFill="1" applyBorder="1" applyAlignment="1">
      <alignment horizontal="centerContinuous" vertical="center"/>
    </xf>
    <xf numFmtId="0" fontId="126" fillId="36" borderId="94" xfId="17" applyFont="1" applyFill="1" applyBorder="1" applyAlignment="1">
      <alignment horizontal="centerContinuous" vertical="center"/>
    </xf>
    <xf numFmtId="9" fontId="126" fillId="36" borderId="95" xfId="7" applyFont="1" applyFill="1" applyBorder="1" applyAlignment="1">
      <alignment horizontal="centerContinuous" vertical="center"/>
    </xf>
    <xf numFmtId="0" fontId="122" fillId="29" borderId="92" xfId="17" applyFont="1" applyFill="1" applyBorder="1" applyAlignment="1">
      <alignment horizontal="centerContinuous" vertical="center"/>
    </xf>
    <xf numFmtId="9" fontId="122" fillId="29" borderId="93" xfId="7" applyFont="1" applyFill="1" applyBorder="1" applyAlignment="1">
      <alignment horizontal="centerContinuous" vertical="center"/>
    </xf>
    <xf numFmtId="9" fontId="122" fillId="29" borderId="0" xfId="7" applyFont="1" applyFill="1" applyBorder="1" applyAlignment="1">
      <alignment horizontal="centerContinuous" vertical="center"/>
    </xf>
    <xf numFmtId="0" fontId="128" fillId="29" borderId="90" xfId="17" applyFont="1" applyFill="1" applyBorder="1" applyAlignment="1">
      <alignment horizontal="center" vertical="center"/>
    </xf>
    <xf numFmtId="0" fontId="122" fillId="29" borderId="90" xfId="17" applyFont="1" applyFill="1" applyBorder="1" applyAlignment="1">
      <alignment horizontal="center" vertical="center"/>
    </xf>
    <xf numFmtId="0" fontId="122" fillId="37" borderId="90" xfId="17" applyFont="1" applyFill="1" applyBorder="1" applyAlignment="1">
      <alignment horizontal="center"/>
    </xf>
    <xf numFmtId="0" fontId="122" fillId="17" borderId="90" xfId="17" applyFont="1" applyFill="1" applyBorder="1" applyAlignment="1">
      <alignment horizontal="center" vertical="center"/>
    </xf>
    <xf numFmtId="10" fontId="122" fillId="17" borderId="90" xfId="17" applyNumberFormat="1" applyFont="1" applyFill="1" applyBorder="1" applyAlignment="1">
      <alignment horizontal="center" vertical="center"/>
    </xf>
    <xf numFmtId="0" fontId="122" fillId="17" borderId="96" xfId="17" applyFont="1" applyFill="1" applyBorder="1" applyAlignment="1">
      <alignment horizontal="center" vertical="center"/>
    </xf>
    <xf numFmtId="0" fontId="122" fillId="34" borderId="90" xfId="17" applyFont="1" applyFill="1" applyBorder="1" applyAlignment="1">
      <alignment horizontal="center" vertical="center"/>
    </xf>
    <xf numFmtId="0" fontId="122" fillId="34" borderId="96" xfId="17" applyFont="1" applyFill="1" applyBorder="1" applyAlignment="1">
      <alignment horizontal="center" vertical="center"/>
    </xf>
    <xf numFmtId="0" fontId="122" fillId="35" borderId="90" xfId="17" applyFont="1" applyFill="1" applyBorder="1" applyAlignment="1">
      <alignment horizontal="center" vertical="center"/>
    </xf>
    <xf numFmtId="0" fontId="122" fillId="35" borderId="96" xfId="17" applyFont="1" applyFill="1" applyBorder="1" applyAlignment="1">
      <alignment horizontal="center" vertical="center"/>
    </xf>
    <xf numFmtId="0" fontId="128" fillId="15" borderId="96" xfId="17" applyFont="1" applyFill="1" applyBorder="1" applyAlignment="1">
      <alignment horizontal="center"/>
    </xf>
    <xf numFmtId="0" fontId="128" fillId="36" borderId="96" xfId="17" applyFont="1" applyFill="1" applyBorder="1" applyAlignment="1">
      <alignment horizontal="center"/>
    </xf>
    <xf numFmtId="0" fontId="122" fillId="29" borderId="96" xfId="17" applyFont="1" applyFill="1" applyBorder="1" applyAlignment="1">
      <alignment horizontal="center" vertical="center"/>
    </xf>
    <xf numFmtId="9" fontId="128" fillId="29" borderId="90" xfId="17" applyNumberFormat="1" applyFont="1" applyFill="1" applyBorder="1" applyAlignment="1">
      <alignment horizontal="center" vertical="top"/>
    </xf>
    <xf numFmtId="181" fontId="122" fillId="29" borderId="90" xfId="17" applyNumberFormat="1" applyFont="1" applyFill="1" applyBorder="1" applyAlignment="1">
      <alignment horizontal="center" vertical="top"/>
    </xf>
    <xf numFmtId="9" fontId="122" fillId="29" borderId="90" xfId="17" applyNumberFormat="1" applyFont="1" applyFill="1" applyBorder="1" applyAlignment="1">
      <alignment horizontal="center" vertical="top"/>
    </xf>
    <xf numFmtId="181" fontId="122" fillId="37" borderId="90" xfId="17" applyNumberFormat="1" applyFont="1" applyFill="1" applyBorder="1" applyAlignment="1">
      <alignment horizontal="center" vertical="top"/>
    </xf>
    <xf numFmtId="0" fontId="122" fillId="29" borderId="90" xfId="17" applyFont="1" applyFill="1" applyBorder="1" applyAlignment="1">
      <alignment horizontal="center" vertical="top"/>
    </xf>
    <xf numFmtId="9" fontId="122" fillId="17" borderId="90" xfId="17" applyNumberFormat="1" applyFont="1" applyFill="1" applyBorder="1" applyAlignment="1">
      <alignment horizontal="center" vertical="top"/>
    </xf>
    <xf numFmtId="0" fontId="122" fillId="17" borderId="90" xfId="17" applyFont="1" applyFill="1" applyBorder="1" applyAlignment="1">
      <alignment horizontal="center" vertical="top"/>
    </xf>
    <xf numFmtId="181" fontId="122" fillId="17" borderId="90" xfId="17" applyNumberFormat="1" applyFont="1" applyFill="1" applyBorder="1" applyAlignment="1">
      <alignment horizontal="center" vertical="top"/>
    </xf>
    <xf numFmtId="9" fontId="122" fillId="34" borderId="90" xfId="17" applyNumberFormat="1" applyFont="1" applyFill="1" applyBorder="1" applyAlignment="1">
      <alignment horizontal="center" vertical="top"/>
    </xf>
    <xf numFmtId="181" fontId="122" fillId="34" borderId="90" xfId="17" applyNumberFormat="1" applyFont="1" applyFill="1" applyBorder="1" applyAlignment="1">
      <alignment horizontal="center" vertical="top"/>
    </xf>
    <xf numFmtId="0" fontId="122" fillId="34" borderId="90" xfId="17" applyFont="1" applyFill="1" applyBorder="1" applyAlignment="1">
      <alignment horizontal="center" vertical="top"/>
    </xf>
    <xf numFmtId="175" fontId="122" fillId="34" borderId="90" xfId="7" applyNumberFormat="1" applyFont="1" applyFill="1" applyBorder="1" applyAlignment="1">
      <alignment horizontal="center" vertical="center"/>
    </xf>
    <xf numFmtId="9" fontId="122" fillId="35" borderId="90" xfId="17" applyNumberFormat="1" applyFont="1" applyFill="1" applyBorder="1" applyAlignment="1">
      <alignment horizontal="center" vertical="top"/>
    </xf>
    <xf numFmtId="181" fontId="122" fillId="35" borderId="90" xfId="17" applyNumberFormat="1" applyFont="1" applyFill="1" applyBorder="1" applyAlignment="1">
      <alignment horizontal="center" vertical="top"/>
    </xf>
    <xf numFmtId="0" fontId="122" fillId="35" borderId="90" xfId="17" applyFont="1" applyFill="1" applyBorder="1" applyAlignment="1">
      <alignment horizontal="center" vertical="top"/>
    </xf>
    <xf numFmtId="175" fontId="122" fillId="35" borderId="90" xfId="7" applyNumberFormat="1" applyFont="1" applyFill="1" applyBorder="1" applyAlignment="1">
      <alignment horizontal="center" vertical="center"/>
    </xf>
    <xf numFmtId="181" fontId="122" fillId="15" borderId="90" xfId="19" applyNumberFormat="1" applyFont="1" applyFill="1" applyBorder="1" applyAlignment="1">
      <alignment horizontal="center" vertical="center"/>
    </xf>
    <xf numFmtId="181" fontId="122" fillId="36" borderId="90" xfId="19" applyNumberFormat="1" applyFont="1" applyFill="1" applyBorder="1" applyAlignment="1">
      <alignment horizontal="center" vertical="center"/>
    </xf>
    <xf numFmtId="9" fontId="122" fillId="29" borderId="90" xfId="7" applyFont="1" applyFill="1" applyBorder="1" applyAlignment="1">
      <alignment horizontal="center" vertical="top"/>
    </xf>
    <xf numFmtId="0" fontId="107" fillId="38" borderId="66" xfId="17" applyFill="1" applyBorder="1" applyAlignment="1">
      <alignment horizontal="center" vertical="center"/>
    </xf>
    <xf numFmtId="186" fontId="107" fillId="38" borderId="66" xfId="17" applyNumberFormat="1" applyFill="1" applyBorder="1" applyAlignment="1">
      <alignment horizontal="left" vertical="center"/>
    </xf>
    <xf numFmtId="186" fontId="107" fillId="38" borderId="66" xfId="17" applyNumberFormat="1" applyFill="1" applyBorder="1" applyAlignment="1">
      <alignment horizontal="center" vertical="center"/>
    </xf>
    <xf numFmtId="175" fontId="118" fillId="38" borderId="66" xfId="7" applyNumberFormat="1" applyFont="1" applyFill="1" applyBorder="1" applyAlignment="1">
      <alignment horizontal="center" vertical="center" shrinkToFit="1"/>
    </xf>
    <xf numFmtId="181" fontId="118" fillId="38" borderId="66" xfId="11" applyNumberFormat="1" applyFont="1" applyFill="1" applyBorder="1" applyAlignment="1">
      <alignment horizontal="right" vertical="center" shrinkToFit="1"/>
    </xf>
    <xf numFmtId="10" fontId="6" fillId="38" borderId="66" xfId="7" applyNumberFormat="1" applyFont="1" applyFill="1" applyBorder="1" applyAlignment="1">
      <alignment horizontal="right" vertical="center" shrinkToFit="1"/>
    </xf>
    <xf numFmtId="0" fontId="110" fillId="0" borderId="66" xfId="17" applyFont="1" applyBorder="1" applyAlignment="1">
      <alignment horizontal="center"/>
    </xf>
    <xf numFmtId="178" fontId="6" fillId="38" borderId="66" xfId="7" applyNumberFormat="1" applyFont="1" applyFill="1" applyBorder="1" applyAlignment="1">
      <alignment horizontal="right" vertical="center" shrinkToFit="1"/>
    </xf>
    <xf numFmtId="0" fontId="107" fillId="31" borderId="66" xfId="17" applyFill="1" applyBorder="1" applyAlignment="1">
      <alignment horizontal="center"/>
    </xf>
    <xf numFmtId="186" fontId="107" fillId="31" borderId="66" xfId="17" applyNumberFormat="1" applyFill="1" applyBorder="1" applyAlignment="1">
      <alignment horizontal="left"/>
    </xf>
    <xf numFmtId="164" fontId="118" fillId="30" borderId="66" xfId="0" applyNumberFormat="1" applyFont="1" applyFill="1" applyBorder="1" applyAlignment="1">
      <alignment horizontal="center" vertical="center"/>
    </xf>
    <xf numFmtId="181" fontId="129" fillId="8" borderId="70" xfId="11" applyNumberFormat="1" applyFont="1" applyFill="1" applyBorder="1" applyAlignment="1">
      <alignment horizontal="center" vertical="center" shrinkToFit="1"/>
    </xf>
    <xf numFmtId="164" fontId="118" fillId="30" borderId="70" xfId="20" applyNumberFormat="1" applyFont="1" applyFill="1" applyBorder="1" applyAlignment="1">
      <alignment horizontal="right" vertical="center"/>
    </xf>
    <xf numFmtId="164" fontId="118" fillId="30" borderId="66" xfId="20" applyNumberFormat="1" applyFont="1" applyFill="1" applyBorder="1" applyAlignment="1">
      <alignment horizontal="right" vertical="center"/>
    </xf>
    <xf numFmtId="0" fontId="0" fillId="0" borderId="70" xfId="0" applyBorder="1"/>
    <xf numFmtId="164" fontId="118" fillId="30" borderId="70" xfId="0" applyNumberFormat="1" applyFont="1" applyFill="1" applyBorder="1" applyAlignment="1">
      <alignment horizontal="right" vertical="center"/>
    </xf>
    <xf numFmtId="164" fontId="6" fillId="30" borderId="70" xfId="0" applyNumberFormat="1" applyFont="1" applyFill="1" applyBorder="1" applyAlignment="1">
      <alignment horizontal="right" vertical="center"/>
    </xf>
    <xf numFmtId="0" fontId="110" fillId="0" borderId="70" xfId="17" applyFont="1" applyBorder="1" applyAlignment="1">
      <alignment horizontal="center"/>
    </xf>
    <xf numFmtId="164" fontId="118" fillId="30" borderId="66" xfId="0" applyNumberFormat="1" applyFont="1" applyFill="1" applyBorder="1" applyAlignment="1">
      <alignment horizontal="right" vertical="center"/>
    </xf>
    <xf numFmtId="164" fontId="6" fillId="30" borderId="66" xfId="0" applyNumberFormat="1" applyFont="1" applyFill="1" applyBorder="1" applyAlignment="1">
      <alignment horizontal="right" vertical="center"/>
    </xf>
    <xf numFmtId="164" fontId="0" fillId="0" borderId="66" xfId="0" applyNumberFormat="1" applyBorder="1"/>
    <xf numFmtId="181" fontId="127" fillId="3" borderId="67" xfId="17" applyNumberFormat="1" applyFont="1" applyFill="1" applyBorder="1"/>
    <xf numFmtId="164" fontId="127" fillId="3" borderId="68" xfId="17" applyNumberFormat="1" applyFont="1" applyFill="1" applyBorder="1" applyAlignment="1">
      <alignment horizontal="center"/>
    </xf>
    <xf numFmtId="164" fontId="127" fillId="3" borderId="69" xfId="17" applyNumberFormat="1" applyFont="1" applyFill="1" applyBorder="1" applyAlignment="1">
      <alignment horizontal="center"/>
    </xf>
    <xf numFmtId="164" fontId="126" fillId="3" borderId="66" xfId="17" applyNumberFormat="1" applyFont="1" applyFill="1" applyBorder="1" applyAlignment="1">
      <alignment vertical="center"/>
    </xf>
    <xf numFmtId="164" fontId="130" fillId="0" borderId="0" xfId="0" applyNumberFormat="1" applyFont="1"/>
    <xf numFmtId="164" fontId="130" fillId="0" borderId="66" xfId="0" applyNumberFormat="1" applyFont="1" applyBorder="1"/>
    <xf numFmtId="164" fontId="127" fillId="3" borderId="66" xfId="17" applyNumberFormat="1" applyFont="1" applyFill="1" applyBorder="1"/>
    <xf numFmtId="164" fontId="131" fillId="0" borderId="66" xfId="17" applyNumberFormat="1" applyFont="1" applyBorder="1" applyAlignment="1">
      <alignment horizontal="center"/>
    </xf>
    <xf numFmtId="164" fontId="126" fillId="3" borderId="66" xfId="17" applyNumberFormat="1" applyFont="1" applyFill="1" applyBorder="1" applyAlignment="1">
      <alignment horizontal="center" vertical="center"/>
    </xf>
    <xf numFmtId="0" fontId="107" fillId="5" borderId="66" xfId="17" applyFill="1" applyBorder="1" applyAlignment="1">
      <alignment horizontal="center"/>
    </xf>
    <xf numFmtId="186" fontId="107" fillId="5" borderId="66" xfId="17" applyNumberFormat="1" applyFill="1" applyBorder="1" applyAlignment="1">
      <alignment horizontal="left" indent="1"/>
    </xf>
    <xf numFmtId="166" fontId="118" fillId="5" borderId="66" xfId="0" applyNumberFormat="1" applyFont="1" applyFill="1" applyBorder="1" applyAlignment="1">
      <alignment horizontal="center" vertical="center"/>
    </xf>
    <xf numFmtId="164" fontId="118" fillId="5" borderId="70" xfId="0" applyNumberFormat="1" applyFont="1" applyFill="1" applyBorder="1" applyAlignment="1">
      <alignment horizontal="right" vertical="center"/>
    </xf>
    <xf numFmtId="0" fontId="107" fillId="10" borderId="66" xfId="17" applyFill="1" applyBorder="1" applyAlignment="1">
      <alignment horizontal="center"/>
    </xf>
    <xf numFmtId="164" fontId="107" fillId="10" borderId="66" xfId="17" applyNumberFormat="1" applyFill="1" applyBorder="1" applyAlignment="1">
      <alignment horizontal="center"/>
    </xf>
    <xf numFmtId="186" fontId="107" fillId="10" borderId="66" xfId="17" applyNumberFormat="1" applyFill="1" applyBorder="1" applyAlignment="1">
      <alignment horizontal="left" indent="1"/>
    </xf>
    <xf numFmtId="166" fontId="118" fillId="10" borderId="66" xfId="0" applyNumberFormat="1" applyFont="1" applyFill="1" applyBorder="1" applyAlignment="1">
      <alignment horizontal="center" vertical="center"/>
    </xf>
    <xf numFmtId="164" fontId="118" fillId="10" borderId="66" xfId="0" applyNumberFormat="1" applyFont="1" applyFill="1" applyBorder="1" applyAlignment="1">
      <alignment horizontal="right" vertical="center"/>
    </xf>
    <xf numFmtId="0" fontId="132" fillId="0" borderId="0" xfId="0" applyFont="1"/>
    <xf numFmtId="14" fontId="33" fillId="0" borderId="0" xfId="17" applyNumberFormat="1" applyFont="1" applyAlignment="1">
      <alignment horizontal="center" vertical="center"/>
    </xf>
    <xf numFmtId="1" fontId="107" fillId="31" borderId="66" xfId="17" applyNumberFormat="1" applyFill="1" applyBorder="1" applyAlignment="1">
      <alignment horizontal="center"/>
    </xf>
    <xf numFmtId="0" fontId="103" fillId="0" borderId="0" xfId="0" applyFont="1" applyAlignment="1">
      <alignment horizontal="left" indent="2"/>
    </xf>
    <xf numFmtId="9" fontId="34" fillId="0" borderId="0" xfId="7" applyFont="1" applyAlignment="1">
      <alignment horizontal="center"/>
    </xf>
    <xf numFmtId="9" fontId="135" fillId="0" borderId="0" xfId="7" applyFont="1" applyAlignment="1">
      <alignment horizontal="center"/>
    </xf>
    <xf numFmtId="174" fontId="136" fillId="0" borderId="0" xfId="7" applyNumberFormat="1" applyFont="1" applyAlignment="1">
      <alignment horizontal="center"/>
    </xf>
    <xf numFmtId="168" fontId="137" fillId="0" borderId="0" xfId="0" applyNumberFormat="1" applyFont="1" applyAlignment="1">
      <alignment horizontal="left" indent="2"/>
    </xf>
    <xf numFmtId="168" fontId="28" fillId="0" borderId="65" xfId="0" applyNumberFormat="1" applyFont="1" applyBorder="1" applyAlignment="1">
      <alignment horizontal="center"/>
    </xf>
    <xf numFmtId="0" fontId="1" fillId="0" borderId="0" xfId="0" applyFont="1"/>
    <xf numFmtId="9" fontId="21" fillId="0" borderId="0" xfId="0" applyNumberFormat="1" applyFont="1"/>
    <xf numFmtId="0" fontId="21" fillId="0" borderId="0" xfId="0" applyFont="1" applyAlignment="1">
      <alignment horizontal="left" indent="1"/>
    </xf>
    <xf numFmtId="0" fontId="19" fillId="0" borderId="0" xfId="0" applyFont="1" applyAlignment="1">
      <alignment horizontal="right"/>
    </xf>
    <xf numFmtId="0" fontId="28" fillId="0" borderId="0" xfId="0" applyFont="1" applyAlignment="1">
      <alignment horizontal="right"/>
    </xf>
    <xf numFmtId="0" fontId="93" fillId="0" borderId="0" xfId="0" applyFont="1"/>
    <xf numFmtId="0" fontId="108" fillId="30" borderId="67" xfId="0" applyFont="1" applyFill="1" applyBorder="1" applyAlignment="1">
      <alignment vertical="center"/>
    </xf>
    <xf numFmtId="10" fontId="21" fillId="10" borderId="24" xfId="0" applyNumberFormat="1" applyFont="1" applyFill="1" applyBorder="1" applyAlignment="1">
      <alignment horizontal="center" vertical="center"/>
    </xf>
    <xf numFmtId="164" fontId="28" fillId="0" borderId="0" xfId="0" applyNumberFormat="1" applyFont="1"/>
    <xf numFmtId="176" fontId="34" fillId="0" borderId="0" xfId="7" applyNumberFormat="1" applyFont="1" applyAlignment="1">
      <alignment horizontal="left" vertical="center"/>
    </xf>
    <xf numFmtId="0" fontId="119" fillId="30" borderId="85" xfId="0" applyFont="1" applyFill="1" applyBorder="1" applyAlignment="1">
      <alignment horizontal="left" vertical="center" indent="2"/>
    </xf>
    <xf numFmtId="0" fontId="119" fillId="30" borderId="85" xfId="0" applyFont="1" applyFill="1" applyBorder="1" applyAlignment="1">
      <alignment horizontal="left" vertical="center" indent="3"/>
    </xf>
    <xf numFmtId="164" fontId="116" fillId="30" borderId="86" xfId="0" applyNumberFormat="1" applyFont="1" applyFill="1" applyBorder="1" applyAlignment="1">
      <alignment horizontal="right" vertical="center"/>
    </xf>
    <xf numFmtId="164" fontId="119" fillId="30" borderId="79" xfId="0" applyNumberFormat="1" applyFont="1" applyFill="1" applyBorder="1" applyAlignment="1">
      <alignment horizontal="right" vertical="center"/>
    </xf>
    <xf numFmtId="0" fontId="108" fillId="30" borderId="98" xfId="0" applyFont="1" applyFill="1" applyBorder="1" applyAlignment="1">
      <alignment horizontal="left" vertical="center" indent="1"/>
    </xf>
    <xf numFmtId="0" fontId="108" fillId="30" borderId="98" xfId="0" applyFont="1" applyFill="1" applyBorder="1" applyAlignment="1">
      <alignment vertical="center"/>
    </xf>
    <xf numFmtId="176" fontId="34" fillId="0" borderId="31" xfId="7" applyNumberFormat="1" applyFont="1" applyBorder="1" applyAlignment="1">
      <alignment horizontal="left"/>
    </xf>
    <xf numFmtId="9" fontId="34" fillId="0" borderId="31" xfId="7" applyFont="1" applyBorder="1" applyAlignment="1">
      <alignment horizontal="center"/>
    </xf>
    <xf numFmtId="164" fontId="108" fillId="30" borderId="73" xfId="0" applyNumberFormat="1" applyFont="1" applyFill="1" applyBorder="1" applyAlignment="1">
      <alignment horizontal="right" vertical="center"/>
    </xf>
    <xf numFmtId="164" fontId="108" fillId="30" borderId="74" xfId="0" applyNumberFormat="1" applyFont="1" applyFill="1" applyBorder="1" applyAlignment="1">
      <alignment horizontal="right" vertical="center"/>
    </xf>
    <xf numFmtId="0" fontId="140" fillId="0" borderId="0" xfId="0" applyFont="1" applyAlignment="1">
      <alignment horizontal="left" indent="1"/>
    </xf>
    <xf numFmtId="168" fontId="75" fillId="0" borderId="0" xfId="0" applyNumberFormat="1" applyFont="1"/>
    <xf numFmtId="14" fontId="30" fillId="17" borderId="7" xfId="0" applyNumberFormat="1" applyFont="1" applyFill="1" applyBorder="1" applyAlignment="1">
      <alignment vertical="center"/>
    </xf>
    <xf numFmtId="0" fontId="78" fillId="28" borderId="59" xfId="0" applyFont="1" applyFill="1" applyBorder="1" applyAlignment="1">
      <alignment horizontal="left" vertical="center" indent="2"/>
    </xf>
    <xf numFmtId="0" fontId="78" fillId="28" borderId="21" xfId="0" applyFont="1" applyFill="1" applyBorder="1" applyAlignment="1">
      <alignment horizontal="left" vertical="center" indent="2"/>
    </xf>
    <xf numFmtId="0" fontId="67" fillId="40" borderId="59" xfId="0" applyFont="1" applyFill="1" applyBorder="1" applyAlignment="1">
      <alignment horizontal="centerContinuous" vertical="center"/>
    </xf>
    <xf numFmtId="0" fontId="78" fillId="40" borderId="21" xfId="0" applyFont="1" applyFill="1" applyBorder="1" applyAlignment="1">
      <alignment horizontal="centerContinuous" vertical="center"/>
    </xf>
    <xf numFmtId="0" fontId="31" fillId="15" borderId="8" xfId="0" applyFont="1" applyFill="1" applyBorder="1" applyAlignment="1">
      <alignment horizontal="centerContinuous" vertical="center"/>
    </xf>
    <xf numFmtId="168" fontId="65" fillId="0" borderId="10" xfId="0" applyNumberFormat="1" applyFont="1" applyBorder="1" applyAlignment="1">
      <alignment horizontal="center" vertical="center" shrinkToFit="1"/>
    </xf>
    <xf numFmtId="168" fontId="46" fillId="0" borderId="0" xfId="0" applyNumberFormat="1" applyFont="1" applyAlignment="1">
      <alignment horizontal="center"/>
    </xf>
    <xf numFmtId="168" fontId="45" fillId="0" borderId="0" xfId="0" applyNumberFormat="1" applyFont="1" applyAlignment="1">
      <alignment horizontal="center"/>
    </xf>
    <xf numFmtId="14" fontId="4" fillId="17" borderId="99" xfId="0" applyNumberFormat="1" applyFont="1" applyFill="1" applyBorder="1" applyAlignment="1">
      <alignment horizontal="center"/>
    </xf>
    <xf numFmtId="14" fontId="4" fillId="17" borderId="64" xfId="0" applyNumberFormat="1" applyFont="1" applyFill="1" applyBorder="1" applyAlignment="1">
      <alignment horizontal="center"/>
    </xf>
    <xf numFmtId="14" fontId="4" fillId="17" borderId="63" xfId="0" applyNumberFormat="1" applyFont="1" applyFill="1" applyBorder="1" applyAlignment="1">
      <alignment horizontal="left" indent="1"/>
    </xf>
    <xf numFmtId="0" fontId="10" fillId="0" borderId="31" xfId="0" applyFont="1" applyBorder="1"/>
    <xf numFmtId="0" fontId="78" fillId="40" borderId="40" xfId="0" applyFont="1" applyFill="1" applyBorder="1" applyAlignment="1">
      <alignment horizontal="centerContinuous" vertical="center"/>
    </xf>
    <xf numFmtId="0" fontId="78" fillId="17" borderId="0" xfId="0" applyFont="1" applyFill="1" applyAlignment="1">
      <alignment horizontal="left" vertical="center" indent="2"/>
    </xf>
    <xf numFmtId="0" fontId="67" fillId="40" borderId="0" xfId="0" applyFont="1" applyFill="1" applyAlignment="1">
      <alignment horizontal="center" vertical="center" wrapText="1"/>
    </xf>
    <xf numFmtId="0" fontId="67" fillId="40" borderId="34" xfId="0" applyFont="1" applyFill="1" applyBorder="1" applyAlignment="1">
      <alignment horizontal="center" vertical="center"/>
    </xf>
    <xf numFmtId="0" fontId="83" fillId="22" borderId="0" xfId="0" applyFont="1" applyFill="1" applyAlignment="1">
      <alignment horizontal="center" vertical="top" shrinkToFit="1"/>
    </xf>
    <xf numFmtId="0" fontId="79" fillId="9" borderId="0" xfId="0" applyFont="1" applyFill="1" applyAlignment="1">
      <alignment horizontal="left" vertical="top" shrinkToFit="1"/>
    </xf>
    <xf numFmtId="0" fontId="66" fillId="15" borderId="0" xfId="0" applyFont="1" applyFill="1" applyAlignment="1">
      <alignment horizontal="center" vertical="top" shrinkToFit="1"/>
    </xf>
    <xf numFmtId="0" fontId="66" fillId="28" borderId="0" xfId="0" applyFont="1" applyFill="1" applyAlignment="1">
      <alignment horizontal="center" vertical="top" shrinkToFit="1"/>
    </xf>
    <xf numFmtId="0" fontId="67" fillId="40" borderId="0" xfId="0" applyFont="1" applyFill="1" applyAlignment="1">
      <alignment horizontal="center" vertical="center" shrinkToFit="1"/>
    </xf>
    <xf numFmtId="0" fontId="67" fillId="40" borderId="34" xfId="0" applyFont="1" applyFill="1" applyBorder="1" applyAlignment="1">
      <alignment horizontal="center" vertical="center" shrinkToFit="1"/>
    </xf>
    <xf numFmtId="168" fontId="65" fillId="0" borderId="20" xfId="0" applyNumberFormat="1" applyFont="1" applyBorder="1" applyAlignment="1">
      <alignment horizontal="right" vertical="center" shrinkToFit="1"/>
    </xf>
    <xf numFmtId="171" fontId="55" fillId="0" borderId="19" xfId="8" applyNumberFormat="1" applyFont="1" applyBorder="1" applyAlignment="1">
      <alignment horizontal="left" vertical="center" shrinkToFit="1"/>
    </xf>
    <xf numFmtId="168" fontId="69" fillId="0" borderId="100" xfId="0" applyNumberFormat="1" applyFont="1" applyBorder="1" applyAlignment="1">
      <alignment horizontal="center" vertical="center" shrinkToFit="1"/>
    </xf>
    <xf numFmtId="168" fontId="69" fillId="0" borderId="100" xfId="0" applyNumberFormat="1" applyFont="1" applyBorder="1" applyAlignment="1">
      <alignment horizontal="left" vertical="center" shrinkToFit="1"/>
    </xf>
    <xf numFmtId="170" fontId="69" fillId="0" borderId="100" xfId="0" applyNumberFormat="1" applyFont="1" applyBorder="1" applyAlignment="1">
      <alignment horizontal="center" vertical="center" shrinkToFit="1"/>
    </xf>
    <xf numFmtId="10" fontId="69" fillId="0" borderId="23" xfId="7" applyNumberFormat="1" applyFont="1" applyFill="1" applyBorder="1" applyAlignment="1">
      <alignment horizontal="center" vertical="center" shrinkToFit="1"/>
    </xf>
    <xf numFmtId="168" fontId="69" fillId="0" borderId="101" xfId="0" applyNumberFormat="1" applyFont="1" applyBorder="1" applyAlignment="1">
      <alignment horizontal="right" vertical="center" shrinkToFit="1"/>
    </xf>
    <xf numFmtId="168" fontId="69" fillId="0" borderId="100" xfId="0" applyNumberFormat="1" applyFont="1" applyBorder="1" applyAlignment="1">
      <alignment horizontal="right" vertical="center" shrinkToFit="1"/>
    </xf>
    <xf numFmtId="168" fontId="65" fillId="0" borderId="23" xfId="0" applyNumberFormat="1" applyFont="1" applyBorder="1" applyAlignment="1">
      <alignment horizontal="right" vertical="center" shrinkToFit="1"/>
    </xf>
    <xf numFmtId="168" fontId="84" fillId="0" borderId="102" xfId="0" applyNumberFormat="1" applyFont="1" applyBorder="1" applyAlignment="1">
      <alignment horizontal="right" vertical="center" shrinkToFit="1"/>
    </xf>
    <xf numFmtId="168" fontId="84" fillId="0" borderId="23" xfId="0" applyNumberFormat="1" applyFont="1" applyBorder="1" applyAlignment="1">
      <alignment horizontal="right" vertical="center" shrinkToFit="1"/>
    </xf>
    <xf numFmtId="168" fontId="84" fillId="0" borderId="100" xfId="0" applyNumberFormat="1" applyFont="1" applyBorder="1" applyAlignment="1">
      <alignment horizontal="right" vertical="center" shrinkToFit="1"/>
    </xf>
    <xf numFmtId="168" fontId="65" fillId="0" borderId="100" xfId="0" applyNumberFormat="1" applyFont="1" applyBorder="1" applyAlignment="1">
      <alignment horizontal="center" vertical="center" shrinkToFit="1"/>
    </xf>
    <xf numFmtId="168" fontId="65" fillId="0" borderId="27" xfId="0" applyNumberFormat="1" applyFont="1" applyBorder="1" applyAlignment="1">
      <alignment horizontal="right" vertical="center" shrinkToFit="1"/>
    </xf>
    <xf numFmtId="168" fontId="69" fillId="10" borderId="51" xfId="0" applyNumberFormat="1" applyFont="1" applyFill="1" applyBorder="1" applyAlignment="1">
      <alignment horizontal="right" vertical="center" shrinkToFit="1"/>
    </xf>
    <xf numFmtId="0" fontId="49" fillId="0" borderId="33" xfId="0" applyFont="1" applyBorder="1" applyAlignment="1">
      <alignment horizontal="left" indent="1"/>
    </xf>
    <xf numFmtId="168" fontId="49" fillId="0" borderId="34" xfId="16" applyNumberFormat="1" applyFont="1" applyBorder="1" applyAlignment="1">
      <alignment horizontal="center"/>
    </xf>
    <xf numFmtId="0" fontId="49" fillId="0" borderId="32" xfId="0" applyFont="1" applyBorder="1" applyAlignment="1">
      <alignment horizontal="left" indent="1"/>
    </xf>
    <xf numFmtId="168" fontId="49" fillId="0" borderId="41" xfId="16" applyNumberFormat="1" applyFont="1" applyBorder="1" applyAlignment="1">
      <alignment horizontal="center"/>
    </xf>
    <xf numFmtId="0" fontId="93" fillId="0" borderId="32" xfId="0" applyFont="1" applyBorder="1" applyAlignment="1">
      <alignment horizontal="left" indent="2"/>
    </xf>
    <xf numFmtId="168" fontId="19" fillId="0" borderId="41" xfId="16" applyNumberFormat="1" applyFont="1" applyBorder="1" applyAlignment="1">
      <alignment horizontal="center"/>
    </xf>
    <xf numFmtId="0" fontId="32" fillId="22" borderId="105" xfId="0" applyFont="1" applyFill="1" applyBorder="1" applyAlignment="1">
      <alignment horizontal="center"/>
    </xf>
    <xf numFmtId="0" fontId="96" fillId="22" borderId="106" xfId="0" applyFont="1" applyFill="1" applyBorder="1" applyAlignment="1">
      <alignment horizontal="center"/>
    </xf>
    <xf numFmtId="168" fontId="92" fillId="0" borderId="107" xfId="0" applyNumberFormat="1" applyFont="1" applyBorder="1" applyAlignment="1">
      <alignment horizontal="right"/>
    </xf>
    <xf numFmtId="168" fontId="97" fillId="0" borderId="108" xfId="0" applyNumberFormat="1" applyFont="1" applyBorder="1" applyAlignment="1">
      <alignment horizontal="right"/>
    </xf>
    <xf numFmtId="168" fontId="92" fillId="0" borderId="105" xfId="0" applyNumberFormat="1" applyFont="1" applyBorder="1" applyAlignment="1">
      <alignment horizontal="right"/>
    </xf>
    <xf numFmtId="168" fontId="97" fillId="0" borderId="106" xfId="0" applyNumberFormat="1" applyFont="1" applyBorder="1" applyAlignment="1">
      <alignment horizontal="right"/>
    </xf>
    <xf numFmtId="168" fontId="94" fillId="0" borderId="105" xfId="0" applyNumberFormat="1" applyFont="1" applyBorder="1" applyAlignment="1">
      <alignment horizontal="right"/>
    </xf>
    <xf numFmtId="168" fontId="96" fillId="0" borderId="106" xfId="0" applyNumberFormat="1" applyFont="1" applyBorder="1" applyAlignment="1">
      <alignment horizontal="right"/>
    </xf>
    <xf numFmtId="0" fontId="32" fillId="8" borderId="111" xfId="0" applyFont="1" applyFill="1" applyBorder="1" applyAlignment="1">
      <alignment horizontal="center"/>
    </xf>
    <xf numFmtId="0" fontId="96" fillId="8" borderId="112" xfId="0" applyFont="1" applyFill="1" applyBorder="1" applyAlignment="1">
      <alignment horizontal="center"/>
    </xf>
    <xf numFmtId="168" fontId="92" fillId="0" borderId="113" xfId="0" applyNumberFormat="1" applyFont="1" applyBorder="1" applyAlignment="1">
      <alignment horizontal="right"/>
    </xf>
    <xf numFmtId="168" fontId="97" fillId="0" borderId="114" xfId="0" applyNumberFormat="1" applyFont="1" applyBorder="1" applyAlignment="1">
      <alignment horizontal="right"/>
    </xf>
    <xf numFmtId="168" fontId="92" fillId="0" borderId="111" xfId="0" applyNumberFormat="1" applyFont="1" applyBorder="1" applyAlignment="1">
      <alignment horizontal="right"/>
    </xf>
    <xf numFmtId="168" fontId="97" fillId="0" borderId="112" xfId="0" applyNumberFormat="1" applyFont="1" applyBorder="1" applyAlignment="1">
      <alignment horizontal="right"/>
    </xf>
    <xf numFmtId="168" fontId="94" fillId="0" borderId="111" xfId="0" applyNumberFormat="1" applyFont="1" applyBorder="1" applyAlignment="1">
      <alignment horizontal="right"/>
    </xf>
    <xf numFmtId="168" fontId="96" fillId="0" borderId="112" xfId="0" applyNumberFormat="1" applyFont="1" applyBorder="1" applyAlignment="1">
      <alignment horizontal="right"/>
    </xf>
    <xf numFmtId="0" fontId="32" fillId="20" borderId="32" xfId="0" applyFont="1" applyFill="1" applyBorder="1" applyAlignment="1">
      <alignment horizontal="center"/>
    </xf>
    <xf numFmtId="0" fontId="33" fillId="20" borderId="41" xfId="0" applyFont="1" applyFill="1" applyBorder="1" applyAlignment="1">
      <alignment horizontal="center"/>
    </xf>
    <xf numFmtId="168" fontId="92" fillId="0" borderId="33" xfId="0" applyNumberFormat="1" applyFont="1" applyBorder="1" applyAlignment="1">
      <alignment horizontal="right"/>
    </xf>
    <xf numFmtId="168" fontId="97" fillId="0" borderId="34" xfId="0" applyNumberFormat="1" applyFont="1" applyBorder="1" applyAlignment="1">
      <alignment horizontal="right"/>
    </xf>
    <xf numFmtId="168" fontId="92" fillId="0" borderId="32" xfId="0" applyNumberFormat="1" applyFont="1" applyBorder="1" applyAlignment="1">
      <alignment horizontal="right"/>
    </xf>
    <xf numFmtId="168" fontId="97" fillId="0" borderId="41" xfId="0" applyNumberFormat="1" applyFont="1" applyBorder="1" applyAlignment="1">
      <alignment horizontal="right"/>
    </xf>
    <xf numFmtId="168" fontId="94" fillId="0" borderId="32" xfId="0" applyNumberFormat="1" applyFont="1" applyBorder="1" applyAlignment="1">
      <alignment horizontal="right"/>
    </xf>
    <xf numFmtId="168" fontId="96" fillId="0" borderId="41" xfId="0" applyNumberFormat="1" applyFont="1" applyBorder="1" applyAlignment="1">
      <alignment horizontal="right"/>
    </xf>
    <xf numFmtId="0" fontId="32" fillId="2" borderId="8" xfId="0" applyFont="1" applyFill="1" applyBorder="1" applyAlignment="1">
      <alignment horizontal="center"/>
    </xf>
    <xf numFmtId="0" fontId="33" fillId="2" borderId="15" xfId="0" applyFont="1" applyFill="1" applyBorder="1" applyAlignment="1">
      <alignment horizontal="center"/>
    </xf>
    <xf numFmtId="168" fontId="97" fillId="0" borderId="14" xfId="0" applyNumberFormat="1" applyFont="1" applyBorder="1" applyAlignment="1">
      <alignment horizontal="right"/>
    </xf>
    <xf numFmtId="168" fontId="97" fillId="0" borderId="15" xfId="0" applyNumberFormat="1" applyFont="1" applyBorder="1" applyAlignment="1">
      <alignment horizontal="right"/>
    </xf>
    <xf numFmtId="168" fontId="96" fillId="0" borderId="15" xfId="0" applyNumberFormat="1" applyFont="1" applyBorder="1" applyAlignment="1">
      <alignment horizontal="right"/>
    </xf>
    <xf numFmtId="0" fontId="115" fillId="41" borderId="40" xfId="0" applyFont="1" applyFill="1" applyBorder="1"/>
    <xf numFmtId="0" fontId="115" fillId="41" borderId="41" xfId="0" applyFont="1" applyFill="1" applyBorder="1" applyAlignment="1">
      <alignment horizontal="center"/>
    </xf>
    <xf numFmtId="0" fontId="19" fillId="0" borderId="0" xfId="0" applyFont="1"/>
    <xf numFmtId="168" fontId="141" fillId="14" borderId="52" xfId="0" applyNumberFormat="1" applyFont="1" applyFill="1" applyBorder="1" applyAlignment="1">
      <alignment horizontal="right" vertical="center" shrinkToFit="1"/>
    </xf>
    <xf numFmtId="172" fontId="89" fillId="0" borderId="0" xfId="16" applyNumberFormat="1" applyFont="1" applyAlignment="1">
      <alignment horizontal="left" indent="1"/>
    </xf>
    <xf numFmtId="167" fontId="1" fillId="0" borderId="66" xfId="2" applyFont="1" applyBorder="1"/>
    <xf numFmtId="167" fontId="1" fillId="0" borderId="70" xfId="2" applyFont="1" applyBorder="1"/>
    <xf numFmtId="172" fontId="1" fillId="0" borderId="70" xfId="16" applyNumberFormat="1" applyFont="1" applyBorder="1"/>
    <xf numFmtId="167" fontId="36" fillId="0" borderId="66" xfId="2" applyFont="1" applyBorder="1"/>
    <xf numFmtId="172" fontId="1" fillId="0" borderId="66" xfId="16" applyNumberFormat="1" applyFont="1" applyBorder="1"/>
    <xf numFmtId="172" fontId="36" fillId="0" borderId="66" xfId="16" applyNumberFormat="1" applyFont="1" applyBorder="1"/>
    <xf numFmtId="172" fontId="1" fillId="0" borderId="0" xfId="2" applyNumberFormat="1" applyFont="1"/>
    <xf numFmtId="9" fontId="36" fillId="0" borderId="66" xfId="2" applyNumberFormat="1" applyFont="1" applyBorder="1"/>
    <xf numFmtId="172" fontId="1" fillId="0" borderId="74" xfId="16" applyNumberFormat="1" applyFont="1" applyBorder="1"/>
    <xf numFmtId="172" fontId="1" fillId="0" borderId="66" xfId="2" applyNumberFormat="1" applyFont="1" applyBorder="1"/>
    <xf numFmtId="167" fontId="1" fillId="0" borderId="69" xfId="2" applyFont="1" applyBorder="1"/>
    <xf numFmtId="167" fontId="66" fillId="15" borderId="115" xfId="2" applyFont="1" applyFill="1" applyBorder="1" applyAlignment="1">
      <alignment horizontal="right"/>
    </xf>
    <xf numFmtId="172" fontId="66" fillId="15" borderId="115" xfId="16" applyNumberFormat="1" applyFont="1" applyFill="1" applyBorder="1" applyAlignment="1">
      <alignment horizontal="right"/>
    </xf>
    <xf numFmtId="167" fontId="66" fillId="42" borderId="0" xfId="2" applyFont="1" applyFill="1"/>
    <xf numFmtId="0" fontId="51" fillId="12" borderId="16" xfId="0" applyFont="1" applyFill="1" applyBorder="1" applyAlignment="1">
      <alignment horizontal="left" vertical="center" indent="2"/>
    </xf>
    <xf numFmtId="0" fontId="51" fillId="12" borderId="25" xfId="0" applyFont="1" applyFill="1" applyBorder="1" applyAlignment="1">
      <alignment horizontal="left" vertical="center" indent="2"/>
    </xf>
    <xf numFmtId="164" fontId="27" fillId="11" borderId="18" xfId="0" applyNumberFormat="1" applyFont="1" applyFill="1" applyBorder="1" applyAlignment="1">
      <alignment horizontal="right" vertical="center" indent="1"/>
    </xf>
    <xf numFmtId="0" fontId="51" fillId="12" borderId="19" xfId="0" applyFont="1" applyFill="1" applyBorder="1" applyAlignment="1">
      <alignment horizontal="left" vertical="center" indent="2"/>
    </xf>
    <xf numFmtId="0" fontId="99" fillId="13" borderId="19" xfId="0" applyFont="1" applyFill="1" applyBorder="1" applyAlignment="1">
      <alignment horizontal="left" vertical="center" indent="1"/>
    </xf>
    <xf numFmtId="0" fontId="99" fillId="13" borderId="28" xfId="0" applyFont="1" applyFill="1" applyBorder="1" applyAlignment="1">
      <alignment horizontal="left" vertical="center" indent="2"/>
    </xf>
    <xf numFmtId="164" fontId="100" fillId="13" borderId="27" xfId="0" applyNumberFormat="1" applyFont="1" applyFill="1" applyBorder="1" applyAlignment="1">
      <alignment horizontal="right" vertical="center"/>
    </xf>
    <xf numFmtId="0" fontId="101" fillId="13" borderId="116" xfId="0" applyFont="1" applyFill="1" applyBorder="1" applyAlignment="1">
      <alignment horizontal="left" vertical="center" indent="1"/>
    </xf>
    <xf numFmtId="0" fontId="51" fillId="13" borderId="117" xfId="0" applyFont="1" applyFill="1" applyBorder="1" applyAlignment="1">
      <alignment horizontal="left" vertical="center" indent="2"/>
    </xf>
    <xf numFmtId="0" fontId="28" fillId="13" borderId="118" xfId="0" applyFont="1" applyFill="1" applyBorder="1"/>
    <xf numFmtId="164" fontId="21" fillId="12" borderId="62" xfId="0" applyNumberFormat="1" applyFont="1" applyFill="1" applyBorder="1" applyAlignment="1">
      <alignment horizontal="right" vertical="center"/>
    </xf>
    <xf numFmtId="0" fontId="51" fillId="12" borderId="28" xfId="0" applyFont="1" applyFill="1" applyBorder="1" applyAlignment="1">
      <alignment horizontal="left" vertical="center" indent="2"/>
    </xf>
    <xf numFmtId="164" fontId="21" fillId="12" borderId="27" xfId="0" applyNumberFormat="1" applyFont="1" applyFill="1" applyBorder="1" applyAlignment="1">
      <alignment horizontal="right" vertical="center"/>
    </xf>
    <xf numFmtId="164" fontId="21" fillId="12" borderId="20" xfId="0" applyNumberFormat="1" applyFont="1" applyFill="1" applyBorder="1" applyAlignment="1">
      <alignment horizontal="right" vertical="center"/>
    </xf>
    <xf numFmtId="0" fontId="93" fillId="20" borderId="5" xfId="0" applyFont="1" applyFill="1" applyBorder="1" applyAlignment="1">
      <alignment horizontal="right" vertical="center" indent="1"/>
    </xf>
    <xf numFmtId="0" fontId="67" fillId="40" borderId="0" xfId="0" applyFont="1" applyFill="1" applyAlignment="1">
      <alignment horizontal="center" vertical="center"/>
    </xf>
    <xf numFmtId="168" fontId="84" fillId="0" borderId="17" xfId="0" applyNumberFormat="1" applyFont="1" applyBorder="1" applyAlignment="1">
      <alignment horizontal="right" vertical="center" shrinkToFit="1"/>
    </xf>
    <xf numFmtId="173" fontId="49" fillId="27" borderId="7" xfId="0" applyNumberFormat="1" applyFont="1" applyFill="1" applyBorder="1" applyAlignment="1">
      <alignment horizontal="center" shrinkToFit="1"/>
    </xf>
    <xf numFmtId="173" fontId="49" fillId="27" borderId="21" xfId="0" applyNumberFormat="1" applyFont="1" applyFill="1" applyBorder="1" applyAlignment="1">
      <alignment horizontal="center" shrinkToFit="1"/>
    </xf>
    <xf numFmtId="173" fontId="49" fillId="27" borderId="40" xfId="0" applyNumberFormat="1" applyFont="1" applyFill="1" applyBorder="1" applyAlignment="1">
      <alignment horizontal="center" shrinkToFit="1"/>
    </xf>
    <xf numFmtId="9" fontId="65" fillId="20" borderId="32" xfId="7" applyFont="1" applyFill="1" applyBorder="1" applyAlignment="1">
      <alignment horizontal="center" vertical="top" shrinkToFit="1"/>
    </xf>
    <xf numFmtId="9" fontId="65" fillId="20" borderId="31" xfId="7" applyFont="1" applyFill="1" applyBorder="1" applyAlignment="1">
      <alignment horizontal="center" vertical="top" shrinkToFit="1"/>
    </xf>
    <xf numFmtId="9" fontId="65" fillId="20" borderId="41" xfId="7" applyFont="1" applyFill="1" applyBorder="1" applyAlignment="1">
      <alignment horizontal="center" vertical="top" shrinkToFit="1"/>
    </xf>
    <xf numFmtId="0" fontId="40" fillId="3" borderId="0" xfId="0" applyFont="1" applyFill="1" applyAlignment="1">
      <alignment horizontal="center"/>
    </xf>
    <xf numFmtId="0" fontId="41" fillId="3" borderId="0" xfId="0" applyFont="1" applyFill="1" applyAlignment="1">
      <alignment vertical="top"/>
    </xf>
    <xf numFmtId="0" fontId="40" fillId="0" borderId="0" xfId="0" applyFont="1" applyAlignment="1">
      <alignment horizontal="center"/>
    </xf>
    <xf numFmtId="0" fontId="1" fillId="0" borderId="0" xfId="0" applyFont="1" applyAlignment="1">
      <alignment horizontal="left" indent="1"/>
    </xf>
    <xf numFmtId="0" fontId="1" fillId="0" borderId="0" xfId="0" applyFont="1" applyAlignment="1">
      <alignment horizontal="center"/>
    </xf>
    <xf numFmtId="0" fontId="10" fillId="3" borderId="0" xfId="0" applyFont="1" applyFill="1" applyAlignment="1">
      <alignment horizontal="right" indent="1"/>
    </xf>
    <xf numFmtId="0" fontId="0" fillId="3" borderId="0" xfId="0" applyFill="1" applyAlignment="1">
      <alignment horizontal="right" vertical="top" indent="1"/>
    </xf>
    <xf numFmtId="0" fontId="0" fillId="0" borderId="0" xfId="0" applyAlignment="1">
      <alignment horizontal="right" indent="1"/>
    </xf>
    <xf numFmtId="0" fontId="18" fillId="6" borderId="4" xfId="0" applyFont="1" applyFill="1" applyBorder="1" applyAlignment="1">
      <alignment horizontal="right" vertical="center" indent="2"/>
    </xf>
    <xf numFmtId="0" fontId="66" fillId="15" borderId="6" xfId="0" applyFont="1" applyFill="1" applyBorder="1" applyAlignment="1">
      <alignment horizontal="right" vertical="top" indent="1"/>
    </xf>
    <xf numFmtId="168" fontId="20" fillId="10" borderId="37" xfId="0" applyNumberFormat="1" applyFont="1" applyFill="1" applyBorder="1" applyAlignment="1">
      <alignment horizontal="right" vertical="center" indent="1"/>
    </xf>
    <xf numFmtId="168" fontId="20" fillId="10" borderId="12" xfId="0" applyNumberFormat="1" applyFont="1" applyFill="1" applyBorder="1" applyAlignment="1">
      <alignment horizontal="right" vertical="center" indent="1"/>
    </xf>
    <xf numFmtId="168" fontId="20" fillId="10" borderId="23" xfId="0" applyNumberFormat="1" applyFont="1" applyFill="1" applyBorder="1" applyAlignment="1">
      <alignment horizontal="right" vertical="center" indent="1"/>
    </xf>
    <xf numFmtId="0" fontId="10" fillId="0" borderId="0" xfId="0" applyFont="1" applyAlignment="1">
      <alignment horizontal="right" indent="1"/>
    </xf>
    <xf numFmtId="168" fontId="68" fillId="10" borderId="12" xfId="0" applyNumberFormat="1" applyFont="1" applyFill="1" applyBorder="1" applyAlignment="1">
      <alignment horizontal="right" vertical="center" indent="1"/>
    </xf>
    <xf numFmtId="168" fontId="20" fillId="10" borderId="11" xfId="0" applyNumberFormat="1" applyFont="1" applyFill="1" applyBorder="1" applyAlignment="1">
      <alignment horizontal="right" vertical="center" indent="1"/>
    </xf>
    <xf numFmtId="171" fontId="143" fillId="18" borderId="7" xfId="8" applyNumberFormat="1" applyFont="1" applyFill="1" applyBorder="1" applyAlignment="1">
      <alignment horizontal="left" vertical="center" indent="1"/>
    </xf>
    <xf numFmtId="168" fontId="144" fillId="18" borderId="8" xfId="0" applyNumberFormat="1" applyFont="1" applyFill="1" applyBorder="1" applyAlignment="1">
      <alignment horizontal="center" vertical="center"/>
    </xf>
    <xf numFmtId="168" fontId="145" fillId="18" borderId="11" xfId="0" applyNumberFormat="1" applyFont="1" applyFill="1" applyBorder="1" applyAlignment="1">
      <alignment horizontal="left" vertical="center" indent="1"/>
    </xf>
    <xf numFmtId="170" fontId="145" fillId="18" borderId="11" xfId="0" applyNumberFormat="1" applyFont="1" applyFill="1" applyBorder="1" applyAlignment="1">
      <alignment horizontal="center" vertical="center"/>
    </xf>
    <xf numFmtId="171" fontId="143" fillId="18" borderId="16" xfId="8" applyNumberFormat="1" applyFont="1" applyFill="1" applyBorder="1" applyAlignment="1">
      <alignment horizontal="left" vertical="center" indent="1"/>
    </xf>
    <xf numFmtId="168" fontId="144" fillId="18" borderId="36" xfId="0" applyNumberFormat="1" applyFont="1" applyFill="1" applyBorder="1" applyAlignment="1">
      <alignment horizontal="center" vertical="center"/>
    </xf>
    <xf numFmtId="168" fontId="145" fillId="18" borderId="37" xfId="0" applyNumberFormat="1" applyFont="1" applyFill="1" applyBorder="1" applyAlignment="1">
      <alignment horizontal="left" vertical="center" indent="1"/>
    </xf>
    <xf numFmtId="170" fontId="145" fillId="18" borderId="37" xfId="0" applyNumberFormat="1" applyFont="1" applyFill="1" applyBorder="1" applyAlignment="1">
      <alignment horizontal="center" vertical="center"/>
    </xf>
    <xf numFmtId="171" fontId="143" fillId="18" borderId="9" xfId="8" applyNumberFormat="1" applyFont="1" applyFill="1" applyBorder="1" applyAlignment="1">
      <alignment horizontal="left" vertical="center" indent="1"/>
    </xf>
    <xf numFmtId="168" fontId="144" fillId="18" borderId="39" xfId="0" applyNumberFormat="1" applyFont="1" applyFill="1" applyBorder="1" applyAlignment="1">
      <alignment horizontal="center" vertical="center"/>
    </xf>
    <xf numFmtId="168" fontId="145" fillId="18" borderId="12" xfId="0" applyNumberFormat="1" applyFont="1" applyFill="1" applyBorder="1" applyAlignment="1">
      <alignment horizontal="left" vertical="center" indent="1"/>
    </xf>
    <xf numFmtId="170" fontId="145" fillId="18" borderId="12" xfId="0" applyNumberFormat="1" applyFont="1" applyFill="1" applyBorder="1" applyAlignment="1">
      <alignment horizontal="center" vertical="center"/>
    </xf>
    <xf numFmtId="171" fontId="143" fillId="18" borderId="19" xfId="8" applyNumberFormat="1" applyFont="1" applyFill="1" applyBorder="1" applyAlignment="1">
      <alignment horizontal="left" vertical="center" indent="1"/>
    </xf>
    <xf numFmtId="168" fontId="144" fillId="18" borderId="38" xfId="0" applyNumberFormat="1" applyFont="1" applyFill="1" applyBorder="1" applyAlignment="1">
      <alignment horizontal="center" vertical="center"/>
    </xf>
    <xf numFmtId="168" fontId="145" fillId="18" borderId="23" xfId="0" applyNumberFormat="1" applyFont="1" applyFill="1" applyBorder="1" applyAlignment="1">
      <alignment horizontal="left" vertical="center" indent="1"/>
    </xf>
    <xf numFmtId="170" fontId="145" fillId="18" borderId="23" xfId="0" applyNumberFormat="1" applyFont="1" applyFill="1" applyBorder="1" applyAlignment="1">
      <alignment horizontal="center" vertical="center"/>
    </xf>
    <xf numFmtId="14" fontId="22" fillId="18" borderId="61" xfId="0" applyNumberFormat="1" applyFont="1" applyFill="1" applyBorder="1" applyAlignment="1">
      <alignment horizontal="right" vertical="center" indent="1"/>
    </xf>
    <xf numFmtId="165" fontId="22" fillId="18" borderId="20" xfId="0" applyNumberFormat="1" applyFont="1" applyFill="1" applyBorder="1" applyAlignment="1">
      <alignment horizontal="right" vertical="center" indent="1"/>
    </xf>
    <xf numFmtId="165" fontId="20" fillId="18" borderId="27" xfId="0" applyNumberFormat="1" applyFont="1" applyFill="1" applyBorder="1" applyAlignment="1">
      <alignment horizontal="right" vertical="center" indent="1"/>
    </xf>
    <xf numFmtId="168" fontId="145" fillId="18" borderId="37" xfId="0" applyNumberFormat="1" applyFont="1" applyFill="1" applyBorder="1" applyAlignment="1">
      <alignment horizontal="center" vertical="center"/>
    </xf>
    <xf numFmtId="0" fontId="66" fillId="15" borderId="32" xfId="0" applyFont="1" applyFill="1" applyBorder="1" applyAlignment="1">
      <alignment horizontal="center" vertical="top"/>
    </xf>
    <xf numFmtId="0" fontId="66" fillId="15" borderId="41" xfId="0" applyFont="1" applyFill="1" applyBorder="1" applyAlignment="1">
      <alignment horizontal="center" vertical="top"/>
    </xf>
    <xf numFmtId="188" fontId="22" fillId="11" borderId="20" xfId="0" applyNumberFormat="1" applyFont="1" applyFill="1" applyBorder="1" applyAlignment="1">
      <alignment horizontal="right" vertical="center" indent="1"/>
    </xf>
    <xf numFmtId="0" fontId="21" fillId="10" borderId="9" xfId="0" applyFont="1" applyFill="1" applyBorder="1" applyAlignment="1">
      <alignment horizontal="left" vertical="center" indent="1"/>
    </xf>
    <xf numFmtId="0" fontId="18" fillId="22" borderId="4" xfId="0" applyFont="1" applyFill="1" applyBorder="1" applyAlignment="1">
      <alignment horizontal="left" vertical="center" indent="1"/>
    </xf>
    <xf numFmtId="164" fontId="147" fillId="11" borderId="20" xfId="0" applyNumberFormat="1" applyFont="1" applyFill="1" applyBorder="1" applyAlignment="1">
      <alignment horizontal="right" vertical="center" indent="1"/>
    </xf>
    <xf numFmtId="0" fontId="101" fillId="12" borderId="119" xfId="0" applyFont="1" applyFill="1" applyBorder="1" applyAlignment="1">
      <alignment horizontal="left" vertical="center" indent="1"/>
    </xf>
    <xf numFmtId="9" fontId="51" fillId="12" borderId="120" xfId="7" applyFont="1" applyFill="1" applyBorder="1" applyAlignment="1">
      <alignment horizontal="left" vertical="center" indent="1"/>
    </xf>
    <xf numFmtId="0" fontId="51" fillId="12" borderId="119" xfId="0" applyFont="1" applyFill="1" applyBorder="1" applyAlignment="1">
      <alignment horizontal="left" vertical="center" indent="2"/>
    </xf>
    <xf numFmtId="164" fontId="19" fillId="12" borderId="122" xfId="0" applyNumberFormat="1" applyFont="1" applyFill="1" applyBorder="1" applyAlignment="1">
      <alignment horizontal="right" vertical="center"/>
    </xf>
    <xf numFmtId="0" fontId="60" fillId="12" borderId="3" xfId="0" applyFont="1" applyFill="1" applyBorder="1" applyAlignment="1">
      <alignment horizontal="left" vertical="center" indent="3"/>
    </xf>
    <xf numFmtId="0" fontId="60" fillId="12" borderId="4" xfId="0" applyFont="1" applyFill="1" applyBorder="1" applyAlignment="1">
      <alignment horizontal="left" vertical="center" indent="3"/>
    </xf>
    <xf numFmtId="164" fontId="61" fillId="12" borderId="52" xfId="0" applyNumberFormat="1" applyFont="1" applyFill="1" applyBorder="1" applyAlignment="1">
      <alignment horizontal="right" vertical="center"/>
    </xf>
    <xf numFmtId="164" fontId="53" fillId="11" borderId="18" xfId="0" applyNumberFormat="1" applyFont="1" applyFill="1" applyBorder="1" applyAlignment="1">
      <alignment horizontal="right" vertical="center" indent="1"/>
    </xf>
    <xf numFmtId="0" fontId="18" fillId="22" borderId="6" xfId="0" applyFont="1" applyFill="1" applyBorder="1" applyAlignment="1">
      <alignment horizontal="right" vertical="center" indent="1"/>
    </xf>
    <xf numFmtId="0" fontId="0" fillId="0" borderId="0" xfId="0" applyAlignment="1">
      <alignment vertical="top" shrinkToFit="1"/>
    </xf>
    <xf numFmtId="0" fontId="81" fillId="19" borderId="0" xfId="0" applyFont="1" applyFill="1" applyAlignment="1">
      <alignment horizontal="center" vertical="top" shrinkToFit="1"/>
    </xf>
    <xf numFmtId="0" fontId="35" fillId="19" borderId="0" xfId="0" applyFont="1" applyFill="1" applyAlignment="1">
      <alignment horizontal="center"/>
    </xf>
    <xf numFmtId="168" fontId="4" fillId="3" borderId="0" xfId="0" applyNumberFormat="1" applyFont="1" applyFill="1"/>
    <xf numFmtId="14" fontId="148" fillId="3" borderId="0" xfId="0" applyNumberFormat="1" applyFont="1" applyFill="1" applyAlignment="1">
      <alignment horizontal="left" vertical="top" indent="1"/>
    </xf>
    <xf numFmtId="189" fontId="41" fillId="0" borderId="0" xfId="0" applyNumberFormat="1" applyFont="1" applyAlignment="1">
      <alignment vertical="top"/>
    </xf>
    <xf numFmtId="0" fontId="41" fillId="0" borderId="0" xfId="0" applyFont="1" applyAlignment="1">
      <alignment vertical="top"/>
    </xf>
    <xf numFmtId="168" fontId="41" fillId="0" borderId="0" xfId="0" applyNumberFormat="1" applyFont="1" applyAlignment="1">
      <alignment vertical="top"/>
    </xf>
    <xf numFmtId="0" fontId="4" fillId="28" borderId="48" xfId="0" applyFont="1" applyFill="1" applyBorder="1" applyAlignment="1">
      <alignment horizontal="center" shrinkToFit="1"/>
    </xf>
    <xf numFmtId="168" fontId="69" fillId="10" borderId="123" xfId="0" applyNumberFormat="1" applyFont="1" applyFill="1" applyBorder="1" applyAlignment="1">
      <alignment horizontal="right" vertical="center" shrinkToFit="1"/>
    </xf>
    <xf numFmtId="168" fontId="69" fillId="10" borderId="124" xfId="0" applyNumberFormat="1" applyFont="1" applyFill="1" applyBorder="1" applyAlignment="1">
      <alignment horizontal="right" vertical="center" shrinkToFit="1"/>
    </xf>
    <xf numFmtId="168" fontId="69" fillId="10" borderId="126" xfId="0" applyNumberFormat="1" applyFont="1" applyFill="1" applyBorder="1" applyAlignment="1">
      <alignment horizontal="right" vertical="center" shrinkToFit="1"/>
    </xf>
    <xf numFmtId="168" fontId="95" fillId="26" borderId="125" xfId="0" applyNumberFormat="1" applyFont="1" applyFill="1" applyBorder="1" applyAlignment="1">
      <alignment horizontal="center" vertical="center" shrinkToFit="1"/>
    </xf>
    <xf numFmtId="168" fontId="0" fillId="26" borderId="125" xfId="0" applyNumberFormat="1" applyFill="1" applyBorder="1" applyAlignment="1">
      <alignment horizontal="center" vertical="center" shrinkToFit="1"/>
    </xf>
    <xf numFmtId="0" fontId="4" fillId="28" borderId="47" xfId="0" applyFont="1" applyFill="1" applyBorder="1" applyAlignment="1">
      <alignment horizontal="centerContinuous" shrinkToFit="1"/>
    </xf>
    <xf numFmtId="0" fontId="4" fillId="28" borderId="47" xfId="0" applyFont="1" applyFill="1" applyBorder="1" applyAlignment="1">
      <alignment horizontal="center" shrinkToFit="1"/>
    </xf>
    <xf numFmtId="0" fontId="4" fillId="17" borderId="47" xfId="0" applyFont="1" applyFill="1" applyBorder="1" applyAlignment="1">
      <alignment horizontal="center" shrinkToFit="1"/>
    </xf>
    <xf numFmtId="0" fontId="4" fillId="39" borderId="47" xfId="0" applyFont="1" applyFill="1" applyBorder="1" applyAlignment="1">
      <alignment horizontal="center" shrinkToFit="1"/>
    </xf>
    <xf numFmtId="0" fontId="115" fillId="28" borderId="47" xfId="0" applyFont="1" applyFill="1" applyBorder="1" applyAlignment="1">
      <alignment horizontal="center" shrinkToFit="1"/>
    </xf>
    <xf numFmtId="0" fontId="138" fillId="39" borderId="47" xfId="0" applyFont="1" applyFill="1" applyBorder="1" applyAlignment="1">
      <alignment horizontal="center" shrinkToFit="1"/>
    </xf>
    <xf numFmtId="0" fontId="4" fillId="41" borderId="47" xfId="0" applyFont="1" applyFill="1" applyBorder="1" applyAlignment="1">
      <alignment horizontal="center" shrinkToFit="1"/>
    </xf>
    <xf numFmtId="187" fontId="4" fillId="41" borderId="47" xfId="0" applyNumberFormat="1" applyFont="1" applyFill="1" applyBorder="1" applyAlignment="1">
      <alignment horizontal="center" shrinkToFit="1"/>
    </xf>
    <xf numFmtId="187" fontId="4" fillId="17" borderId="47" xfId="0" applyNumberFormat="1" applyFont="1" applyFill="1" applyBorder="1" applyAlignment="1">
      <alignment horizontal="center" shrinkToFit="1"/>
    </xf>
    <xf numFmtId="0" fontId="4" fillId="17" borderId="48" xfId="0" applyFont="1" applyFill="1" applyBorder="1" applyAlignment="1">
      <alignment horizontal="center" vertical="top" shrinkToFit="1"/>
    </xf>
    <xf numFmtId="0" fontId="4" fillId="17" borderId="48" xfId="0" applyFont="1" applyFill="1" applyBorder="1" applyAlignment="1">
      <alignment horizontal="center" vertical="center" shrinkToFit="1"/>
    </xf>
    <xf numFmtId="0" fontId="4" fillId="39" borderId="48" xfId="0" applyFont="1" applyFill="1" applyBorder="1" applyAlignment="1">
      <alignment horizontal="center" vertical="top" shrinkToFit="1"/>
    </xf>
    <xf numFmtId="0" fontId="115" fillId="28" borderId="48" xfId="0" applyFont="1" applyFill="1" applyBorder="1" applyAlignment="1">
      <alignment horizontal="center" vertical="top" shrinkToFit="1"/>
    </xf>
    <xf numFmtId="0" fontId="139" fillId="39" borderId="48" xfId="0" applyFont="1" applyFill="1" applyBorder="1" applyAlignment="1">
      <alignment horizontal="center" vertical="top" shrinkToFit="1"/>
    </xf>
    <xf numFmtId="9" fontId="4" fillId="41" borderId="48" xfId="0" applyNumberFormat="1" applyFont="1" applyFill="1" applyBorder="1" applyAlignment="1">
      <alignment horizontal="center" vertical="top" shrinkToFit="1"/>
    </xf>
    <xf numFmtId="9" fontId="4" fillId="17" borderId="48" xfId="0" applyNumberFormat="1" applyFont="1" applyFill="1" applyBorder="1" applyAlignment="1">
      <alignment horizontal="center" vertical="top" shrinkToFit="1"/>
    </xf>
    <xf numFmtId="168" fontId="69" fillId="10" borderId="126" xfId="0" applyNumberFormat="1" applyFont="1" applyFill="1" applyBorder="1" applyAlignment="1">
      <alignment horizontal="center" vertical="center" shrinkToFit="1"/>
    </xf>
    <xf numFmtId="190" fontId="69" fillId="10" borderId="126" xfId="0" applyNumberFormat="1" applyFont="1" applyFill="1" applyBorder="1" applyAlignment="1">
      <alignment horizontal="right" vertical="center" shrinkToFit="1"/>
    </xf>
    <xf numFmtId="168" fontId="65" fillId="10" borderId="126" xfId="0" applyNumberFormat="1" applyFont="1" applyFill="1" applyBorder="1" applyAlignment="1">
      <alignment horizontal="right" vertical="center" shrinkToFit="1"/>
    </xf>
    <xf numFmtId="168" fontId="20" fillId="10" borderId="126" xfId="0" applyNumberFormat="1" applyFont="1" applyFill="1" applyBorder="1" applyAlignment="1">
      <alignment horizontal="right" vertical="center" shrinkToFit="1"/>
    </xf>
    <xf numFmtId="168" fontId="69" fillId="10" borderId="123" xfId="0" applyNumberFormat="1" applyFont="1" applyFill="1" applyBorder="1" applyAlignment="1">
      <alignment horizontal="center" vertical="center" shrinkToFit="1"/>
    </xf>
    <xf numFmtId="190" fontId="69" fillId="10" borderId="123" xfId="0" applyNumberFormat="1" applyFont="1" applyFill="1" applyBorder="1" applyAlignment="1">
      <alignment horizontal="right" vertical="center" shrinkToFit="1"/>
    </xf>
    <xf numFmtId="168" fontId="65" fillId="10" borderId="123" xfId="0" applyNumberFormat="1" applyFont="1" applyFill="1" applyBorder="1" applyAlignment="1">
      <alignment horizontal="right" vertical="center" shrinkToFit="1"/>
    </xf>
    <xf numFmtId="168" fontId="20" fillId="10" borderId="123" xfId="0" applyNumberFormat="1" applyFont="1" applyFill="1" applyBorder="1" applyAlignment="1">
      <alignment horizontal="right" vertical="center" shrinkToFit="1"/>
    </xf>
    <xf numFmtId="168" fontId="69" fillId="10" borderId="124" xfId="0" applyNumberFormat="1" applyFont="1" applyFill="1" applyBorder="1" applyAlignment="1">
      <alignment horizontal="center" vertical="center" shrinkToFit="1"/>
    </xf>
    <xf numFmtId="190" fontId="69" fillId="10" borderId="124" xfId="0" applyNumberFormat="1" applyFont="1" applyFill="1" applyBorder="1" applyAlignment="1">
      <alignment horizontal="right" vertical="center" shrinkToFit="1"/>
    </xf>
    <xf numFmtId="168" fontId="65" fillId="10" borderId="124" xfId="0" applyNumberFormat="1" applyFont="1" applyFill="1" applyBorder="1" applyAlignment="1">
      <alignment horizontal="right" vertical="center" shrinkToFit="1"/>
    </xf>
    <xf numFmtId="9" fontId="149" fillId="44" borderId="48" xfId="0" applyNumberFormat="1" applyFont="1" applyFill="1" applyBorder="1" applyAlignment="1">
      <alignment horizontal="center" vertical="top" shrinkToFit="1"/>
    </xf>
    <xf numFmtId="187" fontId="4" fillId="41" borderId="76" xfId="0" applyNumberFormat="1" applyFont="1" applyFill="1" applyBorder="1" applyAlignment="1">
      <alignment horizontal="center" shrinkToFit="1"/>
    </xf>
    <xf numFmtId="9" fontId="4" fillId="41" borderId="70" xfId="0" applyNumberFormat="1" applyFont="1" applyFill="1" applyBorder="1" applyAlignment="1">
      <alignment horizontal="center" vertical="top" shrinkToFit="1"/>
    </xf>
    <xf numFmtId="187" fontId="4" fillId="28" borderId="76" xfId="0" applyNumberFormat="1" applyFont="1" applyFill="1" applyBorder="1" applyAlignment="1">
      <alignment horizontal="center" shrinkToFit="1"/>
    </xf>
    <xf numFmtId="9" fontId="4" fillId="28" borderId="70" xfId="0" applyNumberFormat="1" applyFont="1" applyFill="1" applyBorder="1" applyAlignment="1">
      <alignment horizontal="center" vertical="top" shrinkToFit="1"/>
    </xf>
    <xf numFmtId="168" fontId="26" fillId="10" borderId="126" xfId="0" applyNumberFormat="1" applyFont="1" applyFill="1" applyBorder="1" applyAlignment="1">
      <alignment horizontal="right" vertical="center" shrinkToFit="1"/>
    </xf>
    <xf numFmtId="189" fontId="0" fillId="0" borderId="0" xfId="0" applyNumberFormat="1" applyAlignment="1">
      <alignment vertical="top"/>
    </xf>
    <xf numFmtId="0" fontId="10" fillId="2" borderId="0" xfId="0" applyFont="1" applyFill="1" applyAlignment="1">
      <alignment horizontal="center"/>
    </xf>
    <xf numFmtId="0" fontId="10" fillId="2" borderId="0" xfId="0" applyFont="1" applyFill="1"/>
    <xf numFmtId="0" fontId="89" fillId="2" borderId="0" xfId="12" applyFont="1" applyFill="1"/>
    <xf numFmtId="0" fontId="89" fillId="2" borderId="0" xfId="12" applyFont="1" applyFill="1" applyAlignment="1">
      <alignment horizontal="left" indent="1"/>
    </xf>
    <xf numFmtId="168" fontId="41" fillId="2" borderId="0" xfId="0" applyNumberFormat="1" applyFont="1" applyFill="1" applyAlignment="1">
      <alignment vertical="top"/>
    </xf>
    <xf numFmtId="186" fontId="69" fillId="10" borderId="126" xfId="0" applyNumberFormat="1" applyFont="1" applyFill="1" applyBorder="1" applyAlignment="1">
      <alignment horizontal="left" vertical="center" indent="1" shrinkToFit="1"/>
    </xf>
    <xf numFmtId="186" fontId="69" fillId="10" borderId="123" xfId="0" applyNumberFormat="1" applyFont="1" applyFill="1" applyBorder="1" applyAlignment="1">
      <alignment horizontal="left" vertical="center" indent="1" shrinkToFit="1"/>
    </xf>
    <xf numFmtId="186" fontId="69" fillId="10" borderId="124" xfId="0" applyNumberFormat="1" applyFont="1" applyFill="1" applyBorder="1" applyAlignment="1">
      <alignment horizontal="left" vertical="center" indent="1" shrinkToFit="1"/>
    </xf>
    <xf numFmtId="168" fontId="69" fillId="10" borderId="129" xfId="0" applyNumberFormat="1" applyFont="1" applyFill="1" applyBorder="1" applyAlignment="1">
      <alignment horizontal="left" vertical="center" indent="1" shrinkToFit="1"/>
    </xf>
    <xf numFmtId="168" fontId="69" fillId="10" borderId="130" xfId="0" applyNumberFormat="1" applyFont="1" applyFill="1" applyBorder="1" applyAlignment="1">
      <alignment horizontal="right" vertical="center" shrinkToFit="1"/>
    </xf>
    <xf numFmtId="168" fontId="69" fillId="10" borderId="131" xfId="0" applyNumberFormat="1" applyFont="1" applyFill="1" applyBorder="1" applyAlignment="1">
      <alignment horizontal="left" vertical="center" indent="1" shrinkToFit="1"/>
    </xf>
    <xf numFmtId="168" fontId="69" fillId="10" borderId="132" xfId="0" applyNumberFormat="1" applyFont="1" applyFill="1" applyBorder="1" applyAlignment="1">
      <alignment horizontal="right" vertical="center" shrinkToFit="1"/>
    </xf>
    <xf numFmtId="168" fontId="69" fillId="10" borderId="133" xfId="0" applyNumberFormat="1" applyFont="1" applyFill="1" applyBorder="1" applyAlignment="1">
      <alignment horizontal="left" vertical="center" indent="1" shrinkToFit="1"/>
    </xf>
    <xf numFmtId="168" fontId="69" fillId="10" borderId="134" xfId="0" applyNumberFormat="1" applyFont="1" applyFill="1" applyBorder="1" applyAlignment="1">
      <alignment horizontal="left" vertical="center" indent="1" shrinkToFit="1"/>
    </xf>
    <xf numFmtId="186" fontId="69" fillId="10" borderId="135" xfId="0" applyNumberFormat="1" applyFont="1" applyFill="1" applyBorder="1" applyAlignment="1">
      <alignment horizontal="left" vertical="center" indent="1" shrinkToFit="1"/>
    </xf>
    <xf numFmtId="168" fontId="69" fillId="10" borderId="135" xfId="0" applyNumberFormat="1" applyFont="1" applyFill="1" applyBorder="1" applyAlignment="1">
      <alignment horizontal="right" vertical="center" shrinkToFit="1"/>
    </xf>
    <xf numFmtId="168" fontId="65" fillId="10" borderId="135" xfId="0" applyNumberFormat="1" applyFont="1" applyFill="1" applyBorder="1" applyAlignment="1">
      <alignment horizontal="right" vertical="center" shrinkToFit="1"/>
    </xf>
    <xf numFmtId="168" fontId="69" fillId="10" borderId="136" xfId="0" applyNumberFormat="1" applyFont="1" applyFill="1" applyBorder="1" applyAlignment="1">
      <alignment horizontal="right" vertical="center" shrinkToFit="1"/>
    </xf>
    <xf numFmtId="0" fontId="4" fillId="28" borderId="40" xfId="0" applyFont="1" applyFill="1" applyBorder="1" applyAlignment="1">
      <alignment horizontal="center"/>
    </xf>
    <xf numFmtId="0" fontId="4" fillId="28" borderId="34" xfId="0" applyFont="1" applyFill="1" applyBorder="1" applyAlignment="1">
      <alignment horizontal="center" vertical="top" shrinkToFit="1"/>
    </xf>
    <xf numFmtId="0" fontId="4" fillId="15" borderId="8" xfId="0" applyFont="1" applyFill="1" applyBorder="1" applyAlignment="1">
      <alignment horizontal="center"/>
    </xf>
    <xf numFmtId="0" fontId="4" fillId="15" borderId="14" xfId="0" applyFont="1" applyFill="1" applyBorder="1" applyAlignment="1">
      <alignment horizontal="center" vertical="top"/>
    </xf>
    <xf numFmtId="168" fontId="0" fillId="26" borderId="6" xfId="0" applyNumberFormat="1" applyFill="1" applyBorder="1" applyAlignment="1">
      <alignment horizontal="center" vertical="center" shrinkToFit="1"/>
    </xf>
    <xf numFmtId="0" fontId="4" fillId="15" borderId="40" xfId="0" applyFont="1" applyFill="1" applyBorder="1" applyAlignment="1">
      <alignment horizontal="center"/>
    </xf>
    <xf numFmtId="0" fontId="4" fillId="15" borderId="6" xfId="0" applyFont="1" applyFill="1" applyBorder="1" applyAlignment="1">
      <alignment horizontal="center" vertical="center"/>
    </xf>
    <xf numFmtId="168" fontId="95" fillId="26" borderId="6" xfId="0" applyNumberFormat="1" applyFont="1" applyFill="1" applyBorder="1" applyAlignment="1">
      <alignment horizontal="left" vertical="center" indent="1" shrinkToFit="1"/>
    </xf>
    <xf numFmtId="0" fontId="42" fillId="3" borderId="0" xfId="0" applyFont="1" applyFill="1" applyAlignment="1">
      <alignment horizontal="center"/>
    </xf>
    <xf numFmtId="0" fontId="41" fillId="0" borderId="0" xfId="0" applyFont="1" applyAlignment="1">
      <alignment horizontal="center"/>
    </xf>
    <xf numFmtId="0" fontId="150" fillId="17" borderId="4" xfId="0" applyFont="1" applyFill="1" applyBorder="1" applyAlignment="1">
      <alignment horizontal="center" vertical="center"/>
    </xf>
    <xf numFmtId="0" fontId="151" fillId="9" borderId="4" xfId="0" applyFont="1" applyFill="1" applyBorder="1" applyAlignment="1">
      <alignment horizontal="center" vertical="top"/>
    </xf>
    <xf numFmtId="166" fontId="40" fillId="10" borderId="0" xfId="8" applyNumberFormat="1" applyFont="1" applyFill="1" applyAlignment="1">
      <alignment horizontal="center" vertical="center"/>
    </xf>
    <xf numFmtId="166" fontId="40" fillId="10" borderId="25" xfId="8" applyNumberFormat="1" applyFont="1" applyFill="1" applyBorder="1" applyAlignment="1">
      <alignment horizontal="center" vertical="center"/>
    </xf>
    <xf numFmtId="166" fontId="40" fillId="10" borderId="24" xfId="8" applyNumberFormat="1" applyFont="1" applyFill="1" applyBorder="1" applyAlignment="1">
      <alignment horizontal="center" vertical="center"/>
    </xf>
    <xf numFmtId="166" fontId="40" fillId="10" borderId="28" xfId="8" applyNumberFormat="1" applyFont="1" applyFill="1" applyBorder="1" applyAlignment="1">
      <alignment horizontal="center" vertical="center"/>
    </xf>
    <xf numFmtId="168" fontId="65" fillId="0" borderId="22" xfId="0" applyNumberFormat="1" applyFont="1" applyBorder="1" applyAlignment="1">
      <alignment horizontal="center" vertical="center" shrinkToFit="1"/>
    </xf>
    <xf numFmtId="0" fontId="66" fillId="28" borderId="31" xfId="0" applyFont="1" applyFill="1" applyBorder="1" applyAlignment="1">
      <alignment horizontal="center" vertical="top" shrinkToFit="1"/>
    </xf>
    <xf numFmtId="0" fontId="0" fillId="0" borderId="31" xfId="0" applyBorder="1"/>
    <xf numFmtId="0" fontId="83" fillId="22" borderId="6" xfId="0" applyFont="1" applyFill="1" applyBorder="1" applyAlignment="1">
      <alignment horizontal="center" vertical="top" shrinkToFit="1"/>
    </xf>
    <xf numFmtId="0" fontId="79" fillId="9" borderId="6" xfId="0" applyFont="1" applyFill="1" applyBorder="1" applyAlignment="1">
      <alignment horizontal="left" vertical="top" shrinkToFit="1"/>
    </xf>
    <xf numFmtId="173" fontId="49" fillId="27" borderId="8" xfId="0" applyNumberFormat="1" applyFont="1" applyFill="1" applyBorder="1" applyAlignment="1">
      <alignment horizontal="center" shrinkToFit="1"/>
    </xf>
    <xf numFmtId="9" fontId="65" fillId="20" borderId="15" xfId="7" applyFont="1" applyFill="1" applyBorder="1" applyAlignment="1">
      <alignment horizontal="center" vertical="top" shrinkToFit="1"/>
    </xf>
    <xf numFmtId="0" fontId="141" fillId="46" borderId="6" xfId="0" applyFont="1" applyFill="1" applyBorder="1" applyAlignment="1">
      <alignment horizontal="center" vertical="center" shrinkToFit="1"/>
    </xf>
    <xf numFmtId="0" fontId="67" fillId="45" borderId="32" xfId="0" applyFont="1" applyFill="1" applyBorder="1" applyAlignment="1">
      <alignment horizontal="center" vertical="top" shrinkToFit="1"/>
    </xf>
    <xf numFmtId="0" fontId="67" fillId="45" borderId="41" xfId="0" applyFont="1" applyFill="1" applyBorder="1" applyAlignment="1">
      <alignment horizontal="center" vertical="top" shrinkToFit="1"/>
    </xf>
    <xf numFmtId="0" fontId="21" fillId="10" borderId="16" xfId="0" applyFont="1" applyFill="1" applyBorder="1" applyAlignment="1">
      <alignment horizontal="left" vertical="center" indent="2"/>
    </xf>
    <xf numFmtId="0" fontId="146" fillId="10" borderId="9" xfId="0" applyFont="1" applyFill="1" applyBorder="1" applyAlignment="1">
      <alignment horizontal="left" vertical="center" indent="1"/>
    </xf>
    <xf numFmtId="0" fontId="19" fillId="10" borderId="9" xfId="0" applyFont="1" applyFill="1" applyBorder="1" applyAlignment="1">
      <alignment horizontal="left" vertical="center" indent="1"/>
    </xf>
    <xf numFmtId="164" fontId="145" fillId="11" borderId="20" xfId="0" applyNumberFormat="1" applyFont="1" applyFill="1" applyBorder="1" applyAlignment="1">
      <alignment horizontal="right" vertical="center" indent="1"/>
    </xf>
    <xf numFmtId="168" fontId="70" fillId="18" borderId="33" xfId="0" applyNumberFormat="1" applyFont="1" applyFill="1" applyBorder="1" applyAlignment="1">
      <alignment horizontal="center" vertical="center"/>
    </xf>
    <xf numFmtId="168" fontId="70" fillId="18" borderId="16" xfId="0" applyNumberFormat="1" applyFont="1" applyFill="1" applyBorder="1" applyAlignment="1">
      <alignment horizontal="center" vertical="center"/>
    </xf>
    <xf numFmtId="168" fontId="70" fillId="18" borderId="19" xfId="0" applyNumberFormat="1" applyFont="1" applyFill="1" applyBorder="1" applyAlignment="1">
      <alignment horizontal="center" vertical="center"/>
    </xf>
    <xf numFmtId="0" fontId="18" fillId="22" borderId="5" xfId="0" applyFont="1" applyFill="1" applyBorder="1" applyAlignment="1">
      <alignment horizontal="right" vertical="center" indent="1"/>
    </xf>
    <xf numFmtId="9" fontId="26" fillId="5" borderId="6" xfId="7" applyFont="1" applyFill="1" applyBorder="1" applyAlignment="1">
      <alignment horizontal="center" vertical="top"/>
    </xf>
    <xf numFmtId="0" fontId="19" fillId="10" borderId="33" xfId="0" applyFont="1" applyFill="1" applyBorder="1" applyAlignment="1">
      <alignment horizontal="left" vertical="center" indent="1"/>
    </xf>
    <xf numFmtId="0" fontId="21" fillId="10" borderId="0" xfId="0" applyFont="1" applyFill="1" applyAlignment="1">
      <alignment horizontal="left" vertical="center" indent="2"/>
    </xf>
    <xf numFmtId="0" fontId="21" fillId="10" borderId="139" xfId="0" applyFont="1" applyFill="1" applyBorder="1" applyAlignment="1">
      <alignment horizontal="left" vertical="center" indent="1"/>
    </xf>
    <xf numFmtId="0" fontId="21" fillId="10" borderId="140" xfId="0" applyFont="1" applyFill="1" applyBorder="1" applyAlignment="1">
      <alignment horizontal="left" vertical="center" indent="2"/>
    </xf>
    <xf numFmtId="168" fontId="69" fillId="10" borderId="141" xfId="0" applyNumberFormat="1" applyFont="1" applyFill="1" applyBorder="1" applyAlignment="1">
      <alignment horizontal="right" vertical="center"/>
    </xf>
    <xf numFmtId="0" fontId="21" fillId="10" borderId="139" xfId="0" applyFont="1" applyFill="1" applyBorder="1" applyAlignment="1">
      <alignment horizontal="left" vertical="center" indent="2"/>
    </xf>
    <xf numFmtId="0" fontId="18" fillId="23" borderId="143" xfId="0" applyFont="1" applyFill="1" applyBorder="1" applyAlignment="1">
      <alignment horizontal="left" vertical="center" indent="1"/>
    </xf>
    <xf numFmtId="0" fontId="18" fillId="23" borderId="144" xfId="0" applyFont="1" applyFill="1" applyBorder="1" applyAlignment="1">
      <alignment horizontal="left" vertical="center" indent="1"/>
    </xf>
    <xf numFmtId="0" fontId="18" fillId="23" borderId="145" xfId="0" applyFont="1" applyFill="1" applyBorder="1" applyAlignment="1">
      <alignment horizontal="right" vertical="center" indent="1"/>
    </xf>
    <xf numFmtId="9" fontId="145" fillId="11" borderId="20" xfId="7" applyFont="1" applyFill="1" applyBorder="1" applyAlignment="1">
      <alignment horizontal="right" vertical="center" indent="1"/>
    </xf>
    <xf numFmtId="1" fontId="49" fillId="10" borderId="9" xfId="8" applyNumberFormat="1" applyFont="1" applyFill="1" applyBorder="1" applyAlignment="1">
      <alignment horizontal="left" vertical="center" shrinkToFit="1"/>
    </xf>
    <xf numFmtId="1" fontId="40" fillId="10" borderId="24" xfId="8" applyNumberFormat="1" applyFont="1" applyFill="1" applyBorder="1" applyAlignment="1">
      <alignment horizontal="center" vertical="center" shrinkToFit="1"/>
    </xf>
    <xf numFmtId="168" fontId="69" fillId="10" borderId="10" xfId="0" applyNumberFormat="1" applyFont="1" applyFill="1" applyBorder="1" applyAlignment="1">
      <alignment horizontal="left" vertical="center" shrinkToFit="1"/>
    </xf>
    <xf numFmtId="168" fontId="69" fillId="10" borderId="12" xfId="0" applyNumberFormat="1" applyFont="1" applyFill="1" applyBorder="1" applyAlignment="1">
      <alignment horizontal="center" vertical="center" shrinkToFit="1"/>
    </xf>
    <xf numFmtId="168" fontId="49" fillId="0" borderId="0" xfId="0" applyNumberFormat="1" applyFont="1" applyAlignment="1">
      <alignment horizontal="center" shrinkToFit="1"/>
    </xf>
    <xf numFmtId="9" fontId="20" fillId="16" borderId="20" xfId="7" applyFont="1" applyFill="1" applyBorder="1" applyAlignment="1">
      <alignment horizontal="right" vertical="center" indent="1"/>
    </xf>
    <xf numFmtId="164" fontId="19" fillId="12" borderId="121" xfId="0" applyNumberFormat="1" applyFont="1" applyFill="1" applyBorder="1" applyAlignment="1">
      <alignment horizontal="right" vertical="center" indent="1"/>
    </xf>
    <xf numFmtId="168" fontId="26" fillId="10" borderId="46" xfId="0" applyNumberFormat="1" applyFont="1" applyFill="1" applyBorder="1" applyAlignment="1">
      <alignment horizontal="right" vertical="center"/>
    </xf>
    <xf numFmtId="0" fontId="21" fillId="10" borderId="33" xfId="0" applyFont="1" applyFill="1" applyBorder="1" applyAlignment="1">
      <alignment horizontal="left" vertical="center" indent="2"/>
    </xf>
    <xf numFmtId="0" fontId="0" fillId="0" borderId="32" xfId="0" applyBorder="1"/>
    <xf numFmtId="0" fontId="0" fillId="0" borderId="41" xfId="0" applyBorder="1"/>
    <xf numFmtId="191" fontId="69" fillId="10" borderId="20" xfId="0" applyNumberFormat="1" applyFont="1" applyFill="1" applyBorder="1" applyAlignment="1">
      <alignment horizontal="right" vertical="center" indent="1"/>
    </xf>
    <xf numFmtId="164" fontId="20" fillId="12" borderId="20" xfId="0" applyNumberFormat="1" applyFont="1" applyFill="1" applyBorder="1" applyAlignment="1">
      <alignment horizontal="right" vertical="center" indent="1"/>
    </xf>
    <xf numFmtId="9" fontId="145" fillId="12" borderId="20" xfId="7" applyFont="1" applyFill="1" applyBorder="1" applyAlignment="1">
      <alignment horizontal="right" vertical="center" indent="1"/>
    </xf>
    <xf numFmtId="192" fontId="69" fillId="10" borderId="20" xfId="0" applyNumberFormat="1" applyFont="1" applyFill="1" applyBorder="1" applyAlignment="1">
      <alignment horizontal="right" vertical="center" indent="1"/>
    </xf>
    <xf numFmtId="6" fontId="0" fillId="0" borderId="0" xfId="0" applyNumberFormat="1"/>
    <xf numFmtId="168" fontId="145" fillId="10" borderId="20" xfId="0" applyNumberFormat="1" applyFont="1" applyFill="1" applyBorder="1" applyAlignment="1">
      <alignment horizontal="right" vertical="center" indent="1"/>
    </xf>
    <xf numFmtId="168" fontId="95" fillId="26" borderId="125" xfId="0" applyNumberFormat="1" applyFont="1" applyFill="1" applyBorder="1" applyAlignment="1">
      <alignment horizontal="left" vertical="center" indent="1" shrinkToFit="1"/>
    </xf>
    <xf numFmtId="0" fontId="78" fillId="28" borderId="147" xfId="0" applyFont="1" applyFill="1" applyBorder="1" applyAlignment="1">
      <alignment horizontal="left" vertical="center" indent="2"/>
    </xf>
    <xf numFmtId="0" fontId="67" fillId="17" borderId="149" xfId="0" applyFont="1" applyFill="1" applyBorder="1" applyAlignment="1">
      <alignment horizontal="centerContinuous" vertical="center"/>
    </xf>
    <xf numFmtId="0" fontId="78" fillId="17" borderId="147" xfId="0" applyFont="1" applyFill="1" applyBorder="1" applyAlignment="1">
      <alignment horizontal="centerContinuous" vertical="center"/>
    </xf>
    <xf numFmtId="0" fontId="67" fillId="45" borderId="150" xfId="0" applyFont="1" applyFill="1" applyBorder="1" applyAlignment="1">
      <alignment horizontal="centerContinuous" vertical="center"/>
    </xf>
    <xf numFmtId="0" fontId="78" fillId="45" borderId="151" xfId="0" applyFont="1" applyFill="1" applyBorder="1" applyAlignment="1">
      <alignment horizontal="centerContinuous" vertical="center"/>
    </xf>
    <xf numFmtId="0" fontId="78" fillId="45" borderId="152" xfId="0" applyFont="1" applyFill="1" applyBorder="1" applyAlignment="1">
      <alignment horizontal="centerContinuous" vertical="center"/>
    </xf>
    <xf numFmtId="0" fontId="31" fillId="45" borderId="154" xfId="0" applyFont="1" applyFill="1" applyBorder="1" applyAlignment="1">
      <alignment horizontal="center"/>
    </xf>
    <xf numFmtId="0" fontId="65" fillId="9" borderId="142" xfId="0" applyFont="1" applyFill="1" applyBorder="1" applyAlignment="1">
      <alignment horizontal="left" vertical="top" indent="1" shrinkToFit="1"/>
    </xf>
    <xf numFmtId="0" fontId="31" fillId="45" borderId="111" xfId="0" applyFont="1" applyFill="1" applyBorder="1" applyAlignment="1">
      <alignment horizontal="center" vertical="top" shrinkToFit="1"/>
    </xf>
    <xf numFmtId="171" fontId="55" fillId="0" borderId="155" xfId="8" applyNumberFormat="1" applyFont="1" applyBorder="1" applyAlignment="1">
      <alignment horizontal="left" vertical="center" indent="1" shrinkToFit="1"/>
    </xf>
    <xf numFmtId="168" fontId="65" fillId="0" borderId="156" xfId="0" applyNumberFormat="1" applyFont="1" applyBorder="1" applyAlignment="1">
      <alignment horizontal="right" vertical="center" shrinkToFit="1"/>
    </xf>
    <xf numFmtId="171" fontId="55" fillId="0" borderId="157" xfId="8" applyNumberFormat="1" applyFont="1" applyBorder="1" applyAlignment="1">
      <alignment horizontal="left" vertical="center" indent="1" shrinkToFit="1"/>
    </xf>
    <xf numFmtId="168" fontId="65" fillId="0" borderId="158" xfId="0" applyNumberFormat="1" applyFont="1" applyBorder="1" applyAlignment="1">
      <alignment horizontal="right" vertical="center" shrinkToFit="1"/>
    </xf>
    <xf numFmtId="171" fontId="55" fillId="0" borderId="159" xfId="8" applyNumberFormat="1" applyFont="1" applyBorder="1" applyAlignment="1">
      <alignment horizontal="left" vertical="center" indent="1" shrinkToFit="1"/>
    </xf>
    <xf numFmtId="171" fontId="55" fillId="0" borderId="160" xfId="8" applyNumberFormat="1" applyFont="1" applyBorder="1" applyAlignment="1">
      <alignment horizontal="left" vertical="center" indent="1" shrinkToFit="1"/>
    </xf>
    <xf numFmtId="168" fontId="69" fillId="0" borderId="161" xfId="0" applyNumberFormat="1" applyFont="1" applyBorder="1" applyAlignment="1">
      <alignment horizontal="center" vertical="center" shrinkToFit="1"/>
    </xf>
    <xf numFmtId="168" fontId="69" fillId="0" borderId="161" xfId="0" applyNumberFormat="1" applyFont="1" applyBorder="1" applyAlignment="1">
      <alignment horizontal="left" vertical="center" shrinkToFit="1"/>
    </xf>
    <xf numFmtId="10" fontId="69" fillId="0" borderId="162" xfId="7" applyNumberFormat="1" applyFont="1" applyFill="1" applyBorder="1" applyAlignment="1">
      <alignment horizontal="center" vertical="center" shrinkToFit="1"/>
    </xf>
    <xf numFmtId="168" fontId="69" fillId="0" borderId="163" xfId="0" applyNumberFormat="1" applyFont="1" applyBorder="1" applyAlignment="1">
      <alignment horizontal="right" vertical="center" shrinkToFit="1"/>
    </xf>
    <xf numFmtId="168" fontId="69" fillId="0" borderId="161" xfId="0" applyNumberFormat="1" applyFont="1" applyBorder="1" applyAlignment="1">
      <alignment horizontal="right" vertical="center" shrinkToFit="1"/>
    </xf>
    <xf numFmtId="168" fontId="65" fillId="0" borderId="162" xfId="0" applyNumberFormat="1" applyFont="1" applyBorder="1" applyAlignment="1">
      <alignment horizontal="right" vertical="center" shrinkToFit="1"/>
    </xf>
    <xf numFmtId="168" fontId="84" fillId="0" borderId="164" xfId="0" applyNumberFormat="1" applyFont="1" applyBorder="1" applyAlignment="1">
      <alignment horizontal="right" vertical="center" shrinkToFit="1"/>
    </xf>
    <xf numFmtId="168" fontId="84" fillId="0" borderId="162" xfId="0" applyNumberFormat="1" applyFont="1" applyBorder="1" applyAlignment="1">
      <alignment horizontal="right" vertical="center" shrinkToFit="1"/>
    </xf>
    <xf numFmtId="168" fontId="84" fillId="0" borderId="161" xfId="0" applyNumberFormat="1" applyFont="1" applyBorder="1" applyAlignment="1">
      <alignment horizontal="right" vertical="center" shrinkToFit="1"/>
    </xf>
    <xf numFmtId="168" fontId="65" fillId="0" borderId="161" xfId="0" applyNumberFormat="1" applyFont="1" applyBorder="1" applyAlignment="1">
      <alignment horizontal="center" vertical="center" shrinkToFit="1"/>
    </xf>
    <xf numFmtId="168" fontId="65" fillId="0" borderId="165" xfId="0" applyNumberFormat="1" applyFont="1" applyBorder="1" applyAlignment="1">
      <alignment horizontal="right" vertical="center" shrinkToFit="1"/>
    </xf>
    <xf numFmtId="177" fontId="52" fillId="14" borderId="3" xfId="8" applyNumberFormat="1" applyFont="1" applyFill="1" applyBorder="1" applyAlignment="1">
      <alignment horizontal="center" vertical="center" shrinkToFit="1"/>
    </xf>
    <xf numFmtId="168" fontId="68" fillId="14" borderId="51" xfId="0" applyNumberFormat="1" applyFont="1" applyFill="1" applyBorder="1" applyAlignment="1">
      <alignment horizontal="center" vertical="center" shrinkToFit="1"/>
    </xf>
    <xf numFmtId="0" fontId="30" fillId="15" borderId="21" xfId="0" applyFont="1" applyFill="1" applyBorder="1" applyAlignment="1">
      <alignment horizontal="center" vertical="center"/>
    </xf>
    <xf numFmtId="0" fontId="30" fillId="15" borderId="40" xfId="0" applyFont="1" applyFill="1" applyBorder="1" applyAlignment="1">
      <alignment horizontal="center" vertical="center"/>
    </xf>
    <xf numFmtId="0" fontId="30" fillId="15" borderId="3" xfId="0" applyFont="1" applyFill="1" applyBorder="1" applyAlignment="1">
      <alignment horizontal="center" vertical="center"/>
    </xf>
    <xf numFmtId="0" fontId="30" fillId="15" borderId="4" xfId="0" applyFont="1" applyFill="1" applyBorder="1" applyAlignment="1">
      <alignment horizontal="center" vertical="center"/>
    </xf>
    <xf numFmtId="0" fontId="30" fillId="15" borderId="5" xfId="0" applyFont="1" applyFill="1" applyBorder="1" applyAlignment="1">
      <alignment horizontal="center" vertical="center"/>
    </xf>
    <xf numFmtId="0" fontId="35" fillId="17" borderId="21" xfId="0" applyFont="1" applyFill="1" applyBorder="1" applyAlignment="1">
      <alignment horizontal="center" vertical="center"/>
    </xf>
    <xf numFmtId="0" fontId="35" fillId="17" borderId="31" xfId="0" applyFont="1" applyFill="1" applyBorder="1" applyAlignment="1">
      <alignment horizontal="center" vertical="center"/>
    </xf>
    <xf numFmtId="0" fontId="142" fillId="17" borderId="21" xfId="0" applyFont="1" applyFill="1" applyBorder="1" applyAlignment="1">
      <alignment horizontal="center" vertical="center"/>
    </xf>
    <xf numFmtId="0" fontId="142" fillId="17" borderId="31" xfId="0" applyFont="1" applyFill="1" applyBorder="1" applyAlignment="1">
      <alignment horizontal="center" vertical="center"/>
    </xf>
    <xf numFmtId="0" fontId="35" fillId="17" borderId="40" xfId="0" applyFont="1" applyFill="1" applyBorder="1" applyAlignment="1">
      <alignment horizontal="center" vertical="center"/>
    </xf>
    <xf numFmtId="0" fontId="35" fillId="17" borderId="41" xfId="0" applyFont="1" applyFill="1" applyBorder="1" applyAlignment="1">
      <alignment horizontal="center" vertical="center"/>
    </xf>
    <xf numFmtId="0" fontId="30" fillId="17" borderId="7" xfId="0" applyFont="1" applyFill="1" applyBorder="1" applyAlignment="1">
      <alignment horizontal="left" vertical="center" indent="1"/>
    </xf>
    <xf numFmtId="0" fontId="30" fillId="17" borderId="32" xfId="0" applyFont="1" applyFill="1" applyBorder="1" applyAlignment="1">
      <alignment horizontal="left" vertical="center" indent="1"/>
    </xf>
    <xf numFmtId="0" fontId="31" fillId="19" borderId="3" xfId="0" applyFont="1" applyFill="1" applyBorder="1" applyAlignment="1">
      <alignment horizontal="center" vertical="center"/>
    </xf>
    <xf numFmtId="0" fontId="31" fillId="19" borderId="5" xfId="0" applyFont="1" applyFill="1" applyBorder="1" applyAlignment="1">
      <alignment horizontal="center" vertical="center"/>
    </xf>
    <xf numFmtId="0" fontId="31" fillId="19" borderId="4" xfId="0" applyFont="1" applyFill="1" applyBorder="1" applyAlignment="1">
      <alignment horizontal="center" vertical="center"/>
    </xf>
    <xf numFmtId="0" fontId="67" fillId="24" borderId="7" xfId="0" applyFont="1" applyFill="1" applyBorder="1" applyAlignment="1">
      <alignment horizontal="center"/>
    </xf>
    <xf numFmtId="0" fontId="67" fillId="24" borderId="21" xfId="0" applyFont="1" applyFill="1" applyBorder="1" applyAlignment="1">
      <alignment horizontal="center"/>
    </xf>
    <xf numFmtId="0" fontId="67" fillId="15" borderId="3" xfId="0" applyFont="1" applyFill="1" applyBorder="1" applyAlignment="1">
      <alignment horizontal="center" vertical="center"/>
    </xf>
    <xf numFmtId="0" fontId="67" fillId="15" borderId="4" xfId="0" applyFont="1" applyFill="1" applyBorder="1" applyAlignment="1">
      <alignment horizontal="center" vertical="center"/>
    </xf>
    <xf numFmtId="0" fontId="31" fillId="17" borderId="32" xfId="0" applyFont="1" applyFill="1" applyBorder="1" applyAlignment="1">
      <alignment horizontal="center" vertical="center"/>
    </xf>
    <xf numFmtId="0" fontId="67" fillId="17" borderId="31" xfId="0" applyFont="1" applyFill="1" applyBorder="1" applyAlignment="1">
      <alignment horizontal="center" vertical="center"/>
    </xf>
    <xf numFmtId="0" fontId="74" fillId="17" borderId="48" xfId="0" applyFont="1" applyFill="1" applyBorder="1" applyAlignment="1">
      <alignment horizontal="center" shrinkToFit="1"/>
    </xf>
    <xf numFmtId="0" fontId="74" fillId="17" borderId="49" xfId="0" applyFont="1" applyFill="1" applyBorder="1" applyAlignment="1">
      <alignment horizontal="center" shrinkToFit="1"/>
    </xf>
    <xf numFmtId="0" fontId="74" fillId="17" borderId="50" xfId="0" applyFont="1" applyFill="1" applyBorder="1" applyAlignment="1">
      <alignment horizontal="center" shrinkToFit="1"/>
    </xf>
    <xf numFmtId="0" fontId="115" fillId="43" borderId="47" xfId="0" applyFont="1" applyFill="1" applyBorder="1" applyAlignment="1">
      <alignment horizontal="center" vertical="center" shrinkToFit="1"/>
    </xf>
    <xf numFmtId="0" fontId="115" fillId="43" borderId="0" xfId="0" applyFont="1" applyFill="1" applyAlignment="1">
      <alignment horizontal="center" vertical="center" shrinkToFit="1"/>
    </xf>
    <xf numFmtId="0" fontId="115" fillId="43" borderId="48" xfId="0" applyFont="1" applyFill="1" applyBorder="1" applyAlignment="1">
      <alignment horizontal="center" vertical="center" shrinkToFit="1"/>
    </xf>
    <xf numFmtId="0" fontId="115" fillId="43" borderId="49" xfId="0" applyFont="1" applyFill="1" applyBorder="1" applyAlignment="1">
      <alignment horizontal="center" vertical="center" shrinkToFit="1"/>
    </xf>
    <xf numFmtId="187" fontId="149" fillId="44" borderId="127" xfId="0" applyNumberFormat="1" applyFont="1" applyFill="1" applyBorder="1" applyAlignment="1">
      <alignment horizontal="center" shrinkToFit="1"/>
    </xf>
    <xf numFmtId="187" fontId="149" fillId="44" borderId="128" xfId="0" applyNumberFormat="1" applyFont="1" applyFill="1" applyBorder="1" applyAlignment="1">
      <alignment horizontal="center" shrinkToFit="1"/>
    </xf>
    <xf numFmtId="0" fontId="124" fillId="15" borderId="82" xfId="17" applyFont="1" applyFill="1" applyBorder="1" applyAlignment="1">
      <alignment horizontal="center" vertical="center" wrapText="1"/>
    </xf>
    <xf numFmtId="0" fontId="124" fillId="15" borderId="83" xfId="17" applyFont="1" applyFill="1" applyBorder="1" applyAlignment="1">
      <alignment horizontal="center" vertical="center" wrapText="1"/>
    </xf>
    <xf numFmtId="0" fontId="124" fillId="15" borderId="87" xfId="17" applyFont="1" applyFill="1" applyBorder="1" applyAlignment="1">
      <alignment horizontal="center" vertical="center" wrapText="1"/>
    </xf>
    <xf numFmtId="0" fontId="124" fillId="15" borderId="88" xfId="17" applyFont="1" applyFill="1" applyBorder="1" applyAlignment="1">
      <alignment horizontal="center" vertical="center" wrapText="1"/>
    </xf>
    <xf numFmtId="0" fontId="122" fillId="29" borderId="96" xfId="17" applyFont="1" applyFill="1" applyBorder="1" applyAlignment="1">
      <alignment horizontal="center" vertical="center"/>
    </xf>
    <xf numFmtId="0" fontId="122" fillId="29" borderId="97" xfId="17" applyFont="1" applyFill="1" applyBorder="1" applyAlignment="1">
      <alignment horizontal="center" vertical="center"/>
    </xf>
    <xf numFmtId="0" fontId="31" fillId="28" borderId="0" xfId="0" applyFont="1" applyFill="1" applyAlignment="1">
      <alignment horizontal="center" vertical="center"/>
    </xf>
    <xf numFmtId="0" fontId="67" fillId="28" borderId="0" xfId="0" applyFont="1" applyFill="1" applyAlignment="1">
      <alignment horizontal="center" vertical="center"/>
    </xf>
    <xf numFmtId="0" fontId="35" fillId="19" borderId="0" xfId="0" applyFont="1" applyFill="1" applyAlignment="1">
      <alignment horizontal="center" vertical="center"/>
    </xf>
    <xf numFmtId="0" fontId="115" fillId="43" borderId="7" xfId="0" applyFont="1" applyFill="1" applyBorder="1" applyAlignment="1">
      <alignment horizontal="left" vertical="center" indent="1"/>
    </xf>
    <xf numFmtId="0" fontId="115" fillId="43" borderId="21" xfId="0" applyFont="1" applyFill="1" applyBorder="1" applyAlignment="1">
      <alignment horizontal="left" vertical="center" indent="1"/>
    </xf>
    <xf numFmtId="0" fontId="115" fillId="43" borderId="33" xfId="0" applyFont="1" applyFill="1" applyBorder="1" applyAlignment="1">
      <alignment horizontal="left" vertical="center" indent="1"/>
    </xf>
    <xf numFmtId="0" fontId="115" fillId="43" borderId="0" xfId="0" applyFont="1" applyFill="1" applyAlignment="1">
      <alignment horizontal="left" vertical="center" indent="1"/>
    </xf>
    <xf numFmtId="0" fontId="74" fillId="15" borderId="3" xfId="0" applyFont="1" applyFill="1" applyBorder="1" applyAlignment="1">
      <alignment horizontal="center" vertical="center"/>
    </xf>
    <xf numFmtId="0" fontId="74" fillId="15" borderId="4" xfId="0" applyFont="1" applyFill="1" applyBorder="1" applyAlignment="1">
      <alignment horizontal="center" vertical="center"/>
    </xf>
    <xf numFmtId="0" fontId="74" fillId="15" borderId="5" xfId="0" applyFont="1" applyFill="1" applyBorder="1" applyAlignment="1">
      <alignment horizontal="center" vertical="center"/>
    </xf>
    <xf numFmtId="0" fontId="30" fillId="17" borderId="148" xfId="0" applyFont="1" applyFill="1" applyBorder="1" applyAlignment="1">
      <alignment horizontal="center" vertical="center"/>
    </xf>
    <xf numFmtId="0" fontId="30" fillId="17" borderId="6" xfId="0" applyFont="1" applyFill="1" applyBorder="1" applyAlignment="1">
      <alignment horizontal="center" vertical="center"/>
    </xf>
    <xf numFmtId="14" fontId="30" fillId="17" borderId="146" xfId="0" applyNumberFormat="1" applyFont="1" applyFill="1" applyBorder="1" applyAlignment="1">
      <alignment horizontal="left" vertical="center" indent="1"/>
    </xf>
    <xf numFmtId="14" fontId="30" fillId="17" borderId="147" xfId="0" applyNumberFormat="1" applyFont="1" applyFill="1" applyBorder="1" applyAlignment="1">
      <alignment horizontal="left" vertical="center" indent="1"/>
    </xf>
    <xf numFmtId="14" fontId="30" fillId="17" borderId="153" xfId="0" applyNumberFormat="1" applyFont="1" applyFill="1" applyBorder="1" applyAlignment="1">
      <alignment horizontal="left" vertical="center" indent="1"/>
    </xf>
    <xf numFmtId="14" fontId="30" fillId="17" borderId="31" xfId="0" applyNumberFormat="1" applyFont="1" applyFill="1" applyBorder="1" applyAlignment="1">
      <alignment horizontal="left" vertical="center" indent="1"/>
    </xf>
    <xf numFmtId="0" fontId="31" fillId="45" borderId="137" xfId="0" applyFont="1" applyFill="1" applyBorder="1" applyAlignment="1">
      <alignment horizontal="center"/>
    </xf>
    <xf numFmtId="0" fontId="31" fillId="45" borderId="138" xfId="0" applyFont="1" applyFill="1" applyBorder="1" applyAlignment="1">
      <alignment horizontal="center"/>
    </xf>
    <xf numFmtId="0" fontId="78" fillId="15" borderId="21" xfId="0" applyFont="1" applyFill="1" applyBorder="1" applyAlignment="1">
      <alignment horizontal="center" vertical="center"/>
    </xf>
    <xf numFmtId="0" fontId="78" fillId="15" borderId="0" xfId="0" applyFont="1" applyFill="1" applyAlignment="1">
      <alignment horizontal="center" vertical="center"/>
    </xf>
    <xf numFmtId="0" fontId="31" fillId="28" borderId="56" xfId="0" applyFont="1" applyFill="1" applyBorder="1" applyAlignment="1">
      <alignment horizontal="center" vertical="center"/>
    </xf>
    <xf numFmtId="0" fontId="77" fillId="19" borderId="0" xfId="0" applyFont="1" applyFill="1" applyAlignment="1">
      <alignment horizontal="center" vertical="center"/>
    </xf>
    <xf numFmtId="0" fontId="54" fillId="25" borderId="0" xfId="0" applyFont="1" applyFill="1" applyAlignment="1">
      <alignment horizontal="center" vertical="center"/>
    </xf>
    <xf numFmtId="0" fontId="30" fillId="17" borderId="33" xfId="0" applyFont="1" applyFill="1" applyBorder="1" applyAlignment="1">
      <alignment horizontal="left" vertical="center" indent="1"/>
    </xf>
    <xf numFmtId="0" fontId="30" fillId="17" borderId="0" xfId="0" applyFont="1" applyFill="1" applyAlignment="1">
      <alignment horizontal="left" vertical="center" indent="1"/>
    </xf>
    <xf numFmtId="0" fontId="30" fillId="17" borderId="64" xfId="0" applyFont="1" applyFill="1" applyBorder="1" applyAlignment="1">
      <alignment horizontal="left" vertical="center" indent="1"/>
    </xf>
    <xf numFmtId="167" fontId="66" fillId="15" borderId="115" xfId="2" applyFont="1" applyFill="1" applyBorder="1" applyAlignment="1">
      <alignment horizontal="right" vertical="center"/>
    </xf>
    <xf numFmtId="167" fontId="66" fillId="15" borderId="0" xfId="2" applyFont="1" applyFill="1" applyAlignment="1">
      <alignment horizontal="right" vertical="center"/>
    </xf>
    <xf numFmtId="0" fontId="31" fillId="17" borderId="7" xfId="0" applyFont="1" applyFill="1" applyBorder="1" applyAlignment="1">
      <alignment horizontal="left" vertical="center" indent="1"/>
    </xf>
    <xf numFmtId="0" fontId="31" fillId="17" borderId="32" xfId="0" applyFont="1" applyFill="1" applyBorder="1" applyAlignment="1">
      <alignment horizontal="left" vertical="center" indent="1"/>
    </xf>
    <xf numFmtId="0" fontId="32" fillId="0" borderId="0" xfId="0" applyFont="1" applyAlignment="1">
      <alignment horizontal="center"/>
    </xf>
    <xf numFmtId="0" fontId="32" fillId="22" borderId="103" xfId="0" applyFont="1" applyFill="1" applyBorder="1" applyAlignment="1">
      <alignment horizontal="center"/>
    </xf>
    <xf numFmtId="0" fontId="32" fillId="22" borderId="104" xfId="0" applyFont="1" applyFill="1" applyBorder="1" applyAlignment="1">
      <alignment horizontal="center"/>
    </xf>
    <xf numFmtId="0" fontId="32" fillId="8" borderId="109" xfId="0" applyFont="1" applyFill="1" applyBorder="1" applyAlignment="1">
      <alignment horizontal="center"/>
    </xf>
    <xf numFmtId="0" fontId="95" fillId="8" borderId="110" xfId="0" applyFont="1" applyFill="1" applyBorder="1" applyAlignment="1">
      <alignment horizontal="center"/>
    </xf>
    <xf numFmtId="0" fontId="32" fillId="20" borderId="7" xfId="0" applyFont="1" applyFill="1" applyBorder="1" applyAlignment="1">
      <alignment horizontal="center"/>
    </xf>
    <xf numFmtId="0" fontId="32" fillId="20" borderId="40" xfId="0" applyFont="1" applyFill="1" applyBorder="1" applyAlignment="1">
      <alignment horizontal="center"/>
    </xf>
  </cellXfs>
  <cellStyles count="21">
    <cellStyle name="Comma" xfId="16" builtinId="3"/>
    <cellStyle name="Comma 2" xfId="15" xr:uid="{55A9E2B4-5926-4547-B1EF-0A266CA0ABB5}"/>
    <cellStyle name="Comma 5" xfId="10" xr:uid="{B0A42D4F-81D9-4789-84E4-8D90B9D5B4E5}"/>
    <cellStyle name="Label: Input" xfId="1" xr:uid="{4FE3C1FC-201A-4288-A1BB-074B80405F9B}"/>
    <cellStyle name="Normal" xfId="0" builtinId="0"/>
    <cellStyle name="Normal 2" xfId="2" xr:uid="{349CB631-D082-41FC-A02B-45FFCFAAC170}"/>
    <cellStyle name="Normal 2 2" xfId="5" xr:uid="{973A293E-369C-41C2-9AFB-0C88245E7D96}"/>
    <cellStyle name="Normal 2 2 2" xfId="17" xr:uid="{1AC41BF3-829B-1342-9C9E-B002CC5F44E8}"/>
    <cellStyle name="Normal 22" xfId="4" xr:uid="{189C16CD-A812-4FFD-B200-3D7C128B37CC}"/>
    <cellStyle name="Normal 3" xfId="11" xr:uid="{042542A7-86F1-42DE-BB49-FED0FDABB726}"/>
    <cellStyle name="Normal 3 2" xfId="12" xr:uid="{DE9F01E7-87C6-41AB-8059-E9AD91F5A015}"/>
    <cellStyle name="Normal 4" xfId="18" xr:uid="{01A799D2-9C47-1044-96BD-98F25496E4E5}"/>
    <cellStyle name="Normal 7" xfId="8" xr:uid="{8AC7F4B0-4325-40D5-A3D7-8775F299038E}"/>
    <cellStyle name="Normal 7 2" xfId="14" xr:uid="{1CAA8A34-A621-4F00-A913-505B65A95237}"/>
    <cellStyle name="Normal 9" xfId="20" xr:uid="{815DD714-2EE0-3E49-9682-510AAC20742E}"/>
    <cellStyle name="Percent" xfId="7" builtinId="5"/>
    <cellStyle name="Percent 2" xfId="13" xr:uid="{D1223392-BADA-4B16-B582-8AE8A778654F}"/>
    <cellStyle name="Percent 2 2" xfId="19" xr:uid="{428F9D94-797B-384F-95DE-4BE2C0FC9293}"/>
    <cellStyle name="Percent 3" xfId="6" xr:uid="{4C12F205-0E3D-4C32-B88A-12DC9DD741A6}"/>
    <cellStyle name="Percent 4" xfId="9" xr:uid="{253CF134-2F46-4745-A7AB-63378691BBC6}"/>
    <cellStyle name="Total: Bottom" xfId="3" xr:uid="{7A302A34-1980-4763-A2F0-2877CA778871}"/>
  </cellStyles>
  <dxfs count="41">
    <dxf>
      <fill>
        <patternFill>
          <bgColor rgb="FFE6E6E6"/>
        </patternFill>
      </fill>
    </dxf>
    <dxf>
      <font>
        <b val="0"/>
        <i val="0"/>
        <color theme="1"/>
      </font>
      <fill>
        <patternFill>
          <bgColor rgb="FFFEFFB8"/>
        </patternFill>
      </fill>
    </dxf>
    <dxf>
      <fill>
        <patternFill>
          <bgColor rgb="FFF0F0F0"/>
        </patternFill>
      </fill>
    </dxf>
    <dxf>
      <font>
        <b val="0"/>
        <i val="0"/>
        <color theme="1"/>
      </font>
      <fill>
        <patternFill>
          <bgColor rgb="FFFEFFB8"/>
        </patternFill>
      </fill>
    </dxf>
    <dxf>
      <fill>
        <patternFill>
          <bgColor rgb="FFE6E6E6"/>
        </patternFill>
      </fill>
    </dxf>
    <dxf>
      <fill>
        <patternFill>
          <bgColor rgb="FFE6E6E6"/>
        </patternFill>
      </fill>
    </dxf>
    <dxf>
      <fill>
        <patternFill>
          <bgColor rgb="FFE6E6E6"/>
        </patternFill>
      </fill>
    </dxf>
    <dxf>
      <fill>
        <patternFill>
          <bgColor rgb="FFE6E6E6"/>
        </patternFill>
      </fill>
    </dxf>
    <dxf>
      <fill>
        <patternFill>
          <bgColor rgb="FFE6E6E6"/>
        </patternFill>
      </fill>
    </dxf>
    <dxf>
      <fill>
        <patternFill>
          <bgColor rgb="FFF0F0F0"/>
        </patternFill>
      </fill>
    </dxf>
    <dxf>
      <fill>
        <patternFill>
          <bgColor rgb="FFF0F0F0"/>
        </patternFill>
      </fill>
    </dxf>
    <dxf>
      <fill>
        <patternFill>
          <bgColor rgb="FFE6E6E6"/>
        </patternFill>
      </fill>
    </dxf>
    <dxf>
      <fill>
        <patternFill>
          <bgColor rgb="FFE6E6E6"/>
        </patternFill>
      </fill>
    </dxf>
    <dxf>
      <fill>
        <patternFill>
          <bgColor rgb="FFE6E6E6"/>
        </patternFill>
      </fill>
    </dxf>
    <dxf>
      <fill>
        <patternFill>
          <bgColor rgb="FFE6E6E6"/>
        </patternFill>
      </fill>
    </dxf>
    <dxf>
      <fill>
        <patternFill>
          <bgColor rgb="FFE6E6E6"/>
        </patternFill>
      </fill>
    </dxf>
    <dxf>
      <fill>
        <patternFill>
          <bgColor rgb="FFE6E6E6"/>
        </patternFill>
      </fill>
    </dxf>
    <dxf>
      <fill>
        <patternFill>
          <bgColor rgb="FFE6E6E6"/>
        </patternFill>
      </fill>
    </dxf>
    <dxf>
      <fill>
        <patternFill>
          <bgColor rgb="FFE6E6E6"/>
        </patternFill>
      </fill>
    </dxf>
    <dxf>
      <fill>
        <patternFill>
          <bgColor rgb="FFE6E6E6"/>
        </patternFill>
      </fill>
    </dxf>
    <dxf>
      <fill>
        <patternFill>
          <bgColor rgb="FFE6E6E6"/>
        </patternFill>
      </fill>
    </dxf>
    <dxf>
      <fill>
        <patternFill>
          <bgColor rgb="FFE6E6E6"/>
        </patternFill>
      </fill>
    </dxf>
    <dxf>
      <fill>
        <patternFill>
          <bgColor rgb="FFE6E6E6"/>
        </patternFill>
      </fill>
    </dxf>
    <dxf>
      <fill>
        <patternFill>
          <bgColor rgb="FFE6E6E6"/>
        </patternFill>
      </fill>
    </dxf>
    <dxf>
      <fill>
        <patternFill>
          <bgColor rgb="FFE6E6E6"/>
        </patternFill>
      </fill>
    </dxf>
    <dxf>
      <font>
        <b/>
        <i val="0"/>
        <color theme="1"/>
      </font>
      <fill>
        <patternFill>
          <bgColor rgb="FFB3FFB3"/>
        </patternFill>
      </fill>
    </dxf>
    <dxf>
      <fill>
        <patternFill>
          <bgColor rgb="FFE6E6E6"/>
        </patternFill>
      </fill>
    </dxf>
    <dxf>
      <fill>
        <patternFill>
          <bgColor rgb="FFE6E6E6"/>
        </patternFill>
      </fill>
    </dxf>
    <dxf>
      <fill>
        <patternFill>
          <bgColor rgb="FFE6E6E6"/>
        </patternFill>
      </fill>
    </dxf>
    <dxf>
      <font>
        <b/>
        <i val="0"/>
        <color theme="1"/>
      </font>
      <fill>
        <patternFill>
          <bgColor rgb="FFB3FFB3"/>
        </patternFill>
      </fill>
    </dxf>
    <dxf>
      <fill>
        <patternFill>
          <bgColor rgb="FFE6E6E6"/>
        </patternFill>
      </fill>
    </dxf>
    <dxf>
      <fill>
        <patternFill>
          <bgColor rgb="FFE6E6E6"/>
        </patternFill>
      </fill>
    </dxf>
    <dxf>
      <font>
        <b/>
        <i val="0"/>
        <color theme="1"/>
      </font>
      <fill>
        <patternFill>
          <bgColor rgb="FFB3FFB3"/>
        </patternFill>
      </fill>
    </dxf>
    <dxf>
      <fill>
        <patternFill>
          <bgColor rgb="FFE6E6E6"/>
        </patternFill>
      </fill>
    </dxf>
    <dxf>
      <fill>
        <patternFill>
          <bgColor rgb="FFE6E6E6"/>
        </patternFill>
      </fill>
    </dxf>
    <dxf>
      <fill>
        <patternFill>
          <bgColor rgb="FFE6E6E6"/>
        </patternFill>
      </fill>
    </dxf>
    <dxf>
      <fill>
        <patternFill>
          <bgColor rgb="FFE6E6E6"/>
        </patternFill>
      </fill>
    </dxf>
    <dxf>
      <font>
        <b/>
        <i val="0"/>
        <color theme="1"/>
      </font>
      <fill>
        <patternFill>
          <bgColor rgb="FFB3FFB3"/>
        </patternFill>
      </fill>
    </dxf>
    <dxf>
      <fill>
        <patternFill>
          <bgColor rgb="FFE6E6E6"/>
        </patternFill>
      </fill>
    </dxf>
    <dxf>
      <fill>
        <patternFill>
          <bgColor rgb="FFE6E6E6"/>
        </patternFill>
      </fill>
    </dxf>
    <dxf>
      <fill>
        <patternFill>
          <bgColor rgb="FFE6E6E6"/>
        </patternFill>
      </fill>
    </dxf>
  </dxfs>
  <tableStyles count="0" defaultTableStyle="TableStyleMedium2" defaultPivotStyle="PivotStyleLight16"/>
  <colors>
    <mruColors>
      <color rgb="FF0033CC"/>
      <color rgb="FFFFFFC8"/>
      <color rgb="FFFFC9C9"/>
      <color rgb="FF960000"/>
      <color rgb="FF21FF85"/>
      <color rgb="FF85FFBC"/>
      <color rgb="FF00FF00"/>
      <color rgb="FFFEFFB8"/>
      <color rgb="FFC1FFC1"/>
      <color rgb="FFB3FFB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17/06/relationships/rdRichValueTypes" Target="richData/rdRichValueTypes.xml"/><Relationship Id="rId2" Type="http://schemas.openxmlformats.org/officeDocument/2006/relationships/worksheet" Target="worksheets/sheet2.xml"/><Relationship Id="rId16" Type="http://schemas.microsoft.com/office/2017/06/relationships/rdRichValueStructure" Target="richData/rdrichvaluestructure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06/relationships/rdRichValue" Target="richData/rdrichvalue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Relationship Id="rId22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508000</xdr:colOff>
          <xdr:row>48</xdr:row>
          <xdr:rowOff>38100</xdr:rowOff>
        </xdr:from>
        <xdr:to>
          <xdr:col>20</xdr:col>
          <xdr:colOff>139700</xdr:colOff>
          <xdr:row>56</xdr:row>
          <xdr:rowOff>50800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04FD95AB-BF84-E5E4-8EAF-526582516AE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F$49:$K$56" spid="_x0000_s3041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0274300" y="10185400"/>
              <a:ext cx="5575300" cy="167640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Total</v>
    <v>2</v>
    <v>6</v>
    <v>5</v>
  </rv>
</rvData>
</file>

<file path=xl/richData/rdrichvaluestructure.xml><?xml version="1.0" encoding="utf-8"?>
<rvStructures xmlns="http://schemas.microsoft.com/office/spreadsheetml/2017/richdata" count="1">
  <s t="_error">
    <k n="argument" t="s"/>
    <k n="errorType" t="i"/>
    <k n="ptg" t="i"/>
    <k n="subType" t="i"/>
  </s>
</rvStructure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3">
    <wetp:webextensionref xmlns:r="http://schemas.openxmlformats.org/officeDocument/2006/relationships" r:id="rId1"/>
  </wetp:taskpane>
  <wetp:taskpane dockstate="right" visibility="0" width="350" row="12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08C837CE-A503-4E13-ACC8-25D878478DDE}">
  <we:reference id="183b341e-30d4-4a70-b123-096b27bd28a8" version="1.0.0.0" store="EXCatalog" storeType="EXCatalog"/>
  <we:alternateReferences>
    <we:reference id="WA200006385" version="1.0.0.0" store="en-US" storeType="OMEX"/>
  </we:alternateReferences>
  <we:properties/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9C145F45-6125-495E-9FE7-9EA498C56CFB}">
  <we:reference id="wa200005502" version="1.0.0.11" store="en-US" storeType="OMEX"/>
  <we:alternateReferences>
    <we:reference id="WA200005502" version="1.0.0.11" store="" storeType="OMEX"/>
  </we:alternateReferences>
  <we:properties>
    <we:property name="docId" value="&quot;vr8073Hy67mPxDw74fH1R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B07EA7-208F-4C57-BD17-2FAD87170C41}">
  <sheetPr codeName="Sheet2">
    <tabColor rgb="FF003399"/>
  </sheetPr>
  <dimension ref="A2:V54"/>
  <sheetViews>
    <sheetView topLeftCell="D2" workbookViewId="0">
      <selection activeCell="F10" sqref="F10"/>
    </sheetView>
  </sheetViews>
  <sheetFormatPr baseColWidth="10" defaultColWidth="8.83203125" defaultRowHeight="15"/>
  <cols>
    <col min="1" max="1" width="7.83203125" style="30" hidden="1" customWidth="1"/>
    <col min="2" max="2" width="12" style="30" hidden="1" customWidth="1"/>
    <col min="3" max="3" width="14.33203125" style="24" hidden="1" customWidth="1"/>
    <col min="4" max="4" width="2.5" style="5" customWidth="1"/>
    <col min="5" max="5" width="30.33203125" style="5" customWidth="1"/>
    <col min="6" max="6" width="6.83203125" style="5" customWidth="1"/>
    <col min="7" max="7" width="20.83203125" style="5" customWidth="1"/>
    <col min="8" max="8" width="2" style="5" customWidth="1"/>
    <col min="9" max="9" width="9" style="24" bestFit="1" customWidth="1"/>
    <col min="10" max="10" width="6" style="832" bestFit="1" customWidth="1"/>
    <col min="11" max="11" width="14.6640625" style="5" customWidth="1"/>
    <col min="12" max="14" width="9.83203125" style="30" customWidth="1"/>
    <col min="15" max="15" width="3.33203125" customWidth="1"/>
    <col min="16" max="16" width="22.5" style="24" customWidth="1"/>
    <col min="17" max="17" width="6.83203125" style="30" bestFit="1" customWidth="1"/>
    <col min="18" max="18" width="9" style="30" bestFit="1" customWidth="1"/>
    <col min="19" max="19" width="15.6640625" style="5" bestFit="1" customWidth="1"/>
    <col min="20" max="20" width="13.83203125" style="5" bestFit="1" customWidth="1"/>
    <col min="21" max="21" width="15.6640625" style="5" bestFit="1" customWidth="1"/>
    <col min="22" max="22" width="11.5" style="5" bestFit="1" customWidth="1"/>
  </cols>
  <sheetData>
    <row r="2" spans="1:20" s="95" customFormat="1" ht="22">
      <c r="A2" s="92"/>
      <c r="B2" s="92"/>
      <c r="C2" s="94"/>
      <c r="D2" s="97" t="str">
        <f>iProject!G8</f>
        <v>Clarendon Preserve</v>
      </c>
      <c r="E2" s="6"/>
      <c r="F2" s="6"/>
      <c r="G2" s="7"/>
      <c r="H2" s="8"/>
      <c r="I2" s="92"/>
      <c r="J2" s="830"/>
      <c r="K2" s="10"/>
      <c r="L2" s="92"/>
      <c r="M2" s="92"/>
      <c r="N2" s="92"/>
      <c r="P2" s="92"/>
      <c r="Q2" s="92"/>
      <c r="R2" s="92"/>
      <c r="S2" s="10"/>
      <c r="T2" s="10"/>
    </row>
    <row r="3" spans="1:20" s="96" customFormat="1" ht="16">
      <c r="B3" s="92"/>
      <c r="D3" s="93"/>
      <c r="E3" s="9"/>
      <c r="F3" s="9"/>
      <c r="G3" s="10"/>
      <c r="H3" s="10"/>
      <c r="J3" s="831"/>
      <c r="S3" s="10"/>
      <c r="T3" s="10"/>
    </row>
    <row r="4" spans="1:20">
      <c r="D4" s="12"/>
      <c r="E4" s="11"/>
      <c r="F4" s="11"/>
      <c r="G4" s="11"/>
      <c r="H4" s="12"/>
      <c r="I4"/>
      <c r="J4"/>
      <c r="K4"/>
      <c r="L4"/>
      <c r="M4"/>
      <c r="N4"/>
      <c r="P4"/>
      <c r="Q4"/>
      <c r="R4"/>
      <c r="S4"/>
      <c r="T4"/>
    </row>
    <row r="5" spans="1:20" ht="22.5" customHeight="1">
      <c r="A5" s="73"/>
      <c r="B5" s="62"/>
      <c r="C5" s="61"/>
      <c r="E5" s="13" t="s">
        <v>330</v>
      </c>
      <c r="F5" s="422"/>
      <c r="G5" s="376"/>
      <c r="I5" s="13" t="s">
        <v>301</v>
      </c>
      <c r="J5" s="422"/>
      <c r="K5" s="422"/>
      <c r="L5" s="422"/>
      <c r="M5" s="422"/>
      <c r="N5" s="376"/>
      <c r="P5" s="13" t="s">
        <v>303</v>
      </c>
      <c r="Q5" s="422"/>
      <c r="R5" s="422"/>
      <c r="S5" s="422"/>
      <c r="T5" s="422"/>
    </row>
    <row r="6" spans="1:20" ht="19">
      <c r="A6" s="50" t="s">
        <v>12</v>
      </c>
      <c r="B6" s="49" t="s">
        <v>74</v>
      </c>
      <c r="C6" s="50" t="s">
        <v>75</v>
      </c>
      <c r="D6" s="46"/>
      <c r="I6" s="1043" t="s">
        <v>47</v>
      </c>
      <c r="J6" s="1045" t="s">
        <v>95</v>
      </c>
      <c r="K6" s="1047" t="s">
        <v>13</v>
      </c>
      <c r="L6" s="1040" t="s">
        <v>93</v>
      </c>
      <c r="M6" s="1041"/>
      <c r="N6" s="1042"/>
      <c r="P6" s="1049" t="s">
        <v>304</v>
      </c>
      <c r="Q6" s="1038" t="s">
        <v>314</v>
      </c>
      <c r="R6" s="1039"/>
      <c r="S6" s="170" t="s">
        <v>115</v>
      </c>
      <c r="T6" s="90"/>
    </row>
    <row r="7" spans="1:20" ht="16">
      <c r="A7" s="34">
        <f t="shared" ref="A7:A51" si="0">M8/43560</f>
        <v>0.281722826057969</v>
      </c>
      <c r="B7" s="34">
        <f t="shared" ref="B7:B51" si="1">N8*$B$54</f>
        <v>4.2593433981272035</v>
      </c>
      <c r="C7" s="43">
        <f t="shared" ref="C7:C51" si="2">B7+A7</f>
        <v>4.5410662241851725</v>
      </c>
      <c r="E7" s="14" t="s">
        <v>8</v>
      </c>
      <c r="F7" s="128"/>
      <c r="G7" s="377"/>
      <c r="I7" s="1044"/>
      <c r="J7" s="1046"/>
      <c r="K7" s="1048"/>
      <c r="L7" s="168" t="s">
        <v>113</v>
      </c>
      <c r="M7" s="168" t="s">
        <v>114</v>
      </c>
      <c r="N7" s="168" t="s">
        <v>60</v>
      </c>
      <c r="P7" s="1050"/>
      <c r="Q7" s="866" t="s">
        <v>12</v>
      </c>
      <c r="R7" s="867" t="s">
        <v>136</v>
      </c>
      <c r="S7"/>
      <c r="T7"/>
    </row>
    <row r="8" spans="1:20" ht="16">
      <c r="A8" s="40">
        <f t="shared" si="0"/>
        <v>0.281722826057969</v>
      </c>
      <c r="B8" s="40">
        <f t="shared" si="1"/>
        <v>4.2593433981272035</v>
      </c>
      <c r="C8" s="45">
        <f t="shared" si="2"/>
        <v>4.5410662241851725</v>
      </c>
      <c r="E8" s="18" t="s">
        <v>4</v>
      </c>
      <c r="F8" s="423"/>
      <c r="G8" s="862" t="s">
        <v>9</v>
      </c>
      <c r="I8" s="846">
        <v>1</v>
      </c>
      <c r="J8" s="847">
        <v>0</v>
      </c>
      <c r="K8" s="848" t="s">
        <v>48</v>
      </c>
      <c r="L8" s="849">
        <v>62.5</v>
      </c>
      <c r="M8" s="33">
        <f t="shared" ref="M8:M52" si="3">PI() * L8^2</f>
        <v>12271.846303085129</v>
      </c>
      <c r="N8" s="69">
        <f>M8/SUM($M$8:$M$52)</f>
        <v>1.8921109267438219E-2</v>
      </c>
      <c r="P8" s="846" t="s">
        <v>302</v>
      </c>
      <c r="Q8" s="849">
        <v>15</v>
      </c>
      <c r="R8" s="865">
        <v>100</v>
      </c>
      <c r="S8"/>
      <c r="T8"/>
    </row>
    <row r="9" spans="1:20" ht="16">
      <c r="A9" s="40">
        <f t="shared" si="0"/>
        <v>0.18030260867710016</v>
      </c>
      <c r="B9" s="40">
        <f t="shared" si="1"/>
        <v>2.7259797748014103</v>
      </c>
      <c r="C9" s="45">
        <f t="shared" si="2"/>
        <v>2.9062823834785103</v>
      </c>
      <c r="E9" s="19" t="s">
        <v>5</v>
      </c>
      <c r="F9" s="424"/>
      <c r="G9" s="863" t="s">
        <v>10</v>
      </c>
      <c r="I9" s="850">
        <v>2</v>
      </c>
      <c r="J9" s="851"/>
      <c r="K9" s="852" t="s">
        <v>48</v>
      </c>
      <c r="L9" s="853">
        <v>62.5</v>
      </c>
      <c r="M9" s="54">
        <f t="shared" si="3"/>
        <v>12271.846303085129</v>
      </c>
      <c r="N9" s="70">
        <f t="shared" ref="N9:N52" si="4">M9/SUM($M$8:$M$52)</f>
        <v>1.8921109267438219E-2</v>
      </c>
      <c r="P9" s="850" t="s">
        <v>299</v>
      </c>
      <c r="Q9" s="853">
        <v>5</v>
      </c>
      <c r="R9" s="865">
        <v>25</v>
      </c>
      <c r="S9"/>
      <c r="T9"/>
    </row>
    <row r="10" spans="1:20" ht="16">
      <c r="A10" s="37">
        <f t="shared" si="0"/>
        <v>0.281722826057969</v>
      </c>
      <c r="B10" s="37">
        <f t="shared" si="1"/>
        <v>4.2593433981272035</v>
      </c>
      <c r="C10" s="44">
        <f t="shared" si="2"/>
        <v>4.5410662241851725</v>
      </c>
      <c r="E10" s="19" t="s">
        <v>6</v>
      </c>
      <c r="F10" s="424"/>
      <c r="G10" s="863" t="s">
        <v>11</v>
      </c>
      <c r="I10" s="850">
        <v>3</v>
      </c>
      <c r="J10" s="851"/>
      <c r="K10" s="852" t="s">
        <v>48</v>
      </c>
      <c r="L10" s="853">
        <v>50</v>
      </c>
      <c r="M10" s="54">
        <f t="shared" si="3"/>
        <v>7853.981633974483</v>
      </c>
      <c r="N10" s="70">
        <f t="shared" si="4"/>
        <v>1.210950993116046E-2</v>
      </c>
      <c r="P10" s="850" t="s">
        <v>300</v>
      </c>
      <c r="Q10" s="853">
        <v>10</v>
      </c>
      <c r="R10" s="865">
        <v>10</v>
      </c>
      <c r="S10"/>
      <c r="T10"/>
    </row>
    <row r="11" spans="1:20" ht="16">
      <c r="A11" s="40">
        <f t="shared" si="0"/>
        <v>0.281722826057969</v>
      </c>
      <c r="B11" s="40">
        <f t="shared" si="1"/>
        <v>4.2593433981272035</v>
      </c>
      <c r="C11" s="45">
        <f t="shared" si="2"/>
        <v>4.5410662241851725</v>
      </c>
      <c r="E11" s="14" t="s">
        <v>316</v>
      </c>
      <c r="F11" s="128"/>
      <c r="G11" s="377"/>
      <c r="I11" s="854">
        <v>45</v>
      </c>
      <c r="J11" s="855"/>
      <c r="K11" s="856" t="s">
        <v>48</v>
      </c>
      <c r="L11" s="857">
        <v>62.5</v>
      </c>
      <c r="M11" s="42">
        <f t="shared" si="3"/>
        <v>12271.846303085129</v>
      </c>
      <c r="N11" s="71">
        <f t="shared" si="4"/>
        <v>1.8921109267438219E-2</v>
      </c>
      <c r="P11" s="854" t="s">
        <v>315</v>
      </c>
      <c r="Q11" s="857">
        <v>50</v>
      </c>
      <c r="R11" s="865">
        <v>10</v>
      </c>
      <c r="S11"/>
      <c r="T11"/>
    </row>
    <row r="12" spans="1:20" ht="16">
      <c r="A12" s="40">
        <f t="shared" si="0"/>
        <v>0.40568086952347537</v>
      </c>
      <c r="B12" s="40">
        <f t="shared" si="1"/>
        <v>6.1334544933031738</v>
      </c>
      <c r="C12" s="45">
        <f t="shared" si="2"/>
        <v>6.5391353628266495</v>
      </c>
      <c r="E12" s="126" t="s">
        <v>318</v>
      </c>
      <c r="F12" s="427">
        <f>COUNTA(I8:I52)</f>
        <v>45</v>
      </c>
      <c r="G12" s="868">
        <v>240</v>
      </c>
      <c r="I12" s="850">
        <v>4</v>
      </c>
      <c r="J12" s="851"/>
      <c r="K12" s="852" t="s">
        <v>49</v>
      </c>
      <c r="L12" s="853">
        <v>62.5</v>
      </c>
      <c r="M12" s="54">
        <f t="shared" si="3"/>
        <v>12271.846303085129</v>
      </c>
      <c r="N12" s="70">
        <f t="shared" si="4"/>
        <v>1.8921109267438219E-2</v>
      </c>
      <c r="S12"/>
      <c r="T12"/>
    </row>
    <row r="13" spans="1:20" ht="16">
      <c r="A13" s="40">
        <f t="shared" si="0"/>
        <v>0.18030260867710016</v>
      </c>
      <c r="B13" s="40">
        <f t="shared" si="1"/>
        <v>2.7259797748014103</v>
      </c>
      <c r="C13" s="45">
        <f t="shared" si="2"/>
        <v>2.9062823834785103</v>
      </c>
      <c r="E13" s="19" t="s">
        <v>317</v>
      </c>
      <c r="F13" s="424"/>
      <c r="G13" s="868">
        <v>80</v>
      </c>
      <c r="I13" s="850">
        <v>5</v>
      </c>
      <c r="J13" s="851"/>
      <c r="K13" s="852" t="s">
        <v>49</v>
      </c>
      <c r="L13" s="853">
        <v>75</v>
      </c>
      <c r="M13" s="54">
        <f t="shared" si="3"/>
        <v>17671.458676442588</v>
      </c>
      <c r="N13" s="70">
        <f t="shared" si="4"/>
        <v>2.7246397345111039E-2</v>
      </c>
      <c r="P13" s="25" t="s">
        <v>14</v>
      </c>
      <c r="Q13" s="31">
        <f>SUM(Q8:Q11)</f>
        <v>80</v>
      </c>
      <c r="R13" s="173">
        <f>SUM(R8:R11)</f>
        <v>145</v>
      </c>
      <c r="S13"/>
      <c r="T13"/>
    </row>
    <row r="14" spans="1:20" ht="16">
      <c r="A14" s="40">
        <f t="shared" si="0"/>
        <v>0.281722826057969</v>
      </c>
      <c r="B14" s="40">
        <f t="shared" si="1"/>
        <v>4.2593433981272035</v>
      </c>
      <c r="C14" s="45">
        <f t="shared" si="2"/>
        <v>4.5410662241851725</v>
      </c>
      <c r="E14" s="869"/>
      <c r="F14" s="424"/>
      <c r="G14" s="125"/>
      <c r="H14" s="120"/>
      <c r="I14" s="850">
        <v>6</v>
      </c>
      <c r="J14" s="851"/>
      <c r="K14" s="852" t="s">
        <v>49</v>
      </c>
      <c r="L14" s="853">
        <v>50</v>
      </c>
      <c r="M14" s="54">
        <f t="shared" si="3"/>
        <v>7853.981633974483</v>
      </c>
      <c r="N14" s="70">
        <f t="shared" si="4"/>
        <v>1.210950993116046E-2</v>
      </c>
      <c r="Q14" s="5"/>
      <c r="R14" s="5"/>
      <c r="S14"/>
      <c r="T14"/>
    </row>
    <row r="15" spans="1:20" ht="19">
      <c r="A15" s="40">
        <f t="shared" si="0"/>
        <v>0.281722826057969</v>
      </c>
      <c r="B15" s="40">
        <f t="shared" si="1"/>
        <v>4.2593433981272035</v>
      </c>
      <c r="C15" s="45">
        <f t="shared" si="2"/>
        <v>4.5410662241851725</v>
      </c>
      <c r="E15" s="22" t="s">
        <v>319</v>
      </c>
      <c r="F15" s="426"/>
      <c r="G15" s="123"/>
      <c r="I15" s="850">
        <v>7</v>
      </c>
      <c r="J15" s="851"/>
      <c r="K15" s="852" t="s">
        <v>49</v>
      </c>
      <c r="L15" s="853">
        <v>62.5</v>
      </c>
      <c r="M15" s="54">
        <f t="shared" si="3"/>
        <v>12271.846303085129</v>
      </c>
      <c r="N15" s="70">
        <f t="shared" si="4"/>
        <v>1.8921109267438219E-2</v>
      </c>
      <c r="Q15" s="834" t="s">
        <v>12</v>
      </c>
      <c r="R15" s="834" t="s">
        <v>306</v>
      </c>
      <c r="S15" s="834" t="s">
        <v>307</v>
      </c>
    </row>
    <row r="16" spans="1:20" ht="16">
      <c r="A16" s="40">
        <f t="shared" si="0"/>
        <v>0.18030260867710016</v>
      </c>
      <c r="B16" s="40">
        <f t="shared" si="1"/>
        <v>2.7259797748014103</v>
      </c>
      <c r="C16" s="45">
        <f t="shared" si="2"/>
        <v>2.9062823834785103</v>
      </c>
      <c r="E16" s="974" t="s">
        <v>320</v>
      </c>
      <c r="F16" s="700"/>
      <c r="G16" s="125">
        <f>SUM(iBudget!E7:E9)</f>
        <v>22900000</v>
      </c>
      <c r="I16" s="850">
        <v>8</v>
      </c>
      <c r="J16" s="851"/>
      <c r="K16" s="852" t="s">
        <v>49</v>
      </c>
      <c r="L16" s="853">
        <v>62.5</v>
      </c>
      <c r="M16" s="54">
        <f t="shared" si="3"/>
        <v>12271.846303085129</v>
      </c>
      <c r="N16" s="70">
        <f t="shared" si="4"/>
        <v>1.8921109267438219E-2</v>
      </c>
      <c r="P16" s="833" t="s">
        <v>305</v>
      </c>
      <c r="Q16" s="30">
        <v>30</v>
      </c>
      <c r="R16" s="30">
        <v>250</v>
      </c>
      <c r="S16" s="30"/>
    </row>
    <row r="17" spans="1:20" ht="16">
      <c r="A17" s="40">
        <f t="shared" si="0"/>
        <v>0.40568086952347537</v>
      </c>
      <c r="B17" s="40">
        <f t="shared" si="1"/>
        <v>6.1334544933031738</v>
      </c>
      <c r="C17" s="45">
        <f t="shared" si="2"/>
        <v>6.5391353628266495</v>
      </c>
      <c r="E17" s="127" t="s">
        <v>321</v>
      </c>
      <c r="F17" s="425"/>
      <c r="G17" s="879">
        <f>iBudget!H6</f>
        <v>8360000</v>
      </c>
      <c r="H17" s="17"/>
      <c r="I17" s="850">
        <v>9</v>
      </c>
      <c r="J17" s="851"/>
      <c r="K17" s="852" t="s">
        <v>49</v>
      </c>
      <c r="L17" s="853">
        <v>50</v>
      </c>
      <c r="M17" s="54">
        <f t="shared" si="3"/>
        <v>7853.981633974483</v>
      </c>
      <c r="N17" s="70">
        <f t="shared" si="4"/>
        <v>1.210950993116046E-2</v>
      </c>
      <c r="P17" s="833" t="s">
        <v>308</v>
      </c>
      <c r="R17" s="30">
        <f>154+66</f>
        <v>220</v>
      </c>
      <c r="S17" s="30">
        <v>81</v>
      </c>
    </row>
    <row r="18" spans="1:20" ht="16">
      <c r="A18" s="40">
        <f t="shared" si="0"/>
        <v>0.281722826057969</v>
      </c>
      <c r="B18" s="40">
        <f t="shared" si="1"/>
        <v>4.2593433981272035</v>
      </c>
      <c r="C18" s="45">
        <f t="shared" si="2"/>
        <v>4.5410662241851725</v>
      </c>
      <c r="E18" s="974" t="s">
        <v>322</v>
      </c>
      <c r="F18" s="700"/>
      <c r="G18" s="125">
        <f>ROUND(G16+G17,-4)</f>
        <v>31260000</v>
      </c>
      <c r="I18" s="850">
        <v>10</v>
      </c>
      <c r="J18" s="851">
        <v>12</v>
      </c>
      <c r="K18" s="852" t="s">
        <v>50</v>
      </c>
      <c r="L18" s="853">
        <v>75</v>
      </c>
      <c r="M18" s="54">
        <f t="shared" si="3"/>
        <v>17671.458676442588</v>
      </c>
      <c r="N18" s="70">
        <f t="shared" si="4"/>
        <v>2.7246397345111039E-2</v>
      </c>
      <c r="P18" s="833" t="s">
        <v>309</v>
      </c>
      <c r="R18" s="30">
        <v>130</v>
      </c>
      <c r="S18" s="30">
        <v>40</v>
      </c>
    </row>
    <row r="19" spans="1:20" ht="16">
      <c r="A19" s="40">
        <f t="shared" si="0"/>
        <v>0.281722826057969</v>
      </c>
      <c r="B19" s="40">
        <f t="shared" si="1"/>
        <v>4.2593433981272035</v>
      </c>
      <c r="C19" s="45">
        <f t="shared" si="2"/>
        <v>4.5410662241851725</v>
      </c>
      <c r="I19" s="850">
        <v>11</v>
      </c>
      <c r="J19" s="851"/>
      <c r="K19" s="852" t="s">
        <v>50</v>
      </c>
      <c r="L19" s="853">
        <v>62.5</v>
      </c>
      <c r="M19" s="54">
        <f t="shared" si="3"/>
        <v>12271.846303085129</v>
      </c>
      <c r="N19" s="70">
        <f t="shared" si="4"/>
        <v>1.8921109267438219E-2</v>
      </c>
      <c r="P19" s="833" t="s">
        <v>310</v>
      </c>
      <c r="R19" s="30">
        <v>122</v>
      </c>
      <c r="S19" s="30">
        <v>52</v>
      </c>
    </row>
    <row r="20" spans="1:20" ht="16">
      <c r="A20" s="40">
        <f t="shared" si="0"/>
        <v>0.49087385212340517</v>
      </c>
      <c r="B20" s="40">
        <f t="shared" si="1"/>
        <v>7.4214799368968398</v>
      </c>
      <c r="C20" s="45">
        <f t="shared" si="2"/>
        <v>7.9123537890202451</v>
      </c>
      <c r="I20" s="850">
        <v>12</v>
      </c>
      <c r="J20" s="851">
        <v>10</v>
      </c>
      <c r="K20" s="852" t="s">
        <v>50</v>
      </c>
      <c r="L20" s="853">
        <v>62.5</v>
      </c>
      <c r="M20" s="54">
        <f t="shared" si="3"/>
        <v>12271.846303085129</v>
      </c>
      <c r="N20" s="70">
        <f t="shared" si="4"/>
        <v>1.8921109267438219E-2</v>
      </c>
      <c r="P20" s="833" t="s">
        <v>311</v>
      </c>
      <c r="R20" s="30">
        <v>100</v>
      </c>
      <c r="S20" s="30">
        <v>30</v>
      </c>
      <c r="T20" s="693" t="s">
        <v>312</v>
      </c>
    </row>
    <row r="21" spans="1:20" ht="16">
      <c r="A21" s="40">
        <f t="shared" si="0"/>
        <v>0.49087385212340517</v>
      </c>
      <c r="B21" s="40">
        <f t="shared" si="1"/>
        <v>7.4214799368968398</v>
      </c>
      <c r="C21" s="45">
        <f t="shared" si="2"/>
        <v>7.9123537890202451</v>
      </c>
      <c r="I21" s="850">
        <v>13</v>
      </c>
      <c r="J21" s="851"/>
      <c r="K21" s="852" t="s">
        <v>50</v>
      </c>
      <c r="L21" s="853">
        <v>82.5</v>
      </c>
      <c r="M21" s="54">
        <f t="shared" si="3"/>
        <v>21382.464998495529</v>
      </c>
      <c r="N21" s="70">
        <f t="shared" si="4"/>
        <v>3.2968140787584352E-2</v>
      </c>
      <c r="R21" s="5"/>
    </row>
    <row r="22" spans="1:20" ht="16">
      <c r="A22" s="40">
        <f t="shared" si="0"/>
        <v>0.49087385212340517</v>
      </c>
      <c r="B22" s="40">
        <f t="shared" si="1"/>
        <v>7.4214799368968398</v>
      </c>
      <c r="C22" s="45">
        <f t="shared" si="2"/>
        <v>7.9123537890202451</v>
      </c>
      <c r="E22" s="975" t="s">
        <v>331</v>
      </c>
      <c r="F22" s="700"/>
      <c r="G22" s="125">
        <f>mOption!V7</f>
        <v>83838800.564893469</v>
      </c>
      <c r="I22" s="850">
        <v>14</v>
      </c>
      <c r="J22" s="851"/>
      <c r="K22" s="852" t="s">
        <v>50</v>
      </c>
      <c r="L22" s="853">
        <v>82.5</v>
      </c>
      <c r="M22" s="54">
        <f t="shared" si="3"/>
        <v>21382.464998495529</v>
      </c>
      <c r="N22" s="70">
        <f t="shared" si="4"/>
        <v>3.2968140787584352E-2</v>
      </c>
    </row>
    <row r="23" spans="1:20" ht="16">
      <c r="A23" s="40">
        <f t="shared" si="0"/>
        <v>0.49087385212340517</v>
      </c>
      <c r="B23" s="40">
        <f t="shared" si="1"/>
        <v>7.4214799368968398</v>
      </c>
      <c r="C23" s="45">
        <f t="shared" si="2"/>
        <v>7.9123537890202451</v>
      </c>
      <c r="I23" s="850">
        <v>15</v>
      </c>
      <c r="J23" s="851"/>
      <c r="K23" s="852" t="s">
        <v>50</v>
      </c>
      <c r="L23" s="853">
        <v>82.5</v>
      </c>
      <c r="M23" s="54">
        <f t="shared" si="3"/>
        <v>21382.464998495529</v>
      </c>
      <c r="N23" s="70">
        <f t="shared" si="4"/>
        <v>3.2968140787584352E-2</v>
      </c>
    </row>
    <row r="24" spans="1:20" ht="16">
      <c r="A24" s="40">
        <f t="shared" si="0"/>
        <v>0.49087385212340517</v>
      </c>
      <c r="B24" s="40">
        <f t="shared" si="1"/>
        <v>7.4214799368968398</v>
      </c>
      <c r="C24" s="45">
        <f t="shared" si="2"/>
        <v>7.9123537890202451</v>
      </c>
      <c r="I24" s="850">
        <v>16</v>
      </c>
      <c r="J24" s="851"/>
      <c r="K24" s="852" t="s">
        <v>50</v>
      </c>
      <c r="L24" s="853">
        <v>82.5</v>
      </c>
      <c r="M24" s="54">
        <f t="shared" si="3"/>
        <v>21382.464998495529</v>
      </c>
      <c r="N24" s="70">
        <f t="shared" si="4"/>
        <v>3.2968140787584352E-2</v>
      </c>
    </row>
    <row r="25" spans="1:20" ht="16">
      <c r="A25" s="40">
        <f t="shared" si="0"/>
        <v>0.49087385212340517</v>
      </c>
      <c r="B25" s="40">
        <f t="shared" si="1"/>
        <v>7.4214799368968398</v>
      </c>
      <c r="C25" s="45">
        <f t="shared" si="2"/>
        <v>7.9123537890202451</v>
      </c>
      <c r="E25" s="975"/>
      <c r="F25" s="700"/>
      <c r="G25" s="976"/>
      <c r="I25" s="850">
        <v>17</v>
      </c>
      <c r="J25" s="851"/>
      <c r="K25" s="852" t="s">
        <v>50</v>
      </c>
      <c r="L25" s="853">
        <v>82.5</v>
      </c>
      <c r="M25" s="54">
        <f t="shared" si="3"/>
        <v>21382.464998495529</v>
      </c>
      <c r="N25" s="70">
        <f t="shared" si="4"/>
        <v>3.2968140787584352E-2</v>
      </c>
    </row>
    <row r="26" spans="1:20" ht="16">
      <c r="A26" s="40">
        <f t="shared" si="0"/>
        <v>0.49087385212340517</v>
      </c>
      <c r="B26" s="40">
        <f t="shared" si="1"/>
        <v>7.4214799368968398</v>
      </c>
      <c r="C26" s="45">
        <f t="shared" si="2"/>
        <v>7.9123537890202451</v>
      </c>
      <c r="I26" s="850">
        <v>18</v>
      </c>
      <c r="J26" s="851"/>
      <c r="K26" s="852" t="s">
        <v>50</v>
      </c>
      <c r="L26" s="853">
        <v>82.5</v>
      </c>
      <c r="M26" s="54">
        <f t="shared" si="3"/>
        <v>21382.464998495529</v>
      </c>
      <c r="N26" s="70">
        <f t="shared" si="4"/>
        <v>3.2968140787584352E-2</v>
      </c>
      <c r="S26" s="864">
        <f>COUNTA(I8:I52)</f>
        <v>45</v>
      </c>
    </row>
    <row r="27" spans="1:20" ht="16">
      <c r="A27" s="40">
        <f t="shared" si="0"/>
        <v>0.281722826057969</v>
      </c>
      <c r="B27" s="40">
        <f t="shared" si="1"/>
        <v>4.2593433981272035</v>
      </c>
      <c r="C27" s="45">
        <f t="shared" si="2"/>
        <v>4.5410662241851725</v>
      </c>
      <c r="I27" s="850">
        <v>19</v>
      </c>
      <c r="J27" s="851"/>
      <c r="K27" s="852" t="s">
        <v>50</v>
      </c>
      <c r="L27" s="853">
        <v>82.5</v>
      </c>
      <c r="M27" s="54">
        <f t="shared" si="3"/>
        <v>21382.464998495529</v>
      </c>
      <c r="N27" s="70">
        <f t="shared" si="4"/>
        <v>3.2968140787584352E-2</v>
      </c>
    </row>
    <row r="28" spans="1:20" ht="16">
      <c r="A28" s="40">
        <f t="shared" si="0"/>
        <v>0.281722826057969</v>
      </c>
      <c r="B28" s="40">
        <f t="shared" si="1"/>
        <v>4.2593433981272035</v>
      </c>
      <c r="C28" s="45">
        <f t="shared" si="2"/>
        <v>4.5410662241851725</v>
      </c>
      <c r="I28" s="850">
        <v>20</v>
      </c>
      <c r="J28" s="851"/>
      <c r="K28" s="852" t="s">
        <v>51</v>
      </c>
      <c r="L28" s="853">
        <v>62.5</v>
      </c>
      <c r="M28" s="54">
        <f t="shared" si="3"/>
        <v>12271.846303085129</v>
      </c>
      <c r="N28" s="70">
        <f t="shared" si="4"/>
        <v>1.8921109267438219E-2</v>
      </c>
    </row>
    <row r="29" spans="1:20" ht="16">
      <c r="A29" s="40">
        <f t="shared" si="0"/>
        <v>0.40568086952347537</v>
      </c>
      <c r="B29" s="40">
        <f t="shared" si="1"/>
        <v>6.1334544933031738</v>
      </c>
      <c r="C29" s="45">
        <f t="shared" si="2"/>
        <v>6.5391353628266495</v>
      </c>
      <c r="E29" s="14" t="s">
        <v>3</v>
      </c>
      <c r="F29" s="128"/>
      <c r="G29" s="378"/>
      <c r="I29" s="850">
        <v>21</v>
      </c>
      <c r="J29" s="851">
        <v>22</v>
      </c>
      <c r="K29" s="852" t="s">
        <v>51</v>
      </c>
      <c r="L29" s="853">
        <v>62.5</v>
      </c>
      <c r="M29" s="54">
        <f t="shared" si="3"/>
        <v>12271.846303085129</v>
      </c>
      <c r="N29" s="70">
        <f t="shared" si="4"/>
        <v>1.8921109267438219E-2</v>
      </c>
    </row>
    <row r="30" spans="1:20" ht="16">
      <c r="A30" s="40">
        <f t="shared" si="0"/>
        <v>0.281722826057969</v>
      </c>
      <c r="B30" s="40">
        <f t="shared" si="1"/>
        <v>4.2593433981272035</v>
      </c>
      <c r="C30" s="45">
        <f t="shared" si="2"/>
        <v>4.5410662241851725</v>
      </c>
      <c r="E30" s="18" t="s">
        <v>0</v>
      </c>
      <c r="F30" s="423"/>
      <c r="G30" s="124">
        <v>45689</v>
      </c>
      <c r="I30" s="850">
        <v>22</v>
      </c>
      <c r="J30" s="851" t="s">
        <v>69</v>
      </c>
      <c r="K30" s="852" t="s">
        <v>51</v>
      </c>
      <c r="L30" s="853">
        <v>75</v>
      </c>
      <c r="M30" s="54">
        <f t="shared" si="3"/>
        <v>17671.458676442588</v>
      </c>
      <c r="N30" s="70">
        <f t="shared" si="4"/>
        <v>2.7246397345111039E-2</v>
      </c>
    </row>
    <row r="31" spans="1:20" ht="16">
      <c r="A31" s="40">
        <f t="shared" si="0"/>
        <v>0.281722826057969</v>
      </c>
      <c r="B31" s="40">
        <f t="shared" si="1"/>
        <v>4.2593433981272035</v>
      </c>
      <c r="C31" s="45">
        <f t="shared" si="2"/>
        <v>4.5410662241851725</v>
      </c>
      <c r="E31" s="19" t="s">
        <v>7</v>
      </c>
      <c r="F31" s="424"/>
      <c r="G31" s="121">
        <v>72</v>
      </c>
      <c r="I31" s="850">
        <v>23</v>
      </c>
      <c r="J31" s="851">
        <v>22</v>
      </c>
      <c r="K31" s="852" t="s">
        <v>51</v>
      </c>
      <c r="L31" s="853">
        <v>62.5</v>
      </c>
      <c r="M31" s="54">
        <f t="shared" si="3"/>
        <v>12271.846303085129</v>
      </c>
      <c r="N31" s="70">
        <f t="shared" si="4"/>
        <v>1.8921109267438219E-2</v>
      </c>
    </row>
    <row r="32" spans="1:20" ht="16">
      <c r="A32" s="40">
        <f t="shared" si="0"/>
        <v>0.281722826057969</v>
      </c>
      <c r="B32" s="40">
        <f t="shared" si="1"/>
        <v>4.2593433981272035</v>
      </c>
      <c r="C32" s="45">
        <f t="shared" si="2"/>
        <v>4.5410662241851725</v>
      </c>
      <c r="E32" s="20"/>
      <c r="F32" s="428"/>
      <c r="G32" s="122">
        <v>0</v>
      </c>
      <c r="I32" s="850">
        <v>24</v>
      </c>
      <c r="J32" s="851"/>
      <c r="K32" s="852" t="s">
        <v>51</v>
      </c>
      <c r="L32" s="853">
        <v>62.5</v>
      </c>
      <c r="M32" s="54">
        <f t="shared" si="3"/>
        <v>12271.846303085129</v>
      </c>
      <c r="N32" s="70">
        <f t="shared" si="4"/>
        <v>1.8921109267438219E-2</v>
      </c>
    </row>
    <row r="33" spans="1:14" ht="16">
      <c r="A33" s="40">
        <f t="shared" si="0"/>
        <v>0.281722826057969</v>
      </c>
      <c r="B33" s="40">
        <f t="shared" si="1"/>
        <v>4.2593433981272035</v>
      </c>
      <c r="C33" s="45">
        <f t="shared" si="2"/>
        <v>4.5410662241851725</v>
      </c>
      <c r="I33" s="850">
        <v>25</v>
      </c>
      <c r="J33" s="851"/>
      <c r="K33" s="852" t="s">
        <v>51</v>
      </c>
      <c r="L33" s="853">
        <v>62.5</v>
      </c>
      <c r="M33" s="54">
        <f t="shared" si="3"/>
        <v>12271.846303085129</v>
      </c>
      <c r="N33" s="70">
        <f t="shared" si="4"/>
        <v>1.8921109267438219E-2</v>
      </c>
    </row>
    <row r="34" spans="1:14" ht="16">
      <c r="A34" s="40">
        <f t="shared" si="0"/>
        <v>0.281722826057969</v>
      </c>
      <c r="B34" s="40">
        <f t="shared" si="1"/>
        <v>4.2593433981272035</v>
      </c>
      <c r="C34" s="45">
        <f t="shared" si="2"/>
        <v>4.5410662241851725</v>
      </c>
      <c r="I34" s="850">
        <v>26</v>
      </c>
      <c r="J34" s="851"/>
      <c r="K34" s="852" t="s">
        <v>51</v>
      </c>
      <c r="L34" s="853">
        <v>62.5</v>
      </c>
      <c r="M34" s="54">
        <f t="shared" si="3"/>
        <v>12271.846303085129</v>
      </c>
      <c r="N34" s="70">
        <f t="shared" si="4"/>
        <v>1.8921109267438219E-2</v>
      </c>
    </row>
    <row r="35" spans="1:14" ht="16">
      <c r="A35" s="40">
        <f t="shared" si="0"/>
        <v>0.49983939933987392</v>
      </c>
      <c r="B35" s="40">
        <f t="shared" si="1"/>
        <v>7.5570292811988393</v>
      </c>
      <c r="C35" s="45">
        <f t="shared" si="2"/>
        <v>8.0568686805387131</v>
      </c>
      <c r="I35" s="850">
        <v>27</v>
      </c>
      <c r="J35" s="851" t="s">
        <v>68</v>
      </c>
      <c r="K35" s="852" t="s">
        <v>51</v>
      </c>
      <c r="L35" s="853">
        <v>62.5</v>
      </c>
      <c r="M35" s="54">
        <f t="shared" si="3"/>
        <v>12271.846303085129</v>
      </c>
      <c r="N35" s="70">
        <f t="shared" si="4"/>
        <v>1.8921109267438219E-2</v>
      </c>
    </row>
    <row r="36" spans="1:14" ht="16">
      <c r="A36" s="40">
        <f t="shared" si="0"/>
        <v>0.40568086952347537</v>
      </c>
      <c r="B36" s="40">
        <f t="shared" si="1"/>
        <v>6.1334544933031738</v>
      </c>
      <c r="C36" s="45">
        <f t="shared" si="2"/>
        <v>6.5391353628266495</v>
      </c>
      <c r="I36" s="850">
        <v>28</v>
      </c>
      <c r="J36" s="851"/>
      <c r="K36" s="852" t="s">
        <v>51</v>
      </c>
      <c r="L36" s="853">
        <v>83.25</v>
      </c>
      <c r="M36" s="54">
        <f t="shared" si="3"/>
        <v>21773.004235244909</v>
      </c>
      <c r="N36" s="70">
        <f t="shared" si="4"/>
        <v>3.3570286168911306E-2</v>
      </c>
    </row>
    <row r="37" spans="1:14" ht="16">
      <c r="A37" s="40">
        <f t="shared" si="0"/>
        <v>0.18030260867710016</v>
      </c>
      <c r="B37" s="40">
        <f t="shared" si="1"/>
        <v>2.7259797748014103</v>
      </c>
      <c r="C37" s="45">
        <f t="shared" si="2"/>
        <v>2.9062823834785103</v>
      </c>
      <c r="I37" s="850">
        <v>29</v>
      </c>
      <c r="J37" s="851"/>
      <c r="K37" s="852" t="s">
        <v>51</v>
      </c>
      <c r="L37" s="853">
        <v>75</v>
      </c>
      <c r="M37" s="54">
        <f t="shared" si="3"/>
        <v>17671.458676442588</v>
      </c>
      <c r="N37" s="70">
        <f t="shared" si="4"/>
        <v>2.7246397345111039E-2</v>
      </c>
    </row>
    <row r="38" spans="1:14" ht="16">
      <c r="A38" s="40">
        <f t="shared" si="0"/>
        <v>0.18030260867710016</v>
      </c>
      <c r="B38" s="40">
        <f t="shared" si="1"/>
        <v>2.7259797748014103</v>
      </c>
      <c r="C38" s="45">
        <f t="shared" si="2"/>
        <v>2.9062823834785103</v>
      </c>
      <c r="I38" s="850">
        <v>30</v>
      </c>
      <c r="J38" s="851"/>
      <c r="K38" s="852" t="s">
        <v>51</v>
      </c>
      <c r="L38" s="853">
        <v>50</v>
      </c>
      <c r="M38" s="54">
        <f t="shared" si="3"/>
        <v>7853.981633974483</v>
      </c>
      <c r="N38" s="70">
        <f t="shared" si="4"/>
        <v>1.210950993116046E-2</v>
      </c>
    </row>
    <row r="39" spans="1:14" ht="16">
      <c r="A39" s="40">
        <f t="shared" si="0"/>
        <v>0.18030260867710016</v>
      </c>
      <c r="B39" s="40">
        <f t="shared" si="1"/>
        <v>2.7259797748014103</v>
      </c>
      <c r="C39" s="45">
        <f t="shared" si="2"/>
        <v>2.9062823834785103</v>
      </c>
      <c r="I39" s="850">
        <v>31</v>
      </c>
      <c r="J39" s="851"/>
      <c r="K39" s="852" t="s">
        <v>51</v>
      </c>
      <c r="L39" s="853">
        <v>50</v>
      </c>
      <c r="M39" s="54">
        <f t="shared" si="3"/>
        <v>7853.981633974483</v>
      </c>
      <c r="N39" s="70">
        <f t="shared" si="4"/>
        <v>1.210950993116046E-2</v>
      </c>
    </row>
    <row r="40" spans="1:14" ht="16">
      <c r="A40" s="40">
        <f t="shared" si="0"/>
        <v>0.281722826057969</v>
      </c>
      <c r="B40" s="40">
        <f t="shared" si="1"/>
        <v>4.2593433981272035</v>
      </c>
      <c r="C40" s="45">
        <f t="shared" si="2"/>
        <v>4.5410662241851725</v>
      </c>
      <c r="I40" s="850">
        <v>32</v>
      </c>
      <c r="J40" s="851"/>
      <c r="K40" s="852" t="s">
        <v>51</v>
      </c>
      <c r="L40" s="853">
        <v>50</v>
      </c>
      <c r="M40" s="54">
        <f t="shared" si="3"/>
        <v>7853.981633974483</v>
      </c>
      <c r="N40" s="70">
        <f t="shared" si="4"/>
        <v>1.210950993116046E-2</v>
      </c>
    </row>
    <row r="41" spans="1:14" ht="16">
      <c r="A41" s="40">
        <f t="shared" si="0"/>
        <v>0.281722826057969</v>
      </c>
      <c r="B41" s="40">
        <f t="shared" si="1"/>
        <v>4.2593433981272035</v>
      </c>
      <c r="C41" s="45">
        <f t="shared" si="2"/>
        <v>4.5410662241851725</v>
      </c>
      <c r="I41" s="850">
        <v>33</v>
      </c>
      <c r="J41" s="851" t="s">
        <v>70</v>
      </c>
      <c r="K41" s="852" t="s">
        <v>51</v>
      </c>
      <c r="L41" s="853">
        <v>62.5</v>
      </c>
      <c r="M41" s="54">
        <f t="shared" si="3"/>
        <v>12271.846303085129</v>
      </c>
      <c r="N41" s="70">
        <f t="shared" si="4"/>
        <v>1.8921109267438219E-2</v>
      </c>
    </row>
    <row r="42" spans="1:14" ht="16">
      <c r="A42" s="40">
        <f t="shared" si="0"/>
        <v>0.40568086952347537</v>
      </c>
      <c r="B42" s="40">
        <f t="shared" si="1"/>
        <v>6.1334544933031738</v>
      </c>
      <c r="C42" s="45">
        <f t="shared" si="2"/>
        <v>6.5391353628266495</v>
      </c>
      <c r="I42" s="850">
        <v>34</v>
      </c>
      <c r="J42" s="851"/>
      <c r="K42" s="852" t="s">
        <v>51</v>
      </c>
      <c r="L42" s="853">
        <v>62.5</v>
      </c>
      <c r="M42" s="54">
        <f t="shared" si="3"/>
        <v>12271.846303085129</v>
      </c>
      <c r="N42" s="70">
        <f t="shared" si="4"/>
        <v>1.8921109267438219E-2</v>
      </c>
    </row>
    <row r="43" spans="1:14" ht="16">
      <c r="A43" s="40">
        <f t="shared" si="0"/>
        <v>0.40568086952347537</v>
      </c>
      <c r="B43" s="40">
        <f t="shared" si="1"/>
        <v>6.1334544933031738</v>
      </c>
      <c r="C43" s="45">
        <f t="shared" si="2"/>
        <v>6.5391353628266495</v>
      </c>
      <c r="I43" s="850">
        <v>35</v>
      </c>
      <c r="J43" s="851"/>
      <c r="K43" s="852" t="s">
        <v>52</v>
      </c>
      <c r="L43" s="853">
        <v>75</v>
      </c>
      <c r="M43" s="54">
        <f t="shared" si="3"/>
        <v>17671.458676442588</v>
      </c>
      <c r="N43" s="70">
        <f t="shared" si="4"/>
        <v>2.7246397345111039E-2</v>
      </c>
    </row>
    <row r="44" spans="1:14" ht="16">
      <c r="A44" s="40">
        <f t="shared" si="0"/>
        <v>0.281722826057969</v>
      </c>
      <c r="B44" s="40">
        <f t="shared" si="1"/>
        <v>4.2593433981272035</v>
      </c>
      <c r="C44" s="45">
        <f t="shared" si="2"/>
        <v>4.5410662241851725</v>
      </c>
      <c r="I44" s="850">
        <v>36</v>
      </c>
      <c r="J44" s="851"/>
      <c r="K44" s="852" t="s">
        <v>52</v>
      </c>
      <c r="L44" s="853">
        <v>75</v>
      </c>
      <c r="M44" s="54">
        <f t="shared" si="3"/>
        <v>17671.458676442588</v>
      </c>
      <c r="N44" s="70">
        <f t="shared" si="4"/>
        <v>2.7246397345111039E-2</v>
      </c>
    </row>
    <row r="45" spans="1:14" ht="16">
      <c r="A45" s="40">
        <f t="shared" si="0"/>
        <v>0.281722826057969</v>
      </c>
      <c r="B45" s="40">
        <f t="shared" si="1"/>
        <v>4.2593433981272035</v>
      </c>
      <c r="C45" s="45">
        <f t="shared" si="2"/>
        <v>4.5410662241851725</v>
      </c>
      <c r="I45" s="850">
        <v>37</v>
      </c>
      <c r="J45" s="851"/>
      <c r="K45" s="852" t="s">
        <v>52</v>
      </c>
      <c r="L45" s="853">
        <v>62.5</v>
      </c>
      <c r="M45" s="54">
        <f t="shared" si="3"/>
        <v>12271.846303085129</v>
      </c>
      <c r="N45" s="70">
        <f t="shared" si="4"/>
        <v>1.8921109267438219E-2</v>
      </c>
    </row>
    <row r="46" spans="1:14" ht="16">
      <c r="A46" s="40">
        <f t="shared" si="0"/>
        <v>0.40568086952347537</v>
      </c>
      <c r="B46" s="40">
        <f t="shared" si="1"/>
        <v>6.1334544933031738</v>
      </c>
      <c r="C46" s="45">
        <f t="shared" si="2"/>
        <v>6.5391353628266495</v>
      </c>
      <c r="I46" s="850">
        <v>38</v>
      </c>
      <c r="J46" s="851"/>
      <c r="K46" s="852" t="s">
        <v>52</v>
      </c>
      <c r="L46" s="853">
        <v>62.5</v>
      </c>
      <c r="M46" s="54">
        <f t="shared" si="3"/>
        <v>12271.846303085129</v>
      </c>
      <c r="N46" s="70">
        <f t="shared" si="4"/>
        <v>1.8921109267438219E-2</v>
      </c>
    </row>
    <row r="47" spans="1:14" ht="16">
      <c r="A47" s="40">
        <f t="shared" si="0"/>
        <v>0.281722826057969</v>
      </c>
      <c r="B47" s="40">
        <f t="shared" si="1"/>
        <v>4.2593433981272035</v>
      </c>
      <c r="C47" s="45">
        <f t="shared" si="2"/>
        <v>4.5410662241851725</v>
      </c>
      <c r="I47" s="850">
        <v>39</v>
      </c>
      <c r="J47" s="851"/>
      <c r="K47" s="852" t="s">
        <v>52</v>
      </c>
      <c r="L47" s="853">
        <v>75</v>
      </c>
      <c r="M47" s="54">
        <f t="shared" si="3"/>
        <v>17671.458676442588</v>
      </c>
      <c r="N47" s="70">
        <f t="shared" si="4"/>
        <v>2.7246397345111039E-2</v>
      </c>
    </row>
    <row r="48" spans="1:14" ht="16">
      <c r="A48" s="40">
        <f t="shared" si="0"/>
        <v>0.18030260867710016</v>
      </c>
      <c r="B48" s="40">
        <f t="shared" si="1"/>
        <v>2.7259797748014103</v>
      </c>
      <c r="C48" s="45">
        <f t="shared" si="2"/>
        <v>2.9062823834785103</v>
      </c>
      <c r="I48" s="850">
        <v>40</v>
      </c>
      <c r="J48" s="851"/>
      <c r="K48" s="852" t="s">
        <v>52</v>
      </c>
      <c r="L48" s="853">
        <v>62.5</v>
      </c>
      <c r="M48" s="54">
        <f t="shared" si="3"/>
        <v>12271.846303085129</v>
      </c>
      <c r="N48" s="70">
        <f t="shared" si="4"/>
        <v>1.8921109267438219E-2</v>
      </c>
    </row>
    <row r="49" spans="1:14" ht="16">
      <c r="A49" s="40">
        <f t="shared" si="0"/>
        <v>0.40568086952347537</v>
      </c>
      <c r="B49" s="40">
        <f t="shared" si="1"/>
        <v>6.1334544933031738</v>
      </c>
      <c r="C49" s="45">
        <f t="shared" si="2"/>
        <v>6.5391353628266495</v>
      </c>
      <c r="I49" s="850">
        <v>41</v>
      </c>
      <c r="J49" s="851"/>
      <c r="K49" s="852" t="s">
        <v>52</v>
      </c>
      <c r="L49" s="853">
        <v>50</v>
      </c>
      <c r="M49" s="54">
        <f t="shared" si="3"/>
        <v>7853.981633974483</v>
      </c>
      <c r="N49" s="70">
        <f t="shared" si="4"/>
        <v>1.210950993116046E-2</v>
      </c>
    </row>
    <row r="50" spans="1:14" ht="16">
      <c r="A50" s="40">
        <f t="shared" si="0"/>
        <v>0.40568086952347537</v>
      </c>
      <c r="B50" s="40">
        <f t="shared" si="1"/>
        <v>6.1334544933031738</v>
      </c>
      <c r="C50" s="45">
        <f t="shared" si="2"/>
        <v>6.5391353628266495</v>
      </c>
      <c r="I50" s="850">
        <v>42</v>
      </c>
      <c r="J50" s="851"/>
      <c r="K50" s="852" t="s">
        <v>52</v>
      </c>
      <c r="L50" s="853">
        <v>75</v>
      </c>
      <c r="M50" s="54">
        <f t="shared" si="3"/>
        <v>17671.458676442588</v>
      </c>
      <c r="N50" s="70">
        <f t="shared" si="4"/>
        <v>2.7246397345111039E-2</v>
      </c>
    </row>
    <row r="51" spans="1:14" ht="16">
      <c r="A51" s="40">
        <f t="shared" si="0"/>
        <v>0.40568086952347537</v>
      </c>
      <c r="B51" s="40">
        <f t="shared" si="1"/>
        <v>6.1334544933031738</v>
      </c>
      <c r="C51" s="45">
        <f t="shared" si="2"/>
        <v>6.5391353628266495</v>
      </c>
      <c r="I51" s="850">
        <v>43</v>
      </c>
      <c r="J51" s="851"/>
      <c r="K51" s="852" t="s">
        <v>52</v>
      </c>
      <c r="L51" s="853">
        <v>75</v>
      </c>
      <c r="M51" s="54">
        <f t="shared" si="3"/>
        <v>17671.458676442588</v>
      </c>
      <c r="N51" s="70">
        <f t="shared" si="4"/>
        <v>2.7246397345111039E-2</v>
      </c>
    </row>
    <row r="52" spans="1:14" ht="16">
      <c r="C52" s="30"/>
      <c r="I52" s="858">
        <v>44</v>
      </c>
      <c r="J52" s="859"/>
      <c r="K52" s="860" t="s">
        <v>52</v>
      </c>
      <c r="L52" s="861">
        <v>75</v>
      </c>
      <c r="M52" s="174">
        <f t="shared" si="3"/>
        <v>17671.458676442588</v>
      </c>
      <c r="N52" s="72">
        <f t="shared" si="4"/>
        <v>2.7246397345111039E-2</v>
      </c>
    </row>
    <row r="53" spans="1:14" ht="16">
      <c r="A53" s="37">
        <f>SUM(A7:A51)</f>
        <v>14.88933984133755</v>
      </c>
      <c r="B53" s="37">
        <f>SUM(B7:B51)</f>
        <v>225.1106601586624</v>
      </c>
      <c r="C53" s="37">
        <f>SUM(C7:C51)</f>
        <v>239.99999999999969</v>
      </c>
      <c r="K53" s="24"/>
    </row>
    <row r="54" spans="1:14" ht="16">
      <c r="B54" s="42">
        <f>240-A53</f>
        <v>225.11066015866245</v>
      </c>
      <c r="C54" s="30"/>
      <c r="I54" s="25" t="s">
        <v>14</v>
      </c>
      <c r="K54" s="26"/>
      <c r="L54" s="31"/>
      <c r="M54" s="172">
        <f>SUM(M8:M52)/S26</f>
        <v>14412.880966414747</v>
      </c>
      <c r="N54" s="173">
        <f>SUM(N8:N52)</f>
        <v>0.99999999999999933</v>
      </c>
    </row>
  </sheetData>
  <sortState xmlns:xlrd2="http://schemas.microsoft.com/office/spreadsheetml/2017/richdata2" ref="I8:N52">
    <sortCondition ref="I8:I52"/>
  </sortState>
  <mergeCells count="6">
    <mergeCell ref="Q6:R6"/>
    <mergeCell ref="L6:N6"/>
    <mergeCell ref="I6:I7"/>
    <mergeCell ref="J6:J7"/>
    <mergeCell ref="K6:K7"/>
    <mergeCell ref="P6:P7"/>
  </mergeCells>
  <phoneticPr fontId="6" type="noConversion"/>
  <pageMargins left="0.7" right="0.7" top="0.75" bottom="0.75" header="0.3" footer="0.3"/>
  <pageSetup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0AE218-7E04-4186-A6C6-0332DC5670CC}">
  <sheetPr codeName="Sheet4">
    <tabColor rgb="FF003399"/>
  </sheetPr>
  <dimension ref="B2:AF68"/>
  <sheetViews>
    <sheetView showGridLines="0" topLeftCell="B2" workbookViewId="0">
      <selection activeCell="E12" sqref="E12"/>
    </sheetView>
  </sheetViews>
  <sheetFormatPr baseColWidth="10" defaultColWidth="8.83203125" defaultRowHeight="15" zeroHeight="1"/>
  <cols>
    <col min="1" max="1" width="0" hidden="1" customWidth="1"/>
    <col min="2" max="2" width="2.33203125" customWidth="1"/>
    <col min="3" max="3" width="45.33203125" customWidth="1"/>
    <col min="4" max="4" width="10.33203125" bestFit="1" customWidth="1"/>
    <col min="5" max="5" width="17" bestFit="1" customWidth="1"/>
    <col min="6" max="6" width="6.1640625" customWidth="1"/>
    <col min="7" max="7" width="48.6640625" customWidth="1"/>
    <col min="8" max="8" width="16.33203125" customWidth="1"/>
    <col min="9" max="9" width="20.6640625" customWidth="1"/>
    <col min="10" max="10" width="3.1640625" customWidth="1"/>
    <col min="11" max="11" width="44.83203125" hidden="1" customWidth="1"/>
    <col min="12" max="12" width="6.1640625" bestFit="1" customWidth="1"/>
    <col min="13" max="13" width="9" style="24" bestFit="1" customWidth="1"/>
    <col min="14" max="14" width="14.6640625" style="5" customWidth="1"/>
    <col min="15" max="15" width="11.83203125" style="843" customWidth="1"/>
    <col min="16" max="16" width="9.83203125" style="30" customWidth="1"/>
    <col min="17" max="19" width="12.6640625" style="5" bestFit="1" customWidth="1"/>
    <col min="28" max="28" width="11.5" style="5" bestFit="1" customWidth="1"/>
    <col min="29" max="29" width="6.6640625" style="5" bestFit="1" customWidth="1"/>
    <col min="30" max="30" width="10.83203125" style="5" bestFit="1" customWidth="1"/>
    <col min="31" max="31" width="9.83203125" style="5" bestFit="1" customWidth="1"/>
    <col min="32" max="32" width="11.5" style="5" bestFit="1" customWidth="1"/>
  </cols>
  <sheetData>
    <row r="2" spans="2:32" ht="22">
      <c r="B2" s="152" t="str">
        <f>iProject!G8</f>
        <v>Clarendon Preserve</v>
      </c>
      <c r="C2" s="140"/>
      <c r="D2" s="140"/>
      <c r="E2" s="140"/>
      <c r="F2" s="140"/>
      <c r="G2" s="138"/>
      <c r="H2" s="138"/>
      <c r="I2" s="139"/>
      <c r="J2" s="138"/>
      <c r="K2" s="138"/>
      <c r="L2" s="140"/>
      <c r="M2" s="92"/>
      <c r="N2" s="10"/>
      <c r="O2" s="835"/>
      <c r="P2" s="92"/>
      <c r="Q2" s="10"/>
      <c r="R2" s="10"/>
      <c r="S2" s="10"/>
      <c r="T2" s="10"/>
      <c r="U2" s="10"/>
      <c r="V2" s="10"/>
      <c r="W2" s="10"/>
      <c r="X2" s="10"/>
      <c r="Y2" s="10"/>
      <c r="Z2" s="10"/>
      <c r="AA2" s="10"/>
      <c r="AB2" s="10"/>
      <c r="AC2" s="10"/>
      <c r="AD2" s="10"/>
      <c r="AE2" s="10"/>
      <c r="AF2" s="10"/>
    </row>
    <row r="3" spans="2:32" ht="16">
      <c r="B3" s="153" t="s">
        <v>101</v>
      </c>
      <c r="C3" s="93"/>
      <c r="D3" s="93"/>
      <c r="E3" s="93"/>
      <c r="F3" s="93"/>
      <c r="G3" s="141"/>
      <c r="H3" s="141"/>
      <c r="I3" s="142"/>
      <c r="J3" s="143"/>
      <c r="K3" s="143"/>
      <c r="L3" s="93"/>
      <c r="M3" s="96"/>
      <c r="N3" s="96"/>
      <c r="O3" s="836"/>
      <c r="P3" s="96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96"/>
      <c r="AD3" s="10"/>
      <c r="AE3" s="10"/>
      <c r="AF3" s="10"/>
    </row>
    <row r="4" spans="2:32" ht="16">
      <c r="B4" s="132"/>
      <c r="G4" s="130"/>
      <c r="H4" s="130"/>
      <c r="I4" s="107"/>
      <c r="K4" s="5"/>
      <c r="L4" s="12"/>
      <c r="M4"/>
      <c r="N4"/>
      <c r="O4" s="837"/>
      <c r="P4"/>
      <c r="Q4"/>
      <c r="R4"/>
      <c r="S4"/>
      <c r="AB4"/>
      <c r="AC4"/>
      <c r="AD4"/>
      <c r="AE4"/>
      <c r="AF4"/>
    </row>
    <row r="5" spans="2:32" ht="19">
      <c r="B5" s="132"/>
      <c r="C5" s="149" t="s">
        <v>15</v>
      </c>
      <c r="D5" s="411"/>
      <c r="E5" s="821"/>
      <c r="G5" s="239" t="s">
        <v>122</v>
      </c>
      <c r="H5" s="372"/>
      <c r="K5" s="5"/>
      <c r="L5" s="12"/>
      <c r="M5" s="13" t="s">
        <v>301</v>
      </c>
      <c r="N5" s="422"/>
      <c r="O5" s="838"/>
      <c r="P5" s="422"/>
      <c r="Q5" s="422"/>
      <c r="R5" s="422"/>
      <c r="S5" s="422"/>
      <c r="AB5" s="422"/>
      <c r="AC5" s="422"/>
      <c r="AD5" s="422"/>
      <c r="AE5" s="422"/>
      <c r="AF5" s="376"/>
    </row>
    <row r="6" spans="2:32" ht="19">
      <c r="B6" s="132"/>
      <c r="C6" s="814" t="s">
        <v>145</v>
      </c>
      <c r="D6" s="815"/>
      <c r="E6" s="816"/>
      <c r="G6" s="159" t="s">
        <v>123</v>
      </c>
      <c r="H6" s="375">
        <f>ROUND(I17,-4)</f>
        <v>8360000</v>
      </c>
      <c r="K6" s="5"/>
      <c r="L6" s="12"/>
      <c r="M6" s="1043" t="s">
        <v>47</v>
      </c>
      <c r="N6" s="1047" t="s">
        <v>13</v>
      </c>
      <c r="O6" s="1041" t="s">
        <v>93</v>
      </c>
      <c r="P6" s="1042"/>
      <c r="Q6" s="170" t="s">
        <v>313</v>
      </c>
      <c r="R6" s="90"/>
      <c r="S6" s="91"/>
      <c r="AB6" s="1051" t="s">
        <v>279</v>
      </c>
      <c r="AC6" s="1052"/>
      <c r="AD6" s="1051" t="s">
        <v>129</v>
      </c>
      <c r="AE6" s="1053"/>
      <c r="AF6" s="1052"/>
    </row>
    <row r="7" spans="2:32" ht="19">
      <c r="B7" s="132"/>
      <c r="C7" s="157" t="s">
        <v>77</v>
      </c>
      <c r="D7" s="236"/>
      <c r="E7" s="121">
        <v>22000000</v>
      </c>
      <c r="G7" s="159" t="s">
        <v>124</v>
      </c>
      <c r="H7" s="373">
        <v>2</v>
      </c>
      <c r="K7" s="5"/>
      <c r="L7" s="12"/>
      <c r="M7" s="1044"/>
      <c r="N7" s="1048"/>
      <c r="O7" s="839" t="s">
        <v>114</v>
      </c>
      <c r="P7" s="168" t="s">
        <v>60</v>
      </c>
      <c r="Q7" s="169" t="s">
        <v>53</v>
      </c>
      <c r="R7" s="169" t="s">
        <v>54</v>
      </c>
      <c r="S7" s="169" t="s">
        <v>55</v>
      </c>
      <c r="AB7" s="379" t="s">
        <v>59</v>
      </c>
      <c r="AC7" s="380" t="s">
        <v>60</v>
      </c>
      <c r="AD7" s="381" t="s">
        <v>53</v>
      </c>
      <c r="AE7" s="382" t="s">
        <v>54</v>
      </c>
      <c r="AF7" s="383" t="s">
        <v>55</v>
      </c>
    </row>
    <row r="8" spans="2:32" ht="19">
      <c r="B8" s="132"/>
      <c r="C8" s="157" t="s">
        <v>332</v>
      </c>
      <c r="D8" s="237"/>
      <c r="E8" s="121">
        <v>400000</v>
      </c>
      <c r="G8" s="241" t="s">
        <v>125</v>
      </c>
      <c r="H8" s="374">
        <v>12</v>
      </c>
      <c r="K8" s="5"/>
      <c r="L8" s="12"/>
      <c r="M8" s="27" cm="1">
        <f t="array" ref="M8:M52">iProject!I8:I52</f>
        <v>1</v>
      </c>
      <c r="N8" s="52" t="str" cm="1">
        <f t="array" ref="N8:N52">iProject!K8:K52</f>
        <v xml:space="preserve">Jimmy Creek </v>
      </c>
      <c r="O8" s="845" cm="1">
        <f t="array" ref="O8:O52">iProject!M8:M52</f>
        <v>12271.846303085129</v>
      </c>
      <c r="P8" s="69" cm="1">
        <f t="array" ref="P8:P52">iProject!N8:N52</f>
        <v>1.8921109267438219E-2</v>
      </c>
      <c r="Q8" s="64">
        <f t="shared" ref="Q8:Q52" si="0">$E$10*P8</f>
        <v>433293.40222433524</v>
      </c>
      <c r="R8" s="15">
        <f t="shared" ref="R8:R52" si="1">P8*i_cost.Dev</f>
        <v>158180.47347578351</v>
      </c>
      <c r="S8" s="163">
        <f t="shared" ref="S8:S52" si="2">Q8+R8</f>
        <v>591473.87570011872</v>
      </c>
      <c r="AB8" s="354">
        <v>1403363.2612437012</v>
      </c>
      <c r="AC8" s="69">
        <f t="shared" ref="AC8:AC52" si="3">AB8/$AB$54</f>
        <v>1.3988604082820469E-2</v>
      </c>
      <c r="AD8" s="64">
        <f t="shared" ref="AD8:AD52" si="4">$E$10*AC8</f>
        <v>320339.03349658876</v>
      </c>
      <c r="AE8" s="15">
        <f t="shared" ref="AE8:AE52" si="5">AC8*i_cost.Dev</f>
        <v>116944.73013237912</v>
      </c>
      <c r="AF8" s="163">
        <f t="shared" ref="AF8:AF52" si="6">AD8+AE8</f>
        <v>437283.76362896786</v>
      </c>
    </row>
    <row r="9" spans="2:32" ht="16">
      <c r="B9" s="132"/>
      <c r="C9" s="810" t="s">
        <v>341</v>
      </c>
      <c r="D9" s="818"/>
      <c r="E9" s="871">
        <v>500000</v>
      </c>
      <c r="G9" s="130"/>
      <c r="H9" s="130"/>
      <c r="I9" s="107"/>
      <c r="K9" s="5"/>
      <c r="L9" s="12"/>
      <c r="M9" s="53">
        <v>2</v>
      </c>
      <c r="N9" s="55" t="str">
        <v xml:space="preserve">Jimmy Creek </v>
      </c>
      <c r="O9" s="840">
        <v>12271.846303085129</v>
      </c>
      <c r="P9" s="70">
        <v>1.8921109267438219E-2</v>
      </c>
      <c r="Q9" s="65">
        <f t="shared" si="0"/>
        <v>433293.40222433524</v>
      </c>
      <c r="R9" s="56">
        <f t="shared" si="1"/>
        <v>158180.47347578351</v>
      </c>
      <c r="S9" s="164">
        <f t="shared" si="2"/>
        <v>591473.87570011872</v>
      </c>
      <c r="AB9" s="355">
        <v>1403363.2612437012</v>
      </c>
      <c r="AC9" s="70">
        <f t="shared" si="3"/>
        <v>1.3988604082820469E-2</v>
      </c>
      <c r="AD9" s="65">
        <f t="shared" si="4"/>
        <v>320339.03349658876</v>
      </c>
      <c r="AE9" s="56">
        <f t="shared" si="5"/>
        <v>116944.73013237912</v>
      </c>
      <c r="AF9" s="164">
        <f t="shared" si="6"/>
        <v>437283.76362896786</v>
      </c>
    </row>
    <row r="10" spans="2:32" ht="20" thickBot="1">
      <c r="B10" s="133"/>
      <c r="C10" s="872" t="s">
        <v>294</v>
      </c>
      <c r="D10" s="873"/>
      <c r="E10" s="998">
        <f>SUM(E7:E9)</f>
        <v>22900000</v>
      </c>
      <c r="G10" s="239" t="s">
        <v>323</v>
      </c>
      <c r="H10" s="870"/>
      <c r="I10" s="880" t="s">
        <v>14</v>
      </c>
      <c r="K10" s="148" t="s">
        <v>2</v>
      </c>
      <c r="L10" s="47"/>
      <c r="M10" s="53">
        <v>3</v>
      </c>
      <c r="N10" s="55" t="str">
        <v xml:space="preserve">Jimmy Creek </v>
      </c>
      <c r="O10" s="840">
        <v>7853.981633974483</v>
      </c>
      <c r="P10" s="70">
        <v>1.210950993116046E-2</v>
      </c>
      <c r="Q10" s="65">
        <f t="shared" si="0"/>
        <v>277307.77742357453</v>
      </c>
      <c r="R10" s="56">
        <f t="shared" si="1"/>
        <v>101235.50302450145</v>
      </c>
      <c r="S10" s="164">
        <f t="shared" si="2"/>
        <v>378543.28044807597</v>
      </c>
      <c r="AB10" s="355">
        <v>900740.24923797848</v>
      </c>
      <c r="AC10" s="70">
        <f t="shared" si="3"/>
        <v>8.978501202093989E-3</v>
      </c>
      <c r="AD10" s="65">
        <f t="shared" si="4"/>
        <v>205607.67752795236</v>
      </c>
      <c r="AE10" s="56">
        <f t="shared" si="5"/>
        <v>75060.270049505751</v>
      </c>
      <c r="AF10" s="164">
        <f t="shared" si="6"/>
        <v>280667.94757745811</v>
      </c>
    </row>
    <row r="11" spans="2:32" ht="20" thickTop="1">
      <c r="B11" s="136"/>
      <c r="C11" s="814" t="s">
        <v>146</v>
      </c>
      <c r="D11" s="815"/>
      <c r="E11" s="816"/>
      <c r="G11" s="159" t="str">
        <f>G19</f>
        <v>Hard Costs - Site, Restoration &amp; Infrastructure</v>
      </c>
      <c r="H11" s="234"/>
      <c r="I11" s="409">
        <f>I19</f>
        <v>5222381.8306307429</v>
      </c>
      <c r="K11" s="160"/>
      <c r="M11" s="28">
        <v>45</v>
      </c>
      <c r="N11" s="57" t="str">
        <v xml:space="preserve">Jimmy Creek </v>
      </c>
      <c r="O11" s="841">
        <v>12271.846303085129</v>
      </c>
      <c r="P11" s="71">
        <v>1.8921109267438219E-2</v>
      </c>
      <c r="Q11" s="66">
        <f t="shared" si="0"/>
        <v>433293.40222433524</v>
      </c>
      <c r="R11" s="16">
        <f t="shared" si="1"/>
        <v>158180.47347578351</v>
      </c>
      <c r="S11" s="165">
        <f t="shared" si="2"/>
        <v>591473.87570011872</v>
      </c>
      <c r="AB11" s="356">
        <v>1403363.2612437012</v>
      </c>
      <c r="AC11" s="71">
        <f t="shared" si="3"/>
        <v>1.3988604082820469E-2</v>
      </c>
      <c r="AD11" s="66">
        <f t="shared" si="4"/>
        <v>320339.03349658876</v>
      </c>
      <c r="AE11" s="16">
        <f t="shared" si="5"/>
        <v>116944.73013237912</v>
      </c>
      <c r="AF11" s="165">
        <f t="shared" si="6"/>
        <v>437283.76362896786</v>
      </c>
    </row>
    <row r="12" spans="2:32" ht="22.25" customHeight="1">
      <c r="B12" s="136"/>
      <c r="C12" s="157" t="str">
        <f t="shared" ref="C12:C17" si="7">G11</f>
        <v>Hard Costs - Site, Restoration &amp; Infrastructure</v>
      </c>
      <c r="D12" s="236"/>
      <c r="E12" s="817">
        <f t="shared" ref="E12:E17" si="8">I11</f>
        <v>5222381.8306307429</v>
      </c>
      <c r="G12" s="159" t="str">
        <f>G43</f>
        <v>Resort Site Costs (Hot Springs / Fishing preserve)</v>
      </c>
      <c r="H12" s="234"/>
      <c r="I12" s="409">
        <f>I43</f>
        <v>2000000</v>
      </c>
      <c r="K12" s="160"/>
      <c r="M12" s="53">
        <v>4</v>
      </c>
      <c r="N12" s="55" t="str">
        <v>Deer Creek</v>
      </c>
      <c r="O12" s="840">
        <v>12271.846303085129</v>
      </c>
      <c r="P12" s="70">
        <v>1.8921109267438219E-2</v>
      </c>
      <c r="Q12" s="65">
        <f t="shared" si="0"/>
        <v>433293.40222433524</v>
      </c>
      <c r="R12" s="56">
        <f t="shared" si="1"/>
        <v>158180.47347578351</v>
      </c>
      <c r="S12" s="164">
        <f t="shared" si="2"/>
        <v>591473.87570011872</v>
      </c>
      <c r="AB12" s="355">
        <v>2151823.6672403417</v>
      </c>
      <c r="AC12" s="70">
        <f t="shared" si="3"/>
        <v>2.1449192926991382E-2</v>
      </c>
      <c r="AD12" s="65">
        <f t="shared" si="4"/>
        <v>491186.51802810264</v>
      </c>
      <c r="AE12" s="56">
        <f t="shared" si="5"/>
        <v>179315.25286964796</v>
      </c>
      <c r="AF12" s="164">
        <f t="shared" si="6"/>
        <v>670501.77089775063</v>
      </c>
    </row>
    <row r="13" spans="2:32" ht="22.25" customHeight="1">
      <c r="B13" s="136"/>
      <c r="C13" s="157" t="str">
        <f t="shared" si="7"/>
        <v>Resort Site Costs (Hot Springs / Fishing preserve)</v>
      </c>
      <c r="D13" s="236"/>
      <c r="E13" s="817">
        <f t="shared" si="8"/>
        <v>2000000</v>
      </c>
      <c r="G13" s="159" t="str">
        <f>G47</f>
        <v>Soft Costs Professionals - Final Entitlements &amp; Site Infra.</v>
      </c>
      <c r="H13" s="234"/>
      <c r="I13" s="409">
        <f>I47</f>
        <v>591473.53189972951</v>
      </c>
      <c r="K13" s="412" t="s">
        <v>148</v>
      </c>
      <c r="M13" s="53">
        <v>5</v>
      </c>
      <c r="N13" s="55" t="str">
        <v>Deer Creek</v>
      </c>
      <c r="O13" s="840">
        <v>17671.458676442588</v>
      </c>
      <c r="P13" s="70">
        <v>2.7246397345111039E-2</v>
      </c>
      <c r="Q13" s="65">
        <f t="shared" si="0"/>
        <v>623942.49920304283</v>
      </c>
      <c r="R13" s="56">
        <f t="shared" si="1"/>
        <v>227779.88180512827</v>
      </c>
      <c r="S13" s="164">
        <f t="shared" si="2"/>
        <v>851722.38100817113</v>
      </c>
      <c r="AB13" s="355">
        <v>3098015.6343956697</v>
      </c>
      <c r="AC13" s="70">
        <f t="shared" si="3"/>
        <v>3.08807529374415E-2</v>
      </c>
      <c r="AD13" s="65">
        <f t="shared" si="4"/>
        <v>707169.24226741039</v>
      </c>
      <c r="AE13" s="56">
        <f t="shared" si="5"/>
        <v>258163.09455701095</v>
      </c>
      <c r="AF13" s="164">
        <f t="shared" si="6"/>
        <v>965332.33682442131</v>
      </c>
    </row>
    <row r="14" spans="2:32" ht="22.25" customHeight="1">
      <c r="B14" s="136"/>
      <c r="C14" s="157" t="str">
        <f t="shared" si="7"/>
        <v>Soft Costs Professionals - Final Entitlements &amp; Site Infra.</v>
      </c>
      <c r="D14" s="237"/>
      <c r="E14" s="820">
        <f t="shared" si="8"/>
        <v>591473.53189972951</v>
      </c>
      <c r="G14" s="159" t="str">
        <f>G56</f>
        <v>Soft Costs - Taxes And Insurance</v>
      </c>
      <c r="H14" s="234"/>
      <c r="I14" s="409">
        <f>I56</f>
        <v>30223.100068469084</v>
      </c>
      <c r="K14" s="160"/>
      <c r="M14" s="53">
        <v>6</v>
      </c>
      <c r="N14" s="55" t="str">
        <v>Deer Creek</v>
      </c>
      <c r="O14" s="840">
        <v>7853.981633974483</v>
      </c>
      <c r="P14" s="70">
        <v>1.210950993116046E-2</v>
      </c>
      <c r="Q14" s="65">
        <f t="shared" si="0"/>
        <v>277307.77742357453</v>
      </c>
      <c r="R14" s="56">
        <f t="shared" si="1"/>
        <v>101235.50302450145</v>
      </c>
      <c r="S14" s="164">
        <f t="shared" si="2"/>
        <v>378543.28044807597</v>
      </c>
      <c r="AB14" s="355">
        <v>1381135.0488315669</v>
      </c>
      <c r="AC14" s="70">
        <f t="shared" si="3"/>
        <v>1.3767035176544117E-2</v>
      </c>
      <c r="AD14" s="65">
        <f t="shared" si="4"/>
        <v>315265.10554286028</v>
      </c>
      <c r="AE14" s="56">
        <f t="shared" si="5"/>
        <v>115092.41407590882</v>
      </c>
      <c r="AF14" s="164">
        <f t="shared" si="6"/>
        <v>430357.51961876912</v>
      </c>
    </row>
    <row r="15" spans="2:32" ht="22.25" customHeight="1">
      <c r="B15" s="136"/>
      <c r="C15" s="157" t="str">
        <f t="shared" si="7"/>
        <v>Soft Costs - Taxes And Insurance</v>
      </c>
      <c r="D15" s="237"/>
      <c r="E15" s="820">
        <f t="shared" si="8"/>
        <v>30223.100068469084</v>
      </c>
      <c r="G15" s="159" t="str">
        <f>G60</f>
        <v>Soft Costs - Municipality Fees</v>
      </c>
      <c r="H15" s="234"/>
      <c r="I15" s="409">
        <f>I60</f>
        <v>40850</v>
      </c>
      <c r="K15" s="160"/>
      <c r="M15" s="53">
        <v>7</v>
      </c>
      <c r="N15" s="55" t="str">
        <v>Deer Creek</v>
      </c>
      <c r="O15" s="840">
        <v>12271.846303085129</v>
      </c>
      <c r="P15" s="70">
        <v>1.8921109267438219E-2</v>
      </c>
      <c r="Q15" s="65">
        <f t="shared" si="0"/>
        <v>433293.40222433524</v>
      </c>
      <c r="R15" s="56">
        <f t="shared" si="1"/>
        <v>158180.47347578351</v>
      </c>
      <c r="S15" s="164">
        <f t="shared" si="2"/>
        <v>591473.87570011872</v>
      </c>
      <c r="AB15" s="355">
        <v>1871151.0149916017</v>
      </c>
      <c r="AC15" s="70">
        <f t="shared" si="3"/>
        <v>1.8651472110427291E-2</v>
      </c>
      <c r="AD15" s="65">
        <f t="shared" si="4"/>
        <v>427118.71132878499</v>
      </c>
      <c r="AE15" s="56">
        <f t="shared" si="5"/>
        <v>155926.30684317215</v>
      </c>
      <c r="AF15" s="164">
        <f t="shared" si="6"/>
        <v>583045.01817195711</v>
      </c>
    </row>
    <row r="16" spans="2:32" ht="22.25" customHeight="1">
      <c r="B16" s="136"/>
      <c r="C16" s="157" t="str">
        <f t="shared" si="7"/>
        <v>Soft Costs - Municipality Fees</v>
      </c>
      <c r="D16" s="237"/>
      <c r="E16" s="820">
        <f t="shared" si="8"/>
        <v>40850</v>
      </c>
      <c r="G16" s="241" t="s">
        <v>293</v>
      </c>
      <c r="H16" s="235"/>
      <c r="I16" s="410">
        <f>I65</f>
        <v>475000</v>
      </c>
      <c r="K16" s="160"/>
      <c r="M16" s="53">
        <v>8</v>
      </c>
      <c r="N16" s="55" t="str">
        <v>Deer Creek</v>
      </c>
      <c r="O16" s="840">
        <v>12271.846303085129</v>
      </c>
      <c r="P16" s="70">
        <v>1.8921109267438219E-2</v>
      </c>
      <c r="Q16" s="65">
        <f t="shared" si="0"/>
        <v>433293.40222433524</v>
      </c>
      <c r="R16" s="56">
        <f t="shared" si="1"/>
        <v>158180.47347578351</v>
      </c>
      <c r="S16" s="164">
        <f t="shared" si="2"/>
        <v>591473.87570011872</v>
      </c>
      <c r="AB16" s="355">
        <v>2151823.6672403417</v>
      </c>
      <c r="AC16" s="70">
        <f t="shared" si="3"/>
        <v>2.1449192926991382E-2</v>
      </c>
      <c r="AD16" s="65">
        <f t="shared" si="4"/>
        <v>491186.51802810264</v>
      </c>
      <c r="AE16" s="56">
        <f t="shared" si="5"/>
        <v>179315.25286964796</v>
      </c>
      <c r="AF16" s="164">
        <f t="shared" si="6"/>
        <v>670501.77089775063</v>
      </c>
    </row>
    <row r="17" spans="3:32" ht="19">
      <c r="C17" s="810" t="str">
        <f t="shared" si="7"/>
        <v>Developer Overhead</v>
      </c>
      <c r="D17" s="818"/>
      <c r="E17" s="819">
        <f t="shared" si="8"/>
        <v>475000</v>
      </c>
      <c r="G17" s="876" t="s">
        <v>106</v>
      </c>
      <c r="H17" s="877"/>
      <c r="I17" s="878">
        <f>SUM(I11:I16)</f>
        <v>8359928.4625989422</v>
      </c>
      <c r="K17" s="161" t="str">
        <f>IF(I68-SUM(I11:I16)=0,"R","S")</f>
        <v>S</v>
      </c>
      <c r="M17" s="53">
        <v>9</v>
      </c>
      <c r="N17" s="55" t="str">
        <v>Deer Creek</v>
      </c>
      <c r="O17" s="840">
        <v>7853.981633974483</v>
      </c>
      <c r="P17" s="70">
        <v>1.210950993116046E-2</v>
      </c>
      <c r="Q17" s="65">
        <f t="shared" si="0"/>
        <v>277307.77742357453</v>
      </c>
      <c r="R17" s="56">
        <f t="shared" si="1"/>
        <v>101235.50302450145</v>
      </c>
      <c r="S17" s="164">
        <f t="shared" si="2"/>
        <v>378543.28044807597</v>
      </c>
      <c r="AB17" s="355">
        <v>1381135.0488315669</v>
      </c>
      <c r="AC17" s="70">
        <f t="shared" si="3"/>
        <v>1.3767035176544117E-2</v>
      </c>
      <c r="AD17" s="65">
        <f t="shared" si="4"/>
        <v>315265.10554286028</v>
      </c>
      <c r="AE17" s="56">
        <f t="shared" si="5"/>
        <v>115092.41407590882</v>
      </c>
      <c r="AF17" s="164">
        <f t="shared" si="6"/>
        <v>430357.51961876912</v>
      </c>
    </row>
    <row r="18" spans="3:32" ht="17" thickBot="1">
      <c r="C18" s="874" t="s">
        <v>324</v>
      </c>
      <c r="D18" s="873"/>
      <c r="E18" s="875">
        <f>i_cost.Dev</f>
        <v>8360000</v>
      </c>
      <c r="G18" s="131"/>
      <c r="H18" s="131"/>
      <c r="I18" s="137"/>
      <c r="K18" s="348"/>
      <c r="M18" s="53">
        <v>10</v>
      </c>
      <c r="N18" s="55" t="str">
        <v>Forest</v>
      </c>
      <c r="O18" s="840">
        <v>17671.458676442588</v>
      </c>
      <c r="P18" s="70">
        <v>2.7246397345111039E-2</v>
      </c>
      <c r="Q18" s="65">
        <f t="shared" si="0"/>
        <v>623942.49920304283</v>
      </c>
      <c r="R18" s="56">
        <f t="shared" si="1"/>
        <v>227779.88180512827</v>
      </c>
      <c r="S18" s="164">
        <f t="shared" si="2"/>
        <v>851722.38100817113</v>
      </c>
      <c r="AB18" s="355">
        <v>2289837.6428141911</v>
      </c>
      <c r="AC18" s="70">
        <f t="shared" si="3"/>
        <v>2.2824904345065462E-2</v>
      </c>
      <c r="AD18" s="65">
        <f t="shared" si="4"/>
        <v>522690.30950199912</v>
      </c>
      <c r="AE18" s="56">
        <f t="shared" si="5"/>
        <v>190816.20032474727</v>
      </c>
      <c r="AF18" s="164">
        <f t="shared" si="6"/>
        <v>713506.50982674642</v>
      </c>
    </row>
    <row r="19" spans="3:32" ht="20" thickTop="1">
      <c r="C19" s="811" t="s">
        <v>147</v>
      </c>
      <c r="D19" s="812"/>
      <c r="E19" s="813">
        <f>E18+E10</f>
        <v>31260000</v>
      </c>
      <c r="G19" s="14" t="s">
        <v>102</v>
      </c>
      <c r="H19" s="128"/>
      <c r="I19" s="162">
        <f>SUM(I20:I42)</f>
        <v>5222381.8306307429</v>
      </c>
      <c r="K19" s="349"/>
      <c r="M19" s="53">
        <v>11</v>
      </c>
      <c r="N19" s="55" t="str">
        <v>Forest</v>
      </c>
      <c r="O19" s="840">
        <v>12271.846303085129</v>
      </c>
      <c r="P19" s="70">
        <v>1.8921109267438219E-2</v>
      </c>
      <c r="Q19" s="65">
        <f t="shared" si="0"/>
        <v>433293.40222433524</v>
      </c>
      <c r="R19" s="56">
        <f t="shared" si="1"/>
        <v>158180.47347578351</v>
      </c>
      <c r="S19" s="164">
        <f t="shared" si="2"/>
        <v>591473.87570011872</v>
      </c>
      <c r="AB19" s="355">
        <v>1871151.0149916001</v>
      </c>
      <c r="AC19" s="70">
        <f t="shared" si="3"/>
        <v>1.8651472110427277E-2</v>
      </c>
      <c r="AD19" s="65">
        <f t="shared" si="4"/>
        <v>427118.71132878464</v>
      </c>
      <c r="AE19" s="56">
        <f t="shared" si="5"/>
        <v>155926.30684317203</v>
      </c>
      <c r="AF19" s="164">
        <f t="shared" si="6"/>
        <v>583045.01817195665</v>
      </c>
    </row>
    <row r="20" spans="3:32" ht="16">
      <c r="G20" s="157" t="s">
        <v>67</v>
      </c>
      <c r="H20" s="236"/>
      <c r="I20" s="145">
        <v>0</v>
      </c>
      <c r="K20" s="350"/>
      <c r="L20" s="151"/>
      <c r="M20" s="53">
        <v>12</v>
      </c>
      <c r="N20" s="55" t="str">
        <v>Forest</v>
      </c>
      <c r="O20" s="840">
        <v>12271.846303085129</v>
      </c>
      <c r="P20" s="70">
        <v>1.8921109267438219E-2</v>
      </c>
      <c r="Q20" s="65">
        <f t="shared" si="0"/>
        <v>433293.40222433524</v>
      </c>
      <c r="R20" s="56">
        <f t="shared" si="1"/>
        <v>158180.47347578351</v>
      </c>
      <c r="S20" s="164">
        <f t="shared" si="2"/>
        <v>591473.87570011872</v>
      </c>
      <c r="AB20" s="355">
        <v>1590478.3627428615</v>
      </c>
      <c r="AC20" s="70">
        <f t="shared" si="3"/>
        <v>1.58537512938632E-2</v>
      </c>
      <c r="AD20" s="65">
        <f t="shared" si="4"/>
        <v>363050.90462946729</v>
      </c>
      <c r="AE20" s="56">
        <f t="shared" si="5"/>
        <v>132537.36081669637</v>
      </c>
      <c r="AF20" s="164">
        <f t="shared" si="6"/>
        <v>495588.26544616366</v>
      </c>
    </row>
    <row r="21" spans="3:32" ht="20" customHeight="1">
      <c r="G21" s="158" t="s">
        <v>23</v>
      </c>
      <c r="H21" s="237"/>
      <c r="I21" s="145">
        <v>565421.09819334385</v>
      </c>
      <c r="K21" s="350"/>
      <c r="L21" s="151"/>
      <c r="M21" s="53">
        <v>13</v>
      </c>
      <c r="N21" s="55" t="str">
        <v>Forest</v>
      </c>
      <c r="O21" s="840">
        <v>21382.464998495529</v>
      </c>
      <c r="P21" s="70">
        <v>3.2968140787584352E-2</v>
      </c>
      <c r="Q21" s="65">
        <f t="shared" si="0"/>
        <v>754970.42403568164</v>
      </c>
      <c r="R21" s="56">
        <f t="shared" si="1"/>
        <v>275613.65698420518</v>
      </c>
      <c r="S21" s="164">
        <f t="shared" si="2"/>
        <v>1030584.0810198868</v>
      </c>
      <c r="AB21" s="355">
        <v>3483525.8257822376</v>
      </c>
      <c r="AC21" s="70">
        <f t="shared" si="3"/>
        <v>3.4723485311965709E-2</v>
      </c>
      <c r="AD21" s="65">
        <f t="shared" si="4"/>
        <v>795167.81364401476</v>
      </c>
      <c r="AE21" s="56">
        <f t="shared" si="5"/>
        <v>290288.33720803331</v>
      </c>
      <c r="AF21" s="164">
        <f t="shared" si="6"/>
        <v>1085456.1508520481</v>
      </c>
    </row>
    <row r="22" spans="3:32" ht="20" customHeight="1">
      <c r="G22" s="158" t="s">
        <v>24</v>
      </c>
      <c r="H22" s="237"/>
      <c r="I22" s="145">
        <v>105336.79873217116</v>
      </c>
      <c r="K22" s="350"/>
      <c r="L22" s="151"/>
      <c r="M22" s="53">
        <v>14</v>
      </c>
      <c r="N22" s="55" t="str">
        <v>Forest</v>
      </c>
      <c r="O22" s="840">
        <v>21382.464998495529</v>
      </c>
      <c r="P22" s="70">
        <v>3.2968140787584352E-2</v>
      </c>
      <c r="Q22" s="65">
        <f t="shared" si="0"/>
        <v>754970.42403568164</v>
      </c>
      <c r="R22" s="56">
        <f t="shared" si="1"/>
        <v>275613.65698420518</v>
      </c>
      <c r="S22" s="164">
        <f t="shared" si="2"/>
        <v>1030584.0810198868</v>
      </c>
      <c r="AB22" s="355">
        <v>3317643.6436021309</v>
      </c>
      <c r="AC22" s="70">
        <f t="shared" si="3"/>
        <v>3.3069986011395908E-2</v>
      </c>
      <c r="AD22" s="65">
        <f t="shared" si="4"/>
        <v>757302.67966096627</v>
      </c>
      <c r="AE22" s="56">
        <f t="shared" si="5"/>
        <v>276465.08305526979</v>
      </c>
      <c r="AF22" s="164">
        <f t="shared" si="6"/>
        <v>1033767.7627162361</v>
      </c>
    </row>
    <row r="23" spans="3:32" ht="20" customHeight="1">
      <c r="G23" s="158" t="s">
        <v>25</v>
      </c>
      <c r="H23" s="237"/>
      <c r="I23" s="145">
        <v>0</v>
      </c>
      <c r="K23" s="350"/>
      <c r="L23" s="151"/>
      <c r="M23" s="53">
        <v>15</v>
      </c>
      <c r="N23" s="55" t="str">
        <v>Forest</v>
      </c>
      <c r="O23" s="840">
        <v>21382.464998495529</v>
      </c>
      <c r="P23" s="70">
        <v>3.2968140787584352E-2</v>
      </c>
      <c r="Q23" s="65">
        <f t="shared" si="0"/>
        <v>754970.42403568164</v>
      </c>
      <c r="R23" s="56">
        <f t="shared" si="1"/>
        <v>275613.65698420518</v>
      </c>
      <c r="S23" s="164">
        <f t="shared" si="2"/>
        <v>1030584.0810198868</v>
      </c>
      <c r="AB23" s="355">
        <v>3317643.6436021309</v>
      </c>
      <c r="AC23" s="70">
        <f t="shared" si="3"/>
        <v>3.3069986011395908E-2</v>
      </c>
      <c r="AD23" s="65">
        <f t="shared" si="4"/>
        <v>757302.67966096627</v>
      </c>
      <c r="AE23" s="56">
        <f t="shared" si="5"/>
        <v>276465.08305526979</v>
      </c>
      <c r="AF23" s="164">
        <f t="shared" si="6"/>
        <v>1033767.7627162361</v>
      </c>
    </row>
    <row r="24" spans="3:32" ht="20" customHeight="1">
      <c r="G24" s="158" t="s">
        <v>26</v>
      </c>
      <c r="H24" s="237"/>
      <c r="I24" s="145">
        <v>0</v>
      </c>
      <c r="K24" s="350"/>
      <c r="L24" s="151"/>
      <c r="M24" s="53">
        <v>16</v>
      </c>
      <c r="N24" s="55" t="str">
        <v>Forest</v>
      </c>
      <c r="O24" s="840">
        <v>21382.464998495529</v>
      </c>
      <c r="P24" s="70">
        <v>3.2968140787584352E-2</v>
      </c>
      <c r="Q24" s="65">
        <f t="shared" si="0"/>
        <v>754970.42403568164</v>
      </c>
      <c r="R24" s="56">
        <f t="shared" si="1"/>
        <v>275613.65698420518</v>
      </c>
      <c r="S24" s="164">
        <f t="shared" si="2"/>
        <v>1030584.0810198868</v>
      </c>
      <c r="AB24" s="355">
        <v>3317643.6436021309</v>
      </c>
      <c r="AC24" s="70">
        <f t="shared" si="3"/>
        <v>3.3069986011395908E-2</v>
      </c>
      <c r="AD24" s="65">
        <f t="shared" si="4"/>
        <v>757302.67966096627</v>
      </c>
      <c r="AE24" s="56">
        <f t="shared" si="5"/>
        <v>276465.08305526979</v>
      </c>
      <c r="AF24" s="164">
        <f t="shared" si="6"/>
        <v>1033767.7627162361</v>
      </c>
    </row>
    <row r="25" spans="3:32" ht="20" customHeight="1">
      <c r="G25" s="158" t="s">
        <v>27</v>
      </c>
      <c r="H25" s="237"/>
      <c r="I25" s="145">
        <v>0</v>
      </c>
      <c r="K25" s="350"/>
      <c r="L25" s="151"/>
      <c r="M25" s="53">
        <v>17</v>
      </c>
      <c r="N25" s="55" t="str">
        <v>Forest</v>
      </c>
      <c r="O25" s="840">
        <v>21382.464998495529</v>
      </c>
      <c r="P25" s="70">
        <v>3.2968140787584352E-2</v>
      </c>
      <c r="Q25" s="65">
        <f t="shared" si="0"/>
        <v>754970.42403568164</v>
      </c>
      <c r="R25" s="56">
        <f t="shared" si="1"/>
        <v>275613.65698420518</v>
      </c>
      <c r="S25" s="164">
        <f t="shared" si="2"/>
        <v>1030584.0810198868</v>
      </c>
      <c r="AB25" s="355">
        <v>3317643.6436021309</v>
      </c>
      <c r="AC25" s="70">
        <f t="shared" si="3"/>
        <v>3.3069986011395908E-2</v>
      </c>
      <c r="AD25" s="65">
        <f t="shared" si="4"/>
        <v>757302.67966096627</v>
      </c>
      <c r="AE25" s="56">
        <f t="shared" si="5"/>
        <v>276465.08305526979</v>
      </c>
      <c r="AF25" s="164">
        <f t="shared" si="6"/>
        <v>1033767.7627162361</v>
      </c>
    </row>
    <row r="26" spans="3:32" ht="20" customHeight="1">
      <c r="F26" s="421"/>
      <c r="G26" s="158" t="s">
        <v>28</v>
      </c>
      <c r="H26" s="237"/>
      <c r="I26" s="145">
        <v>323593.02694136294</v>
      </c>
      <c r="K26" s="350"/>
      <c r="L26" s="151"/>
      <c r="M26" s="53">
        <v>18</v>
      </c>
      <c r="N26" s="55" t="str">
        <v>Forest</v>
      </c>
      <c r="O26" s="840">
        <v>21382.464998495529</v>
      </c>
      <c r="P26" s="70">
        <v>3.2968140787584352E-2</v>
      </c>
      <c r="Q26" s="65">
        <f t="shared" si="0"/>
        <v>754970.42403568164</v>
      </c>
      <c r="R26" s="56">
        <f t="shared" si="1"/>
        <v>275613.65698420518</v>
      </c>
      <c r="S26" s="164">
        <f t="shared" si="2"/>
        <v>1030584.0810198868</v>
      </c>
      <c r="AB26" s="355">
        <v>3317643.6436021309</v>
      </c>
      <c r="AC26" s="70">
        <f t="shared" si="3"/>
        <v>3.3069986011395908E-2</v>
      </c>
      <c r="AD26" s="65">
        <f t="shared" si="4"/>
        <v>757302.67966096627</v>
      </c>
      <c r="AE26" s="56">
        <f t="shared" si="5"/>
        <v>276465.08305526979</v>
      </c>
      <c r="AF26" s="164">
        <f t="shared" si="6"/>
        <v>1033767.7627162361</v>
      </c>
    </row>
    <row r="27" spans="3:32" ht="20" customHeight="1">
      <c r="G27" s="158" t="s">
        <v>29</v>
      </c>
      <c r="H27" s="237"/>
      <c r="I27" s="145">
        <v>359429.47702060221</v>
      </c>
      <c r="K27" s="350"/>
      <c r="L27" s="151"/>
      <c r="M27" s="53">
        <v>19</v>
      </c>
      <c r="N27" s="55" t="str">
        <v>Forest</v>
      </c>
      <c r="O27" s="840">
        <v>21382.464998495529</v>
      </c>
      <c r="P27" s="70">
        <v>3.2968140787584352E-2</v>
      </c>
      <c r="Q27" s="65">
        <f t="shared" si="0"/>
        <v>754970.42403568164</v>
      </c>
      <c r="R27" s="56">
        <f t="shared" si="1"/>
        <v>275613.65698420518</v>
      </c>
      <c r="S27" s="164">
        <f t="shared" si="2"/>
        <v>1030584.0810198868</v>
      </c>
      <c r="AB27" s="355">
        <v>3151761.4614220243</v>
      </c>
      <c r="AC27" s="70">
        <f t="shared" si="3"/>
        <v>3.1416486710826114E-2</v>
      </c>
      <c r="AD27" s="65">
        <f t="shared" si="4"/>
        <v>719437.54567791801</v>
      </c>
      <c r="AE27" s="56">
        <f t="shared" si="5"/>
        <v>262641.82890250633</v>
      </c>
      <c r="AF27" s="164">
        <f t="shared" si="6"/>
        <v>982079.37458042428</v>
      </c>
    </row>
    <row r="28" spans="3:32" ht="20" customHeight="1">
      <c r="G28" s="158" t="s">
        <v>30</v>
      </c>
      <c r="H28" s="237"/>
      <c r="I28" s="145">
        <v>364317.71790808241</v>
      </c>
      <c r="K28" s="350"/>
      <c r="L28" s="151"/>
      <c r="M28" s="53">
        <v>20</v>
      </c>
      <c r="N28" s="55" t="str">
        <v>Bench</v>
      </c>
      <c r="O28" s="840">
        <v>12271.846303085129</v>
      </c>
      <c r="P28" s="70">
        <v>1.8921109267438219E-2</v>
      </c>
      <c r="Q28" s="65">
        <f t="shared" si="0"/>
        <v>433293.40222433524</v>
      </c>
      <c r="R28" s="56">
        <f t="shared" si="1"/>
        <v>158180.47347578351</v>
      </c>
      <c r="S28" s="164">
        <f t="shared" si="2"/>
        <v>591473.87570011872</v>
      </c>
      <c r="AB28" s="355">
        <v>1871151.0149916017</v>
      </c>
      <c r="AC28" s="70">
        <f t="shared" si="3"/>
        <v>1.8651472110427291E-2</v>
      </c>
      <c r="AD28" s="65">
        <f t="shared" si="4"/>
        <v>427118.71132878499</v>
      </c>
      <c r="AE28" s="56">
        <f t="shared" si="5"/>
        <v>155926.30684317215</v>
      </c>
      <c r="AF28" s="164">
        <f t="shared" si="6"/>
        <v>583045.01817195711</v>
      </c>
    </row>
    <row r="29" spans="3:32" ht="20" customHeight="1">
      <c r="G29" s="158" t="s">
        <v>31</v>
      </c>
      <c r="H29" s="237"/>
      <c r="I29" s="145">
        <v>142334.07290015847</v>
      </c>
      <c r="K29" s="350"/>
      <c r="L29" s="151"/>
      <c r="M29" s="53">
        <v>21</v>
      </c>
      <c r="N29" s="55" t="str">
        <v>Bench</v>
      </c>
      <c r="O29" s="840">
        <v>12271.846303085129</v>
      </c>
      <c r="P29" s="70">
        <v>1.8921109267438219E-2</v>
      </c>
      <c r="Q29" s="65">
        <f t="shared" si="0"/>
        <v>433293.40222433524</v>
      </c>
      <c r="R29" s="56">
        <f t="shared" si="1"/>
        <v>158180.47347578351</v>
      </c>
      <c r="S29" s="164">
        <f t="shared" si="2"/>
        <v>591473.87570011872</v>
      </c>
      <c r="AB29" s="355">
        <v>1590478.3627428615</v>
      </c>
      <c r="AC29" s="70">
        <f t="shared" si="3"/>
        <v>1.58537512938632E-2</v>
      </c>
      <c r="AD29" s="65">
        <f t="shared" si="4"/>
        <v>363050.90462946729</v>
      </c>
      <c r="AE29" s="56">
        <f t="shared" si="5"/>
        <v>132537.36081669637</v>
      </c>
      <c r="AF29" s="164">
        <f t="shared" si="6"/>
        <v>495588.26544616366</v>
      </c>
    </row>
    <row r="30" spans="3:32" ht="20" customHeight="1">
      <c r="G30" s="158" t="s">
        <v>32</v>
      </c>
      <c r="H30" s="237"/>
      <c r="I30" s="145">
        <v>156136.16481774958</v>
      </c>
      <c r="K30" s="350"/>
      <c r="L30" s="151"/>
      <c r="M30" s="53">
        <v>22</v>
      </c>
      <c r="N30" s="55" t="str">
        <v>Bench</v>
      </c>
      <c r="O30" s="840">
        <v>17671.458676442588</v>
      </c>
      <c r="P30" s="70">
        <v>2.7246397345111039E-2</v>
      </c>
      <c r="Q30" s="65">
        <f t="shared" si="0"/>
        <v>623942.49920304283</v>
      </c>
      <c r="R30" s="56">
        <f t="shared" si="1"/>
        <v>227779.88180512827</v>
      </c>
      <c r="S30" s="164">
        <f t="shared" si="2"/>
        <v>851722.38100817113</v>
      </c>
      <c r="AB30" s="355">
        <v>2289837.6428141911</v>
      </c>
      <c r="AC30" s="70">
        <f t="shared" si="3"/>
        <v>2.2824904345065462E-2</v>
      </c>
      <c r="AD30" s="65">
        <f t="shared" si="4"/>
        <v>522690.30950199912</v>
      </c>
      <c r="AE30" s="56">
        <f t="shared" si="5"/>
        <v>190816.20032474727</v>
      </c>
      <c r="AF30" s="164">
        <f t="shared" si="6"/>
        <v>713506.50982674642</v>
      </c>
    </row>
    <row r="31" spans="3:32" ht="20" customHeight="1">
      <c r="G31" s="158" t="s">
        <v>33</v>
      </c>
      <c r="H31" s="237"/>
      <c r="I31" s="145">
        <v>190946.90966719491</v>
      </c>
      <c r="K31" s="350"/>
      <c r="L31" s="151"/>
      <c r="M31" s="53">
        <v>23</v>
      </c>
      <c r="N31" s="55" t="str">
        <v>Bench</v>
      </c>
      <c r="O31" s="840">
        <v>12271.846303085129</v>
      </c>
      <c r="P31" s="70">
        <v>1.8921109267438219E-2</v>
      </c>
      <c r="Q31" s="65">
        <f t="shared" si="0"/>
        <v>433293.40222433524</v>
      </c>
      <c r="R31" s="56">
        <f t="shared" si="1"/>
        <v>158180.47347578351</v>
      </c>
      <c r="S31" s="164">
        <f t="shared" si="2"/>
        <v>591473.87570011872</v>
      </c>
      <c r="AB31" s="355">
        <v>1403363.2612437012</v>
      </c>
      <c r="AC31" s="70">
        <f t="shared" si="3"/>
        <v>1.3988604082820469E-2</v>
      </c>
      <c r="AD31" s="65">
        <f t="shared" si="4"/>
        <v>320339.03349658876</v>
      </c>
      <c r="AE31" s="56">
        <f t="shared" si="5"/>
        <v>116944.73013237912</v>
      </c>
      <c r="AF31" s="164">
        <f t="shared" si="6"/>
        <v>437283.76362896786</v>
      </c>
    </row>
    <row r="32" spans="3:32" ht="20" customHeight="1">
      <c r="G32" s="158" t="s">
        <v>34</v>
      </c>
      <c r="H32" s="237"/>
      <c r="I32" s="145">
        <v>603194.54833597457</v>
      </c>
      <c r="K32" s="350"/>
      <c r="L32" s="151"/>
      <c r="M32" s="53">
        <v>24</v>
      </c>
      <c r="N32" s="55" t="str">
        <v>Bench</v>
      </c>
      <c r="O32" s="840">
        <v>12271.846303085129</v>
      </c>
      <c r="P32" s="70">
        <v>1.8921109267438219E-2</v>
      </c>
      <c r="Q32" s="65">
        <f t="shared" si="0"/>
        <v>433293.40222433524</v>
      </c>
      <c r="R32" s="56">
        <f t="shared" si="1"/>
        <v>158180.47347578351</v>
      </c>
      <c r="S32" s="164">
        <f t="shared" si="2"/>
        <v>591473.87570011872</v>
      </c>
      <c r="AB32" s="355">
        <v>1403363.2612437012</v>
      </c>
      <c r="AC32" s="70">
        <f t="shared" si="3"/>
        <v>1.3988604082820469E-2</v>
      </c>
      <c r="AD32" s="65">
        <f t="shared" si="4"/>
        <v>320339.03349658876</v>
      </c>
      <c r="AE32" s="56">
        <f t="shared" si="5"/>
        <v>116944.73013237912</v>
      </c>
      <c r="AF32" s="164">
        <f t="shared" si="6"/>
        <v>437283.76362896786</v>
      </c>
    </row>
    <row r="33" spans="7:32" ht="20" customHeight="1">
      <c r="G33" s="158" t="s">
        <v>35</v>
      </c>
      <c r="H33" s="237"/>
      <c r="I33" s="145">
        <v>895578.44690966711</v>
      </c>
      <c r="K33" s="350"/>
      <c r="L33" s="151"/>
      <c r="M33" s="53">
        <v>25</v>
      </c>
      <c r="N33" s="55" t="str">
        <v>Bench</v>
      </c>
      <c r="O33" s="840">
        <v>12271.846303085129</v>
      </c>
      <c r="P33" s="70">
        <v>1.8921109267438219E-2</v>
      </c>
      <c r="Q33" s="65">
        <f t="shared" si="0"/>
        <v>433293.40222433524</v>
      </c>
      <c r="R33" s="56">
        <f t="shared" si="1"/>
        <v>158180.47347578351</v>
      </c>
      <c r="S33" s="164">
        <f t="shared" si="2"/>
        <v>591473.87570011872</v>
      </c>
      <c r="AB33" s="355">
        <v>1403363.2612437012</v>
      </c>
      <c r="AC33" s="70">
        <f t="shared" si="3"/>
        <v>1.3988604082820469E-2</v>
      </c>
      <c r="AD33" s="65">
        <f t="shared" si="4"/>
        <v>320339.03349658876</v>
      </c>
      <c r="AE33" s="56">
        <f t="shared" si="5"/>
        <v>116944.73013237912</v>
      </c>
      <c r="AF33" s="164">
        <f t="shared" si="6"/>
        <v>437283.76362896786</v>
      </c>
    </row>
    <row r="34" spans="7:32" ht="20" customHeight="1">
      <c r="G34" s="158" t="s">
        <v>36</v>
      </c>
      <c r="H34" s="237"/>
      <c r="I34" s="145">
        <v>187202.85261489698</v>
      </c>
      <c r="K34" s="350"/>
      <c r="L34" s="151"/>
      <c r="M34" s="53">
        <v>26</v>
      </c>
      <c r="N34" s="55" t="str">
        <v>Bench</v>
      </c>
      <c r="O34" s="840">
        <v>12271.846303085129</v>
      </c>
      <c r="P34" s="70">
        <v>1.8921109267438219E-2</v>
      </c>
      <c r="Q34" s="65">
        <f t="shared" si="0"/>
        <v>433293.40222433524</v>
      </c>
      <c r="R34" s="56">
        <f t="shared" si="1"/>
        <v>158180.47347578351</v>
      </c>
      <c r="S34" s="164">
        <f t="shared" si="2"/>
        <v>591473.87570011872</v>
      </c>
      <c r="AB34" s="355">
        <v>1871151.0149916017</v>
      </c>
      <c r="AC34" s="70">
        <f t="shared" si="3"/>
        <v>1.8651472110427291E-2</v>
      </c>
      <c r="AD34" s="65">
        <f t="shared" si="4"/>
        <v>427118.71132878499</v>
      </c>
      <c r="AE34" s="56">
        <f t="shared" si="5"/>
        <v>155926.30684317215</v>
      </c>
      <c r="AF34" s="164">
        <f t="shared" si="6"/>
        <v>583045.01817195711</v>
      </c>
    </row>
    <row r="35" spans="7:32" ht="20" customHeight="1">
      <c r="G35" s="158" t="s">
        <v>37</v>
      </c>
      <c r="H35" s="237"/>
      <c r="I35" s="145">
        <v>237326.97052297936</v>
      </c>
      <c r="K35" s="350"/>
      <c r="L35" s="151"/>
      <c r="M35" s="53">
        <v>27</v>
      </c>
      <c r="N35" s="55" t="str">
        <v>Bench</v>
      </c>
      <c r="O35" s="840">
        <v>12271.846303085129</v>
      </c>
      <c r="P35" s="70">
        <v>1.8921109267438219E-2</v>
      </c>
      <c r="Q35" s="65">
        <f t="shared" si="0"/>
        <v>433293.40222433524</v>
      </c>
      <c r="R35" s="56">
        <f t="shared" si="1"/>
        <v>158180.47347578351</v>
      </c>
      <c r="S35" s="164">
        <f t="shared" si="2"/>
        <v>591473.87570011872</v>
      </c>
      <c r="AB35" s="355">
        <v>2058266.116490762</v>
      </c>
      <c r="AC35" s="70">
        <f t="shared" si="3"/>
        <v>2.0516619321470024E-2</v>
      </c>
      <c r="AD35" s="65">
        <f t="shared" si="4"/>
        <v>469830.58246166352</v>
      </c>
      <c r="AE35" s="56">
        <f t="shared" si="5"/>
        <v>171518.93752748941</v>
      </c>
      <c r="AF35" s="164">
        <f t="shared" si="6"/>
        <v>641349.5199891529</v>
      </c>
    </row>
    <row r="36" spans="7:32" ht="20" customHeight="1">
      <c r="G36" s="158" t="s">
        <v>38</v>
      </c>
      <c r="H36" s="237"/>
      <c r="I36" s="145">
        <v>468008.32963549916</v>
      </c>
      <c r="K36" s="350"/>
      <c r="L36" s="151"/>
      <c r="M36" s="53">
        <v>28</v>
      </c>
      <c r="N36" s="55" t="str">
        <v>Bench</v>
      </c>
      <c r="O36" s="840">
        <v>21773.004235244909</v>
      </c>
      <c r="P36" s="70">
        <v>3.3570286168911306E-2</v>
      </c>
      <c r="Q36" s="65">
        <f t="shared" si="0"/>
        <v>768759.55326806894</v>
      </c>
      <c r="R36" s="56">
        <f t="shared" si="1"/>
        <v>280647.59237209853</v>
      </c>
      <c r="S36" s="164">
        <f t="shared" si="2"/>
        <v>1049407.1456401674</v>
      </c>
      <c r="AB36" s="355">
        <v>3649408.0079623442</v>
      </c>
      <c r="AC36" s="70">
        <f t="shared" si="3"/>
        <v>3.6376984612535503E-2</v>
      </c>
      <c r="AD36" s="65">
        <f t="shared" si="4"/>
        <v>833032.94762706303</v>
      </c>
      <c r="AE36" s="56">
        <f t="shared" si="5"/>
        <v>304111.59136079683</v>
      </c>
      <c r="AF36" s="164">
        <f t="shared" si="6"/>
        <v>1137144.5389878599</v>
      </c>
    </row>
    <row r="37" spans="7:32" ht="20" customHeight="1">
      <c r="G37" s="158" t="s">
        <v>39</v>
      </c>
      <c r="H37" s="237"/>
      <c r="I37" s="145">
        <v>0</v>
      </c>
      <c r="K37" s="350"/>
      <c r="L37" s="151"/>
      <c r="M37" s="53">
        <v>29</v>
      </c>
      <c r="N37" s="55" t="str">
        <v>Bench</v>
      </c>
      <c r="O37" s="840">
        <v>17671.458676442588</v>
      </c>
      <c r="P37" s="70">
        <v>2.7246397345111039E-2</v>
      </c>
      <c r="Q37" s="65">
        <f t="shared" si="0"/>
        <v>623942.49920304283</v>
      </c>
      <c r="R37" s="56">
        <f t="shared" si="1"/>
        <v>227779.88180512827</v>
      </c>
      <c r="S37" s="164">
        <f t="shared" si="2"/>
        <v>851722.38100817113</v>
      </c>
      <c r="AB37" s="355">
        <v>2020444.9789536975</v>
      </c>
      <c r="AC37" s="70">
        <f t="shared" si="3"/>
        <v>2.0139621480940107E-2</v>
      </c>
      <c r="AD37" s="65">
        <f t="shared" si="4"/>
        <v>461197.33191352844</v>
      </c>
      <c r="AE37" s="56">
        <f t="shared" si="5"/>
        <v>168367.2355806593</v>
      </c>
      <c r="AF37" s="164">
        <f t="shared" si="6"/>
        <v>629564.56749418774</v>
      </c>
    </row>
    <row r="38" spans="7:32" ht="20" customHeight="1">
      <c r="G38" s="158" t="s">
        <v>40</v>
      </c>
      <c r="H38" s="237"/>
      <c r="I38" s="145">
        <v>0</v>
      </c>
      <c r="K38" s="350"/>
      <c r="L38" s="151"/>
      <c r="M38" s="53">
        <v>30</v>
      </c>
      <c r="N38" s="55" t="str">
        <v>Bench</v>
      </c>
      <c r="O38" s="840">
        <v>7853.981633974483</v>
      </c>
      <c r="P38" s="70">
        <v>1.210950993116046E-2</v>
      </c>
      <c r="Q38" s="65">
        <f t="shared" si="0"/>
        <v>277307.77742357453</v>
      </c>
      <c r="R38" s="56">
        <f t="shared" si="1"/>
        <v>101235.50302450145</v>
      </c>
      <c r="S38" s="164">
        <f t="shared" si="2"/>
        <v>378543.28044807597</v>
      </c>
      <c r="AB38" s="355">
        <v>900740.24923797848</v>
      </c>
      <c r="AC38" s="70">
        <f t="shared" si="3"/>
        <v>8.978501202093989E-3</v>
      </c>
      <c r="AD38" s="65">
        <f t="shared" si="4"/>
        <v>205607.67752795236</v>
      </c>
      <c r="AE38" s="56">
        <f t="shared" si="5"/>
        <v>75060.270049505751</v>
      </c>
      <c r="AF38" s="164">
        <f t="shared" si="6"/>
        <v>280667.94757745811</v>
      </c>
    </row>
    <row r="39" spans="7:32" ht="20" customHeight="1">
      <c r="G39" s="158" t="s">
        <v>41</v>
      </c>
      <c r="H39" s="237"/>
      <c r="I39" s="145">
        <v>374870.56735340727</v>
      </c>
      <c r="K39" s="350"/>
      <c r="L39" s="151"/>
      <c r="M39" s="53">
        <v>31</v>
      </c>
      <c r="N39" s="55" t="str">
        <v>Bench</v>
      </c>
      <c r="O39" s="840">
        <v>7853.981633974483</v>
      </c>
      <c r="P39" s="70">
        <v>1.210950993116046E-2</v>
      </c>
      <c r="Q39" s="65">
        <f t="shared" si="0"/>
        <v>277307.77742357453</v>
      </c>
      <c r="R39" s="56">
        <f t="shared" si="1"/>
        <v>101235.50302450145</v>
      </c>
      <c r="S39" s="164">
        <f t="shared" si="2"/>
        <v>378543.28044807597</v>
      </c>
      <c r="AB39" s="355">
        <v>1020838.9491363756</v>
      </c>
      <c r="AC39" s="70">
        <f t="shared" si="3"/>
        <v>1.0175634695706521E-2</v>
      </c>
      <c r="AD39" s="65">
        <f t="shared" si="4"/>
        <v>233022.03453167932</v>
      </c>
      <c r="AE39" s="56">
        <f t="shared" si="5"/>
        <v>85068.306056106521</v>
      </c>
      <c r="AF39" s="164">
        <f t="shared" si="6"/>
        <v>318090.34058778582</v>
      </c>
    </row>
    <row r="40" spans="7:32" ht="20" customHeight="1">
      <c r="G40" s="158" t="s">
        <v>42</v>
      </c>
      <c r="H40" s="237"/>
      <c r="I40" s="145">
        <v>0</v>
      </c>
      <c r="K40" s="350"/>
      <c r="L40" s="151"/>
      <c r="M40" s="53">
        <v>32</v>
      </c>
      <c r="N40" s="55" t="str">
        <v>Bench</v>
      </c>
      <c r="O40" s="840">
        <v>7853.981633974483</v>
      </c>
      <c r="P40" s="70">
        <v>1.210950993116046E-2</v>
      </c>
      <c r="Q40" s="65">
        <f t="shared" si="0"/>
        <v>277307.77742357453</v>
      </c>
      <c r="R40" s="56">
        <f t="shared" si="1"/>
        <v>101235.50302450145</v>
      </c>
      <c r="S40" s="164">
        <f t="shared" si="2"/>
        <v>378543.28044807597</v>
      </c>
      <c r="AB40" s="355">
        <v>1020838.9491363756</v>
      </c>
      <c r="AC40" s="70">
        <f t="shared" si="3"/>
        <v>1.0175634695706521E-2</v>
      </c>
      <c r="AD40" s="65">
        <f t="shared" si="4"/>
        <v>233022.03453167932</v>
      </c>
      <c r="AE40" s="56">
        <f t="shared" si="5"/>
        <v>85068.306056106521</v>
      </c>
      <c r="AF40" s="164">
        <f t="shared" si="6"/>
        <v>318090.34058778582</v>
      </c>
    </row>
    <row r="41" spans="7:32" ht="20" customHeight="1">
      <c r="G41" s="158" t="s">
        <v>43</v>
      </c>
      <c r="H41" s="237"/>
      <c r="I41" s="145">
        <v>248684.84907765445</v>
      </c>
      <c r="K41" s="350"/>
      <c r="L41" s="151"/>
      <c r="M41" s="53">
        <v>33</v>
      </c>
      <c r="N41" s="55" t="str">
        <v>Bench</v>
      </c>
      <c r="O41" s="840">
        <v>12271.846303085129</v>
      </c>
      <c r="P41" s="70">
        <v>1.8921109267438219E-2</v>
      </c>
      <c r="Q41" s="65">
        <f t="shared" si="0"/>
        <v>433293.40222433524</v>
      </c>
      <c r="R41" s="56">
        <f t="shared" si="1"/>
        <v>158180.47347578351</v>
      </c>
      <c r="S41" s="164">
        <f t="shared" si="2"/>
        <v>591473.87570011872</v>
      </c>
      <c r="AB41" s="355">
        <v>2058266.116490762</v>
      </c>
      <c r="AC41" s="70">
        <f t="shared" si="3"/>
        <v>2.0516619321470024E-2</v>
      </c>
      <c r="AD41" s="65">
        <f t="shared" si="4"/>
        <v>469830.58246166352</v>
      </c>
      <c r="AE41" s="56">
        <f t="shared" si="5"/>
        <v>171518.93752748941</v>
      </c>
      <c r="AF41" s="164">
        <f t="shared" si="6"/>
        <v>641349.5199891529</v>
      </c>
    </row>
    <row r="42" spans="7:32" ht="20" customHeight="1">
      <c r="G42" s="807"/>
      <c r="H42" s="808"/>
      <c r="I42" s="809"/>
      <c r="K42" s="351"/>
      <c r="L42" s="151"/>
      <c r="M42" s="53">
        <v>34</v>
      </c>
      <c r="N42" s="55" t="str">
        <v>Bench</v>
      </c>
      <c r="O42" s="840">
        <v>12271.846303085129</v>
      </c>
      <c r="P42" s="70">
        <v>1.8921109267438219E-2</v>
      </c>
      <c r="Q42" s="65">
        <f t="shared" si="0"/>
        <v>433293.40222433524</v>
      </c>
      <c r="R42" s="56">
        <f t="shared" si="1"/>
        <v>158180.47347578351</v>
      </c>
      <c r="S42" s="164">
        <f t="shared" si="2"/>
        <v>591473.87570011872</v>
      </c>
      <c r="AB42" s="355">
        <v>2058266.116490762</v>
      </c>
      <c r="AC42" s="70">
        <f t="shared" si="3"/>
        <v>2.0516619321470024E-2</v>
      </c>
      <c r="AD42" s="65">
        <f t="shared" si="4"/>
        <v>469830.58246166352</v>
      </c>
      <c r="AE42" s="56">
        <f t="shared" si="5"/>
        <v>171518.93752748941</v>
      </c>
      <c r="AF42" s="164">
        <f t="shared" si="6"/>
        <v>641349.5199891529</v>
      </c>
    </row>
    <row r="43" spans="7:32" ht="20.75" customHeight="1">
      <c r="G43" s="14" t="s">
        <v>295</v>
      </c>
      <c r="H43" s="128"/>
      <c r="I43" s="162">
        <f>SUM(I44:I46)</f>
        <v>2000000</v>
      </c>
      <c r="K43" s="349"/>
      <c r="L43" s="151"/>
      <c r="M43" s="53">
        <v>35</v>
      </c>
      <c r="N43" s="55" t="str">
        <v>Hillside</v>
      </c>
      <c r="O43" s="840">
        <v>17671.458676442588</v>
      </c>
      <c r="P43" s="70">
        <v>2.7246397345111039E-2</v>
      </c>
      <c r="Q43" s="65">
        <f t="shared" si="0"/>
        <v>623942.49920304283</v>
      </c>
      <c r="R43" s="56">
        <f t="shared" si="1"/>
        <v>227779.88180512827</v>
      </c>
      <c r="S43" s="164">
        <f t="shared" si="2"/>
        <v>851722.38100817113</v>
      </c>
      <c r="AB43" s="355">
        <v>2559230.3066746835</v>
      </c>
      <c r="AC43" s="70">
        <f t="shared" si="3"/>
        <v>2.5510187209190804E-2</v>
      </c>
      <c r="AD43" s="65">
        <f t="shared" si="4"/>
        <v>584183.28709046938</v>
      </c>
      <c r="AE43" s="56">
        <f t="shared" si="5"/>
        <v>213265.16506883511</v>
      </c>
      <c r="AF43" s="164">
        <f t="shared" si="6"/>
        <v>797448.45215930452</v>
      </c>
    </row>
    <row r="44" spans="7:32" ht="20" customHeight="1">
      <c r="G44" s="157" t="s">
        <v>296</v>
      </c>
      <c r="H44" s="236"/>
      <c r="I44" s="145">
        <v>250000</v>
      </c>
      <c r="K44" s="350"/>
      <c r="L44" s="136"/>
      <c r="M44" s="53">
        <v>36</v>
      </c>
      <c r="N44" s="55" t="str">
        <v>Hillside</v>
      </c>
      <c r="O44" s="840">
        <v>17671.458676442588</v>
      </c>
      <c r="P44" s="70">
        <v>2.7246397345111039E-2</v>
      </c>
      <c r="Q44" s="65">
        <f t="shared" si="0"/>
        <v>623942.49920304283</v>
      </c>
      <c r="R44" s="56">
        <f t="shared" si="1"/>
        <v>227779.88180512827</v>
      </c>
      <c r="S44" s="164">
        <f t="shared" si="2"/>
        <v>851722.38100817113</v>
      </c>
      <c r="AB44" s="355">
        <v>2693926.6386049301</v>
      </c>
      <c r="AC44" s="70">
        <f t="shared" si="3"/>
        <v>2.685282864125348E-2</v>
      </c>
      <c r="AD44" s="65">
        <f t="shared" si="4"/>
        <v>614929.77588470466</v>
      </c>
      <c r="AE44" s="56">
        <f t="shared" si="5"/>
        <v>224489.64744087908</v>
      </c>
      <c r="AF44" s="164">
        <f t="shared" si="6"/>
        <v>839419.4233255838</v>
      </c>
    </row>
    <row r="45" spans="7:32" ht="20" customHeight="1">
      <c r="G45" s="807" t="s">
        <v>292</v>
      </c>
      <c r="H45" s="808"/>
      <c r="I45" s="809">
        <v>1750000</v>
      </c>
      <c r="K45" s="350"/>
      <c r="L45" s="151"/>
      <c r="M45" s="53">
        <v>37</v>
      </c>
      <c r="N45" s="55" t="str">
        <v>Hillside</v>
      </c>
      <c r="O45" s="840">
        <v>12271.846303085129</v>
      </c>
      <c r="P45" s="70">
        <v>1.8921109267438219E-2</v>
      </c>
      <c r="Q45" s="65">
        <f t="shared" si="0"/>
        <v>433293.40222433524</v>
      </c>
      <c r="R45" s="56">
        <f t="shared" si="1"/>
        <v>158180.47347578351</v>
      </c>
      <c r="S45" s="164">
        <f t="shared" si="2"/>
        <v>591473.87570011872</v>
      </c>
      <c r="AB45" s="355">
        <v>2058266.116490762</v>
      </c>
      <c r="AC45" s="70">
        <f t="shared" si="3"/>
        <v>2.0516619321470024E-2</v>
      </c>
      <c r="AD45" s="65">
        <f t="shared" si="4"/>
        <v>469830.58246166352</v>
      </c>
      <c r="AE45" s="56">
        <f t="shared" si="5"/>
        <v>171518.93752748941</v>
      </c>
      <c r="AF45" s="164">
        <f t="shared" si="6"/>
        <v>641349.5199891529</v>
      </c>
    </row>
    <row r="46" spans="7:32" ht="20" customHeight="1">
      <c r="G46" s="158"/>
      <c r="H46" s="237"/>
      <c r="I46" s="145"/>
      <c r="K46" s="350"/>
      <c r="L46" s="151"/>
      <c r="M46" s="53">
        <v>38</v>
      </c>
      <c r="N46" s="55" t="str">
        <v>Hillside</v>
      </c>
      <c r="O46" s="840">
        <v>12271.846303085129</v>
      </c>
      <c r="P46" s="70">
        <v>1.8921109267438219E-2</v>
      </c>
      <c r="Q46" s="65">
        <f t="shared" si="0"/>
        <v>433293.40222433524</v>
      </c>
      <c r="R46" s="56">
        <f t="shared" si="1"/>
        <v>158180.47347578351</v>
      </c>
      <c r="S46" s="164">
        <f t="shared" si="2"/>
        <v>591473.87570011872</v>
      </c>
      <c r="AB46" s="355">
        <v>2338938.7687395019</v>
      </c>
      <c r="AC46" s="70">
        <f t="shared" si="3"/>
        <v>2.3314340138034115E-2</v>
      </c>
      <c r="AD46" s="65">
        <f t="shared" si="4"/>
        <v>533898.38916098129</v>
      </c>
      <c r="AE46" s="56">
        <f t="shared" si="5"/>
        <v>194907.88355396519</v>
      </c>
      <c r="AF46" s="164">
        <f t="shared" si="6"/>
        <v>728806.27271494642</v>
      </c>
    </row>
    <row r="47" spans="7:32" ht="20" customHeight="1">
      <c r="G47" s="14" t="s">
        <v>103</v>
      </c>
      <c r="H47" s="128"/>
      <c r="I47" s="162">
        <f>SUM(I48:I55)</f>
        <v>591473.53189972951</v>
      </c>
      <c r="K47" s="150"/>
      <c r="L47" s="151"/>
      <c r="M47" s="53">
        <v>39</v>
      </c>
      <c r="N47" s="55" t="str">
        <v>Hillside</v>
      </c>
      <c r="O47" s="840">
        <v>17671.458676442588</v>
      </c>
      <c r="P47" s="70">
        <v>2.7246397345111039E-2</v>
      </c>
      <c r="Q47" s="65">
        <f t="shared" si="0"/>
        <v>623942.49920304283</v>
      </c>
      <c r="R47" s="56">
        <f t="shared" si="1"/>
        <v>227779.88180512827</v>
      </c>
      <c r="S47" s="164">
        <f t="shared" si="2"/>
        <v>851722.38100817113</v>
      </c>
      <c r="AB47" s="355">
        <v>3098015.6343956697</v>
      </c>
      <c r="AC47" s="70">
        <f t="shared" si="3"/>
        <v>3.08807529374415E-2</v>
      </c>
      <c r="AD47" s="65">
        <f t="shared" si="4"/>
        <v>707169.24226741039</v>
      </c>
      <c r="AE47" s="56">
        <f t="shared" si="5"/>
        <v>258163.09455701095</v>
      </c>
      <c r="AF47" s="164">
        <f t="shared" si="6"/>
        <v>965332.33682442131</v>
      </c>
    </row>
    <row r="48" spans="7:32" ht="20" customHeight="1">
      <c r="G48" s="157" t="s">
        <v>16</v>
      </c>
      <c r="H48" s="236"/>
      <c r="I48" s="145">
        <v>20000</v>
      </c>
      <c r="K48" s="350"/>
      <c r="L48" s="151"/>
      <c r="M48" s="53">
        <v>40</v>
      </c>
      <c r="N48" s="55" t="str">
        <v>Hillside</v>
      </c>
      <c r="O48" s="840">
        <v>12271.846303085129</v>
      </c>
      <c r="P48" s="70">
        <v>1.8921109267438219E-2</v>
      </c>
      <c r="Q48" s="65">
        <f t="shared" si="0"/>
        <v>433293.40222433524</v>
      </c>
      <c r="R48" s="56">
        <f t="shared" si="1"/>
        <v>158180.47347578351</v>
      </c>
      <c r="S48" s="164">
        <f t="shared" si="2"/>
        <v>591473.87570011872</v>
      </c>
      <c r="AB48" s="355">
        <v>2151823.6672403417</v>
      </c>
      <c r="AC48" s="70">
        <f t="shared" si="3"/>
        <v>2.1449192926991382E-2</v>
      </c>
      <c r="AD48" s="65">
        <f t="shared" si="4"/>
        <v>491186.51802810264</v>
      </c>
      <c r="AE48" s="56">
        <f t="shared" si="5"/>
        <v>179315.25286964796</v>
      </c>
      <c r="AF48" s="164">
        <f t="shared" si="6"/>
        <v>670501.77089775063</v>
      </c>
    </row>
    <row r="49" spans="7:32" ht="20" customHeight="1">
      <c r="G49" s="158" t="s">
        <v>17</v>
      </c>
      <c r="H49" s="237"/>
      <c r="I49" s="145"/>
      <c r="K49" s="350"/>
      <c r="L49" s="151"/>
      <c r="M49" s="53">
        <v>41</v>
      </c>
      <c r="N49" s="55" t="str">
        <v>Hillside</v>
      </c>
      <c r="O49" s="840">
        <v>7853.981633974483</v>
      </c>
      <c r="P49" s="70">
        <v>1.210950993116046E-2</v>
      </c>
      <c r="Q49" s="65">
        <f t="shared" si="0"/>
        <v>277307.77742357453</v>
      </c>
      <c r="R49" s="56">
        <f t="shared" si="1"/>
        <v>101235.50302450145</v>
      </c>
      <c r="S49" s="164">
        <f t="shared" si="2"/>
        <v>378543.28044807597</v>
      </c>
      <c r="AB49" s="355">
        <v>1501233.7487299643</v>
      </c>
      <c r="AC49" s="70">
        <f t="shared" si="3"/>
        <v>1.4964168670156651E-2</v>
      </c>
      <c r="AD49" s="65">
        <f t="shared" si="4"/>
        <v>342679.46254658728</v>
      </c>
      <c r="AE49" s="56">
        <f t="shared" si="5"/>
        <v>125100.4500825096</v>
      </c>
      <c r="AF49" s="164">
        <f t="shared" si="6"/>
        <v>467779.91262909689</v>
      </c>
    </row>
    <row r="50" spans="7:32" ht="20" customHeight="1">
      <c r="G50" s="158" t="s">
        <v>62</v>
      </c>
      <c r="H50" s="237"/>
      <c r="I50" s="145">
        <v>311459.4015987952</v>
      </c>
      <c r="K50" s="350"/>
      <c r="L50" s="151"/>
      <c r="M50" s="53">
        <v>42</v>
      </c>
      <c r="N50" s="55" t="str">
        <v>Hillside</v>
      </c>
      <c r="O50" s="840">
        <v>17671.458676442588</v>
      </c>
      <c r="P50" s="70">
        <v>2.7246397345111039E-2</v>
      </c>
      <c r="Q50" s="65">
        <f t="shared" si="0"/>
        <v>623942.49920304283</v>
      </c>
      <c r="R50" s="56">
        <f t="shared" si="1"/>
        <v>227779.88180512827</v>
      </c>
      <c r="S50" s="164">
        <f t="shared" si="2"/>
        <v>851722.38100817113</v>
      </c>
      <c r="AB50" s="355">
        <v>3636800.9621166564</v>
      </c>
      <c r="AC50" s="70">
        <f t="shared" si="3"/>
        <v>3.62513186656922E-2</v>
      </c>
      <c r="AD50" s="65">
        <f t="shared" si="4"/>
        <v>830155.19744435139</v>
      </c>
      <c r="AE50" s="56">
        <f t="shared" si="5"/>
        <v>303061.02404518682</v>
      </c>
      <c r="AF50" s="164">
        <f t="shared" si="6"/>
        <v>1133216.2214895382</v>
      </c>
    </row>
    <row r="51" spans="7:32" ht="20" customHeight="1">
      <c r="G51" s="158" t="s">
        <v>18</v>
      </c>
      <c r="H51" s="237"/>
      <c r="I51" s="145">
        <v>75441.160220994469</v>
      </c>
      <c r="K51" s="350"/>
      <c r="L51" s="151"/>
      <c r="M51" s="53">
        <v>43</v>
      </c>
      <c r="N51" s="55" t="str">
        <v>Hillside</v>
      </c>
      <c r="O51" s="840">
        <v>17671.458676442588</v>
      </c>
      <c r="P51" s="70">
        <v>2.7246397345111039E-2</v>
      </c>
      <c r="Q51" s="65">
        <f t="shared" si="0"/>
        <v>623942.49920304283</v>
      </c>
      <c r="R51" s="56">
        <f t="shared" si="1"/>
        <v>227779.88180512827</v>
      </c>
      <c r="S51" s="164">
        <f t="shared" si="2"/>
        <v>851722.38100817113</v>
      </c>
      <c r="AB51" s="355">
        <v>3636800.9621166564</v>
      </c>
      <c r="AC51" s="70">
        <f t="shared" si="3"/>
        <v>3.62513186656922E-2</v>
      </c>
      <c r="AD51" s="65">
        <f t="shared" si="4"/>
        <v>830155.19744435139</v>
      </c>
      <c r="AE51" s="56">
        <f t="shared" si="5"/>
        <v>303061.02404518682</v>
      </c>
      <c r="AF51" s="164">
        <f t="shared" si="6"/>
        <v>1133216.2214895382</v>
      </c>
    </row>
    <row r="52" spans="7:32" ht="20" customHeight="1">
      <c r="G52" s="158" t="s">
        <v>19</v>
      </c>
      <c r="H52" s="237"/>
      <c r="I52" s="145">
        <v>125000</v>
      </c>
      <c r="K52" s="350"/>
      <c r="L52" s="151"/>
      <c r="M52" s="110">
        <v>44</v>
      </c>
      <c r="N52" s="111" t="str">
        <v>Hillside</v>
      </c>
      <c r="O52" s="842">
        <v>17671.458676442588</v>
      </c>
      <c r="P52" s="72">
        <v>2.7246397345111039E-2</v>
      </c>
      <c r="Q52" s="67">
        <f t="shared" si="0"/>
        <v>623942.49920304283</v>
      </c>
      <c r="R52" s="68">
        <f t="shared" si="1"/>
        <v>227779.88180512827</v>
      </c>
      <c r="S52" s="166">
        <f t="shared" si="2"/>
        <v>851722.38100817113</v>
      </c>
      <c r="AB52" s="357">
        <v>3906193.6259771492</v>
      </c>
      <c r="AC52" s="72">
        <f t="shared" si="3"/>
        <v>3.8936601529817545E-2</v>
      </c>
      <c r="AD52" s="67">
        <f t="shared" si="4"/>
        <v>891648.17503282183</v>
      </c>
      <c r="AE52" s="68">
        <f t="shared" si="5"/>
        <v>325509.98878927471</v>
      </c>
      <c r="AF52" s="166">
        <f t="shared" si="6"/>
        <v>1217158.1638220965</v>
      </c>
    </row>
    <row r="53" spans="7:32" ht="28.25" customHeight="1">
      <c r="G53" s="158" t="s">
        <v>20</v>
      </c>
      <c r="H53" s="237"/>
      <c r="I53" s="145">
        <v>25000</v>
      </c>
      <c r="K53" s="350"/>
      <c r="L53" s="151"/>
      <c r="N53" s="24"/>
      <c r="S53" s="167"/>
      <c r="AF53" s="167"/>
    </row>
    <row r="54" spans="7:32" ht="20" customHeight="1">
      <c r="G54" s="158" t="s">
        <v>21</v>
      </c>
      <c r="H54" s="237"/>
      <c r="I54" s="145">
        <v>10000</v>
      </c>
      <c r="K54" s="350"/>
      <c r="M54" s="25" t="s">
        <v>14</v>
      </c>
      <c r="N54" s="26"/>
      <c r="O54" s="844">
        <f>SUM(O8:O52)/MAX(_xlfn.ANCHORARRAY(M8))</f>
        <v>14412.880966414747</v>
      </c>
      <c r="P54" s="173">
        <f>SUM(P8:P52)</f>
        <v>0.99999999999999933</v>
      </c>
      <c r="Q54" s="172">
        <f>SUM(Q8:Q52)</f>
        <v>22899999.999999989</v>
      </c>
      <c r="R54" s="172">
        <f>SUM(R8:R52)</f>
        <v>8359999.9999999981</v>
      </c>
      <c r="S54" s="172">
        <f>SUM(S8:S52)</f>
        <v>31259999.999999993</v>
      </c>
      <c r="AB54" s="172">
        <f>SUM(AB8:AB52)</f>
        <v>100321894.3745205</v>
      </c>
      <c r="AC54" s="172"/>
      <c r="AD54" s="172">
        <f>SUM(AD8:AD52)</f>
        <v>22899999.999999989</v>
      </c>
      <c r="AE54" s="172">
        <f>SUM(AE8:AE52)</f>
        <v>8360000.0000000009</v>
      </c>
      <c r="AF54" s="172">
        <f>SUM(AF8:AF52)</f>
        <v>31259999.999999985</v>
      </c>
    </row>
    <row r="55" spans="7:32" ht="20" customHeight="1">
      <c r="G55" s="158" t="s">
        <v>22</v>
      </c>
      <c r="H55" s="237"/>
      <c r="I55" s="145">
        <v>24572.970079939761</v>
      </c>
      <c r="K55" s="350"/>
      <c r="L55" s="151"/>
      <c r="P55" s="5"/>
    </row>
    <row r="56" spans="7:32" ht="24" customHeight="1">
      <c r="G56" s="14" t="s">
        <v>104</v>
      </c>
      <c r="H56" s="128"/>
      <c r="I56" s="162">
        <f>SUM(I57:I59)</f>
        <v>30223.100068469084</v>
      </c>
      <c r="K56" s="352"/>
      <c r="L56" s="151"/>
      <c r="N56" s="24"/>
    </row>
    <row r="57" spans="7:32" ht="20" customHeight="1">
      <c r="G57" s="158" t="s">
        <v>63</v>
      </c>
      <c r="H57" s="237"/>
      <c r="I57" s="145">
        <v>1500</v>
      </c>
      <c r="K57" s="350"/>
    </row>
    <row r="58" spans="7:32" ht="20" customHeight="1">
      <c r="G58" s="158" t="s">
        <v>64</v>
      </c>
      <c r="H58" s="237"/>
      <c r="I58" s="145">
        <v>28723.100068469084</v>
      </c>
      <c r="K58" s="350"/>
      <c r="L58" s="151"/>
    </row>
    <row r="59" spans="7:32" ht="20" customHeight="1">
      <c r="G59" s="235"/>
      <c r="H59" s="235"/>
      <c r="I59" s="145"/>
      <c r="K59" s="353"/>
      <c r="L59" s="151"/>
    </row>
    <row r="60" spans="7:32" ht="20" customHeight="1">
      <c r="G60" s="14" t="s">
        <v>105</v>
      </c>
      <c r="H60" s="128"/>
      <c r="I60" s="162">
        <f>SUM(I61:I64)</f>
        <v>40850</v>
      </c>
      <c r="K60" s="352"/>
      <c r="L60" s="151"/>
    </row>
    <row r="61" spans="7:32" ht="23" customHeight="1">
      <c r="G61" s="157" t="s">
        <v>44</v>
      </c>
      <c r="H61" s="236"/>
      <c r="I61" s="145">
        <v>15850</v>
      </c>
      <c r="K61" s="350"/>
      <c r="L61" s="151"/>
    </row>
    <row r="62" spans="7:32" ht="16" hidden="1">
      <c r="G62" s="158" t="s">
        <v>45</v>
      </c>
      <c r="H62" s="237"/>
      <c r="I62" s="145" t="s">
        <v>1</v>
      </c>
      <c r="K62" s="350"/>
    </row>
    <row r="63" spans="7:32" ht="16" hidden="1">
      <c r="G63" s="158" t="s">
        <v>46</v>
      </c>
      <c r="H63" s="237"/>
      <c r="I63" s="145">
        <v>25000</v>
      </c>
      <c r="K63" s="350"/>
    </row>
    <row r="65" spans="7:9" ht="19" hidden="1">
      <c r="G65" s="14" t="s">
        <v>65</v>
      </c>
      <c r="H65" s="128"/>
      <c r="I65" s="162">
        <f>SUM(I66:I67)</f>
        <v>475000</v>
      </c>
    </row>
    <row r="66" spans="7:9" ht="16" hidden="1">
      <c r="G66" s="154" t="s">
        <v>65</v>
      </c>
      <c r="H66" s="240">
        <f>I66/I68</f>
        <v>7.4686374664958796E-2</v>
      </c>
      <c r="I66" s="145">
        <v>475000</v>
      </c>
    </row>
    <row r="67" spans="7:9" ht="16" hidden="1">
      <c r="G67" s="155"/>
      <c r="H67" s="238"/>
      <c r="I67" s="156"/>
    </row>
    <row r="68" spans="7:9" ht="16" hidden="1">
      <c r="G68" s="147" t="s">
        <v>66</v>
      </c>
      <c r="H68" s="147"/>
      <c r="I68" s="146">
        <f>I19+I47+I56+I60+I65</f>
        <v>6359928.4625989422</v>
      </c>
    </row>
  </sheetData>
  <mergeCells count="5">
    <mergeCell ref="AB6:AC6"/>
    <mergeCell ref="AD6:AF6"/>
    <mergeCell ref="M6:M7"/>
    <mergeCell ref="N6:N7"/>
    <mergeCell ref="O6:P6"/>
  </mergeCells>
  <conditionalFormatting sqref="M8:S52 AB8:AF52 M54:S54 AB54:AF54">
    <cfRule type="expression" dxfId="40" priority="2">
      <formula>MOD(ROW(), 2) = 1</formula>
    </cfRule>
  </conditionalFormatting>
  <pageMargins left="0.7" right="0.7" top="0.75" bottom="0.75" header="0.3" footer="0.3"/>
  <pageSetup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4DED7B-2CD4-4E8F-9E21-2C31D94F52BC}">
  <sheetPr codeName="Sheet6">
    <tabColor rgb="FF003399"/>
  </sheetPr>
  <dimension ref="A2:AZ57"/>
  <sheetViews>
    <sheetView showGridLines="0" topLeftCell="A2" workbookViewId="0">
      <pane ySplit="6" topLeftCell="A8" activePane="bottomLeft" state="frozen"/>
      <selection activeCell="A2" sqref="A2"/>
      <selection pane="bottomLeft" activeCell="F22" sqref="F22"/>
    </sheetView>
  </sheetViews>
  <sheetFormatPr baseColWidth="10" defaultColWidth="8.83203125" defaultRowHeight="15" zeroHeight="1"/>
  <cols>
    <col min="1" max="1" width="2.1640625" customWidth="1"/>
    <col min="2" max="3" width="10.1640625" customWidth="1"/>
    <col min="4" max="4" width="13.6640625" customWidth="1"/>
    <col min="5" max="5" width="8.5" customWidth="1"/>
    <col min="6" max="6" width="15.6640625" bestFit="1" customWidth="1"/>
    <col min="7" max="7" width="8.5" customWidth="1"/>
    <col min="8" max="8" width="11.1640625" style="24" customWidth="1"/>
    <col min="9" max="9" width="6.1640625" style="832" customWidth="1"/>
    <col min="10" max="10" width="16.1640625" style="5" customWidth="1"/>
    <col min="11" max="11" width="9.1640625" style="30" bestFit="1" customWidth="1"/>
    <col min="12" max="13" width="11.6640625" style="5" bestFit="1" customWidth="1"/>
    <col min="14" max="19" width="11.6640625" bestFit="1" customWidth="1"/>
    <col min="20" max="20" width="2.6640625" customWidth="1"/>
    <col min="21" max="21" width="6.83203125" style="48" bestFit="1" customWidth="1"/>
    <col min="22" max="22" width="3.5" style="48" bestFit="1" customWidth="1"/>
    <col min="23" max="23" width="12" bestFit="1" customWidth="1"/>
    <col min="24" max="24" width="13" style="102" bestFit="1" customWidth="1"/>
    <col min="25" max="25" width="12" style="102" bestFit="1" customWidth="1"/>
    <col min="27" max="27" width="19.1640625" customWidth="1"/>
    <col min="28" max="28" width="14" style="48" customWidth="1"/>
    <col min="29" max="29" width="13.5" customWidth="1"/>
    <col min="30" max="30" width="13.5" bestFit="1" customWidth="1"/>
    <col min="31" max="31" width="14.33203125" customWidth="1"/>
    <col min="32" max="36" width="12.83203125" customWidth="1"/>
    <col min="37" max="37" width="11.1640625" hidden="1" customWidth="1"/>
    <col min="40" max="40" width="8.83203125" style="59"/>
    <col min="41" max="42" width="12.6640625" bestFit="1" customWidth="1"/>
    <col min="43" max="43" width="13.33203125" customWidth="1"/>
    <col min="44" max="44" width="12.6640625" bestFit="1" customWidth="1"/>
    <col min="45" max="45" width="13.1640625" customWidth="1"/>
    <col min="46" max="46" width="11.5" customWidth="1"/>
    <col min="47" max="49" width="9.6640625" customWidth="1"/>
    <col min="50" max="50" width="12.6640625" bestFit="1" customWidth="1"/>
    <col min="51" max="51" width="12" bestFit="1" customWidth="1"/>
    <col min="54" max="54" width="11.5" bestFit="1" customWidth="1"/>
  </cols>
  <sheetData>
    <row r="2" spans="1:52" s="1" customFormat="1" ht="25.25" customHeight="1">
      <c r="A2" s="152" t="str">
        <f>iBudget!B2</f>
        <v>Clarendon Preserve</v>
      </c>
      <c r="B2" s="152"/>
      <c r="C2" s="152"/>
      <c r="D2" s="152"/>
      <c r="E2" s="152"/>
      <c r="F2" s="152"/>
      <c r="G2" s="152"/>
      <c r="H2" s="98"/>
      <c r="I2" s="955"/>
      <c r="K2" s="2"/>
      <c r="U2" s="2"/>
      <c r="V2" s="2"/>
      <c r="X2" s="101"/>
      <c r="Y2" s="101"/>
      <c r="Z2" s="95"/>
      <c r="AB2" s="2"/>
      <c r="AN2" s="233"/>
    </row>
    <row r="3" spans="1:52" s="1" customFormat="1" ht="18.75" customHeight="1">
      <c r="A3" s="153" t="s">
        <v>130</v>
      </c>
      <c r="B3" s="153"/>
      <c r="C3" s="153"/>
      <c r="D3" s="153"/>
      <c r="E3" s="153"/>
      <c r="F3" s="153"/>
      <c r="G3" s="153"/>
      <c r="H3" s="98"/>
      <c r="I3" s="955"/>
      <c r="K3" s="2"/>
      <c r="U3" s="2"/>
      <c r="V3" s="2"/>
      <c r="X3" s="101"/>
      <c r="Y3" s="101"/>
      <c r="Z3" s="96"/>
      <c r="AB3" s="2"/>
      <c r="AN3" s="233"/>
    </row>
    <row r="4" spans="1:52">
      <c r="H4"/>
      <c r="I4" s="956"/>
      <c r="J4"/>
      <c r="K4"/>
      <c r="L4"/>
      <c r="M4"/>
      <c r="O4" s="5"/>
      <c r="P4" s="5"/>
      <c r="Q4" s="5"/>
      <c r="R4" s="5"/>
      <c r="S4" s="5"/>
      <c r="T4" s="5"/>
      <c r="U4" s="30"/>
      <c r="V4" s="30"/>
      <c r="W4" s="5"/>
    </row>
    <row r="5" spans="1:52" ht="22.25" customHeight="1">
      <c r="A5" s="135"/>
      <c r="B5" s="135"/>
      <c r="C5" s="135"/>
      <c r="D5" s="135"/>
      <c r="E5" s="135"/>
      <c r="F5" s="135"/>
      <c r="G5" s="135"/>
      <c r="H5" s="144"/>
      <c r="J5" s="144"/>
      <c r="K5" s="1056" t="s">
        <v>107</v>
      </c>
      <c r="L5" s="1057"/>
      <c r="M5" s="1057"/>
      <c r="N5" s="1058" t="s">
        <v>271</v>
      </c>
      <c r="O5" s="1059"/>
      <c r="P5" s="1059"/>
      <c r="Q5" s="1059"/>
      <c r="R5" s="1059"/>
      <c r="S5" s="1059"/>
      <c r="T5" s="135"/>
      <c r="U5" s="358" t="s">
        <v>73</v>
      </c>
      <c r="V5" s="359"/>
      <c r="W5" s="360"/>
      <c r="X5" s="358" t="s">
        <v>108</v>
      </c>
      <c r="Y5" s="361"/>
      <c r="Z5" s="135"/>
      <c r="AA5" s="135"/>
      <c r="AB5" s="217"/>
      <c r="AC5" s="5"/>
      <c r="AD5" s="5"/>
      <c r="AE5" s="5"/>
      <c r="AF5" s="5"/>
      <c r="AG5" s="5"/>
      <c r="AH5" s="5"/>
      <c r="AI5" s="5"/>
    </row>
    <row r="6" spans="1:52" s="47" customFormat="1" ht="19">
      <c r="A6" s="134"/>
      <c r="B6" s="239" t="s">
        <v>333</v>
      </c>
      <c r="C6" s="870"/>
      <c r="D6" s="870"/>
      <c r="E6" s="870"/>
      <c r="F6" s="980"/>
      <c r="G6" s="134"/>
      <c r="H6" s="194" t="s">
        <v>58</v>
      </c>
      <c r="I6" s="957"/>
      <c r="J6" s="195"/>
      <c r="K6" s="171" t="s">
        <v>111</v>
      </c>
      <c r="L6" s="1054" t="s">
        <v>61</v>
      </c>
      <c r="M6" s="1055"/>
      <c r="N6" s="196">
        <v>1</v>
      </c>
      <c r="O6" s="196">
        <v>2</v>
      </c>
      <c r="P6" s="196">
        <v>3</v>
      </c>
      <c r="Q6" s="196">
        <v>4</v>
      </c>
      <c r="R6" s="196">
        <v>5</v>
      </c>
      <c r="S6" s="196">
        <v>6</v>
      </c>
      <c r="T6" s="135"/>
      <c r="U6" s="362" t="s">
        <v>109</v>
      </c>
      <c r="V6" s="175"/>
      <c r="W6" s="720" t="s">
        <v>157</v>
      </c>
      <c r="X6" s="197" t="s">
        <v>85</v>
      </c>
      <c r="Y6" s="198"/>
      <c r="Z6" s="135"/>
      <c r="AB6" s="242"/>
      <c r="AL6"/>
    </row>
    <row r="7" spans="1:52" ht="19">
      <c r="A7" s="135"/>
      <c r="B7" s="988" t="s">
        <v>15</v>
      </c>
      <c r="C7" s="989"/>
      <c r="D7" s="989"/>
      <c r="E7" s="989"/>
      <c r="F7" s="990"/>
      <c r="G7" s="135"/>
      <c r="H7" s="365" t="s">
        <v>47</v>
      </c>
      <c r="I7" s="958" t="s">
        <v>95</v>
      </c>
      <c r="J7" s="366" t="s">
        <v>13</v>
      </c>
      <c r="K7" s="176" t="s">
        <v>93</v>
      </c>
      <c r="L7" s="199" t="s">
        <v>116</v>
      </c>
      <c r="M7" s="367" t="s">
        <v>117</v>
      </c>
      <c r="N7" s="981">
        <f>F15</f>
        <v>1.75</v>
      </c>
      <c r="O7" s="981">
        <f>N7+$F$16</f>
        <v>2</v>
      </c>
      <c r="P7" s="981">
        <f>O7+$F$16</f>
        <v>2.25</v>
      </c>
      <c r="Q7" s="981">
        <f>P7+$F$16</f>
        <v>2.5</v>
      </c>
      <c r="R7" s="981">
        <f>Q7+$F$16</f>
        <v>2.75</v>
      </c>
      <c r="S7" s="981">
        <f>R7+$F$16</f>
        <v>3</v>
      </c>
      <c r="T7" s="135"/>
      <c r="U7" s="368" t="s">
        <v>110</v>
      </c>
      <c r="V7" s="369" t="s">
        <v>112</v>
      </c>
      <c r="W7" s="370" t="s">
        <v>71</v>
      </c>
      <c r="X7" s="371" t="s">
        <v>86</v>
      </c>
      <c r="Y7" s="371" t="s">
        <v>88</v>
      </c>
      <c r="Z7" s="135"/>
      <c r="AA7" s="222" t="s">
        <v>118</v>
      </c>
      <c r="AB7" s="243"/>
      <c r="AC7" s="223"/>
      <c r="AD7" s="392" t="s">
        <v>78</v>
      </c>
      <c r="AE7" s="232">
        <v>1</v>
      </c>
      <c r="AF7" s="232">
        <v>2</v>
      </c>
      <c r="AG7" s="232">
        <v>3</v>
      </c>
      <c r="AH7" s="232">
        <v>4</v>
      </c>
      <c r="AI7" s="232">
        <v>5</v>
      </c>
      <c r="AJ7" s="232">
        <v>6</v>
      </c>
      <c r="AK7" s="232">
        <v>7</v>
      </c>
    </row>
    <row r="8" spans="1:52" ht="16">
      <c r="A8" s="135"/>
      <c r="B8" s="1000" t="s">
        <v>334</v>
      </c>
      <c r="C8" s="983"/>
      <c r="D8" s="983"/>
      <c r="E8" s="983"/>
      <c r="F8" s="182">
        <f>iBudget!E7</f>
        <v>22000000</v>
      </c>
      <c r="G8" s="135"/>
      <c r="H8" s="363" cm="1">
        <f t="array" ref="H8:H52">iProject!I8:I52</f>
        <v>1</v>
      </c>
      <c r="I8" s="959" cm="1">
        <f t="array" ref="I8:I52">iProject!J8:J52</f>
        <v>0</v>
      </c>
      <c r="J8" s="364" t="str" cm="1">
        <f t="array" ref="J8:J52">iProject!K8:K52</f>
        <v xml:space="preserve">Jimmy Creek </v>
      </c>
      <c r="K8" s="177" cm="1">
        <f t="array" ref="K8:K52">iProject!M8:M52</f>
        <v>12271.846303085129</v>
      </c>
      <c r="L8" s="177" cm="1">
        <f t="array" ref="L8:L52">iBudget!S8:S52</f>
        <v>591473.87570011872</v>
      </c>
      <c r="M8" s="179" cm="1">
        <f t="array" ref="M8:M52">iBudget!AF8:AF52</f>
        <v>437283.76362896786</v>
      </c>
      <c r="N8" s="200">
        <f t="shared" ref="N8:R17" si="0">$L8*N$7</f>
        <v>1035079.2824752077</v>
      </c>
      <c r="O8" s="201">
        <f t="shared" si="0"/>
        <v>1182947.7514002374</v>
      </c>
      <c r="P8" s="201">
        <f t="shared" si="0"/>
        <v>1330816.2203252672</v>
      </c>
      <c r="Q8" s="201">
        <f t="shared" si="0"/>
        <v>1478684.6892502969</v>
      </c>
      <c r="R8" s="178">
        <f t="shared" si="0"/>
        <v>1626553.1581753264</v>
      </c>
      <c r="S8" s="178">
        <f t="shared" ref="S8:S17" si="1">$M8*S$7</f>
        <v>1311851.2908869036</v>
      </c>
      <c r="T8" s="135"/>
      <c r="U8" s="977">
        <v>13</v>
      </c>
      <c r="V8" s="202">
        <f>IF(U8="","",INT((U8-1)/12)+1)</f>
        <v>2</v>
      </c>
      <c r="W8" s="178">
        <f>LOOKUP(V8,$N$6:$S$6,N8:S8)</f>
        <v>1182947.7514002374</v>
      </c>
      <c r="X8" s="203" cm="1">
        <f t="array" ref="X8:X52">iBudget!AB8:AB52</f>
        <v>1403363.2612437012</v>
      </c>
      <c r="Y8" s="203">
        <f>X8-W8</f>
        <v>220415.50984346378</v>
      </c>
      <c r="Z8" s="135"/>
      <c r="AA8" s="227" t="str" cm="1">
        <f t="array" ref="AA8:AA12">_xlfn.ANCHORARRAY(Reports!F25)</f>
        <v xml:space="preserve">Jimmy Creek </v>
      </c>
      <c r="AB8" s="244"/>
      <c r="AC8" s="224">
        <f>SUM(AD8:AK8)</f>
        <v>4</v>
      </c>
      <c r="AD8" s="218">
        <f>COUNTIFS(iOption!$J$8:$J$52, Reports!$F25, iOption!$V$8:$V$52, AD$7)</f>
        <v>0</v>
      </c>
      <c r="AE8" s="218">
        <f>COUNTIFS(iOption!$J$8:$J$52, Reports!$F25, iOption!$V$8:$V$52, AE$7)</f>
        <v>0</v>
      </c>
      <c r="AF8" s="218">
        <f>COUNTIFS(iOption!$J$8:$J$52, Reports!$F25, iOption!$V$8:$V$52, AF$7)</f>
        <v>4</v>
      </c>
      <c r="AG8" s="218">
        <f>COUNTIFS(iOption!$J$8:$J$52, Reports!$F25, iOption!$V$8:$V$52, AG$7)</f>
        <v>0</v>
      </c>
      <c r="AH8" s="218">
        <f>COUNTIFS(iOption!$J$8:$J$52, Reports!$F25, iOption!$V$8:$V$52, AH$7)</f>
        <v>0</v>
      </c>
      <c r="AI8" s="218">
        <f>COUNTIFS(iOption!$J$8:$J$52, Reports!$F25, iOption!$V$8:$V$52, AI$7)</f>
        <v>0</v>
      </c>
      <c r="AJ8" s="218">
        <f>COUNTIFS(iOption!$J$8:$J$52, Reports!$F25, iOption!$V$8:$V$52, AJ$7)</f>
        <v>0</v>
      </c>
      <c r="AK8" s="218">
        <f>COUNTIFS(iOption!$J$8:$J$52, Reports!$F25, iOption!$V$8:$V$52, AK$7)</f>
        <v>0</v>
      </c>
      <c r="AZ8">
        <f>mOption!P8/mOption!O7</f>
        <v>-0.13915547024952016</v>
      </c>
    </row>
    <row r="9" spans="1:52" ht="16">
      <c r="A9" s="135"/>
      <c r="B9" s="973" t="s">
        <v>332</v>
      </c>
      <c r="C9" s="425"/>
      <c r="D9" s="425"/>
      <c r="E9" s="425"/>
      <c r="F9" s="182">
        <f>iBudget!E8</f>
        <v>400000</v>
      </c>
      <c r="G9" s="135"/>
      <c r="H9" s="204">
        <v>2</v>
      </c>
      <c r="I9" s="960">
        <v>0</v>
      </c>
      <c r="J9" s="180" t="str">
        <v xml:space="preserve">Jimmy Creek </v>
      </c>
      <c r="K9" s="181">
        <v>12271.846303085129</v>
      </c>
      <c r="L9" s="182">
        <v>591473.87570011872</v>
      </c>
      <c r="M9" s="183">
        <v>437283.76362896786</v>
      </c>
      <c r="N9" s="205">
        <f t="shared" si="0"/>
        <v>1035079.2824752077</v>
      </c>
      <c r="O9" s="206">
        <f t="shared" si="0"/>
        <v>1182947.7514002374</v>
      </c>
      <c r="P9" s="206">
        <f t="shared" si="0"/>
        <v>1330816.2203252672</v>
      </c>
      <c r="Q9" s="206">
        <f t="shared" si="0"/>
        <v>1478684.6892502969</v>
      </c>
      <c r="R9" s="182">
        <f t="shared" si="0"/>
        <v>1626553.1581753264</v>
      </c>
      <c r="S9" s="182">
        <f t="shared" si="1"/>
        <v>1311851.2908869036</v>
      </c>
      <c r="T9" s="135"/>
      <c r="U9" s="978">
        <v>16</v>
      </c>
      <c r="V9" s="207">
        <f t="shared" ref="V9:V52" si="2">IF(U9="","",INT((U9-1)/12)+1)</f>
        <v>2</v>
      </c>
      <c r="W9" s="182">
        <f t="shared" ref="W9:W52" si="3">LOOKUP(V9,$N$6:$S$6,N9:S9)</f>
        <v>1182947.7514002374</v>
      </c>
      <c r="X9" s="208">
        <v>1403363.2612437012</v>
      </c>
      <c r="Y9" s="208">
        <f t="shared" ref="Y9:Y52" si="4">X9-W9</f>
        <v>220415.50984346378</v>
      </c>
      <c r="Z9" s="135"/>
      <c r="AA9" s="227" t="str">
        <v>Deer Creek</v>
      </c>
      <c r="AB9" s="244"/>
      <c r="AC9" s="224">
        <f t="shared" ref="AC9:AC12" si="5">SUM(AD9:AK9)</f>
        <v>6</v>
      </c>
      <c r="AD9" s="218">
        <f>COUNTIFS(iOption!$J$8:$J$52, Reports!$F26, iOption!$V$8:$V$52, AD$7)</f>
        <v>0</v>
      </c>
      <c r="AE9" s="218">
        <f>COUNTIFS(iOption!$J$8:$J$52, Reports!$F26, iOption!$V$8:$V$52, AE$7)</f>
        <v>0</v>
      </c>
      <c r="AF9" s="218">
        <f>COUNTIFS(iOption!$J$8:$J$52, Reports!$F26, iOption!$V$8:$V$52, AF$7)</f>
        <v>1</v>
      </c>
      <c r="AG9" s="218">
        <f>COUNTIFS(iOption!$J$8:$J$52, Reports!$F26, iOption!$V$8:$V$52, AG$7)</f>
        <v>0</v>
      </c>
      <c r="AH9" s="218">
        <f>COUNTIFS(iOption!$J$8:$J$52, Reports!$F26, iOption!$V$8:$V$52, AH$7)</f>
        <v>0</v>
      </c>
      <c r="AI9" s="218">
        <f>COUNTIFS(iOption!$J$8:$J$52, Reports!$F26, iOption!$V$8:$V$52, AI$7)</f>
        <v>0</v>
      </c>
      <c r="AJ9" s="218">
        <f>COUNTIFS(iOption!$J$8:$J$52, Reports!$F26, iOption!$V$8:$V$52, AJ$7)</f>
        <v>5</v>
      </c>
      <c r="AK9" s="218">
        <f>COUNTIFS(iOption!$J$8:$J$52, Reports!$F26, iOption!$V$8:$V$52, AK$7)</f>
        <v>0</v>
      </c>
    </row>
    <row r="10" spans="1:52" ht="16">
      <c r="A10" s="135"/>
      <c r="B10" s="973" t="s">
        <v>335</v>
      </c>
      <c r="C10" s="425"/>
      <c r="D10" s="425"/>
      <c r="E10" s="425"/>
      <c r="F10" s="186">
        <f>iBudget!E9</f>
        <v>500000</v>
      </c>
      <c r="G10" s="135"/>
      <c r="H10" s="204">
        <v>3</v>
      </c>
      <c r="I10" s="960">
        <v>0</v>
      </c>
      <c r="J10" s="180" t="str">
        <v xml:space="preserve">Jimmy Creek </v>
      </c>
      <c r="K10" s="181">
        <v>7853.981633974483</v>
      </c>
      <c r="L10" s="182">
        <v>378543.28044807597</v>
      </c>
      <c r="M10" s="183">
        <v>280667.94757745811</v>
      </c>
      <c r="N10" s="205">
        <f t="shared" si="0"/>
        <v>662450.74078413297</v>
      </c>
      <c r="O10" s="206">
        <f t="shared" si="0"/>
        <v>757086.56089615193</v>
      </c>
      <c r="P10" s="206">
        <f t="shared" si="0"/>
        <v>851722.38100817089</v>
      </c>
      <c r="Q10" s="206">
        <f t="shared" si="0"/>
        <v>946358.20112018986</v>
      </c>
      <c r="R10" s="182">
        <f t="shared" si="0"/>
        <v>1040994.0212322089</v>
      </c>
      <c r="S10" s="182">
        <f t="shared" si="1"/>
        <v>842003.84273237432</v>
      </c>
      <c r="T10" s="135"/>
      <c r="U10" s="978">
        <v>19</v>
      </c>
      <c r="V10" s="207">
        <f t="shared" si="2"/>
        <v>2</v>
      </c>
      <c r="W10" s="182">
        <f t="shared" si="3"/>
        <v>757086.56089615193</v>
      </c>
      <c r="X10" s="208">
        <v>900740.24923797848</v>
      </c>
      <c r="Y10" s="208">
        <f t="shared" si="4"/>
        <v>143653.68834182655</v>
      </c>
      <c r="Z10" s="135"/>
      <c r="AA10" s="227" t="str">
        <v>Forest</v>
      </c>
      <c r="AB10" s="244"/>
      <c r="AC10" s="224">
        <f t="shared" si="5"/>
        <v>10</v>
      </c>
      <c r="AD10" s="218">
        <f>COUNTIFS(iOption!$J$8:$J$52, Reports!$F27, iOption!$V$8:$V$52, AD$7)</f>
        <v>0</v>
      </c>
      <c r="AE10" s="218">
        <f>COUNTIFS(iOption!$J$8:$J$52, Reports!$F27, iOption!$V$8:$V$52, AE$7)</f>
        <v>0</v>
      </c>
      <c r="AF10" s="218">
        <f>COUNTIFS(iOption!$J$8:$J$52, Reports!$F27, iOption!$V$8:$V$52, AF$7)</f>
        <v>0</v>
      </c>
      <c r="AG10" s="218">
        <f>COUNTIFS(iOption!$J$8:$J$52, Reports!$F27, iOption!$V$8:$V$52, AG$7)</f>
        <v>0</v>
      </c>
      <c r="AH10" s="218">
        <f>COUNTIFS(iOption!$J$8:$J$52, Reports!$F27, iOption!$V$8:$V$52, AH$7)</f>
        <v>5</v>
      </c>
      <c r="AI10" s="218">
        <f>COUNTIFS(iOption!$J$8:$J$52, Reports!$F27, iOption!$V$8:$V$52, AI$7)</f>
        <v>5</v>
      </c>
      <c r="AJ10" s="218">
        <f>COUNTIFS(iOption!$J$8:$J$52, Reports!$F27, iOption!$V$8:$V$52, AJ$7)</f>
        <v>0</v>
      </c>
      <c r="AK10" s="218">
        <f>COUNTIFS(iOption!$J$8:$J$52, Reports!$F27, iOption!$V$8:$V$52, AK$7)</f>
        <v>0</v>
      </c>
    </row>
    <row r="11" spans="1:52" ht="16">
      <c r="A11" s="135"/>
      <c r="B11" s="987" t="s">
        <v>336</v>
      </c>
      <c r="C11" s="985"/>
      <c r="D11" s="985"/>
      <c r="E11" s="985"/>
      <c r="F11" s="986">
        <f>iBudget!E18</f>
        <v>8360000</v>
      </c>
      <c r="G11" s="135"/>
      <c r="H11" s="209">
        <v>45</v>
      </c>
      <c r="I11" s="961">
        <v>0</v>
      </c>
      <c r="J11" s="184" t="str">
        <v xml:space="preserve">Jimmy Creek </v>
      </c>
      <c r="K11" s="185">
        <v>12271.846303085129</v>
      </c>
      <c r="L11" s="186">
        <v>591473.87570011872</v>
      </c>
      <c r="M11" s="187">
        <v>437283.76362896786</v>
      </c>
      <c r="N11" s="210">
        <f t="shared" si="0"/>
        <v>1035079.2824752077</v>
      </c>
      <c r="O11" s="193">
        <f t="shared" si="0"/>
        <v>1182947.7514002374</v>
      </c>
      <c r="P11" s="193">
        <f t="shared" si="0"/>
        <v>1330816.2203252672</v>
      </c>
      <c r="Q11" s="193">
        <f t="shared" si="0"/>
        <v>1478684.6892502969</v>
      </c>
      <c r="R11" s="186">
        <f t="shared" si="0"/>
        <v>1626553.1581753264</v>
      </c>
      <c r="S11" s="186">
        <f t="shared" si="1"/>
        <v>1311851.2908869036</v>
      </c>
      <c r="T11" s="135"/>
      <c r="U11" s="978">
        <v>21</v>
      </c>
      <c r="V11" s="207">
        <f t="shared" si="2"/>
        <v>2</v>
      </c>
      <c r="W11" s="186">
        <f t="shared" si="3"/>
        <v>1182947.7514002374</v>
      </c>
      <c r="X11" s="211">
        <v>1403363.2612437012</v>
      </c>
      <c r="Y11" s="211">
        <f t="shared" si="4"/>
        <v>220415.50984346378</v>
      </c>
      <c r="Z11" s="135"/>
      <c r="AA11" s="227" t="str">
        <v>Bench</v>
      </c>
      <c r="AB11" s="244"/>
      <c r="AC11" s="224">
        <f t="shared" si="5"/>
        <v>15</v>
      </c>
      <c r="AD11" s="218">
        <f>COUNTIFS(iOption!$J$8:$J$52, Reports!$F28, iOption!$V$8:$V$52, AD$7)</f>
        <v>0</v>
      </c>
      <c r="AE11" s="218">
        <f>COUNTIFS(iOption!$J$8:$J$52, Reports!$F28, iOption!$V$8:$V$52, AE$7)</f>
        <v>0</v>
      </c>
      <c r="AF11" s="218">
        <f>COUNTIFS(iOption!$J$8:$J$52, Reports!$F28, iOption!$V$8:$V$52, AF$7)</f>
        <v>0</v>
      </c>
      <c r="AG11" s="218">
        <f>COUNTIFS(iOption!$J$8:$J$52, Reports!$F28, iOption!$V$8:$V$52, AG$7)</f>
        <v>8</v>
      </c>
      <c r="AH11" s="218">
        <f>COUNTIFS(iOption!$J$8:$J$52, Reports!$F28, iOption!$V$8:$V$52, AH$7)</f>
        <v>7</v>
      </c>
      <c r="AI11" s="218">
        <f>COUNTIFS(iOption!$J$8:$J$52, Reports!$F28, iOption!$V$8:$V$52, AI$7)</f>
        <v>0</v>
      </c>
      <c r="AJ11" s="218">
        <f>COUNTIFS(iOption!$J$8:$J$52, Reports!$F28, iOption!$V$8:$V$52, AJ$7)</f>
        <v>0</v>
      </c>
      <c r="AK11" s="218">
        <f>COUNTIFS(iOption!$J$8:$J$52, Reports!$F28, iOption!$V$8:$V$52, AK$7)</f>
        <v>0</v>
      </c>
    </row>
    <row r="12" spans="1:52" ht="19">
      <c r="A12" s="135"/>
      <c r="B12" s="982" t="s">
        <v>342</v>
      </c>
      <c r="C12" s="983"/>
      <c r="D12" s="983"/>
      <c r="E12" s="983"/>
      <c r="F12" s="999">
        <f>iBudget!E19</f>
        <v>31260000</v>
      </c>
      <c r="G12" s="135"/>
      <c r="H12" s="204">
        <v>4</v>
      </c>
      <c r="I12" s="960">
        <v>0</v>
      </c>
      <c r="J12" s="180" t="str">
        <v>Deer Creek</v>
      </c>
      <c r="K12" s="181">
        <v>12271.846303085129</v>
      </c>
      <c r="L12" s="182">
        <v>591473.87570011872</v>
      </c>
      <c r="M12" s="183">
        <v>670501.77089775063</v>
      </c>
      <c r="N12" s="205">
        <f t="shared" si="0"/>
        <v>1035079.2824752077</v>
      </c>
      <c r="O12" s="206">
        <f t="shared" si="0"/>
        <v>1182947.7514002374</v>
      </c>
      <c r="P12" s="206">
        <f t="shared" si="0"/>
        <v>1330816.2203252672</v>
      </c>
      <c r="Q12" s="206">
        <f t="shared" si="0"/>
        <v>1478684.6892502969</v>
      </c>
      <c r="R12" s="182">
        <f t="shared" si="0"/>
        <v>1626553.1581753264</v>
      </c>
      <c r="S12" s="182">
        <f t="shared" si="1"/>
        <v>2011505.3126932518</v>
      </c>
      <c r="T12" s="135"/>
      <c r="U12" s="978">
        <v>72</v>
      </c>
      <c r="V12" s="207">
        <f t="shared" si="2"/>
        <v>6</v>
      </c>
      <c r="W12" s="182">
        <f t="shared" si="3"/>
        <v>2011505.3126932518</v>
      </c>
      <c r="X12" s="208">
        <v>2151823.6672403417</v>
      </c>
      <c r="Y12" s="208">
        <f t="shared" si="4"/>
        <v>140318.3545470899</v>
      </c>
      <c r="Z12" s="135"/>
      <c r="AA12" s="691" t="str">
        <v>Hillside</v>
      </c>
      <c r="AB12" s="244"/>
      <c r="AC12" s="692">
        <f t="shared" si="5"/>
        <v>10</v>
      </c>
      <c r="AD12" s="692">
        <f>COUNTIFS(iOption!$J$8:$J$52, Reports!$F29, iOption!$V$8:$V$52, AD$7)</f>
        <v>0</v>
      </c>
      <c r="AE12" s="692">
        <f>COUNTIFS(iOption!$J$8:$J$52, Reports!$F29, iOption!$V$8:$V$52, AE$7)</f>
        <v>0</v>
      </c>
      <c r="AF12" s="692">
        <f>COUNTIFS(iOption!$J$8:$J$52, Reports!$F29, iOption!$V$8:$V$52, AF$7)</f>
        <v>0</v>
      </c>
      <c r="AG12" s="692">
        <f>COUNTIFS(iOption!$J$8:$J$52, Reports!$F29, iOption!$V$8:$V$52, AG$7)</f>
        <v>0</v>
      </c>
      <c r="AH12" s="692">
        <f>COUNTIFS(iOption!$J$8:$J$52, Reports!$F29, iOption!$V$8:$V$52, AH$7)</f>
        <v>0</v>
      </c>
      <c r="AI12" s="692">
        <f>COUNTIFS(iOption!$J$8:$J$52, Reports!$F29, iOption!$V$8:$V$52, AI$7)</f>
        <v>7</v>
      </c>
      <c r="AJ12" s="692">
        <f>COUNTIFS(iOption!$J$8:$J$52, Reports!$F29, iOption!$V$8:$V$52, AJ$7)</f>
        <v>3</v>
      </c>
      <c r="AK12" s="692">
        <f>COUNTIFS(iOption!$J$8:$J$52, Reports!$F29, iOption!$V$8:$V$52, AK$7)</f>
        <v>0</v>
      </c>
    </row>
    <row r="13" spans="1:52" ht="16">
      <c r="A13" s="135"/>
      <c r="B13" s="984"/>
      <c r="C13" s="985"/>
      <c r="D13" s="985"/>
      <c r="E13" s="985"/>
      <c r="F13" s="986"/>
      <c r="G13" s="135"/>
      <c r="H13" s="204">
        <v>5</v>
      </c>
      <c r="I13" s="960">
        <v>0</v>
      </c>
      <c r="J13" s="180" t="str">
        <v>Deer Creek</v>
      </c>
      <c r="K13" s="181">
        <v>17671.458676442588</v>
      </c>
      <c r="L13" s="182">
        <v>851722.38100817113</v>
      </c>
      <c r="M13" s="183">
        <v>965332.33682442131</v>
      </c>
      <c r="N13" s="205">
        <f t="shared" si="0"/>
        <v>1490514.1667642994</v>
      </c>
      <c r="O13" s="206">
        <f t="shared" si="0"/>
        <v>1703444.7620163423</v>
      </c>
      <c r="P13" s="206">
        <f t="shared" si="0"/>
        <v>1916375.3572683851</v>
      </c>
      <c r="Q13" s="206">
        <f t="shared" si="0"/>
        <v>2129305.9525204278</v>
      </c>
      <c r="R13" s="182">
        <f t="shared" si="0"/>
        <v>2342236.5477724704</v>
      </c>
      <c r="S13" s="182">
        <f t="shared" si="1"/>
        <v>2895997.0104732639</v>
      </c>
      <c r="T13" s="135"/>
      <c r="U13" s="978">
        <v>13</v>
      </c>
      <c r="V13" s="207">
        <f t="shared" si="2"/>
        <v>2</v>
      </c>
      <c r="W13" s="182">
        <f t="shared" si="3"/>
        <v>1703444.7620163423</v>
      </c>
      <c r="X13" s="208">
        <v>3098015.6343956697</v>
      </c>
      <c r="Y13" s="208">
        <f t="shared" si="4"/>
        <v>1394570.8723793274</v>
      </c>
      <c r="Z13" s="135"/>
      <c r="AA13" s="227" t="s">
        <v>89</v>
      </c>
      <c r="AB13" s="244"/>
      <c r="AC13" s="225">
        <f t="shared" ref="AC13:AK13" si="6">SUM(AC8:AC12)</f>
        <v>45</v>
      </c>
      <c r="AD13" s="218">
        <f t="shared" si="6"/>
        <v>0</v>
      </c>
      <c r="AE13" s="218">
        <f t="shared" si="6"/>
        <v>0</v>
      </c>
      <c r="AF13" s="218">
        <f t="shared" si="6"/>
        <v>5</v>
      </c>
      <c r="AG13" s="218">
        <f t="shared" si="6"/>
        <v>8</v>
      </c>
      <c r="AH13" s="218">
        <f t="shared" si="6"/>
        <v>12</v>
      </c>
      <c r="AI13" s="218">
        <f t="shared" si="6"/>
        <v>12</v>
      </c>
      <c r="AJ13" s="218">
        <f t="shared" si="6"/>
        <v>8</v>
      </c>
      <c r="AK13" s="218">
        <f t="shared" si="6"/>
        <v>0</v>
      </c>
    </row>
    <row r="14" spans="1:52" ht="19">
      <c r="A14" s="135"/>
      <c r="B14" s="988" t="s">
        <v>337</v>
      </c>
      <c r="C14" s="989"/>
      <c r="D14" s="989"/>
      <c r="E14" s="989"/>
      <c r="F14" s="990"/>
      <c r="G14" s="135"/>
      <c r="H14" s="204">
        <v>6</v>
      </c>
      <c r="I14" s="960">
        <v>0</v>
      </c>
      <c r="J14" s="180" t="str">
        <v>Deer Creek</v>
      </c>
      <c r="K14" s="181">
        <v>7853.981633974483</v>
      </c>
      <c r="L14" s="182">
        <v>378543.28044807597</v>
      </c>
      <c r="M14" s="183">
        <v>430357.51961876912</v>
      </c>
      <c r="N14" s="205">
        <f t="shared" si="0"/>
        <v>662450.74078413297</v>
      </c>
      <c r="O14" s="206">
        <f t="shared" si="0"/>
        <v>757086.56089615193</v>
      </c>
      <c r="P14" s="206">
        <f t="shared" si="0"/>
        <v>851722.38100817089</v>
      </c>
      <c r="Q14" s="206">
        <f t="shared" si="0"/>
        <v>946358.20112018986</v>
      </c>
      <c r="R14" s="182">
        <f t="shared" si="0"/>
        <v>1040994.0212322089</v>
      </c>
      <c r="S14" s="182">
        <f t="shared" si="1"/>
        <v>1291072.5588563073</v>
      </c>
      <c r="T14" s="135"/>
      <c r="U14" s="978">
        <v>61</v>
      </c>
      <c r="V14" s="207">
        <f t="shared" si="2"/>
        <v>6</v>
      </c>
      <c r="W14" s="182">
        <f t="shared" si="3"/>
        <v>1291072.5588563073</v>
      </c>
      <c r="X14" s="208">
        <v>1381135.0488315669</v>
      </c>
      <c r="Y14" s="208">
        <f t="shared" si="4"/>
        <v>90062.489975259639</v>
      </c>
      <c r="Z14" s="135"/>
      <c r="AC14" s="226"/>
    </row>
    <row r="15" spans="1:52" ht="16">
      <c r="A15" s="135"/>
      <c r="B15" s="127" t="s">
        <v>338</v>
      </c>
      <c r="C15" s="425"/>
      <c r="D15" s="425"/>
      <c r="E15" s="425"/>
      <c r="F15" s="991">
        <v>1.75</v>
      </c>
      <c r="G15" s="135"/>
      <c r="H15" s="204">
        <v>7</v>
      </c>
      <c r="I15" s="960">
        <v>0</v>
      </c>
      <c r="J15" s="180" t="str">
        <v>Deer Creek</v>
      </c>
      <c r="K15" s="181">
        <v>12271.846303085129</v>
      </c>
      <c r="L15" s="182">
        <v>591473.87570011872</v>
      </c>
      <c r="M15" s="183">
        <v>583045.01817195711</v>
      </c>
      <c r="N15" s="205">
        <f t="shared" si="0"/>
        <v>1035079.2824752077</v>
      </c>
      <c r="O15" s="206">
        <f t="shared" si="0"/>
        <v>1182947.7514002374</v>
      </c>
      <c r="P15" s="206">
        <f t="shared" si="0"/>
        <v>1330816.2203252672</v>
      </c>
      <c r="Q15" s="206">
        <f t="shared" si="0"/>
        <v>1478684.6892502969</v>
      </c>
      <c r="R15" s="182">
        <f t="shared" si="0"/>
        <v>1626553.1581753264</v>
      </c>
      <c r="S15" s="182">
        <f t="shared" si="1"/>
        <v>1749135.0545158712</v>
      </c>
      <c r="T15" s="135"/>
      <c r="U15" s="978">
        <v>63</v>
      </c>
      <c r="V15" s="207">
        <f t="shared" si="2"/>
        <v>6</v>
      </c>
      <c r="W15" s="182">
        <f t="shared" si="3"/>
        <v>1749135.0545158712</v>
      </c>
      <c r="X15" s="208">
        <v>1871151.0149916017</v>
      </c>
      <c r="Y15" s="208">
        <f t="shared" si="4"/>
        <v>122015.96047573048</v>
      </c>
      <c r="Z15" s="135"/>
      <c r="AA15" s="220" t="s">
        <v>92</v>
      </c>
      <c r="AB15" s="245"/>
      <c r="AC15" s="221"/>
      <c r="AD15" s="232" t="str" cm="1">
        <f t="array" ref="AD15:AK15">AD7:AK7</f>
        <v>Close</v>
      </c>
      <c r="AE15" s="232">
        <v>1</v>
      </c>
      <c r="AF15" s="232">
        <v>2</v>
      </c>
      <c r="AG15" s="232">
        <v>3</v>
      </c>
      <c r="AH15" s="232">
        <v>4</v>
      </c>
      <c r="AI15" s="232">
        <v>5</v>
      </c>
      <c r="AJ15" s="232">
        <v>6</v>
      </c>
      <c r="AK15" s="232">
        <v>7</v>
      </c>
    </row>
    <row r="16" spans="1:52" ht="16">
      <c r="A16" s="135"/>
      <c r="B16" s="127" t="s">
        <v>339</v>
      </c>
      <c r="C16" s="425"/>
      <c r="D16" s="425"/>
      <c r="E16" s="425"/>
      <c r="F16" s="1005">
        <v>0.25</v>
      </c>
      <c r="G16" s="135"/>
      <c r="H16" s="204">
        <v>8</v>
      </c>
      <c r="I16" s="960">
        <v>0</v>
      </c>
      <c r="J16" s="180" t="str">
        <v>Deer Creek</v>
      </c>
      <c r="K16" s="181">
        <v>12271.846303085129</v>
      </c>
      <c r="L16" s="182">
        <v>591473.87570011872</v>
      </c>
      <c r="M16" s="183">
        <v>670501.77089775063</v>
      </c>
      <c r="N16" s="205">
        <f t="shared" si="0"/>
        <v>1035079.2824752077</v>
      </c>
      <c r="O16" s="206">
        <f t="shared" si="0"/>
        <v>1182947.7514002374</v>
      </c>
      <c r="P16" s="206">
        <f t="shared" si="0"/>
        <v>1330816.2203252672</v>
      </c>
      <c r="Q16" s="206">
        <f t="shared" si="0"/>
        <v>1478684.6892502969</v>
      </c>
      <c r="R16" s="182">
        <f t="shared" si="0"/>
        <v>1626553.1581753264</v>
      </c>
      <c r="S16" s="182">
        <f t="shared" si="1"/>
        <v>2011505.3126932518</v>
      </c>
      <c r="T16" s="135"/>
      <c r="U16" s="978">
        <v>63</v>
      </c>
      <c r="V16" s="207">
        <f t="shared" si="2"/>
        <v>6</v>
      </c>
      <c r="W16" s="182">
        <f t="shared" si="3"/>
        <v>2011505.3126932518</v>
      </c>
      <c r="X16" s="208">
        <v>2151823.6672403417</v>
      </c>
      <c r="Y16" s="208">
        <f t="shared" si="4"/>
        <v>140318.3545470899</v>
      </c>
      <c r="Z16" s="135"/>
      <c r="AA16" s="229" t="str" cm="1">
        <f t="array" ref="AA16:AA20">_xlfn.ANCHORARRAY(Reports!F25)</f>
        <v xml:space="preserve">Jimmy Creek </v>
      </c>
      <c r="AB16" s="246">
        <f>AC16/$AC$21</f>
        <v>5.0944313450555397E-2</v>
      </c>
      <c r="AC16" s="230">
        <f>SUM(AD16:AK16)</f>
        <v>5110830.0329690818</v>
      </c>
      <c r="AD16" s="114">
        <f>SUMIFS($X$8:$X$52, $J$8:$J$52, $AA16, $V$8:$V$52, Reports!K$6)</f>
        <v>0</v>
      </c>
      <c r="AE16" s="114">
        <f>SUMIFS($X$8:$X$52, $J$8:$J$52, $AA16, $V$8:$V$52, Reports!L$6)</f>
        <v>0</v>
      </c>
      <c r="AF16" s="114">
        <f>SUMIFS($X$8:$X$52, $J$8:$J$52, $AA16, $V$8:$V$52, Reports!M$6)</f>
        <v>5110830.0329690818</v>
      </c>
      <c r="AG16" s="114">
        <f>SUMIFS($X$8:$X$52, $J$8:$J$52, $AA16, $V$8:$V$52, Reports!N$6)</f>
        <v>0</v>
      </c>
      <c r="AH16" s="114">
        <f>SUMIFS($X$8:$X$52, $J$8:$J$52, $AA16, $V$8:$V$52, Reports!O$6)</f>
        <v>0</v>
      </c>
      <c r="AI16" s="114">
        <f>SUMIFS($X$8:$X$52, $J$8:$J$52, $AA16, $V$8:$V$52, Reports!P$6)</f>
        <v>0</v>
      </c>
      <c r="AJ16" s="114">
        <f>SUMIFS($X$8:$X$52, $J$8:$J$52, $AA16, $V$8:$V$52, Reports!Q$6)</f>
        <v>0</v>
      </c>
      <c r="AK16" s="114">
        <f>SUMIFS($X$8:$X$52, $J$8:$J$52, $AA16, $V$8:$V$52, Reports!R$6)</f>
        <v>0</v>
      </c>
    </row>
    <row r="17" spans="2:37" ht="16">
      <c r="B17" s="127" t="s">
        <v>331</v>
      </c>
      <c r="C17" s="425"/>
      <c r="D17" s="425"/>
      <c r="E17" s="425"/>
      <c r="F17" s="1004">
        <f>W54</f>
        <v>83838800.564893454</v>
      </c>
      <c r="H17" s="204">
        <v>9</v>
      </c>
      <c r="I17" s="960">
        <v>0</v>
      </c>
      <c r="J17" s="180" t="str">
        <v>Deer Creek</v>
      </c>
      <c r="K17" s="181">
        <v>7853.981633974483</v>
      </c>
      <c r="L17" s="182">
        <v>378543.28044807597</v>
      </c>
      <c r="M17" s="183">
        <v>430357.51961876912</v>
      </c>
      <c r="N17" s="205">
        <f t="shared" si="0"/>
        <v>662450.74078413297</v>
      </c>
      <c r="O17" s="206">
        <f t="shared" si="0"/>
        <v>757086.56089615193</v>
      </c>
      <c r="P17" s="206">
        <f t="shared" si="0"/>
        <v>851722.38100817089</v>
      </c>
      <c r="Q17" s="206">
        <f t="shared" si="0"/>
        <v>946358.20112018986</v>
      </c>
      <c r="R17" s="182">
        <f t="shared" si="0"/>
        <v>1040994.0212322089</v>
      </c>
      <c r="S17" s="182">
        <f t="shared" si="1"/>
        <v>1291072.5588563073</v>
      </c>
      <c r="T17" s="135"/>
      <c r="U17" s="978">
        <v>63</v>
      </c>
      <c r="V17" s="207">
        <f t="shared" si="2"/>
        <v>6</v>
      </c>
      <c r="W17" s="182">
        <f t="shared" si="3"/>
        <v>1291072.5588563073</v>
      </c>
      <c r="X17" s="208">
        <v>1381135.0488315669</v>
      </c>
      <c r="Y17" s="208">
        <f t="shared" si="4"/>
        <v>90062.489975259639</v>
      </c>
      <c r="Z17" s="135"/>
      <c r="AA17" s="229" t="str">
        <v>Deer Creek</v>
      </c>
      <c r="AB17" s="246">
        <f>AC17/$AC$21</f>
        <v>0.11996468125493981</v>
      </c>
      <c r="AC17" s="230">
        <f t="shared" ref="AC17:AC20" si="7">SUM(AD17:AK17)</f>
        <v>12035084.081531089</v>
      </c>
      <c r="AD17" s="114">
        <f>SUMIFS($X$8:$X$52, $J$8:$J$52, $AA17, $V$8:$V$52, Reports!K$6)</f>
        <v>0</v>
      </c>
      <c r="AE17" s="114">
        <f>SUMIFS($X$8:$X$52, $J$8:$J$52, $AA17, $V$8:$V$52, Reports!L$6)</f>
        <v>0</v>
      </c>
      <c r="AF17" s="114">
        <f>SUMIFS($X$8:$X$52, $J$8:$J$52, $AA17, $V$8:$V$52, Reports!M$6)</f>
        <v>3098015.6343956697</v>
      </c>
      <c r="AG17" s="114">
        <f>SUMIFS($X$8:$X$52, $J$8:$J$52, $AA17, $V$8:$V$52, Reports!N$6)</f>
        <v>0</v>
      </c>
      <c r="AH17" s="114">
        <f>SUMIFS($X$8:$X$52, $J$8:$J$52, $AA17, $V$8:$V$52, Reports!O$6)</f>
        <v>0</v>
      </c>
      <c r="AI17" s="114">
        <f>SUMIFS($X$8:$X$52, $J$8:$J$52, $AA17, $V$8:$V$52, Reports!P$6)</f>
        <v>0</v>
      </c>
      <c r="AJ17" s="114">
        <f>SUMIFS($X$8:$X$52, $J$8:$J$52, $AA17, $V$8:$V$52, Reports!Q$6)</f>
        <v>8937068.4471354187</v>
      </c>
      <c r="AK17" s="114">
        <f>SUMIFS($X$8:$X$52, $J$8:$J$52, $AA17, $V$8:$V$52, Reports!R$6)</f>
        <v>0</v>
      </c>
    </row>
    <row r="18" spans="2:37" ht="16">
      <c r="B18" s="127" t="s">
        <v>243</v>
      </c>
      <c r="C18" s="425"/>
      <c r="D18" s="425"/>
      <c r="E18" s="700">
        <f>F18/F17</f>
        <v>5.3674432001408236E-2</v>
      </c>
      <c r="F18" s="1008">
        <v>4500000</v>
      </c>
      <c r="H18" s="204">
        <v>10</v>
      </c>
      <c r="I18" s="960">
        <v>12</v>
      </c>
      <c r="J18" s="180" t="str">
        <v>Forest</v>
      </c>
      <c r="K18" s="181">
        <v>17671.458676442588</v>
      </c>
      <c r="L18" s="182">
        <v>851722.38100817113</v>
      </c>
      <c r="M18" s="183">
        <v>713506.50982674642</v>
      </c>
      <c r="N18" s="205">
        <f t="shared" ref="N18:R27" si="8">$L18*N$7</f>
        <v>1490514.1667642994</v>
      </c>
      <c r="O18" s="206">
        <f t="shared" si="8"/>
        <v>1703444.7620163423</v>
      </c>
      <c r="P18" s="206">
        <f t="shared" si="8"/>
        <v>1916375.3572683851</v>
      </c>
      <c r="Q18" s="206">
        <f t="shared" si="8"/>
        <v>2129305.9525204278</v>
      </c>
      <c r="R18" s="182">
        <f t="shared" si="8"/>
        <v>2342236.5477724704</v>
      </c>
      <c r="S18" s="182">
        <f t="shared" ref="S18:S27" si="9">$M18*S$7</f>
        <v>2140519.5294802394</v>
      </c>
      <c r="T18" s="135"/>
      <c r="U18" s="978">
        <v>37</v>
      </c>
      <c r="V18" s="207">
        <f t="shared" si="2"/>
        <v>4</v>
      </c>
      <c r="W18" s="182">
        <f t="shared" si="3"/>
        <v>2129305.9525204278</v>
      </c>
      <c r="X18" s="208">
        <v>2289837.6428141911</v>
      </c>
      <c r="Y18" s="208">
        <f t="shared" si="4"/>
        <v>160531.6902937633</v>
      </c>
      <c r="Z18" s="135"/>
      <c r="AA18" s="229" t="str">
        <v>Forest</v>
      </c>
      <c r="AB18" s="246">
        <f>AC18/$AC$21</f>
        <v>0.28882002982912736</v>
      </c>
      <c r="AC18" s="230">
        <f t="shared" si="7"/>
        <v>28974972.525763571</v>
      </c>
      <c r="AD18" s="114">
        <f>SUMIFS($X$8:$X$52, $J$8:$J$52, $AA18, $V$8:$V$52, Reports!K$6)</f>
        <v>0</v>
      </c>
      <c r="AE18" s="114">
        <f>SUMIFS($X$8:$X$52, $J$8:$J$52, $AA18, $V$8:$V$52, Reports!L$6)</f>
        <v>0</v>
      </c>
      <c r="AF18" s="114">
        <f>SUMIFS($X$8:$X$52, $J$8:$J$52, $AA18, $V$8:$V$52, Reports!M$6)</f>
        <v>0</v>
      </c>
      <c r="AG18" s="114">
        <f>SUMIFS($X$8:$X$52, $J$8:$J$52, $AA18, $V$8:$V$52, Reports!N$6)</f>
        <v>0</v>
      </c>
      <c r="AH18" s="114">
        <f>SUMIFS($X$8:$X$52, $J$8:$J$52, $AA18, $V$8:$V$52, Reports!O$6)</f>
        <v>12552636.489933021</v>
      </c>
      <c r="AI18" s="114">
        <f>SUMIFS($X$8:$X$52, $J$8:$J$52, $AA18, $V$8:$V$52, Reports!P$6)</f>
        <v>16422336.035830548</v>
      </c>
      <c r="AJ18" s="114">
        <f>SUMIFS($X$8:$X$52, $J$8:$J$52, $AA18, $V$8:$V$52, Reports!Q$6)</f>
        <v>0</v>
      </c>
      <c r="AK18" s="114">
        <f>SUMIFS($X$8:$X$52, $J$8:$J$52, $AA18, $V$8:$V$52, Reports!R$6)</f>
        <v>0</v>
      </c>
    </row>
    <row r="19" spans="2:37" ht="16">
      <c r="B19" s="127" t="s">
        <v>345</v>
      </c>
      <c r="C19" s="425"/>
      <c r="D19" s="425"/>
      <c r="E19" s="425"/>
      <c r="F19" s="976">
        <f>W55</f>
        <v>0</v>
      </c>
      <c r="H19" s="204">
        <v>11</v>
      </c>
      <c r="I19" s="960">
        <v>0</v>
      </c>
      <c r="J19" s="180" t="str">
        <v>Forest</v>
      </c>
      <c r="K19" s="181">
        <v>12271.846303085129</v>
      </c>
      <c r="L19" s="182">
        <v>591473.87570011872</v>
      </c>
      <c r="M19" s="183">
        <v>583045.01817195665</v>
      </c>
      <c r="N19" s="205">
        <f t="shared" si="8"/>
        <v>1035079.2824752077</v>
      </c>
      <c r="O19" s="206">
        <f t="shared" si="8"/>
        <v>1182947.7514002374</v>
      </c>
      <c r="P19" s="206">
        <f t="shared" si="8"/>
        <v>1330816.2203252672</v>
      </c>
      <c r="Q19" s="206">
        <f t="shared" si="8"/>
        <v>1478684.6892502969</v>
      </c>
      <c r="R19" s="182">
        <f t="shared" si="8"/>
        <v>1626553.1581753264</v>
      </c>
      <c r="S19" s="182">
        <f t="shared" si="9"/>
        <v>1749135.0545158698</v>
      </c>
      <c r="T19" s="135"/>
      <c r="U19" s="978">
        <v>39</v>
      </c>
      <c r="V19" s="207">
        <f t="shared" si="2"/>
        <v>4</v>
      </c>
      <c r="W19" s="182">
        <f t="shared" si="3"/>
        <v>1478684.6892502969</v>
      </c>
      <c r="X19" s="208">
        <v>1871151.0149916001</v>
      </c>
      <c r="Y19" s="208">
        <f t="shared" si="4"/>
        <v>392466.32574130315</v>
      </c>
      <c r="Z19" s="135"/>
      <c r="AA19" s="229" t="str">
        <v>Bench</v>
      </c>
      <c r="AB19" s="246">
        <f>AC19/$AC$21</f>
        <v>0.26534364675963745</v>
      </c>
      <c r="AC19" s="230">
        <f t="shared" si="7"/>
        <v>26619777.30317042</v>
      </c>
      <c r="AD19" s="114">
        <f>SUMIFS($X$8:$X$52, $J$8:$J$52, $AA19, $V$8:$V$52, Reports!K$6)</f>
        <v>0</v>
      </c>
      <c r="AE19" s="114">
        <f>SUMIFS($X$8:$X$52, $J$8:$J$52, $AA19, $V$8:$V$52, Reports!L$6)</f>
        <v>0</v>
      </c>
      <c r="AF19" s="114">
        <f>SUMIFS($X$8:$X$52, $J$8:$J$52, $AA19, $V$8:$V$52, Reports!M$6)</f>
        <v>0</v>
      </c>
      <c r="AG19" s="114">
        <f>SUMIFS($X$8:$X$52, $J$8:$J$52, $AA19, $V$8:$V$52, Reports!N$6)</f>
        <v>15669230.928732865</v>
      </c>
      <c r="AH19" s="114">
        <f>SUMIFS($X$8:$X$52, $J$8:$J$52, $AA19, $V$8:$V$52, Reports!O$6)</f>
        <v>10950546.374437554</v>
      </c>
      <c r="AI19" s="114">
        <f>SUMIFS($X$8:$X$52, $J$8:$J$52, $AA19, $V$8:$V$52, Reports!P$6)</f>
        <v>0</v>
      </c>
      <c r="AJ19" s="114">
        <f>SUMIFS($X$8:$X$52, $J$8:$J$52, $AA19, $V$8:$V$52, Reports!Q$6)</f>
        <v>0</v>
      </c>
      <c r="AK19" s="114">
        <f>SUMIFS($X$8:$X$52, $J$8:$J$52, $AA19, $V$8:$V$52, Reports!R$6)</f>
        <v>0</v>
      </c>
    </row>
    <row r="20" spans="2:37" ht="19">
      <c r="B20" s="127" t="s">
        <v>343</v>
      </c>
      <c r="C20" s="425"/>
      <c r="D20" s="425"/>
      <c r="E20" s="700"/>
      <c r="F20" s="1006">
        <f>MIN(U8:U52)</f>
        <v>13</v>
      </c>
      <c r="H20" s="204">
        <v>12</v>
      </c>
      <c r="I20" s="960">
        <v>10</v>
      </c>
      <c r="J20" s="180" t="str">
        <v>Forest</v>
      </c>
      <c r="K20" s="181">
        <v>12271.846303085129</v>
      </c>
      <c r="L20" s="182">
        <v>591473.87570011872</v>
      </c>
      <c r="M20" s="183">
        <v>495588.26544616366</v>
      </c>
      <c r="N20" s="205">
        <f t="shared" si="8"/>
        <v>1035079.2824752077</v>
      </c>
      <c r="O20" s="206">
        <f t="shared" si="8"/>
        <v>1182947.7514002374</v>
      </c>
      <c r="P20" s="206">
        <f t="shared" si="8"/>
        <v>1330816.2203252672</v>
      </c>
      <c r="Q20" s="206">
        <f t="shared" si="8"/>
        <v>1478684.6892502969</v>
      </c>
      <c r="R20" s="182">
        <f t="shared" si="8"/>
        <v>1626553.1581753264</v>
      </c>
      <c r="S20" s="182">
        <f t="shared" si="9"/>
        <v>1486764.7963384909</v>
      </c>
      <c r="T20" s="135"/>
      <c r="U20" s="978">
        <v>37</v>
      </c>
      <c r="V20" s="207">
        <f t="shared" si="2"/>
        <v>4</v>
      </c>
      <c r="W20" s="182">
        <f t="shared" si="3"/>
        <v>1478684.6892502969</v>
      </c>
      <c r="X20" s="208">
        <v>1590478.3627428615</v>
      </c>
      <c r="Y20" s="208">
        <f t="shared" si="4"/>
        <v>111793.67349256459</v>
      </c>
      <c r="Z20" s="135"/>
      <c r="AA20" s="229" t="str">
        <v>Hillside</v>
      </c>
      <c r="AB20" s="246">
        <f>AC20/$AC$21</f>
        <v>0.27492732870573994</v>
      </c>
      <c r="AC20" s="118">
        <f t="shared" si="7"/>
        <v>27581230.431086317</v>
      </c>
      <c r="AD20" s="115">
        <f>SUMIFS($X$8:$X$52, $J$8:$J$52, $AA20, $V$8:$V$52, Reports!K$6)</f>
        <v>0</v>
      </c>
      <c r="AE20" s="115">
        <f>SUMIFS($X$8:$X$52, $J$8:$J$52, $AA20, $V$8:$V$52, Reports!L$6)</f>
        <v>0</v>
      </c>
      <c r="AF20" s="115">
        <f>SUMIFS($X$8:$X$52, $J$8:$J$52, $AA20, $V$8:$V$52, Reports!M$6)</f>
        <v>0</v>
      </c>
      <c r="AG20" s="115">
        <f>SUMIFS($X$8:$X$52, $J$8:$J$52, $AA20, $V$8:$V$52, Reports!N$6)</f>
        <v>0</v>
      </c>
      <c r="AH20" s="115">
        <f>SUMIFS($X$8:$X$52, $J$8:$J$52, $AA20, $V$8:$V$52, Reports!O$6)</f>
        <v>0</v>
      </c>
      <c r="AI20" s="115">
        <f>SUMIFS($X$8:$X$52, $J$8:$J$52, $AA20, $V$8:$V$52, Reports!P$6)</f>
        <v>16401434.880875854</v>
      </c>
      <c r="AJ20" s="115">
        <f>SUMIFS($X$8:$X$52, $J$8:$J$52, $AA20, $V$8:$V$52, Reports!Q$6)</f>
        <v>11179795.550210461</v>
      </c>
      <c r="AK20" s="115">
        <f>SUMIFS($X$8:$X$52, $J$8:$J$52, $AA20, $V$8:$V$52, Reports!R$6)</f>
        <v>0</v>
      </c>
    </row>
    <row r="21" spans="2:37" ht="16">
      <c r="B21" s="127" t="s">
        <v>344</v>
      </c>
      <c r="C21" s="425"/>
      <c r="D21" s="425"/>
      <c r="E21" s="700"/>
      <c r="F21" s="1003">
        <f>MAX(U8:U52)</f>
        <v>72</v>
      </c>
      <c r="H21" s="204">
        <v>13</v>
      </c>
      <c r="I21" s="960">
        <v>0</v>
      </c>
      <c r="J21" s="180" t="str">
        <v>Forest</v>
      </c>
      <c r="K21" s="181">
        <v>21382.464998495529</v>
      </c>
      <c r="L21" s="182">
        <v>1030584.0810198868</v>
      </c>
      <c r="M21" s="183">
        <v>1085456.1508520481</v>
      </c>
      <c r="N21" s="205">
        <f t="shared" si="8"/>
        <v>1803522.1417848018</v>
      </c>
      <c r="O21" s="206">
        <f t="shared" si="8"/>
        <v>2061168.1620397735</v>
      </c>
      <c r="P21" s="206">
        <f t="shared" si="8"/>
        <v>2318814.182294745</v>
      </c>
      <c r="Q21" s="206">
        <f t="shared" si="8"/>
        <v>2576460.2025497169</v>
      </c>
      <c r="R21" s="182">
        <f t="shared" si="8"/>
        <v>2834106.2228046888</v>
      </c>
      <c r="S21" s="182">
        <f t="shared" si="9"/>
        <v>3256368.4525561444</v>
      </c>
      <c r="T21" s="135"/>
      <c r="U21" s="978">
        <v>39</v>
      </c>
      <c r="V21" s="207">
        <f t="shared" si="2"/>
        <v>4</v>
      </c>
      <c r="W21" s="182">
        <f t="shared" si="3"/>
        <v>2576460.2025497169</v>
      </c>
      <c r="X21" s="208">
        <v>3483525.8257822376</v>
      </c>
      <c r="Y21" s="208">
        <f t="shared" si="4"/>
        <v>907065.62323252065</v>
      </c>
      <c r="Z21" s="135"/>
      <c r="AA21" s="109" t="s">
        <v>83</v>
      </c>
      <c r="AB21" s="247"/>
      <c r="AC21" s="230">
        <f t="shared" ref="AC21:AK21" si="10">SUM(AC16:AC20)</f>
        <v>100321894.37452048</v>
      </c>
      <c r="AD21" s="114">
        <f t="shared" si="10"/>
        <v>0</v>
      </c>
      <c r="AE21" s="114">
        <f t="shared" si="10"/>
        <v>0</v>
      </c>
      <c r="AF21" s="114">
        <f t="shared" si="10"/>
        <v>8208845.6673647519</v>
      </c>
      <c r="AG21" s="114">
        <f t="shared" si="10"/>
        <v>15669230.928732865</v>
      </c>
      <c r="AH21" s="114">
        <f t="shared" si="10"/>
        <v>23503182.864370577</v>
      </c>
      <c r="AI21" s="114">
        <f t="shared" si="10"/>
        <v>32823770.916706402</v>
      </c>
      <c r="AJ21" s="114">
        <f t="shared" si="10"/>
        <v>20116863.99734588</v>
      </c>
      <c r="AK21" s="114">
        <f t="shared" si="10"/>
        <v>0</v>
      </c>
    </row>
    <row r="22" spans="2:37" ht="16">
      <c r="B22" s="127" t="s">
        <v>340</v>
      </c>
      <c r="C22" s="425"/>
      <c r="D22" s="425"/>
      <c r="E22" s="425"/>
      <c r="F22" s="997">
        <f>W54/F12</f>
        <v>2.6819833833939044</v>
      </c>
      <c r="H22" s="204">
        <v>14</v>
      </c>
      <c r="I22" s="960">
        <v>0</v>
      </c>
      <c r="J22" s="180" t="str">
        <v>Forest</v>
      </c>
      <c r="K22" s="181">
        <v>21382.464998495529</v>
      </c>
      <c r="L22" s="182">
        <v>1030584.0810198868</v>
      </c>
      <c r="M22" s="183">
        <v>1033767.7627162361</v>
      </c>
      <c r="N22" s="205">
        <f t="shared" si="8"/>
        <v>1803522.1417848018</v>
      </c>
      <c r="O22" s="206">
        <f t="shared" si="8"/>
        <v>2061168.1620397735</v>
      </c>
      <c r="P22" s="206">
        <f t="shared" si="8"/>
        <v>2318814.182294745</v>
      </c>
      <c r="Q22" s="206">
        <f t="shared" si="8"/>
        <v>2576460.2025497169</v>
      </c>
      <c r="R22" s="182">
        <f t="shared" si="8"/>
        <v>2834106.2228046888</v>
      </c>
      <c r="S22" s="182">
        <f t="shared" si="9"/>
        <v>3101303.2881487082</v>
      </c>
      <c r="T22" s="135"/>
      <c r="U22" s="978">
        <v>39</v>
      </c>
      <c r="V22" s="207">
        <f t="shared" si="2"/>
        <v>4</v>
      </c>
      <c r="W22" s="182">
        <f t="shared" si="3"/>
        <v>2576460.2025497169</v>
      </c>
      <c r="X22" s="208">
        <v>3317643.6436021309</v>
      </c>
      <c r="Y22" s="208">
        <f t="shared" si="4"/>
        <v>741183.44105241401</v>
      </c>
      <c r="Z22" s="135"/>
      <c r="AA22" s="231"/>
      <c r="AB22" s="248"/>
      <c r="AC22" s="83"/>
    </row>
    <row r="23" spans="2:37" ht="16">
      <c r="B23" s="1001"/>
      <c r="C23" s="965"/>
      <c r="D23" s="965"/>
      <c r="E23" s="965"/>
      <c r="F23" s="1002"/>
      <c r="H23" s="204">
        <v>15</v>
      </c>
      <c r="I23" s="960">
        <v>0</v>
      </c>
      <c r="J23" s="180" t="str">
        <v>Forest</v>
      </c>
      <c r="K23" s="181">
        <v>21382.464998495529</v>
      </c>
      <c r="L23" s="182">
        <v>1030584.0810198868</v>
      </c>
      <c r="M23" s="183">
        <v>1033767.7627162361</v>
      </c>
      <c r="N23" s="205">
        <f t="shared" si="8"/>
        <v>1803522.1417848018</v>
      </c>
      <c r="O23" s="206">
        <f t="shared" si="8"/>
        <v>2061168.1620397735</v>
      </c>
      <c r="P23" s="206">
        <f t="shared" si="8"/>
        <v>2318814.182294745</v>
      </c>
      <c r="Q23" s="206">
        <f t="shared" si="8"/>
        <v>2576460.2025497169</v>
      </c>
      <c r="R23" s="182">
        <f t="shared" si="8"/>
        <v>2834106.2228046888</v>
      </c>
      <c r="S23" s="182">
        <f t="shared" si="9"/>
        <v>3101303.2881487082</v>
      </c>
      <c r="T23" s="135"/>
      <c r="U23" s="978">
        <v>49</v>
      </c>
      <c r="V23" s="207">
        <f t="shared" si="2"/>
        <v>5</v>
      </c>
      <c r="W23" s="182">
        <f t="shared" si="3"/>
        <v>2834106.2228046888</v>
      </c>
      <c r="X23" s="208">
        <v>3317643.6436021309</v>
      </c>
      <c r="Y23" s="208">
        <f t="shared" si="4"/>
        <v>483537.42079744209</v>
      </c>
      <c r="Z23" s="135"/>
      <c r="AA23" s="220" t="s">
        <v>119</v>
      </c>
      <c r="AB23" s="245"/>
      <c r="AC23" s="221"/>
      <c r="AD23" s="232" t="str" cm="1">
        <f t="array" ref="AD23:AK23">AD7:AK7</f>
        <v>Close</v>
      </c>
      <c r="AE23" s="232">
        <v>1</v>
      </c>
      <c r="AF23" s="232">
        <v>2</v>
      </c>
      <c r="AG23" s="232">
        <v>3</v>
      </c>
      <c r="AH23" s="232">
        <v>4</v>
      </c>
      <c r="AI23" s="232">
        <v>5</v>
      </c>
      <c r="AJ23" s="232">
        <v>6</v>
      </c>
      <c r="AK23" s="232">
        <v>7</v>
      </c>
    </row>
    <row r="24" spans="2:37" ht="16">
      <c r="H24" s="204">
        <v>16</v>
      </c>
      <c r="I24" s="960">
        <v>0</v>
      </c>
      <c r="J24" s="180" t="str">
        <v>Forest</v>
      </c>
      <c r="K24" s="181">
        <v>21382.464998495529</v>
      </c>
      <c r="L24" s="182">
        <v>1030584.0810198868</v>
      </c>
      <c r="M24" s="183">
        <v>1033767.7627162361</v>
      </c>
      <c r="N24" s="205">
        <f t="shared" si="8"/>
        <v>1803522.1417848018</v>
      </c>
      <c r="O24" s="206">
        <f t="shared" si="8"/>
        <v>2061168.1620397735</v>
      </c>
      <c r="P24" s="206">
        <f t="shared" si="8"/>
        <v>2318814.182294745</v>
      </c>
      <c r="Q24" s="206">
        <f t="shared" si="8"/>
        <v>2576460.2025497169</v>
      </c>
      <c r="R24" s="182">
        <f t="shared" si="8"/>
        <v>2834106.2228046888</v>
      </c>
      <c r="S24" s="182">
        <f t="shared" si="9"/>
        <v>3101303.2881487082</v>
      </c>
      <c r="T24" s="135"/>
      <c r="U24" s="978">
        <v>49</v>
      </c>
      <c r="V24" s="207">
        <f t="shared" si="2"/>
        <v>5</v>
      </c>
      <c r="W24" s="182">
        <f t="shared" si="3"/>
        <v>2834106.2228046888</v>
      </c>
      <c r="X24" s="208">
        <v>3317643.6436021309</v>
      </c>
      <c r="Y24" s="208">
        <f t="shared" si="4"/>
        <v>483537.42079744209</v>
      </c>
      <c r="Z24" s="135"/>
      <c r="AA24" s="229" t="str" cm="1">
        <f t="array" ref="AA24:AA28">_xlfn.ANCHORARRAY(AA16)</f>
        <v xml:space="preserve">Jimmy Creek </v>
      </c>
      <c r="AB24" s="247"/>
      <c r="AC24" s="230">
        <f>SUM(AD24:AK24)</f>
        <v>4305929.8150968645</v>
      </c>
      <c r="AD24" s="114">
        <f>SUMIFS($W$8:$W$52, $J$8:$J$52, $AA24, $V$8:$V$52, Reports!K$6)</f>
        <v>0</v>
      </c>
      <c r="AE24" s="114">
        <f>SUMIFS($W$8:$W$52, $J$8:$J$52, $AA24, $V$8:$V$52, Reports!L$6)</f>
        <v>0</v>
      </c>
      <c r="AF24" s="114">
        <f>SUMIFS($W$8:$W$52, $J$8:$J$52, $AA24, $V$8:$V$52, Reports!M$6)</f>
        <v>4305929.8150968645</v>
      </c>
      <c r="AG24" s="114">
        <f>SUMIFS($W$8:$W$52, $J$8:$J$52, $AA24, $V$8:$V$52, Reports!N$6)</f>
        <v>0</v>
      </c>
      <c r="AH24" s="114">
        <f>SUMIFS($W$8:$W$52, $J$8:$J$52, $AA24, $V$8:$V$52, Reports!O$6)</f>
        <v>0</v>
      </c>
      <c r="AI24" s="114">
        <f>SUMIFS($W$8:$W$52, $J$8:$J$52, $AA24, $V$8:$V$52, Reports!P$6)</f>
        <v>0</v>
      </c>
      <c r="AJ24" s="114">
        <f>SUMIFS($W$8:$W$52, $J$8:$J$52, $AA24, $V$8:$V$52, Reports!Q$6)</f>
        <v>0</v>
      </c>
      <c r="AK24" s="114">
        <f>SUMIFS($W$8:$W$52, $J$8:$J$52, $AA24, $V$8:$V$52, Reports!R$6)</f>
        <v>0</v>
      </c>
    </row>
    <row r="25" spans="2:37" ht="16">
      <c r="H25" s="204">
        <v>17</v>
      </c>
      <c r="I25" s="960">
        <v>0</v>
      </c>
      <c r="J25" s="180" t="str">
        <v>Forest</v>
      </c>
      <c r="K25" s="181">
        <v>21382.464998495529</v>
      </c>
      <c r="L25" s="182">
        <v>1030584.0810198868</v>
      </c>
      <c r="M25" s="183">
        <v>1033767.7627162361</v>
      </c>
      <c r="N25" s="205">
        <f t="shared" si="8"/>
        <v>1803522.1417848018</v>
      </c>
      <c r="O25" s="206">
        <f t="shared" si="8"/>
        <v>2061168.1620397735</v>
      </c>
      <c r="P25" s="206">
        <f t="shared" si="8"/>
        <v>2318814.182294745</v>
      </c>
      <c r="Q25" s="206">
        <f t="shared" si="8"/>
        <v>2576460.2025497169</v>
      </c>
      <c r="R25" s="182">
        <f t="shared" si="8"/>
        <v>2834106.2228046888</v>
      </c>
      <c r="S25" s="182">
        <f t="shared" si="9"/>
        <v>3101303.2881487082</v>
      </c>
      <c r="T25" s="135"/>
      <c r="U25" s="978">
        <v>49</v>
      </c>
      <c r="V25" s="207">
        <f t="shared" si="2"/>
        <v>5</v>
      </c>
      <c r="W25" s="182">
        <f t="shared" si="3"/>
        <v>2834106.2228046888</v>
      </c>
      <c r="X25" s="208">
        <v>3317643.6436021309</v>
      </c>
      <c r="Y25" s="208">
        <f t="shared" si="4"/>
        <v>483537.42079744209</v>
      </c>
      <c r="Z25" s="135"/>
      <c r="AA25" s="229" t="str">
        <v>Deer Creek</v>
      </c>
      <c r="AB25" s="247"/>
      <c r="AC25" s="230">
        <f t="shared" ref="AC25:AC28" si="11">SUM(AD25:AK25)</f>
        <v>10057735.559631331</v>
      </c>
      <c r="AD25" s="114">
        <f>SUMIFS($W$8:$W$52, $J$8:$J$52, $AA25, $V$8:$V$52, Reports!K$6)</f>
        <v>0</v>
      </c>
      <c r="AE25" s="114">
        <f>SUMIFS($W$8:$W$52, $J$8:$J$52, $AA25, $V$8:$V$52, Reports!L$6)</f>
        <v>0</v>
      </c>
      <c r="AF25" s="114">
        <f>SUMIFS($W$8:$W$52, $J$8:$J$52, $AA25, $V$8:$V$52, Reports!M$6)</f>
        <v>1703444.7620163423</v>
      </c>
      <c r="AG25" s="114">
        <f>SUMIFS($W$8:$W$52, $J$8:$J$52, $AA25, $V$8:$V$52, Reports!N$6)</f>
        <v>0</v>
      </c>
      <c r="AH25" s="114">
        <f>SUMIFS($W$8:$W$52, $J$8:$J$52, $AA25, $V$8:$V$52, Reports!O$6)</f>
        <v>0</v>
      </c>
      <c r="AI25" s="114">
        <f>SUMIFS($W$8:$W$52, $J$8:$J$52, $AA25, $V$8:$V$52, Reports!P$6)</f>
        <v>0</v>
      </c>
      <c r="AJ25" s="114">
        <f>SUMIFS($W$8:$W$52, $J$8:$J$52, $AA25, $V$8:$V$52, Reports!Q$6)</f>
        <v>8354290.7976149889</v>
      </c>
      <c r="AK25" s="114">
        <f>SUMIFS($W$8:$W$52, $J$8:$J$52, $AA25, $V$8:$V$52, Reports!R$6)</f>
        <v>0</v>
      </c>
    </row>
    <row r="26" spans="2:37" ht="16">
      <c r="F26" s="1007"/>
      <c r="H26" s="204">
        <v>18</v>
      </c>
      <c r="I26" s="960">
        <v>0</v>
      </c>
      <c r="J26" s="180" t="str">
        <v>Forest</v>
      </c>
      <c r="K26" s="181">
        <v>21382.464998495529</v>
      </c>
      <c r="L26" s="182">
        <v>1030584.0810198868</v>
      </c>
      <c r="M26" s="183">
        <v>1033767.7627162361</v>
      </c>
      <c r="N26" s="205">
        <f t="shared" si="8"/>
        <v>1803522.1417848018</v>
      </c>
      <c r="O26" s="206">
        <f t="shared" si="8"/>
        <v>2061168.1620397735</v>
      </c>
      <c r="P26" s="206">
        <f t="shared" si="8"/>
        <v>2318814.182294745</v>
      </c>
      <c r="Q26" s="206">
        <f t="shared" si="8"/>
        <v>2576460.2025497169</v>
      </c>
      <c r="R26" s="182">
        <f t="shared" si="8"/>
        <v>2834106.2228046888</v>
      </c>
      <c r="S26" s="182">
        <f t="shared" si="9"/>
        <v>3101303.2881487082</v>
      </c>
      <c r="T26" s="135"/>
      <c r="U26" s="978">
        <v>54</v>
      </c>
      <c r="V26" s="207">
        <f t="shared" si="2"/>
        <v>5</v>
      </c>
      <c r="W26" s="182">
        <f t="shared" si="3"/>
        <v>2834106.2228046888</v>
      </c>
      <c r="X26" s="208">
        <v>3317643.6436021309</v>
      </c>
      <c r="Y26" s="208">
        <f t="shared" si="4"/>
        <v>483537.42079744209</v>
      </c>
      <c r="Z26" s="135"/>
      <c r="AA26" s="229" t="str">
        <v>Forest</v>
      </c>
      <c r="AB26" s="247"/>
      <c r="AC26" s="230">
        <f t="shared" si="11"/>
        <v>24410126.850143898</v>
      </c>
      <c r="AD26" s="114">
        <f>SUMIFS($W$8:$W$52, $J$8:$J$52, $AA26, $V$8:$V$52, Reports!K$6)</f>
        <v>0</v>
      </c>
      <c r="AE26" s="114">
        <f>SUMIFS($W$8:$W$52, $J$8:$J$52, $AA26, $V$8:$V$52, Reports!L$6)</f>
        <v>0</v>
      </c>
      <c r="AF26" s="114">
        <f>SUMIFS($W$8:$W$52, $J$8:$J$52, $AA26, $V$8:$V$52, Reports!M$6)</f>
        <v>0</v>
      </c>
      <c r="AG26" s="114">
        <f>SUMIFS($W$8:$W$52, $J$8:$J$52, $AA26, $V$8:$V$52, Reports!N$6)</f>
        <v>0</v>
      </c>
      <c r="AH26" s="114">
        <f>SUMIFS($W$8:$W$52, $J$8:$J$52, $AA26, $V$8:$V$52, Reports!O$6)</f>
        <v>10239595.736120455</v>
      </c>
      <c r="AI26" s="114">
        <f>SUMIFS($W$8:$W$52, $J$8:$J$52, $AA26, $V$8:$V$52, Reports!P$6)</f>
        <v>14170531.114023443</v>
      </c>
      <c r="AJ26" s="114">
        <f>SUMIFS($W$8:$W$52, $J$8:$J$52, $AA26, $V$8:$V$52, Reports!Q$6)</f>
        <v>0</v>
      </c>
      <c r="AK26" s="114">
        <f>SUMIFS($W$8:$W$52, $J$8:$J$52, $AA26, $V$8:$V$52, Reports!R$6)</f>
        <v>0</v>
      </c>
    </row>
    <row r="27" spans="2:37" ht="16">
      <c r="H27" s="204">
        <v>19</v>
      </c>
      <c r="I27" s="960">
        <v>0</v>
      </c>
      <c r="J27" s="180" t="str">
        <v>Forest</v>
      </c>
      <c r="K27" s="181">
        <v>21382.464998495529</v>
      </c>
      <c r="L27" s="182">
        <v>1030584.0810198868</v>
      </c>
      <c r="M27" s="183">
        <v>982079.37458042428</v>
      </c>
      <c r="N27" s="205">
        <f t="shared" si="8"/>
        <v>1803522.1417848018</v>
      </c>
      <c r="O27" s="206">
        <f t="shared" si="8"/>
        <v>2061168.1620397735</v>
      </c>
      <c r="P27" s="206">
        <f t="shared" si="8"/>
        <v>2318814.182294745</v>
      </c>
      <c r="Q27" s="206">
        <f t="shared" si="8"/>
        <v>2576460.2025497169</v>
      </c>
      <c r="R27" s="182">
        <f t="shared" si="8"/>
        <v>2834106.2228046888</v>
      </c>
      <c r="S27" s="182">
        <f t="shared" si="9"/>
        <v>2946238.1237412728</v>
      </c>
      <c r="T27" s="135"/>
      <c r="U27" s="978">
        <v>54</v>
      </c>
      <c r="V27" s="207">
        <f t="shared" si="2"/>
        <v>5</v>
      </c>
      <c r="W27" s="182">
        <f t="shared" si="3"/>
        <v>2834106.2228046888</v>
      </c>
      <c r="X27" s="208">
        <v>3151761.4614220243</v>
      </c>
      <c r="Y27" s="208">
        <f t="shared" si="4"/>
        <v>317655.23861733545</v>
      </c>
      <c r="Z27" s="135"/>
      <c r="AA27" s="229" t="str">
        <v>Bench</v>
      </c>
      <c r="AB27" s="247"/>
      <c r="AC27" s="230">
        <f t="shared" si="11"/>
        <v>21666873.380542256</v>
      </c>
      <c r="AD27" s="114">
        <f>SUMIFS($W$8:$W$52, $J$8:$J$52, $AA27, $V$8:$V$52, Reports!K$6)</f>
        <v>0</v>
      </c>
      <c r="AE27" s="114">
        <f>SUMIFS($W$8:$W$52, $J$8:$J$52, $AA27, $V$8:$V$52, Reports!L$6)</f>
        <v>0</v>
      </c>
      <c r="AF27" s="114">
        <f>SUMIFS($W$8:$W$52, $J$8:$J$52, $AA27, $V$8:$V$52, Reports!M$6)</f>
        <v>0</v>
      </c>
      <c r="AG27" s="114">
        <f>SUMIFS($W$8:$W$52, $J$8:$J$52, $AA27, $V$8:$V$52, Reports!N$6)</f>
        <v>12262438.756910365</v>
      </c>
      <c r="AH27" s="114">
        <f>SUMIFS($W$8:$W$52, $J$8:$J$52, $AA27, $V$8:$V$52, Reports!O$6)</f>
        <v>9404434.623631889</v>
      </c>
      <c r="AI27" s="114">
        <f>SUMIFS($W$8:$W$52, $J$8:$J$52, $AA27, $V$8:$V$52, Reports!P$6)</f>
        <v>0</v>
      </c>
      <c r="AJ27" s="114">
        <f>SUMIFS($W$8:$W$52, $J$8:$J$52, $AA27, $V$8:$V$52, Reports!Q$6)</f>
        <v>0</v>
      </c>
      <c r="AK27" s="114">
        <f>SUMIFS($W$8:$W$52, $J$8:$J$52, $AA27, $V$8:$V$52, Reports!R$6)</f>
        <v>0</v>
      </c>
    </row>
    <row r="28" spans="2:37" ht="19">
      <c r="H28" s="204">
        <v>20</v>
      </c>
      <c r="I28" s="960">
        <v>0</v>
      </c>
      <c r="J28" s="180" t="str">
        <v>Bench</v>
      </c>
      <c r="K28" s="181">
        <v>12271.846303085129</v>
      </c>
      <c r="L28" s="182">
        <v>591473.87570011872</v>
      </c>
      <c r="M28" s="183">
        <v>583045.01817195711</v>
      </c>
      <c r="N28" s="205">
        <f t="shared" ref="N28:R37" si="12">$L28*N$7</f>
        <v>1035079.2824752077</v>
      </c>
      <c r="O28" s="206">
        <f t="shared" si="12"/>
        <v>1182947.7514002374</v>
      </c>
      <c r="P28" s="206">
        <f t="shared" si="12"/>
        <v>1330816.2203252672</v>
      </c>
      <c r="Q28" s="206">
        <f t="shared" si="12"/>
        <v>1478684.6892502969</v>
      </c>
      <c r="R28" s="182">
        <f t="shared" si="12"/>
        <v>1626553.1581753264</v>
      </c>
      <c r="S28" s="182">
        <f t="shared" ref="S28:S37" si="13">$M28*S$7</f>
        <v>1749135.0545158712</v>
      </c>
      <c r="T28" s="135"/>
      <c r="U28" s="978">
        <v>28</v>
      </c>
      <c r="V28" s="207">
        <f t="shared" si="2"/>
        <v>3</v>
      </c>
      <c r="W28" s="182">
        <f t="shared" si="3"/>
        <v>1330816.2203252672</v>
      </c>
      <c r="X28" s="208">
        <v>1871151.0149916017</v>
      </c>
      <c r="Y28" s="208">
        <f t="shared" si="4"/>
        <v>540334.79466633452</v>
      </c>
      <c r="Z28" s="135"/>
      <c r="AA28" s="229" t="str">
        <v>Hillside</v>
      </c>
      <c r="AB28" s="247"/>
      <c r="AC28" s="118">
        <f t="shared" si="11"/>
        <v>23398134.959479116</v>
      </c>
      <c r="AD28" s="115">
        <f>SUMIFS($W$8:$W$52, $J$8:$J$52, $AA28, $V$8:$V$52, Reports!K$6)</f>
        <v>0</v>
      </c>
      <c r="AE28" s="115">
        <f>SUMIFS($W$8:$W$52, $J$8:$J$52, $AA28, $V$8:$V$52, Reports!L$6)</f>
        <v>0</v>
      </c>
      <c r="AF28" s="115">
        <f>SUMIFS($W$8:$W$52, $J$8:$J$52, $AA28, $V$8:$V$52, Reports!M$6)</f>
        <v>0</v>
      </c>
      <c r="AG28" s="115">
        <f>SUMIFS($W$8:$W$52, $J$8:$J$52, $AA28, $V$8:$V$52, Reports!N$6)</f>
        <v>0</v>
      </c>
      <c r="AH28" s="115">
        <f>SUMIFS($W$8:$W$52, $J$8:$J$52, $AA28, $V$8:$V$52, Reports!O$6)</f>
        <v>0</v>
      </c>
      <c r="AI28" s="115">
        <f>SUMIFS($W$8:$W$52, $J$8:$J$52, $AA28, $V$8:$V$52, Reports!P$6)</f>
        <v>12947363.1390756</v>
      </c>
      <c r="AJ28" s="115">
        <f>SUMIFS($W$8:$W$52, $J$8:$J$52, $AA28, $V$8:$V$52, Reports!Q$6)</f>
        <v>10450771.820403518</v>
      </c>
      <c r="AK28" s="115">
        <f>SUMIFS($W$8:$W$52, $J$8:$J$52, $AA28, $V$8:$V$52, Reports!R$6)</f>
        <v>0</v>
      </c>
    </row>
    <row r="29" spans="2:37" ht="16">
      <c r="H29" s="204">
        <v>21</v>
      </c>
      <c r="I29" s="960">
        <v>22</v>
      </c>
      <c r="J29" s="180" t="str">
        <v>Bench</v>
      </c>
      <c r="K29" s="181">
        <v>12271.846303085129</v>
      </c>
      <c r="L29" s="182">
        <v>591473.87570011872</v>
      </c>
      <c r="M29" s="183">
        <v>495588.26544616366</v>
      </c>
      <c r="N29" s="205">
        <f t="shared" si="12"/>
        <v>1035079.2824752077</v>
      </c>
      <c r="O29" s="206">
        <f t="shared" si="12"/>
        <v>1182947.7514002374</v>
      </c>
      <c r="P29" s="206">
        <f t="shared" si="12"/>
        <v>1330816.2203252672</v>
      </c>
      <c r="Q29" s="206">
        <f t="shared" si="12"/>
        <v>1478684.6892502969</v>
      </c>
      <c r="R29" s="182">
        <f t="shared" si="12"/>
        <v>1626553.1581753264</v>
      </c>
      <c r="S29" s="182">
        <f t="shared" si="13"/>
        <v>1486764.7963384909</v>
      </c>
      <c r="T29" s="135"/>
      <c r="U29" s="978">
        <v>25</v>
      </c>
      <c r="V29" s="207">
        <f t="shared" si="2"/>
        <v>3</v>
      </c>
      <c r="W29" s="182">
        <f t="shared" si="3"/>
        <v>1330816.2203252672</v>
      </c>
      <c r="X29" s="208">
        <v>1590478.3627428615</v>
      </c>
      <c r="Y29" s="208">
        <f t="shared" si="4"/>
        <v>259662.14241759432</v>
      </c>
      <c r="Z29" s="135"/>
      <c r="AA29" s="109" t="s">
        <v>83</v>
      </c>
      <c r="AB29" s="247"/>
      <c r="AC29" s="230">
        <f t="shared" ref="AC29:AK29" si="14">SUM(AC24:AC28)</f>
        <v>83838800.564893469</v>
      </c>
      <c r="AD29" s="114">
        <f t="shared" si="14"/>
        <v>0</v>
      </c>
      <c r="AE29" s="114">
        <f t="shared" si="14"/>
        <v>0</v>
      </c>
      <c r="AF29" s="114">
        <f t="shared" si="14"/>
        <v>6009374.5771132065</v>
      </c>
      <c r="AG29" s="114">
        <f t="shared" si="14"/>
        <v>12262438.756910365</v>
      </c>
      <c r="AH29" s="114">
        <f t="shared" si="14"/>
        <v>19644030.359752342</v>
      </c>
      <c r="AI29" s="114">
        <f t="shared" si="14"/>
        <v>27117894.253099043</v>
      </c>
      <c r="AJ29" s="114">
        <f t="shared" si="14"/>
        <v>18805062.618018508</v>
      </c>
      <c r="AK29" s="114">
        <f t="shared" si="14"/>
        <v>0</v>
      </c>
    </row>
    <row r="30" spans="2:37" ht="16">
      <c r="H30" s="204">
        <v>22</v>
      </c>
      <c r="I30" s="960" t="str">
        <v>21,23</v>
      </c>
      <c r="J30" s="180" t="str">
        <v>Bench</v>
      </c>
      <c r="K30" s="181">
        <v>17671.458676442588</v>
      </c>
      <c r="L30" s="182">
        <v>851722.38100817113</v>
      </c>
      <c r="M30" s="183">
        <v>713506.50982674642</v>
      </c>
      <c r="N30" s="205">
        <f t="shared" si="12"/>
        <v>1490514.1667642994</v>
      </c>
      <c r="O30" s="206">
        <f t="shared" si="12"/>
        <v>1703444.7620163423</v>
      </c>
      <c r="P30" s="206">
        <f t="shared" si="12"/>
        <v>1916375.3572683851</v>
      </c>
      <c r="Q30" s="206">
        <f t="shared" si="12"/>
        <v>2129305.9525204278</v>
      </c>
      <c r="R30" s="182">
        <f t="shared" si="12"/>
        <v>2342236.5477724704</v>
      </c>
      <c r="S30" s="182">
        <f t="shared" si="13"/>
        <v>2140519.5294802394</v>
      </c>
      <c r="T30" s="135"/>
      <c r="U30" s="978">
        <v>25</v>
      </c>
      <c r="V30" s="207">
        <f t="shared" si="2"/>
        <v>3</v>
      </c>
      <c r="W30" s="182">
        <f t="shared" si="3"/>
        <v>1916375.3572683851</v>
      </c>
      <c r="X30" s="208">
        <v>2289837.6428141911</v>
      </c>
      <c r="Y30" s="208">
        <f t="shared" si="4"/>
        <v>373462.28554580593</v>
      </c>
      <c r="Z30" s="135"/>
    </row>
    <row r="31" spans="2:37" ht="16">
      <c r="H31" s="204">
        <v>23</v>
      </c>
      <c r="I31" s="960">
        <v>22</v>
      </c>
      <c r="J31" s="180" t="str">
        <v>Bench</v>
      </c>
      <c r="K31" s="181">
        <v>12271.846303085129</v>
      </c>
      <c r="L31" s="182">
        <v>591473.87570011872</v>
      </c>
      <c r="M31" s="183">
        <v>437283.76362896786</v>
      </c>
      <c r="N31" s="205">
        <f t="shared" si="12"/>
        <v>1035079.2824752077</v>
      </c>
      <c r="O31" s="206">
        <f t="shared" si="12"/>
        <v>1182947.7514002374</v>
      </c>
      <c r="P31" s="206">
        <f t="shared" si="12"/>
        <v>1330816.2203252672</v>
      </c>
      <c r="Q31" s="206">
        <f t="shared" si="12"/>
        <v>1478684.6892502969</v>
      </c>
      <c r="R31" s="182">
        <f t="shared" si="12"/>
        <v>1626553.1581753264</v>
      </c>
      <c r="S31" s="182">
        <f t="shared" si="13"/>
        <v>1311851.2908869036</v>
      </c>
      <c r="T31" s="135"/>
      <c r="U31" s="978">
        <v>25</v>
      </c>
      <c r="V31" s="207">
        <f t="shared" si="2"/>
        <v>3</v>
      </c>
      <c r="W31" s="182">
        <f t="shared" si="3"/>
        <v>1330816.2203252672</v>
      </c>
      <c r="X31" s="208">
        <v>1403363.2612437012</v>
      </c>
      <c r="Y31" s="208">
        <f t="shared" si="4"/>
        <v>72547.040918434039</v>
      </c>
      <c r="Z31" s="135"/>
      <c r="AA31" s="167" t="s">
        <v>91</v>
      </c>
      <c r="AB31" s="30"/>
      <c r="AC31" s="117">
        <f>SUM(AD31:AK31)</f>
        <v>16483093.809627011</v>
      </c>
      <c r="AE31" s="63">
        <f t="shared" ref="AE31:AJ31" si="15">AE21-AE29</f>
        <v>0</v>
      </c>
      <c r="AF31" s="63">
        <f t="shared" si="15"/>
        <v>2199471.0902515454</v>
      </c>
      <c r="AG31" s="63">
        <f t="shared" si="15"/>
        <v>3406792.1718224995</v>
      </c>
      <c r="AH31" s="63">
        <f t="shared" si="15"/>
        <v>3859152.5046182349</v>
      </c>
      <c r="AI31" s="63">
        <f t="shared" si="15"/>
        <v>5705876.6636073589</v>
      </c>
      <c r="AJ31" s="63">
        <f t="shared" si="15"/>
        <v>1311801.3793273717</v>
      </c>
    </row>
    <row r="32" spans="2:37" ht="16">
      <c r="H32" s="204">
        <v>24</v>
      </c>
      <c r="I32" s="960">
        <v>0</v>
      </c>
      <c r="J32" s="180" t="str">
        <v>Bench</v>
      </c>
      <c r="K32" s="181">
        <v>12271.846303085129</v>
      </c>
      <c r="L32" s="182">
        <v>591473.87570011872</v>
      </c>
      <c r="M32" s="183">
        <v>437283.76362896786</v>
      </c>
      <c r="N32" s="205">
        <f t="shared" si="12"/>
        <v>1035079.2824752077</v>
      </c>
      <c r="O32" s="206">
        <f t="shared" si="12"/>
        <v>1182947.7514002374</v>
      </c>
      <c r="P32" s="206">
        <f t="shared" si="12"/>
        <v>1330816.2203252672</v>
      </c>
      <c r="Q32" s="206">
        <f t="shared" si="12"/>
        <v>1478684.6892502969</v>
      </c>
      <c r="R32" s="182">
        <f t="shared" si="12"/>
        <v>1626553.1581753264</v>
      </c>
      <c r="S32" s="182">
        <f t="shared" si="13"/>
        <v>1311851.2908869036</v>
      </c>
      <c r="T32" s="135"/>
      <c r="U32" s="978">
        <v>28</v>
      </c>
      <c r="V32" s="207">
        <f t="shared" si="2"/>
        <v>3</v>
      </c>
      <c r="W32" s="182">
        <f t="shared" si="3"/>
        <v>1330816.2203252672</v>
      </c>
      <c r="X32" s="208">
        <v>1403363.2612437012</v>
      </c>
      <c r="Y32" s="208">
        <f t="shared" si="4"/>
        <v>72547.040918434039</v>
      </c>
      <c r="Z32" s="135"/>
    </row>
    <row r="33" spans="8:25" ht="16">
      <c r="H33" s="204">
        <v>25</v>
      </c>
      <c r="I33" s="960">
        <v>0</v>
      </c>
      <c r="J33" s="180" t="str">
        <v>Bench</v>
      </c>
      <c r="K33" s="181">
        <v>12271.846303085129</v>
      </c>
      <c r="L33" s="182">
        <v>591473.87570011872</v>
      </c>
      <c r="M33" s="183">
        <v>437283.76362896786</v>
      </c>
      <c r="N33" s="205">
        <f t="shared" si="12"/>
        <v>1035079.2824752077</v>
      </c>
      <c r="O33" s="206">
        <f t="shared" si="12"/>
        <v>1182947.7514002374</v>
      </c>
      <c r="P33" s="206">
        <f t="shared" si="12"/>
        <v>1330816.2203252672</v>
      </c>
      <c r="Q33" s="206">
        <f t="shared" si="12"/>
        <v>1478684.6892502969</v>
      </c>
      <c r="R33" s="182">
        <f t="shared" si="12"/>
        <v>1626553.1581753264</v>
      </c>
      <c r="S33" s="182">
        <f t="shared" si="13"/>
        <v>1311851.2908869036</v>
      </c>
      <c r="T33" s="135"/>
      <c r="U33" s="978">
        <v>32</v>
      </c>
      <c r="V33" s="207">
        <f t="shared" si="2"/>
        <v>3</v>
      </c>
      <c r="W33" s="182">
        <f t="shared" si="3"/>
        <v>1330816.2203252672</v>
      </c>
      <c r="X33" s="208">
        <v>1403363.2612437012</v>
      </c>
      <c r="Y33" s="208">
        <f t="shared" si="4"/>
        <v>72547.040918434039</v>
      </c>
    </row>
    <row r="34" spans="8:25" ht="16">
      <c r="H34" s="204">
        <v>26</v>
      </c>
      <c r="I34" s="960">
        <v>0</v>
      </c>
      <c r="J34" s="180" t="str">
        <v>Bench</v>
      </c>
      <c r="K34" s="181">
        <v>12271.846303085129</v>
      </c>
      <c r="L34" s="182">
        <v>591473.87570011872</v>
      </c>
      <c r="M34" s="183">
        <v>583045.01817195711</v>
      </c>
      <c r="N34" s="205">
        <f t="shared" si="12"/>
        <v>1035079.2824752077</v>
      </c>
      <c r="O34" s="206">
        <f t="shared" si="12"/>
        <v>1182947.7514002374</v>
      </c>
      <c r="P34" s="206">
        <f t="shared" si="12"/>
        <v>1330816.2203252672</v>
      </c>
      <c r="Q34" s="206">
        <f t="shared" si="12"/>
        <v>1478684.6892502969</v>
      </c>
      <c r="R34" s="182">
        <f t="shared" si="12"/>
        <v>1626553.1581753264</v>
      </c>
      <c r="S34" s="182">
        <f t="shared" si="13"/>
        <v>1749135.0545158712</v>
      </c>
      <c r="T34" s="135"/>
      <c r="U34" s="978">
        <v>37</v>
      </c>
      <c r="V34" s="207">
        <f t="shared" si="2"/>
        <v>4</v>
      </c>
      <c r="W34" s="182">
        <f t="shared" si="3"/>
        <v>1478684.6892502969</v>
      </c>
      <c r="X34" s="208">
        <v>1871151.0149916017</v>
      </c>
      <c r="Y34" s="208">
        <f t="shared" si="4"/>
        <v>392466.32574130478</v>
      </c>
    </row>
    <row r="35" spans="8:25" ht="16">
      <c r="H35" s="204">
        <v>27</v>
      </c>
      <c r="I35" s="960" t="str">
        <v>28, 20</v>
      </c>
      <c r="J35" s="180" t="str">
        <v>Bench</v>
      </c>
      <c r="K35" s="181">
        <v>12271.846303085129</v>
      </c>
      <c r="L35" s="182">
        <v>591473.87570011872</v>
      </c>
      <c r="M35" s="183">
        <v>641349.5199891529</v>
      </c>
      <c r="N35" s="205">
        <f t="shared" si="12"/>
        <v>1035079.2824752077</v>
      </c>
      <c r="O35" s="206">
        <f t="shared" si="12"/>
        <v>1182947.7514002374</v>
      </c>
      <c r="P35" s="206">
        <f t="shared" si="12"/>
        <v>1330816.2203252672</v>
      </c>
      <c r="Q35" s="206">
        <f t="shared" si="12"/>
        <v>1478684.6892502969</v>
      </c>
      <c r="R35" s="182">
        <f t="shared" si="12"/>
        <v>1626553.1581753264</v>
      </c>
      <c r="S35" s="182">
        <f t="shared" si="13"/>
        <v>1924048.5599674587</v>
      </c>
      <c r="T35" s="135"/>
      <c r="U35" s="978">
        <v>28</v>
      </c>
      <c r="V35" s="207">
        <f t="shared" si="2"/>
        <v>3</v>
      </c>
      <c r="W35" s="182">
        <f t="shared" si="3"/>
        <v>1330816.2203252672</v>
      </c>
      <c r="X35" s="208">
        <v>2058266.116490762</v>
      </c>
      <c r="Y35" s="208">
        <f t="shared" si="4"/>
        <v>727449.89616549481</v>
      </c>
    </row>
    <row r="36" spans="8:25" ht="16">
      <c r="H36" s="204">
        <v>28</v>
      </c>
      <c r="I36" s="960">
        <v>0</v>
      </c>
      <c r="J36" s="180" t="str">
        <v>Bench</v>
      </c>
      <c r="K36" s="181">
        <v>21773.004235244909</v>
      </c>
      <c r="L36" s="182">
        <v>1049407.1456401674</v>
      </c>
      <c r="M36" s="183">
        <v>1137144.5389878599</v>
      </c>
      <c r="N36" s="205">
        <f t="shared" si="12"/>
        <v>1836462.504870293</v>
      </c>
      <c r="O36" s="206">
        <f t="shared" si="12"/>
        <v>2098814.2912803348</v>
      </c>
      <c r="P36" s="206">
        <f t="shared" si="12"/>
        <v>2361166.0776903769</v>
      </c>
      <c r="Q36" s="206">
        <f t="shared" si="12"/>
        <v>2623517.8641004185</v>
      </c>
      <c r="R36" s="182">
        <f t="shared" si="12"/>
        <v>2885869.6505104601</v>
      </c>
      <c r="S36" s="182">
        <f t="shared" si="13"/>
        <v>3411433.6169635793</v>
      </c>
      <c r="T36" s="135"/>
      <c r="U36" s="978">
        <v>32</v>
      </c>
      <c r="V36" s="207">
        <f t="shared" si="2"/>
        <v>3</v>
      </c>
      <c r="W36" s="182">
        <f t="shared" si="3"/>
        <v>2361166.0776903769</v>
      </c>
      <c r="X36" s="208">
        <v>3649408.0079623442</v>
      </c>
      <c r="Y36" s="208">
        <f t="shared" si="4"/>
        <v>1288241.9302719673</v>
      </c>
    </row>
    <row r="37" spans="8:25" ht="16">
      <c r="H37" s="204">
        <v>29</v>
      </c>
      <c r="I37" s="960">
        <v>0</v>
      </c>
      <c r="J37" s="180" t="str">
        <v>Bench</v>
      </c>
      <c r="K37" s="181">
        <v>17671.458676442588</v>
      </c>
      <c r="L37" s="182">
        <v>851722.38100817113</v>
      </c>
      <c r="M37" s="183">
        <v>629564.56749418774</v>
      </c>
      <c r="N37" s="205">
        <f t="shared" si="12"/>
        <v>1490514.1667642994</v>
      </c>
      <c r="O37" s="206">
        <f t="shared" si="12"/>
        <v>1703444.7620163423</v>
      </c>
      <c r="P37" s="206">
        <f t="shared" si="12"/>
        <v>1916375.3572683851</v>
      </c>
      <c r="Q37" s="206">
        <f t="shared" si="12"/>
        <v>2129305.9525204278</v>
      </c>
      <c r="R37" s="182">
        <f t="shared" si="12"/>
        <v>2342236.5477724704</v>
      </c>
      <c r="S37" s="182">
        <f t="shared" si="13"/>
        <v>1888693.7024825632</v>
      </c>
      <c r="T37" s="135"/>
      <c r="U37" s="978">
        <v>42</v>
      </c>
      <c r="V37" s="207">
        <f t="shared" si="2"/>
        <v>4</v>
      </c>
      <c r="W37" s="182">
        <f t="shared" si="3"/>
        <v>2129305.9525204278</v>
      </c>
      <c r="X37" s="208">
        <v>2020444.9789536975</v>
      </c>
      <c r="Y37" s="208">
        <f t="shared" si="4"/>
        <v>-108860.97356673027</v>
      </c>
    </row>
    <row r="38" spans="8:25" ht="16">
      <c r="H38" s="204">
        <v>30</v>
      </c>
      <c r="I38" s="960">
        <v>0</v>
      </c>
      <c r="J38" s="180" t="str">
        <v>Bench</v>
      </c>
      <c r="K38" s="181">
        <v>7853.981633974483</v>
      </c>
      <c r="L38" s="182">
        <v>378543.28044807597</v>
      </c>
      <c r="M38" s="183">
        <v>280667.94757745811</v>
      </c>
      <c r="N38" s="205">
        <f t="shared" ref="N38:R52" si="16">$L38*N$7</f>
        <v>662450.74078413297</v>
      </c>
      <c r="O38" s="206">
        <f t="shared" si="16"/>
        <v>757086.56089615193</v>
      </c>
      <c r="P38" s="206">
        <f t="shared" si="16"/>
        <v>851722.38100817089</v>
      </c>
      <c r="Q38" s="206">
        <f t="shared" si="16"/>
        <v>946358.20112018986</v>
      </c>
      <c r="R38" s="182">
        <f t="shared" si="16"/>
        <v>1040994.0212322089</v>
      </c>
      <c r="S38" s="182">
        <f t="shared" ref="S38:S52" si="17">$M38*S$7</f>
        <v>842003.84273237432</v>
      </c>
      <c r="T38" s="135"/>
      <c r="U38" s="978">
        <v>42</v>
      </c>
      <c r="V38" s="207">
        <f t="shared" si="2"/>
        <v>4</v>
      </c>
      <c r="W38" s="182">
        <f t="shared" si="3"/>
        <v>946358.20112018986</v>
      </c>
      <c r="X38" s="208">
        <v>900740.24923797848</v>
      </c>
      <c r="Y38" s="208">
        <f t="shared" si="4"/>
        <v>-45617.951882211375</v>
      </c>
    </row>
    <row r="39" spans="8:25" ht="16">
      <c r="H39" s="204">
        <v>31</v>
      </c>
      <c r="I39" s="960">
        <v>0</v>
      </c>
      <c r="J39" s="180" t="str">
        <v>Bench</v>
      </c>
      <c r="K39" s="181">
        <v>7853.981633974483</v>
      </c>
      <c r="L39" s="182">
        <v>378543.28044807597</v>
      </c>
      <c r="M39" s="183">
        <v>318090.34058778582</v>
      </c>
      <c r="N39" s="205">
        <f t="shared" si="16"/>
        <v>662450.74078413297</v>
      </c>
      <c r="O39" s="206">
        <f t="shared" si="16"/>
        <v>757086.56089615193</v>
      </c>
      <c r="P39" s="206">
        <f t="shared" si="16"/>
        <v>851722.38100817089</v>
      </c>
      <c r="Q39" s="206">
        <f t="shared" si="16"/>
        <v>946358.20112018986</v>
      </c>
      <c r="R39" s="182">
        <f t="shared" si="16"/>
        <v>1040994.0212322089</v>
      </c>
      <c r="S39" s="182">
        <f t="shared" si="17"/>
        <v>954271.02176335745</v>
      </c>
      <c r="T39" s="135"/>
      <c r="U39" s="978">
        <v>39</v>
      </c>
      <c r="V39" s="207">
        <f t="shared" si="2"/>
        <v>4</v>
      </c>
      <c r="W39" s="182">
        <f t="shared" si="3"/>
        <v>946358.20112018986</v>
      </c>
      <c r="X39" s="208">
        <v>1020838.9491363756</v>
      </c>
      <c r="Y39" s="208">
        <f t="shared" si="4"/>
        <v>74480.748016185709</v>
      </c>
    </row>
    <row r="40" spans="8:25" ht="16">
      <c r="H40" s="204">
        <v>32</v>
      </c>
      <c r="I40" s="960">
        <v>0</v>
      </c>
      <c r="J40" s="180" t="str">
        <v>Bench</v>
      </c>
      <c r="K40" s="181">
        <v>7853.981633974483</v>
      </c>
      <c r="L40" s="182">
        <v>378543.28044807597</v>
      </c>
      <c r="M40" s="183">
        <v>318090.34058778582</v>
      </c>
      <c r="N40" s="205">
        <f t="shared" si="16"/>
        <v>662450.74078413297</v>
      </c>
      <c r="O40" s="206">
        <f t="shared" si="16"/>
        <v>757086.56089615193</v>
      </c>
      <c r="P40" s="206">
        <f t="shared" si="16"/>
        <v>851722.38100817089</v>
      </c>
      <c r="Q40" s="206">
        <f t="shared" si="16"/>
        <v>946358.20112018986</v>
      </c>
      <c r="R40" s="182">
        <f t="shared" si="16"/>
        <v>1040994.0212322089</v>
      </c>
      <c r="S40" s="182">
        <f t="shared" si="17"/>
        <v>954271.02176335745</v>
      </c>
      <c r="T40" s="135"/>
      <c r="U40" s="978">
        <v>39</v>
      </c>
      <c r="V40" s="207">
        <f t="shared" si="2"/>
        <v>4</v>
      </c>
      <c r="W40" s="182">
        <f t="shared" si="3"/>
        <v>946358.20112018986</v>
      </c>
      <c r="X40" s="208">
        <v>1020838.9491363756</v>
      </c>
      <c r="Y40" s="208">
        <f t="shared" si="4"/>
        <v>74480.748016185709</v>
      </c>
    </row>
    <row r="41" spans="8:25" ht="16">
      <c r="H41" s="204">
        <v>33</v>
      </c>
      <c r="I41" s="960" t="str">
        <v>31,32</v>
      </c>
      <c r="J41" s="180" t="str">
        <v>Bench</v>
      </c>
      <c r="K41" s="181">
        <v>12271.846303085129</v>
      </c>
      <c r="L41" s="182">
        <v>591473.87570011872</v>
      </c>
      <c r="M41" s="183">
        <v>641349.5199891529</v>
      </c>
      <c r="N41" s="205">
        <f t="shared" si="16"/>
        <v>1035079.2824752077</v>
      </c>
      <c r="O41" s="206">
        <f t="shared" si="16"/>
        <v>1182947.7514002374</v>
      </c>
      <c r="P41" s="206">
        <f t="shared" si="16"/>
        <v>1330816.2203252672</v>
      </c>
      <c r="Q41" s="206">
        <f t="shared" si="16"/>
        <v>1478684.6892502969</v>
      </c>
      <c r="R41" s="182">
        <f t="shared" si="16"/>
        <v>1626553.1581753264</v>
      </c>
      <c r="S41" s="182">
        <f t="shared" si="17"/>
        <v>1924048.5599674587</v>
      </c>
      <c r="T41" s="135"/>
      <c r="U41" s="978">
        <v>42</v>
      </c>
      <c r="V41" s="207">
        <f t="shared" si="2"/>
        <v>4</v>
      </c>
      <c r="W41" s="182">
        <f t="shared" si="3"/>
        <v>1478684.6892502969</v>
      </c>
      <c r="X41" s="208">
        <v>2058266.116490762</v>
      </c>
      <c r="Y41" s="208">
        <f t="shared" si="4"/>
        <v>579581.42724046507</v>
      </c>
    </row>
    <row r="42" spans="8:25" ht="16">
      <c r="H42" s="204">
        <v>34</v>
      </c>
      <c r="I42" s="960">
        <v>0</v>
      </c>
      <c r="J42" s="180" t="str">
        <v>Bench</v>
      </c>
      <c r="K42" s="181">
        <v>12271.846303085129</v>
      </c>
      <c r="L42" s="182">
        <v>591473.87570011872</v>
      </c>
      <c r="M42" s="183">
        <v>641349.5199891529</v>
      </c>
      <c r="N42" s="205">
        <f t="shared" si="16"/>
        <v>1035079.2824752077</v>
      </c>
      <c r="O42" s="206">
        <f t="shared" si="16"/>
        <v>1182947.7514002374</v>
      </c>
      <c r="P42" s="206">
        <f t="shared" si="16"/>
        <v>1330816.2203252672</v>
      </c>
      <c r="Q42" s="206">
        <f t="shared" si="16"/>
        <v>1478684.6892502969</v>
      </c>
      <c r="R42" s="182">
        <f t="shared" si="16"/>
        <v>1626553.1581753264</v>
      </c>
      <c r="S42" s="182">
        <f t="shared" si="17"/>
        <v>1924048.5599674587</v>
      </c>
      <c r="T42" s="135"/>
      <c r="U42" s="978">
        <v>42</v>
      </c>
      <c r="V42" s="207">
        <f t="shared" si="2"/>
        <v>4</v>
      </c>
      <c r="W42" s="182">
        <f t="shared" si="3"/>
        <v>1478684.6892502969</v>
      </c>
      <c r="X42" s="208">
        <v>2058266.116490762</v>
      </c>
      <c r="Y42" s="208">
        <f t="shared" si="4"/>
        <v>579581.42724046507</v>
      </c>
    </row>
    <row r="43" spans="8:25" ht="16">
      <c r="H43" s="204">
        <v>35</v>
      </c>
      <c r="I43" s="960">
        <v>0</v>
      </c>
      <c r="J43" s="180" t="str">
        <v>Hillside</v>
      </c>
      <c r="K43" s="181">
        <v>17671.458676442588</v>
      </c>
      <c r="L43" s="182">
        <v>851722.38100817113</v>
      </c>
      <c r="M43" s="183">
        <v>797448.45215930452</v>
      </c>
      <c r="N43" s="205">
        <f t="shared" si="16"/>
        <v>1490514.1667642994</v>
      </c>
      <c r="O43" s="206">
        <f t="shared" si="16"/>
        <v>1703444.7620163423</v>
      </c>
      <c r="P43" s="206">
        <f t="shared" si="16"/>
        <v>1916375.3572683851</v>
      </c>
      <c r="Q43" s="206">
        <f t="shared" si="16"/>
        <v>2129305.9525204278</v>
      </c>
      <c r="R43" s="182">
        <f t="shared" si="16"/>
        <v>2342236.5477724704</v>
      </c>
      <c r="S43" s="182">
        <f t="shared" si="17"/>
        <v>2392345.3564779134</v>
      </c>
      <c r="T43" s="135"/>
      <c r="U43" s="978">
        <v>49</v>
      </c>
      <c r="V43" s="207">
        <f t="shared" si="2"/>
        <v>5</v>
      </c>
      <c r="W43" s="182">
        <f t="shared" si="3"/>
        <v>2342236.5477724704</v>
      </c>
      <c r="X43" s="208">
        <v>2559230.3066746835</v>
      </c>
      <c r="Y43" s="208">
        <f t="shared" si="4"/>
        <v>216993.75890221307</v>
      </c>
    </row>
    <row r="44" spans="8:25" ht="16">
      <c r="H44" s="204">
        <v>36</v>
      </c>
      <c r="I44" s="960">
        <v>0</v>
      </c>
      <c r="J44" s="180" t="str">
        <v>Hillside</v>
      </c>
      <c r="K44" s="181">
        <v>17671.458676442588</v>
      </c>
      <c r="L44" s="182">
        <v>851722.38100817113</v>
      </c>
      <c r="M44" s="183">
        <v>839419.4233255838</v>
      </c>
      <c r="N44" s="205">
        <f t="shared" si="16"/>
        <v>1490514.1667642994</v>
      </c>
      <c r="O44" s="206">
        <f t="shared" si="16"/>
        <v>1703444.7620163423</v>
      </c>
      <c r="P44" s="206">
        <f t="shared" si="16"/>
        <v>1916375.3572683851</v>
      </c>
      <c r="Q44" s="206">
        <f t="shared" si="16"/>
        <v>2129305.9525204278</v>
      </c>
      <c r="R44" s="182">
        <f t="shared" si="16"/>
        <v>2342236.5477724704</v>
      </c>
      <c r="S44" s="182">
        <f t="shared" si="17"/>
        <v>2518258.2699767514</v>
      </c>
      <c r="T44" s="135"/>
      <c r="U44" s="978">
        <v>49</v>
      </c>
      <c r="V44" s="207">
        <f t="shared" si="2"/>
        <v>5</v>
      </c>
      <c r="W44" s="182">
        <f t="shared" si="3"/>
        <v>2342236.5477724704</v>
      </c>
      <c r="X44" s="208">
        <v>2693926.6386049301</v>
      </c>
      <c r="Y44" s="208">
        <f t="shared" si="4"/>
        <v>351690.09083245974</v>
      </c>
    </row>
    <row r="45" spans="8:25" ht="16">
      <c r="H45" s="204">
        <v>37</v>
      </c>
      <c r="I45" s="960">
        <v>0</v>
      </c>
      <c r="J45" s="180" t="str">
        <v>Hillside</v>
      </c>
      <c r="K45" s="181">
        <v>12271.846303085129</v>
      </c>
      <c r="L45" s="182">
        <v>591473.87570011872</v>
      </c>
      <c r="M45" s="183">
        <v>641349.5199891529</v>
      </c>
      <c r="N45" s="205">
        <f t="shared" si="16"/>
        <v>1035079.2824752077</v>
      </c>
      <c r="O45" s="206">
        <f t="shared" si="16"/>
        <v>1182947.7514002374</v>
      </c>
      <c r="P45" s="206">
        <f t="shared" si="16"/>
        <v>1330816.2203252672</v>
      </c>
      <c r="Q45" s="206">
        <f t="shared" si="16"/>
        <v>1478684.6892502969</v>
      </c>
      <c r="R45" s="182">
        <f t="shared" si="16"/>
        <v>1626553.1581753264</v>
      </c>
      <c r="S45" s="182">
        <f t="shared" si="17"/>
        <v>1924048.5599674587</v>
      </c>
      <c r="T45" s="135"/>
      <c r="U45" s="978">
        <v>51</v>
      </c>
      <c r="V45" s="207">
        <f t="shared" si="2"/>
        <v>5</v>
      </c>
      <c r="W45" s="182">
        <f t="shared" si="3"/>
        <v>1626553.1581753264</v>
      </c>
      <c r="X45" s="208">
        <v>2058266.116490762</v>
      </c>
      <c r="Y45" s="208">
        <f t="shared" si="4"/>
        <v>431712.95831543556</v>
      </c>
    </row>
    <row r="46" spans="8:25" ht="16">
      <c r="H46" s="204">
        <v>38</v>
      </c>
      <c r="I46" s="960">
        <v>0</v>
      </c>
      <c r="J46" s="180" t="str">
        <v>Hillside</v>
      </c>
      <c r="K46" s="181">
        <v>12271.846303085129</v>
      </c>
      <c r="L46" s="182">
        <v>591473.87570011872</v>
      </c>
      <c r="M46" s="183">
        <v>728806.27271494642</v>
      </c>
      <c r="N46" s="205">
        <f t="shared" si="16"/>
        <v>1035079.2824752077</v>
      </c>
      <c r="O46" s="206">
        <f t="shared" si="16"/>
        <v>1182947.7514002374</v>
      </c>
      <c r="P46" s="206">
        <f t="shared" si="16"/>
        <v>1330816.2203252672</v>
      </c>
      <c r="Q46" s="206">
        <f t="shared" si="16"/>
        <v>1478684.6892502969</v>
      </c>
      <c r="R46" s="182">
        <f t="shared" si="16"/>
        <v>1626553.1581753264</v>
      </c>
      <c r="S46" s="182">
        <f t="shared" si="17"/>
        <v>2186418.8181448393</v>
      </c>
      <c r="T46" s="135"/>
      <c r="U46" s="978">
        <v>51</v>
      </c>
      <c r="V46" s="207">
        <f t="shared" si="2"/>
        <v>5</v>
      </c>
      <c r="W46" s="182">
        <f t="shared" si="3"/>
        <v>1626553.1581753264</v>
      </c>
      <c r="X46" s="208">
        <v>2338938.7687395019</v>
      </c>
      <c r="Y46" s="208">
        <f t="shared" si="4"/>
        <v>712385.61056417553</v>
      </c>
    </row>
    <row r="47" spans="8:25" ht="16">
      <c r="H47" s="204">
        <v>39</v>
      </c>
      <c r="I47" s="960">
        <v>0</v>
      </c>
      <c r="J47" s="180" t="str">
        <v>Hillside</v>
      </c>
      <c r="K47" s="181">
        <v>17671.458676442588</v>
      </c>
      <c r="L47" s="182">
        <v>851722.38100817113</v>
      </c>
      <c r="M47" s="183">
        <v>965332.33682442131</v>
      </c>
      <c r="N47" s="205">
        <f t="shared" si="16"/>
        <v>1490514.1667642994</v>
      </c>
      <c r="O47" s="206">
        <f t="shared" si="16"/>
        <v>1703444.7620163423</v>
      </c>
      <c r="P47" s="206">
        <f t="shared" si="16"/>
        <v>1916375.3572683851</v>
      </c>
      <c r="Q47" s="206">
        <f t="shared" si="16"/>
        <v>2129305.9525204278</v>
      </c>
      <c r="R47" s="182">
        <f t="shared" si="16"/>
        <v>2342236.5477724704</v>
      </c>
      <c r="S47" s="182">
        <f t="shared" si="17"/>
        <v>2895997.0104732639</v>
      </c>
      <c r="T47" s="135"/>
      <c r="U47" s="978">
        <v>54</v>
      </c>
      <c r="V47" s="207">
        <f t="shared" si="2"/>
        <v>5</v>
      </c>
      <c r="W47" s="182">
        <f t="shared" si="3"/>
        <v>2342236.5477724704</v>
      </c>
      <c r="X47" s="208">
        <v>3098015.6343956697</v>
      </c>
      <c r="Y47" s="208">
        <f t="shared" si="4"/>
        <v>755779.08662319928</v>
      </c>
    </row>
    <row r="48" spans="8:25" ht="16">
      <c r="H48" s="204">
        <v>40</v>
      </c>
      <c r="I48" s="960">
        <v>0</v>
      </c>
      <c r="J48" s="180" t="str">
        <v>Hillside</v>
      </c>
      <c r="K48" s="181">
        <v>12271.846303085129</v>
      </c>
      <c r="L48" s="182">
        <v>591473.87570011872</v>
      </c>
      <c r="M48" s="183">
        <v>670501.77089775063</v>
      </c>
      <c r="N48" s="205">
        <f t="shared" si="16"/>
        <v>1035079.2824752077</v>
      </c>
      <c r="O48" s="206">
        <f t="shared" si="16"/>
        <v>1182947.7514002374</v>
      </c>
      <c r="P48" s="206">
        <f t="shared" si="16"/>
        <v>1330816.2203252672</v>
      </c>
      <c r="Q48" s="206">
        <f t="shared" si="16"/>
        <v>1478684.6892502969</v>
      </c>
      <c r="R48" s="182">
        <f t="shared" si="16"/>
        <v>1626553.1581753264</v>
      </c>
      <c r="S48" s="182">
        <f t="shared" si="17"/>
        <v>2011505.3126932518</v>
      </c>
      <c r="T48" s="135"/>
      <c r="U48" s="978">
        <v>54</v>
      </c>
      <c r="V48" s="207">
        <f t="shared" si="2"/>
        <v>5</v>
      </c>
      <c r="W48" s="182">
        <f t="shared" si="3"/>
        <v>1626553.1581753264</v>
      </c>
      <c r="X48" s="208">
        <v>2151823.6672403417</v>
      </c>
      <c r="Y48" s="208">
        <f t="shared" si="4"/>
        <v>525270.50906501524</v>
      </c>
    </row>
    <row r="49" spans="8:25" ht="16">
      <c r="H49" s="204">
        <v>41</v>
      </c>
      <c r="I49" s="960">
        <v>0</v>
      </c>
      <c r="J49" s="180" t="str">
        <v>Hillside</v>
      </c>
      <c r="K49" s="181">
        <v>7853.981633974483</v>
      </c>
      <c r="L49" s="182">
        <v>378543.28044807597</v>
      </c>
      <c r="M49" s="183">
        <v>467779.91262909689</v>
      </c>
      <c r="N49" s="205">
        <f t="shared" si="16"/>
        <v>662450.74078413297</v>
      </c>
      <c r="O49" s="206">
        <f t="shared" si="16"/>
        <v>757086.56089615193</v>
      </c>
      <c r="P49" s="206">
        <f t="shared" si="16"/>
        <v>851722.38100817089</v>
      </c>
      <c r="Q49" s="206">
        <f t="shared" si="16"/>
        <v>946358.20112018986</v>
      </c>
      <c r="R49" s="182">
        <f t="shared" si="16"/>
        <v>1040994.0212322089</v>
      </c>
      <c r="S49" s="182">
        <f t="shared" si="17"/>
        <v>1403339.7378872908</v>
      </c>
      <c r="T49" s="135"/>
      <c r="U49" s="978">
        <v>60</v>
      </c>
      <c r="V49" s="207">
        <f t="shared" si="2"/>
        <v>5</v>
      </c>
      <c r="W49" s="182">
        <f t="shared" si="3"/>
        <v>1040994.0212322089</v>
      </c>
      <c r="X49" s="208">
        <v>1501233.7487299643</v>
      </c>
      <c r="Y49" s="208">
        <f t="shared" si="4"/>
        <v>460239.72749775532</v>
      </c>
    </row>
    <row r="50" spans="8:25" ht="16">
      <c r="H50" s="204">
        <v>42</v>
      </c>
      <c r="I50" s="960">
        <v>0</v>
      </c>
      <c r="J50" s="180" t="str">
        <v>Hillside</v>
      </c>
      <c r="K50" s="181">
        <v>17671.458676442588</v>
      </c>
      <c r="L50" s="182">
        <v>851722.38100817113</v>
      </c>
      <c r="M50" s="183">
        <v>1133216.2214895382</v>
      </c>
      <c r="N50" s="205">
        <f t="shared" si="16"/>
        <v>1490514.1667642994</v>
      </c>
      <c r="O50" s="206">
        <f t="shared" si="16"/>
        <v>1703444.7620163423</v>
      </c>
      <c r="P50" s="206">
        <f t="shared" si="16"/>
        <v>1916375.3572683851</v>
      </c>
      <c r="Q50" s="206">
        <f t="shared" si="16"/>
        <v>2129305.9525204278</v>
      </c>
      <c r="R50" s="182">
        <f t="shared" si="16"/>
        <v>2342236.5477724704</v>
      </c>
      <c r="S50" s="182">
        <f t="shared" si="17"/>
        <v>3399648.6644686144</v>
      </c>
      <c r="T50" s="135"/>
      <c r="U50" s="978">
        <v>61</v>
      </c>
      <c r="V50" s="207">
        <f t="shared" si="2"/>
        <v>6</v>
      </c>
      <c r="W50" s="182">
        <f t="shared" si="3"/>
        <v>3399648.6644686144</v>
      </c>
      <c r="X50" s="208">
        <v>3636800.9621166564</v>
      </c>
      <c r="Y50" s="208">
        <f t="shared" si="4"/>
        <v>237152.29764804197</v>
      </c>
    </row>
    <row r="51" spans="8:25" ht="16">
      <c r="H51" s="204">
        <v>43</v>
      </c>
      <c r="I51" s="960">
        <v>0</v>
      </c>
      <c r="J51" s="180" t="str">
        <v>Hillside</v>
      </c>
      <c r="K51" s="181">
        <v>17671.458676442588</v>
      </c>
      <c r="L51" s="182">
        <v>851722.38100817113</v>
      </c>
      <c r="M51" s="183">
        <v>1133216.2214895382</v>
      </c>
      <c r="N51" s="205">
        <f t="shared" si="16"/>
        <v>1490514.1667642994</v>
      </c>
      <c r="O51" s="206">
        <f t="shared" si="16"/>
        <v>1703444.7620163423</v>
      </c>
      <c r="P51" s="206">
        <f t="shared" si="16"/>
        <v>1916375.3572683851</v>
      </c>
      <c r="Q51" s="206">
        <f t="shared" si="16"/>
        <v>2129305.9525204278</v>
      </c>
      <c r="R51" s="182">
        <f t="shared" si="16"/>
        <v>2342236.5477724704</v>
      </c>
      <c r="S51" s="182">
        <f t="shared" si="17"/>
        <v>3399648.6644686144</v>
      </c>
      <c r="T51" s="135"/>
      <c r="U51" s="978">
        <v>64</v>
      </c>
      <c r="V51" s="207">
        <f t="shared" si="2"/>
        <v>6</v>
      </c>
      <c r="W51" s="182">
        <f t="shared" si="3"/>
        <v>3399648.6644686144</v>
      </c>
      <c r="X51" s="208">
        <v>3636800.9621166564</v>
      </c>
      <c r="Y51" s="208">
        <f t="shared" si="4"/>
        <v>237152.29764804197</v>
      </c>
    </row>
    <row r="52" spans="8:25" ht="16">
      <c r="H52" s="212">
        <v>44</v>
      </c>
      <c r="I52" s="962">
        <v>0</v>
      </c>
      <c r="J52" s="189" t="str">
        <v>Hillside</v>
      </c>
      <c r="K52" s="190">
        <v>17671.458676442588</v>
      </c>
      <c r="L52" s="191">
        <v>851722.38100817113</v>
      </c>
      <c r="M52" s="192">
        <v>1217158.1638220965</v>
      </c>
      <c r="N52" s="213">
        <f t="shared" si="16"/>
        <v>1490514.1667642994</v>
      </c>
      <c r="O52" s="214">
        <f t="shared" si="16"/>
        <v>1703444.7620163423</v>
      </c>
      <c r="P52" s="214">
        <f t="shared" si="16"/>
        <v>1916375.3572683851</v>
      </c>
      <c r="Q52" s="214">
        <f t="shared" si="16"/>
        <v>2129305.9525204278</v>
      </c>
      <c r="R52" s="191">
        <f t="shared" si="16"/>
        <v>2342236.5477724704</v>
      </c>
      <c r="S52" s="191">
        <f t="shared" si="17"/>
        <v>3651474.4914662894</v>
      </c>
      <c r="T52" s="135"/>
      <c r="U52" s="979">
        <v>64</v>
      </c>
      <c r="V52" s="215">
        <f t="shared" si="2"/>
        <v>6</v>
      </c>
      <c r="W52" s="191">
        <f t="shared" si="3"/>
        <v>3651474.4914662894</v>
      </c>
      <c r="X52" s="216">
        <v>3906193.6259771492</v>
      </c>
      <c r="Y52" s="216">
        <f t="shared" si="4"/>
        <v>254719.13451085985</v>
      </c>
    </row>
    <row r="53" spans="8:25" ht="16">
      <c r="H53" s="144"/>
      <c r="J53" s="144"/>
      <c r="K53" s="217"/>
      <c r="L53" s="135"/>
      <c r="M53" s="135"/>
      <c r="N53" s="135"/>
      <c r="O53" s="135"/>
      <c r="P53" s="135"/>
      <c r="Q53" s="135"/>
      <c r="R53" s="135"/>
      <c r="S53" s="135"/>
      <c r="T53" s="135"/>
      <c r="U53" s="217"/>
      <c r="V53" s="217"/>
      <c r="W53" s="135"/>
      <c r="X53" s="135"/>
      <c r="Y53" s="135"/>
    </row>
    <row r="54" spans="8:25" ht="16">
      <c r="H54" s="992" t="s">
        <v>14</v>
      </c>
      <c r="I54" s="993"/>
      <c r="J54" s="994"/>
      <c r="K54" s="995">
        <f>AVERAGE(K8:K52)</f>
        <v>14412.880966414747</v>
      </c>
      <c r="L54" s="250">
        <f>SUM(L8:L52)</f>
        <v>31259999.999999993</v>
      </c>
      <c r="M54" s="250">
        <f>SUM(M8:M52)</f>
        <v>31259999.999999985</v>
      </c>
      <c r="N54" s="250">
        <f t="shared" ref="N54:S54" si="18">SUM(N8:N52)</f>
        <v>54704999.999999978</v>
      </c>
      <c r="O54" s="250">
        <f t="shared" si="18"/>
        <v>62519999.999999985</v>
      </c>
      <c r="P54" s="250">
        <f t="shared" si="18"/>
        <v>70334999.999999985</v>
      </c>
      <c r="Q54" s="250">
        <f t="shared" si="18"/>
        <v>78150000</v>
      </c>
      <c r="R54" s="250">
        <f t="shared" si="18"/>
        <v>85964999.999999925</v>
      </c>
      <c r="S54" s="250">
        <f t="shared" si="18"/>
        <v>93779999.99999997</v>
      </c>
      <c r="T54" s="249"/>
      <c r="U54" s="996">
        <f>MAX(U8:U52)</f>
        <v>72</v>
      </c>
      <c r="V54" s="284"/>
      <c r="W54" s="250">
        <f>SUM(W8:W52)</f>
        <v>83838800.564893454</v>
      </c>
      <c r="X54" s="250">
        <f>SUM(X8:X52)</f>
        <v>100321894.3745205</v>
      </c>
      <c r="Y54" s="250">
        <f>SUM(Y8:Y52)</f>
        <v>16483093.809627008</v>
      </c>
    </row>
    <row r="55" spans="8:25" ht="16">
      <c r="H55" s="144"/>
      <c r="J55" s="144"/>
      <c r="K55" s="217"/>
      <c r="L55" s="135"/>
      <c r="M55" s="135"/>
      <c r="N55" s="135"/>
      <c r="O55" s="135"/>
      <c r="P55" s="135"/>
      <c r="Q55" s="135"/>
      <c r="R55" s="135"/>
      <c r="S55" s="135"/>
      <c r="T55" s="135"/>
      <c r="U55" s="217"/>
      <c r="V55" s="217"/>
      <c r="W55" s="135"/>
      <c r="X55" s="135"/>
      <c r="Y55" s="135"/>
    </row>
    <row r="56" spans="8:25" ht="16">
      <c r="H56" s="144"/>
      <c r="J56" s="144"/>
      <c r="K56" s="217"/>
      <c r="L56" s="135"/>
      <c r="M56" s="135"/>
      <c r="N56" s="135"/>
      <c r="O56" s="135"/>
      <c r="P56" s="135"/>
      <c r="Q56" s="135"/>
      <c r="R56" s="135"/>
      <c r="S56" s="135"/>
      <c r="T56" s="135"/>
      <c r="U56" s="217"/>
      <c r="V56" s="217"/>
      <c r="W56" s="135"/>
      <c r="X56" s="135"/>
      <c r="Y56" s="135"/>
    </row>
    <row r="57" spans="8:25" ht="16">
      <c r="H57" s="144"/>
      <c r="J57" s="135"/>
      <c r="K57" s="217"/>
      <c r="L57" s="135"/>
      <c r="M57" s="135">
        <f>M54*0.015</f>
        <v>468899.99999999977</v>
      </c>
      <c r="N57" s="193">
        <v>5000000</v>
      </c>
      <c r="O57" s="193">
        <f>$N57*(O7-1)</f>
        <v>5000000</v>
      </c>
      <c r="P57" s="193">
        <f t="shared" ref="P57:S57" si="19">$N57*(P7-1)</f>
        <v>6250000</v>
      </c>
      <c r="Q57" s="193">
        <f t="shared" si="19"/>
        <v>7500000</v>
      </c>
      <c r="R57" s="193">
        <f t="shared" si="19"/>
        <v>8750000</v>
      </c>
      <c r="S57" s="193">
        <f t="shared" si="19"/>
        <v>10000000</v>
      </c>
      <c r="T57" s="135"/>
      <c r="U57" s="217"/>
      <c r="V57" s="217"/>
      <c r="W57" s="135"/>
      <c r="X57" s="135"/>
      <c r="Y57" s="135"/>
    </row>
  </sheetData>
  <mergeCells count="3">
    <mergeCell ref="L6:M6"/>
    <mergeCell ref="K5:M5"/>
    <mergeCell ref="N5:S5"/>
  </mergeCells>
  <conditionalFormatting sqref="H8:M52 H54:S54 B21:F21 B15:F17 B18:E18">
    <cfRule type="expression" dxfId="39" priority="27">
      <formula>MOD(ROW(), 2) = 1</formula>
    </cfRule>
  </conditionalFormatting>
  <conditionalFormatting sqref="N8:S52 U8:Y52">
    <cfRule type="expression" dxfId="38" priority="26">
      <formula>MOD(ROW(), 2) = 1</formula>
    </cfRule>
  </conditionalFormatting>
  <conditionalFormatting sqref="N8:S52">
    <cfRule type="expression" dxfId="37" priority="18">
      <formula>N$6=$V8</formula>
    </cfRule>
  </conditionalFormatting>
  <conditionalFormatting sqref="N57:S57">
    <cfRule type="expression" dxfId="36" priority="16">
      <formula>MOD(ROW(), 2) = 1</formula>
    </cfRule>
  </conditionalFormatting>
  <conditionalFormatting sqref="W54:Y54">
    <cfRule type="expression" dxfId="35" priority="28">
      <formula>MOD(ROW(), 2) = 1</formula>
    </cfRule>
  </conditionalFormatting>
  <conditionalFormatting sqref="B8:F13">
    <cfRule type="expression" dxfId="34" priority="15">
      <formula>MOD(ROW(), 2) = 1</formula>
    </cfRule>
  </conditionalFormatting>
  <conditionalFormatting sqref="F8:F10">
    <cfRule type="expression" dxfId="33" priority="10">
      <formula>MOD(ROW(), 2) = 1</formula>
    </cfRule>
  </conditionalFormatting>
  <conditionalFormatting sqref="F8:F10">
    <cfRule type="expression" dxfId="32" priority="9">
      <formula>F$6=$V8</formula>
    </cfRule>
  </conditionalFormatting>
  <conditionalFormatting sqref="B20:F20">
    <cfRule type="expression" dxfId="31" priority="6">
      <formula>MOD(ROW(), 2) = 1</formula>
    </cfRule>
  </conditionalFormatting>
  <conditionalFormatting sqref="B19:E19">
    <cfRule type="expression" dxfId="30" priority="5">
      <formula>MOD(ROW(), 2) = 1</formula>
    </cfRule>
  </conditionalFormatting>
  <conditionalFormatting sqref="F20:F21">
    <cfRule type="expression" dxfId="29" priority="71">
      <formula>F$6=$V17</formula>
    </cfRule>
  </conditionalFormatting>
  <conditionalFormatting sqref="F19">
    <cfRule type="expression" dxfId="28" priority="4">
      <formula>MOD(ROW(), 2) = 1</formula>
    </cfRule>
  </conditionalFormatting>
  <conditionalFormatting sqref="F18">
    <cfRule type="expression" dxfId="27" priority="3">
      <formula>MOD(ROW(), 2) = 1</formula>
    </cfRule>
  </conditionalFormatting>
  <conditionalFormatting sqref="F18">
    <cfRule type="expression" dxfId="26" priority="2">
      <formula>MOD(ROW(), 2) = 1</formula>
    </cfRule>
  </conditionalFormatting>
  <conditionalFormatting sqref="F18">
    <cfRule type="expression" dxfId="25" priority="1">
      <formula>F$6=$V18</formula>
    </cfRule>
  </conditionalFormatting>
  <pageMargins left="0.7" right="0.7" top="0.75" bottom="0.75" header="0.3" footer="0.3"/>
  <pageSetup orientation="portrait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BD0EAD-AA73-B348-BE9B-F7718446AE03}">
  <sheetPr codeName="Sheet10">
    <tabColor rgb="FF003399"/>
  </sheetPr>
  <dimension ref="A1:AP375"/>
  <sheetViews>
    <sheetView tabSelected="1" topLeftCell="E1" workbookViewId="0">
      <pane ySplit="7" topLeftCell="A8" activePane="bottomLeft" state="frozen"/>
      <selection activeCell="E2" sqref="E2"/>
      <selection pane="bottomLeft" activeCell="S14" sqref="S14"/>
    </sheetView>
  </sheetViews>
  <sheetFormatPr baseColWidth="10" defaultColWidth="8.83203125" defaultRowHeight="14" zeroHeight="1"/>
  <cols>
    <col min="1" max="1" width="6.1640625" hidden="1" customWidth="1"/>
    <col min="2" max="2" width="7.5" hidden="1" customWidth="1"/>
    <col min="3" max="3" width="5.6640625" hidden="1" customWidth="1"/>
    <col min="4" max="4" width="7.83203125" hidden="1" customWidth="1"/>
    <col min="5" max="5" width="2.5" customWidth="1"/>
    <col min="6" max="6" width="4.5" bestFit="1" customWidth="1"/>
    <col min="7" max="7" width="12.1640625" bestFit="1" customWidth="1"/>
    <col min="8" max="8" width="4.5" bestFit="1" customWidth="1"/>
    <col min="9" max="9" width="7.83203125" customWidth="1"/>
    <col min="10" max="10" width="8.33203125" customWidth="1"/>
    <col min="11" max="11" width="7.5" bestFit="1" customWidth="1"/>
    <col min="12" max="15" width="10.6640625" customWidth="1"/>
    <col min="16" max="16" width="11.1640625" bestFit="1" customWidth="1"/>
    <col min="17" max="17" width="12.33203125" bestFit="1" customWidth="1"/>
    <col min="18" max="20" width="12" customWidth="1"/>
    <col min="21" max="21" width="11" bestFit="1" customWidth="1"/>
    <col min="22" max="22" width="11.6640625" bestFit="1" customWidth="1"/>
    <col min="23" max="23" width="13.33203125" bestFit="1" customWidth="1"/>
    <col min="24" max="24" width="9.83203125" bestFit="1" customWidth="1"/>
    <col min="25" max="25" width="13.33203125" bestFit="1" customWidth="1"/>
    <col min="26" max="26" width="11.6640625" bestFit="1" customWidth="1"/>
    <col min="27" max="27" width="13" bestFit="1" customWidth="1"/>
    <col min="28" max="29" width="11.6640625" bestFit="1" customWidth="1"/>
    <col min="30" max="33" width="11" bestFit="1" customWidth="1"/>
    <col min="34" max="34" width="10" bestFit="1" customWidth="1"/>
    <col min="37" max="41" width="11" bestFit="1" customWidth="1"/>
    <col min="42" max="42" width="11" customWidth="1"/>
  </cols>
  <sheetData>
    <row r="1" spans="1:42" s="3" customFormat="1" ht="16" hidden="1">
      <c r="A1" s="929"/>
      <c r="B1" s="930"/>
      <c r="C1" s="929"/>
      <c r="D1" s="929"/>
      <c r="E1" s="930"/>
      <c r="F1" s="931"/>
      <c r="G1" s="932"/>
      <c r="H1" s="931"/>
      <c r="I1" s="931"/>
      <c r="J1" s="931"/>
      <c r="K1" s="931"/>
      <c r="AC1" s="933">
        <f ca="1">SUM(AC8:AC80)</f>
        <v>26213333.333333347</v>
      </c>
      <c r="AD1" s="933">
        <f ca="1">SUM(AD8:AD93)</f>
        <v>10229483.153052961</v>
      </c>
      <c r="AE1" s="933">
        <f ca="1">AB7-AC1-AD1</f>
        <v>15341096.072858205</v>
      </c>
    </row>
    <row r="2" spans="1:42" s="1" customFormat="1" ht="18">
      <c r="A2" s="2"/>
      <c r="C2" s="2"/>
      <c r="D2" s="2"/>
      <c r="E2" s="266" t="str">
        <f>iProject!D2</f>
        <v>Clarendon Preserve</v>
      </c>
      <c r="F2" s="385"/>
      <c r="G2" s="385"/>
      <c r="H2" s="385"/>
      <c r="I2" s="385"/>
      <c r="J2" s="385"/>
      <c r="K2" s="385"/>
      <c r="AC2" s="884"/>
    </row>
    <row r="3" spans="1:42" s="1" customFormat="1" ht="21.75" customHeight="1">
      <c r="A3" s="2"/>
      <c r="C3" s="2"/>
      <c r="D3" s="2"/>
      <c r="E3" s="885" t="s">
        <v>327</v>
      </c>
      <c r="F3" s="386"/>
      <c r="G3" s="386"/>
      <c r="H3" s="386"/>
      <c r="I3" s="386"/>
      <c r="J3" s="386"/>
      <c r="K3" s="386"/>
      <c r="W3" s="101"/>
      <c r="X3" s="101"/>
      <c r="Y3" s="101"/>
      <c r="Z3" s="101"/>
      <c r="AA3" s="101"/>
      <c r="AB3" s="101"/>
      <c r="AC3" s="101"/>
      <c r="AD3" s="101"/>
      <c r="AE3" s="101"/>
      <c r="AK3" s="101"/>
      <c r="AL3" s="101"/>
      <c r="AM3" s="101"/>
      <c r="AP3" s="101"/>
    </row>
    <row r="4" spans="1:42" s="47" customFormat="1" ht="17" thickBot="1">
      <c r="C4" s="60"/>
      <c r="E4" s="12"/>
      <c r="F4" s="384"/>
      <c r="G4" s="384"/>
      <c r="H4" s="384"/>
      <c r="I4" s="384"/>
      <c r="J4" s="384"/>
      <c r="K4" s="384"/>
      <c r="W4" s="886">
        <f>XIRR(W8:W80,_xlfn.ANCHORARRAY($G8))</f>
        <v>0.39046898484230042</v>
      </c>
      <c r="X4" s="887"/>
      <c r="Y4" s="886">
        <f>XIRR(Y8:Y80,_xlfn.ANCHORARRAY($G8))</f>
        <v>0.38590516448020939</v>
      </c>
      <c r="Z4" s="887"/>
      <c r="AA4" s="887"/>
      <c r="AB4" s="887"/>
      <c r="AK4" s="888"/>
      <c r="AL4" s="888"/>
      <c r="AM4" s="888"/>
      <c r="AP4" s="928">
        <f ca="1">XIRR(AP8:AP375,$G$8:$G$375)</f>
        <v>0.31109809279441847</v>
      </c>
    </row>
    <row r="5" spans="1:42" s="47" customFormat="1" ht="18" thickTop="1" thickBot="1">
      <c r="C5" s="60"/>
      <c r="E5" s="12"/>
      <c r="F5" s="1063" t="s">
        <v>3</v>
      </c>
      <c r="G5" s="1064"/>
      <c r="H5" s="1064"/>
      <c r="I5" s="1064"/>
      <c r="J5" s="1064"/>
      <c r="K5" s="1064"/>
      <c r="L5" s="895" t="s">
        <v>53</v>
      </c>
      <c r="M5" s="895" t="s">
        <v>298</v>
      </c>
      <c r="N5" s="895" t="s">
        <v>120</v>
      </c>
      <c r="O5" s="896" t="s">
        <v>14</v>
      </c>
      <c r="P5" s="897" t="s">
        <v>90</v>
      </c>
      <c r="Q5" s="1060" t="s">
        <v>126</v>
      </c>
      <c r="R5" s="1061"/>
      <c r="S5" s="1061"/>
      <c r="T5" s="1061"/>
      <c r="U5" s="1062"/>
      <c r="V5" s="897" t="s">
        <v>14</v>
      </c>
      <c r="W5" s="898" t="s">
        <v>157</v>
      </c>
      <c r="X5" s="899" t="s">
        <v>263</v>
      </c>
      <c r="Y5" s="899" t="s">
        <v>265</v>
      </c>
      <c r="Z5" s="900"/>
      <c r="AA5" s="897" t="s">
        <v>245</v>
      </c>
      <c r="AB5" s="897" t="s">
        <v>186</v>
      </c>
      <c r="AC5" s="901" t="s">
        <v>247</v>
      </c>
      <c r="AD5" s="902">
        <v>2</v>
      </c>
      <c r="AE5" s="903" t="s">
        <v>249</v>
      </c>
      <c r="AF5" s="902" t="s">
        <v>250</v>
      </c>
      <c r="AG5" s="902">
        <v>1.5</v>
      </c>
      <c r="AK5" s="925" t="s">
        <v>176</v>
      </c>
      <c r="AL5" s="1067" t="s">
        <v>228</v>
      </c>
      <c r="AM5" s="1068"/>
      <c r="AN5" s="1068"/>
      <c r="AO5" s="1068"/>
      <c r="AP5" s="923" t="s">
        <v>176</v>
      </c>
    </row>
    <row r="6" spans="1:42" ht="17" thickBot="1">
      <c r="A6" s="30"/>
      <c r="B6" s="5"/>
      <c r="C6" s="60"/>
      <c r="D6" s="30"/>
      <c r="E6" s="12"/>
      <c r="F6" s="1065"/>
      <c r="G6" s="1066"/>
      <c r="H6" s="1066"/>
      <c r="I6" s="1066"/>
      <c r="J6" s="1066"/>
      <c r="K6" s="1066"/>
      <c r="L6" s="889" t="s">
        <v>297</v>
      </c>
      <c r="M6" s="889" t="s">
        <v>121</v>
      </c>
      <c r="N6" s="889" t="s">
        <v>121</v>
      </c>
      <c r="O6" s="889" t="s">
        <v>121</v>
      </c>
      <c r="P6" s="904" t="s">
        <v>127</v>
      </c>
      <c r="Q6" s="905" t="str" cm="1">
        <f t="array" ref="Q6:U6">TRANSPOSE(_xlfn.UNIQUE(_xlfn.ANCHORARRAY(iOption!J8)))</f>
        <v xml:space="preserve">Jimmy Creek </v>
      </c>
      <c r="R6" s="905" t="str">
        <v>Deer Creek</v>
      </c>
      <c r="S6" s="905" t="str">
        <v>Forest</v>
      </c>
      <c r="T6" s="905" t="str">
        <v>Bench</v>
      </c>
      <c r="U6" s="905" t="str">
        <v>Hillside</v>
      </c>
      <c r="V6" s="904" t="s">
        <v>71</v>
      </c>
      <c r="W6" s="906" t="s">
        <v>158</v>
      </c>
      <c r="X6" s="907" t="s">
        <v>231</v>
      </c>
      <c r="Y6" s="907" t="s">
        <v>200</v>
      </c>
      <c r="Z6" s="908" t="s">
        <v>248</v>
      </c>
      <c r="AA6" s="904" t="s">
        <v>246</v>
      </c>
      <c r="AB6" s="904" t="s">
        <v>200</v>
      </c>
      <c r="AC6" s="909">
        <v>0.8</v>
      </c>
      <c r="AD6" s="909">
        <f>1-AC6</f>
        <v>0.19999999999999996</v>
      </c>
      <c r="AE6" s="910" t="s">
        <v>250</v>
      </c>
      <c r="AF6" s="909">
        <v>0.6</v>
      </c>
      <c r="AG6" s="909">
        <f>1-AF6</f>
        <v>0.4</v>
      </c>
      <c r="AK6" s="926" t="s">
        <v>207</v>
      </c>
      <c r="AL6" s="922" t="s">
        <v>245</v>
      </c>
      <c r="AM6" s="922" t="s">
        <v>247</v>
      </c>
      <c r="AN6" s="922" t="s">
        <v>250</v>
      </c>
      <c r="AO6" s="922" t="s">
        <v>14</v>
      </c>
      <c r="AP6" s="924" t="s">
        <v>200</v>
      </c>
    </row>
    <row r="7" spans="1:42" ht="16">
      <c r="A7" s="30"/>
      <c r="B7" s="5"/>
      <c r="C7" s="60"/>
      <c r="D7" s="30"/>
      <c r="E7" s="12"/>
      <c r="F7" s="893" t="s">
        <v>100</v>
      </c>
      <c r="G7" s="1009" t="s">
        <v>96</v>
      </c>
      <c r="H7" s="893" t="s">
        <v>97</v>
      </c>
      <c r="I7" s="893" t="s">
        <v>98</v>
      </c>
      <c r="J7" s="893" t="s">
        <v>99</v>
      </c>
      <c r="K7" s="893" t="s">
        <v>87</v>
      </c>
      <c r="L7" s="894">
        <f>SUM(L8:L80)</f>
        <v>-22000000</v>
      </c>
      <c r="M7" s="894">
        <f>SUM(M8:M80)</f>
        <v>-900000</v>
      </c>
      <c r="N7" s="894">
        <f>SUM(N8:N80)</f>
        <v>-8360000.0000000009</v>
      </c>
      <c r="O7" s="894">
        <f>SUM(O8:O80)</f>
        <v>-31260000.000000015</v>
      </c>
      <c r="P7" s="894">
        <f>SUM(P8:P80)</f>
        <v>0</v>
      </c>
      <c r="Q7" s="894">
        <f t="shared" ref="Q7:AB7" si="0">SUM(Q8:Q80)</f>
        <v>4305929.8150968645</v>
      </c>
      <c r="R7" s="894">
        <f t="shared" si="0"/>
        <v>10057735.559631331</v>
      </c>
      <c r="S7" s="894">
        <f t="shared" si="0"/>
        <v>24410126.850143902</v>
      </c>
      <c r="T7" s="894">
        <f t="shared" si="0"/>
        <v>21666873.380542256</v>
      </c>
      <c r="U7" s="894">
        <f t="shared" si="0"/>
        <v>23398134.959479116</v>
      </c>
      <c r="V7" s="894">
        <f t="shared" si="0"/>
        <v>83838800.564893469</v>
      </c>
      <c r="W7" s="894">
        <f t="shared" si="0"/>
        <v>52578800.564893454</v>
      </c>
      <c r="X7" s="894">
        <f t="shared" si="0"/>
        <v>-794888.00564893463</v>
      </c>
      <c r="Y7" s="894">
        <f t="shared" si="0"/>
        <v>51783912.559244514</v>
      </c>
      <c r="Z7" s="894">
        <f t="shared" si="0"/>
        <v>77997245.892577857</v>
      </c>
      <c r="AA7" s="894" cm="1">
        <f t="array" ref="AA7">c_maxEquity</f>
        <v>26213333.333333347</v>
      </c>
      <c r="AB7" s="894">
        <f t="shared" si="0"/>
        <v>51783912.559244514</v>
      </c>
      <c r="AC7" s="894">
        <v>0</v>
      </c>
      <c r="AD7" s="894"/>
      <c r="AE7" s="894">
        <f ca="1">SUM(AE8:AE99)</f>
        <v>15341096.072858207</v>
      </c>
      <c r="AF7" s="894">
        <f ca="1">SUM(AF8:AF375)</f>
        <v>9204657.6437149253</v>
      </c>
      <c r="AG7" s="894">
        <f ca="1">SUM(AG8:AG375)</f>
        <v>6136438.4291432826</v>
      </c>
      <c r="AK7" s="894">
        <f>SUM(AK8:AK375)</f>
        <v>-26213333.333333347</v>
      </c>
      <c r="AL7" s="894">
        <f>SUM(AL8:AL99)</f>
        <v>26213333.333333351</v>
      </c>
      <c r="AM7" s="894">
        <f ca="1">SUM(AM8:AM99)</f>
        <v>26213333.333333347</v>
      </c>
      <c r="AN7" s="894">
        <f ca="1">SUM(AN8:AN99)</f>
        <v>9204657.6437149253</v>
      </c>
      <c r="AO7" s="894">
        <f ca="1">SUM(AK7:AN7)</f>
        <v>35417990.977048278</v>
      </c>
      <c r="AP7" s="894">
        <f ca="1">SUM(AL7:AO7)</f>
        <v>97049315.287429899</v>
      </c>
    </row>
    <row r="8" spans="1:42" ht="16">
      <c r="A8" s="30"/>
      <c r="B8" s="5"/>
      <c r="C8" s="30"/>
      <c r="D8" s="30"/>
      <c r="E8" s="12"/>
      <c r="F8" s="892" cm="1">
        <f t="array" ref="F8:F80">_xlfn.SEQUENCE(MAX(iOption!U8:U52)+ 1, 1, 0)</f>
        <v>0</v>
      </c>
      <c r="G8" s="934" cm="1">
        <f t="array" ref="G8:G80">EDATE(EOMONTH(date.Start,-1),_xlfn.SEQUENCE(MAX(iOption!U8:U52) + 1, 1, 0))</f>
        <v>45688</v>
      </c>
      <c r="H8" s="911" cm="1">
        <f t="array" ref="H8:H80">INT(INT(_xlfn.ANCHORARRAY(F8)+2)/3)</f>
        <v>0</v>
      </c>
      <c r="I8" s="911" t="str">
        <f>IF(H8&gt;0,"Q"&amp;ROUNDUP(MONTH(G8)/3,0)&amp;"-"&amp;YEAR(G8)-2000,"")</f>
        <v/>
      </c>
      <c r="J8" s="911">
        <f>IF(F8="","",INT((F8-1)/12)+1)</f>
        <v>0</v>
      </c>
      <c r="K8" s="912" cm="1">
        <f t="array" ref="K8:K80">YEAR(_xlfn.ANCHORARRAY(G8))</f>
        <v>2025</v>
      </c>
      <c r="L8" s="892">
        <f>-iBudget!E7</f>
        <v>-22000000</v>
      </c>
      <c r="M8" s="892">
        <f>-iBudget!E8-iBudget!E9</f>
        <v>-900000</v>
      </c>
      <c r="N8" s="892" cm="1">
        <f t="array" ref="N8:N80">-IF(list_Period.Mo &gt;= i_dev.Start, IF(list_Period.Mo &lt; i_dev.Start + i_dev.Periods, i_cost.Dev / i_dev.Periods, 0), 0)</f>
        <v>0</v>
      </c>
      <c r="O8" s="913">
        <f t="shared" ref="O8:O39" si="1">SUM(L8:N8)</f>
        <v>-22900000</v>
      </c>
      <c r="P8" s="913">
        <v>4350000.0000000019</v>
      </c>
      <c r="Q8" s="892" cm="1">
        <f t="array" ref="Q8:Q80" xml:space="preserve"> SUMIFS(iOption!$W$8:$W$52,_xlfn.ANCHORARRAY( iOption!$J$8), Q$6, iOption!$U$8:$U$52,_xlfn.ANCHORARRAY($F8))</f>
        <v>0</v>
      </c>
      <c r="R8" s="892" cm="1">
        <f t="array" ref="R8:R80" xml:space="preserve"> SUMIFS(iOption!$W$8:$W$52,_xlfn.ANCHORARRAY( iOption!$J$8), R$6, iOption!$U$8:$U$52,_xlfn.ANCHORARRAY($F8))</f>
        <v>0</v>
      </c>
      <c r="S8" s="892" cm="1">
        <f t="array" ref="S8:S80" xml:space="preserve"> SUMIFS(iOption!$W$8:$W$52,_xlfn.ANCHORARRAY( iOption!$J$8), S$6, iOption!$U$8:$U$52,_xlfn.ANCHORARRAY($F8))</f>
        <v>0</v>
      </c>
      <c r="T8" s="892" cm="1">
        <f t="array" ref="T8:T80" xml:space="preserve"> SUMIFS(iOption!$W$8:$W$52,_xlfn.ANCHORARRAY( iOption!$J$8), T$6, iOption!$U$8:$U$52,_xlfn.ANCHORARRAY($F8))</f>
        <v>0</v>
      </c>
      <c r="U8" s="892" cm="1">
        <f t="array" ref="U8:U80" xml:space="preserve"> SUMIFS(iOption!$W$8:$W$52,_xlfn.ANCHORARRAY( iOption!$J$8), U$6, iOption!$U$8:$U$52,_xlfn.ANCHORARRAY($F8))</f>
        <v>0</v>
      </c>
      <c r="V8" s="913">
        <f t="shared" ref="V8:V39" si="2">SUM(P8:U8)</f>
        <v>4350000.0000000019</v>
      </c>
      <c r="W8" s="913">
        <f t="shared" ref="W8:W39" si="3">O8+V8</f>
        <v>-18550000</v>
      </c>
      <c r="X8" s="914"/>
      <c r="Y8" s="913">
        <f>W8+X8</f>
        <v>-18550000</v>
      </c>
      <c r="Z8" s="914">
        <f>MAX(0,Y8)</f>
        <v>0</v>
      </c>
      <c r="AA8" s="914" cm="1">
        <f t="array" ref="AA8">IF(SUM($Z$8:$Z8)&gt;$AA$7,IF(SUM($Z$8:$Z8)-$Z8&gt;=c_maxEquity,0,c_maxEquity-SUM($Z$8:$Z8)+$Z8),$Z8)</f>
        <v>0</v>
      </c>
      <c r="AB8" s="914">
        <f t="shared" ref="AB8:AB39" si="4">Z8-AA8</f>
        <v>0</v>
      </c>
      <c r="AC8" s="914" cm="1">
        <f t="array" aca="1" ref="AC8" ca="1">IF(SUM($AC7:AC$8) + (AB8 * $AC$6) &gt; c_maxEquity, MAX(0,c_maxEquity - SUM($AC7:AC$8)), AB8 * $AC$6)</f>
        <v>0</v>
      </c>
      <c r="AD8" s="914">
        <f ca="1">IF(AC8=0,0,AB8-AC8)</f>
        <v>0</v>
      </c>
      <c r="AE8" s="914">
        <f ca="1">AB8-AC8-AD8</f>
        <v>0</v>
      </c>
      <c r="AF8" s="914">
        <f ca="1">AE8*$AF$6</f>
        <v>0</v>
      </c>
      <c r="AG8" s="914">
        <f ca="1">AE8-AF8</f>
        <v>0</v>
      </c>
      <c r="AK8" s="914">
        <f>IF(W8&lt;0,W8,0)</f>
        <v>-18550000</v>
      </c>
      <c r="AL8" s="914" cm="1">
        <f t="array" ref="AL8:AL80">AA8:AA80</f>
        <v>0</v>
      </c>
      <c r="AM8" s="914" cm="1">
        <f t="array" aca="1" ref="AM8:AM375" ca="1">AC8:AC375</f>
        <v>0</v>
      </c>
      <c r="AN8" s="914" cm="1">
        <f t="array" aca="1" ref="AN8:AN375" ca="1">AF8:AF375</f>
        <v>0</v>
      </c>
      <c r="AO8" s="914">
        <f ca="1">SUM(AL8:AN8)</f>
        <v>0</v>
      </c>
      <c r="AP8" s="927">
        <f ca="1">AO8+AK8</f>
        <v>-18550000</v>
      </c>
    </row>
    <row r="9" spans="1:42" ht="19">
      <c r="A9" s="73"/>
      <c r="B9" s="29"/>
      <c r="C9" s="61"/>
      <c r="D9" s="73"/>
      <c r="E9" s="5"/>
      <c r="F9" s="890">
        <v>1</v>
      </c>
      <c r="G9" s="935">
        <v>45716</v>
      </c>
      <c r="H9" s="915">
        <v>1</v>
      </c>
      <c r="I9" s="915" t="str">
        <f t="shared" ref="I9:I40" si="5">IF(H9&gt;0,"Q"&amp;ROUNDUP(MONTH(G9)/3,0)&amp;"-"&amp;YEAR(G9)-2000,0)</f>
        <v>Q1-25</v>
      </c>
      <c r="J9" s="915">
        <f>IF(F9="","",INT((F9-1)/12)+1)</f>
        <v>1</v>
      </c>
      <c r="K9" s="916">
        <v>2025</v>
      </c>
      <c r="L9" s="890"/>
      <c r="M9" s="890"/>
      <c r="N9" s="890">
        <v>0</v>
      </c>
      <c r="O9" s="917">
        <f t="shared" si="1"/>
        <v>0</v>
      </c>
      <c r="P9" s="917"/>
      <c r="Q9" s="890">
        <v>0</v>
      </c>
      <c r="R9" s="890">
        <v>0</v>
      </c>
      <c r="S9" s="890">
        <v>0</v>
      </c>
      <c r="T9" s="890">
        <v>0</v>
      </c>
      <c r="U9" s="890">
        <v>0</v>
      </c>
      <c r="V9" s="917">
        <f t="shared" si="2"/>
        <v>0</v>
      </c>
      <c r="W9" s="917">
        <f t="shared" si="3"/>
        <v>0</v>
      </c>
      <c r="X9" s="918">
        <f>-V9*Reports!$I$33</f>
        <v>0</v>
      </c>
      <c r="Y9" s="917">
        <f t="shared" ref="Y9:Y72" si="6">W9+X9</f>
        <v>0</v>
      </c>
      <c r="Z9" s="918">
        <f t="shared" ref="Z9:Z72" si="7">MAX(0,Y9)</f>
        <v>0</v>
      </c>
      <c r="AA9" s="918" cm="1">
        <f t="array" ref="AA9">IF(SUM($Z$8:$Z9)&gt;$AA$7,IF(SUM($Z$8:$Z9)-$Z9&gt;=c_maxEquity,0,c_maxEquity-SUM($Z$8:$Z9)+$Z9),$Z9)</f>
        <v>0</v>
      </c>
      <c r="AB9" s="917">
        <f t="shared" si="4"/>
        <v>0</v>
      </c>
      <c r="AC9" s="917" cm="1">
        <f t="array" aca="1" ref="AC9" ca="1">IF(SUM($AC8:AC$8) + (AB9 * $AC$6) &gt; c_maxEquity, MAX(0,c_maxEquity - SUM($AC8:AC$8)), AB9 * $AC$6)</f>
        <v>0</v>
      </c>
      <c r="AD9" s="917">
        <f t="shared" ref="AD9:AD72" ca="1" si="8">IF(AC9=0,0,AB9-AC9)</f>
        <v>0</v>
      </c>
      <c r="AE9" s="917">
        <f t="shared" ref="AE9:AE72" ca="1" si="9">AB9-AC9-AD9</f>
        <v>0</v>
      </c>
      <c r="AF9" s="917">
        <f t="shared" ref="AF9:AF72" ca="1" si="10">AE9*$AF$6</f>
        <v>0</v>
      </c>
      <c r="AG9" s="917">
        <f ca="1">AE9-AF9</f>
        <v>0</v>
      </c>
      <c r="AK9" s="917">
        <f t="shared" ref="AK9:AK72" si="11">IF(W9&lt;0,W9,0)</f>
        <v>0</v>
      </c>
      <c r="AL9" s="917">
        <v>0</v>
      </c>
      <c r="AM9" s="917">
        <f ca="1"/>
        <v>0</v>
      </c>
      <c r="AN9" s="917">
        <f ca="1"/>
        <v>0</v>
      </c>
      <c r="AO9" s="917">
        <f t="shared" ref="AO9:AO72" ca="1" si="12">SUM(AL9:AN9)</f>
        <v>0</v>
      </c>
      <c r="AP9" s="917">
        <f t="shared" ref="AP9:AP72" ca="1" si="13">AO9+AK9</f>
        <v>0</v>
      </c>
    </row>
    <row r="10" spans="1:42" ht="16">
      <c r="A10" s="50" t="s">
        <v>60</v>
      </c>
      <c r="B10" s="51" t="s">
        <v>60</v>
      </c>
      <c r="C10" s="49" t="s">
        <v>57</v>
      </c>
      <c r="D10" s="50" t="s">
        <v>12</v>
      </c>
      <c r="E10" s="46"/>
      <c r="F10" s="890">
        <v>2</v>
      </c>
      <c r="G10" s="935">
        <v>45747</v>
      </c>
      <c r="H10" s="915">
        <v>1</v>
      </c>
      <c r="I10" s="915" t="str">
        <f t="shared" si="5"/>
        <v>Q1-25</v>
      </c>
      <c r="J10" s="915">
        <f t="shared" ref="J10:J72" si="14">IF(F10="","",INT((F10-1)/12)+1)</f>
        <v>1</v>
      </c>
      <c r="K10" s="916">
        <v>2025</v>
      </c>
      <c r="L10" s="890"/>
      <c r="M10" s="890"/>
      <c r="N10" s="890">
        <v>-696666.66666666663</v>
      </c>
      <c r="O10" s="917">
        <f t="shared" si="1"/>
        <v>-696666.66666666663</v>
      </c>
      <c r="P10" s="917"/>
      <c r="Q10" s="890">
        <v>0</v>
      </c>
      <c r="R10" s="890">
        <v>0</v>
      </c>
      <c r="S10" s="890">
        <v>0</v>
      </c>
      <c r="T10" s="890">
        <v>0</v>
      </c>
      <c r="U10" s="890">
        <v>0</v>
      </c>
      <c r="V10" s="917">
        <f t="shared" si="2"/>
        <v>0</v>
      </c>
      <c r="W10" s="917">
        <f t="shared" si="3"/>
        <v>-696666.66666666663</v>
      </c>
      <c r="X10" s="918">
        <f>-V10*Reports!$I$33</f>
        <v>0</v>
      </c>
      <c r="Y10" s="917">
        <f t="shared" si="6"/>
        <v>-696666.66666666663</v>
      </c>
      <c r="Z10" s="918">
        <f t="shared" si="7"/>
        <v>0</v>
      </c>
      <c r="AA10" s="918" cm="1">
        <f t="array" ref="AA10">IF(SUM($Z$8:$Z10)&gt;$AA$7,IF(SUM($Z$8:$Z10)-$Z10&gt;=c_maxEquity,0,c_maxEquity-SUM($Z$8:$Z10)+$Z10),$Z10)</f>
        <v>0</v>
      </c>
      <c r="AB10" s="917">
        <f t="shared" si="4"/>
        <v>0</v>
      </c>
      <c r="AC10" s="917" cm="1">
        <f t="array" aca="1" ref="AC10" ca="1">IF(SUM($AC$8:AC9) + (AB10 * $AC$6) &gt; c_maxEquity, MAX(0,c_maxEquity - SUM($AC$8:AC9)), AB10 * $AC$6)</f>
        <v>0</v>
      </c>
      <c r="AD10" s="917">
        <f t="shared" ca="1" si="8"/>
        <v>0</v>
      </c>
      <c r="AE10" s="917">
        <f t="shared" ca="1" si="9"/>
        <v>0</v>
      </c>
      <c r="AF10" s="917">
        <f t="shared" ca="1" si="10"/>
        <v>0</v>
      </c>
      <c r="AG10" s="917">
        <f t="shared" ref="AG10:AG73" ca="1" si="15">AE10-AF10</f>
        <v>0</v>
      </c>
      <c r="AK10" s="917">
        <f t="shared" si="11"/>
        <v>-696666.66666666663</v>
      </c>
      <c r="AL10" s="917">
        <v>0</v>
      </c>
      <c r="AM10" s="917">
        <f ca="1"/>
        <v>0</v>
      </c>
      <c r="AN10" s="917">
        <f ca="1"/>
        <v>0</v>
      </c>
      <c r="AO10" s="917">
        <f t="shared" ca="1" si="12"/>
        <v>0</v>
      </c>
      <c r="AP10" s="917">
        <f t="shared" ca="1" si="13"/>
        <v>-696666.66666666663</v>
      </c>
    </row>
    <row r="11" spans="1:42" ht="16">
      <c r="A11" s="35" t="e">
        <f t="shared" ref="A11:A55" si="16">D11/$D$57</f>
        <v>#REF!</v>
      </c>
      <c r="B11" s="69" t="e">
        <f>#REF!/#REF!</f>
        <v>#REF!</v>
      </c>
      <c r="C11" s="32">
        <v>62.5</v>
      </c>
      <c r="D11" s="34" t="e">
        <f>#REF!/43560</f>
        <v>#REF!</v>
      </c>
      <c r="E11" s="5"/>
      <c r="F11" s="891">
        <v>3</v>
      </c>
      <c r="G11" s="936">
        <v>45777</v>
      </c>
      <c r="H11" s="919">
        <v>1</v>
      </c>
      <c r="I11" s="919" t="str">
        <f t="shared" si="5"/>
        <v>Q2-25</v>
      </c>
      <c r="J11" s="919">
        <f t="shared" si="14"/>
        <v>1</v>
      </c>
      <c r="K11" s="920">
        <v>2025</v>
      </c>
      <c r="L11" s="891"/>
      <c r="M11" s="891"/>
      <c r="N11" s="891">
        <v>-696666.66666666663</v>
      </c>
      <c r="O11" s="921">
        <f t="shared" si="1"/>
        <v>-696666.66666666663</v>
      </c>
      <c r="P11" s="921"/>
      <c r="Q11" s="891">
        <v>0</v>
      </c>
      <c r="R11" s="891">
        <v>0</v>
      </c>
      <c r="S11" s="891">
        <v>0</v>
      </c>
      <c r="T11" s="891">
        <v>0</v>
      </c>
      <c r="U11" s="891">
        <v>0</v>
      </c>
      <c r="V11" s="917">
        <f t="shared" si="2"/>
        <v>0</v>
      </c>
      <c r="W11" s="917">
        <f t="shared" si="3"/>
        <v>-696666.66666666663</v>
      </c>
      <c r="X11" s="918">
        <f>-V11*Reports!$I$33</f>
        <v>0</v>
      </c>
      <c r="Y11" s="917">
        <f t="shared" si="6"/>
        <v>-696666.66666666663</v>
      </c>
      <c r="Z11" s="918">
        <f t="shared" si="7"/>
        <v>0</v>
      </c>
      <c r="AA11" s="918" cm="1">
        <f t="array" ref="AA11">IF(SUM($Z$8:$Z11)&gt;$AA$7,IF(SUM($Z$8:$Z11)-$Z11&gt;=c_maxEquity,0,c_maxEquity-SUM($Z$8:$Z11)+$Z11),$Z11)</f>
        <v>0</v>
      </c>
      <c r="AB11" s="917">
        <f t="shared" si="4"/>
        <v>0</v>
      </c>
      <c r="AC11" s="917" cm="1">
        <f t="array" aca="1" ref="AC11" ca="1">IF(SUM($AC$8:AC10) + (AB11 * $AC$6) &gt; c_maxEquity, MAX(0,c_maxEquity - SUM($AC$8:AC10)), AB11 * $AC$6)</f>
        <v>0</v>
      </c>
      <c r="AD11" s="917">
        <f t="shared" ca="1" si="8"/>
        <v>0</v>
      </c>
      <c r="AE11" s="917">
        <f t="shared" ca="1" si="9"/>
        <v>0</v>
      </c>
      <c r="AF11" s="917">
        <f t="shared" ca="1" si="10"/>
        <v>0</v>
      </c>
      <c r="AG11" s="917">
        <f t="shared" ca="1" si="15"/>
        <v>0</v>
      </c>
      <c r="AK11" s="917">
        <f t="shared" si="11"/>
        <v>-696666.66666666663</v>
      </c>
      <c r="AL11" s="917">
        <v>0</v>
      </c>
      <c r="AM11" s="917">
        <f ca="1"/>
        <v>0</v>
      </c>
      <c r="AN11" s="917">
        <f ca="1"/>
        <v>0</v>
      </c>
      <c r="AO11" s="917">
        <f t="shared" ca="1" si="12"/>
        <v>0</v>
      </c>
      <c r="AP11" s="917">
        <f t="shared" ca="1" si="13"/>
        <v>-696666.66666666663</v>
      </c>
    </row>
    <row r="12" spans="1:42" ht="16">
      <c r="A12" s="41" t="e">
        <f t="shared" si="16"/>
        <v>#REF!</v>
      </c>
      <c r="B12" s="70" t="e">
        <f>#REF!/#REF!</f>
        <v>#REF!</v>
      </c>
      <c r="C12" s="39">
        <v>62.5</v>
      </c>
      <c r="D12" s="40" t="e">
        <f>#REF!/43560</f>
        <v>#REF!</v>
      </c>
      <c r="E12" s="5"/>
      <c r="F12" s="890">
        <v>4</v>
      </c>
      <c r="G12" s="935">
        <v>45808</v>
      </c>
      <c r="H12" s="915">
        <v>2</v>
      </c>
      <c r="I12" s="915" t="str">
        <f t="shared" si="5"/>
        <v>Q2-25</v>
      </c>
      <c r="J12" s="915">
        <f t="shared" si="14"/>
        <v>1</v>
      </c>
      <c r="K12" s="916">
        <v>2025</v>
      </c>
      <c r="L12" s="890"/>
      <c r="M12" s="890"/>
      <c r="N12" s="890">
        <v>-696666.66666666663</v>
      </c>
      <c r="O12" s="917">
        <f t="shared" si="1"/>
        <v>-696666.66666666663</v>
      </c>
      <c r="P12" s="917"/>
      <c r="Q12" s="890">
        <v>0</v>
      </c>
      <c r="R12" s="890">
        <v>0</v>
      </c>
      <c r="S12" s="890">
        <v>0</v>
      </c>
      <c r="T12" s="890">
        <v>0</v>
      </c>
      <c r="U12" s="890">
        <v>0</v>
      </c>
      <c r="V12" s="917">
        <f t="shared" si="2"/>
        <v>0</v>
      </c>
      <c r="W12" s="917">
        <f t="shared" si="3"/>
        <v>-696666.66666666663</v>
      </c>
      <c r="X12" s="918">
        <f>-V12*Reports!$I$33</f>
        <v>0</v>
      </c>
      <c r="Y12" s="917">
        <f t="shared" si="6"/>
        <v>-696666.66666666663</v>
      </c>
      <c r="Z12" s="918">
        <f t="shared" si="7"/>
        <v>0</v>
      </c>
      <c r="AA12" s="918" cm="1">
        <f t="array" ref="AA12">IF(SUM($Z$8:$Z12)&gt;$AA$7,IF(SUM($Z$8:$Z12)-$Z12&gt;=c_maxEquity,0,c_maxEquity-SUM($Z$8:$Z12)+$Z12),$Z12)</f>
        <v>0</v>
      </c>
      <c r="AB12" s="917">
        <f t="shared" si="4"/>
        <v>0</v>
      </c>
      <c r="AC12" s="917" cm="1">
        <f t="array" aca="1" ref="AC12" ca="1">IF(SUM($AC$8:AC11) + (AB12 * $AC$6) &gt; c_maxEquity, MAX(0,c_maxEquity - SUM($AC$8:AC11)), AB12 * $AC$6)</f>
        <v>0</v>
      </c>
      <c r="AD12" s="917">
        <f t="shared" ca="1" si="8"/>
        <v>0</v>
      </c>
      <c r="AE12" s="917">
        <f t="shared" ca="1" si="9"/>
        <v>0</v>
      </c>
      <c r="AF12" s="917">
        <f t="shared" ca="1" si="10"/>
        <v>0</v>
      </c>
      <c r="AG12" s="917">
        <f t="shared" ca="1" si="15"/>
        <v>0</v>
      </c>
      <c r="AK12" s="917">
        <f t="shared" si="11"/>
        <v>-696666.66666666663</v>
      </c>
      <c r="AL12" s="917">
        <v>0</v>
      </c>
      <c r="AM12" s="917">
        <f ca="1"/>
        <v>0</v>
      </c>
      <c r="AN12" s="917">
        <f ca="1"/>
        <v>0</v>
      </c>
      <c r="AO12" s="917">
        <f t="shared" ca="1" si="12"/>
        <v>0</v>
      </c>
      <c r="AP12" s="917">
        <f t="shared" ca="1" si="13"/>
        <v>-696666.66666666663</v>
      </c>
    </row>
    <row r="13" spans="1:42" ht="16">
      <c r="A13" s="41" t="e">
        <f t="shared" si="16"/>
        <v>#REF!</v>
      </c>
      <c r="B13" s="70" t="e">
        <f>#REF!/#REF!</f>
        <v>#REF!</v>
      </c>
      <c r="C13" s="39">
        <v>50</v>
      </c>
      <c r="D13" s="40" t="e">
        <f>#REF!/43560</f>
        <v>#REF!</v>
      </c>
      <c r="E13" s="5"/>
      <c r="F13" s="890">
        <v>5</v>
      </c>
      <c r="G13" s="935">
        <v>45838</v>
      </c>
      <c r="H13" s="915">
        <v>2</v>
      </c>
      <c r="I13" s="915" t="str">
        <f t="shared" si="5"/>
        <v>Q2-25</v>
      </c>
      <c r="J13" s="915">
        <f t="shared" si="14"/>
        <v>1</v>
      </c>
      <c r="K13" s="916">
        <v>2025</v>
      </c>
      <c r="L13" s="890"/>
      <c r="M13" s="890"/>
      <c r="N13" s="890">
        <v>-696666.66666666663</v>
      </c>
      <c r="O13" s="917">
        <f t="shared" si="1"/>
        <v>-696666.66666666663</v>
      </c>
      <c r="P13" s="917"/>
      <c r="Q13" s="890">
        <v>0</v>
      </c>
      <c r="R13" s="890">
        <v>0</v>
      </c>
      <c r="S13" s="890">
        <v>0</v>
      </c>
      <c r="T13" s="890">
        <v>0</v>
      </c>
      <c r="U13" s="890">
        <v>0</v>
      </c>
      <c r="V13" s="917">
        <f t="shared" si="2"/>
        <v>0</v>
      </c>
      <c r="W13" s="917">
        <f t="shared" si="3"/>
        <v>-696666.66666666663</v>
      </c>
      <c r="X13" s="918">
        <f>-V13*Reports!$I$33</f>
        <v>0</v>
      </c>
      <c r="Y13" s="917">
        <f t="shared" si="6"/>
        <v>-696666.66666666663</v>
      </c>
      <c r="Z13" s="918">
        <f t="shared" si="7"/>
        <v>0</v>
      </c>
      <c r="AA13" s="918" cm="1">
        <f t="array" ref="AA13">IF(SUM($Z$8:$Z13)&gt;$AA$7,IF(SUM($Z$8:$Z13)-$Z13&gt;=c_maxEquity,0,c_maxEquity-SUM($Z$8:$Z13)+$Z13),$Z13)</f>
        <v>0</v>
      </c>
      <c r="AB13" s="917">
        <f t="shared" si="4"/>
        <v>0</v>
      </c>
      <c r="AC13" s="917" cm="1">
        <f t="array" aca="1" ref="AC13" ca="1">IF(SUM($AC$8:AC12) + (AB13 * $AC$6) &gt; c_maxEquity, MAX(0,c_maxEquity - SUM($AC$8:AC12)), AB13 * $AC$6)</f>
        <v>0</v>
      </c>
      <c r="AD13" s="917">
        <f t="shared" ca="1" si="8"/>
        <v>0</v>
      </c>
      <c r="AE13" s="917">
        <f t="shared" ca="1" si="9"/>
        <v>0</v>
      </c>
      <c r="AF13" s="917">
        <f t="shared" ca="1" si="10"/>
        <v>0</v>
      </c>
      <c r="AG13" s="917">
        <f t="shared" ca="1" si="15"/>
        <v>0</v>
      </c>
      <c r="AK13" s="917">
        <f t="shared" si="11"/>
        <v>-696666.66666666663</v>
      </c>
      <c r="AL13" s="917">
        <v>0</v>
      </c>
      <c r="AM13" s="917">
        <f ca="1"/>
        <v>0</v>
      </c>
      <c r="AN13" s="917">
        <f ca="1"/>
        <v>0</v>
      </c>
      <c r="AO13" s="917">
        <f t="shared" ca="1" si="12"/>
        <v>0</v>
      </c>
      <c r="AP13" s="917">
        <f t="shared" ca="1" si="13"/>
        <v>-696666.66666666663</v>
      </c>
    </row>
    <row r="14" spans="1:42" ht="16">
      <c r="A14" s="38" t="e">
        <f t="shared" si="16"/>
        <v>#REF!</v>
      </c>
      <c r="B14" s="71" t="e">
        <f>#REF!/#REF!</f>
        <v>#REF!</v>
      </c>
      <c r="C14" s="36">
        <v>62.5</v>
      </c>
      <c r="D14" s="37" t="e">
        <f>#REF!/43560</f>
        <v>#REF!</v>
      </c>
      <c r="E14" s="5"/>
      <c r="F14" s="890">
        <v>6</v>
      </c>
      <c r="G14" s="935">
        <v>45869</v>
      </c>
      <c r="H14" s="915">
        <v>2</v>
      </c>
      <c r="I14" s="915" t="str">
        <f t="shared" si="5"/>
        <v>Q3-25</v>
      </c>
      <c r="J14" s="915">
        <f t="shared" si="14"/>
        <v>1</v>
      </c>
      <c r="K14" s="916">
        <v>2025</v>
      </c>
      <c r="L14" s="890"/>
      <c r="M14" s="890"/>
      <c r="N14" s="890">
        <v>-696666.66666666663</v>
      </c>
      <c r="O14" s="917">
        <f t="shared" si="1"/>
        <v>-696666.66666666663</v>
      </c>
      <c r="P14" s="917"/>
      <c r="Q14" s="890">
        <v>0</v>
      </c>
      <c r="R14" s="890">
        <v>0</v>
      </c>
      <c r="S14" s="890">
        <v>0</v>
      </c>
      <c r="T14" s="890">
        <v>0</v>
      </c>
      <c r="U14" s="890">
        <v>0</v>
      </c>
      <c r="V14" s="917">
        <f t="shared" si="2"/>
        <v>0</v>
      </c>
      <c r="W14" s="917">
        <f t="shared" si="3"/>
        <v>-696666.66666666663</v>
      </c>
      <c r="X14" s="918">
        <f>-V14*Reports!$I$33</f>
        <v>0</v>
      </c>
      <c r="Y14" s="917">
        <f t="shared" si="6"/>
        <v>-696666.66666666663</v>
      </c>
      <c r="Z14" s="918">
        <f t="shared" si="7"/>
        <v>0</v>
      </c>
      <c r="AA14" s="918" cm="1">
        <f t="array" ref="AA14">IF(SUM($Z$8:$Z14)&gt;$AA$7,IF(SUM($Z$8:$Z14)-$Z14&gt;=c_maxEquity,0,c_maxEquity-SUM($Z$8:$Z14)+$Z14),$Z14)</f>
        <v>0</v>
      </c>
      <c r="AB14" s="917">
        <f t="shared" si="4"/>
        <v>0</v>
      </c>
      <c r="AC14" s="917" cm="1">
        <f t="array" aca="1" ref="AC14" ca="1">IF(SUM($AC$8:AC13) + (AB14 * $AC$6) &gt; c_maxEquity, MAX(0,c_maxEquity - SUM($AC$8:AC13)), AB14 * $AC$6)</f>
        <v>0</v>
      </c>
      <c r="AD14" s="917">
        <f t="shared" ca="1" si="8"/>
        <v>0</v>
      </c>
      <c r="AE14" s="917">
        <f t="shared" ca="1" si="9"/>
        <v>0</v>
      </c>
      <c r="AF14" s="917">
        <f t="shared" ca="1" si="10"/>
        <v>0</v>
      </c>
      <c r="AG14" s="917">
        <f t="shared" ca="1" si="15"/>
        <v>0</v>
      </c>
      <c r="AK14" s="917">
        <f t="shared" si="11"/>
        <v>-696666.66666666663</v>
      </c>
      <c r="AL14" s="917">
        <v>0</v>
      </c>
      <c r="AM14" s="917">
        <f ca="1"/>
        <v>0</v>
      </c>
      <c r="AN14" s="917">
        <f ca="1"/>
        <v>0</v>
      </c>
      <c r="AO14" s="917">
        <f t="shared" ca="1" si="12"/>
        <v>0</v>
      </c>
      <c r="AP14" s="917">
        <f t="shared" ca="1" si="13"/>
        <v>-696666.66666666663</v>
      </c>
    </row>
    <row r="15" spans="1:42" ht="16">
      <c r="A15" s="41" t="e">
        <f t="shared" si="16"/>
        <v>#REF!</v>
      </c>
      <c r="B15" s="70" t="e">
        <f>#REF!/#REF!</f>
        <v>#REF!</v>
      </c>
      <c r="C15" s="39">
        <v>62.5</v>
      </c>
      <c r="D15" s="40" t="e">
        <f>#REF!/43560</f>
        <v>#REF!</v>
      </c>
      <c r="E15" s="5"/>
      <c r="F15" s="890">
        <v>7</v>
      </c>
      <c r="G15" s="935">
        <v>45900</v>
      </c>
      <c r="H15" s="915">
        <v>3</v>
      </c>
      <c r="I15" s="915" t="str">
        <f t="shared" si="5"/>
        <v>Q3-25</v>
      </c>
      <c r="J15" s="915">
        <f t="shared" si="14"/>
        <v>1</v>
      </c>
      <c r="K15" s="916">
        <v>2025</v>
      </c>
      <c r="L15" s="890"/>
      <c r="M15" s="890"/>
      <c r="N15" s="890">
        <v>-696666.66666666663</v>
      </c>
      <c r="O15" s="917">
        <f t="shared" si="1"/>
        <v>-696666.66666666663</v>
      </c>
      <c r="P15" s="917"/>
      <c r="Q15" s="890">
        <v>0</v>
      </c>
      <c r="R15" s="890">
        <v>0</v>
      </c>
      <c r="S15" s="890">
        <v>0</v>
      </c>
      <c r="T15" s="890">
        <v>0</v>
      </c>
      <c r="U15" s="890">
        <v>0</v>
      </c>
      <c r="V15" s="917">
        <f t="shared" si="2"/>
        <v>0</v>
      </c>
      <c r="W15" s="917">
        <f t="shared" si="3"/>
        <v>-696666.66666666663</v>
      </c>
      <c r="X15" s="918">
        <f>-V15*Reports!$I$33</f>
        <v>0</v>
      </c>
      <c r="Y15" s="917">
        <f t="shared" si="6"/>
        <v>-696666.66666666663</v>
      </c>
      <c r="Z15" s="918">
        <f t="shared" si="7"/>
        <v>0</v>
      </c>
      <c r="AA15" s="918" cm="1">
        <f t="array" ref="AA15">IF(SUM($Z$8:$Z15)&gt;$AA$7,IF(SUM($Z$8:$Z15)-$Z15&gt;=c_maxEquity,0,c_maxEquity-SUM($Z$8:$Z15)+$Z15),$Z15)</f>
        <v>0</v>
      </c>
      <c r="AB15" s="917">
        <f t="shared" si="4"/>
        <v>0</v>
      </c>
      <c r="AC15" s="917" cm="1">
        <f t="array" aca="1" ref="AC15" ca="1">IF(SUM($AC$8:AC14) + (AB15 * $AC$6) &gt; c_maxEquity, MAX(0,c_maxEquity - SUM($AC$8:AC14)), AB15 * $AC$6)</f>
        <v>0</v>
      </c>
      <c r="AD15" s="917">
        <f t="shared" ca="1" si="8"/>
        <v>0</v>
      </c>
      <c r="AE15" s="917">
        <f t="shared" ca="1" si="9"/>
        <v>0</v>
      </c>
      <c r="AF15" s="917">
        <f t="shared" ca="1" si="10"/>
        <v>0</v>
      </c>
      <c r="AG15" s="917">
        <f t="shared" ca="1" si="15"/>
        <v>0</v>
      </c>
      <c r="AK15" s="917">
        <f t="shared" si="11"/>
        <v>-696666.66666666663</v>
      </c>
      <c r="AL15" s="917">
        <v>0</v>
      </c>
      <c r="AM15" s="917">
        <f ca="1"/>
        <v>0</v>
      </c>
      <c r="AN15" s="917">
        <f ca="1"/>
        <v>0</v>
      </c>
      <c r="AO15" s="917">
        <f t="shared" ca="1" si="12"/>
        <v>0</v>
      </c>
      <c r="AP15" s="917">
        <f t="shared" ca="1" si="13"/>
        <v>-696666.66666666663</v>
      </c>
    </row>
    <row r="16" spans="1:42" ht="16">
      <c r="A16" s="41" t="e">
        <f t="shared" si="16"/>
        <v>#REF!</v>
      </c>
      <c r="B16" s="70" t="e">
        <f>#REF!/#REF!</f>
        <v>#REF!</v>
      </c>
      <c r="C16" s="39">
        <v>75</v>
      </c>
      <c r="D16" s="40" t="e">
        <f>#REF!/43560</f>
        <v>#REF!</v>
      </c>
      <c r="E16" s="5"/>
      <c r="F16" s="890">
        <v>8</v>
      </c>
      <c r="G16" s="935">
        <v>45930</v>
      </c>
      <c r="H16" s="915">
        <v>3</v>
      </c>
      <c r="I16" s="915" t="str">
        <f t="shared" si="5"/>
        <v>Q3-25</v>
      </c>
      <c r="J16" s="915">
        <f t="shared" si="14"/>
        <v>1</v>
      </c>
      <c r="K16" s="916">
        <v>2025</v>
      </c>
      <c r="L16" s="890"/>
      <c r="M16" s="890"/>
      <c r="N16" s="890">
        <v>-696666.66666666663</v>
      </c>
      <c r="O16" s="917">
        <f t="shared" si="1"/>
        <v>-696666.66666666663</v>
      </c>
      <c r="P16" s="917"/>
      <c r="Q16" s="890">
        <v>0</v>
      </c>
      <c r="R16" s="890">
        <v>0</v>
      </c>
      <c r="S16" s="890">
        <v>0</v>
      </c>
      <c r="T16" s="890">
        <v>0</v>
      </c>
      <c r="U16" s="890">
        <v>0</v>
      </c>
      <c r="V16" s="917">
        <f t="shared" si="2"/>
        <v>0</v>
      </c>
      <c r="W16" s="917">
        <f t="shared" si="3"/>
        <v>-696666.66666666663</v>
      </c>
      <c r="X16" s="918">
        <f>-V16*Reports!$I$33</f>
        <v>0</v>
      </c>
      <c r="Y16" s="917">
        <f t="shared" si="6"/>
        <v>-696666.66666666663</v>
      </c>
      <c r="Z16" s="918">
        <f t="shared" si="7"/>
        <v>0</v>
      </c>
      <c r="AA16" s="918" cm="1">
        <f t="array" ref="AA16">IF(SUM($Z$8:$Z16)&gt;$AA$7,IF(SUM($Z$8:$Z16)-$Z16&gt;=c_maxEquity,0,c_maxEquity-SUM($Z$8:$Z16)+$Z16),$Z16)</f>
        <v>0</v>
      </c>
      <c r="AB16" s="917">
        <f t="shared" si="4"/>
        <v>0</v>
      </c>
      <c r="AC16" s="917" cm="1">
        <f t="array" aca="1" ref="AC16" ca="1">IF(SUM($AC$8:AC15) + (AB16 * $AC$6) &gt; c_maxEquity, MAX(0,c_maxEquity - SUM($AC$8:AC15)), AB16 * $AC$6)</f>
        <v>0</v>
      </c>
      <c r="AD16" s="917">
        <f t="shared" ca="1" si="8"/>
        <v>0</v>
      </c>
      <c r="AE16" s="917">
        <f t="shared" ca="1" si="9"/>
        <v>0</v>
      </c>
      <c r="AF16" s="917">
        <f t="shared" ca="1" si="10"/>
        <v>0</v>
      </c>
      <c r="AG16" s="917">
        <f t="shared" ca="1" si="15"/>
        <v>0</v>
      </c>
      <c r="AK16" s="917">
        <f t="shared" si="11"/>
        <v>-696666.66666666663</v>
      </c>
      <c r="AL16" s="917">
        <v>0</v>
      </c>
      <c r="AM16" s="917">
        <f ca="1"/>
        <v>0</v>
      </c>
      <c r="AN16" s="917">
        <f ca="1"/>
        <v>0</v>
      </c>
      <c r="AO16" s="917">
        <f t="shared" ca="1" si="12"/>
        <v>0</v>
      </c>
      <c r="AP16" s="917">
        <f t="shared" ca="1" si="13"/>
        <v>-696666.66666666663</v>
      </c>
    </row>
    <row r="17" spans="1:42" ht="16">
      <c r="A17" s="41" t="e">
        <f t="shared" si="16"/>
        <v>#REF!</v>
      </c>
      <c r="B17" s="70" t="e">
        <f>#REF!/#REF!</f>
        <v>#REF!</v>
      </c>
      <c r="C17" s="39">
        <v>50</v>
      </c>
      <c r="D17" s="40" t="e">
        <f>#REF!/43560</f>
        <v>#REF!</v>
      </c>
      <c r="E17" s="5"/>
      <c r="F17" s="890">
        <v>9</v>
      </c>
      <c r="G17" s="935">
        <v>45961</v>
      </c>
      <c r="H17" s="915">
        <v>3</v>
      </c>
      <c r="I17" s="915" t="str">
        <f t="shared" si="5"/>
        <v>Q4-25</v>
      </c>
      <c r="J17" s="915">
        <f t="shared" si="14"/>
        <v>1</v>
      </c>
      <c r="K17" s="916">
        <v>2025</v>
      </c>
      <c r="L17" s="890"/>
      <c r="M17" s="890"/>
      <c r="N17" s="890">
        <v>-696666.66666666663</v>
      </c>
      <c r="O17" s="917">
        <f t="shared" si="1"/>
        <v>-696666.66666666663</v>
      </c>
      <c r="P17" s="917"/>
      <c r="Q17" s="890">
        <v>0</v>
      </c>
      <c r="R17" s="890">
        <v>0</v>
      </c>
      <c r="S17" s="890">
        <v>0</v>
      </c>
      <c r="T17" s="890">
        <v>0</v>
      </c>
      <c r="U17" s="890">
        <v>0</v>
      </c>
      <c r="V17" s="917">
        <f t="shared" si="2"/>
        <v>0</v>
      </c>
      <c r="W17" s="917">
        <f t="shared" si="3"/>
        <v>-696666.66666666663</v>
      </c>
      <c r="X17" s="918">
        <f>-V17*Reports!$I$33</f>
        <v>0</v>
      </c>
      <c r="Y17" s="917">
        <f t="shared" si="6"/>
        <v>-696666.66666666663</v>
      </c>
      <c r="Z17" s="918">
        <f t="shared" si="7"/>
        <v>0</v>
      </c>
      <c r="AA17" s="918" cm="1">
        <f t="array" ref="AA17">IF(SUM($Z$8:$Z17)&gt;$AA$7,IF(SUM($Z$8:$Z17)-$Z17&gt;=c_maxEquity,0,c_maxEquity-SUM($Z$8:$Z17)+$Z17),$Z17)</f>
        <v>0</v>
      </c>
      <c r="AB17" s="917">
        <f t="shared" si="4"/>
        <v>0</v>
      </c>
      <c r="AC17" s="917" cm="1">
        <f t="array" aca="1" ref="AC17" ca="1">IF(SUM($AC$8:AC16) + (AB17 * $AC$6) &gt; c_maxEquity, MAX(0,c_maxEquity - SUM($AC$8:AC16)), AB17 * $AC$6)</f>
        <v>0</v>
      </c>
      <c r="AD17" s="917">
        <f t="shared" ca="1" si="8"/>
        <v>0</v>
      </c>
      <c r="AE17" s="917">
        <f t="shared" ca="1" si="9"/>
        <v>0</v>
      </c>
      <c r="AF17" s="917">
        <f t="shared" ca="1" si="10"/>
        <v>0</v>
      </c>
      <c r="AG17" s="917">
        <f t="shared" ca="1" si="15"/>
        <v>0</v>
      </c>
      <c r="AK17" s="917">
        <f t="shared" si="11"/>
        <v>-696666.66666666663</v>
      </c>
      <c r="AL17" s="917">
        <v>0</v>
      </c>
      <c r="AM17" s="917">
        <f ca="1"/>
        <v>0</v>
      </c>
      <c r="AN17" s="917">
        <f ca="1"/>
        <v>0</v>
      </c>
      <c r="AO17" s="917">
        <f t="shared" ca="1" si="12"/>
        <v>0</v>
      </c>
      <c r="AP17" s="917">
        <f t="shared" ca="1" si="13"/>
        <v>-696666.66666666663</v>
      </c>
    </row>
    <row r="18" spans="1:42" ht="16">
      <c r="A18" s="41" t="e">
        <f t="shared" si="16"/>
        <v>#REF!</v>
      </c>
      <c r="B18" s="70" t="e">
        <f>#REF!/#REF!</f>
        <v>#REF!</v>
      </c>
      <c r="C18" s="39">
        <v>62.5</v>
      </c>
      <c r="D18" s="40" t="e">
        <f>#REF!/43560</f>
        <v>#REF!</v>
      </c>
      <c r="E18" s="5"/>
      <c r="F18" s="890">
        <v>10</v>
      </c>
      <c r="G18" s="935">
        <v>45991</v>
      </c>
      <c r="H18" s="915">
        <v>4</v>
      </c>
      <c r="I18" s="915" t="str">
        <f t="shared" si="5"/>
        <v>Q4-25</v>
      </c>
      <c r="J18" s="915">
        <f t="shared" si="14"/>
        <v>1</v>
      </c>
      <c r="K18" s="916">
        <v>2025</v>
      </c>
      <c r="L18" s="890"/>
      <c r="M18" s="890"/>
      <c r="N18" s="890">
        <v>-696666.66666666663</v>
      </c>
      <c r="O18" s="917">
        <f t="shared" si="1"/>
        <v>-696666.66666666663</v>
      </c>
      <c r="P18" s="917"/>
      <c r="Q18" s="890">
        <v>0</v>
      </c>
      <c r="R18" s="890">
        <v>0</v>
      </c>
      <c r="S18" s="890">
        <v>0</v>
      </c>
      <c r="T18" s="890">
        <v>0</v>
      </c>
      <c r="U18" s="890">
        <v>0</v>
      </c>
      <c r="V18" s="917">
        <f t="shared" si="2"/>
        <v>0</v>
      </c>
      <c r="W18" s="917">
        <f t="shared" si="3"/>
        <v>-696666.66666666663</v>
      </c>
      <c r="X18" s="918">
        <f>-V18*Reports!$I$33</f>
        <v>0</v>
      </c>
      <c r="Y18" s="917">
        <f t="shared" si="6"/>
        <v>-696666.66666666663</v>
      </c>
      <c r="Z18" s="918">
        <f t="shared" si="7"/>
        <v>0</v>
      </c>
      <c r="AA18" s="918" cm="1">
        <f t="array" ref="AA18">IF(SUM($Z$8:$Z18)&gt;$AA$7,IF(SUM($Z$8:$Z18)-$Z18&gt;=c_maxEquity,0,c_maxEquity-SUM($Z$8:$Z18)+$Z18),$Z18)</f>
        <v>0</v>
      </c>
      <c r="AB18" s="917">
        <f t="shared" si="4"/>
        <v>0</v>
      </c>
      <c r="AC18" s="917" cm="1">
        <f t="array" aca="1" ref="AC18" ca="1">IF(SUM($AC$8:AC17) + (AB18 * $AC$6) &gt; c_maxEquity, MAX(0,c_maxEquity - SUM($AC$8:AC17)), AB18 * $AC$6)</f>
        <v>0</v>
      </c>
      <c r="AD18" s="917">
        <f t="shared" ca="1" si="8"/>
        <v>0</v>
      </c>
      <c r="AE18" s="917">
        <f t="shared" ca="1" si="9"/>
        <v>0</v>
      </c>
      <c r="AF18" s="917">
        <f t="shared" ca="1" si="10"/>
        <v>0</v>
      </c>
      <c r="AG18" s="917">
        <f t="shared" ca="1" si="15"/>
        <v>0</v>
      </c>
      <c r="AK18" s="917">
        <f t="shared" si="11"/>
        <v>-696666.66666666663</v>
      </c>
      <c r="AL18" s="917">
        <v>0</v>
      </c>
      <c r="AM18" s="917">
        <f ca="1"/>
        <v>0</v>
      </c>
      <c r="AN18" s="917">
        <f ca="1"/>
        <v>0</v>
      </c>
      <c r="AO18" s="917">
        <f t="shared" ca="1" si="12"/>
        <v>0</v>
      </c>
      <c r="AP18" s="917">
        <f t="shared" ca="1" si="13"/>
        <v>-696666.66666666663</v>
      </c>
    </row>
    <row r="19" spans="1:42" ht="16">
      <c r="A19" s="41" t="e">
        <f t="shared" si="16"/>
        <v>#REF!</v>
      </c>
      <c r="B19" s="70" t="e">
        <f>#REF!/#REF!</f>
        <v>#REF!</v>
      </c>
      <c r="C19" s="39">
        <v>62.5</v>
      </c>
      <c r="D19" s="40" t="e">
        <f>#REF!/43560</f>
        <v>#REF!</v>
      </c>
      <c r="E19" s="5"/>
      <c r="F19" s="890">
        <v>11</v>
      </c>
      <c r="G19" s="935">
        <v>46022</v>
      </c>
      <c r="H19" s="915">
        <v>4</v>
      </c>
      <c r="I19" s="915" t="str">
        <f t="shared" si="5"/>
        <v>Q4-25</v>
      </c>
      <c r="J19" s="915">
        <f t="shared" si="14"/>
        <v>1</v>
      </c>
      <c r="K19" s="916">
        <v>2025</v>
      </c>
      <c r="L19" s="890"/>
      <c r="M19" s="890"/>
      <c r="N19" s="890">
        <v>-696666.66666666663</v>
      </c>
      <c r="O19" s="917">
        <f t="shared" si="1"/>
        <v>-696666.66666666663</v>
      </c>
      <c r="P19" s="917"/>
      <c r="Q19" s="890">
        <v>0</v>
      </c>
      <c r="R19" s="890">
        <v>0</v>
      </c>
      <c r="S19" s="890">
        <v>0</v>
      </c>
      <c r="T19" s="890">
        <v>0</v>
      </c>
      <c r="U19" s="890">
        <v>0</v>
      </c>
      <c r="V19" s="917">
        <f t="shared" si="2"/>
        <v>0</v>
      </c>
      <c r="W19" s="917">
        <f t="shared" si="3"/>
        <v>-696666.66666666663</v>
      </c>
      <c r="X19" s="918">
        <f>-V19*Reports!$I$33</f>
        <v>0</v>
      </c>
      <c r="Y19" s="917">
        <f t="shared" si="6"/>
        <v>-696666.66666666663</v>
      </c>
      <c r="Z19" s="918">
        <f t="shared" si="7"/>
        <v>0</v>
      </c>
      <c r="AA19" s="918" cm="1">
        <f t="array" ref="AA19">IF(SUM($Z$8:$Z19)&gt;$AA$7,IF(SUM($Z$8:$Z19)-$Z19&gt;=c_maxEquity,0,c_maxEquity-SUM($Z$8:$Z19)+$Z19),$Z19)</f>
        <v>0</v>
      </c>
      <c r="AB19" s="917">
        <f t="shared" si="4"/>
        <v>0</v>
      </c>
      <c r="AC19" s="917" cm="1">
        <f t="array" aca="1" ref="AC19" ca="1">IF(SUM($AC$8:AC18) + (AB19 * $AC$6) &gt; c_maxEquity, MAX(0,c_maxEquity - SUM($AC$8:AC18)), AB19 * $AC$6)</f>
        <v>0</v>
      </c>
      <c r="AD19" s="917">
        <f t="shared" ca="1" si="8"/>
        <v>0</v>
      </c>
      <c r="AE19" s="917">
        <f t="shared" ca="1" si="9"/>
        <v>0</v>
      </c>
      <c r="AF19" s="917">
        <f t="shared" ca="1" si="10"/>
        <v>0</v>
      </c>
      <c r="AG19" s="917">
        <f t="shared" ca="1" si="15"/>
        <v>0</v>
      </c>
      <c r="AK19" s="917">
        <f t="shared" si="11"/>
        <v>-696666.66666666663</v>
      </c>
      <c r="AL19" s="917">
        <v>0</v>
      </c>
      <c r="AM19" s="917">
        <f ca="1"/>
        <v>0</v>
      </c>
      <c r="AN19" s="917">
        <f ca="1"/>
        <v>0</v>
      </c>
      <c r="AO19" s="917">
        <f t="shared" ca="1" si="12"/>
        <v>0</v>
      </c>
      <c r="AP19" s="917">
        <f t="shared" ca="1" si="13"/>
        <v>-696666.66666666663</v>
      </c>
    </row>
    <row r="20" spans="1:42" ht="16">
      <c r="A20" s="41" t="e">
        <f t="shared" si="16"/>
        <v>#REF!</v>
      </c>
      <c r="B20" s="70" t="e">
        <f>#REF!/#REF!</f>
        <v>#REF!</v>
      </c>
      <c r="C20" s="39">
        <v>50</v>
      </c>
      <c r="D20" s="40" t="e">
        <f>#REF!/43560</f>
        <v>#REF!</v>
      </c>
      <c r="E20" s="5"/>
      <c r="F20" s="890">
        <v>12</v>
      </c>
      <c r="G20" s="935">
        <v>46053</v>
      </c>
      <c r="H20" s="915">
        <v>4</v>
      </c>
      <c r="I20" s="915" t="str">
        <f t="shared" si="5"/>
        <v>Q1-26</v>
      </c>
      <c r="J20" s="915">
        <f t="shared" si="14"/>
        <v>1</v>
      </c>
      <c r="K20" s="916">
        <v>2026</v>
      </c>
      <c r="L20" s="890"/>
      <c r="M20" s="890"/>
      <c r="N20" s="890">
        <v>-696666.66666666663</v>
      </c>
      <c r="O20" s="917">
        <f t="shared" si="1"/>
        <v>-696666.66666666663</v>
      </c>
      <c r="P20" s="917"/>
      <c r="Q20" s="890">
        <v>0</v>
      </c>
      <c r="R20" s="890">
        <v>0</v>
      </c>
      <c r="S20" s="890">
        <v>0</v>
      </c>
      <c r="T20" s="890">
        <v>0</v>
      </c>
      <c r="U20" s="890">
        <v>0</v>
      </c>
      <c r="V20" s="917">
        <f t="shared" si="2"/>
        <v>0</v>
      </c>
      <c r="W20" s="917">
        <f t="shared" si="3"/>
        <v>-696666.66666666663</v>
      </c>
      <c r="X20" s="918">
        <f>-V20*Reports!$I$33</f>
        <v>0</v>
      </c>
      <c r="Y20" s="917">
        <f t="shared" si="6"/>
        <v>-696666.66666666663</v>
      </c>
      <c r="Z20" s="918">
        <f t="shared" si="7"/>
        <v>0</v>
      </c>
      <c r="AA20" s="918" cm="1">
        <f t="array" ref="AA20">IF(SUM($Z$8:$Z20)&gt;$AA$7,IF(SUM($Z$8:$Z20)-$Z20&gt;=c_maxEquity,0,c_maxEquity-SUM($Z$8:$Z20)+$Z20),$Z20)</f>
        <v>0</v>
      </c>
      <c r="AB20" s="917">
        <f t="shared" si="4"/>
        <v>0</v>
      </c>
      <c r="AC20" s="917" cm="1">
        <f t="array" aca="1" ref="AC20" ca="1">IF(SUM($AC$8:AC19) + (AB20 * $AC$6) &gt; c_maxEquity, MAX(0,c_maxEquity - SUM($AC$8:AC19)), AB20 * $AC$6)</f>
        <v>0</v>
      </c>
      <c r="AD20" s="917">
        <f t="shared" ca="1" si="8"/>
        <v>0</v>
      </c>
      <c r="AE20" s="917">
        <f t="shared" ca="1" si="9"/>
        <v>0</v>
      </c>
      <c r="AF20" s="917">
        <f t="shared" ca="1" si="10"/>
        <v>0</v>
      </c>
      <c r="AG20" s="917">
        <f t="shared" ca="1" si="15"/>
        <v>0</v>
      </c>
      <c r="AK20" s="917">
        <f t="shared" si="11"/>
        <v>-696666.66666666663</v>
      </c>
      <c r="AL20" s="917">
        <v>0</v>
      </c>
      <c r="AM20" s="917">
        <f ca="1"/>
        <v>0</v>
      </c>
      <c r="AN20" s="917">
        <f ca="1"/>
        <v>0</v>
      </c>
      <c r="AO20" s="917">
        <f t="shared" ca="1" si="12"/>
        <v>0</v>
      </c>
      <c r="AP20" s="917">
        <f t="shared" ca="1" si="13"/>
        <v>-696666.66666666663</v>
      </c>
    </row>
    <row r="21" spans="1:42" ht="16">
      <c r="A21" s="41" t="e">
        <f t="shared" si="16"/>
        <v>#REF!</v>
      </c>
      <c r="B21" s="70" t="e">
        <f>#REF!/#REF!</f>
        <v>#REF!</v>
      </c>
      <c r="C21" s="39">
        <v>75</v>
      </c>
      <c r="D21" s="40" t="e">
        <f>#REF!/43560</f>
        <v>#REF!</v>
      </c>
      <c r="E21" s="5"/>
      <c r="F21" s="890">
        <v>13</v>
      </c>
      <c r="G21" s="935">
        <v>46081</v>
      </c>
      <c r="H21" s="915">
        <v>5</v>
      </c>
      <c r="I21" s="915" t="str">
        <f t="shared" si="5"/>
        <v>Q1-26</v>
      </c>
      <c r="J21" s="915">
        <f t="shared" si="14"/>
        <v>2</v>
      </c>
      <c r="K21" s="916">
        <v>2026</v>
      </c>
      <c r="L21" s="890"/>
      <c r="M21" s="890"/>
      <c r="N21" s="890">
        <v>-696666.66666666663</v>
      </c>
      <c r="O21" s="917">
        <f t="shared" si="1"/>
        <v>-696666.66666666663</v>
      </c>
      <c r="P21" s="917"/>
      <c r="Q21" s="890">
        <v>1182947.7514002374</v>
      </c>
      <c r="R21" s="890">
        <v>1703444.7620163423</v>
      </c>
      <c r="S21" s="890">
        <v>0</v>
      </c>
      <c r="T21" s="890">
        <v>0</v>
      </c>
      <c r="U21" s="890">
        <v>0</v>
      </c>
      <c r="V21" s="917">
        <f t="shared" si="2"/>
        <v>2886392.5134165799</v>
      </c>
      <c r="W21" s="917">
        <f t="shared" si="3"/>
        <v>2189725.8467499134</v>
      </c>
      <c r="X21" s="918">
        <f>-V21*Reports!$I$33</f>
        <v>-28863.925134165798</v>
      </c>
      <c r="Y21" s="917">
        <f t="shared" si="6"/>
        <v>2160861.9216157477</v>
      </c>
      <c r="Z21" s="918">
        <f t="shared" si="7"/>
        <v>2160861.9216157477</v>
      </c>
      <c r="AA21" s="918" cm="1">
        <f t="array" ref="AA21">IF(SUM($Z$8:$Z21)&gt;$AA$7,IF(SUM($Z$8:$Z21)-$Z21&gt;=c_maxEquity,0,c_maxEquity-SUM($Z$8:$Z21)+$Z21),$Z21)</f>
        <v>2160861.9216157477</v>
      </c>
      <c r="AB21" s="917">
        <f t="shared" si="4"/>
        <v>0</v>
      </c>
      <c r="AC21" s="917" cm="1">
        <f t="array" aca="1" ref="AC21" ca="1">IF(SUM($AC$8:AC20) + (AB21 * $AC$6) &gt; c_maxEquity, MAX(0,c_maxEquity - SUM($AC$8:AC20)), AB21 * $AC$6)</f>
        <v>0</v>
      </c>
      <c r="AD21" s="917">
        <f t="shared" ca="1" si="8"/>
        <v>0</v>
      </c>
      <c r="AE21" s="917">
        <f t="shared" ca="1" si="9"/>
        <v>0</v>
      </c>
      <c r="AF21" s="917">
        <f t="shared" ca="1" si="10"/>
        <v>0</v>
      </c>
      <c r="AG21" s="917">
        <f t="shared" ca="1" si="15"/>
        <v>0</v>
      </c>
      <c r="AK21" s="917">
        <f t="shared" si="11"/>
        <v>0</v>
      </c>
      <c r="AL21" s="917">
        <v>2160861.9216157477</v>
      </c>
      <c r="AM21" s="917">
        <f ca="1"/>
        <v>0</v>
      </c>
      <c r="AN21" s="917">
        <f ca="1"/>
        <v>0</v>
      </c>
      <c r="AO21" s="917">
        <f t="shared" ca="1" si="12"/>
        <v>2160861.9216157477</v>
      </c>
      <c r="AP21" s="917">
        <f t="shared" ca="1" si="13"/>
        <v>2160861.9216157477</v>
      </c>
    </row>
    <row r="22" spans="1:42" ht="16">
      <c r="A22" s="41" t="e">
        <f t="shared" si="16"/>
        <v>#REF!</v>
      </c>
      <c r="B22" s="70" t="e">
        <f>#REF!/#REF!</f>
        <v>#REF!</v>
      </c>
      <c r="C22" s="39">
        <v>62.5</v>
      </c>
      <c r="D22" s="40" t="e">
        <f>#REF!/43560</f>
        <v>#REF!</v>
      </c>
      <c r="E22" s="5"/>
      <c r="F22" s="890">
        <v>14</v>
      </c>
      <c r="G22" s="935">
        <v>46112</v>
      </c>
      <c r="H22" s="915">
        <v>5</v>
      </c>
      <c r="I22" s="915" t="str">
        <f t="shared" si="5"/>
        <v>Q1-26</v>
      </c>
      <c r="J22" s="915">
        <f t="shared" si="14"/>
        <v>2</v>
      </c>
      <c r="K22" s="916">
        <v>2026</v>
      </c>
      <c r="L22" s="890"/>
      <c r="M22" s="890"/>
      <c r="N22" s="890">
        <v>0</v>
      </c>
      <c r="O22" s="917">
        <f t="shared" si="1"/>
        <v>0</v>
      </c>
      <c r="P22" s="917"/>
      <c r="Q22" s="890">
        <v>0</v>
      </c>
      <c r="R22" s="890">
        <v>0</v>
      </c>
      <c r="S22" s="890">
        <v>0</v>
      </c>
      <c r="T22" s="890">
        <v>0</v>
      </c>
      <c r="U22" s="890">
        <v>0</v>
      </c>
      <c r="V22" s="917">
        <f t="shared" si="2"/>
        <v>0</v>
      </c>
      <c r="W22" s="917">
        <f t="shared" si="3"/>
        <v>0</v>
      </c>
      <c r="X22" s="918">
        <f>-V22*Reports!$I$33</f>
        <v>0</v>
      </c>
      <c r="Y22" s="917">
        <f t="shared" si="6"/>
        <v>0</v>
      </c>
      <c r="Z22" s="918">
        <f t="shared" si="7"/>
        <v>0</v>
      </c>
      <c r="AA22" s="918" cm="1">
        <f t="array" ref="AA22">IF(SUM($Z$8:$Z22)&gt;$AA$7,IF(SUM($Z$8:$Z22)-$Z22&gt;=c_maxEquity,0,c_maxEquity-SUM($Z$8:$Z22)+$Z22),$Z22)</f>
        <v>0</v>
      </c>
      <c r="AB22" s="917">
        <f t="shared" si="4"/>
        <v>0</v>
      </c>
      <c r="AC22" s="917" cm="1">
        <f t="array" aca="1" ref="AC22" ca="1">IF(SUM($AC$8:AC21) + (AB22 * $AC$6) &gt; c_maxEquity, MAX(0,c_maxEquity - SUM($AC$8:AC21)), AB22 * $AC$6)</f>
        <v>0</v>
      </c>
      <c r="AD22" s="917">
        <f t="shared" ca="1" si="8"/>
        <v>0</v>
      </c>
      <c r="AE22" s="917">
        <f t="shared" ca="1" si="9"/>
        <v>0</v>
      </c>
      <c r="AF22" s="917">
        <f t="shared" ca="1" si="10"/>
        <v>0</v>
      </c>
      <c r="AG22" s="917">
        <f t="shared" ca="1" si="15"/>
        <v>0</v>
      </c>
      <c r="AK22" s="917">
        <f t="shared" si="11"/>
        <v>0</v>
      </c>
      <c r="AL22" s="917">
        <v>0</v>
      </c>
      <c r="AM22" s="917">
        <f ca="1"/>
        <v>0</v>
      </c>
      <c r="AN22" s="917">
        <f ca="1"/>
        <v>0</v>
      </c>
      <c r="AO22" s="917">
        <f t="shared" ca="1" si="12"/>
        <v>0</v>
      </c>
      <c r="AP22" s="917">
        <f t="shared" ca="1" si="13"/>
        <v>0</v>
      </c>
    </row>
    <row r="23" spans="1:42" ht="16">
      <c r="A23" s="41" t="e">
        <f t="shared" si="16"/>
        <v>#REF!</v>
      </c>
      <c r="B23" s="70" t="e">
        <f>#REF!/#REF!</f>
        <v>#REF!</v>
      </c>
      <c r="C23" s="39">
        <v>62.5</v>
      </c>
      <c r="D23" s="40" t="e">
        <f>#REF!/43560</f>
        <v>#REF!</v>
      </c>
      <c r="E23" s="5"/>
      <c r="F23" s="890">
        <v>15</v>
      </c>
      <c r="G23" s="935">
        <v>46142</v>
      </c>
      <c r="H23" s="915">
        <v>5</v>
      </c>
      <c r="I23" s="915" t="str">
        <f t="shared" si="5"/>
        <v>Q2-26</v>
      </c>
      <c r="J23" s="915">
        <f t="shared" si="14"/>
        <v>2</v>
      </c>
      <c r="K23" s="916">
        <v>2026</v>
      </c>
      <c r="L23" s="890"/>
      <c r="M23" s="890"/>
      <c r="N23" s="890">
        <v>0</v>
      </c>
      <c r="O23" s="917">
        <f t="shared" si="1"/>
        <v>0</v>
      </c>
      <c r="P23" s="917"/>
      <c r="Q23" s="890">
        <v>0</v>
      </c>
      <c r="R23" s="890">
        <v>0</v>
      </c>
      <c r="S23" s="890">
        <v>0</v>
      </c>
      <c r="T23" s="890">
        <v>0</v>
      </c>
      <c r="U23" s="890">
        <v>0</v>
      </c>
      <c r="V23" s="917">
        <f t="shared" si="2"/>
        <v>0</v>
      </c>
      <c r="W23" s="917">
        <f t="shared" si="3"/>
        <v>0</v>
      </c>
      <c r="X23" s="918">
        <f>-V23*Reports!$I$33</f>
        <v>0</v>
      </c>
      <c r="Y23" s="917">
        <f t="shared" si="6"/>
        <v>0</v>
      </c>
      <c r="Z23" s="918">
        <f t="shared" si="7"/>
        <v>0</v>
      </c>
      <c r="AA23" s="918" cm="1">
        <f t="array" ref="AA23">IF(SUM($Z$8:$Z23)&gt;$AA$7,IF(SUM($Z$8:$Z23)-$Z23&gt;=c_maxEquity,0,c_maxEquity-SUM($Z$8:$Z23)+$Z23),$Z23)</f>
        <v>0</v>
      </c>
      <c r="AB23" s="917">
        <f t="shared" si="4"/>
        <v>0</v>
      </c>
      <c r="AC23" s="917" cm="1">
        <f t="array" aca="1" ref="AC23" ca="1">IF(SUM($AC$8:AC22) + (AB23 * $AC$6) &gt; c_maxEquity, MAX(0,c_maxEquity - SUM($AC$8:AC22)), AB23 * $AC$6)</f>
        <v>0</v>
      </c>
      <c r="AD23" s="917">
        <f t="shared" ca="1" si="8"/>
        <v>0</v>
      </c>
      <c r="AE23" s="917">
        <f t="shared" ca="1" si="9"/>
        <v>0</v>
      </c>
      <c r="AF23" s="917">
        <f t="shared" ca="1" si="10"/>
        <v>0</v>
      </c>
      <c r="AG23" s="917">
        <f t="shared" ca="1" si="15"/>
        <v>0</v>
      </c>
      <c r="AK23" s="917">
        <f t="shared" si="11"/>
        <v>0</v>
      </c>
      <c r="AL23" s="917">
        <v>0</v>
      </c>
      <c r="AM23" s="917">
        <f ca="1"/>
        <v>0</v>
      </c>
      <c r="AN23" s="917">
        <f ca="1"/>
        <v>0</v>
      </c>
      <c r="AO23" s="917">
        <f t="shared" ca="1" si="12"/>
        <v>0</v>
      </c>
      <c r="AP23" s="917">
        <f t="shared" ca="1" si="13"/>
        <v>0</v>
      </c>
    </row>
    <row r="24" spans="1:42" ht="16">
      <c r="A24" s="41" t="e">
        <f t="shared" si="16"/>
        <v>#REF!</v>
      </c>
      <c r="B24" s="70" t="e">
        <f>#REF!/#REF!</f>
        <v>#REF!</v>
      </c>
      <c r="C24" s="39">
        <v>82.5</v>
      </c>
      <c r="D24" s="40" t="e">
        <f>#REF!/43560</f>
        <v>#REF!</v>
      </c>
      <c r="E24" s="5"/>
      <c r="F24" s="890">
        <v>16</v>
      </c>
      <c r="G24" s="935">
        <v>46173</v>
      </c>
      <c r="H24" s="915">
        <v>6</v>
      </c>
      <c r="I24" s="915" t="str">
        <f t="shared" si="5"/>
        <v>Q2-26</v>
      </c>
      <c r="J24" s="915">
        <f t="shared" si="14"/>
        <v>2</v>
      </c>
      <c r="K24" s="916">
        <v>2026</v>
      </c>
      <c r="L24" s="890"/>
      <c r="M24" s="890"/>
      <c r="N24" s="890">
        <v>0</v>
      </c>
      <c r="O24" s="917">
        <f t="shared" si="1"/>
        <v>0</v>
      </c>
      <c r="P24" s="917"/>
      <c r="Q24" s="890">
        <v>1182947.7514002374</v>
      </c>
      <c r="R24" s="890">
        <v>0</v>
      </c>
      <c r="S24" s="890">
        <v>0</v>
      </c>
      <c r="T24" s="890">
        <v>0</v>
      </c>
      <c r="U24" s="890">
        <v>0</v>
      </c>
      <c r="V24" s="917">
        <f t="shared" si="2"/>
        <v>1182947.7514002374</v>
      </c>
      <c r="W24" s="917">
        <f t="shared" si="3"/>
        <v>1182947.7514002374</v>
      </c>
      <c r="X24" s="918">
        <f>-V24*Reports!$I$33</f>
        <v>-11829.477514002374</v>
      </c>
      <c r="Y24" s="917">
        <f t="shared" si="6"/>
        <v>1171118.273886235</v>
      </c>
      <c r="Z24" s="918">
        <f t="shared" si="7"/>
        <v>1171118.273886235</v>
      </c>
      <c r="AA24" s="918" cm="1">
        <f t="array" ref="AA24">IF(SUM($Z$8:$Z24)&gt;$AA$7,IF(SUM($Z$8:$Z24)-$Z24&gt;=c_maxEquity,0,c_maxEquity-SUM($Z$8:$Z24)+$Z24),$Z24)</f>
        <v>1171118.273886235</v>
      </c>
      <c r="AB24" s="917">
        <f t="shared" si="4"/>
        <v>0</v>
      </c>
      <c r="AC24" s="917" cm="1">
        <f t="array" aca="1" ref="AC24" ca="1">IF(SUM($AC$8:AC23) + (AB24 * $AC$6) &gt; c_maxEquity, MAX(0,c_maxEquity - SUM($AC$8:AC23)), AB24 * $AC$6)</f>
        <v>0</v>
      </c>
      <c r="AD24" s="917">
        <f t="shared" ca="1" si="8"/>
        <v>0</v>
      </c>
      <c r="AE24" s="917">
        <f t="shared" ca="1" si="9"/>
        <v>0</v>
      </c>
      <c r="AF24" s="917">
        <f t="shared" ca="1" si="10"/>
        <v>0</v>
      </c>
      <c r="AG24" s="917">
        <f t="shared" ca="1" si="15"/>
        <v>0</v>
      </c>
      <c r="AK24" s="917">
        <f t="shared" si="11"/>
        <v>0</v>
      </c>
      <c r="AL24" s="917">
        <v>1171118.273886235</v>
      </c>
      <c r="AM24" s="917">
        <f ca="1"/>
        <v>0</v>
      </c>
      <c r="AN24" s="917">
        <f ca="1"/>
        <v>0</v>
      </c>
      <c r="AO24" s="917">
        <f t="shared" ca="1" si="12"/>
        <v>1171118.273886235</v>
      </c>
      <c r="AP24" s="917">
        <f t="shared" ca="1" si="13"/>
        <v>1171118.273886235</v>
      </c>
    </row>
    <row r="25" spans="1:42" ht="16">
      <c r="A25" s="41" t="e">
        <f t="shared" si="16"/>
        <v>#REF!</v>
      </c>
      <c r="B25" s="70" t="e">
        <f>#REF!/#REF!</f>
        <v>#REF!</v>
      </c>
      <c r="C25" s="39">
        <v>82.5</v>
      </c>
      <c r="D25" s="40" t="e">
        <f>#REF!/43560</f>
        <v>#REF!</v>
      </c>
      <c r="E25" s="5"/>
      <c r="F25" s="890">
        <v>17</v>
      </c>
      <c r="G25" s="935">
        <v>46203</v>
      </c>
      <c r="H25" s="915">
        <v>6</v>
      </c>
      <c r="I25" s="915" t="str">
        <f t="shared" si="5"/>
        <v>Q2-26</v>
      </c>
      <c r="J25" s="915">
        <f t="shared" si="14"/>
        <v>2</v>
      </c>
      <c r="K25" s="916">
        <v>2026</v>
      </c>
      <c r="L25" s="890"/>
      <c r="M25" s="890"/>
      <c r="N25" s="890">
        <v>0</v>
      </c>
      <c r="O25" s="917">
        <f t="shared" si="1"/>
        <v>0</v>
      </c>
      <c r="P25" s="917"/>
      <c r="Q25" s="890">
        <v>0</v>
      </c>
      <c r="R25" s="890">
        <v>0</v>
      </c>
      <c r="S25" s="890">
        <v>0</v>
      </c>
      <c r="T25" s="890">
        <v>0</v>
      </c>
      <c r="U25" s="890">
        <v>0</v>
      </c>
      <c r="V25" s="917">
        <f t="shared" si="2"/>
        <v>0</v>
      </c>
      <c r="W25" s="917">
        <f t="shared" si="3"/>
        <v>0</v>
      </c>
      <c r="X25" s="918">
        <f>-V25*Reports!$I$33</f>
        <v>0</v>
      </c>
      <c r="Y25" s="917">
        <f t="shared" si="6"/>
        <v>0</v>
      </c>
      <c r="Z25" s="918">
        <f t="shared" si="7"/>
        <v>0</v>
      </c>
      <c r="AA25" s="918" cm="1">
        <f t="array" ref="AA25">IF(SUM($Z$8:$Z25)&gt;$AA$7,IF(SUM($Z$8:$Z25)-$Z25&gt;=c_maxEquity,0,c_maxEquity-SUM($Z$8:$Z25)+$Z25),$Z25)</f>
        <v>0</v>
      </c>
      <c r="AB25" s="917">
        <f t="shared" si="4"/>
        <v>0</v>
      </c>
      <c r="AC25" s="917" cm="1">
        <f t="array" aca="1" ref="AC25" ca="1">IF(SUM($AC$8:AC24) + (AB25 * $AC$6) &gt; c_maxEquity, MAX(0,c_maxEquity - SUM($AC$8:AC24)), AB25 * $AC$6)</f>
        <v>0</v>
      </c>
      <c r="AD25" s="917">
        <f t="shared" ca="1" si="8"/>
        <v>0</v>
      </c>
      <c r="AE25" s="917">
        <f t="shared" ca="1" si="9"/>
        <v>0</v>
      </c>
      <c r="AF25" s="917">
        <f t="shared" ca="1" si="10"/>
        <v>0</v>
      </c>
      <c r="AG25" s="917">
        <f t="shared" ca="1" si="15"/>
        <v>0</v>
      </c>
      <c r="AK25" s="917">
        <f t="shared" si="11"/>
        <v>0</v>
      </c>
      <c r="AL25" s="917">
        <v>0</v>
      </c>
      <c r="AM25" s="917">
        <f ca="1"/>
        <v>0</v>
      </c>
      <c r="AN25" s="917">
        <f ca="1"/>
        <v>0</v>
      </c>
      <c r="AO25" s="917">
        <f t="shared" ca="1" si="12"/>
        <v>0</v>
      </c>
      <c r="AP25" s="917">
        <f t="shared" ca="1" si="13"/>
        <v>0</v>
      </c>
    </row>
    <row r="26" spans="1:42" ht="16">
      <c r="A26" s="41" t="e">
        <f t="shared" si="16"/>
        <v>#REF!</v>
      </c>
      <c r="B26" s="70" t="e">
        <f>#REF!/#REF!</f>
        <v>#REF!</v>
      </c>
      <c r="C26" s="39">
        <v>82.5</v>
      </c>
      <c r="D26" s="40" t="e">
        <f>#REF!/43560</f>
        <v>#REF!</v>
      </c>
      <c r="E26" s="5"/>
      <c r="F26" s="890">
        <v>18</v>
      </c>
      <c r="G26" s="935">
        <v>46234</v>
      </c>
      <c r="H26" s="915">
        <v>6</v>
      </c>
      <c r="I26" s="915" t="str">
        <f t="shared" si="5"/>
        <v>Q3-26</v>
      </c>
      <c r="J26" s="915">
        <f t="shared" si="14"/>
        <v>2</v>
      </c>
      <c r="K26" s="916">
        <v>2026</v>
      </c>
      <c r="L26" s="890"/>
      <c r="M26" s="890"/>
      <c r="N26" s="890">
        <v>0</v>
      </c>
      <c r="O26" s="917">
        <f t="shared" si="1"/>
        <v>0</v>
      </c>
      <c r="P26" s="917"/>
      <c r="Q26" s="890">
        <v>0</v>
      </c>
      <c r="R26" s="890">
        <v>0</v>
      </c>
      <c r="S26" s="890">
        <v>0</v>
      </c>
      <c r="T26" s="890">
        <v>0</v>
      </c>
      <c r="U26" s="890">
        <v>0</v>
      </c>
      <c r="V26" s="917">
        <f t="shared" si="2"/>
        <v>0</v>
      </c>
      <c r="W26" s="917">
        <f t="shared" si="3"/>
        <v>0</v>
      </c>
      <c r="X26" s="918">
        <f>-V26*Reports!$I$33</f>
        <v>0</v>
      </c>
      <c r="Y26" s="917">
        <f t="shared" si="6"/>
        <v>0</v>
      </c>
      <c r="Z26" s="918">
        <f t="shared" si="7"/>
        <v>0</v>
      </c>
      <c r="AA26" s="918" cm="1">
        <f t="array" ref="AA26">IF(SUM($Z$8:$Z26)&gt;$AA$7,IF(SUM($Z$8:$Z26)-$Z26&gt;=c_maxEquity,0,c_maxEquity-SUM($Z$8:$Z26)+$Z26),$Z26)</f>
        <v>0</v>
      </c>
      <c r="AB26" s="917">
        <f t="shared" si="4"/>
        <v>0</v>
      </c>
      <c r="AC26" s="917" cm="1">
        <f t="array" aca="1" ref="AC26" ca="1">IF(SUM($AC$8:AC25) + (AB26 * $AC$6) &gt; c_maxEquity, MAX(0,c_maxEquity - SUM($AC$8:AC25)), AB26 * $AC$6)</f>
        <v>0</v>
      </c>
      <c r="AD26" s="917">
        <f t="shared" ca="1" si="8"/>
        <v>0</v>
      </c>
      <c r="AE26" s="917">
        <f t="shared" ca="1" si="9"/>
        <v>0</v>
      </c>
      <c r="AF26" s="917">
        <f t="shared" ca="1" si="10"/>
        <v>0</v>
      </c>
      <c r="AG26" s="917">
        <f t="shared" ca="1" si="15"/>
        <v>0</v>
      </c>
      <c r="AK26" s="917">
        <f t="shared" si="11"/>
        <v>0</v>
      </c>
      <c r="AL26" s="917">
        <v>0</v>
      </c>
      <c r="AM26" s="917">
        <f ca="1"/>
        <v>0</v>
      </c>
      <c r="AN26" s="917">
        <f ca="1"/>
        <v>0</v>
      </c>
      <c r="AO26" s="917">
        <f t="shared" ca="1" si="12"/>
        <v>0</v>
      </c>
      <c r="AP26" s="917">
        <f t="shared" ca="1" si="13"/>
        <v>0</v>
      </c>
    </row>
    <row r="27" spans="1:42" ht="16">
      <c r="A27" s="41" t="e">
        <f t="shared" si="16"/>
        <v>#REF!</v>
      </c>
      <c r="B27" s="70" t="e">
        <f>#REF!/#REF!</f>
        <v>#REF!</v>
      </c>
      <c r="C27" s="39">
        <v>82.5</v>
      </c>
      <c r="D27" s="40" t="e">
        <f>#REF!/43560</f>
        <v>#REF!</v>
      </c>
      <c r="E27" s="5"/>
      <c r="F27" s="890">
        <v>19</v>
      </c>
      <c r="G27" s="935">
        <v>46265</v>
      </c>
      <c r="H27" s="915">
        <v>7</v>
      </c>
      <c r="I27" s="915" t="str">
        <f t="shared" si="5"/>
        <v>Q3-26</v>
      </c>
      <c r="J27" s="915">
        <f t="shared" si="14"/>
        <v>2</v>
      </c>
      <c r="K27" s="916">
        <v>2026</v>
      </c>
      <c r="L27" s="890"/>
      <c r="M27" s="890"/>
      <c r="N27" s="890">
        <v>0</v>
      </c>
      <c r="O27" s="917">
        <f t="shared" si="1"/>
        <v>0</v>
      </c>
      <c r="P27" s="917"/>
      <c r="Q27" s="890">
        <v>757086.56089615193</v>
      </c>
      <c r="R27" s="890">
        <v>0</v>
      </c>
      <c r="S27" s="890">
        <v>0</v>
      </c>
      <c r="T27" s="890">
        <v>0</v>
      </c>
      <c r="U27" s="890">
        <v>0</v>
      </c>
      <c r="V27" s="917">
        <f t="shared" si="2"/>
        <v>757086.56089615193</v>
      </c>
      <c r="W27" s="917">
        <f t="shared" si="3"/>
        <v>757086.56089615193</v>
      </c>
      <c r="X27" s="918">
        <f>-V27*Reports!$I$33</f>
        <v>-7570.8656089615197</v>
      </c>
      <c r="Y27" s="917">
        <f t="shared" si="6"/>
        <v>749515.69528719038</v>
      </c>
      <c r="Z27" s="918">
        <f t="shared" si="7"/>
        <v>749515.69528719038</v>
      </c>
      <c r="AA27" s="918" cm="1">
        <f t="array" ref="AA27">IF(SUM($Z$8:$Z27)&gt;$AA$7,IF(SUM($Z$8:$Z27)-$Z27&gt;=c_maxEquity,0,c_maxEquity-SUM($Z$8:$Z27)+$Z27),$Z27)</f>
        <v>749515.69528719038</v>
      </c>
      <c r="AB27" s="917">
        <f t="shared" si="4"/>
        <v>0</v>
      </c>
      <c r="AC27" s="917" cm="1">
        <f t="array" aca="1" ref="AC27" ca="1">IF(SUM($AC$8:AC26) + (AB27 * $AC$6) &gt; c_maxEquity, MAX(0,c_maxEquity - SUM($AC$8:AC26)), AB27 * $AC$6)</f>
        <v>0</v>
      </c>
      <c r="AD27" s="917">
        <f t="shared" ca="1" si="8"/>
        <v>0</v>
      </c>
      <c r="AE27" s="917">
        <f t="shared" ca="1" si="9"/>
        <v>0</v>
      </c>
      <c r="AF27" s="917">
        <f t="shared" ca="1" si="10"/>
        <v>0</v>
      </c>
      <c r="AG27" s="917">
        <f t="shared" ca="1" si="15"/>
        <v>0</v>
      </c>
      <c r="AK27" s="917">
        <f t="shared" si="11"/>
        <v>0</v>
      </c>
      <c r="AL27" s="917">
        <v>749515.69528719038</v>
      </c>
      <c r="AM27" s="917">
        <f ca="1"/>
        <v>0</v>
      </c>
      <c r="AN27" s="917">
        <f ca="1"/>
        <v>0</v>
      </c>
      <c r="AO27" s="917">
        <f t="shared" ca="1" si="12"/>
        <v>749515.69528719038</v>
      </c>
      <c r="AP27" s="917">
        <f t="shared" ca="1" si="13"/>
        <v>749515.69528719038</v>
      </c>
    </row>
    <row r="28" spans="1:42" ht="16">
      <c r="A28" s="41" t="e">
        <f t="shared" si="16"/>
        <v>#REF!</v>
      </c>
      <c r="B28" s="70" t="e">
        <f>#REF!/#REF!</f>
        <v>#REF!</v>
      </c>
      <c r="C28" s="39">
        <v>82.5</v>
      </c>
      <c r="D28" s="40" t="e">
        <f>#REF!/43560</f>
        <v>#REF!</v>
      </c>
      <c r="E28" s="5"/>
      <c r="F28" s="890">
        <v>20</v>
      </c>
      <c r="G28" s="935">
        <v>46295</v>
      </c>
      <c r="H28" s="915">
        <v>7</v>
      </c>
      <c r="I28" s="915" t="str">
        <f t="shared" si="5"/>
        <v>Q3-26</v>
      </c>
      <c r="J28" s="915">
        <f t="shared" si="14"/>
        <v>2</v>
      </c>
      <c r="K28" s="916">
        <v>2026</v>
      </c>
      <c r="L28" s="890"/>
      <c r="M28" s="890"/>
      <c r="N28" s="890">
        <v>0</v>
      </c>
      <c r="O28" s="917">
        <f t="shared" si="1"/>
        <v>0</v>
      </c>
      <c r="P28" s="917"/>
      <c r="Q28" s="890">
        <v>0</v>
      </c>
      <c r="R28" s="890">
        <v>0</v>
      </c>
      <c r="S28" s="890">
        <v>0</v>
      </c>
      <c r="T28" s="890">
        <v>0</v>
      </c>
      <c r="U28" s="890">
        <v>0</v>
      </c>
      <c r="V28" s="917">
        <f t="shared" si="2"/>
        <v>0</v>
      </c>
      <c r="W28" s="917">
        <f t="shared" si="3"/>
        <v>0</v>
      </c>
      <c r="X28" s="918">
        <f>-V28*Reports!$I$33</f>
        <v>0</v>
      </c>
      <c r="Y28" s="917">
        <f t="shared" si="6"/>
        <v>0</v>
      </c>
      <c r="Z28" s="918">
        <f t="shared" si="7"/>
        <v>0</v>
      </c>
      <c r="AA28" s="918" cm="1">
        <f t="array" ref="AA28">IF(SUM($Z$8:$Z28)&gt;$AA$7,IF(SUM($Z$8:$Z28)-$Z28&gt;=c_maxEquity,0,c_maxEquity-SUM($Z$8:$Z28)+$Z28),$Z28)</f>
        <v>0</v>
      </c>
      <c r="AB28" s="917">
        <f t="shared" si="4"/>
        <v>0</v>
      </c>
      <c r="AC28" s="917" cm="1">
        <f t="array" aca="1" ref="AC28" ca="1">IF(SUM($AC$8:AC27) + (AB28 * $AC$6) &gt; c_maxEquity, MAX(0,c_maxEquity - SUM($AC$8:AC27)), AB28 * $AC$6)</f>
        <v>0</v>
      </c>
      <c r="AD28" s="917">
        <f t="shared" ca="1" si="8"/>
        <v>0</v>
      </c>
      <c r="AE28" s="917">
        <f t="shared" ca="1" si="9"/>
        <v>0</v>
      </c>
      <c r="AF28" s="917">
        <f t="shared" ca="1" si="10"/>
        <v>0</v>
      </c>
      <c r="AG28" s="917">
        <f t="shared" ca="1" si="15"/>
        <v>0</v>
      </c>
      <c r="AK28" s="917">
        <f t="shared" si="11"/>
        <v>0</v>
      </c>
      <c r="AL28" s="917">
        <v>0</v>
      </c>
      <c r="AM28" s="917">
        <f ca="1"/>
        <v>0</v>
      </c>
      <c r="AN28" s="917">
        <f ca="1"/>
        <v>0</v>
      </c>
      <c r="AO28" s="917">
        <f t="shared" ca="1" si="12"/>
        <v>0</v>
      </c>
      <c r="AP28" s="917">
        <f t="shared" ca="1" si="13"/>
        <v>0</v>
      </c>
    </row>
    <row r="29" spans="1:42" ht="16">
      <c r="A29" s="41" t="e">
        <f t="shared" si="16"/>
        <v>#REF!</v>
      </c>
      <c r="B29" s="70" t="e">
        <f>#REF!/#REF!</f>
        <v>#REF!</v>
      </c>
      <c r="C29" s="39">
        <v>82.5</v>
      </c>
      <c r="D29" s="40" t="e">
        <f>#REF!/43560</f>
        <v>#REF!</v>
      </c>
      <c r="E29" s="5"/>
      <c r="F29" s="890">
        <v>21</v>
      </c>
      <c r="G29" s="935">
        <v>46326</v>
      </c>
      <c r="H29" s="915">
        <v>7</v>
      </c>
      <c r="I29" s="915" t="str">
        <f t="shared" si="5"/>
        <v>Q4-26</v>
      </c>
      <c r="J29" s="915">
        <f t="shared" si="14"/>
        <v>2</v>
      </c>
      <c r="K29" s="916">
        <v>2026</v>
      </c>
      <c r="L29" s="890"/>
      <c r="M29" s="890"/>
      <c r="N29" s="890">
        <v>0</v>
      </c>
      <c r="O29" s="917">
        <f t="shared" si="1"/>
        <v>0</v>
      </c>
      <c r="P29" s="917"/>
      <c r="Q29" s="890">
        <v>1182947.7514002374</v>
      </c>
      <c r="R29" s="890">
        <v>0</v>
      </c>
      <c r="S29" s="890">
        <v>0</v>
      </c>
      <c r="T29" s="890">
        <v>0</v>
      </c>
      <c r="U29" s="890">
        <v>0</v>
      </c>
      <c r="V29" s="917">
        <f t="shared" si="2"/>
        <v>1182947.7514002374</v>
      </c>
      <c r="W29" s="917">
        <f t="shared" si="3"/>
        <v>1182947.7514002374</v>
      </c>
      <c r="X29" s="918">
        <f>-V29*Reports!$I$33</f>
        <v>-11829.477514002374</v>
      </c>
      <c r="Y29" s="917">
        <f t="shared" si="6"/>
        <v>1171118.273886235</v>
      </c>
      <c r="Z29" s="918">
        <f t="shared" si="7"/>
        <v>1171118.273886235</v>
      </c>
      <c r="AA29" s="918" cm="1">
        <f t="array" ref="AA29">IF(SUM($Z$8:$Z29)&gt;$AA$7,IF(SUM($Z$8:$Z29)-$Z29&gt;=c_maxEquity,0,c_maxEquity-SUM($Z$8:$Z29)+$Z29),$Z29)</f>
        <v>1171118.273886235</v>
      </c>
      <c r="AB29" s="917">
        <f t="shared" si="4"/>
        <v>0</v>
      </c>
      <c r="AC29" s="917" cm="1">
        <f t="array" aca="1" ref="AC29" ca="1">IF(SUM($AC$8:AC28) + (AB29 * $AC$6) &gt; c_maxEquity, MAX(0,c_maxEquity - SUM($AC$8:AC28)), AB29 * $AC$6)</f>
        <v>0</v>
      </c>
      <c r="AD29" s="917">
        <f t="shared" ca="1" si="8"/>
        <v>0</v>
      </c>
      <c r="AE29" s="917">
        <f t="shared" ca="1" si="9"/>
        <v>0</v>
      </c>
      <c r="AF29" s="917">
        <f t="shared" ca="1" si="10"/>
        <v>0</v>
      </c>
      <c r="AG29" s="917">
        <f t="shared" ca="1" si="15"/>
        <v>0</v>
      </c>
      <c r="AK29" s="917">
        <f t="shared" si="11"/>
        <v>0</v>
      </c>
      <c r="AL29" s="917">
        <v>1171118.273886235</v>
      </c>
      <c r="AM29" s="917">
        <f ca="1"/>
        <v>0</v>
      </c>
      <c r="AN29" s="917">
        <f ca="1"/>
        <v>0</v>
      </c>
      <c r="AO29" s="917">
        <f t="shared" ca="1" si="12"/>
        <v>1171118.273886235</v>
      </c>
      <c r="AP29" s="917">
        <f t="shared" ca="1" si="13"/>
        <v>1171118.273886235</v>
      </c>
    </row>
    <row r="30" spans="1:42" ht="16">
      <c r="A30" s="41" t="e">
        <f t="shared" si="16"/>
        <v>#REF!</v>
      </c>
      <c r="B30" s="70" t="e">
        <f>#REF!/#REF!</f>
        <v>#REF!</v>
      </c>
      <c r="C30" s="39">
        <v>82.5</v>
      </c>
      <c r="D30" s="40" t="e">
        <f>#REF!/43560</f>
        <v>#REF!</v>
      </c>
      <c r="E30" s="5"/>
      <c r="F30" s="890">
        <v>22</v>
      </c>
      <c r="G30" s="935">
        <v>46356</v>
      </c>
      <c r="H30" s="915">
        <v>8</v>
      </c>
      <c r="I30" s="915" t="str">
        <f t="shared" si="5"/>
        <v>Q4-26</v>
      </c>
      <c r="J30" s="915">
        <f t="shared" si="14"/>
        <v>2</v>
      </c>
      <c r="K30" s="916">
        <v>2026</v>
      </c>
      <c r="L30" s="890"/>
      <c r="M30" s="890"/>
      <c r="N30" s="890">
        <v>0</v>
      </c>
      <c r="O30" s="917">
        <f t="shared" si="1"/>
        <v>0</v>
      </c>
      <c r="P30" s="917"/>
      <c r="Q30" s="890">
        <v>0</v>
      </c>
      <c r="R30" s="890">
        <v>0</v>
      </c>
      <c r="S30" s="890">
        <v>0</v>
      </c>
      <c r="T30" s="890">
        <v>0</v>
      </c>
      <c r="U30" s="890">
        <v>0</v>
      </c>
      <c r="V30" s="917">
        <f t="shared" si="2"/>
        <v>0</v>
      </c>
      <c r="W30" s="917">
        <f t="shared" si="3"/>
        <v>0</v>
      </c>
      <c r="X30" s="918">
        <f>-V30*Reports!$I$33</f>
        <v>0</v>
      </c>
      <c r="Y30" s="917">
        <f t="shared" si="6"/>
        <v>0</v>
      </c>
      <c r="Z30" s="918">
        <f t="shared" si="7"/>
        <v>0</v>
      </c>
      <c r="AA30" s="918" cm="1">
        <f t="array" ref="AA30">IF(SUM($Z$8:$Z30)&gt;$AA$7,IF(SUM($Z$8:$Z30)-$Z30&gt;=c_maxEquity,0,c_maxEquity-SUM($Z$8:$Z30)+$Z30),$Z30)</f>
        <v>0</v>
      </c>
      <c r="AB30" s="917">
        <f t="shared" si="4"/>
        <v>0</v>
      </c>
      <c r="AC30" s="917" cm="1">
        <f t="array" aca="1" ref="AC30" ca="1">IF(SUM($AC$8:AC29) + (AB30 * $AC$6) &gt; c_maxEquity, MAX(0,c_maxEquity - SUM($AC$8:AC29)), AB30 * $AC$6)</f>
        <v>0</v>
      </c>
      <c r="AD30" s="917">
        <f t="shared" ca="1" si="8"/>
        <v>0</v>
      </c>
      <c r="AE30" s="917">
        <f t="shared" ca="1" si="9"/>
        <v>0</v>
      </c>
      <c r="AF30" s="917">
        <f t="shared" ca="1" si="10"/>
        <v>0</v>
      </c>
      <c r="AG30" s="917">
        <f t="shared" ca="1" si="15"/>
        <v>0</v>
      </c>
      <c r="AK30" s="917">
        <f t="shared" si="11"/>
        <v>0</v>
      </c>
      <c r="AL30" s="917">
        <v>0</v>
      </c>
      <c r="AM30" s="917">
        <f ca="1"/>
        <v>0</v>
      </c>
      <c r="AN30" s="917">
        <f ca="1"/>
        <v>0</v>
      </c>
      <c r="AO30" s="917">
        <f t="shared" ca="1" si="12"/>
        <v>0</v>
      </c>
      <c r="AP30" s="917">
        <f t="shared" ca="1" si="13"/>
        <v>0</v>
      </c>
    </row>
    <row r="31" spans="1:42" ht="16">
      <c r="A31" s="41" t="e">
        <f t="shared" si="16"/>
        <v>#REF!</v>
      </c>
      <c r="B31" s="70" t="e">
        <f>#REF!/#REF!</f>
        <v>#REF!</v>
      </c>
      <c r="C31" s="39">
        <v>62.5</v>
      </c>
      <c r="D31" s="40" t="e">
        <f>#REF!/43560</f>
        <v>#REF!</v>
      </c>
      <c r="E31" s="5"/>
      <c r="F31" s="890">
        <v>23</v>
      </c>
      <c r="G31" s="935">
        <v>46387</v>
      </c>
      <c r="H31" s="915">
        <v>8</v>
      </c>
      <c r="I31" s="915" t="str">
        <f t="shared" si="5"/>
        <v>Q4-26</v>
      </c>
      <c r="J31" s="915">
        <f t="shared" si="14"/>
        <v>2</v>
      </c>
      <c r="K31" s="916">
        <v>2026</v>
      </c>
      <c r="L31" s="890"/>
      <c r="M31" s="890"/>
      <c r="N31" s="890">
        <v>0</v>
      </c>
      <c r="O31" s="917">
        <f t="shared" si="1"/>
        <v>0</v>
      </c>
      <c r="P31" s="917"/>
      <c r="Q31" s="890">
        <v>0</v>
      </c>
      <c r="R31" s="890">
        <v>0</v>
      </c>
      <c r="S31" s="890">
        <v>0</v>
      </c>
      <c r="T31" s="890">
        <v>0</v>
      </c>
      <c r="U31" s="890">
        <v>0</v>
      </c>
      <c r="V31" s="917">
        <f t="shared" si="2"/>
        <v>0</v>
      </c>
      <c r="W31" s="917">
        <f t="shared" si="3"/>
        <v>0</v>
      </c>
      <c r="X31" s="918">
        <f>-V31*Reports!$I$33</f>
        <v>0</v>
      </c>
      <c r="Y31" s="917">
        <f t="shared" si="6"/>
        <v>0</v>
      </c>
      <c r="Z31" s="918">
        <f t="shared" si="7"/>
        <v>0</v>
      </c>
      <c r="AA31" s="918" cm="1">
        <f t="array" ref="AA31">IF(SUM($Z$8:$Z31)&gt;$AA$7,IF(SUM($Z$8:$Z31)-$Z31&gt;=c_maxEquity,0,c_maxEquity-SUM($Z$8:$Z31)+$Z31),$Z31)</f>
        <v>0</v>
      </c>
      <c r="AB31" s="917">
        <f t="shared" si="4"/>
        <v>0</v>
      </c>
      <c r="AC31" s="917" cm="1">
        <f t="array" aca="1" ref="AC31" ca="1">IF(SUM($AC$8:AC30) + (AB31 * $AC$6) &gt; c_maxEquity, MAX(0,c_maxEquity - SUM($AC$8:AC30)), AB31 * $AC$6)</f>
        <v>0</v>
      </c>
      <c r="AD31" s="917">
        <f t="shared" ca="1" si="8"/>
        <v>0</v>
      </c>
      <c r="AE31" s="917">
        <f t="shared" ca="1" si="9"/>
        <v>0</v>
      </c>
      <c r="AF31" s="917">
        <f t="shared" ca="1" si="10"/>
        <v>0</v>
      </c>
      <c r="AG31" s="917">
        <f t="shared" ca="1" si="15"/>
        <v>0</v>
      </c>
      <c r="AK31" s="917">
        <f t="shared" si="11"/>
        <v>0</v>
      </c>
      <c r="AL31" s="917">
        <v>0</v>
      </c>
      <c r="AM31" s="917">
        <f ca="1"/>
        <v>0</v>
      </c>
      <c r="AN31" s="917">
        <f ca="1"/>
        <v>0</v>
      </c>
      <c r="AO31" s="917">
        <f t="shared" ca="1" si="12"/>
        <v>0</v>
      </c>
      <c r="AP31" s="917">
        <f t="shared" ca="1" si="13"/>
        <v>0</v>
      </c>
    </row>
    <row r="32" spans="1:42" ht="16">
      <c r="A32" s="41" t="e">
        <f t="shared" si="16"/>
        <v>#REF!</v>
      </c>
      <c r="B32" s="70" t="e">
        <f>#REF!/#REF!</f>
        <v>#REF!</v>
      </c>
      <c r="C32" s="39">
        <v>62.5</v>
      </c>
      <c r="D32" s="40" t="e">
        <f>#REF!/43560</f>
        <v>#REF!</v>
      </c>
      <c r="E32" s="5"/>
      <c r="F32" s="890">
        <v>24</v>
      </c>
      <c r="G32" s="935">
        <v>46418</v>
      </c>
      <c r="H32" s="915">
        <v>8</v>
      </c>
      <c r="I32" s="915" t="str">
        <f t="shared" si="5"/>
        <v>Q1-27</v>
      </c>
      <c r="J32" s="915">
        <f t="shared" si="14"/>
        <v>2</v>
      </c>
      <c r="K32" s="916">
        <v>2027</v>
      </c>
      <c r="L32" s="890"/>
      <c r="M32" s="890"/>
      <c r="N32" s="890">
        <v>0</v>
      </c>
      <c r="O32" s="917">
        <f t="shared" si="1"/>
        <v>0</v>
      </c>
      <c r="P32" s="917"/>
      <c r="Q32" s="890">
        <v>0</v>
      </c>
      <c r="R32" s="890">
        <v>0</v>
      </c>
      <c r="S32" s="890">
        <v>0</v>
      </c>
      <c r="T32" s="890">
        <v>0</v>
      </c>
      <c r="U32" s="890">
        <v>0</v>
      </c>
      <c r="V32" s="917">
        <f t="shared" si="2"/>
        <v>0</v>
      </c>
      <c r="W32" s="917">
        <f t="shared" si="3"/>
        <v>0</v>
      </c>
      <c r="X32" s="918">
        <f>-V32*Reports!$I$33</f>
        <v>0</v>
      </c>
      <c r="Y32" s="917">
        <f t="shared" si="6"/>
        <v>0</v>
      </c>
      <c r="Z32" s="918">
        <f t="shared" si="7"/>
        <v>0</v>
      </c>
      <c r="AA32" s="918" cm="1">
        <f t="array" ref="AA32">IF(SUM($Z$8:$Z32)&gt;$AA$7,IF(SUM($Z$8:$Z32)-$Z32&gt;=c_maxEquity,0,c_maxEquity-SUM($Z$8:$Z32)+$Z32),$Z32)</f>
        <v>0</v>
      </c>
      <c r="AB32" s="917">
        <f t="shared" si="4"/>
        <v>0</v>
      </c>
      <c r="AC32" s="917" cm="1">
        <f t="array" aca="1" ref="AC32" ca="1">IF(SUM($AC$8:AC31) + (AB32 * $AC$6) &gt; c_maxEquity, MAX(0,c_maxEquity - SUM($AC$8:AC31)), AB32 * $AC$6)</f>
        <v>0</v>
      </c>
      <c r="AD32" s="917">
        <f t="shared" ca="1" si="8"/>
        <v>0</v>
      </c>
      <c r="AE32" s="917">
        <f t="shared" ca="1" si="9"/>
        <v>0</v>
      </c>
      <c r="AF32" s="917">
        <f t="shared" ca="1" si="10"/>
        <v>0</v>
      </c>
      <c r="AG32" s="917">
        <f t="shared" ca="1" si="15"/>
        <v>0</v>
      </c>
      <c r="AK32" s="917">
        <f t="shared" si="11"/>
        <v>0</v>
      </c>
      <c r="AL32" s="917">
        <v>0</v>
      </c>
      <c r="AM32" s="917">
        <f ca="1"/>
        <v>0</v>
      </c>
      <c r="AN32" s="917">
        <f ca="1"/>
        <v>0</v>
      </c>
      <c r="AO32" s="917">
        <f t="shared" ca="1" si="12"/>
        <v>0</v>
      </c>
      <c r="AP32" s="917">
        <f t="shared" ca="1" si="13"/>
        <v>0</v>
      </c>
    </row>
    <row r="33" spans="1:42" ht="16">
      <c r="A33" s="41" t="e">
        <f t="shared" si="16"/>
        <v>#REF!</v>
      </c>
      <c r="B33" s="70" t="e">
        <f>#REF!/#REF!</f>
        <v>#REF!</v>
      </c>
      <c r="C33" s="39">
        <v>75</v>
      </c>
      <c r="D33" s="40" t="e">
        <f>#REF!/43560</f>
        <v>#REF!</v>
      </c>
      <c r="E33" s="5"/>
      <c r="F33" s="890">
        <v>25</v>
      </c>
      <c r="G33" s="935">
        <v>46446</v>
      </c>
      <c r="H33" s="915">
        <v>9</v>
      </c>
      <c r="I33" s="915" t="str">
        <f t="shared" si="5"/>
        <v>Q1-27</v>
      </c>
      <c r="J33" s="915">
        <f t="shared" si="14"/>
        <v>3</v>
      </c>
      <c r="K33" s="916">
        <v>2027</v>
      </c>
      <c r="L33" s="890"/>
      <c r="M33" s="890"/>
      <c r="N33" s="890">
        <v>0</v>
      </c>
      <c r="O33" s="917">
        <f t="shared" si="1"/>
        <v>0</v>
      </c>
      <c r="P33" s="917"/>
      <c r="Q33" s="890">
        <v>0</v>
      </c>
      <c r="R33" s="890">
        <v>0</v>
      </c>
      <c r="S33" s="890">
        <v>0</v>
      </c>
      <c r="T33" s="890">
        <v>4578007.7979189195</v>
      </c>
      <c r="U33" s="890">
        <v>0</v>
      </c>
      <c r="V33" s="917">
        <f t="shared" si="2"/>
        <v>4578007.7979189195</v>
      </c>
      <c r="W33" s="917">
        <f t="shared" si="3"/>
        <v>4578007.7979189195</v>
      </c>
      <c r="X33" s="918">
        <f>-V33*Reports!$I$33</f>
        <v>-45780.077979189198</v>
      </c>
      <c r="Y33" s="917">
        <f t="shared" si="6"/>
        <v>4532227.7199397301</v>
      </c>
      <c r="Z33" s="918">
        <f t="shared" si="7"/>
        <v>4532227.7199397301</v>
      </c>
      <c r="AA33" s="918" cm="1">
        <f t="array" ref="AA33">IF(SUM($Z$8:$Z33)&gt;$AA$7,IF(SUM($Z$8:$Z33)-$Z33&gt;=c_maxEquity,0,c_maxEquity-SUM($Z$8:$Z33)+$Z33),$Z33)</f>
        <v>4532227.7199397301</v>
      </c>
      <c r="AB33" s="917">
        <f t="shared" si="4"/>
        <v>0</v>
      </c>
      <c r="AC33" s="917" cm="1">
        <f t="array" aca="1" ref="AC33" ca="1">IF(SUM($AC$8:AC32) + (AB33 * $AC$6) &gt; c_maxEquity, MAX(0,c_maxEquity - SUM($AC$8:AC32)), AB33 * $AC$6)</f>
        <v>0</v>
      </c>
      <c r="AD33" s="917">
        <f t="shared" ca="1" si="8"/>
        <v>0</v>
      </c>
      <c r="AE33" s="917">
        <f t="shared" ca="1" si="9"/>
        <v>0</v>
      </c>
      <c r="AF33" s="917">
        <f t="shared" ca="1" si="10"/>
        <v>0</v>
      </c>
      <c r="AG33" s="917">
        <f t="shared" ca="1" si="15"/>
        <v>0</v>
      </c>
      <c r="AK33" s="917">
        <f t="shared" si="11"/>
        <v>0</v>
      </c>
      <c r="AL33" s="917">
        <v>4532227.7199397301</v>
      </c>
      <c r="AM33" s="917">
        <f ca="1"/>
        <v>0</v>
      </c>
      <c r="AN33" s="917">
        <f ca="1"/>
        <v>0</v>
      </c>
      <c r="AO33" s="917">
        <f t="shared" ca="1" si="12"/>
        <v>4532227.7199397301</v>
      </c>
      <c r="AP33" s="917">
        <f t="shared" ca="1" si="13"/>
        <v>4532227.7199397301</v>
      </c>
    </row>
    <row r="34" spans="1:42" ht="16">
      <c r="A34" s="41" t="e">
        <f t="shared" si="16"/>
        <v>#REF!</v>
      </c>
      <c r="B34" s="70" t="e">
        <f>#REF!/#REF!</f>
        <v>#REF!</v>
      </c>
      <c r="C34" s="39">
        <v>62.5</v>
      </c>
      <c r="D34" s="40" t="e">
        <f>#REF!/43560</f>
        <v>#REF!</v>
      </c>
      <c r="E34" s="5"/>
      <c r="F34" s="890">
        <v>26</v>
      </c>
      <c r="G34" s="935">
        <v>46477</v>
      </c>
      <c r="H34" s="915">
        <v>9</v>
      </c>
      <c r="I34" s="915" t="str">
        <f t="shared" si="5"/>
        <v>Q1-27</v>
      </c>
      <c r="J34" s="915">
        <f t="shared" si="14"/>
        <v>3</v>
      </c>
      <c r="K34" s="916">
        <v>2027</v>
      </c>
      <c r="L34" s="890"/>
      <c r="M34" s="890"/>
      <c r="N34" s="890">
        <v>0</v>
      </c>
      <c r="O34" s="917">
        <f t="shared" si="1"/>
        <v>0</v>
      </c>
      <c r="P34" s="917"/>
      <c r="Q34" s="890">
        <v>0</v>
      </c>
      <c r="R34" s="890">
        <v>0</v>
      </c>
      <c r="S34" s="890">
        <v>0</v>
      </c>
      <c r="T34" s="890">
        <v>0</v>
      </c>
      <c r="U34" s="890">
        <v>0</v>
      </c>
      <c r="V34" s="917">
        <f t="shared" si="2"/>
        <v>0</v>
      </c>
      <c r="W34" s="917">
        <f t="shared" si="3"/>
        <v>0</v>
      </c>
      <c r="X34" s="918">
        <f>-V34*Reports!$I$33</f>
        <v>0</v>
      </c>
      <c r="Y34" s="917">
        <f t="shared" si="6"/>
        <v>0</v>
      </c>
      <c r="Z34" s="918">
        <f t="shared" si="7"/>
        <v>0</v>
      </c>
      <c r="AA34" s="918" cm="1">
        <f t="array" ref="AA34">IF(SUM($Z$8:$Z34)&gt;$AA$7,IF(SUM($Z$8:$Z34)-$Z34&gt;=c_maxEquity,0,c_maxEquity-SUM($Z$8:$Z34)+$Z34),$Z34)</f>
        <v>0</v>
      </c>
      <c r="AB34" s="917">
        <f t="shared" si="4"/>
        <v>0</v>
      </c>
      <c r="AC34" s="917" cm="1">
        <f t="array" aca="1" ref="AC34" ca="1">IF(SUM($AC$8:AC33) + (AB34 * $AC$6) &gt; c_maxEquity, MAX(0,c_maxEquity - SUM($AC$8:AC33)), AB34 * $AC$6)</f>
        <v>0</v>
      </c>
      <c r="AD34" s="917">
        <f t="shared" ca="1" si="8"/>
        <v>0</v>
      </c>
      <c r="AE34" s="917">
        <f t="shared" ca="1" si="9"/>
        <v>0</v>
      </c>
      <c r="AF34" s="917">
        <f t="shared" ca="1" si="10"/>
        <v>0</v>
      </c>
      <c r="AG34" s="917">
        <f t="shared" ca="1" si="15"/>
        <v>0</v>
      </c>
      <c r="AK34" s="917">
        <f t="shared" si="11"/>
        <v>0</v>
      </c>
      <c r="AL34" s="917">
        <v>0</v>
      </c>
      <c r="AM34" s="917">
        <f ca="1"/>
        <v>0</v>
      </c>
      <c r="AN34" s="917">
        <f ca="1"/>
        <v>0</v>
      </c>
      <c r="AO34" s="917">
        <f t="shared" ca="1" si="12"/>
        <v>0</v>
      </c>
      <c r="AP34" s="917">
        <f t="shared" ca="1" si="13"/>
        <v>0</v>
      </c>
    </row>
    <row r="35" spans="1:42" ht="16">
      <c r="A35" s="41" t="e">
        <f t="shared" si="16"/>
        <v>#REF!</v>
      </c>
      <c r="B35" s="70" t="e">
        <f>#REF!/#REF!</f>
        <v>#REF!</v>
      </c>
      <c r="C35" s="39">
        <v>62.5</v>
      </c>
      <c r="D35" s="40" t="e">
        <f>#REF!/43560</f>
        <v>#REF!</v>
      </c>
      <c r="E35" s="5"/>
      <c r="F35" s="890">
        <v>27</v>
      </c>
      <c r="G35" s="935">
        <v>46507</v>
      </c>
      <c r="H35" s="915">
        <v>9</v>
      </c>
      <c r="I35" s="915" t="str">
        <f t="shared" si="5"/>
        <v>Q2-27</v>
      </c>
      <c r="J35" s="915">
        <f t="shared" si="14"/>
        <v>3</v>
      </c>
      <c r="K35" s="916">
        <v>2027</v>
      </c>
      <c r="L35" s="890"/>
      <c r="M35" s="890"/>
      <c r="N35" s="890">
        <v>0</v>
      </c>
      <c r="O35" s="917">
        <f t="shared" si="1"/>
        <v>0</v>
      </c>
      <c r="P35" s="917"/>
      <c r="Q35" s="890">
        <v>0</v>
      </c>
      <c r="R35" s="890">
        <v>0</v>
      </c>
      <c r="S35" s="890">
        <v>0</v>
      </c>
      <c r="T35" s="890">
        <v>0</v>
      </c>
      <c r="U35" s="890">
        <v>0</v>
      </c>
      <c r="V35" s="917">
        <f t="shared" si="2"/>
        <v>0</v>
      </c>
      <c r="W35" s="917">
        <f t="shared" si="3"/>
        <v>0</v>
      </c>
      <c r="X35" s="918">
        <f>-V35*Reports!$I$33</f>
        <v>0</v>
      </c>
      <c r="Y35" s="917">
        <f t="shared" si="6"/>
        <v>0</v>
      </c>
      <c r="Z35" s="918">
        <f t="shared" si="7"/>
        <v>0</v>
      </c>
      <c r="AA35" s="918" cm="1">
        <f t="array" ref="AA35">IF(SUM($Z$8:$Z35)&gt;$AA$7,IF(SUM($Z$8:$Z35)-$Z35&gt;=c_maxEquity,0,c_maxEquity-SUM($Z$8:$Z35)+$Z35),$Z35)</f>
        <v>0</v>
      </c>
      <c r="AB35" s="917">
        <f t="shared" si="4"/>
        <v>0</v>
      </c>
      <c r="AC35" s="917" cm="1">
        <f t="array" aca="1" ref="AC35" ca="1">IF(SUM($AC$8:AC34) + (AB35 * $AC$6) &gt; c_maxEquity, MAX(0,c_maxEquity - SUM($AC$8:AC34)), AB35 * $AC$6)</f>
        <v>0</v>
      </c>
      <c r="AD35" s="917">
        <f t="shared" ca="1" si="8"/>
        <v>0</v>
      </c>
      <c r="AE35" s="917">
        <f t="shared" ca="1" si="9"/>
        <v>0</v>
      </c>
      <c r="AF35" s="917">
        <f t="shared" ca="1" si="10"/>
        <v>0</v>
      </c>
      <c r="AG35" s="917">
        <f t="shared" ca="1" si="15"/>
        <v>0</v>
      </c>
      <c r="AK35" s="917">
        <f t="shared" si="11"/>
        <v>0</v>
      </c>
      <c r="AL35" s="917">
        <v>0</v>
      </c>
      <c r="AM35" s="917">
        <f ca="1"/>
        <v>0</v>
      </c>
      <c r="AN35" s="917">
        <f ca="1"/>
        <v>0</v>
      </c>
      <c r="AO35" s="917">
        <f t="shared" ca="1" si="12"/>
        <v>0</v>
      </c>
      <c r="AP35" s="917">
        <f t="shared" ca="1" si="13"/>
        <v>0</v>
      </c>
    </row>
    <row r="36" spans="1:42" ht="16">
      <c r="A36" s="41" t="e">
        <f t="shared" si="16"/>
        <v>#REF!</v>
      </c>
      <c r="B36" s="70" t="e">
        <f>#REF!/#REF!</f>
        <v>#REF!</v>
      </c>
      <c r="C36" s="39">
        <v>62.5</v>
      </c>
      <c r="D36" s="40" t="e">
        <f>#REF!/43560</f>
        <v>#REF!</v>
      </c>
      <c r="E36" s="5"/>
      <c r="F36" s="890">
        <v>28</v>
      </c>
      <c r="G36" s="935">
        <v>46538</v>
      </c>
      <c r="H36" s="915">
        <v>10</v>
      </c>
      <c r="I36" s="915" t="str">
        <f t="shared" si="5"/>
        <v>Q2-27</v>
      </c>
      <c r="J36" s="915">
        <f t="shared" si="14"/>
        <v>3</v>
      </c>
      <c r="K36" s="916">
        <v>2027</v>
      </c>
      <c r="L36" s="890"/>
      <c r="M36" s="890"/>
      <c r="N36" s="890">
        <v>0</v>
      </c>
      <c r="O36" s="917">
        <f t="shared" si="1"/>
        <v>0</v>
      </c>
      <c r="P36" s="917"/>
      <c r="Q36" s="890">
        <v>0</v>
      </c>
      <c r="R36" s="890">
        <v>0</v>
      </c>
      <c r="S36" s="890">
        <v>0</v>
      </c>
      <c r="T36" s="890">
        <v>3992448.6609758018</v>
      </c>
      <c r="U36" s="890">
        <v>0</v>
      </c>
      <c r="V36" s="917">
        <f t="shared" si="2"/>
        <v>3992448.6609758018</v>
      </c>
      <c r="W36" s="917">
        <f t="shared" si="3"/>
        <v>3992448.6609758018</v>
      </c>
      <c r="X36" s="918">
        <f>-V36*Reports!$I$33</f>
        <v>-39924.486609758016</v>
      </c>
      <c r="Y36" s="917">
        <f t="shared" si="6"/>
        <v>3952524.1743660439</v>
      </c>
      <c r="Z36" s="918">
        <f t="shared" si="7"/>
        <v>3952524.1743660439</v>
      </c>
      <c r="AA36" s="918" cm="1">
        <f t="array" ref="AA36">IF(SUM($Z$8:$Z36)&gt;$AA$7,IF(SUM($Z$8:$Z36)-$Z36&gt;=c_maxEquity,0,c_maxEquity-SUM($Z$8:$Z36)+$Z36),$Z36)</f>
        <v>3952524.1743660439</v>
      </c>
      <c r="AB36" s="917">
        <f t="shared" si="4"/>
        <v>0</v>
      </c>
      <c r="AC36" s="917" cm="1">
        <f t="array" aca="1" ref="AC36" ca="1">IF(SUM($AC$8:AC35) + (AB36 * $AC$6) &gt; c_maxEquity, MAX(0,c_maxEquity - SUM($AC$8:AC35)), AB36 * $AC$6)</f>
        <v>0</v>
      </c>
      <c r="AD36" s="917">
        <f t="shared" ca="1" si="8"/>
        <v>0</v>
      </c>
      <c r="AE36" s="917">
        <f t="shared" ca="1" si="9"/>
        <v>0</v>
      </c>
      <c r="AF36" s="917">
        <f t="shared" ca="1" si="10"/>
        <v>0</v>
      </c>
      <c r="AG36" s="917">
        <f t="shared" ca="1" si="15"/>
        <v>0</v>
      </c>
      <c r="AK36" s="917">
        <f t="shared" si="11"/>
        <v>0</v>
      </c>
      <c r="AL36" s="917">
        <v>3952524.1743660439</v>
      </c>
      <c r="AM36" s="917">
        <f ca="1"/>
        <v>0</v>
      </c>
      <c r="AN36" s="917">
        <f ca="1"/>
        <v>0</v>
      </c>
      <c r="AO36" s="917">
        <f t="shared" ca="1" si="12"/>
        <v>3952524.1743660439</v>
      </c>
      <c r="AP36" s="917">
        <f t="shared" ca="1" si="13"/>
        <v>3952524.1743660439</v>
      </c>
    </row>
    <row r="37" spans="1:42" ht="16">
      <c r="A37" s="41" t="e">
        <f t="shared" si="16"/>
        <v>#REF!</v>
      </c>
      <c r="B37" s="70" t="e">
        <f>#REF!/#REF!</f>
        <v>#REF!</v>
      </c>
      <c r="C37" s="39">
        <v>62.5</v>
      </c>
      <c r="D37" s="40" t="e">
        <f>#REF!/43560</f>
        <v>#REF!</v>
      </c>
      <c r="E37" s="5"/>
      <c r="F37" s="890">
        <v>29</v>
      </c>
      <c r="G37" s="935">
        <v>46568</v>
      </c>
      <c r="H37" s="915">
        <v>10</v>
      </c>
      <c r="I37" s="915" t="str">
        <f t="shared" si="5"/>
        <v>Q2-27</v>
      </c>
      <c r="J37" s="915">
        <f t="shared" si="14"/>
        <v>3</v>
      </c>
      <c r="K37" s="916">
        <v>2027</v>
      </c>
      <c r="L37" s="890"/>
      <c r="M37" s="890"/>
      <c r="N37" s="890">
        <v>0</v>
      </c>
      <c r="O37" s="917">
        <f t="shared" si="1"/>
        <v>0</v>
      </c>
      <c r="P37" s="917"/>
      <c r="Q37" s="890">
        <v>0</v>
      </c>
      <c r="R37" s="890">
        <v>0</v>
      </c>
      <c r="S37" s="890">
        <v>0</v>
      </c>
      <c r="T37" s="890">
        <v>0</v>
      </c>
      <c r="U37" s="890">
        <v>0</v>
      </c>
      <c r="V37" s="917">
        <f t="shared" si="2"/>
        <v>0</v>
      </c>
      <c r="W37" s="917">
        <f t="shared" si="3"/>
        <v>0</v>
      </c>
      <c r="X37" s="918">
        <f>-V37*Reports!$I$33</f>
        <v>0</v>
      </c>
      <c r="Y37" s="917">
        <f t="shared" si="6"/>
        <v>0</v>
      </c>
      <c r="Z37" s="918">
        <f t="shared" si="7"/>
        <v>0</v>
      </c>
      <c r="AA37" s="918" cm="1">
        <f t="array" ref="AA37">IF(SUM($Z$8:$Z37)&gt;$AA$7,IF(SUM($Z$8:$Z37)-$Z37&gt;=c_maxEquity,0,c_maxEquity-SUM($Z$8:$Z37)+$Z37),$Z37)</f>
        <v>0</v>
      </c>
      <c r="AB37" s="917">
        <f t="shared" si="4"/>
        <v>0</v>
      </c>
      <c r="AC37" s="917" cm="1">
        <f t="array" aca="1" ref="AC37" ca="1">IF(SUM($AC$8:AC36) + (AB37 * $AC$6) &gt; c_maxEquity, MAX(0,c_maxEquity - SUM($AC$8:AC36)), AB37 * $AC$6)</f>
        <v>0</v>
      </c>
      <c r="AD37" s="917">
        <f t="shared" ca="1" si="8"/>
        <v>0</v>
      </c>
      <c r="AE37" s="917">
        <f t="shared" ca="1" si="9"/>
        <v>0</v>
      </c>
      <c r="AF37" s="917">
        <f t="shared" ca="1" si="10"/>
        <v>0</v>
      </c>
      <c r="AG37" s="917">
        <f t="shared" ca="1" si="15"/>
        <v>0</v>
      </c>
      <c r="AK37" s="917">
        <f t="shared" si="11"/>
        <v>0</v>
      </c>
      <c r="AL37" s="917">
        <v>0</v>
      </c>
      <c r="AM37" s="917">
        <f ca="1"/>
        <v>0</v>
      </c>
      <c r="AN37" s="917">
        <f ca="1"/>
        <v>0</v>
      </c>
      <c r="AO37" s="917">
        <f t="shared" ca="1" si="12"/>
        <v>0</v>
      </c>
      <c r="AP37" s="917">
        <f t="shared" ca="1" si="13"/>
        <v>0</v>
      </c>
    </row>
    <row r="38" spans="1:42" ht="16">
      <c r="A38" s="41" t="e">
        <f t="shared" si="16"/>
        <v>#REF!</v>
      </c>
      <c r="B38" s="70" t="e">
        <f>#REF!/#REF!</f>
        <v>#REF!</v>
      </c>
      <c r="C38" s="39">
        <v>62.5</v>
      </c>
      <c r="D38" s="40" t="e">
        <f>#REF!/43560</f>
        <v>#REF!</v>
      </c>
      <c r="E38" s="5"/>
      <c r="F38" s="890">
        <v>30</v>
      </c>
      <c r="G38" s="935">
        <v>46599</v>
      </c>
      <c r="H38" s="915">
        <v>10</v>
      </c>
      <c r="I38" s="915" t="str">
        <f t="shared" si="5"/>
        <v>Q3-27</v>
      </c>
      <c r="J38" s="915">
        <f t="shared" si="14"/>
        <v>3</v>
      </c>
      <c r="K38" s="916">
        <v>2027</v>
      </c>
      <c r="L38" s="890"/>
      <c r="M38" s="890"/>
      <c r="N38" s="890">
        <v>0</v>
      </c>
      <c r="O38" s="917">
        <f t="shared" si="1"/>
        <v>0</v>
      </c>
      <c r="P38" s="917"/>
      <c r="Q38" s="890">
        <v>0</v>
      </c>
      <c r="R38" s="890">
        <v>0</v>
      </c>
      <c r="S38" s="890">
        <v>0</v>
      </c>
      <c r="T38" s="890">
        <v>0</v>
      </c>
      <c r="U38" s="890">
        <v>0</v>
      </c>
      <c r="V38" s="917">
        <f t="shared" si="2"/>
        <v>0</v>
      </c>
      <c r="W38" s="917">
        <f t="shared" si="3"/>
        <v>0</v>
      </c>
      <c r="X38" s="918">
        <f>-V38*Reports!$I$33</f>
        <v>0</v>
      </c>
      <c r="Y38" s="917">
        <f t="shared" si="6"/>
        <v>0</v>
      </c>
      <c r="Z38" s="918">
        <f t="shared" si="7"/>
        <v>0</v>
      </c>
      <c r="AA38" s="918" cm="1">
        <f t="array" ref="AA38">IF(SUM($Z$8:$Z38)&gt;$AA$7,IF(SUM($Z$8:$Z38)-$Z38&gt;=c_maxEquity,0,c_maxEquity-SUM($Z$8:$Z38)+$Z38),$Z38)</f>
        <v>0</v>
      </c>
      <c r="AB38" s="917">
        <f t="shared" si="4"/>
        <v>0</v>
      </c>
      <c r="AC38" s="917" cm="1">
        <f t="array" aca="1" ref="AC38" ca="1">IF(SUM($AC$8:AC37) + (AB38 * $AC$6) &gt; c_maxEquity, MAX(0,c_maxEquity - SUM($AC$8:AC37)), AB38 * $AC$6)</f>
        <v>0</v>
      </c>
      <c r="AD38" s="917">
        <f t="shared" ca="1" si="8"/>
        <v>0</v>
      </c>
      <c r="AE38" s="917">
        <f t="shared" ca="1" si="9"/>
        <v>0</v>
      </c>
      <c r="AF38" s="917">
        <f t="shared" ca="1" si="10"/>
        <v>0</v>
      </c>
      <c r="AG38" s="917">
        <f t="shared" ca="1" si="15"/>
        <v>0</v>
      </c>
      <c r="AK38" s="917">
        <f t="shared" si="11"/>
        <v>0</v>
      </c>
      <c r="AL38" s="917">
        <v>0</v>
      </c>
      <c r="AM38" s="917">
        <f ca="1"/>
        <v>0</v>
      </c>
      <c r="AN38" s="917">
        <f ca="1"/>
        <v>0</v>
      </c>
      <c r="AO38" s="917">
        <f t="shared" ca="1" si="12"/>
        <v>0</v>
      </c>
      <c r="AP38" s="917">
        <f t="shared" ca="1" si="13"/>
        <v>0</v>
      </c>
    </row>
    <row r="39" spans="1:42" ht="16">
      <c r="A39" s="41" t="e">
        <f t="shared" si="16"/>
        <v>#REF!</v>
      </c>
      <c r="B39" s="70" t="e">
        <f>#REF!/#REF!</f>
        <v>#REF!</v>
      </c>
      <c r="C39" s="39">
        <v>83.25</v>
      </c>
      <c r="D39" s="40" t="e">
        <f>#REF!/43560</f>
        <v>#REF!</v>
      </c>
      <c r="E39" s="5"/>
      <c r="F39" s="890">
        <v>31</v>
      </c>
      <c r="G39" s="935">
        <v>46630</v>
      </c>
      <c r="H39" s="915">
        <v>11</v>
      </c>
      <c r="I39" s="915" t="str">
        <f t="shared" si="5"/>
        <v>Q3-27</v>
      </c>
      <c r="J39" s="915">
        <f t="shared" si="14"/>
        <v>3</v>
      </c>
      <c r="K39" s="916">
        <v>2027</v>
      </c>
      <c r="L39" s="890"/>
      <c r="M39" s="890"/>
      <c r="N39" s="890">
        <v>0</v>
      </c>
      <c r="O39" s="917">
        <f t="shared" si="1"/>
        <v>0</v>
      </c>
      <c r="P39" s="917"/>
      <c r="Q39" s="890">
        <v>0</v>
      </c>
      <c r="R39" s="890">
        <v>0</v>
      </c>
      <c r="S39" s="890">
        <v>0</v>
      </c>
      <c r="T39" s="890">
        <v>0</v>
      </c>
      <c r="U39" s="890">
        <v>0</v>
      </c>
      <c r="V39" s="917">
        <f t="shared" si="2"/>
        <v>0</v>
      </c>
      <c r="W39" s="917">
        <f t="shared" si="3"/>
        <v>0</v>
      </c>
      <c r="X39" s="918">
        <f>-V39*Reports!$I$33</f>
        <v>0</v>
      </c>
      <c r="Y39" s="917">
        <f t="shared" si="6"/>
        <v>0</v>
      </c>
      <c r="Z39" s="918">
        <f t="shared" si="7"/>
        <v>0</v>
      </c>
      <c r="AA39" s="918" cm="1">
        <f t="array" ref="AA39">IF(SUM($Z$8:$Z39)&gt;$AA$7,IF(SUM($Z$8:$Z39)-$Z39&gt;=c_maxEquity,0,c_maxEquity-SUM($Z$8:$Z39)+$Z39),$Z39)</f>
        <v>0</v>
      </c>
      <c r="AB39" s="917">
        <f t="shared" si="4"/>
        <v>0</v>
      </c>
      <c r="AC39" s="917" cm="1">
        <f t="array" aca="1" ref="AC39" ca="1">IF(SUM($AC$8:AC38) + (AB39 * $AC$6) &gt; c_maxEquity, MAX(0,c_maxEquity - SUM($AC$8:AC38)), AB39 * $AC$6)</f>
        <v>0</v>
      </c>
      <c r="AD39" s="917">
        <f t="shared" ca="1" si="8"/>
        <v>0</v>
      </c>
      <c r="AE39" s="917">
        <f t="shared" ca="1" si="9"/>
        <v>0</v>
      </c>
      <c r="AF39" s="917">
        <f t="shared" ca="1" si="10"/>
        <v>0</v>
      </c>
      <c r="AG39" s="917">
        <f t="shared" ca="1" si="15"/>
        <v>0</v>
      </c>
      <c r="AK39" s="917">
        <f t="shared" si="11"/>
        <v>0</v>
      </c>
      <c r="AL39" s="917">
        <v>0</v>
      </c>
      <c r="AM39" s="917">
        <f ca="1"/>
        <v>0</v>
      </c>
      <c r="AN39" s="917">
        <f ca="1"/>
        <v>0</v>
      </c>
      <c r="AO39" s="917">
        <f t="shared" ca="1" si="12"/>
        <v>0</v>
      </c>
      <c r="AP39" s="917">
        <f t="shared" ca="1" si="13"/>
        <v>0</v>
      </c>
    </row>
    <row r="40" spans="1:42" ht="16">
      <c r="A40" s="41" t="e">
        <f t="shared" si="16"/>
        <v>#REF!</v>
      </c>
      <c r="B40" s="70" t="e">
        <f>#REF!/#REF!</f>
        <v>#REF!</v>
      </c>
      <c r="C40" s="39">
        <v>75</v>
      </c>
      <c r="D40" s="40" t="e">
        <f>#REF!/43560</f>
        <v>#REF!</v>
      </c>
      <c r="E40" s="5"/>
      <c r="F40" s="890">
        <v>32</v>
      </c>
      <c r="G40" s="935">
        <v>46660</v>
      </c>
      <c r="H40" s="915">
        <v>11</v>
      </c>
      <c r="I40" s="915" t="str">
        <f t="shared" si="5"/>
        <v>Q3-27</v>
      </c>
      <c r="J40" s="915">
        <f t="shared" si="14"/>
        <v>3</v>
      </c>
      <c r="K40" s="916">
        <v>2027</v>
      </c>
      <c r="L40" s="890"/>
      <c r="M40" s="890"/>
      <c r="N40" s="890">
        <v>0</v>
      </c>
      <c r="O40" s="917">
        <f t="shared" ref="O40:O71" si="17">SUM(L40:N40)</f>
        <v>0</v>
      </c>
      <c r="P40" s="917"/>
      <c r="Q40" s="890">
        <v>0</v>
      </c>
      <c r="R40" s="890">
        <v>0</v>
      </c>
      <c r="S40" s="890">
        <v>0</v>
      </c>
      <c r="T40" s="890">
        <v>3691982.2980156438</v>
      </c>
      <c r="U40" s="890">
        <v>0</v>
      </c>
      <c r="V40" s="917">
        <f t="shared" ref="V40:V71" si="18">SUM(P40:U40)</f>
        <v>3691982.2980156438</v>
      </c>
      <c r="W40" s="917">
        <f t="shared" ref="W40:W71" si="19">O40+V40</f>
        <v>3691982.2980156438</v>
      </c>
      <c r="X40" s="918">
        <f>-V40*Reports!$I$33</f>
        <v>-36919.822980156438</v>
      </c>
      <c r="Y40" s="917">
        <f t="shared" si="6"/>
        <v>3655062.4750354872</v>
      </c>
      <c r="Z40" s="918">
        <f t="shared" si="7"/>
        <v>3655062.4750354872</v>
      </c>
      <c r="AA40" s="918" cm="1">
        <f t="array" ref="AA40">IF(SUM($Z$8:$Z40)&gt;$AA$7,IF(SUM($Z$8:$Z40)-$Z40&gt;=c_maxEquity,0,c_maxEquity-SUM($Z$8:$Z40)+$Z40),$Z40)</f>
        <v>3655062.4750354872</v>
      </c>
      <c r="AB40" s="917">
        <f t="shared" ref="AB40:AB71" si="20">Z40-AA40</f>
        <v>0</v>
      </c>
      <c r="AC40" s="917" cm="1">
        <f t="array" aca="1" ref="AC40" ca="1">IF(SUM($AC$8:AC39) + (AB40 * $AC$6) &gt; c_maxEquity, MAX(0,c_maxEquity - SUM($AC$8:AC39)), AB40 * $AC$6)</f>
        <v>0</v>
      </c>
      <c r="AD40" s="917">
        <f t="shared" ca="1" si="8"/>
        <v>0</v>
      </c>
      <c r="AE40" s="917">
        <f t="shared" ca="1" si="9"/>
        <v>0</v>
      </c>
      <c r="AF40" s="917">
        <f t="shared" ca="1" si="10"/>
        <v>0</v>
      </c>
      <c r="AG40" s="917">
        <f t="shared" ca="1" si="15"/>
        <v>0</v>
      </c>
      <c r="AK40" s="917">
        <f t="shared" si="11"/>
        <v>0</v>
      </c>
      <c r="AL40" s="917">
        <v>3655062.4750354872</v>
      </c>
      <c r="AM40" s="917">
        <f ca="1"/>
        <v>0</v>
      </c>
      <c r="AN40" s="917">
        <f ca="1"/>
        <v>0</v>
      </c>
      <c r="AO40" s="917">
        <f t="shared" ca="1" si="12"/>
        <v>3655062.4750354872</v>
      </c>
      <c r="AP40" s="917">
        <f t="shared" ca="1" si="13"/>
        <v>3655062.4750354872</v>
      </c>
    </row>
    <row r="41" spans="1:42" ht="16">
      <c r="A41" s="41" t="e">
        <f t="shared" si="16"/>
        <v>#REF!</v>
      </c>
      <c r="B41" s="70" t="e">
        <f>#REF!/#REF!</f>
        <v>#REF!</v>
      </c>
      <c r="C41" s="39">
        <v>50</v>
      </c>
      <c r="D41" s="40" t="e">
        <f>#REF!/43560</f>
        <v>#REF!</v>
      </c>
      <c r="E41" s="5"/>
      <c r="F41" s="890">
        <v>33</v>
      </c>
      <c r="G41" s="935">
        <v>46691</v>
      </c>
      <c r="H41" s="915">
        <v>11</v>
      </c>
      <c r="I41" s="915" t="str">
        <f t="shared" ref="I41:I72" si="21">IF(H41&gt;0,"Q"&amp;ROUNDUP(MONTH(G41)/3,0)&amp;"-"&amp;YEAR(G41)-2000,0)</f>
        <v>Q4-27</v>
      </c>
      <c r="J41" s="915">
        <f t="shared" si="14"/>
        <v>3</v>
      </c>
      <c r="K41" s="916">
        <v>2027</v>
      </c>
      <c r="L41" s="890"/>
      <c r="M41" s="890"/>
      <c r="N41" s="890">
        <v>0</v>
      </c>
      <c r="O41" s="917">
        <f t="shared" si="17"/>
        <v>0</v>
      </c>
      <c r="P41" s="917"/>
      <c r="Q41" s="890">
        <v>0</v>
      </c>
      <c r="R41" s="890">
        <v>0</v>
      </c>
      <c r="S41" s="890">
        <v>0</v>
      </c>
      <c r="T41" s="890">
        <v>0</v>
      </c>
      <c r="U41" s="890">
        <v>0</v>
      </c>
      <c r="V41" s="917">
        <f t="shared" si="18"/>
        <v>0</v>
      </c>
      <c r="W41" s="917">
        <f t="shared" si="19"/>
        <v>0</v>
      </c>
      <c r="X41" s="918">
        <f>-V41*Reports!$I$33</f>
        <v>0</v>
      </c>
      <c r="Y41" s="917">
        <f t="shared" si="6"/>
        <v>0</v>
      </c>
      <c r="Z41" s="918">
        <f t="shared" si="7"/>
        <v>0</v>
      </c>
      <c r="AA41" s="918" cm="1">
        <f t="array" ref="AA41">IF(SUM($Z$8:$Z41)&gt;$AA$7,IF(SUM($Z$8:$Z41)-$Z41&gt;=c_maxEquity,0,c_maxEquity-SUM($Z$8:$Z41)+$Z41),$Z41)</f>
        <v>0</v>
      </c>
      <c r="AB41" s="917">
        <f t="shared" si="20"/>
        <v>0</v>
      </c>
      <c r="AC41" s="917" cm="1">
        <f t="array" aca="1" ref="AC41" ca="1">IF(SUM($AC$8:AC40) + (AB41 * $AC$6) &gt; c_maxEquity, MAX(0,c_maxEquity - SUM($AC$8:AC40)), AB41 * $AC$6)</f>
        <v>0</v>
      </c>
      <c r="AD41" s="917">
        <f t="shared" ca="1" si="8"/>
        <v>0</v>
      </c>
      <c r="AE41" s="917">
        <f t="shared" ca="1" si="9"/>
        <v>0</v>
      </c>
      <c r="AF41" s="917">
        <f t="shared" ca="1" si="10"/>
        <v>0</v>
      </c>
      <c r="AG41" s="917">
        <f t="shared" ca="1" si="15"/>
        <v>0</v>
      </c>
      <c r="AK41" s="917">
        <f t="shared" si="11"/>
        <v>0</v>
      </c>
      <c r="AL41" s="917">
        <v>0</v>
      </c>
      <c r="AM41" s="917">
        <f ca="1"/>
        <v>0</v>
      </c>
      <c r="AN41" s="917">
        <f ca="1"/>
        <v>0</v>
      </c>
      <c r="AO41" s="917">
        <f t="shared" ca="1" si="12"/>
        <v>0</v>
      </c>
      <c r="AP41" s="917">
        <f t="shared" ca="1" si="13"/>
        <v>0</v>
      </c>
    </row>
    <row r="42" spans="1:42" ht="16">
      <c r="A42" s="41" t="e">
        <f t="shared" si="16"/>
        <v>#REF!</v>
      </c>
      <c r="B42" s="70" t="e">
        <f>#REF!/#REF!</f>
        <v>#REF!</v>
      </c>
      <c r="C42" s="39">
        <v>50</v>
      </c>
      <c r="D42" s="40" t="e">
        <f>#REF!/43560</f>
        <v>#REF!</v>
      </c>
      <c r="E42" s="5"/>
      <c r="F42" s="890">
        <v>34</v>
      </c>
      <c r="G42" s="935">
        <v>46721</v>
      </c>
      <c r="H42" s="915">
        <v>12</v>
      </c>
      <c r="I42" s="915" t="str">
        <f t="shared" si="21"/>
        <v>Q4-27</v>
      </c>
      <c r="J42" s="915">
        <f t="shared" si="14"/>
        <v>3</v>
      </c>
      <c r="K42" s="916">
        <v>2027</v>
      </c>
      <c r="L42" s="890"/>
      <c r="M42" s="890"/>
      <c r="N42" s="890">
        <v>0</v>
      </c>
      <c r="O42" s="917">
        <f t="shared" si="17"/>
        <v>0</v>
      </c>
      <c r="P42" s="917"/>
      <c r="Q42" s="890">
        <v>0</v>
      </c>
      <c r="R42" s="890">
        <v>0</v>
      </c>
      <c r="S42" s="890">
        <v>0</v>
      </c>
      <c r="T42" s="890">
        <v>0</v>
      </c>
      <c r="U42" s="890">
        <v>0</v>
      </c>
      <c r="V42" s="917">
        <f t="shared" si="18"/>
        <v>0</v>
      </c>
      <c r="W42" s="917">
        <f t="shared" si="19"/>
        <v>0</v>
      </c>
      <c r="X42" s="918">
        <f>-V42*Reports!$I$33</f>
        <v>0</v>
      </c>
      <c r="Y42" s="917">
        <f t="shared" si="6"/>
        <v>0</v>
      </c>
      <c r="Z42" s="918">
        <f t="shared" si="7"/>
        <v>0</v>
      </c>
      <c r="AA42" s="918" cm="1">
        <f t="array" ref="AA42">IF(SUM($Z$8:$Z42)&gt;$AA$7,IF(SUM($Z$8:$Z42)-$Z42&gt;=c_maxEquity,0,c_maxEquity-SUM($Z$8:$Z42)+$Z42),$Z42)</f>
        <v>0</v>
      </c>
      <c r="AB42" s="917">
        <f t="shared" si="20"/>
        <v>0</v>
      </c>
      <c r="AC42" s="917" cm="1">
        <f t="array" aca="1" ref="AC42" ca="1">IF(SUM($AC$8:AC41) + (AB42 * $AC$6) &gt; c_maxEquity, MAX(0,c_maxEquity - SUM($AC$8:AC41)), AB42 * $AC$6)</f>
        <v>0</v>
      </c>
      <c r="AD42" s="917">
        <f t="shared" ca="1" si="8"/>
        <v>0</v>
      </c>
      <c r="AE42" s="917">
        <f t="shared" ca="1" si="9"/>
        <v>0</v>
      </c>
      <c r="AF42" s="917">
        <f t="shared" ca="1" si="10"/>
        <v>0</v>
      </c>
      <c r="AG42" s="917">
        <f t="shared" ca="1" si="15"/>
        <v>0</v>
      </c>
      <c r="AK42" s="917">
        <f t="shared" si="11"/>
        <v>0</v>
      </c>
      <c r="AL42" s="917">
        <v>0</v>
      </c>
      <c r="AM42" s="917">
        <f ca="1"/>
        <v>0</v>
      </c>
      <c r="AN42" s="917">
        <f ca="1"/>
        <v>0</v>
      </c>
      <c r="AO42" s="917">
        <f t="shared" ca="1" si="12"/>
        <v>0</v>
      </c>
      <c r="AP42" s="917">
        <f t="shared" ca="1" si="13"/>
        <v>0</v>
      </c>
    </row>
    <row r="43" spans="1:42" ht="16">
      <c r="A43" s="41" t="e">
        <f t="shared" si="16"/>
        <v>#REF!</v>
      </c>
      <c r="B43" s="70" t="e">
        <f>#REF!/#REF!</f>
        <v>#REF!</v>
      </c>
      <c r="C43" s="39">
        <v>50</v>
      </c>
      <c r="D43" s="40" t="e">
        <f>#REF!/43560</f>
        <v>#REF!</v>
      </c>
      <c r="E43" s="5"/>
      <c r="F43" s="890">
        <v>35</v>
      </c>
      <c r="G43" s="935">
        <v>46752</v>
      </c>
      <c r="H43" s="915">
        <v>12</v>
      </c>
      <c r="I43" s="915" t="str">
        <f t="shared" si="21"/>
        <v>Q4-27</v>
      </c>
      <c r="J43" s="915">
        <f t="shared" si="14"/>
        <v>3</v>
      </c>
      <c r="K43" s="916">
        <v>2027</v>
      </c>
      <c r="L43" s="890"/>
      <c r="M43" s="890"/>
      <c r="N43" s="890">
        <v>0</v>
      </c>
      <c r="O43" s="917">
        <f t="shared" si="17"/>
        <v>0</v>
      </c>
      <c r="P43" s="917"/>
      <c r="Q43" s="890">
        <v>0</v>
      </c>
      <c r="R43" s="890">
        <v>0</v>
      </c>
      <c r="S43" s="890">
        <v>0</v>
      </c>
      <c r="T43" s="890">
        <v>0</v>
      </c>
      <c r="U43" s="890">
        <v>0</v>
      </c>
      <c r="V43" s="917">
        <f t="shared" si="18"/>
        <v>0</v>
      </c>
      <c r="W43" s="917">
        <f t="shared" si="19"/>
        <v>0</v>
      </c>
      <c r="X43" s="918">
        <f>-V43*Reports!$I$33</f>
        <v>0</v>
      </c>
      <c r="Y43" s="917">
        <f t="shared" si="6"/>
        <v>0</v>
      </c>
      <c r="Z43" s="918">
        <f t="shared" si="7"/>
        <v>0</v>
      </c>
      <c r="AA43" s="918" cm="1">
        <f t="array" ref="AA43">IF(SUM($Z$8:$Z43)&gt;$AA$7,IF(SUM($Z$8:$Z43)-$Z43&gt;=c_maxEquity,0,c_maxEquity-SUM($Z$8:$Z43)+$Z43),$Z43)</f>
        <v>0</v>
      </c>
      <c r="AB43" s="917">
        <f t="shared" si="20"/>
        <v>0</v>
      </c>
      <c r="AC43" s="917" cm="1">
        <f t="array" aca="1" ref="AC43" ca="1">IF(SUM($AC$8:AC42) + (AB43 * $AC$6) &gt; c_maxEquity, MAX(0,c_maxEquity - SUM($AC$8:AC42)), AB43 * $AC$6)</f>
        <v>0</v>
      </c>
      <c r="AD43" s="917">
        <f t="shared" ca="1" si="8"/>
        <v>0</v>
      </c>
      <c r="AE43" s="917">
        <f t="shared" ca="1" si="9"/>
        <v>0</v>
      </c>
      <c r="AF43" s="917">
        <f t="shared" ca="1" si="10"/>
        <v>0</v>
      </c>
      <c r="AG43" s="917">
        <f t="shared" ca="1" si="15"/>
        <v>0</v>
      </c>
      <c r="AK43" s="917">
        <f t="shared" si="11"/>
        <v>0</v>
      </c>
      <c r="AL43" s="917">
        <v>0</v>
      </c>
      <c r="AM43" s="917">
        <f ca="1"/>
        <v>0</v>
      </c>
      <c r="AN43" s="917">
        <f ca="1"/>
        <v>0</v>
      </c>
      <c r="AO43" s="917">
        <f t="shared" ca="1" si="12"/>
        <v>0</v>
      </c>
      <c r="AP43" s="917">
        <f t="shared" ca="1" si="13"/>
        <v>0</v>
      </c>
    </row>
    <row r="44" spans="1:42" ht="16">
      <c r="A44" s="41" t="e">
        <f t="shared" si="16"/>
        <v>#REF!</v>
      </c>
      <c r="B44" s="70" t="e">
        <f>#REF!/#REF!</f>
        <v>#REF!</v>
      </c>
      <c r="C44" s="39">
        <v>62.5</v>
      </c>
      <c r="D44" s="40" t="e">
        <f>#REF!/43560</f>
        <v>#REF!</v>
      </c>
      <c r="E44" s="5"/>
      <c r="F44" s="890">
        <v>36</v>
      </c>
      <c r="G44" s="935">
        <v>46783</v>
      </c>
      <c r="H44" s="915">
        <v>12</v>
      </c>
      <c r="I44" s="915" t="str">
        <f t="shared" si="21"/>
        <v>Q1-28</v>
      </c>
      <c r="J44" s="915">
        <f t="shared" si="14"/>
        <v>3</v>
      </c>
      <c r="K44" s="916">
        <v>2028</v>
      </c>
      <c r="L44" s="890"/>
      <c r="M44" s="890"/>
      <c r="N44" s="890">
        <v>0</v>
      </c>
      <c r="O44" s="917">
        <f t="shared" si="17"/>
        <v>0</v>
      </c>
      <c r="P44" s="917"/>
      <c r="Q44" s="890">
        <v>0</v>
      </c>
      <c r="R44" s="890">
        <v>0</v>
      </c>
      <c r="S44" s="890">
        <v>0</v>
      </c>
      <c r="T44" s="890">
        <v>0</v>
      </c>
      <c r="U44" s="890">
        <v>0</v>
      </c>
      <c r="V44" s="917">
        <f t="shared" si="18"/>
        <v>0</v>
      </c>
      <c r="W44" s="917">
        <f t="shared" si="19"/>
        <v>0</v>
      </c>
      <c r="X44" s="918">
        <f>-V44*Reports!$I$33</f>
        <v>0</v>
      </c>
      <c r="Y44" s="917">
        <f t="shared" si="6"/>
        <v>0</v>
      </c>
      <c r="Z44" s="918">
        <f t="shared" si="7"/>
        <v>0</v>
      </c>
      <c r="AA44" s="918" cm="1">
        <f t="array" ref="AA44">IF(SUM($Z$8:$Z44)&gt;$AA$7,IF(SUM($Z$8:$Z44)-$Z44&gt;=c_maxEquity,0,c_maxEquity-SUM($Z$8:$Z44)+$Z44),$Z44)</f>
        <v>0</v>
      </c>
      <c r="AB44" s="917">
        <f t="shared" si="20"/>
        <v>0</v>
      </c>
      <c r="AC44" s="917" cm="1">
        <f t="array" aca="1" ref="AC44" ca="1">IF(SUM($AC$8:AC43) + (AB44 * $AC$6) &gt; c_maxEquity, MAX(0,c_maxEquity - SUM($AC$8:AC43)), AB44 * $AC$6)</f>
        <v>0</v>
      </c>
      <c r="AD44" s="917">
        <f t="shared" ca="1" si="8"/>
        <v>0</v>
      </c>
      <c r="AE44" s="917">
        <f t="shared" ca="1" si="9"/>
        <v>0</v>
      </c>
      <c r="AF44" s="917">
        <f t="shared" ca="1" si="10"/>
        <v>0</v>
      </c>
      <c r="AG44" s="917">
        <f t="shared" ca="1" si="15"/>
        <v>0</v>
      </c>
      <c r="AK44" s="917">
        <f t="shared" si="11"/>
        <v>0</v>
      </c>
      <c r="AL44" s="917">
        <v>0</v>
      </c>
      <c r="AM44" s="917">
        <f ca="1"/>
        <v>0</v>
      </c>
      <c r="AN44" s="917">
        <f ca="1"/>
        <v>0</v>
      </c>
      <c r="AO44" s="917">
        <f t="shared" ca="1" si="12"/>
        <v>0</v>
      </c>
      <c r="AP44" s="917">
        <f t="shared" ca="1" si="13"/>
        <v>0</v>
      </c>
    </row>
    <row r="45" spans="1:42" ht="16">
      <c r="A45" s="41" t="e">
        <f t="shared" si="16"/>
        <v>#REF!</v>
      </c>
      <c r="B45" s="70" t="e">
        <f>#REF!/#REF!</f>
        <v>#REF!</v>
      </c>
      <c r="C45" s="39">
        <v>62.5</v>
      </c>
      <c r="D45" s="40" t="e">
        <f>#REF!/43560</f>
        <v>#REF!</v>
      </c>
      <c r="E45" s="5"/>
      <c r="F45" s="890">
        <v>37</v>
      </c>
      <c r="G45" s="935">
        <v>46812</v>
      </c>
      <c r="H45" s="915">
        <v>13</v>
      </c>
      <c r="I45" s="915" t="str">
        <f t="shared" si="21"/>
        <v>Q1-28</v>
      </c>
      <c r="J45" s="915">
        <f t="shared" si="14"/>
        <v>4</v>
      </c>
      <c r="K45" s="916">
        <v>2028</v>
      </c>
      <c r="L45" s="890"/>
      <c r="M45" s="890"/>
      <c r="N45" s="890">
        <v>0</v>
      </c>
      <c r="O45" s="917">
        <f t="shared" si="17"/>
        <v>0</v>
      </c>
      <c r="P45" s="917"/>
      <c r="Q45" s="890">
        <v>0</v>
      </c>
      <c r="R45" s="890">
        <v>0</v>
      </c>
      <c r="S45" s="890">
        <v>3607990.6417707247</v>
      </c>
      <c r="T45" s="890">
        <v>1478684.6892502969</v>
      </c>
      <c r="U45" s="890">
        <v>0</v>
      </c>
      <c r="V45" s="917">
        <f t="shared" si="18"/>
        <v>5086675.3310210221</v>
      </c>
      <c r="W45" s="917">
        <f t="shared" si="19"/>
        <v>5086675.3310210221</v>
      </c>
      <c r="X45" s="918">
        <f>-V45*Reports!$I$33</f>
        <v>-50866.753310210224</v>
      </c>
      <c r="Y45" s="917">
        <f t="shared" si="6"/>
        <v>5035808.577710812</v>
      </c>
      <c r="Z45" s="918">
        <f t="shared" si="7"/>
        <v>5035808.577710812</v>
      </c>
      <c r="AA45" s="918" cm="1">
        <f t="array" ref="AA45">IF(SUM($Z$8:$Z45)&gt;$AA$7,IF(SUM($Z$8:$Z45)-$Z45&gt;=c_maxEquity,0,c_maxEquity-SUM($Z$8:$Z45)+$Z45),$Z45)</f>
        <v>5035808.577710812</v>
      </c>
      <c r="AB45" s="917">
        <f t="shared" si="20"/>
        <v>0</v>
      </c>
      <c r="AC45" s="917" cm="1">
        <f t="array" aca="1" ref="AC45" ca="1">IF(SUM($AC$8:AC44) + (AB45 * $AC$6) &gt; c_maxEquity, MAX(0,c_maxEquity - SUM($AC$8:AC44)), AB45 * $AC$6)</f>
        <v>0</v>
      </c>
      <c r="AD45" s="917">
        <f t="shared" ca="1" si="8"/>
        <v>0</v>
      </c>
      <c r="AE45" s="917">
        <f t="shared" ca="1" si="9"/>
        <v>0</v>
      </c>
      <c r="AF45" s="917">
        <f t="shared" ca="1" si="10"/>
        <v>0</v>
      </c>
      <c r="AG45" s="917">
        <f t="shared" ca="1" si="15"/>
        <v>0</v>
      </c>
      <c r="AK45" s="917">
        <f t="shared" si="11"/>
        <v>0</v>
      </c>
      <c r="AL45" s="917">
        <v>5035808.577710812</v>
      </c>
      <c r="AM45" s="917">
        <f ca="1"/>
        <v>0</v>
      </c>
      <c r="AN45" s="917">
        <f ca="1"/>
        <v>0</v>
      </c>
      <c r="AO45" s="917">
        <f t="shared" ca="1" si="12"/>
        <v>5035808.577710812</v>
      </c>
      <c r="AP45" s="917">
        <f t="shared" ca="1" si="13"/>
        <v>5035808.577710812</v>
      </c>
    </row>
    <row r="46" spans="1:42" ht="16">
      <c r="A46" s="41" t="e">
        <f t="shared" si="16"/>
        <v>#REF!</v>
      </c>
      <c r="B46" s="70" t="e">
        <f>#REF!/#REF!</f>
        <v>#REF!</v>
      </c>
      <c r="C46" s="39">
        <v>75</v>
      </c>
      <c r="D46" s="40" t="e">
        <f>#REF!/43560</f>
        <v>#REF!</v>
      </c>
      <c r="E46" s="5"/>
      <c r="F46" s="890">
        <v>38</v>
      </c>
      <c r="G46" s="935">
        <v>46843</v>
      </c>
      <c r="H46" s="915">
        <v>13</v>
      </c>
      <c r="I46" s="915" t="str">
        <f t="shared" si="21"/>
        <v>Q1-28</v>
      </c>
      <c r="J46" s="915">
        <f t="shared" si="14"/>
        <v>4</v>
      </c>
      <c r="K46" s="916">
        <v>2028</v>
      </c>
      <c r="L46" s="890"/>
      <c r="M46" s="890"/>
      <c r="N46" s="890">
        <v>0</v>
      </c>
      <c r="O46" s="917">
        <f t="shared" si="17"/>
        <v>0</v>
      </c>
      <c r="P46" s="917"/>
      <c r="Q46" s="890">
        <v>0</v>
      </c>
      <c r="R46" s="890">
        <v>0</v>
      </c>
      <c r="S46" s="890">
        <v>0</v>
      </c>
      <c r="T46" s="890">
        <v>0</v>
      </c>
      <c r="U46" s="890">
        <v>0</v>
      </c>
      <c r="V46" s="917">
        <f t="shared" si="18"/>
        <v>0</v>
      </c>
      <c r="W46" s="917">
        <f t="shared" si="19"/>
        <v>0</v>
      </c>
      <c r="X46" s="918">
        <f>-V46*Reports!$I$33</f>
        <v>0</v>
      </c>
      <c r="Y46" s="917">
        <f t="shared" si="6"/>
        <v>0</v>
      </c>
      <c r="Z46" s="918">
        <f t="shared" si="7"/>
        <v>0</v>
      </c>
      <c r="AA46" s="918" cm="1">
        <f t="array" ref="AA46">IF(SUM($Z$8:$Z46)&gt;$AA$7,IF(SUM($Z$8:$Z46)-$Z46&gt;=c_maxEquity,0,c_maxEquity-SUM($Z$8:$Z46)+$Z46),$Z46)</f>
        <v>0</v>
      </c>
      <c r="AB46" s="917">
        <f t="shared" si="20"/>
        <v>0</v>
      </c>
      <c r="AC46" s="917" cm="1">
        <f t="array" aca="1" ref="AC46" ca="1">IF(SUM($AC$8:AC45) + (AB46 * $AC$6) &gt; c_maxEquity, MAX(0,c_maxEquity - SUM($AC$8:AC45)), AB46 * $AC$6)</f>
        <v>0</v>
      </c>
      <c r="AD46" s="917">
        <f t="shared" ca="1" si="8"/>
        <v>0</v>
      </c>
      <c r="AE46" s="917">
        <f t="shared" ca="1" si="9"/>
        <v>0</v>
      </c>
      <c r="AF46" s="917">
        <f t="shared" ca="1" si="10"/>
        <v>0</v>
      </c>
      <c r="AG46" s="917">
        <f t="shared" ca="1" si="15"/>
        <v>0</v>
      </c>
      <c r="AK46" s="917">
        <f t="shared" si="11"/>
        <v>0</v>
      </c>
      <c r="AL46" s="917">
        <v>0</v>
      </c>
      <c r="AM46" s="917">
        <f ca="1"/>
        <v>0</v>
      </c>
      <c r="AN46" s="917">
        <f ca="1"/>
        <v>0</v>
      </c>
      <c r="AO46" s="917">
        <f t="shared" ca="1" si="12"/>
        <v>0</v>
      </c>
      <c r="AP46" s="917">
        <f t="shared" ca="1" si="13"/>
        <v>0</v>
      </c>
    </row>
    <row r="47" spans="1:42" ht="16">
      <c r="A47" s="41" t="e">
        <f t="shared" si="16"/>
        <v>#REF!</v>
      </c>
      <c r="B47" s="70" t="e">
        <f>#REF!/#REF!</f>
        <v>#REF!</v>
      </c>
      <c r="C47" s="39">
        <v>75</v>
      </c>
      <c r="D47" s="40" t="e">
        <f>#REF!/43560</f>
        <v>#REF!</v>
      </c>
      <c r="E47" s="5"/>
      <c r="F47" s="890">
        <v>39</v>
      </c>
      <c r="G47" s="935">
        <v>46873</v>
      </c>
      <c r="H47" s="915">
        <v>13</v>
      </c>
      <c r="I47" s="915" t="str">
        <f t="shared" si="21"/>
        <v>Q2-28</v>
      </c>
      <c r="J47" s="915">
        <f t="shared" si="14"/>
        <v>4</v>
      </c>
      <c r="K47" s="916">
        <v>2028</v>
      </c>
      <c r="L47" s="890"/>
      <c r="M47" s="890"/>
      <c r="N47" s="890">
        <v>0</v>
      </c>
      <c r="O47" s="917">
        <f t="shared" si="17"/>
        <v>0</v>
      </c>
      <c r="P47" s="917"/>
      <c r="Q47" s="890">
        <v>0</v>
      </c>
      <c r="R47" s="890">
        <v>0</v>
      </c>
      <c r="S47" s="890">
        <v>6631605.0943497308</v>
      </c>
      <c r="T47" s="890">
        <v>1892716.4022403797</v>
      </c>
      <c r="U47" s="890">
        <v>0</v>
      </c>
      <c r="V47" s="917">
        <f t="shared" si="18"/>
        <v>8524321.4965901114</v>
      </c>
      <c r="W47" s="917">
        <f t="shared" si="19"/>
        <v>8524321.4965901114</v>
      </c>
      <c r="X47" s="918">
        <f>-V47*Reports!$I$33</f>
        <v>-85243.214965901119</v>
      </c>
      <c r="Y47" s="917">
        <f t="shared" si="6"/>
        <v>8439078.281624211</v>
      </c>
      <c r="Z47" s="918">
        <f t="shared" si="7"/>
        <v>8439078.281624211</v>
      </c>
      <c r="AA47" s="918" cm="1">
        <f t="array" ref="AA47">IF(SUM($Z$8:$Z47)&gt;$AA$7,IF(SUM($Z$8:$Z47)-$Z47&gt;=c_maxEquity,0,c_maxEquity-SUM($Z$8:$Z47)+$Z47),$Z47)</f>
        <v>3785096.221605869</v>
      </c>
      <c r="AB47" s="917">
        <f t="shared" si="20"/>
        <v>4653982.060018342</v>
      </c>
      <c r="AC47" s="917" cm="1">
        <f t="array" aca="1" ref="AC47" ca="1">IF(SUM($AC$8:AC46) + (AB47 * $AC$6) &gt; c_maxEquity, MAX(0,c_maxEquity - SUM($AC$8:AC46)), AB47 * $AC$6)</f>
        <v>3723185.648014674</v>
      </c>
      <c r="AD47" s="917">
        <f t="shared" ca="1" si="8"/>
        <v>930796.41200366803</v>
      </c>
      <c r="AE47" s="917">
        <f t="shared" ca="1" si="9"/>
        <v>0</v>
      </c>
      <c r="AF47" s="917">
        <f t="shared" ca="1" si="10"/>
        <v>0</v>
      </c>
      <c r="AG47" s="917">
        <f t="shared" ca="1" si="15"/>
        <v>0</v>
      </c>
      <c r="AK47" s="917">
        <f t="shared" si="11"/>
        <v>0</v>
      </c>
      <c r="AL47" s="917">
        <v>3785096.221605869</v>
      </c>
      <c r="AM47" s="917">
        <f ca="1"/>
        <v>3723185.648014674</v>
      </c>
      <c r="AN47" s="917">
        <f ca="1"/>
        <v>0</v>
      </c>
      <c r="AO47" s="917">
        <f t="shared" ca="1" si="12"/>
        <v>7508281.869620543</v>
      </c>
      <c r="AP47" s="917">
        <f t="shared" ca="1" si="13"/>
        <v>7508281.869620543</v>
      </c>
    </row>
    <row r="48" spans="1:42" ht="16">
      <c r="A48" s="41" t="e">
        <f t="shared" si="16"/>
        <v>#REF!</v>
      </c>
      <c r="B48" s="70" t="e">
        <f>#REF!/#REF!</f>
        <v>#REF!</v>
      </c>
      <c r="C48" s="39">
        <v>62.5</v>
      </c>
      <c r="D48" s="40" t="e">
        <f>#REF!/43560</f>
        <v>#REF!</v>
      </c>
      <c r="E48" s="5"/>
      <c r="F48" s="890">
        <v>40</v>
      </c>
      <c r="G48" s="935">
        <v>46904</v>
      </c>
      <c r="H48" s="915">
        <v>14</v>
      </c>
      <c r="I48" s="915" t="str">
        <f t="shared" si="21"/>
        <v>Q2-28</v>
      </c>
      <c r="J48" s="915">
        <f t="shared" si="14"/>
        <v>4</v>
      </c>
      <c r="K48" s="916">
        <v>2028</v>
      </c>
      <c r="L48" s="890"/>
      <c r="M48" s="890"/>
      <c r="N48" s="890">
        <v>0</v>
      </c>
      <c r="O48" s="917">
        <f t="shared" si="17"/>
        <v>0</v>
      </c>
      <c r="P48" s="917"/>
      <c r="Q48" s="890">
        <v>0</v>
      </c>
      <c r="R48" s="890">
        <v>0</v>
      </c>
      <c r="S48" s="890">
        <v>0</v>
      </c>
      <c r="T48" s="890">
        <v>0</v>
      </c>
      <c r="U48" s="890">
        <v>0</v>
      </c>
      <c r="V48" s="917">
        <f t="shared" si="18"/>
        <v>0</v>
      </c>
      <c r="W48" s="917">
        <f t="shared" si="19"/>
        <v>0</v>
      </c>
      <c r="X48" s="918">
        <f>-V48*Reports!$I$33</f>
        <v>0</v>
      </c>
      <c r="Y48" s="917">
        <f t="shared" si="6"/>
        <v>0</v>
      </c>
      <c r="Z48" s="918">
        <f t="shared" si="7"/>
        <v>0</v>
      </c>
      <c r="AA48" s="918" cm="1">
        <f t="array" ref="AA48">IF(SUM($Z$8:$Z48)&gt;$AA$7,IF(SUM($Z$8:$Z48)-$Z48&gt;=c_maxEquity,0,c_maxEquity-SUM($Z$8:$Z48)+$Z48),$Z48)</f>
        <v>0</v>
      </c>
      <c r="AB48" s="917">
        <f t="shared" si="20"/>
        <v>0</v>
      </c>
      <c r="AC48" s="917" cm="1">
        <f t="array" aca="1" ref="AC48" ca="1">IF(SUM($AC$8:AC47) + (AB48 * $AC$6) &gt; c_maxEquity, MAX(0,c_maxEquity - SUM($AC$8:AC47)), AB48 * $AC$6)</f>
        <v>0</v>
      </c>
      <c r="AD48" s="917">
        <f t="shared" ca="1" si="8"/>
        <v>0</v>
      </c>
      <c r="AE48" s="917">
        <f t="shared" ca="1" si="9"/>
        <v>0</v>
      </c>
      <c r="AF48" s="917">
        <f t="shared" ca="1" si="10"/>
        <v>0</v>
      </c>
      <c r="AG48" s="917">
        <f t="shared" ca="1" si="15"/>
        <v>0</v>
      </c>
      <c r="AK48" s="917">
        <f t="shared" si="11"/>
        <v>0</v>
      </c>
      <c r="AL48" s="917">
        <v>0</v>
      </c>
      <c r="AM48" s="917">
        <f ca="1"/>
        <v>0</v>
      </c>
      <c r="AN48" s="917">
        <f ca="1"/>
        <v>0</v>
      </c>
      <c r="AO48" s="917">
        <f t="shared" ca="1" si="12"/>
        <v>0</v>
      </c>
      <c r="AP48" s="917">
        <f t="shared" ca="1" si="13"/>
        <v>0</v>
      </c>
    </row>
    <row r="49" spans="1:42" ht="16">
      <c r="A49" s="41" t="e">
        <f t="shared" si="16"/>
        <v>#REF!</v>
      </c>
      <c r="B49" s="70" t="e">
        <f>#REF!/#REF!</f>
        <v>#REF!</v>
      </c>
      <c r="C49" s="39">
        <v>62.5</v>
      </c>
      <c r="D49" s="40" t="e">
        <f>#REF!/43560</f>
        <v>#REF!</v>
      </c>
      <c r="E49" s="5"/>
      <c r="F49" s="890">
        <v>41</v>
      </c>
      <c r="G49" s="935">
        <v>46934</v>
      </c>
      <c r="H49" s="915">
        <v>14</v>
      </c>
      <c r="I49" s="915" t="str">
        <f t="shared" si="21"/>
        <v>Q2-28</v>
      </c>
      <c r="J49" s="915">
        <f t="shared" si="14"/>
        <v>4</v>
      </c>
      <c r="K49" s="916">
        <v>2028</v>
      </c>
      <c r="L49" s="890"/>
      <c r="M49" s="890"/>
      <c r="N49" s="890">
        <v>0</v>
      </c>
      <c r="O49" s="917">
        <f t="shared" si="17"/>
        <v>0</v>
      </c>
      <c r="P49" s="917"/>
      <c r="Q49" s="890">
        <v>0</v>
      </c>
      <c r="R49" s="890">
        <v>0</v>
      </c>
      <c r="S49" s="890">
        <v>0</v>
      </c>
      <c r="T49" s="890">
        <v>0</v>
      </c>
      <c r="U49" s="890">
        <v>0</v>
      </c>
      <c r="V49" s="917">
        <f t="shared" si="18"/>
        <v>0</v>
      </c>
      <c r="W49" s="917">
        <f t="shared" si="19"/>
        <v>0</v>
      </c>
      <c r="X49" s="918">
        <f>-V49*Reports!$I$33</f>
        <v>0</v>
      </c>
      <c r="Y49" s="917">
        <f t="shared" si="6"/>
        <v>0</v>
      </c>
      <c r="Z49" s="918">
        <f t="shared" si="7"/>
        <v>0</v>
      </c>
      <c r="AA49" s="918" cm="1">
        <f t="array" ref="AA49">IF(SUM($Z$8:$Z49)&gt;$AA$7,IF(SUM($Z$8:$Z49)-$Z49&gt;=c_maxEquity,0,c_maxEquity-SUM($Z$8:$Z49)+$Z49),$Z49)</f>
        <v>0</v>
      </c>
      <c r="AB49" s="917">
        <f t="shared" si="20"/>
        <v>0</v>
      </c>
      <c r="AC49" s="917" cm="1">
        <f t="array" aca="1" ref="AC49" ca="1">IF(SUM($AC$8:AC48) + (AB49 * $AC$6) &gt; c_maxEquity, MAX(0,c_maxEquity - SUM($AC$8:AC48)), AB49 * $AC$6)</f>
        <v>0</v>
      </c>
      <c r="AD49" s="917">
        <f t="shared" ca="1" si="8"/>
        <v>0</v>
      </c>
      <c r="AE49" s="917">
        <f t="shared" ca="1" si="9"/>
        <v>0</v>
      </c>
      <c r="AF49" s="917">
        <f t="shared" ca="1" si="10"/>
        <v>0</v>
      </c>
      <c r="AG49" s="917">
        <f t="shared" ca="1" si="15"/>
        <v>0</v>
      </c>
      <c r="AK49" s="917">
        <f t="shared" si="11"/>
        <v>0</v>
      </c>
      <c r="AL49" s="917">
        <v>0</v>
      </c>
      <c r="AM49" s="917">
        <f ca="1"/>
        <v>0</v>
      </c>
      <c r="AN49" s="917">
        <f ca="1"/>
        <v>0</v>
      </c>
      <c r="AO49" s="917">
        <f t="shared" ca="1" si="12"/>
        <v>0</v>
      </c>
      <c r="AP49" s="917">
        <f t="shared" ca="1" si="13"/>
        <v>0</v>
      </c>
    </row>
    <row r="50" spans="1:42" ht="16">
      <c r="A50" s="41" t="e">
        <f t="shared" si="16"/>
        <v>#REF!</v>
      </c>
      <c r="B50" s="70" t="e">
        <f>#REF!/#REF!</f>
        <v>#REF!</v>
      </c>
      <c r="C50" s="39">
        <v>75</v>
      </c>
      <c r="D50" s="40" t="e">
        <f>#REF!/43560</f>
        <v>#REF!</v>
      </c>
      <c r="E50" s="5"/>
      <c r="F50" s="890">
        <v>42</v>
      </c>
      <c r="G50" s="935">
        <v>46965</v>
      </c>
      <c r="H50" s="915">
        <v>14</v>
      </c>
      <c r="I50" s="915" t="str">
        <f t="shared" si="21"/>
        <v>Q3-28</v>
      </c>
      <c r="J50" s="915">
        <f t="shared" si="14"/>
        <v>4</v>
      </c>
      <c r="K50" s="916">
        <v>2028</v>
      </c>
      <c r="L50" s="890"/>
      <c r="M50" s="890"/>
      <c r="N50" s="890">
        <v>0</v>
      </c>
      <c r="O50" s="917">
        <f t="shared" si="17"/>
        <v>0</v>
      </c>
      <c r="P50" s="917"/>
      <c r="Q50" s="890">
        <v>0</v>
      </c>
      <c r="R50" s="890">
        <v>0</v>
      </c>
      <c r="S50" s="890">
        <v>0</v>
      </c>
      <c r="T50" s="890">
        <v>6033033.5321412114</v>
      </c>
      <c r="U50" s="890">
        <v>0</v>
      </c>
      <c r="V50" s="917">
        <f t="shared" si="18"/>
        <v>6033033.5321412114</v>
      </c>
      <c r="W50" s="917">
        <f t="shared" si="19"/>
        <v>6033033.5321412114</v>
      </c>
      <c r="X50" s="918">
        <f>-V50*Reports!$I$33</f>
        <v>-60330.335321412116</v>
      </c>
      <c r="Y50" s="917">
        <f t="shared" si="6"/>
        <v>5972703.196819799</v>
      </c>
      <c r="Z50" s="918">
        <f t="shared" si="7"/>
        <v>5972703.196819799</v>
      </c>
      <c r="AA50" s="918" cm="1">
        <f t="array" ref="AA50">IF(SUM($Z$8:$Z50)&gt;$AA$7,IF(SUM($Z$8:$Z50)-$Z50&gt;=c_maxEquity,0,c_maxEquity-SUM($Z$8:$Z50)+$Z50),$Z50)</f>
        <v>0</v>
      </c>
      <c r="AB50" s="917">
        <f t="shared" si="20"/>
        <v>5972703.196819799</v>
      </c>
      <c r="AC50" s="917" cm="1">
        <f t="array" aca="1" ref="AC50" ca="1">IF(SUM($AC$8:AC49) + (AB50 * $AC$6) &gt; c_maxEquity, MAX(0,c_maxEquity - SUM($AC$8:AC49)), AB50 * $AC$6)</f>
        <v>4778162.5574558396</v>
      </c>
      <c r="AD50" s="917">
        <f t="shared" ca="1" si="8"/>
        <v>1194540.6393639594</v>
      </c>
      <c r="AE50" s="917">
        <f t="shared" ca="1" si="9"/>
        <v>0</v>
      </c>
      <c r="AF50" s="917">
        <f t="shared" ca="1" si="10"/>
        <v>0</v>
      </c>
      <c r="AG50" s="917">
        <f t="shared" ca="1" si="15"/>
        <v>0</v>
      </c>
      <c r="AK50" s="917">
        <f t="shared" si="11"/>
        <v>0</v>
      </c>
      <c r="AL50" s="917">
        <v>0</v>
      </c>
      <c r="AM50" s="917">
        <f ca="1"/>
        <v>4778162.5574558396</v>
      </c>
      <c r="AN50" s="917">
        <f ca="1"/>
        <v>0</v>
      </c>
      <c r="AO50" s="917">
        <f t="shared" ca="1" si="12"/>
        <v>4778162.5574558396</v>
      </c>
      <c r="AP50" s="917">
        <f t="shared" ca="1" si="13"/>
        <v>4778162.5574558396</v>
      </c>
    </row>
    <row r="51" spans="1:42" ht="16">
      <c r="A51" s="41" t="e">
        <f t="shared" si="16"/>
        <v>#REF!</v>
      </c>
      <c r="B51" s="70" t="e">
        <f>#REF!/#REF!</f>
        <v>#REF!</v>
      </c>
      <c r="C51" s="39">
        <v>62.5</v>
      </c>
      <c r="D51" s="40" t="e">
        <f>#REF!/43560</f>
        <v>#REF!</v>
      </c>
      <c r="E51" s="5"/>
      <c r="F51" s="890">
        <v>43</v>
      </c>
      <c r="G51" s="935">
        <v>46996</v>
      </c>
      <c r="H51" s="915">
        <v>15</v>
      </c>
      <c r="I51" s="915" t="str">
        <f t="shared" si="21"/>
        <v>Q3-28</v>
      </c>
      <c r="J51" s="915">
        <f t="shared" si="14"/>
        <v>4</v>
      </c>
      <c r="K51" s="916">
        <v>2028</v>
      </c>
      <c r="L51" s="890"/>
      <c r="M51" s="890"/>
      <c r="N51" s="890">
        <v>0</v>
      </c>
      <c r="O51" s="917">
        <f t="shared" si="17"/>
        <v>0</v>
      </c>
      <c r="P51" s="917"/>
      <c r="Q51" s="890">
        <v>0</v>
      </c>
      <c r="R51" s="890">
        <v>0</v>
      </c>
      <c r="S51" s="890">
        <v>0</v>
      </c>
      <c r="T51" s="890">
        <v>0</v>
      </c>
      <c r="U51" s="890">
        <v>0</v>
      </c>
      <c r="V51" s="917">
        <f t="shared" si="18"/>
        <v>0</v>
      </c>
      <c r="W51" s="917">
        <f t="shared" si="19"/>
        <v>0</v>
      </c>
      <c r="X51" s="918">
        <f>-V51*Reports!$I$33</f>
        <v>0</v>
      </c>
      <c r="Y51" s="917">
        <f t="shared" si="6"/>
        <v>0</v>
      </c>
      <c r="Z51" s="918">
        <f t="shared" si="7"/>
        <v>0</v>
      </c>
      <c r="AA51" s="918" cm="1">
        <f t="array" ref="AA51">IF(SUM($Z$8:$Z51)&gt;$AA$7,IF(SUM($Z$8:$Z51)-$Z51&gt;=c_maxEquity,0,c_maxEquity-SUM($Z$8:$Z51)+$Z51),$Z51)</f>
        <v>0</v>
      </c>
      <c r="AB51" s="917">
        <f t="shared" si="20"/>
        <v>0</v>
      </c>
      <c r="AC51" s="917" cm="1">
        <f t="array" aca="1" ref="AC51" ca="1">IF(SUM($AC$8:AC50) + (AB51 * $AC$6) &gt; c_maxEquity, MAX(0,c_maxEquity - SUM($AC$8:AC50)), AB51 * $AC$6)</f>
        <v>0</v>
      </c>
      <c r="AD51" s="917">
        <f t="shared" ca="1" si="8"/>
        <v>0</v>
      </c>
      <c r="AE51" s="917">
        <f t="shared" ca="1" si="9"/>
        <v>0</v>
      </c>
      <c r="AF51" s="917">
        <f t="shared" ca="1" si="10"/>
        <v>0</v>
      </c>
      <c r="AG51" s="917">
        <f t="shared" ca="1" si="15"/>
        <v>0</v>
      </c>
      <c r="AK51" s="917">
        <f t="shared" si="11"/>
        <v>0</v>
      </c>
      <c r="AL51" s="917">
        <v>0</v>
      </c>
      <c r="AM51" s="917">
        <f ca="1"/>
        <v>0</v>
      </c>
      <c r="AN51" s="917">
        <f ca="1"/>
        <v>0</v>
      </c>
      <c r="AO51" s="917">
        <f t="shared" ca="1" si="12"/>
        <v>0</v>
      </c>
      <c r="AP51" s="917">
        <f t="shared" ca="1" si="13"/>
        <v>0</v>
      </c>
    </row>
    <row r="52" spans="1:42" ht="16">
      <c r="A52" s="41" t="e">
        <f t="shared" si="16"/>
        <v>#REF!</v>
      </c>
      <c r="B52" s="70" t="e">
        <f>#REF!/#REF!</f>
        <v>#REF!</v>
      </c>
      <c r="C52" s="39">
        <v>50</v>
      </c>
      <c r="D52" s="40" t="e">
        <f>#REF!/43560</f>
        <v>#REF!</v>
      </c>
      <c r="E52" s="5"/>
      <c r="F52" s="890">
        <v>44</v>
      </c>
      <c r="G52" s="935">
        <v>47026</v>
      </c>
      <c r="H52" s="915">
        <v>15</v>
      </c>
      <c r="I52" s="915" t="str">
        <f t="shared" si="21"/>
        <v>Q3-28</v>
      </c>
      <c r="J52" s="915">
        <f t="shared" si="14"/>
        <v>4</v>
      </c>
      <c r="K52" s="916">
        <v>2028</v>
      </c>
      <c r="L52" s="890"/>
      <c r="M52" s="890"/>
      <c r="N52" s="890">
        <v>0</v>
      </c>
      <c r="O52" s="917">
        <f t="shared" si="17"/>
        <v>0</v>
      </c>
      <c r="P52" s="917"/>
      <c r="Q52" s="890">
        <v>0</v>
      </c>
      <c r="R52" s="890">
        <v>0</v>
      </c>
      <c r="S52" s="890">
        <v>0</v>
      </c>
      <c r="T52" s="890">
        <v>0</v>
      </c>
      <c r="U52" s="890">
        <v>0</v>
      </c>
      <c r="V52" s="917">
        <f t="shared" si="18"/>
        <v>0</v>
      </c>
      <c r="W52" s="917">
        <f t="shared" si="19"/>
        <v>0</v>
      </c>
      <c r="X52" s="918">
        <f>-V52*Reports!$I$33</f>
        <v>0</v>
      </c>
      <c r="Y52" s="917">
        <f t="shared" si="6"/>
        <v>0</v>
      </c>
      <c r="Z52" s="918">
        <f t="shared" si="7"/>
        <v>0</v>
      </c>
      <c r="AA52" s="918" cm="1">
        <f t="array" ref="AA52">IF(SUM($Z$8:$Z52)&gt;$AA$7,IF(SUM($Z$8:$Z52)-$Z52&gt;=c_maxEquity,0,c_maxEquity-SUM($Z$8:$Z52)+$Z52),$Z52)</f>
        <v>0</v>
      </c>
      <c r="AB52" s="917">
        <f t="shared" si="20"/>
        <v>0</v>
      </c>
      <c r="AC52" s="917" cm="1">
        <f t="array" aca="1" ref="AC52" ca="1">IF(SUM($AC$8:AC51) + (AB52 * $AC$6) &gt; c_maxEquity, MAX(0,c_maxEquity - SUM($AC$8:AC51)), AB52 * $AC$6)</f>
        <v>0</v>
      </c>
      <c r="AD52" s="917">
        <f t="shared" ca="1" si="8"/>
        <v>0</v>
      </c>
      <c r="AE52" s="917">
        <f t="shared" ca="1" si="9"/>
        <v>0</v>
      </c>
      <c r="AF52" s="917">
        <f t="shared" ca="1" si="10"/>
        <v>0</v>
      </c>
      <c r="AG52" s="917">
        <f t="shared" ca="1" si="15"/>
        <v>0</v>
      </c>
      <c r="AK52" s="917">
        <f t="shared" si="11"/>
        <v>0</v>
      </c>
      <c r="AL52" s="917">
        <v>0</v>
      </c>
      <c r="AM52" s="917">
        <f ca="1"/>
        <v>0</v>
      </c>
      <c r="AN52" s="917">
        <f ca="1"/>
        <v>0</v>
      </c>
      <c r="AO52" s="917">
        <f t="shared" ca="1" si="12"/>
        <v>0</v>
      </c>
      <c r="AP52" s="917">
        <f t="shared" ca="1" si="13"/>
        <v>0</v>
      </c>
    </row>
    <row r="53" spans="1:42" ht="16">
      <c r="A53" s="41" t="e">
        <f t="shared" si="16"/>
        <v>#REF!</v>
      </c>
      <c r="B53" s="70" t="e">
        <f>#REF!/#REF!</f>
        <v>#REF!</v>
      </c>
      <c r="C53" s="39">
        <v>75</v>
      </c>
      <c r="D53" s="40" t="e">
        <f>#REF!/43560</f>
        <v>#REF!</v>
      </c>
      <c r="E53" s="5"/>
      <c r="F53" s="890">
        <v>45</v>
      </c>
      <c r="G53" s="935">
        <v>47057</v>
      </c>
      <c r="H53" s="915">
        <v>15</v>
      </c>
      <c r="I53" s="915" t="str">
        <f t="shared" si="21"/>
        <v>Q4-28</v>
      </c>
      <c r="J53" s="915">
        <f t="shared" si="14"/>
        <v>4</v>
      </c>
      <c r="K53" s="916">
        <v>2028</v>
      </c>
      <c r="L53" s="890"/>
      <c r="M53" s="890"/>
      <c r="N53" s="890">
        <v>0</v>
      </c>
      <c r="O53" s="917">
        <f t="shared" si="17"/>
        <v>0</v>
      </c>
      <c r="P53" s="917"/>
      <c r="Q53" s="890">
        <v>0</v>
      </c>
      <c r="R53" s="890">
        <v>0</v>
      </c>
      <c r="S53" s="890">
        <v>0</v>
      </c>
      <c r="T53" s="890">
        <v>0</v>
      </c>
      <c r="U53" s="890">
        <v>0</v>
      </c>
      <c r="V53" s="917">
        <f t="shared" si="18"/>
        <v>0</v>
      </c>
      <c r="W53" s="917">
        <f t="shared" si="19"/>
        <v>0</v>
      </c>
      <c r="X53" s="918">
        <f>-V53*Reports!$I$33</f>
        <v>0</v>
      </c>
      <c r="Y53" s="917">
        <f t="shared" si="6"/>
        <v>0</v>
      </c>
      <c r="Z53" s="918">
        <f t="shared" si="7"/>
        <v>0</v>
      </c>
      <c r="AA53" s="918" cm="1">
        <f t="array" ref="AA53">IF(SUM($Z$8:$Z53)&gt;$AA$7,IF(SUM($Z$8:$Z53)-$Z53&gt;=c_maxEquity,0,c_maxEquity-SUM($Z$8:$Z53)+$Z53),$Z53)</f>
        <v>0</v>
      </c>
      <c r="AB53" s="917">
        <f t="shared" si="20"/>
        <v>0</v>
      </c>
      <c r="AC53" s="917" cm="1">
        <f t="array" aca="1" ref="AC53" ca="1">IF(SUM($AC$8:AC52) + (AB53 * $AC$6) &gt; c_maxEquity, MAX(0,c_maxEquity - SUM($AC$8:AC52)), AB53 * $AC$6)</f>
        <v>0</v>
      </c>
      <c r="AD53" s="917">
        <f t="shared" ca="1" si="8"/>
        <v>0</v>
      </c>
      <c r="AE53" s="917">
        <f t="shared" ca="1" si="9"/>
        <v>0</v>
      </c>
      <c r="AF53" s="917">
        <f t="shared" ca="1" si="10"/>
        <v>0</v>
      </c>
      <c r="AG53" s="917">
        <f t="shared" ca="1" si="15"/>
        <v>0</v>
      </c>
      <c r="AK53" s="917">
        <f t="shared" si="11"/>
        <v>0</v>
      </c>
      <c r="AL53" s="917">
        <v>0</v>
      </c>
      <c r="AM53" s="917">
        <f ca="1"/>
        <v>0</v>
      </c>
      <c r="AN53" s="917">
        <f ca="1"/>
        <v>0</v>
      </c>
      <c r="AO53" s="917">
        <f t="shared" ca="1" si="12"/>
        <v>0</v>
      </c>
      <c r="AP53" s="917">
        <f t="shared" ca="1" si="13"/>
        <v>0</v>
      </c>
    </row>
    <row r="54" spans="1:42" ht="16">
      <c r="A54" s="41" t="e">
        <f t="shared" si="16"/>
        <v>#REF!</v>
      </c>
      <c r="B54" s="70" t="e">
        <f>#REF!/#REF!</f>
        <v>#REF!</v>
      </c>
      <c r="C54" s="39">
        <v>75</v>
      </c>
      <c r="D54" s="40" t="e">
        <f>#REF!/43560</f>
        <v>#REF!</v>
      </c>
      <c r="E54" s="5"/>
      <c r="F54" s="890">
        <v>46</v>
      </c>
      <c r="G54" s="935">
        <v>47087</v>
      </c>
      <c r="H54" s="915">
        <v>16</v>
      </c>
      <c r="I54" s="915" t="str">
        <f t="shared" si="21"/>
        <v>Q4-28</v>
      </c>
      <c r="J54" s="915">
        <f t="shared" si="14"/>
        <v>4</v>
      </c>
      <c r="K54" s="916">
        <v>2028</v>
      </c>
      <c r="L54" s="890"/>
      <c r="M54" s="890"/>
      <c r="N54" s="890">
        <v>0</v>
      </c>
      <c r="O54" s="917">
        <f t="shared" si="17"/>
        <v>0</v>
      </c>
      <c r="P54" s="917"/>
      <c r="Q54" s="890">
        <v>0</v>
      </c>
      <c r="R54" s="890">
        <v>0</v>
      </c>
      <c r="S54" s="890">
        <v>0</v>
      </c>
      <c r="T54" s="890">
        <v>0</v>
      </c>
      <c r="U54" s="890">
        <v>0</v>
      </c>
      <c r="V54" s="917">
        <f t="shared" si="18"/>
        <v>0</v>
      </c>
      <c r="W54" s="917">
        <f t="shared" si="19"/>
        <v>0</v>
      </c>
      <c r="X54" s="918">
        <f>-V54*Reports!$I$33</f>
        <v>0</v>
      </c>
      <c r="Y54" s="917">
        <f t="shared" si="6"/>
        <v>0</v>
      </c>
      <c r="Z54" s="918">
        <f t="shared" si="7"/>
        <v>0</v>
      </c>
      <c r="AA54" s="918" cm="1">
        <f t="array" ref="AA54">IF(SUM($Z$8:$Z54)&gt;$AA$7,IF(SUM($Z$8:$Z54)-$Z54&gt;=c_maxEquity,0,c_maxEquity-SUM($Z$8:$Z54)+$Z54),$Z54)</f>
        <v>0</v>
      </c>
      <c r="AB54" s="917">
        <f t="shared" si="20"/>
        <v>0</v>
      </c>
      <c r="AC54" s="917" cm="1">
        <f t="array" aca="1" ref="AC54" ca="1">IF(SUM($AC$8:AC53) + (AB54 * $AC$6) &gt; c_maxEquity, MAX(0,c_maxEquity - SUM($AC$8:AC53)), AB54 * $AC$6)</f>
        <v>0</v>
      </c>
      <c r="AD54" s="917">
        <f t="shared" ca="1" si="8"/>
        <v>0</v>
      </c>
      <c r="AE54" s="917">
        <f t="shared" ca="1" si="9"/>
        <v>0</v>
      </c>
      <c r="AF54" s="917">
        <f t="shared" ca="1" si="10"/>
        <v>0</v>
      </c>
      <c r="AG54" s="917">
        <f t="shared" ca="1" si="15"/>
        <v>0</v>
      </c>
      <c r="AK54" s="917">
        <f t="shared" si="11"/>
        <v>0</v>
      </c>
      <c r="AL54" s="917">
        <v>0</v>
      </c>
      <c r="AM54" s="917">
        <f ca="1"/>
        <v>0</v>
      </c>
      <c r="AN54" s="917">
        <f ca="1"/>
        <v>0</v>
      </c>
      <c r="AO54" s="917">
        <f t="shared" ca="1" si="12"/>
        <v>0</v>
      </c>
      <c r="AP54" s="917">
        <f t="shared" ca="1" si="13"/>
        <v>0</v>
      </c>
    </row>
    <row r="55" spans="1:42" ht="16">
      <c r="A55" s="41" t="e">
        <f t="shared" si="16"/>
        <v>#REF!</v>
      </c>
      <c r="B55" s="72" t="e">
        <f>#REF!/#REF!</f>
        <v>#REF!</v>
      </c>
      <c r="C55" s="39">
        <v>75</v>
      </c>
      <c r="D55" s="40" t="e">
        <f>#REF!/43560</f>
        <v>#REF!</v>
      </c>
      <c r="E55" s="5"/>
      <c r="F55" s="890">
        <v>47</v>
      </c>
      <c r="G55" s="935">
        <v>47118</v>
      </c>
      <c r="H55" s="915">
        <v>16</v>
      </c>
      <c r="I55" s="915" t="str">
        <f t="shared" si="21"/>
        <v>Q4-28</v>
      </c>
      <c r="J55" s="915">
        <f t="shared" si="14"/>
        <v>4</v>
      </c>
      <c r="K55" s="916">
        <v>2028</v>
      </c>
      <c r="L55" s="890"/>
      <c r="M55" s="890"/>
      <c r="N55" s="890">
        <v>0</v>
      </c>
      <c r="O55" s="917">
        <f t="shared" si="17"/>
        <v>0</v>
      </c>
      <c r="P55" s="917"/>
      <c r="Q55" s="890">
        <v>0</v>
      </c>
      <c r="R55" s="890">
        <v>0</v>
      </c>
      <c r="S55" s="890">
        <v>0</v>
      </c>
      <c r="T55" s="890">
        <v>0</v>
      </c>
      <c r="U55" s="890">
        <v>0</v>
      </c>
      <c r="V55" s="917">
        <f t="shared" si="18"/>
        <v>0</v>
      </c>
      <c r="W55" s="917">
        <f t="shared" si="19"/>
        <v>0</v>
      </c>
      <c r="X55" s="918">
        <f>-V55*Reports!$I$33</f>
        <v>0</v>
      </c>
      <c r="Y55" s="917">
        <f t="shared" si="6"/>
        <v>0</v>
      </c>
      <c r="Z55" s="918">
        <f t="shared" si="7"/>
        <v>0</v>
      </c>
      <c r="AA55" s="918" cm="1">
        <f t="array" ref="AA55">IF(SUM($Z$8:$Z55)&gt;$AA$7,IF(SUM($Z$8:$Z55)-$Z55&gt;=c_maxEquity,0,c_maxEquity-SUM($Z$8:$Z55)+$Z55),$Z55)</f>
        <v>0</v>
      </c>
      <c r="AB55" s="917">
        <f t="shared" si="20"/>
        <v>0</v>
      </c>
      <c r="AC55" s="917" cm="1">
        <f t="array" aca="1" ref="AC55" ca="1">IF(SUM($AC$8:AC54) + (AB55 * $AC$6) &gt; c_maxEquity, MAX(0,c_maxEquity - SUM($AC$8:AC54)), AB55 * $AC$6)</f>
        <v>0</v>
      </c>
      <c r="AD55" s="917">
        <f t="shared" ca="1" si="8"/>
        <v>0</v>
      </c>
      <c r="AE55" s="917">
        <f t="shared" ca="1" si="9"/>
        <v>0</v>
      </c>
      <c r="AF55" s="917">
        <f t="shared" ca="1" si="10"/>
        <v>0</v>
      </c>
      <c r="AG55" s="917">
        <f t="shared" ca="1" si="15"/>
        <v>0</v>
      </c>
      <c r="AK55" s="917">
        <f t="shared" si="11"/>
        <v>0</v>
      </c>
      <c r="AL55" s="917">
        <v>0</v>
      </c>
      <c r="AM55" s="917">
        <f ca="1"/>
        <v>0</v>
      </c>
      <c r="AN55" s="917">
        <f ca="1"/>
        <v>0</v>
      </c>
      <c r="AO55" s="917">
        <f t="shared" ca="1" si="12"/>
        <v>0</v>
      </c>
      <c r="AP55" s="917">
        <f t="shared" ca="1" si="13"/>
        <v>0</v>
      </c>
    </row>
    <row r="56" spans="1:42" ht="16">
      <c r="A56" s="30"/>
      <c r="B56" s="5"/>
      <c r="C56" s="30"/>
      <c r="D56" s="30"/>
      <c r="E56" s="5"/>
      <c r="F56" s="890">
        <v>48</v>
      </c>
      <c r="G56" s="935">
        <v>47149</v>
      </c>
      <c r="H56" s="915">
        <v>16</v>
      </c>
      <c r="I56" s="915" t="str">
        <f t="shared" si="21"/>
        <v>Q1-29</v>
      </c>
      <c r="J56" s="915">
        <f t="shared" si="14"/>
        <v>4</v>
      </c>
      <c r="K56" s="916">
        <v>2029</v>
      </c>
      <c r="L56" s="890"/>
      <c r="M56" s="890"/>
      <c r="N56" s="890">
        <v>0</v>
      </c>
      <c r="O56" s="917">
        <f t="shared" si="17"/>
        <v>0</v>
      </c>
      <c r="P56" s="917"/>
      <c r="Q56" s="890">
        <v>0</v>
      </c>
      <c r="R56" s="890">
        <v>0</v>
      </c>
      <c r="S56" s="890">
        <v>0</v>
      </c>
      <c r="T56" s="890">
        <v>0</v>
      </c>
      <c r="U56" s="890">
        <v>0</v>
      </c>
      <c r="V56" s="917">
        <f t="shared" si="18"/>
        <v>0</v>
      </c>
      <c r="W56" s="917">
        <f t="shared" si="19"/>
        <v>0</v>
      </c>
      <c r="X56" s="918">
        <f>-V56*Reports!$I$33</f>
        <v>0</v>
      </c>
      <c r="Y56" s="917">
        <f t="shared" si="6"/>
        <v>0</v>
      </c>
      <c r="Z56" s="918">
        <f t="shared" si="7"/>
        <v>0</v>
      </c>
      <c r="AA56" s="918" cm="1">
        <f t="array" ref="AA56">IF(SUM($Z$8:$Z56)&gt;$AA$7,IF(SUM($Z$8:$Z56)-$Z56&gt;=c_maxEquity,0,c_maxEquity-SUM($Z$8:$Z56)+$Z56),$Z56)</f>
        <v>0</v>
      </c>
      <c r="AB56" s="917">
        <f t="shared" si="20"/>
        <v>0</v>
      </c>
      <c r="AC56" s="917" cm="1">
        <f t="array" aca="1" ref="AC56" ca="1">IF(SUM($AC$8:AC55) + (AB56 * $AC$6) &gt; c_maxEquity, MAX(0,c_maxEquity - SUM($AC$8:AC55)), AB56 * $AC$6)</f>
        <v>0</v>
      </c>
      <c r="AD56" s="917">
        <f t="shared" ca="1" si="8"/>
        <v>0</v>
      </c>
      <c r="AE56" s="917">
        <f t="shared" ca="1" si="9"/>
        <v>0</v>
      </c>
      <c r="AF56" s="917">
        <f t="shared" ca="1" si="10"/>
        <v>0</v>
      </c>
      <c r="AG56" s="917">
        <f t="shared" ca="1" si="15"/>
        <v>0</v>
      </c>
      <c r="AK56" s="917">
        <f t="shared" si="11"/>
        <v>0</v>
      </c>
      <c r="AL56" s="917">
        <v>0</v>
      </c>
      <c r="AM56" s="917">
        <f ca="1"/>
        <v>0</v>
      </c>
      <c r="AN56" s="917">
        <f ca="1"/>
        <v>0</v>
      </c>
      <c r="AO56" s="917">
        <f t="shared" ca="1" si="12"/>
        <v>0</v>
      </c>
      <c r="AP56" s="917">
        <f t="shared" ca="1" si="13"/>
        <v>0</v>
      </c>
    </row>
    <row r="57" spans="1:42" ht="16">
      <c r="A57" s="37"/>
      <c r="B57" s="16"/>
      <c r="C57" s="31"/>
      <c r="D57" s="37" t="e">
        <f>SUM(D11:D55)</f>
        <v>#REF!</v>
      </c>
      <c r="E57" s="5"/>
      <c r="F57" s="890">
        <v>49</v>
      </c>
      <c r="G57" s="935">
        <v>47177</v>
      </c>
      <c r="H57" s="915">
        <v>17</v>
      </c>
      <c r="I57" s="915" t="str">
        <f t="shared" si="21"/>
        <v>Q1-29</v>
      </c>
      <c r="J57" s="915">
        <f t="shared" si="14"/>
        <v>5</v>
      </c>
      <c r="K57" s="916">
        <v>2029</v>
      </c>
      <c r="L57" s="890"/>
      <c r="M57" s="890"/>
      <c r="N57" s="890">
        <v>0</v>
      </c>
      <c r="O57" s="917">
        <f t="shared" si="17"/>
        <v>0</v>
      </c>
      <c r="P57" s="917"/>
      <c r="Q57" s="890">
        <v>0</v>
      </c>
      <c r="R57" s="890">
        <v>0</v>
      </c>
      <c r="S57" s="890">
        <v>8502318.6684140675</v>
      </c>
      <c r="T57" s="890">
        <v>0</v>
      </c>
      <c r="U57" s="890">
        <v>4684473.0955449408</v>
      </c>
      <c r="V57" s="917">
        <f t="shared" si="18"/>
        <v>13186791.763959009</v>
      </c>
      <c r="W57" s="917">
        <f t="shared" si="19"/>
        <v>13186791.763959009</v>
      </c>
      <c r="X57" s="918">
        <f>-V57*Reports!$I$33</f>
        <v>-131867.9176395901</v>
      </c>
      <c r="Y57" s="917">
        <f t="shared" si="6"/>
        <v>13054923.846319418</v>
      </c>
      <c r="Z57" s="918">
        <f t="shared" si="7"/>
        <v>13054923.846319418</v>
      </c>
      <c r="AA57" s="918" cm="1">
        <f t="array" ref="AA57">IF(SUM($Z$8:$Z57)&gt;$AA$7,IF(SUM($Z$8:$Z57)-$Z57&gt;=c_maxEquity,0,c_maxEquity-SUM($Z$8:$Z57)+$Z57),$Z57)</f>
        <v>0</v>
      </c>
      <c r="AB57" s="917">
        <f t="shared" si="20"/>
        <v>13054923.846319418</v>
      </c>
      <c r="AC57" s="917" cm="1">
        <f t="array" aca="1" ref="AC57" ca="1">IF(SUM($AC$8:AC56) + (AB57 * $AC$6) &gt; c_maxEquity, MAX(0,c_maxEquity - SUM($AC$8:AC56)), AB57 * $AC$6)</f>
        <v>10443939.077055536</v>
      </c>
      <c r="AD57" s="917">
        <f t="shared" ca="1" si="8"/>
        <v>2610984.7692638822</v>
      </c>
      <c r="AE57" s="917">
        <f t="shared" ca="1" si="9"/>
        <v>0</v>
      </c>
      <c r="AF57" s="917">
        <f t="shared" ca="1" si="10"/>
        <v>0</v>
      </c>
      <c r="AG57" s="917">
        <f t="shared" ca="1" si="15"/>
        <v>0</v>
      </c>
      <c r="AK57" s="917">
        <f t="shared" si="11"/>
        <v>0</v>
      </c>
      <c r="AL57" s="917">
        <v>0</v>
      </c>
      <c r="AM57" s="917">
        <f ca="1"/>
        <v>10443939.077055536</v>
      </c>
      <c r="AN57" s="917">
        <f ca="1"/>
        <v>0</v>
      </c>
      <c r="AO57" s="917">
        <f t="shared" ca="1" si="12"/>
        <v>10443939.077055536</v>
      </c>
      <c r="AP57" s="917">
        <f t="shared" ca="1" si="13"/>
        <v>10443939.077055536</v>
      </c>
    </row>
    <row r="58" spans="1:42" ht="16">
      <c r="A58" s="30"/>
      <c r="B58" s="5"/>
      <c r="C58" s="30"/>
      <c r="D58" s="30"/>
      <c r="E58" s="5"/>
      <c r="F58" s="890">
        <v>50</v>
      </c>
      <c r="G58" s="935">
        <v>47208</v>
      </c>
      <c r="H58" s="915">
        <v>17</v>
      </c>
      <c r="I58" s="915" t="str">
        <f t="shared" si="21"/>
        <v>Q1-29</v>
      </c>
      <c r="J58" s="915">
        <f t="shared" si="14"/>
        <v>5</v>
      </c>
      <c r="K58" s="916">
        <v>2029</v>
      </c>
      <c r="L58" s="890"/>
      <c r="M58" s="890"/>
      <c r="N58" s="890">
        <v>0</v>
      </c>
      <c r="O58" s="917">
        <f t="shared" si="17"/>
        <v>0</v>
      </c>
      <c r="P58" s="917"/>
      <c r="Q58" s="890">
        <v>0</v>
      </c>
      <c r="R58" s="890">
        <v>0</v>
      </c>
      <c r="S58" s="890">
        <v>0</v>
      </c>
      <c r="T58" s="890">
        <v>0</v>
      </c>
      <c r="U58" s="890">
        <v>0</v>
      </c>
      <c r="V58" s="917">
        <f t="shared" si="18"/>
        <v>0</v>
      </c>
      <c r="W58" s="917">
        <f t="shared" si="19"/>
        <v>0</v>
      </c>
      <c r="X58" s="918">
        <f>-V58*Reports!$I$33</f>
        <v>0</v>
      </c>
      <c r="Y58" s="917">
        <f t="shared" si="6"/>
        <v>0</v>
      </c>
      <c r="Z58" s="918">
        <f t="shared" si="7"/>
        <v>0</v>
      </c>
      <c r="AA58" s="918" cm="1">
        <f t="array" ref="AA58">IF(SUM($Z$8:$Z58)&gt;$AA$7,IF(SUM($Z$8:$Z58)-$Z58&gt;=c_maxEquity,0,c_maxEquity-SUM($Z$8:$Z58)+$Z58),$Z58)</f>
        <v>0</v>
      </c>
      <c r="AB58" s="917">
        <f t="shared" si="20"/>
        <v>0</v>
      </c>
      <c r="AC58" s="917" cm="1">
        <f t="array" aca="1" ref="AC58" ca="1">IF(SUM($AC$8:AC57) + (AB58 * $AC$6) &gt; c_maxEquity, MAX(0,c_maxEquity - SUM($AC$8:AC57)), AB58 * $AC$6)</f>
        <v>0</v>
      </c>
      <c r="AD58" s="917">
        <f t="shared" ca="1" si="8"/>
        <v>0</v>
      </c>
      <c r="AE58" s="917">
        <f t="shared" ca="1" si="9"/>
        <v>0</v>
      </c>
      <c r="AF58" s="917">
        <f t="shared" ca="1" si="10"/>
        <v>0</v>
      </c>
      <c r="AG58" s="917">
        <f t="shared" ca="1" si="15"/>
        <v>0</v>
      </c>
      <c r="AK58" s="917">
        <f t="shared" si="11"/>
        <v>0</v>
      </c>
      <c r="AL58" s="917">
        <v>0</v>
      </c>
      <c r="AM58" s="917">
        <f ca="1"/>
        <v>0</v>
      </c>
      <c r="AN58" s="917">
        <f ca="1"/>
        <v>0</v>
      </c>
      <c r="AO58" s="917">
        <f t="shared" ca="1" si="12"/>
        <v>0</v>
      </c>
      <c r="AP58" s="917">
        <f t="shared" ca="1" si="13"/>
        <v>0</v>
      </c>
    </row>
    <row r="59" spans="1:42" ht="16">
      <c r="A59" s="30"/>
      <c r="B59" s="5"/>
      <c r="C59" s="30"/>
      <c r="D59" s="30"/>
      <c r="E59" s="5"/>
      <c r="F59" s="890">
        <v>51</v>
      </c>
      <c r="G59" s="935">
        <v>47238</v>
      </c>
      <c r="H59" s="915">
        <v>17</v>
      </c>
      <c r="I59" s="915" t="str">
        <f t="shared" si="21"/>
        <v>Q2-29</v>
      </c>
      <c r="J59" s="915">
        <f t="shared" si="14"/>
        <v>5</v>
      </c>
      <c r="K59" s="916">
        <v>2029</v>
      </c>
      <c r="L59" s="890"/>
      <c r="M59" s="890"/>
      <c r="N59" s="890">
        <v>0</v>
      </c>
      <c r="O59" s="917">
        <f t="shared" si="17"/>
        <v>0</v>
      </c>
      <c r="P59" s="917"/>
      <c r="Q59" s="890">
        <v>0</v>
      </c>
      <c r="R59" s="890">
        <v>0</v>
      </c>
      <c r="S59" s="890">
        <v>0</v>
      </c>
      <c r="T59" s="890">
        <v>0</v>
      </c>
      <c r="U59" s="890">
        <v>3253106.3163506528</v>
      </c>
      <c r="V59" s="917">
        <f t="shared" si="18"/>
        <v>3253106.3163506528</v>
      </c>
      <c r="W59" s="917">
        <f t="shared" si="19"/>
        <v>3253106.3163506528</v>
      </c>
      <c r="X59" s="918">
        <f>-V59*Reports!$I$33</f>
        <v>-32531.063163506529</v>
      </c>
      <c r="Y59" s="917">
        <f t="shared" si="6"/>
        <v>3220575.2531871465</v>
      </c>
      <c r="Z59" s="918">
        <f t="shared" si="7"/>
        <v>3220575.2531871465</v>
      </c>
      <c r="AA59" s="918" cm="1">
        <f t="array" ref="AA59">IF(SUM($Z$8:$Z59)&gt;$AA$7,IF(SUM($Z$8:$Z59)-$Z59&gt;=c_maxEquity,0,c_maxEquity-SUM($Z$8:$Z59)+$Z59),$Z59)</f>
        <v>0</v>
      </c>
      <c r="AB59" s="917">
        <f t="shared" si="20"/>
        <v>3220575.2531871465</v>
      </c>
      <c r="AC59" s="917" cm="1">
        <f t="array" aca="1" ref="AC59" ca="1">IF(SUM($AC$8:AC58) + (AB59 * $AC$6) &gt; c_maxEquity, MAX(0,c_maxEquity - SUM($AC$8:AC58)), AB59 * $AC$6)</f>
        <v>2576460.2025497174</v>
      </c>
      <c r="AD59" s="917">
        <f t="shared" ca="1" si="8"/>
        <v>644115.05063742911</v>
      </c>
      <c r="AE59" s="917">
        <f t="shared" ca="1" si="9"/>
        <v>0</v>
      </c>
      <c r="AF59" s="917">
        <f t="shared" ca="1" si="10"/>
        <v>0</v>
      </c>
      <c r="AG59" s="917">
        <f t="shared" ca="1" si="15"/>
        <v>0</v>
      </c>
      <c r="AK59" s="917">
        <f t="shared" si="11"/>
        <v>0</v>
      </c>
      <c r="AL59" s="917">
        <v>0</v>
      </c>
      <c r="AM59" s="917">
        <f ca="1"/>
        <v>2576460.2025497174</v>
      </c>
      <c r="AN59" s="917">
        <f ca="1"/>
        <v>0</v>
      </c>
      <c r="AO59" s="917">
        <f t="shared" ca="1" si="12"/>
        <v>2576460.2025497174</v>
      </c>
      <c r="AP59" s="917">
        <f t="shared" ca="1" si="13"/>
        <v>2576460.2025497174</v>
      </c>
    </row>
    <row r="60" spans="1:42" ht="16">
      <c r="A60" s="30"/>
      <c r="B60" s="5"/>
      <c r="C60" s="30"/>
      <c r="D60" s="30"/>
      <c r="E60" s="5"/>
      <c r="F60" s="890">
        <v>52</v>
      </c>
      <c r="G60" s="935">
        <v>47269</v>
      </c>
      <c r="H60" s="915">
        <v>18</v>
      </c>
      <c r="I60" s="915" t="str">
        <f t="shared" si="21"/>
        <v>Q2-29</v>
      </c>
      <c r="J60" s="915">
        <f t="shared" si="14"/>
        <v>5</v>
      </c>
      <c r="K60" s="916">
        <v>2029</v>
      </c>
      <c r="L60" s="890"/>
      <c r="M60" s="890"/>
      <c r="N60" s="890">
        <v>0</v>
      </c>
      <c r="O60" s="917">
        <f t="shared" si="17"/>
        <v>0</v>
      </c>
      <c r="P60" s="917"/>
      <c r="Q60" s="890">
        <v>0</v>
      </c>
      <c r="R60" s="890">
        <v>0</v>
      </c>
      <c r="S60" s="890">
        <v>0</v>
      </c>
      <c r="T60" s="890">
        <v>0</v>
      </c>
      <c r="U60" s="890">
        <v>0</v>
      </c>
      <c r="V60" s="917">
        <f t="shared" si="18"/>
        <v>0</v>
      </c>
      <c r="W60" s="917">
        <f t="shared" si="19"/>
        <v>0</v>
      </c>
      <c r="X60" s="918">
        <f>-V60*Reports!$I$33</f>
        <v>0</v>
      </c>
      <c r="Y60" s="917">
        <f t="shared" si="6"/>
        <v>0</v>
      </c>
      <c r="Z60" s="918">
        <f t="shared" si="7"/>
        <v>0</v>
      </c>
      <c r="AA60" s="918" cm="1">
        <f t="array" ref="AA60">IF(SUM($Z$8:$Z60)&gt;$AA$7,IF(SUM($Z$8:$Z60)-$Z60&gt;=c_maxEquity,0,c_maxEquity-SUM($Z$8:$Z60)+$Z60),$Z60)</f>
        <v>0</v>
      </c>
      <c r="AB60" s="917">
        <f t="shared" si="20"/>
        <v>0</v>
      </c>
      <c r="AC60" s="917" cm="1">
        <f t="array" aca="1" ref="AC60" ca="1">IF(SUM($AC$8:AC59) + (AB60 * $AC$6) &gt; c_maxEquity, MAX(0,c_maxEquity - SUM($AC$8:AC59)), AB60 * $AC$6)</f>
        <v>0</v>
      </c>
      <c r="AD60" s="917">
        <f t="shared" ca="1" si="8"/>
        <v>0</v>
      </c>
      <c r="AE60" s="917">
        <f t="shared" ca="1" si="9"/>
        <v>0</v>
      </c>
      <c r="AF60" s="917">
        <f t="shared" ca="1" si="10"/>
        <v>0</v>
      </c>
      <c r="AG60" s="917">
        <f t="shared" ca="1" si="15"/>
        <v>0</v>
      </c>
      <c r="AK60" s="917">
        <f t="shared" si="11"/>
        <v>0</v>
      </c>
      <c r="AL60" s="917">
        <v>0</v>
      </c>
      <c r="AM60" s="917">
        <f ca="1"/>
        <v>0</v>
      </c>
      <c r="AN60" s="917">
        <f ca="1"/>
        <v>0</v>
      </c>
      <c r="AO60" s="917">
        <f t="shared" ca="1" si="12"/>
        <v>0</v>
      </c>
      <c r="AP60" s="917">
        <f t="shared" ca="1" si="13"/>
        <v>0</v>
      </c>
    </row>
    <row r="61" spans="1:42" ht="16">
      <c r="A61" s="30"/>
      <c r="B61" s="5"/>
      <c r="C61" s="30"/>
      <c r="D61" s="30"/>
      <c r="E61" s="5"/>
      <c r="F61" s="890">
        <v>53</v>
      </c>
      <c r="G61" s="935">
        <v>47299</v>
      </c>
      <c r="H61" s="915">
        <v>18</v>
      </c>
      <c r="I61" s="915" t="str">
        <f t="shared" si="21"/>
        <v>Q2-29</v>
      </c>
      <c r="J61" s="915">
        <f t="shared" si="14"/>
        <v>5</v>
      </c>
      <c r="K61" s="916">
        <v>2029</v>
      </c>
      <c r="L61" s="890"/>
      <c r="M61" s="890"/>
      <c r="N61" s="890">
        <v>0</v>
      </c>
      <c r="O61" s="917">
        <f t="shared" si="17"/>
        <v>0</v>
      </c>
      <c r="P61" s="917"/>
      <c r="Q61" s="890">
        <v>0</v>
      </c>
      <c r="R61" s="890">
        <v>0</v>
      </c>
      <c r="S61" s="890">
        <v>0</v>
      </c>
      <c r="T61" s="890">
        <v>0</v>
      </c>
      <c r="U61" s="890">
        <v>0</v>
      </c>
      <c r="V61" s="917">
        <f t="shared" si="18"/>
        <v>0</v>
      </c>
      <c r="W61" s="917">
        <f t="shared" si="19"/>
        <v>0</v>
      </c>
      <c r="X61" s="918">
        <f>-V61*Reports!$I$33</f>
        <v>0</v>
      </c>
      <c r="Y61" s="917">
        <f t="shared" si="6"/>
        <v>0</v>
      </c>
      <c r="Z61" s="918">
        <f t="shared" si="7"/>
        <v>0</v>
      </c>
      <c r="AA61" s="918" cm="1">
        <f t="array" ref="AA61">IF(SUM($Z$8:$Z61)&gt;$AA$7,IF(SUM($Z$8:$Z61)-$Z61&gt;=c_maxEquity,0,c_maxEquity-SUM($Z$8:$Z61)+$Z61),$Z61)</f>
        <v>0</v>
      </c>
      <c r="AB61" s="917">
        <f t="shared" si="20"/>
        <v>0</v>
      </c>
      <c r="AC61" s="917" cm="1">
        <f t="array" aca="1" ref="AC61" ca="1">IF(SUM($AC$8:AC60) + (AB61 * $AC$6) &gt; c_maxEquity, MAX(0,c_maxEquity - SUM($AC$8:AC60)), AB61 * $AC$6)</f>
        <v>0</v>
      </c>
      <c r="AD61" s="917">
        <f t="shared" ca="1" si="8"/>
        <v>0</v>
      </c>
      <c r="AE61" s="917">
        <f t="shared" ca="1" si="9"/>
        <v>0</v>
      </c>
      <c r="AF61" s="917">
        <f t="shared" ca="1" si="10"/>
        <v>0</v>
      </c>
      <c r="AG61" s="917">
        <f t="shared" ca="1" si="15"/>
        <v>0</v>
      </c>
      <c r="AK61" s="917">
        <f t="shared" si="11"/>
        <v>0</v>
      </c>
      <c r="AL61" s="917">
        <v>0</v>
      </c>
      <c r="AM61" s="917">
        <f ca="1"/>
        <v>0</v>
      </c>
      <c r="AN61" s="917">
        <f ca="1"/>
        <v>0</v>
      </c>
      <c r="AO61" s="917">
        <f t="shared" ca="1" si="12"/>
        <v>0</v>
      </c>
      <c r="AP61" s="917">
        <f t="shared" ca="1" si="13"/>
        <v>0</v>
      </c>
    </row>
    <row r="62" spans="1:42" ht="16">
      <c r="A62" s="30"/>
      <c r="B62" s="5"/>
      <c r="C62" s="30"/>
      <c r="D62" s="30"/>
      <c r="E62" s="5"/>
      <c r="F62" s="890">
        <v>54</v>
      </c>
      <c r="G62" s="935">
        <v>47330</v>
      </c>
      <c r="H62" s="915">
        <v>18</v>
      </c>
      <c r="I62" s="915" t="str">
        <f t="shared" si="21"/>
        <v>Q3-29</v>
      </c>
      <c r="J62" s="915">
        <f t="shared" si="14"/>
        <v>5</v>
      </c>
      <c r="K62" s="916">
        <v>2029</v>
      </c>
      <c r="L62" s="890"/>
      <c r="M62" s="890"/>
      <c r="N62" s="890">
        <v>0</v>
      </c>
      <c r="O62" s="917">
        <f t="shared" si="17"/>
        <v>0</v>
      </c>
      <c r="P62" s="917"/>
      <c r="Q62" s="890">
        <v>0</v>
      </c>
      <c r="R62" s="890">
        <v>0</v>
      </c>
      <c r="S62" s="890">
        <v>5668212.4456093777</v>
      </c>
      <c r="T62" s="890">
        <v>0</v>
      </c>
      <c r="U62" s="890">
        <v>3968789.7059477968</v>
      </c>
      <c r="V62" s="917">
        <f t="shared" si="18"/>
        <v>9637002.1515571736</v>
      </c>
      <c r="W62" s="917">
        <f t="shared" si="19"/>
        <v>9637002.1515571736</v>
      </c>
      <c r="X62" s="918">
        <f>-V62*Reports!$I$33</f>
        <v>-96370.021515571731</v>
      </c>
      <c r="Y62" s="917">
        <f t="shared" si="6"/>
        <v>9540632.1300416011</v>
      </c>
      <c r="Z62" s="918">
        <f t="shared" si="7"/>
        <v>9540632.1300416011</v>
      </c>
      <c r="AA62" s="918" cm="1">
        <f t="array" ref="AA62">IF(SUM($Z$8:$Z62)&gt;$AA$7,IF(SUM($Z$8:$Z62)-$Z62&gt;=c_maxEquity,0,c_maxEquity-SUM($Z$8:$Z62)+$Z62),$Z62)</f>
        <v>0</v>
      </c>
      <c r="AB62" s="917">
        <f t="shared" si="20"/>
        <v>9540632.1300416011</v>
      </c>
      <c r="AC62" s="917" cm="1">
        <f t="array" aca="1" ref="AC62" ca="1">IF(SUM($AC$8:AC61) + (AB62 * $AC$6) &gt; c_maxEquity, MAX(0,c_maxEquity - SUM($AC$8:AC61)), AB62 * $AC$6)</f>
        <v>4691585.8482575789</v>
      </c>
      <c r="AD62" s="917">
        <f t="shared" ca="1" si="8"/>
        <v>4849046.2817840222</v>
      </c>
      <c r="AE62" s="917">
        <f t="shared" ca="1" si="9"/>
        <v>0</v>
      </c>
      <c r="AF62" s="917">
        <f t="shared" ca="1" si="10"/>
        <v>0</v>
      </c>
      <c r="AG62" s="917">
        <f t="shared" ca="1" si="15"/>
        <v>0</v>
      </c>
      <c r="AK62" s="917">
        <f t="shared" si="11"/>
        <v>0</v>
      </c>
      <c r="AL62" s="917">
        <v>0</v>
      </c>
      <c r="AM62" s="917">
        <f ca="1"/>
        <v>4691585.8482575789</v>
      </c>
      <c r="AN62" s="917">
        <f ca="1"/>
        <v>0</v>
      </c>
      <c r="AO62" s="917">
        <f t="shared" ca="1" si="12"/>
        <v>4691585.8482575789</v>
      </c>
      <c r="AP62" s="917">
        <f t="shared" ca="1" si="13"/>
        <v>4691585.8482575789</v>
      </c>
    </row>
    <row r="63" spans="1:42" ht="16">
      <c r="A63" s="30"/>
      <c r="B63" s="5"/>
      <c r="C63" s="30"/>
      <c r="D63" s="30"/>
      <c r="E63" s="5"/>
      <c r="F63" s="890">
        <v>55</v>
      </c>
      <c r="G63" s="935">
        <v>47361</v>
      </c>
      <c r="H63" s="915">
        <v>19</v>
      </c>
      <c r="I63" s="915" t="str">
        <f t="shared" si="21"/>
        <v>Q3-29</v>
      </c>
      <c r="J63" s="915">
        <f t="shared" si="14"/>
        <v>5</v>
      </c>
      <c r="K63" s="916">
        <v>2029</v>
      </c>
      <c r="L63" s="890"/>
      <c r="M63" s="890"/>
      <c r="N63" s="890">
        <v>0</v>
      </c>
      <c r="O63" s="917">
        <f t="shared" si="17"/>
        <v>0</v>
      </c>
      <c r="P63" s="917"/>
      <c r="Q63" s="890">
        <v>0</v>
      </c>
      <c r="R63" s="890">
        <v>0</v>
      </c>
      <c r="S63" s="890">
        <v>0</v>
      </c>
      <c r="T63" s="890">
        <v>0</v>
      </c>
      <c r="U63" s="890">
        <v>0</v>
      </c>
      <c r="V63" s="917">
        <f t="shared" si="18"/>
        <v>0</v>
      </c>
      <c r="W63" s="917">
        <f t="shared" si="19"/>
        <v>0</v>
      </c>
      <c r="X63" s="918">
        <f>-V63*Reports!$I$33</f>
        <v>0</v>
      </c>
      <c r="Y63" s="917">
        <f t="shared" si="6"/>
        <v>0</v>
      </c>
      <c r="Z63" s="918">
        <f t="shared" si="7"/>
        <v>0</v>
      </c>
      <c r="AA63" s="918" cm="1">
        <f t="array" ref="AA63">IF(SUM($Z$8:$Z63)&gt;$AA$7,IF(SUM($Z$8:$Z63)-$Z63&gt;=c_maxEquity,0,c_maxEquity-SUM($Z$8:$Z63)+$Z63),$Z63)</f>
        <v>0</v>
      </c>
      <c r="AB63" s="917">
        <f t="shared" si="20"/>
        <v>0</v>
      </c>
      <c r="AC63" s="917" cm="1">
        <f t="array" aca="1" ref="AC63" ca="1">IF(SUM($AC$8:AC62) + (AB63 * $AC$6) &gt; c_maxEquity, MAX(0,c_maxEquity - SUM($AC$8:AC62)), AB63 * $AC$6)</f>
        <v>0</v>
      </c>
      <c r="AD63" s="917">
        <f t="shared" ca="1" si="8"/>
        <v>0</v>
      </c>
      <c r="AE63" s="917">
        <f t="shared" ca="1" si="9"/>
        <v>0</v>
      </c>
      <c r="AF63" s="917">
        <f t="shared" ca="1" si="10"/>
        <v>0</v>
      </c>
      <c r="AG63" s="917">
        <f t="shared" ca="1" si="15"/>
        <v>0</v>
      </c>
      <c r="AK63" s="917">
        <f t="shared" si="11"/>
        <v>0</v>
      </c>
      <c r="AL63" s="917">
        <v>0</v>
      </c>
      <c r="AM63" s="917">
        <f ca="1"/>
        <v>0</v>
      </c>
      <c r="AN63" s="917">
        <f ca="1"/>
        <v>0</v>
      </c>
      <c r="AO63" s="917">
        <f t="shared" ca="1" si="12"/>
        <v>0</v>
      </c>
      <c r="AP63" s="917">
        <f t="shared" ca="1" si="13"/>
        <v>0</v>
      </c>
    </row>
    <row r="64" spans="1:42" ht="16">
      <c r="A64" s="30"/>
      <c r="B64" s="5"/>
      <c r="C64" s="30"/>
      <c r="D64" s="30"/>
      <c r="E64" s="5"/>
      <c r="F64" s="890">
        <v>56</v>
      </c>
      <c r="G64" s="935">
        <v>47391</v>
      </c>
      <c r="H64" s="915">
        <v>19</v>
      </c>
      <c r="I64" s="915" t="str">
        <f t="shared" si="21"/>
        <v>Q3-29</v>
      </c>
      <c r="J64" s="915">
        <f t="shared" si="14"/>
        <v>5</v>
      </c>
      <c r="K64" s="916">
        <v>2029</v>
      </c>
      <c r="L64" s="890"/>
      <c r="M64" s="890"/>
      <c r="N64" s="890">
        <v>0</v>
      </c>
      <c r="O64" s="917">
        <f t="shared" si="17"/>
        <v>0</v>
      </c>
      <c r="P64" s="917"/>
      <c r="Q64" s="890">
        <v>0</v>
      </c>
      <c r="R64" s="890">
        <v>0</v>
      </c>
      <c r="S64" s="890">
        <v>0</v>
      </c>
      <c r="T64" s="890">
        <v>0</v>
      </c>
      <c r="U64" s="890">
        <v>0</v>
      </c>
      <c r="V64" s="917">
        <f t="shared" si="18"/>
        <v>0</v>
      </c>
      <c r="W64" s="917">
        <f t="shared" si="19"/>
        <v>0</v>
      </c>
      <c r="X64" s="918">
        <f>-V64*Reports!$I$33</f>
        <v>0</v>
      </c>
      <c r="Y64" s="917">
        <f t="shared" si="6"/>
        <v>0</v>
      </c>
      <c r="Z64" s="918">
        <f t="shared" si="7"/>
        <v>0</v>
      </c>
      <c r="AA64" s="918" cm="1">
        <f t="array" ref="AA64">IF(SUM($Z$8:$Z64)&gt;$AA$7,IF(SUM($Z$8:$Z64)-$Z64&gt;=c_maxEquity,0,c_maxEquity-SUM($Z$8:$Z64)+$Z64),$Z64)</f>
        <v>0</v>
      </c>
      <c r="AB64" s="917">
        <f t="shared" si="20"/>
        <v>0</v>
      </c>
      <c r="AC64" s="917" cm="1">
        <f t="array" aca="1" ref="AC64" ca="1">IF(SUM($AC$8:AC63) + (AB64 * $AC$6) &gt; c_maxEquity, MAX(0,c_maxEquity - SUM($AC$8:AC63)), AB64 * $AC$6)</f>
        <v>0</v>
      </c>
      <c r="AD64" s="917">
        <f t="shared" ca="1" si="8"/>
        <v>0</v>
      </c>
      <c r="AE64" s="917">
        <f t="shared" ca="1" si="9"/>
        <v>0</v>
      </c>
      <c r="AF64" s="917">
        <f t="shared" ca="1" si="10"/>
        <v>0</v>
      </c>
      <c r="AG64" s="917">
        <f t="shared" ca="1" si="15"/>
        <v>0</v>
      </c>
      <c r="AK64" s="917">
        <f t="shared" si="11"/>
        <v>0</v>
      </c>
      <c r="AL64" s="917">
        <v>0</v>
      </c>
      <c r="AM64" s="917">
        <f ca="1"/>
        <v>0</v>
      </c>
      <c r="AN64" s="917">
        <f ca="1"/>
        <v>0</v>
      </c>
      <c r="AO64" s="917">
        <f t="shared" ca="1" si="12"/>
        <v>0</v>
      </c>
      <c r="AP64" s="917">
        <f t="shared" ca="1" si="13"/>
        <v>0</v>
      </c>
    </row>
    <row r="65" spans="1:42" ht="16">
      <c r="A65" s="30"/>
      <c r="B65" s="5"/>
      <c r="C65" s="30"/>
      <c r="D65" s="30"/>
      <c r="E65" s="5"/>
      <c r="F65" s="890">
        <v>57</v>
      </c>
      <c r="G65" s="935">
        <v>47422</v>
      </c>
      <c r="H65" s="915">
        <v>19</v>
      </c>
      <c r="I65" s="915" t="str">
        <f t="shared" si="21"/>
        <v>Q4-29</v>
      </c>
      <c r="J65" s="915">
        <f t="shared" si="14"/>
        <v>5</v>
      </c>
      <c r="K65" s="916">
        <v>2029</v>
      </c>
      <c r="L65" s="890"/>
      <c r="M65" s="890"/>
      <c r="N65" s="890">
        <v>0</v>
      </c>
      <c r="O65" s="917">
        <f t="shared" si="17"/>
        <v>0</v>
      </c>
      <c r="P65" s="917"/>
      <c r="Q65" s="890">
        <v>0</v>
      </c>
      <c r="R65" s="890">
        <v>0</v>
      </c>
      <c r="S65" s="890">
        <v>0</v>
      </c>
      <c r="T65" s="890">
        <v>0</v>
      </c>
      <c r="U65" s="890">
        <v>0</v>
      </c>
      <c r="V65" s="917">
        <f t="shared" si="18"/>
        <v>0</v>
      </c>
      <c r="W65" s="917">
        <f t="shared" si="19"/>
        <v>0</v>
      </c>
      <c r="X65" s="918">
        <f>-V65*Reports!$I$33</f>
        <v>0</v>
      </c>
      <c r="Y65" s="917">
        <f t="shared" si="6"/>
        <v>0</v>
      </c>
      <c r="Z65" s="918">
        <f t="shared" si="7"/>
        <v>0</v>
      </c>
      <c r="AA65" s="918" cm="1">
        <f t="array" ref="AA65">IF(SUM($Z$8:$Z65)&gt;$AA$7,IF(SUM($Z$8:$Z65)-$Z65&gt;=c_maxEquity,0,c_maxEquity-SUM($Z$8:$Z65)+$Z65),$Z65)</f>
        <v>0</v>
      </c>
      <c r="AB65" s="917">
        <f t="shared" si="20"/>
        <v>0</v>
      </c>
      <c r="AC65" s="917" cm="1">
        <f t="array" aca="1" ref="AC65" ca="1">IF(SUM($AC$8:AC64) + (AB65 * $AC$6) &gt; c_maxEquity, MAX(0,c_maxEquity - SUM($AC$8:AC64)), AB65 * $AC$6)</f>
        <v>0</v>
      </c>
      <c r="AD65" s="917">
        <f t="shared" ca="1" si="8"/>
        <v>0</v>
      </c>
      <c r="AE65" s="917">
        <f t="shared" ca="1" si="9"/>
        <v>0</v>
      </c>
      <c r="AF65" s="917">
        <f t="shared" ca="1" si="10"/>
        <v>0</v>
      </c>
      <c r="AG65" s="917">
        <f t="shared" ca="1" si="15"/>
        <v>0</v>
      </c>
      <c r="AK65" s="917">
        <f t="shared" si="11"/>
        <v>0</v>
      </c>
      <c r="AL65" s="917">
        <v>0</v>
      </c>
      <c r="AM65" s="917">
        <f ca="1"/>
        <v>0</v>
      </c>
      <c r="AN65" s="917">
        <f ca="1"/>
        <v>0</v>
      </c>
      <c r="AO65" s="917">
        <f t="shared" ca="1" si="12"/>
        <v>0</v>
      </c>
      <c r="AP65" s="917">
        <f t="shared" ca="1" si="13"/>
        <v>0</v>
      </c>
    </row>
    <row r="66" spans="1:42" ht="16">
      <c r="A66" s="30"/>
      <c r="B66" s="5"/>
      <c r="C66" s="30"/>
      <c r="D66" s="30"/>
      <c r="E66" s="5"/>
      <c r="F66" s="890">
        <v>58</v>
      </c>
      <c r="G66" s="935">
        <v>47452</v>
      </c>
      <c r="H66" s="915">
        <v>20</v>
      </c>
      <c r="I66" s="915" t="str">
        <f t="shared" si="21"/>
        <v>Q4-29</v>
      </c>
      <c r="J66" s="915">
        <f t="shared" si="14"/>
        <v>5</v>
      </c>
      <c r="K66" s="916">
        <v>2029</v>
      </c>
      <c r="L66" s="890"/>
      <c r="M66" s="890"/>
      <c r="N66" s="890">
        <v>0</v>
      </c>
      <c r="O66" s="917">
        <f t="shared" si="17"/>
        <v>0</v>
      </c>
      <c r="P66" s="917"/>
      <c r="Q66" s="890">
        <v>0</v>
      </c>
      <c r="R66" s="890">
        <v>0</v>
      </c>
      <c r="S66" s="890">
        <v>0</v>
      </c>
      <c r="T66" s="890">
        <v>0</v>
      </c>
      <c r="U66" s="890">
        <v>0</v>
      </c>
      <c r="V66" s="917">
        <f t="shared" si="18"/>
        <v>0</v>
      </c>
      <c r="W66" s="917">
        <f t="shared" si="19"/>
        <v>0</v>
      </c>
      <c r="X66" s="918">
        <f>-V66*Reports!$I$33</f>
        <v>0</v>
      </c>
      <c r="Y66" s="917">
        <f t="shared" si="6"/>
        <v>0</v>
      </c>
      <c r="Z66" s="918">
        <f t="shared" si="7"/>
        <v>0</v>
      </c>
      <c r="AA66" s="918" cm="1">
        <f t="array" ref="AA66">IF(SUM($Z$8:$Z66)&gt;$AA$7,IF(SUM($Z$8:$Z66)-$Z66&gt;=c_maxEquity,0,c_maxEquity-SUM($Z$8:$Z66)+$Z66),$Z66)</f>
        <v>0</v>
      </c>
      <c r="AB66" s="917">
        <f t="shared" si="20"/>
        <v>0</v>
      </c>
      <c r="AC66" s="917" cm="1">
        <f t="array" aca="1" ref="AC66" ca="1">IF(SUM($AC$8:AC65) + (AB66 * $AC$6) &gt; c_maxEquity, MAX(0,c_maxEquity - SUM($AC$8:AC65)), AB66 * $AC$6)</f>
        <v>0</v>
      </c>
      <c r="AD66" s="917">
        <f t="shared" ca="1" si="8"/>
        <v>0</v>
      </c>
      <c r="AE66" s="917">
        <f t="shared" ca="1" si="9"/>
        <v>0</v>
      </c>
      <c r="AF66" s="917">
        <f t="shared" ca="1" si="10"/>
        <v>0</v>
      </c>
      <c r="AG66" s="917">
        <f t="shared" ca="1" si="15"/>
        <v>0</v>
      </c>
      <c r="AK66" s="917">
        <f t="shared" si="11"/>
        <v>0</v>
      </c>
      <c r="AL66" s="917">
        <v>0</v>
      </c>
      <c r="AM66" s="917">
        <f ca="1"/>
        <v>0</v>
      </c>
      <c r="AN66" s="917">
        <f ca="1"/>
        <v>0</v>
      </c>
      <c r="AO66" s="917">
        <f t="shared" ca="1" si="12"/>
        <v>0</v>
      </c>
      <c r="AP66" s="917">
        <f t="shared" ca="1" si="13"/>
        <v>0</v>
      </c>
    </row>
    <row r="67" spans="1:42" ht="16">
      <c r="A67" s="30"/>
      <c r="B67" s="5"/>
      <c r="C67" s="30"/>
      <c r="D67" s="30"/>
      <c r="E67" s="5"/>
      <c r="F67" s="890">
        <v>59</v>
      </c>
      <c r="G67" s="935">
        <v>47483</v>
      </c>
      <c r="H67" s="915">
        <v>20</v>
      </c>
      <c r="I67" s="915" t="str">
        <f t="shared" si="21"/>
        <v>Q4-29</v>
      </c>
      <c r="J67" s="915">
        <f t="shared" si="14"/>
        <v>5</v>
      </c>
      <c r="K67" s="916">
        <v>2029</v>
      </c>
      <c r="L67" s="890"/>
      <c r="M67" s="890"/>
      <c r="N67" s="890">
        <v>0</v>
      </c>
      <c r="O67" s="917">
        <f t="shared" si="17"/>
        <v>0</v>
      </c>
      <c r="P67" s="917"/>
      <c r="Q67" s="890">
        <v>0</v>
      </c>
      <c r="R67" s="890">
        <v>0</v>
      </c>
      <c r="S67" s="890">
        <v>0</v>
      </c>
      <c r="T67" s="890">
        <v>0</v>
      </c>
      <c r="U67" s="890">
        <v>0</v>
      </c>
      <c r="V67" s="917">
        <f t="shared" si="18"/>
        <v>0</v>
      </c>
      <c r="W67" s="917">
        <f t="shared" si="19"/>
        <v>0</v>
      </c>
      <c r="X67" s="918">
        <f>-V67*Reports!$I$33</f>
        <v>0</v>
      </c>
      <c r="Y67" s="917">
        <f t="shared" si="6"/>
        <v>0</v>
      </c>
      <c r="Z67" s="918">
        <f t="shared" si="7"/>
        <v>0</v>
      </c>
      <c r="AA67" s="918" cm="1">
        <f t="array" ref="AA67">IF(SUM($Z$8:$Z67)&gt;$AA$7,IF(SUM($Z$8:$Z67)-$Z67&gt;=c_maxEquity,0,c_maxEquity-SUM($Z$8:$Z67)+$Z67),$Z67)</f>
        <v>0</v>
      </c>
      <c r="AB67" s="917">
        <f t="shared" si="20"/>
        <v>0</v>
      </c>
      <c r="AC67" s="917" cm="1">
        <f t="array" aca="1" ref="AC67" ca="1">IF(SUM($AC$8:AC66) + (AB67 * $AC$6) &gt; c_maxEquity, MAX(0,c_maxEquity - SUM($AC$8:AC66)), AB67 * $AC$6)</f>
        <v>0</v>
      </c>
      <c r="AD67" s="917">
        <f t="shared" ca="1" si="8"/>
        <v>0</v>
      </c>
      <c r="AE67" s="917">
        <f t="shared" ca="1" si="9"/>
        <v>0</v>
      </c>
      <c r="AF67" s="917">
        <f t="shared" ca="1" si="10"/>
        <v>0</v>
      </c>
      <c r="AG67" s="917">
        <f t="shared" ca="1" si="15"/>
        <v>0</v>
      </c>
      <c r="AK67" s="917">
        <f t="shared" si="11"/>
        <v>0</v>
      </c>
      <c r="AL67" s="917">
        <v>0</v>
      </c>
      <c r="AM67" s="917">
        <f ca="1"/>
        <v>0</v>
      </c>
      <c r="AN67" s="917">
        <f ca="1"/>
        <v>0</v>
      </c>
      <c r="AO67" s="917">
        <f t="shared" ca="1" si="12"/>
        <v>0</v>
      </c>
      <c r="AP67" s="917">
        <f t="shared" ca="1" si="13"/>
        <v>0</v>
      </c>
    </row>
    <row r="68" spans="1:42" ht="16">
      <c r="A68" s="30"/>
      <c r="B68" s="5"/>
      <c r="C68" s="30"/>
      <c r="D68" s="30"/>
      <c r="E68" s="5"/>
      <c r="F68" s="890">
        <v>60</v>
      </c>
      <c r="G68" s="935">
        <v>47514</v>
      </c>
      <c r="H68" s="915">
        <v>20</v>
      </c>
      <c r="I68" s="915" t="str">
        <f t="shared" si="21"/>
        <v>Q1-30</v>
      </c>
      <c r="J68" s="915">
        <f t="shared" si="14"/>
        <v>5</v>
      </c>
      <c r="K68" s="916">
        <v>2030</v>
      </c>
      <c r="L68" s="890"/>
      <c r="M68" s="890"/>
      <c r="N68" s="890">
        <v>0</v>
      </c>
      <c r="O68" s="917">
        <f t="shared" si="17"/>
        <v>0</v>
      </c>
      <c r="P68" s="917"/>
      <c r="Q68" s="890">
        <v>0</v>
      </c>
      <c r="R68" s="890">
        <v>0</v>
      </c>
      <c r="S68" s="890">
        <v>0</v>
      </c>
      <c r="T68" s="890">
        <v>0</v>
      </c>
      <c r="U68" s="890">
        <v>1040994.0212322089</v>
      </c>
      <c r="V68" s="917">
        <f t="shared" si="18"/>
        <v>1040994.0212322089</v>
      </c>
      <c r="W68" s="917">
        <f t="shared" si="19"/>
        <v>1040994.0212322089</v>
      </c>
      <c r="X68" s="918">
        <f>-V68*Reports!$I$33</f>
        <v>-10409.94021232209</v>
      </c>
      <c r="Y68" s="917">
        <f t="shared" si="6"/>
        <v>1030584.0810198869</v>
      </c>
      <c r="Z68" s="918">
        <f t="shared" si="7"/>
        <v>1030584.0810198869</v>
      </c>
      <c r="AA68" s="918" cm="1">
        <f t="array" ref="AA68">IF(SUM($Z$8:$Z68)&gt;$AA$7,IF(SUM($Z$8:$Z68)-$Z68&gt;=c_maxEquity,0,c_maxEquity-SUM($Z$8:$Z68)+$Z68),$Z68)</f>
        <v>0</v>
      </c>
      <c r="AB68" s="917">
        <f t="shared" si="20"/>
        <v>1030584.0810198869</v>
      </c>
      <c r="AC68" s="917" cm="1">
        <f t="array" aca="1" ref="AC68" ca="1">IF(SUM($AC$8:AC67) + (AB68 * $AC$6) &gt; c_maxEquity, MAX(0,c_maxEquity - SUM($AC$8:AC67)), AB68 * $AC$6)</f>
        <v>0</v>
      </c>
      <c r="AD68" s="917">
        <f t="shared" ca="1" si="8"/>
        <v>0</v>
      </c>
      <c r="AE68" s="917">
        <f t="shared" ca="1" si="9"/>
        <v>1030584.0810198869</v>
      </c>
      <c r="AF68" s="917">
        <f t="shared" ca="1" si="10"/>
        <v>618350.44861193211</v>
      </c>
      <c r="AG68" s="917">
        <f t="shared" ca="1" si="15"/>
        <v>412233.63240795478</v>
      </c>
      <c r="AK68" s="917">
        <f t="shared" si="11"/>
        <v>0</v>
      </c>
      <c r="AL68" s="917">
        <v>0</v>
      </c>
      <c r="AM68" s="917">
        <f ca="1"/>
        <v>0</v>
      </c>
      <c r="AN68" s="917">
        <f ca="1"/>
        <v>618350.44861193211</v>
      </c>
      <c r="AO68" s="917">
        <f t="shared" ca="1" si="12"/>
        <v>618350.44861193211</v>
      </c>
      <c r="AP68" s="917">
        <f t="shared" ca="1" si="13"/>
        <v>618350.44861193211</v>
      </c>
    </row>
    <row r="69" spans="1:42" ht="16">
      <c r="A69" s="30"/>
      <c r="B69" s="5"/>
      <c r="C69" s="30"/>
      <c r="D69" s="30"/>
      <c r="E69" s="5"/>
      <c r="F69" s="890">
        <v>61</v>
      </c>
      <c r="G69" s="935">
        <v>47542</v>
      </c>
      <c r="H69" s="915">
        <v>21</v>
      </c>
      <c r="I69" s="915" t="str">
        <f t="shared" si="21"/>
        <v>Q1-30</v>
      </c>
      <c r="J69" s="915">
        <f t="shared" si="14"/>
        <v>6</v>
      </c>
      <c r="K69" s="916">
        <v>2030</v>
      </c>
      <c r="L69" s="890"/>
      <c r="M69" s="890"/>
      <c r="N69" s="890">
        <v>0</v>
      </c>
      <c r="O69" s="917">
        <f t="shared" si="17"/>
        <v>0</v>
      </c>
      <c r="P69" s="917"/>
      <c r="Q69" s="890">
        <v>0</v>
      </c>
      <c r="R69" s="890">
        <v>1291072.5588563073</v>
      </c>
      <c r="S69" s="890">
        <v>0</v>
      </c>
      <c r="T69" s="890">
        <v>0</v>
      </c>
      <c r="U69" s="890">
        <v>3399648.6644686144</v>
      </c>
      <c r="V69" s="917">
        <f t="shared" si="18"/>
        <v>4690721.2233249219</v>
      </c>
      <c r="W69" s="917">
        <f t="shared" si="19"/>
        <v>4690721.2233249219</v>
      </c>
      <c r="X69" s="918">
        <f>-V69*Reports!$I$33</f>
        <v>-46907.212233249222</v>
      </c>
      <c r="Y69" s="917">
        <f t="shared" si="6"/>
        <v>4643814.0110916728</v>
      </c>
      <c r="Z69" s="918">
        <f t="shared" si="7"/>
        <v>4643814.0110916728</v>
      </c>
      <c r="AA69" s="918" cm="1">
        <f t="array" ref="AA69">IF(SUM($Z$8:$Z69)&gt;$AA$7,IF(SUM($Z$8:$Z69)-$Z69&gt;=c_maxEquity,0,c_maxEquity-SUM($Z$8:$Z69)+$Z69),$Z69)</f>
        <v>0</v>
      </c>
      <c r="AB69" s="917">
        <f t="shared" si="20"/>
        <v>4643814.0110916728</v>
      </c>
      <c r="AC69" s="917" cm="1">
        <f t="array" aca="1" ref="AC69" ca="1">IF(SUM($AC$8:AC68) + (AB69 * $AC$6) &gt; c_maxEquity, MAX(0,c_maxEquity - SUM($AC$8:AC68)), AB69 * $AC$6)</f>
        <v>0</v>
      </c>
      <c r="AD69" s="917">
        <f t="shared" ca="1" si="8"/>
        <v>0</v>
      </c>
      <c r="AE69" s="917">
        <f t="shared" ca="1" si="9"/>
        <v>4643814.0110916728</v>
      </c>
      <c r="AF69" s="917">
        <f t="shared" ca="1" si="10"/>
        <v>2786288.4066550038</v>
      </c>
      <c r="AG69" s="917">
        <f t="shared" ca="1" si="15"/>
        <v>1857525.604436669</v>
      </c>
      <c r="AK69" s="917">
        <f t="shared" si="11"/>
        <v>0</v>
      </c>
      <c r="AL69" s="917">
        <v>0</v>
      </c>
      <c r="AM69" s="917">
        <f ca="1"/>
        <v>0</v>
      </c>
      <c r="AN69" s="917">
        <f ca="1"/>
        <v>2786288.4066550038</v>
      </c>
      <c r="AO69" s="917">
        <f t="shared" ca="1" si="12"/>
        <v>2786288.4066550038</v>
      </c>
      <c r="AP69" s="917">
        <f t="shared" ca="1" si="13"/>
        <v>2786288.4066550038</v>
      </c>
    </row>
    <row r="70" spans="1:42" ht="16">
      <c r="A70" s="30"/>
      <c r="B70" s="5"/>
      <c r="C70" s="30"/>
      <c r="D70" s="30"/>
      <c r="E70" s="5"/>
      <c r="F70" s="890">
        <v>62</v>
      </c>
      <c r="G70" s="935">
        <v>47573</v>
      </c>
      <c r="H70" s="915">
        <v>21</v>
      </c>
      <c r="I70" s="915" t="str">
        <f t="shared" si="21"/>
        <v>Q1-30</v>
      </c>
      <c r="J70" s="915">
        <f t="shared" si="14"/>
        <v>6</v>
      </c>
      <c r="K70" s="916">
        <v>2030</v>
      </c>
      <c r="L70" s="890"/>
      <c r="M70" s="890"/>
      <c r="N70" s="890">
        <v>0</v>
      </c>
      <c r="O70" s="917">
        <f t="shared" si="17"/>
        <v>0</v>
      </c>
      <c r="P70" s="917"/>
      <c r="Q70" s="890">
        <v>0</v>
      </c>
      <c r="R70" s="890">
        <v>0</v>
      </c>
      <c r="S70" s="890">
        <v>0</v>
      </c>
      <c r="T70" s="890">
        <v>0</v>
      </c>
      <c r="U70" s="890">
        <v>0</v>
      </c>
      <c r="V70" s="917">
        <f t="shared" si="18"/>
        <v>0</v>
      </c>
      <c r="W70" s="917">
        <f t="shared" si="19"/>
        <v>0</v>
      </c>
      <c r="X70" s="918">
        <f>-V70*Reports!$I$33</f>
        <v>0</v>
      </c>
      <c r="Y70" s="917">
        <f t="shared" si="6"/>
        <v>0</v>
      </c>
      <c r="Z70" s="918">
        <f t="shared" si="7"/>
        <v>0</v>
      </c>
      <c r="AA70" s="918" cm="1">
        <f t="array" ref="AA70">IF(SUM($Z$8:$Z70)&gt;$AA$7,IF(SUM($Z$8:$Z70)-$Z70&gt;=c_maxEquity,0,c_maxEquity-SUM($Z$8:$Z70)+$Z70),$Z70)</f>
        <v>0</v>
      </c>
      <c r="AB70" s="917">
        <f t="shared" si="20"/>
        <v>0</v>
      </c>
      <c r="AC70" s="917" cm="1">
        <f t="array" aca="1" ref="AC70" ca="1">IF(SUM($AC$8:AC69) + (AB70 * $AC$6) &gt; c_maxEquity, MAX(0,c_maxEquity - SUM($AC$8:AC69)), AB70 * $AC$6)</f>
        <v>0</v>
      </c>
      <c r="AD70" s="917">
        <f t="shared" ca="1" si="8"/>
        <v>0</v>
      </c>
      <c r="AE70" s="917">
        <f t="shared" ca="1" si="9"/>
        <v>0</v>
      </c>
      <c r="AF70" s="917">
        <f t="shared" ca="1" si="10"/>
        <v>0</v>
      </c>
      <c r="AG70" s="917">
        <f t="shared" ca="1" si="15"/>
        <v>0</v>
      </c>
      <c r="AK70" s="917">
        <f t="shared" si="11"/>
        <v>0</v>
      </c>
      <c r="AL70" s="917">
        <v>0</v>
      </c>
      <c r="AM70" s="917">
        <f ca="1"/>
        <v>0</v>
      </c>
      <c r="AN70" s="917">
        <f ca="1"/>
        <v>0</v>
      </c>
      <c r="AO70" s="917">
        <f t="shared" ca="1" si="12"/>
        <v>0</v>
      </c>
      <c r="AP70" s="917">
        <f t="shared" ca="1" si="13"/>
        <v>0</v>
      </c>
    </row>
    <row r="71" spans="1:42" ht="16">
      <c r="A71" s="30"/>
      <c r="B71" s="5"/>
      <c r="C71" s="30"/>
      <c r="D71" s="30"/>
      <c r="E71" s="5"/>
      <c r="F71" s="890">
        <v>63</v>
      </c>
      <c r="G71" s="935">
        <v>47603</v>
      </c>
      <c r="H71" s="915">
        <v>21</v>
      </c>
      <c r="I71" s="915" t="str">
        <f t="shared" si="21"/>
        <v>Q2-30</v>
      </c>
      <c r="J71" s="915">
        <f t="shared" si="14"/>
        <v>6</v>
      </c>
      <c r="K71" s="916">
        <v>2030</v>
      </c>
      <c r="L71" s="890"/>
      <c r="M71" s="890"/>
      <c r="N71" s="890">
        <v>0</v>
      </c>
      <c r="O71" s="917">
        <f t="shared" si="17"/>
        <v>0</v>
      </c>
      <c r="P71" s="917">
        <f>-P8</f>
        <v>-4350000.0000000019</v>
      </c>
      <c r="Q71" s="890">
        <v>0</v>
      </c>
      <c r="R71" s="890">
        <v>5051712.92606543</v>
      </c>
      <c r="S71" s="890">
        <v>0</v>
      </c>
      <c r="T71" s="890">
        <v>0</v>
      </c>
      <c r="U71" s="890">
        <v>0</v>
      </c>
      <c r="V71" s="917">
        <f t="shared" si="18"/>
        <v>701712.92606542818</v>
      </c>
      <c r="W71" s="917">
        <f t="shared" si="19"/>
        <v>701712.92606542818</v>
      </c>
      <c r="X71" s="918">
        <f>-V71*Reports!$I$33</f>
        <v>-7017.129260654282</v>
      </c>
      <c r="Y71" s="917">
        <f t="shared" si="6"/>
        <v>694695.79680477385</v>
      </c>
      <c r="Z71" s="918">
        <f t="shared" si="7"/>
        <v>694695.79680477385</v>
      </c>
      <c r="AA71" s="918" cm="1">
        <f t="array" ref="AA71">IF(SUM($Z$8:$Z71)&gt;$AA$7,IF(SUM($Z$8:$Z71)-$Z71&gt;=c_maxEquity,0,c_maxEquity-SUM($Z$8:$Z71)+$Z71),$Z71)</f>
        <v>0</v>
      </c>
      <c r="AB71" s="917">
        <f t="shared" si="20"/>
        <v>694695.79680477385</v>
      </c>
      <c r="AC71" s="917" cm="1">
        <f t="array" aca="1" ref="AC71" ca="1">IF(SUM($AC$8:AC70) + (AB71 * $AC$6) &gt; c_maxEquity, MAX(0,c_maxEquity - SUM($AC$8:AC70)), AB71 * $AC$6)</f>
        <v>0</v>
      </c>
      <c r="AD71" s="917">
        <f t="shared" ca="1" si="8"/>
        <v>0</v>
      </c>
      <c r="AE71" s="917">
        <f t="shared" ca="1" si="9"/>
        <v>694695.79680477385</v>
      </c>
      <c r="AF71" s="917">
        <f t="shared" ca="1" si="10"/>
        <v>416817.47808286431</v>
      </c>
      <c r="AG71" s="917">
        <f t="shared" ca="1" si="15"/>
        <v>277878.31872190954</v>
      </c>
      <c r="AK71" s="917">
        <f t="shared" si="11"/>
        <v>0</v>
      </c>
      <c r="AL71" s="917">
        <v>0</v>
      </c>
      <c r="AM71" s="917">
        <f ca="1"/>
        <v>0</v>
      </c>
      <c r="AN71" s="917">
        <f ca="1"/>
        <v>416817.47808286431</v>
      </c>
      <c r="AO71" s="917">
        <f t="shared" ca="1" si="12"/>
        <v>416817.47808286431</v>
      </c>
      <c r="AP71" s="917">
        <f t="shared" ca="1" si="13"/>
        <v>416817.47808286431</v>
      </c>
    </row>
    <row r="72" spans="1:42" ht="16">
      <c r="A72" s="30"/>
      <c r="B72" s="5"/>
      <c r="C72" s="30"/>
      <c r="D72" s="30"/>
      <c r="E72" s="5"/>
      <c r="F72" s="890">
        <v>64</v>
      </c>
      <c r="G72" s="935">
        <v>47634</v>
      </c>
      <c r="H72" s="915">
        <v>22</v>
      </c>
      <c r="I72" s="915" t="str">
        <f t="shared" si="21"/>
        <v>Q2-30</v>
      </c>
      <c r="J72" s="915">
        <f t="shared" si="14"/>
        <v>6</v>
      </c>
      <c r="K72" s="916">
        <v>2030</v>
      </c>
      <c r="L72" s="890"/>
      <c r="M72" s="890"/>
      <c r="N72" s="890">
        <v>0</v>
      </c>
      <c r="O72" s="917">
        <f t="shared" ref="O72" si="22">SUM(L72:N72)</f>
        <v>0</v>
      </c>
      <c r="P72" s="917"/>
      <c r="Q72" s="890">
        <v>0</v>
      </c>
      <c r="R72" s="890">
        <v>0</v>
      </c>
      <c r="S72" s="890">
        <v>0</v>
      </c>
      <c r="T72" s="890">
        <v>0</v>
      </c>
      <c r="U72" s="890">
        <v>7051123.1559349038</v>
      </c>
      <c r="V72" s="917">
        <f t="shared" ref="V72" si="23">SUM(P72:U72)</f>
        <v>7051123.1559349038</v>
      </c>
      <c r="W72" s="917">
        <f t="shared" ref="W72:W80" si="24">O72+V72</f>
        <v>7051123.1559349038</v>
      </c>
      <c r="X72" s="918">
        <f>-V72*Reports!$I$33</f>
        <v>-70511.231559349035</v>
      </c>
      <c r="Y72" s="917">
        <f t="shared" si="6"/>
        <v>6980611.9243755545</v>
      </c>
      <c r="Z72" s="918">
        <f t="shared" si="7"/>
        <v>6980611.9243755545</v>
      </c>
      <c r="AA72" s="918" cm="1">
        <f t="array" ref="AA72">IF(SUM($Z$8:$Z72)&gt;$AA$7,IF(SUM($Z$8:$Z72)-$Z72&gt;=c_maxEquity,0,c_maxEquity-SUM($Z$8:$Z72)+$Z72),$Z72)</f>
        <v>0</v>
      </c>
      <c r="AB72" s="917">
        <f t="shared" ref="AB72" si="25">Z72-AA72</f>
        <v>6980611.9243755545</v>
      </c>
      <c r="AC72" s="917" cm="1">
        <f t="array" aca="1" ref="AC72" ca="1">IF(SUM($AC$8:AC71) + (AB72 * $AC$6) &gt; c_maxEquity, MAX(0,c_maxEquity - SUM($AC$8:AC71)), AB72 * $AC$6)</f>
        <v>0</v>
      </c>
      <c r="AD72" s="917">
        <f t="shared" ca="1" si="8"/>
        <v>0</v>
      </c>
      <c r="AE72" s="917">
        <f t="shared" ca="1" si="9"/>
        <v>6980611.9243755545</v>
      </c>
      <c r="AF72" s="917">
        <f t="shared" ca="1" si="10"/>
        <v>4188367.1546253324</v>
      </c>
      <c r="AG72" s="917">
        <f t="shared" ca="1" si="15"/>
        <v>2792244.7697502221</v>
      </c>
      <c r="AK72" s="917">
        <f t="shared" si="11"/>
        <v>0</v>
      </c>
      <c r="AL72" s="917">
        <v>0</v>
      </c>
      <c r="AM72" s="917">
        <f ca="1"/>
        <v>0</v>
      </c>
      <c r="AN72" s="917">
        <f ca="1"/>
        <v>4188367.1546253324</v>
      </c>
      <c r="AO72" s="917">
        <f t="shared" ca="1" si="12"/>
        <v>4188367.1546253324</v>
      </c>
      <c r="AP72" s="917">
        <f t="shared" ca="1" si="13"/>
        <v>4188367.1546253324</v>
      </c>
    </row>
    <row r="73" spans="1:42" ht="16">
      <c r="A73" s="30"/>
      <c r="B73" s="5"/>
      <c r="C73" s="30"/>
      <c r="D73" s="30"/>
      <c r="E73" s="5"/>
      <c r="F73" s="890">
        <v>65</v>
      </c>
      <c r="G73" s="935">
        <v>47664</v>
      </c>
      <c r="H73" s="915">
        <v>22</v>
      </c>
      <c r="I73" s="915" t="str">
        <f t="shared" ref="I73:I80" si="26">IF(H73&gt;0,"Q"&amp;ROUNDUP(MONTH(G73)/3,0)&amp;"-"&amp;YEAR(G73)-2000,0)</f>
        <v>Q2-30</v>
      </c>
      <c r="J73" s="915">
        <f t="shared" ref="J73:J80" si="27">IF(F73="","",INT((F73-1)/12)+1)</f>
        <v>6</v>
      </c>
      <c r="K73" s="916">
        <v>2030</v>
      </c>
      <c r="L73" s="890"/>
      <c r="M73" s="890"/>
      <c r="N73" s="890">
        <v>0</v>
      </c>
      <c r="O73" s="917">
        <f t="shared" ref="O73:O80" si="28">SUM(L73:N73)</f>
        <v>0</v>
      </c>
      <c r="P73" s="917"/>
      <c r="Q73" s="890">
        <v>0</v>
      </c>
      <c r="R73" s="890">
        <v>0</v>
      </c>
      <c r="S73" s="890">
        <v>0</v>
      </c>
      <c r="T73" s="890">
        <v>0</v>
      </c>
      <c r="U73" s="890">
        <v>0</v>
      </c>
      <c r="V73" s="917">
        <f t="shared" ref="V73:V80" si="29">SUM(P73:U73)</f>
        <v>0</v>
      </c>
      <c r="W73" s="917">
        <f t="shared" si="24"/>
        <v>0</v>
      </c>
      <c r="X73" s="918">
        <f>-V73*Reports!$I$33</f>
        <v>0</v>
      </c>
      <c r="Y73" s="917">
        <f t="shared" ref="Y73:Y80" si="30">W73+X73</f>
        <v>0</v>
      </c>
      <c r="Z73" s="918">
        <f t="shared" ref="Z73:Z80" si="31">MAX(0,Y73)</f>
        <v>0</v>
      </c>
      <c r="AA73" s="918" cm="1">
        <f t="array" ref="AA73">IF(SUM($Z$8:$Z73)&gt;$AA$7,IF(SUM($Z$8:$Z73)-$Z73&gt;=c_maxEquity,0,c_maxEquity-SUM($Z$8:$Z73)+$Z73),$Z73)</f>
        <v>0</v>
      </c>
      <c r="AB73" s="917">
        <f t="shared" ref="AB73:AB80" si="32">Z73-AA73</f>
        <v>0</v>
      </c>
      <c r="AC73" s="917" cm="1">
        <f t="array" aca="1" ref="AC73" ca="1">IF(SUM($AC$8:AC72) + (AB73 * $AC$6) &gt; c_maxEquity, MAX(0,c_maxEquity - SUM($AC$8:AC72)), AB73 * $AC$6)</f>
        <v>0</v>
      </c>
      <c r="AD73" s="917">
        <f t="shared" ref="AD73:AD93" ca="1" si="33">IF(AC73=0,0,AB73-AC73)</f>
        <v>0</v>
      </c>
      <c r="AE73" s="917">
        <f t="shared" ref="AE73:AE80" ca="1" si="34">AB73-AC73-AD73</f>
        <v>0</v>
      </c>
      <c r="AF73" s="917">
        <f t="shared" ref="AF73:AF80" ca="1" si="35">AE73*$AF$6</f>
        <v>0</v>
      </c>
      <c r="AG73" s="917">
        <f t="shared" ca="1" si="15"/>
        <v>0</v>
      </c>
      <c r="AK73" s="917">
        <f t="shared" ref="AK73:AK136" si="36">IF(W73&lt;0,W73,0)</f>
        <v>0</v>
      </c>
      <c r="AL73" s="917">
        <v>0</v>
      </c>
      <c r="AM73" s="917">
        <f ca="1"/>
        <v>0</v>
      </c>
      <c r="AN73" s="917">
        <f ca="1"/>
        <v>0</v>
      </c>
      <c r="AO73" s="917">
        <f t="shared" ref="AO73:AO136" ca="1" si="37">SUM(AL73:AN73)</f>
        <v>0</v>
      </c>
      <c r="AP73" s="917">
        <f t="shared" ref="AP73:AP136" ca="1" si="38">AO73+AK73</f>
        <v>0</v>
      </c>
    </row>
    <row r="74" spans="1:42" ht="16">
      <c r="A74" s="30"/>
      <c r="B74" s="5"/>
      <c r="C74" s="30"/>
      <c r="D74" s="30"/>
      <c r="E74" s="5"/>
      <c r="F74" s="890">
        <v>66</v>
      </c>
      <c r="G74" s="935">
        <v>47695</v>
      </c>
      <c r="H74" s="915">
        <v>22</v>
      </c>
      <c r="I74" s="915" t="str">
        <f t="shared" si="26"/>
        <v>Q3-30</v>
      </c>
      <c r="J74" s="915">
        <f t="shared" si="27"/>
        <v>6</v>
      </c>
      <c r="K74" s="916">
        <v>2030</v>
      </c>
      <c r="L74" s="890"/>
      <c r="M74" s="890"/>
      <c r="N74" s="890">
        <v>0</v>
      </c>
      <c r="O74" s="917">
        <f t="shared" si="28"/>
        <v>0</v>
      </c>
      <c r="P74" s="917"/>
      <c r="Q74" s="890">
        <v>0</v>
      </c>
      <c r="R74" s="890">
        <v>0</v>
      </c>
      <c r="S74" s="890">
        <v>0</v>
      </c>
      <c r="T74" s="890">
        <v>0</v>
      </c>
      <c r="U74" s="890">
        <v>0</v>
      </c>
      <c r="V74" s="917">
        <f t="shared" si="29"/>
        <v>0</v>
      </c>
      <c r="W74" s="917">
        <f t="shared" si="24"/>
        <v>0</v>
      </c>
      <c r="X74" s="918">
        <f>-V74*Reports!$I$33</f>
        <v>0</v>
      </c>
      <c r="Y74" s="917">
        <f t="shared" si="30"/>
        <v>0</v>
      </c>
      <c r="Z74" s="918">
        <f t="shared" si="31"/>
        <v>0</v>
      </c>
      <c r="AA74" s="918" cm="1">
        <f t="array" ref="AA74">IF(SUM($Z$8:$Z74)&gt;$AA$7,IF(SUM($Z$8:$Z74)-$Z74&gt;=c_maxEquity,0,c_maxEquity-SUM($Z$8:$Z74)+$Z74),$Z74)</f>
        <v>0</v>
      </c>
      <c r="AB74" s="917">
        <f t="shared" si="32"/>
        <v>0</v>
      </c>
      <c r="AC74" s="917" cm="1">
        <f t="array" aca="1" ref="AC74" ca="1">IF(SUM($AC$8:AC73) + (AB74 * $AC$6) &gt; c_maxEquity, MAX(0,c_maxEquity - SUM($AC$8:AC73)), AB74 * $AC$6)</f>
        <v>0</v>
      </c>
      <c r="AD74" s="917">
        <f t="shared" ca="1" si="33"/>
        <v>0</v>
      </c>
      <c r="AE74" s="917">
        <f t="shared" ca="1" si="34"/>
        <v>0</v>
      </c>
      <c r="AF74" s="917">
        <f t="shared" ca="1" si="35"/>
        <v>0</v>
      </c>
      <c r="AG74" s="917">
        <f t="shared" ref="AG74:AG80" ca="1" si="39">AE74-AF74</f>
        <v>0</v>
      </c>
      <c r="AK74" s="917">
        <f t="shared" si="36"/>
        <v>0</v>
      </c>
      <c r="AL74" s="917">
        <v>0</v>
      </c>
      <c r="AM74" s="917">
        <f ca="1"/>
        <v>0</v>
      </c>
      <c r="AN74" s="917">
        <f ca="1"/>
        <v>0</v>
      </c>
      <c r="AO74" s="917">
        <f t="shared" ca="1" si="37"/>
        <v>0</v>
      </c>
      <c r="AP74" s="917">
        <f t="shared" ca="1" si="38"/>
        <v>0</v>
      </c>
    </row>
    <row r="75" spans="1:42" ht="16">
      <c r="A75" s="30"/>
      <c r="B75" s="5"/>
      <c r="C75" s="30"/>
      <c r="D75" s="30"/>
      <c r="E75" s="5"/>
      <c r="F75" s="890">
        <v>67</v>
      </c>
      <c r="G75" s="935">
        <v>47726</v>
      </c>
      <c r="H75" s="915">
        <v>23</v>
      </c>
      <c r="I75" s="915" t="str">
        <f t="shared" si="26"/>
        <v>Q3-30</v>
      </c>
      <c r="J75" s="915">
        <f t="shared" si="27"/>
        <v>6</v>
      </c>
      <c r="K75" s="916">
        <v>2030</v>
      </c>
      <c r="L75" s="890"/>
      <c r="M75" s="890"/>
      <c r="N75" s="890">
        <v>0</v>
      </c>
      <c r="O75" s="917">
        <f t="shared" si="28"/>
        <v>0</v>
      </c>
      <c r="P75" s="917"/>
      <c r="Q75" s="890">
        <v>0</v>
      </c>
      <c r="R75" s="890">
        <v>0</v>
      </c>
      <c r="S75" s="890">
        <v>0</v>
      </c>
      <c r="T75" s="890">
        <v>0</v>
      </c>
      <c r="U75" s="890">
        <v>0</v>
      </c>
      <c r="V75" s="917">
        <f t="shared" si="29"/>
        <v>0</v>
      </c>
      <c r="W75" s="917">
        <f t="shared" si="24"/>
        <v>0</v>
      </c>
      <c r="X75" s="918">
        <f>-V75*Reports!$I$33</f>
        <v>0</v>
      </c>
      <c r="Y75" s="917">
        <f t="shared" si="30"/>
        <v>0</v>
      </c>
      <c r="Z75" s="918">
        <f t="shared" si="31"/>
        <v>0</v>
      </c>
      <c r="AA75" s="918" cm="1">
        <f t="array" ref="AA75">IF(SUM($Z$8:$Z75)&gt;$AA$7,IF(SUM($Z$8:$Z75)-$Z75&gt;=c_maxEquity,0,c_maxEquity-SUM($Z$8:$Z75)+$Z75),$Z75)</f>
        <v>0</v>
      </c>
      <c r="AB75" s="917">
        <f t="shared" si="32"/>
        <v>0</v>
      </c>
      <c r="AC75" s="917" cm="1">
        <f t="array" aca="1" ref="AC75" ca="1">IF(SUM($AC$8:AC74) + (AB75 * $AC$6) &gt; c_maxEquity, MAX(0,c_maxEquity - SUM($AC$8:AC74)), AB75 * $AC$6)</f>
        <v>0</v>
      </c>
      <c r="AD75" s="917">
        <f t="shared" ca="1" si="33"/>
        <v>0</v>
      </c>
      <c r="AE75" s="917">
        <f t="shared" ca="1" si="34"/>
        <v>0</v>
      </c>
      <c r="AF75" s="917">
        <f t="shared" ca="1" si="35"/>
        <v>0</v>
      </c>
      <c r="AG75" s="917">
        <f t="shared" ca="1" si="39"/>
        <v>0</v>
      </c>
      <c r="AK75" s="917">
        <f t="shared" si="36"/>
        <v>0</v>
      </c>
      <c r="AL75" s="917">
        <v>0</v>
      </c>
      <c r="AM75" s="917">
        <f ca="1"/>
        <v>0</v>
      </c>
      <c r="AN75" s="917">
        <f ca="1"/>
        <v>0</v>
      </c>
      <c r="AO75" s="917">
        <f t="shared" ca="1" si="37"/>
        <v>0</v>
      </c>
      <c r="AP75" s="917">
        <f t="shared" ca="1" si="38"/>
        <v>0</v>
      </c>
    </row>
    <row r="76" spans="1:42" ht="16">
      <c r="A76" s="30"/>
      <c r="B76" s="5"/>
      <c r="C76" s="30"/>
      <c r="D76" s="30"/>
      <c r="E76" s="5"/>
      <c r="F76" s="890">
        <v>68</v>
      </c>
      <c r="G76" s="935">
        <v>47756</v>
      </c>
      <c r="H76" s="915">
        <v>23</v>
      </c>
      <c r="I76" s="915" t="str">
        <f t="shared" si="26"/>
        <v>Q3-30</v>
      </c>
      <c r="J76" s="915">
        <f t="shared" si="27"/>
        <v>6</v>
      </c>
      <c r="K76" s="916">
        <v>2030</v>
      </c>
      <c r="L76" s="890"/>
      <c r="M76" s="890"/>
      <c r="N76" s="890">
        <v>0</v>
      </c>
      <c r="O76" s="917">
        <f t="shared" si="28"/>
        <v>0</v>
      </c>
      <c r="P76" s="917"/>
      <c r="Q76" s="890">
        <v>0</v>
      </c>
      <c r="R76" s="890">
        <v>0</v>
      </c>
      <c r="S76" s="890">
        <v>0</v>
      </c>
      <c r="T76" s="890">
        <v>0</v>
      </c>
      <c r="U76" s="890">
        <v>0</v>
      </c>
      <c r="V76" s="917">
        <f t="shared" si="29"/>
        <v>0</v>
      </c>
      <c r="W76" s="917">
        <f t="shared" si="24"/>
        <v>0</v>
      </c>
      <c r="X76" s="918">
        <f>-V76*Reports!$I$33</f>
        <v>0</v>
      </c>
      <c r="Y76" s="917">
        <f t="shared" si="30"/>
        <v>0</v>
      </c>
      <c r="Z76" s="918">
        <f t="shared" si="31"/>
        <v>0</v>
      </c>
      <c r="AA76" s="918" cm="1">
        <f t="array" ref="AA76">IF(SUM($Z$8:$Z76)&gt;$AA$7,IF(SUM($Z$8:$Z76)-$Z76&gt;=c_maxEquity,0,c_maxEquity-SUM($Z$8:$Z76)+$Z76),$Z76)</f>
        <v>0</v>
      </c>
      <c r="AB76" s="917">
        <f t="shared" si="32"/>
        <v>0</v>
      </c>
      <c r="AC76" s="917" cm="1">
        <f t="array" aca="1" ref="AC76" ca="1">IF(SUM($AC$8:AC75) + (AB76 * $AC$6) &gt; c_maxEquity, MAX(0,c_maxEquity - SUM($AC$8:AC75)), AB76 * $AC$6)</f>
        <v>0</v>
      </c>
      <c r="AD76" s="917">
        <f t="shared" ca="1" si="33"/>
        <v>0</v>
      </c>
      <c r="AE76" s="917">
        <f t="shared" ca="1" si="34"/>
        <v>0</v>
      </c>
      <c r="AF76" s="917">
        <f t="shared" ca="1" si="35"/>
        <v>0</v>
      </c>
      <c r="AG76" s="917">
        <f t="shared" ca="1" si="39"/>
        <v>0</v>
      </c>
      <c r="AK76" s="917">
        <f t="shared" si="36"/>
        <v>0</v>
      </c>
      <c r="AL76" s="917">
        <v>0</v>
      </c>
      <c r="AM76" s="917">
        <f ca="1"/>
        <v>0</v>
      </c>
      <c r="AN76" s="917">
        <f ca="1"/>
        <v>0</v>
      </c>
      <c r="AO76" s="917">
        <f t="shared" ca="1" si="37"/>
        <v>0</v>
      </c>
      <c r="AP76" s="917">
        <f t="shared" ca="1" si="38"/>
        <v>0</v>
      </c>
    </row>
    <row r="77" spans="1:42" ht="16">
      <c r="A77" s="30"/>
      <c r="B77" s="5"/>
      <c r="C77" s="30"/>
      <c r="D77" s="30"/>
      <c r="E77" s="5"/>
      <c r="F77" s="890">
        <v>69</v>
      </c>
      <c r="G77" s="935">
        <v>47787</v>
      </c>
      <c r="H77" s="915">
        <v>23</v>
      </c>
      <c r="I77" s="915" t="str">
        <f t="shared" si="26"/>
        <v>Q4-30</v>
      </c>
      <c r="J77" s="915">
        <f t="shared" si="27"/>
        <v>6</v>
      </c>
      <c r="K77" s="916">
        <v>2030</v>
      </c>
      <c r="L77" s="890"/>
      <c r="M77" s="890"/>
      <c r="N77" s="890">
        <v>0</v>
      </c>
      <c r="O77" s="917">
        <f t="shared" si="28"/>
        <v>0</v>
      </c>
      <c r="P77" s="917"/>
      <c r="Q77" s="890">
        <v>0</v>
      </c>
      <c r="R77" s="890">
        <v>0</v>
      </c>
      <c r="S77" s="890">
        <v>0</v>
      </c>
      <c r="T77" s="890">
        <v>0</v>
      </c>
      <c r="U77" s="890">
        <v>0</v>
      </c>
      <c r="V77" s="917">
        <f t="shared" si="29"/>
        <v>0</v>
      </c>
      <c r="W77" s="917">
        <f t="shared" si="24"/>
        <v>0</v>
      </c>
      <c r="X77" s="918">
        <f>-V77*Reports!$I$33</f>
        <v>0</v>
      </c>
      <c r="Y77" s="917">
        <f t="shared" si="30"/>
        <v>0</v>
      </c>
      <c r="Z77" s="918">
        <f t="shared" si="31"/>
        <v>0</v>
      </c>
      <c r="AA77" s="918" cm="1">
        <f t="array" ref="AA77">IF(SUM($Z$8:$Z77)&gt;$AA$7,IF(SUM($Z$8:$Z77)-$Z77&gt;=c_maxEquity,0,c_maxEquity-SUM($Z$8:$Z77)+$Z77),$Z77)</f>
        <v>0</v>
      </c>
      <c r="AB77" s="917">
        <f t="shared" si="32"/>
        <v>0</v>
      </c>
      <c r="AC77" s="917" cm="1">
        <f t="array" aca="1" ref="AC77" ca="1">IF(SUM($AC$8:AC76) + (AB77 * $AC$6) &gt; c_maxEquity, MAX(0,c_maxEquity - SUM($AC$8:AC76)), AB77 * $AC$6)</f>
        <v>0</v>
      </c>
      <c r="AD77" s="917">
        <f t="shared" ca="1" si="33"/>
        <v>0</v>
      </c>
      <c r="AE77" s="917">
        <f t="shared" ca="1" si="34"/>
        <v>0</v>
      </c>
      <c r="AF77" s="917">
        <f t="shared" ca="1" si="35"/>
        <v>0</v>
      </c>
      <c r="AG77" s="917">
        <f t="shared" ca="1" si="39"/>
        <v>0</v>
      </c>
      <c r="AK77" s="917">
        <f t="shared" si="36"/>
        <v>0</v>
      </c>
      <c r="AL77" s="917">
        <v>0</v>
      </c>
      <c r="AM77" s="917">
        <f ca="1"/>
        <v>0</v>
      </c>
      <c r="AN77" s="917">
        <f ca="1"/>
        <v>0</v>
      </c>
      <c r="AO77" s="917">
        <f t="shared" ca="1" si="37"/>
        <v>0</v>
      </c>
      <c r="AP77" s="917">
        <f t="shared" ca="1" si="38"/>
        <v>0</v>
      </c>
    </row>
    <row r="78" spans="1:42" ht="16">
      <c r="A78" s="30"/>
      <c r="B78" s="5"/>
      <c r="C78" s="30"/>
      <c r="D78" s="30"/>
      <c r="E78" s="5"/>
      <c r="F78" s="890">
        <v>70</v>
      </c>
      <c r="G78" s="935">
        <v>47817</v>
      </c>
      <c r="H78" s="915">
        <v>24</v>
      </c>
      <c r="I78" s="915" t="str">
        <f t="shared" si="26"/>
        <v>Q4-30</v>
      </c>
      <c r="J78" s="915">
        <f t="shared" si="27"/>
        <v>6</v>
      </c>
      <c r="K78" s="916">
        <v>2030</v>
      </c>
      <c r="L78" s="890"/>
      <c r="M78" s="890"/>
      <c r="N78" s="890">
        <v>0</v>
      </c>
      <c r="O78" s="917">
        <f t="shared" si="28"/>
        <v>0</v>
      </c>
      <c r="P78" s="917"/>
      <c r="Q78" s="890">
        <v>0</v>
      </c>
      <c r="R78" s="890">
        <v>0</v>
      </c>
      <c r="S78" s="890">
        <v>0</v>
      </c>
      <c r="T78" s="890">
        <v>0</v>
      </c>
      <c r="U78" s="890">
        <v>0</v>
      </c>
      <c r="V78" s="917">
        <f t="shared" si="29"/>
        <v>0</v>
      </c>
      <c r="W78" s="917">
        <f t="shared" si="24"/>
        <v>0</v>
      </c>
      <c r="X78" s="918">
        <f>-V78*Reports!$I$33</f>
        <v>0</v>
      </c>
      <c r="Y78" s="917">
        <f t="shared" si="30"/>
        <v>0</v>
      </c>
      <c r="Z78" s="918">
        <f t="shared" si="31"/>
        <v>0</v>
      </c>
      <c r="AA78" s="918" cm="1">
        <f t="array" ref="AA78">IF(SUM($Z$8:$Z78)&gt;$AA$7,IF(SUM($Z$8:$Z78)-$Z78&gt;=c_maxEquity,0,c_maxEquity-SUM($Z$8:$Z78)+$Z78),$Z78)</f>
        <v>0</v>
      </c>
      <c r="AB78" s="917">
        <f t="shared" si="32"/>
        <v>0</v>
      </c>
      <c r="AC78" s="917" cm="1">
        <f t="array" aca="1" ref="AC78" ca="1">IF(SUM($AC$8:AC77) + (AB78 * $AC$6) &gt; c_maxEquity, MAX(0,c_maxEquity - SUM($AC$8:AC77)), AB78 * $AC$6)</f>
        <v>0</v>
      </c>
      <c r="AD78" s="917">
        <f t="shared" ca="1" si="33"/>
        <v>0</v>
      </c>
      <c r="AE78" s="917">
        <f t="shared" ca="1" si="34"/>
        <v>0</v>
      </c>
      <c r="AF78" s="917">
        <f t="shared" ca="1" si="35"/>
        <v>0</v>
      </c>
      <c r="AG78" s="917">
        <f t="shared" ca="1" si="39"/>
        <v>0</v>
      </c>
      <c r="AK78" s="917">
        <f t="shared" si="36"/>
        <v>0</v>
      </c>
      <c r="AL78" s="917">
        <v>0</v>
      </c>
      <c r="AM78" s="917">
        <f ca="1"/>
        <v>0</v>
      </c>
      <c r="AN78" s="917">
        <f ca="1"/>
        <v>0</v>
      </c>
      <c r="AO78" s="917">
        <f t="shared" ca="1" si="37"/>
        <v>0</v>
      </c>
      <c r="AP78" s="917">
        <f t="shared" ca="1" si="38"/>
        <v>0</v>
      </c>
    </row>
    <row r="79" spans="1:42" ht="16">
      <c r="A79" s="30"/>
      <c r="B79" s="5"/>
      <c r="C79" s="30"/>
      <c r="D79" s="30"/>
      <c r="E79" s="5"/>
      <c r="F79" s="890">
        <v>71</v>
      </c>
      <c r="G79" s="935">
        <v>47848</v>
      </c>
      <c r="H79" s="915">
        <v>24</v>
      </c>
      <c r="I79" s="915" t="str">
        <f t="shared" si="26"/>
        <v>Q4-30</v>
      </c>
      <c r="J79" s="915">
        <f t="shared" si="27"/>
        <v>6</v>
      </c>
      <c r="K79" s="916">
        <v>2030</v>
      </c>
      <c r="L79" s="890"/>
      <c r="M79" s="890"/>
      <c r="N79" s="890">
        <v>0</v>
      </c>
      <c r="O79" s="917">
        <f t="shared" si="28"/>
        <v>0</v>
      </c>
      <c r="P79" s="917"/>
      <c r="Q79" s="890">
        <v>0</v>
      </c>
      <c r="R79" s="890">
        <v>0</v>
      </c>
      <c r="S79" s="890">
        <v>0</v>
      </c>
      <c r="T79" s="890">
        <v>0</v>
      </c>
      <c r="U79" s="890">
        <v>0</v>
      </c>
      <c r="V79" s="917">
        <f t="shared" si="29"/>
        <v>0</v>
      </c>
      <c r="W79" s="917">
        <f t="shared" si="24"/>
        <v>0</v>
      </c>
      <c r="X79" s="918">
        <f>-V79*Reports!$I$33</f>
        <v>0</v>
      </c>
      <c r="Y79" s="917">
        <f t="shared" si="30"/>
        <v>0</v>
      </c>
      <c r="Z79" s="918">
        <f t="shared" si="31"/>
        <v>0</v>
      </c>
      <c r="AA79" s="918" cm="1">
        <f t="array" ref="AA79">IF(SUM($Z$8:$Z79)&gt;$AA$7,IF(SUM($Z$8:$Z79)-$Z79&gt;=c_maxEquity,0,c_maxEquity-SUM($Z$8:$Z79)+$Z79),$Z79)</f>
        <v>0</v>
      </c>
      <c r="AB79" s="917">
        <f t="shared" si="32"/>
        <v>0</v>
      </c>
      <c r="AC79" s="917" cm="1">
        <f t="array" aca="1" ref="AC79" ca="1">IF(SUM($AC$8:AC78) + (AB79 * $AC$6) &gt; c_maxEquity, MAX(0,c_maxEquity - SUM($AC$8:AC78)), AB79 * $AC$6)</f>
        <v>0</v>
      </c>
      <c r="AD79" s="917">
        <f t="shared" ca="1" si="33"/>
        <v>0</v>
      </c>
      <c r="AE79" s="917">
        <f t="shared" ca="1" si="34"/>
        <v>0</v>
      </c>
      <c r="AF79" s="917">
        <f t="shared" ca="1" si="35"/>
        <v>0</v>
      </c>
      <c r="AG79" s="917">
        <f t="shared" ca="1" si="39"/>
        <v>0</v>
      </c>
      <c r="AK79" s="917">
        <f t="shared" si="36"/>
        <v>0</v>
      </c>
      <c r="AL79" s="917">
        <v>0</v>
      </c>
      <c r="AM79" s="917">
        <f ca="1"/>
        <v>0</v>
      </c>
      <c r="AN79" s="917">
        <f ca="1"/>
        <v>0</v>
      </c>
      <c r="AO79" s="917">
        <f t="shared" ca="1" si="37"/>
        <v>0</v>
      </c>
      <c r="AP79" s="917">
        <f t="shared" ca="1" si="38"/>
        <v>0</v>
      </c>
    </row>
    <row r="80" spans="1:42" ht="16">
      <c r="A80" s="30"/>
      <c r="B80" s="5"/>
      <c r="C80" s="30"/>
      <c r="D80" s="30"/>
      <c r="E80" s="5"/>
      <c r="F80" s="890">
        <v>72</v>
      </c>
      <c r="G80" s="935">
        <v>47879</v>
      </c>
      <c r="H80" s="915">
        <v>24</v>
      </c>
      <c r="I80" s="915" t="str">
        <f t="shared" si="26"/>
        <v>Q1-31</v>
      </c>
      <c r="J80" s="915">
        <f t="shared" si="27"/>
        <v>6</v>
      </c>
      <c r="K80" s="916">
        <v>2031</v>
      </c>
      <c r="L80" s="890"/>
      <c r="M80" s="890"/>
      <c r="N80" s="890">
        <v>0</v>
      </c>
      <c r="O80" s="917">
        <f t="shared" si="28"/>
        <v>0</v>
      </c>
      <c r="P80" s="917"/>
      <c r="Q80" s="890">
        <v>0</v>
      </c>
      <c r="R80" s="890">
        <v>2011505.3126932518</v>
      </c>
      <c r="S80" s="890">
        <v>0</v>
      </c>
      <c r="T80" s="890">
        <v>0</v>
      </c>
      <c r="U80" s="890">
        <v>0</v>
      </c>
      <c r="V80" s="917">
        <f t="shared" si="29"/>
        <v>2011505.3126932518</v>
      </c>
      <c r="W80" s="917">
        <f t="shared" si="24"/>
        <v>2011505.3126932518</v>
      </c>
      <c r="X80" s="918">
        <f>-V80*Reports!$I$33</f>
        <v>-20115.053126932518</v>
      </c>
      <c r="Y80" s="917">
        <f t="shared" si="30"/>
        <v>1991390.2595663192</v>
      </c>
      <c r="Z80" s="918">
        <f t="shared" si="31"/>
        <v>1991390.2595663192</v>
      </c>
      <c r="AA80" s="918" cm="1">
        <f t="array" ref="AA80">IF(SUM($Z$8:$Z80)&gt;$AA$7,IF(SUM($Z$8:$Z80)-$Z80&gt;=c_maxEquity,0,c_maxEquity-SUM($Z$8:$Z80)+$Z80),$Z80)</f>
        <v>0</v>
      </c>
      <c r="AB80" s="917">
        <f t="shared" si="32"/>
        <v>1991390.2595663192</v>
      </c>
      <c r="AC80" s="917" cm="1">
        <f t="array" aca="1" ref="AC80" ca="1">IF(SUM($AC$8:AC79) + (AB80 * $AC$6) &gt; c_maxEquity, MAX(0,c_maxEquity - SUM($AC$8:AC79)), AB80 * $AC$6)</f>
        <v>0</v>
      </c>
      <c r="AD80" s="917">
        <f t="shared" ca="1" si="33"/>
        <v>0</v>
      </c>
      <c r="AE80" s="917">
        <f t="shared" ca="1" si="34"/>
        <v>1991390.2595663192</v>
      </c>
      <c r="AF80" s="917">
        <f t="shared" ca="1" si="35"/>
        <v>1194834.1557397915</v>
      </c>
      <c r="AG80" s="917">
        <f t="shared" ca="1" si="39"/>
        <v>796556.10382652772</v>
      </c>
      <c r="AK80" s="917">
        <f t="shared" si="36"/>
        <v>0</v>
      </c>
      <c r="AL80" s="917">
        <v>0</v>
      </c>
      <c r="AM80" s="917">
        <f ca="1"/>
        <v>0</v>
      </c>
      <c r="AN80" s="917">
        <f ca="1"/>
        <v>1194834.1557397915</v>
      </c>
      <c r="AO80" s="917">
        <f t="shared" ca="1" si="37"/>
        <v>1194834.1557397915</v>
      </c>
      <c r="AP80" s="917">
        <f t="shared" ca="1" si="38"/>
        <v>1194834.1557397915</v>
      </c>
    </row>
    <row r="81" spans="1:42" ht="16">
      <c r="A81" s="30"/>
      <c r="B81" s="5"/>
      <c r="C81" s="30"/>
      <c r="D81" s="30"/>
      <c r="E81" s="5"/>
      <c r="F81" s="890"/>
      <c r="G81" s="935"/>
      <c r="H81" s="915"/>
      <c r="I81" s="915"/>
      <c r="J81" s="915"/>
      <c r="K81" s="916"/>
      <c r="L81" s="890"/>
      <c r="M81" s="890"/>
      <c r="N81" s="890"/>
      <c r="O81" s="917"/>
      <c r="P81" s="917"/>
      <c r="Q81" s="890"/>
      <c r="R81" s="890"/>
      <c r="S81" s="890"/>
      <c r="T81" s="890"/>
      <c r="U81" s="890"/>
      <c r="V81" s="917"/>
      <c r="W81" s="917"/>
      <c r="X81" s="918"/>
      <c r="Y81" s="917"/>
      <c r="Z81" s="918"/>
      <c r="AA81" s="918"/>
      <c r="AB81" s="917"/>
      <c r="AC81" s="917" cm="1">
        <f t="array" aca="1" ref="AC81" ca="1">IF(SUM($AC$8:AC80) + (AB81 * $AC$6) &gt; c_maxEquity, MAX(0,c_maxEquity - SUM($AC$8:AC80)), AB81 * $AC$6)</f>
        <v>0</v>
      </c>
      <c r="AD81" s="917">
        <f t="shared" ca="1" si="33"/>
        <v>0</v>
      </c>
      <c r="AE81" s="917"/>
      <c r="AF81" s="917"/>
      <c r="AG81" s="917"/>
      <c r="AK81" s="917">
        <f t="shared" si="36"/>
        <v>0</v>
      </c>
      <c r="AL81" s="917"/>
      <c r="AM81" s="917">
        <f ca="1"/>
        <v>0</v>
      </c>
      <c r="AN81" s="917">
        <f ca="1"/>
        <v>0</v>
      </c>
      <c r="AO81" s="917">
        <f t="shared" ca="1" si="37"/>
        <v>0</v>
      </c>
      <c r="AP81" s="917">
        <f t="shared" ca="1" si="38"/>
        <v>0</v>
      </c>
    </row>
    <row r="82" spans="1:42" ht="16">
      <c r="A82" s="30"/>
      <c r="B82" s="5"/>
      <c r="C82" s="30"/>
      <c r="D82" s="30"/>
      <c r="E82" s="5"/>
      <c r="F82" s="890"/>
      <c r="G82" s="935"/>
      <c r="H82" s="915"/>
      <c r="I82" s="915"/>
      <c r="J82" s="915"/>
      <c r="K82" s="916"/>
      <c r="L82" s="890"/>
      <c r="M82" s="890"/>
      <c r="N82" s="890"/>
      <c r="O82" s="917"/>
      <c r="P82" s="917"/>
      <c r="Q82" s="890"/>
      <c r="R82" s="890"/>
      <c r="S82" s="890"/>
      <c r="T82" s="890"/>
      <c r="U82" s="890"/>
      <c r="V82" s="917"/>
      <c r="W82" s="917"/>
      <c r="X82" s="918"/>
      <c r="Y82" s="917"/>
      <c r="Z82" s="918"/>
      <c r="AA82" s="918"/>
      <c r="AB82" s="917"/>
      <c r="AC82" s="917" cm="1">
        <f t="array" aca="1" ref="AC82" ca="1">IF(SUM($AC$8:AC81) + (AB82 * $AC$6) &gt; c_maxEquity, MAX(0,c_maxEquity - SUM($AC$8:AC81)), AB82 * $AC$6)</f>
        <v>0</v>
      </c>
      <c r="AD82" s="917">
        <f t="shared" ca="1" si="33"/>
        <v>0</v>
      </c>
      <c r="AE82" s="917"/>
      <c r="AF82" s="917"/>
      <c r="AG82" s="917"/>
      <c r="AK82" s="917">
        <f t="shared" si="36"/>
        <v>0</v>
      </c>
      <c r="AL82" s="917"/>
      <c r="AM82" s="917">
        <f ca="1"/>
        <v>0</v>
      </c>
      <c r="AN82" s="917">
        <f ca="1"/>
        <v>0</v>
      </c>
      <c r="AO82" s="917">
        <f t="shared" ca="1" si="37"/>
        <v>0</v>
      </c>
      <c r="AP82" s="917">
        <f t="shared" ca="1" si="38"/>
        <v>0</v>
      </c>
    </row>
    <row r="83" spans="1:42" ht="16">
      <c r="A83" s="30"/>
      <c r="B83" s="5"/>
      <c r="C83" s="30"/>
      <c r="D83" s="30"/>
      <c r="E83" s="5"/>
      <c r="F83" s="890"/>
      <c r="G83" s="935"/>
      <c r="H83" s="915"/>
      <c r="I83" s="915"/>
      <c r="J83" s="915"/>
      <c r="K83" s="916"/>
      <c r="L83" s="890"/>
      <c r="M83" s="890"/>
      <c r="N83" s="890"/>
      <c r="O83" s="917"/>
      <c r="P83" s="917"/>
      <c r="Q83" s="890"/>
      <c r="R83" s="890"/>
      <c r="S83" s="890"/>
      <c r="T83" s="890"/>
      <c r="U83" s="890"/>
      <c r="V83" s="917"/>
      <c r="W83" s="917"/>
      <c r="X83" s="918"/>
      <c r="Y83" s="917"/>
      <c r="Z83" s="918"/>
      <c r="AA83" s="918"/>
      <c r="AB83" s="917"/>
      <c r="AC83" s="917" cm="1">
        <f t="array" aca="1" ref="AC83" ca="1">IF(SUM($AC$8:AC82) + (AB83 * $AC$6) &gt; c_maxEquity, MAX(0,c_maxEquity - SUM($AC$8:AC82)), AB83 * $AC$6)</f>
        <v>0</v>
      </c>
      <c r="AD83" s="917">
        <f t="shared" ca="1" si="33"/>
        <v>0</v>
      </c>
      <c r="AE83" s="917"/>
      <c r="AF83" s="917"/>
      <c r="AG83" s="917"/>
      <c r="AK83" s="917">
        <f t="shared" si="36"/>
        <v>0</v>
      </c>
      <c r="AL83" s="917"/>
      <c r="AM83" s="917">
        <f ca="1"/>
        <v>0</v>
      </c>
      <c r="AN83" s="917">
        <f ca="1"/>
        <v>0</v>
      </c>
      <c r="AO83" s="917">
        <f t="shared" ca="1" si="37"/>
        <v>0</v>
      </c>
      <c r="AP83" s="917">
        <f t="shared" ca="1" si="38"/>
        <v>0</v>
      </c>
    </row>
    <row r="84" spans="1:42" ht="16">
      <c r="A84" s="30"/>
      <c r="B84" s="5"/>
      <c r="C84" s="30"/>
      <c r="D84" s="30"/>
      <c r="E84" s="5"/>
      <c r="F84" s="890"/>
      <c r="G84" s="935"/>
      <c r="H84" s="915"/>
      <c r="I84" s="915"/>
      <c r="J84" s="915"/>
      <c r="K84" s="916"/>
      <c r="L84" s="890"/>
      <c r="M84" s="890"/>
      <c r="N84" s="890"/>
      <c r="O84" s="917"/>
      <c r="P84" s="917"/>
      <c r="Q84" s="890"/>
      <c r="R84" s="890"/>
      <c r="S84" s="890"/>
      <c r="T84" s="890"/>
      <c r="U84" s="890"/>
      <c r="V84" s="917"/>
      <c r="W84" s="917"/>
      <c r="X84" s="918"/>
      <c r="Y84" s="917"/>
      <c r="Z84" s="918"/>
      <c r="AA84" s="918"/>
      <c r="AB84" s="917"/>
      <c r="AC84" s="917" cm="1">
        <f t="array" aca="1" ref="AC84" ca="1">IF(SUM($AC$8:AC83) + (AB84 * $AC$6) &gt; c_maxEquity, MAX(0,c_maxEquity - SUM($AC$8:AC83)), AB84 * $AC$6)</f>
        <v>0</v>
      </c>
      <c r="AD84" s="917">
        <f t="shared" ca="1" si="33"/>
        <v>0</v>
      </c>
      <c r="AE84" s="917"/>
      <c r="AF84" s="917"/>
      <c r="AG84" s="917"/>
      <c r="AK84" s="917">
        <f t="shared" si="36"/>
        <v>0</v>
      </c>
      <c r="AL84" s="917"/>
      <c r="AM84" s="917">
        <f ca="1"/>
        <v>0</v>
      </c>
      <c r="AN84" s="917">
        <f ca="1"/>
        <v>0</v>
      </c>
      <c r="AO84" s="917">
        <f t="shared" ca="1" si="37"/>
        <v>0</v>
      </c>
      <c r="AP84" s="917">
        <f t="shared" ca="1" si="38"/>
        <v>0</v>
      </c>
    </row>
    <row r="85" spans="1:42" ht="16">
      <c r="A85" s="30"/>
      <c r="B85" s="5"/>
      <c r="C85" s="30"/>
      <c r="D85" s="30"/>
      <c r="E85" s="5"/>
      <c r="F85" s="890"/>
      <c r="G85" s="935"/>
      <c r="H85" s="915"/>
      <c r="I85" s="915"/>
      <c r="J85" s="915"/>
      <c r="K85" s="916"/>
      <c r="L85" s="890"/>
      <c r="M85" s="890"/>
      <c r="N85" s="890"/>
      <c r="O85" s="917"/>
      <c r="P85" s="917"/>
      <c r="Q85" s="890"/>
      <c r="R85" s="890"/>
      <c r="S85" s="890"/>
      <c r="T85" s="890"/>
      <c r="U85" s="890"/>
      <c r="V85" s="917"/>
      <c r="W85" s="917"/>
      <c r="X85" s="918"/>
      <c r="Y85" s="917"/>
      <c r="Z85" s="918"/>
      <c r="AA85" s="918"/>
      <c r="AB85" s="917"/>
      <c r="AC85" s="917" cm="1">
        <f t="array" aca="1" ref="AC85" ca="1">IF(SUM($AC$8:AC84) + (AB85 * $AC$6) &gt; c_maxEquity, MAX(0,c_maxEquity - SUM($AC$8:AC84)), AB85 * $AC$6)</f>
        <v>0</v>
      </c>
      <c r="AD85" s="917">
        <f t="shared" ca="1" si="33"/>
        <v>0</v>
      </c>
      <c r="AE85" s="917"/>
      <c r="AF85" s="917"/>
      <c r="AG85" s="917"/>
      <c r="AK85" s="917">
        <f t="shared" si="36"/>
        <v>0</v>
      </c>
      <c r="AL85" s="917"/>
      <c r="AM85" s="917">
        <f ca="1"/>
        <v>0</v>
      </c>
      <c r="AN85" s="917">
        <f ca="1"/>
        <v>0</v>
      </c>
      <c r="AO85" s="917">
        <f t="shared" ca="1" si="37"/>
        <v>0</v>
      </c>
      <c r="AP85" s="917">
        <f t="shared" ca="1" si="38"/>
        <v>0</v>
      </c>
    </row>
    <row r="86" spans="1:42" ht="16">
      <c r="A86" s="30"/>
      <c r="B86" s="5"/>
      <c r="C86" s="30"/>
      <c r="D86" s="30"/>
      <c r="E86" s="5"/>
      <c r="F86" s="890"/>
      <c r="G86" s="935"/>
      <c r="H86" s="915"/>
      <c r="I86" s="915"/>
      <c r="J86" s="915"/>
      <c r="K86" s="916"/>
      <c r="L86" s="890"/>
      <c r="M86" s="890"/>
      <c r="N86" s="890"/>
      <c r="O86" s="917"/>
      <c r="P86" s="917"/>
      <c r="Q86" s="890"/>
      <c r="R86" s="890"/>
      <c r="S86" s="890"/>
      <c r="T86" s="890"/>
      <c r="U86" s="890"/>
      <c r="V86" s="917"/>
      <c r="W86" s="917"/>
      <c r="X86" s="918"/>
      <c r="Y86" s="917"/>
      <c r="Z86" s="918"/>
      <c r="AA86" s="918"/>
      <c r="AB86" s="917"/>
      <c r="AC86" s="917" cm="1">
        <f t="array" aca="1" ref="AC86" ca="1">IF(SUM($AC$8:AC85) + (AB86 * $AC$6) &gt; c_maxEquity, MAX(0,c_maxEquity - SUM($AC$8:AC85)), AB86 * $AC$6)</f>
        <v>0</v>
      </c>
      <c r="AD86" s="917">
        <f t="shared" ca="1" si="33"/>
        <v>0</v>
      </c>
      <c r="AE86" s="917"/>
      <c r="AF86" s="917"/>
      <c r="AG86" s="917"/>
      <c r="AK86" s="917">
        <f t="shared" si="36"/>
        <v>0</v>
      </c>
      <c r="AL86" s="917"/>
      <c r="AM86" s="917">
        <f ca="1"/>
        <v>0</v>
      </c>
      <c r="AN86" s="917">
        <f ca="1"/>
        <v>0</v>
      </c>
      <c r="AO86" s="917">
        <f t="shared" ca="1" si="37"/>
        <v>0</v>
      </c>
      <c r="AP86" s="917">
        <f t="shared" ca="1" si="38"/>
        <v>0</v>
      </c>
    </row>
    <row r="87" spans="1:42" ht="16">
      <c r="A87" s="30"/>
      <c r="B87" s="5"/>
      <c r="C87" s="30"/>
      <c r="D87" s="30"/>
      <c r="E87" s="5"/>
      <c r="F87" s="890"/>
      <c r="G87" s="935"/>
      <c r="H87" s="915"/>
      <c r="I87" s="915"/>
      <c r="J87" s="915"/>
      <c r="K87" s="916"/>
      <c r="L87" s="890"/>
      <c r="M87" s="890"/>
      <c r="N87" s="890"/>
      <c r="O87" s="917"/>
      <c r="P87" s="917"/>
      <c r="Q87" s="890"/>
      <c r="R87" s="890"/>
      <c r="S87" s="890"/>
      <c r="T87" s="890"/>
      <c r="U87" s="890"/>
      <c r="V87" s="917"/>
      <c r="W87" s="917"/>
      <c r="X87" s="918"/>
      <c r="Y87" s="917"/>
      <c r="Z87" s="918"/>
      <c r="AA87" s="918"/>
      <c r="AB87" s="917"/>
      <c r="AC87" s="917" cm="1">
        <f t="array" aca="1" ref="AC87" ca="1">IF(SUM($AC$8:AC86) + (AB87 * $AC$6) &gt; c_maxEquity, MAX(0,c_maxEquity - SUM($AC$8:AC86)), AB87 * $AC$6)</f>
        <v>0</v>
      </c>
      <c r="AD87" s="917">
        <f t="shared" ca="1" si="33"/>
        <v>0</v>
      </c>
      <c r="AE87" s="917"/>
      <c r="AF87" s="917"/>
      <c r="AG87" s="917"/>
      <c r="AK87" s="917">
        <f t="shared" si="36"/>
        <v>0</v>
      </c>
      <c r="AL87" s="917"/>
      <c r="AM87" s="917">
        <f ca="1"/>
        <v>0</v>
      </c>
      <c r="AN87" s="917">
        <f ca="1"/>
        <v>0</v>
      </c>
      <c r="AO87" s="917">
        <f t="shared" ca="1" si="37"/>
        <v>0</v>
      </c>
      <c r="AP87" s="917">
        <f t="shared" ca="1" si="38"/>
        <v>0</v>
      </c>
    </row>
    <row r="88" spans="1:42" ht="16">
      <c r="A88" s="30"/>
      <c r="B88" s="5"/>
      <c r="C88" s="30"/>
      <c r="D88" s="30"/>
      <c r="E88" s="5"/>
      <c r="F88" s="890"/>
      <c r="G88" s="935"/>
      <c r="H88" s="915"/>
      <c r="I88" s="915"/>
      <c r="J88" s="915"/>
      <c r="K88" s="916"/>
      <c r="L88" s="890"/>
      <c r="M88" s="890"/>
      <c r="N88" s="890"/>
      <c r="O88" s="917"/>
      <c r="P88" s="917"/>
      <c r="Q88" s="890"/>
      <c r="R88" s="890"/>
      <c r="S88" s="890"/>
      <c r="T88" s="890"/>
      <c r="U88" s="890"/>
      <c r="V88" s="917"/>
      <c r="W88" s="917"/>
      <c r="X88" s="918"/>
      <c r="Y88" s="917"/>
      <c r="Z88" s="918"/>
      <c r="AA88" s="918"/>
      <c r="AB88" s="917"/>
      <c r="AC88" s="917" cm="1">
        <f t="array" aca="1" ref="AC88" ca="1">IF(SUM($AC$8:AC87) + (AB88 * $AC$6) &gt; c_maxEquity, MAX(0,c_maxEquity - SUM($AC$8:AC87)), AB88 * $AC$6)</f>
        <v>0</v>
      </c>
      <c r="AD88" s="917">
        <f t="shared" ca="1" si="33"/>
        <v>0</v>
      </c>
      <c r="AE88" s="917"/>
      <c r="AF88" s="917"/>
      <c r="AG88" s="917"/>
      <c r="AK88" s="917">
        <f t="shared" si="36"/>
        <v>0</v>
      </c>
      <c r="AL88" s="917"/>
      <c r="AM88" s="917">
        <f ca="1"/>
        <v>0</v>
      </c>
      <c r="AN88" s="917">
        <f ca="1"/>
        <v>0</v>
      </c>
      <c r="AO88" s="917">
        <f t="shared" ca="1" si="37"/>
        <v>0</v>
      </c>
      <c r="AP88" s="917">
        <f t="shared" ca="1" si="38"/>
        <v>0</v>
      </c>
    </row>
    <row r="89" spans="1:42" ht="16">
      <c r="A89" s="30"/>
      <c r="B89" s="5"/>
      <c r="C89" s="30"/>
      <c r="D89" s="30"/>
      <c r="E89" s="5"/>
      <c r="F89" s="890"/>
      <c r="G89" s="935"/>
      <c r="H89" s="915"/>
      <c r="I89" s="915"/>
      <c r="J89" s="915"/>
      <c r="K89" s="916"/>
      <c r="L89" s="890"/>
      <c r="M89" s="890"/>
      <c r="N89" s="890"/>
      <c r="O89" s="917"/>
      <c r="P89" s="917"/>
      <c r="Q89" s="890"/>
      <c r="R89" s="890"/>
      <c r="S89" s="890"/>
      <c r="T89" s="890"/>
      <c r="U89" s="890"/>
      <c r="V89" s="917"/>
      <c r="W89" s="917"/>
      <c r="X89" s="918"/>
      <c r="Y89" s="917"/>
      <c r="Z89" s="918"/>
      <c r="AA89" s="918"/>
      <c r="AB89" s="917"/>
      <c r="AC89" s="917" cm="1">
        <f t="array" aca="1" ref="AC89" ca="1">IF(SUM($AC$8:AC88) + (AB89 * $AC$6) &gt; c_maxEquity, MAX(0,c_maxEquity - SUM($AC$8:AC88)), AB89 * $AC$6)</f>
        <v>0</v>
      </c>
      <c r="AD89" s="917">
        <f t="shared" ca="1" si="33"/>
        <v>0</v>
      </c>
      <c r="AE89" s="917"/>
      <c r="AF89" s="917"/>
      <c r="AG89" s="917"/>
      <c r="AK89" s="917">
        <f t="shared" si="36"/>
        <v>0</v>
      </c>
      <c r="AL89" s="917"/>
      <c r="AM89" s="917">
        <f ca="1"/>
        <v>0</v>
      </c>
      <c r="AN89" s="917">
        <f ca="1"/>
        <v>0</v>
      </c>
      <c r="AO89" s="917">
        <f t="shared" ca="1" si="37"/>
        <v>0</v>
      </c>
      <c r="AP89" s="917">
        <f t="shared" ca="1" si="38"/>
        <v>0</v>
      </c>
    </row>
    <row r="90" spans="1:42" ht="16">
      <c r="A90" s="30"/>
      <c r="B90" s="5"/>
      <c r="C90" s="30"/>
      <c r="D90" s="30"/>
      <c r="E90" s="5"/>
      <c r="F90" s="890"/>
      <c r="G90" s="935"/>
      <c r="H90" s="915"/>
      <c r="I90" s="915"/>
      <c r="J90" s="915"/>
      <c r="K90" s="916"/>
      <c r="L90" s="890"/>
      <c r="M90" s="890"/>
      <c r="N90" s="890"/>
      <c r="O90" s="917"/>
      <c r="P90" s="917"/>
      <c r="Q90" s="890"/>
      <c r="R90" s="890"/>
      <c r="S90" s="890"/>
      <c r="T90" s="890"/>
      <c r="U90" s="890"/>
      <c r="V90" s="917"/>
      <c r="W90" s="917"/>
      <c r="X90" s="918"/>
      <c r="Y90" s="917"/>
      <c r="Z90" s="918"/>
      <c r="AA90" s="918"/>
      <c r="AB90" s="917"/>
      <c r="AC90" s="917" cm="1">
        <f t="array" aca="1" ref="AC90" ca="1">IF(SUM($AC$8:AC89) + (AB90 * $AC$6) &gt; c_maxEquity, MAX(0,c_maxEquity - SUM($AC$8:AC89)), AB90 * $AC$6)</f>
        <v>0</v>
      </c>
      <c r="AD90" s="917">
        <f t="shared" ca="1" si="33"/>
        <v>0</v>
      </c>
      <c r="AE90" s="917"/>
      <c r="AF90" s="917"/>
      <c r="AG90" s="917"/>
      <c r="AK90" s="917">
        <f t="shared" si="36"/>
        <v>0</v>
      </c>
      <c r="AL90" s="917"/>
      <c r="AM90" s="917">
        <f ca="1"/>
        <v>0</v>
      </c>
      <c r="AN90" s="917">
        <f ca="1"/>
        <v>0</v>
      </c>
      <c r="AO90" s="917">
        <f t="shared" ca="1" si="37"/>
        <v>0</v>
      </c>
      <c r="AP90" s="917">
        <f t="shared" ca="1" si="38"/>
        <v>0</v>
      </c>
    </row>
    <row r="91" spans="1:42" ht="16">
      <c r="A91" s="30"/>
      <c r="B91" s="5"/>
      <c r="C91" s="30"/>
      <c r="D91" s="30"/>
      <c r="E91" s="5"/>
      <c r="F91" s="890"/>
      <c r="G91" s="935"/>
      <c r="H91" s="915"/>
      <c r="I91" s="915"/>
      <c r="J91" s="915"/>
      <c r="K91" s="916"/>
      <c r="L91" s="890"/>
      <c r="M91" s="890"/>
      <c r="N91" s="890"/>
      <c r="O91" s="917"/>
      <c r="P91" s="917"/>
      <c r="Q91" s="890"/>
      <c r="R91" s="890"/>
      <c r="S91" s="890"/>
      <c r="T91" s="890"/>
      <c r="U91" s="890"/>
      <c r="V91" s="917"/>
      <c r="W91" s="917"/>
      <c r="X91" s="918"/>
      <c r="Y91" s="917"/>
      <c r="Z91" s="918"/>
      <c r="AA91" s="918"/>
      <c r="AB91" s="917"/>
      <c r="AC91" s="917" cm="1">
        <f t="array" aca="1" ref="AC91" ca="1">IF(SUM($AC$8:AC90) + (AB91 * $AC$6) &gt; c_maxEquity, MAX(0,c_maxEquity - SUM($AC$8:AC90)), AB91 * $AC$6)</f>
        <v>0</v>
      </c>
      <c r="AD91" s="917">
        <f t="shared" ca="1" si="33"/>
        <v>0</v>
      </c>
      <c r="AE91" s="917"/>
      <c r="AF91" s="917"/>
      <c r="AG91" s="917"/>
      <c r="AK91" s="917">
        <f t="shared" si="36"/>
        <v>0</v>
      </c>
      <c r="AL91" s="917"/>
      <c r="AM91" s="917">
        <f ca="1"/>
        <v>0</v>
      </c>
      <c r="AN91" s="917">
        <f ca="1"/>
        <v>0</v>
      </c>
      <c r="AO91" s="917">
        <f t="shared" ca="1" si="37"/>
        <v>0</v>
      </c>
      <c r="AP91" s="917">
        <f t="shared" ca="1" si="38"/>
        <v>0</v>
      </c>
    </row>
    <row r="92" spans="1:42" ht="16">
      <c r="A92" s="30"/>
      <c r="B92" s="5"/>
      <c r="C92" s="30"/>
      <c r="D92" s="30"/>
      <c r="E92" s="5"/>
      <c r="F92" s="890"/>
      <c r="G92" s="935"/>
      <c r="H92" s="915"/>
      <c r="I92" s="915"/>
      <c r="J92" s="915"/>
      <c r="K92" s="916"/>
      <c r="L92" s="890"/>
      <c r="M92" s="890"/>
      <c r="N92" s="890"/>
      <c r="O92" s="917"/>
      <c r="P92" s="917"/>
      <c r="Q92" s="890"/>
      <c r="R92" s="890"/>
      <c r="S92" s="890"/>
      <c r="T92" s="890"/>
      <c r="U92" s="890"/>
      <c r="V92" s="917"/>
      <c r="W92" s="917"/>
      <c r="X92" s="918"/>
      <c r="Y92" s="917"/>
      <c r="Z92" s="918"/>
      <c r="AA92" s="918"/>
      <c r="AB92" s="917"/>
      <c r="AC92" s="917" cm="1">
        <f t="array" aca="1" ref="AC92" ca="1">IF(SUM($AC$8:AC91) + (AB92 * $AC$6) &gt; c_maxEquity, MAX(0,c_maxEquity - SUM($AC$8:AC91)), AB92 * $AC$6)</f>
        <v>0</v>
      </c>
      <c r="AD92" s="917">
        <f t="shared" ca="1" si="33"/>
        <v>0</v>
      </c>
      <c r="AE92" s="917"/>
      <c r="AF92" s="917"/>
      <c r="AG92" s="917"/>
      <c r="AK92" s="917">
        <f t="shared" si="36"/>
        <v>0</v>
      </c>
      <c r="AL92" s="917"/>
      <c r="AM92" s="917">
        <f ca="1"/>
        <v>0</v>
      </c>
      <c r="AN92" s="917">
        <f ca="1"/>
        <v>0</v>
      </c>
      <c r="AO92" s="917">
        <f t="shared" ca="1" si="37"/>
        <v>0</v>
      </c>
      <c r="AP92" s="917">
        <f t="shared" ca="1" si="38"/>
        <v>0</v>
      </c>
    </row>
    <row r="93" spans="1:42" ht="16">
      <c r="A93" s="30"/>
      <c r="B93" s="5"/>
      <c r="C93" s="30"/>
      <c r="D93" s="30"/>
      <c r="E93" s="5"/>
      <c r="F93" s="890"/>
      <c r="G93" s="935"/>
      <c r="H93" s="915"/>
      <c r="I93" s="915"/>
      <c r="J93" s="915"/>
      <c r="K93" s="916"/>
      <c r="L93" s="890"/>
      <c r="M93" s="890"/>
      <c r="N93" s="890"/>
      <c r="O93" s="917"/>
      <c r="P93" s="917"/>
      <c r="Q93" s="890"/>
      <c r="R93" s="890"/>
      <c r="S93" s="890"/>
      <c r="T93" s="890"/>
      <c r="U93" s="890"/>
      <c r="V93" s="917"/>
      <c r="W93" s="917"/>
      <c r="X93" s="918"/>
      <c r="Y93" s="917"/>
      <c r="Z93" s="918"/>
      <c r="AA93" s="918"/>
      <c r="AB93" s="917"/>
      <c r="AC93" s="917" cm="1">
        <f t="array" aca="1" ref="AC93" ca="1">IF(SUM($AC$8:AC92) + (AB93 * $AC$6) &gt; c_maxEquity, MAX(0,c_maxEquity - SUM($AC$8:AC92)), AB93 * $AC$6)</f>
        <v>0</v>
      </c>
      <c r="AD93" s="917">
        <f t="shared" ca="1" si="33"/>
        <v>0</v>
      </c>
      <c r="AE93" s="917"/>
      <c r="AF93" s="917"/>
      <c r="AG93" s="917"/>
      <c r="AK93" s="917">
        <f t="shared" si="36"/>
        <v>0</v>
      </c>
      <c r="AL93" s="917"/>
      <c r="AM93" s="917">
        <f ca="1"/>
        <v>0</v>
      </c>
      <c r="AN93" s="917">
        <f ca="1"/>
        <v>0</v>
      </c>
      <c r="AO93" s="917">
        <f t="shared" ca="1" si="37"/>
        <v>0</v>
      </c>
      <c r="AP93" s="917">
        <f t="shared" ca="1" si="38"/>
        <v>0</v>
      </c>
    </row>
    <row r="94" spans="1:42" ht="16">
      <c r="A94" s="30"/>
      <c r="B94" s="5"/>
      <c r="C94" s="30"/>
      <c r="D94" s="30"/>
      <c r="E94" s="5"/>
      <c r="F94" s="890"/>
      <c r="G94" s="935"/>
      <c r="H94" s="915"/>
      <c r="I94" s="915"/>
      <c r="J94" s="915"/>
      <c r="K94" s="916"/>
      <c r="L94" s="890"/>
      <c r="M94" s="890"/>
      <c r="N94" s="890"/>
      <c r="O94" s="917"/>
      <c r="P94" s="917"/>
      <c r="Q94" s="890"/>
      <c r="R94" s="890"/>
      <c r="S94" s="890"/>
      <c r="T94" s="890"/>
      <c r="U94" s="890"/>
      <c r="V94" s="917"/>
      <c r="W94" s="917"/>
      <c r="X94" s="918"/>
      <c r="Y94" s="917"/>
      <c r="Z94" s="918"/>
      <c r="AA94" s="918"/>
      <c r="AB94" s="917"/>
      <c r="AC94" s="917" cm="1">
        <f t="array" aca="1" ref="AC94" ca="1">IF(SUM($AC$8:AC93) + (AB94 * $AC$6) &gt; c_maxEquity, MAX(0,c_maxEquity - SUM($AC$8:AC93)), AB94 * $AC$6)</f>
        <v>0</v>
      </c>
      <c r="AD94" s="917"/>
      <c r="AE94" s="917"/>
      <c r="AF94" s="917"/>
      <c r="AG94" s="917"/>
      <c r="AK94" s="917">
        <f t="shared" si="36"/>
        <v>0</v>
      </c>
      <c r="AL94" s="917"/>
      <c r="AM94" s="917">
        <f ca="1"/>
        <v>0</v>
      </c>
      <c r="AN94" s="917">
        <f ca="1"/>
        <v>0</v>
      </c>
      <c r="AO94" s="917">
        <f t="shared" ca="1" si="37"/>
        <v>0</v>
      </c>
      <c r="AP94" s="917">
        <f t="shared" ca="1" si="38"/>
        <v>0</v>
      </c>
    </row>
    <row r="95" spans="1:42" ht="16">
      <c r="A95" s="30"/>
      <c r="B95" s="5"/>
      <c r="C95" s="30"/>
      <c r="D95" s="30"/>
      <c r="E95" s="5"/>
      <c r="F95" s="890"/>
      <c r="G95" s="935"/>
      <c r="H95" s="915"/>
      <c r="I95" s="915"/>
      <c r="J95" s="915"/>
      <c r="K95" s="916"/>
      <c r="L95" s="890"/>
      <c r="M95" s="890"/>
      <c r="N95" s="890"/>
      <c r="O95" s="917"/>
      <c r="P95" s="917"/>
      <c r="Q95" s="890"/>
      <c r="R95" s="890"/>
      <c r="S95" s="890"/>
      <c r="T95" s="890"/>
      <c r="U95" s="890"/>
      <c r="V95" s="917"/>
      <c r="W95" s="917"/>
      <c r="X95" s="918"/>
      <c r="Y95" s="917"/>
      <c r="Z95" s="918"/>
      <c r="AA95" s="918"/>
      <c r="AB95" s="917"/>
      <c r="AC95" s="917" cm="1">
        <f t="array" aca="1" ref="AC95" ca="1">IF(SUM($AC$8:AC94) + (AB95 * $AC$6) &gt; c_maxEquity, MAX(0,c_maxEquity - SUM($AC$8:AC94)), AB95 * $AC$6)</f>
        <v>0</v>
      </c>
      <c r="AD95" s="917"/>
      <c r="AE95" s="917"/>
      <c r="AF95" s="917"/>
      <c r="AG95" s="917"/>
      <c r="AK95" s="917">
        <f t="shared" si="36"/>
        <v>0</v>
      </c>
      <c r="AL95" s="917"/>
      <c r="AM95" s="917">
        <f ca="1"/>
        <v>0</v>
      </c>
      <c r="AN95" s="917">
        <f ca="1"/>
        <v>0</v>
      </c>
      <c r="AO95" s="917">
        <f t="shared" ca="1" si="37"/>
        <v>0</v>
      </c>
      <c r="AP95" s="917">
        <f t="shared" ca="1" si="38"/>
        <v>0</v>
      </c>
    </row>
    <row r="96" spans="1:42" ht="16">
      <c r="A96" s="30"/>
      <c r="B96" s="5"/>
      <c r="C96" s="30"/>
      <c r="D96" s="30"/>
      <c r="E96" s="5"/>
      <c r="F96" s="890"/>
      <c r="G96" s="935"/>
      <c r="H96" s="915"/>
      <c r="I96" s="915"/>
      <c r="J96" s="915"/>
      <c r="K96" s="916"/>
      <c r="L96" s="890"/>
      <c r="M96" s="890"/>
      <c r="N96" s="890"/>
      <c r="O96" s="917"/>
      <c r="P96" s="917"/>
      <c r="Q96" s="890"/>
      <c r="R96" s="890"/>
      <c r="S96" s="890"/>
      <c r="T96" s="890"/>
      <c r="U96" s="890"/>
      <c r="V96" s="917"/>
      <c r="W96" s="917"/>
      <c r="X96" s="918"/>
      <c r="Y96" s="917"/>
      <c r="Z96" s="918"/>
      <c r="AA96" s="918"/>
      <c r="AB96" s="917"/>
      <c r="AC96" s="917" cm="1">
        <f t="array" aca="1" ref="AC96" ca="1">IF(SUM($AC$8:AC95) + (AB96 * $AC$6) &gt; c_maxEquity, MAX(0,c_maxEquity - SUM($AC$8:AC95)), AB96 * $AC$6)</f>
        <v>0</v>
      </c>
      <c r="AD96" s="917"/>
      <c r="AE96" s="917"/>
      <c r="AF96" s="917"/>
      <c r="AG96" s="917"/>
      <c r="AK96" s="917">
        <f t="shared" si="36"/>
        <v>0</v>
      </c>
      <c r="AL96" s="917"/>
      <c r="AM96" s="917">
        <f ca="1"/>
        <v>0</v>
      </c>
      <c r="AN96" s="917">
        <f ca="1"/>
        <v>0</v>
      </c>
      <c r="AO96" s="917">
        <f t="shared" ca="1" si="37"/>
        <v>0</v>
      </c>
      <c r="AP96" s="917">
        <f t="shared" ca="1" si="38"/>
        <v>0</v>
      </c>
    </row>
    <row r="97" spans="1:42" ht="16">
      <c r="A97" s="30"/>
      <c r="B97" s="5"/>
      <c r="C97" s="30"/>
      <c r="D97" s="30"/>
      <c r="E97" s="5"/>
      <c r="F97" s="890"/>
      <c r="G97" s="935"/>
      <c r="H97" s="915"/>
      <c r="I97" s="915"/>
      <c r="J97" s="915"/>
      <c r="K97" s="916"/>
      <c r="L97" s="890"/>
      <c r="M97" s="890"/>
      <c r="N97" s="890"/>
      <c r="O97" s="917"/>
      <c r="P97" s="917"/>
      <c r="Q97" s="890"/>
      <c r="R97" s="890"/>
      <c r="S97" s="890"/>
      <c r="T97" s="890"/>
      <c r="U97" s="890"/>
      <c r="V97" s="917"/>
      <c r="W97" s="917"/>
      <c r="X97" s="918"/>
      <c r="Y97" s="917"/>
      <c r="Z97" s="918"/>
      <c r="AA97" s="918"/>
      <c r="AB97" s="917"/>
      <c r="AC97" s="917" cm="1">
        <f t="array" aca="1" ref="AC97" ca="1">IF(SUM($AC$8:AC96) + (AB97 * $AC$6) &gt; c_maxEquity, MAX(0,c_maxEquity - SUM($AC$8:AC96)), AB97 * $AC$6)</f>
        <v>0</v>
      </c>
      <c r="AD97" s="917"/>
      <c r="AE97" s="917"/>
      <c r="AF97" s="917"/>
      <c r="AG97" s="917"/>
      <c r="AK97" s="917">
        <f t="shared" si="36"/>
        <v>0</v>
      </c>
      <c r="AL97" s="917"/>
      <c r="AM97" s="917">
        <f ca="1"/>
        <v>0</v>
      </c>
      <c r="AN97" s="917">
        <f ca="1"/>
        <v>0</v>
      </c>
      <c r="AO97" s="917">
        <f t="shared" ca="1" si="37"/>
        <v>0</v>
      </c>
      <c r="AP97" s="917">
        <f t="shared" ca="1" si="38"/>
        <v>0</v>
      </c>
    </row>
    <row r="98" spans="1:42" ht="16">
      <c r="A98" s="30"/>
      <c r="B98" s="5"/>
      <c r="C98" s="30"/>
      <c r="D98" s="30"/>
      <c r="E98" s="5"/>
      <c r="F98" s="890"/>
      <c r="G98" s="935"/>
      <c r="H98" s="915"/>
      <c r="I98" s="915"/>
      <c r="J98" s="915"/>
      <c r="K98" s="916"/>
      <c r="L98" s="890"/>
      <c r="M98" s="890"/>
      <c r="N98" s="890"/>
      <c r="O98" s="917"/>
      <c r="P98" s="917"/>
      <c r="Q98" s="890"/>
      <c r="R98" s="890"/>
      <c r="S98" s="890"/>
      <c r="T98" s="890"/>
      <c r="U98" s="890"/>
      <c r="V98" s="917"/>
      <c r="W98" s="917"/>
      <c r="X98" s="918"/>
      <c r="Y98" s="917"/>
      <c r="Z98" s="918"/>
      <c r="AA98" s="918"/>
      <c r="AB98" s="917"/>
      <c r="AC98" s="917" cm="1">
        <f t="array" aca="1" ref="AC98" ca="1">IF(SUM($AC$8:AC97) + (AB98 * $AC$6) &gt; c_maxEquity, MAX(0,c_maxEquity - SUM($AC$8:AC97)), AB98 * $AC$6)</f>
        <v>0</v>
      </c>
      <c r="AD98" s="917"/>
      <c r="AE98" s="917"/>
      <c r="AF98" s="917"/>
      <c r="AG98" s="917"/>
      <c r="AK98" s="917">
        <f t="shared" si="36"/>
        <v>0</v>
      </c>
      <c r="AL98" s="917"/>
      <c r="AM98" s="917">
        <f ca="1"/>
        <v>0</v>
      </c>
      <c r="AN98" s="917">
        <f ca="1"/>
        <v>0</v>
      </c>
      <c r="AO98" s="917">
        <f t="shared" ca="1" si="37"/>
        <v>0</v>
      </c>
      <c r="AP98" s="917">
        <f t="shared" ca="1" si="38"/>
        <v>0</v>
      </c>
    </row>
    <row r="99" spans="1:42" ht="16">
      <c r="A99" s="30"/>
      <c r="B99" s="5"/>
      <c r="C99" s="30"/>
      <c r="D99" s="30"/>
      <c r="E99" s="5"/>
      <c r="F99" s="890"/>
      <c r="G99" s="935"/>
      <c r="H99" s="915"/>
      <c r="I99" s="915"/>
      <c r="J99" s="915"/>
      <c r="K99" s="916"/>
      <c r="L99" s="890"/>
      <c r="M99" s="890"/>
      <c r="N99" s="890"/>
      <c r="O99" s="917"/>
      <c r="P99" s="917"/>
      <c r="Q99" s="890"/>
      <c r="R99" s="890"/>
      <c r="S99" s="890"/>
      <c r="T99" s="890"/>
      <c r="U99" s="890"/>
      <c r="V99" s="917"/>
      <c r="W99" s="917"/>
      <c r="X99" s="918"/>
      <c r="Y99" s="917"/>
      <c r="Z99" s="918"/>
      <c r="AA99" s="918"/>
      <c r="AB99" s="917"/>
      <c r="AC99" s="917" cm="1">
        <f t="array" aca="1" ref="AC99" ca="1">IF(SUM($AC$8:AC98) + (AB99 * $AC$6) &gt; c_maxEquity, MAX(0,c_maxEquity - SUM($AC$8:AC98)), AB99 * $AC$6)</f>
        <v>0</v>
      </c>
      <c r="AD99" s="917"/>
      <c r="AE99" s="917"/>
      <c r="AF99" s="917"/>
      <c r="AG99" s="917"/>
      <c r="AK99" s="917">
        <f t="shared" si="36"/>
        <v>0</v>
      </c>
      <c r="AL99" s="917"/>
      <c r="AM99" s="917">
        <f ca="1"/>
        <v>0</v>
      </c>
      <c r="AN99" s="917">
        <f ca="1"/>
        <v>0</v>
      </c>
      <c r="AO99" s="917">
        <f t="shared" ca="1" si="37"/>
        <v>0</v>
      </c>
      <c r="AP99" s="917">
        <f t="shared" ca="1" si="38"/>
        <v>0</v>
      </c>
    </row>
    <row r="100" spans="1:42" ht="16">
      <c r="A100" s="30"/>
      <c r="B100" s="5"/>
      <c r="C100" s="30"/>
      <c r="D100" s="30"/>
      <c r="E100" s="5"/>
      <c r="F100" s="890"/>
      <c r="G100" s="935"/>
      <c r="H100" s="915"/>
      <c r="I100" s="915"/>
      <c r="J100" s="915"/>
      <c r="K100" s="916"/>
      <c r="L100" s="890"/>
      <c r="M100" s="890"/>
      <c r="N100" s="890"/>
      <c r="O100" s="917"/>
      <c r="P100" s="917"/>
      <c r="Q100" s="890"/>
      <c r="R100" s="890"/>
      <c r="S100" s="890"/>
      <c r="T100" s="890"/>
      <c r="U100" s="890"/>
      <c r="V100" s="917"/>
      <c r="W100" s="917"/>
      <c r="X100" s="918"/>
      <c r="Y100" s="917"/>
      <c r="Z100" s="918"/>
      <c r="AA100" s="918"/>
      <c r="AB100" s="917"/>
      <c r="AC100" s="917"/>
      <c r="AD100" s="917"/>
      <c r="AE100" s="917"/>
      <c r="AF100" s="917"/>
      <c r="AG100" s="917"/>
      <c r="AK100" s="917">
        <f t="shared" si="36"/>
        <v>0</v>
      </c>
      <c r="AL100" s="917"/>
      <c r="AM100" s="917">
        <f ca="1"/>
        <v>0</v>
      </c>
      <c r="AN100" s="917">
        <f ca="1"/>
        <v>0</v>
      </c>
      <c r="AO100" s="917">
        <f t="shared" ca="1" si="37"/>
        <v>0</v>
      </c>
      <c r="AP100" s="917">
        <f t="shared" ca="1" si="38"/>
        <v>0</v>
      </c>
    </row>
    <row r="101" spans="1:42" ht="16">
      <c r="A101" s="30"/>
      <c r="B101" s="5"/>
      <c r="C101" s="30"/>
      <c r="D101" s="30"/>
      <c r="E101" s="5"/>
      <c r="F101" s="890"/>
      <c r="G101" s="935"/>
      <c r="H101" s="915"/>
      <c r="I101" s="915"/>
      <c r="J101" s="915"/>
      <c r="K101" s="916"/>
      <c r="L101" s="890"/>
      <c r="M101" s="890"/>
      <c r="N101" s="890"/>
      <c r="O101" s="917"/>
      <c r="P101" s="917"/>
      <c r="Q101" s="890"/>
      <c r="R101" s="890"/>
      <c r="S101" s="890"/>
      <c r="T101" s="890"/>
      <c r="U101" s="890"/>
      <c r="V101" s="917"/>
      <c r="W101" s="917"/>
      <c r="X101" s="918"/>
      <c r="Y101" s="917"/>
      <c r="Z101" s="918"/>
      <c r="AA101" s="918"/>
      <c r="AB101" s="917"/>
      <c r="AC101" s="917"/>
      <c r="AD101" s="917"/>
      <c r="AE101" s="917"/>
      <c r="AF101" s="917"/>
      <c r="AG101" s="917"/>
      <c r="AK101" s="917">
        <f t="shared" si="36"/>
        <v>0</v>
      </c>
      <c r="AL101" s="917"/>
      <c r="AM101" s="917">
        <f ca="1"/>
        <v>0</v>
      </c>
      <c r="AN101" s="917">
        <f ca="1"/>
        <v>0</v>
      </c>
      <c r="AO101" s="917">
        <f t="shared" ca="1" si="37"/>
        <v>0</v>
      </c>
      <c r="AP101" s="917">
        <f t="shared" ca="1" si="38"/>
        <v>0</v>
      </c>
    </row>
    <row r="102" spans="1:42" ht="16">
      <c r="A102" s="30"/>
      <c r="B102" s="5"/>
      <c r="C102" s="30"/>
      <c r="D102" s="30"/>
      <c r="E102" s="5"/>
      <c r="F102" s="890"/>
      <c r="G102" s="935"/>
      <c r="H102" s="915"/>
      <c r="I102" s="915"/>
      <c r="J102" s="915"/>
      <c r="K102" s="916"/>
      <c r="L102" s="890"/>
      <c r="M102" s="890"/>
      <c r="N102" s="890"/>
      <c r="O102" s="917"/>
      <c r="P102" s="917"/>
      <c r="Q102" s="890"/>
      <c r="R102" s="890"/>
      <c r="S102" s="890"/>
      <c r="T102" s="890"/>
      <c r="U102" s="890"/>
      <c r="V102" s="917"/>
      <c r="W102" s="917"/>
      <c r="X102" s="918"/>
      <c r="Y102" s="917"/>
      <c r="Z102" s="918"/>
      <c r="AA102" s="918"/>
      <c r="AB102" s="917"/>
      <c r="AC102" s="917"/>
      <c r="AD102" s="917"/>
      <c r="AE102" s="917"/>
      <c r="AF102" s="917"/>
      <c r="AG102" s="917"/>
      <c r="AK102" s="917">
        <f t="shared" si="36"/>
        <v>0</v>
      </c>
      <c r="AL102" s="917"/>
      <c r="AM102" s="917">
        <f ca="1"/>
        <v>0</v>
      </c>
      <c r="AN102" s="917">
        <f ca="1"/>
        <v>0</v>
      </c>
      <c r="AO102" s="917">
        <f t="shared" ca="1" si="37"/>
        <v>0</v>
      </c>
      <c r="AP102" s="917">
        <f t="shared" ca="1" si="38"/>
        <v>0</v>
      </c>
    </row>
    <row r="103" spans="1:42" ht="16">
      <c r="A103" s="30"/>
      <c r="B103" s="5"/>
      <c r="C103" s="30"/>
      <c r="D103" s="30"/>
      <c r="E103" s="5"/>
      <c r="F103" s="890"/>
      <c r="G103" s="935"/>
      <c r="H103" s="915"/>
      <c r="I103" s="915"/>
      <c r="J103" s="915"/>
      <c r="K103" s="916"/>
      <c r="L103" s="890"/>
      <c r="M103" s="890"/>
      <c r="N103" s="890"/>
      <c r="O103" s="917"/>
      <c r="P103" s="917"/>
      <c r="Q103" s="890"/>
      <c r="R103" s="890"/>
      <c r="S103" s="890"/>
      <c r="T103" s="890"/>
      <c r="U103" s="890"/>
      <c r="V103" s="917"/>
      <c r="W103" s="917"/>
      <c r="X103" s="918"/>
      <c r="Y103" s="917"/>
      <c r="Z103" s="918"/>
      <c r="AA103" s="918"/>
      <c r="AB103" s="917"/>
      <c r="AC103" s="917"/>
      <c r="AD103" s="917"/>
      <c r="AE103" s="917"/>
      <c r="AF103" s="917"/>
      <c r="AG103" s="917"/>
      <c r="AK103" s="917">
        <f t="shared" si="36"/>
        <v>0</v>
      </c>
      <c r="AL103" s="917"/>
      <c r="AM103" s="917">
        <f ca="1"/>
        <v>0</v>
      </c>
      <c r="AN103" s="917">
        <f ca="1"/>
        <v>0</v>
      </c>
      <c r="AO103" s="917">
        <f t="shared" ca="1" si="37"/>
        <v>0</v>
      </c>
      <c r="AP103" s="917">
        <f t="shared" ca="1" si="38"/>
        <v>0</v>
      </c>
    </row>
    <row r="104" spans="1:42" ht="16">
      <c r="A104" s="30"/>
      <c r="B104" s="5"/>
      <c r="C104" s="30"/>
      <c r="D104" s="30"/>
      <c r="E104" s="5"/>
      <c r="F104" s="890"/>
      <c r="G104" s="935"/>
      <c r="H104" s="915"/>
      <c r="I104" s="915"/>
      <c r="J104" s="915"/>
      <c r="K104" s="916"/>
      <c r="L104" s="890"/>
      <c r="M104" s="890"/>
      <c r="N104" s="890"/>
      <c r="O104" s="917"/>
      <c r="P104" s="917"/>
      <c r="Q104" s="890"/>
      <c r="R104" s="890"/>
      <c r="S104" s="890"/>
      <c r="T104" s="890"/>
      <c r="U104" s="890"/>
      <c r="V104" s="917"/>
      <c r="W104" s="917"/>
      <c r="X104" s="918"/>
      <c r="Y104" s="917"/>
      <c r="Z104" s="918"/>
      <c r="AA104" s="918"/>
      <c r="AB104" s="917"/>
      <c r="AC104" s="917"/>
      <c r="AD104" s="917"/>
      <c r="AE104" s="917"/>
      <c r="AF104" s="917"/>
      <c r="AG104" s="917"/>
      <c r="AK104" s="917">
        <f t="shared" si="36"/>
        <v>0</v>
      </c>
      <c r="AL104" s="917"/>
      <c r="AM104" s="917">
        <f ca="1"/>
        <v>0</v>
      </c>
      <c r="AN104" s="917">
        <f ca="1"/>
        <v>0</v>
      </c>
      <c r="AO104" s="917">
        <f t="shared" ca="1" si="37"/>
        <v>0</v>
      </c>
      <c r="AP104" s="917">
        <f t="shared" ca="1" si="38"/>
        <v>0</v>
      </c>
    </row>
    <row r="105" spans="1:42" ht="16">
      <c r="A105" s="30"/>
      <c r="B105" s="5"/>
      <c r="C105" s="30"/>
      <c r="D105" s="30"/>
      <c r="E105" s="5"/>
      <c r="F105" s="890"/>
      <c r="G105" s="935"/>
      <c r="H105" s="915"/>
      <c r="I105" s="915"/>
      <c r="J105" s="915"/>
      <c r="K105" s="916"/>
      <c r="L105" s="890"/>
      <c r="M105" s="890"/>
      <c r="N105" s="890"/>
      <c r="O105" s="917"/>
      <c r="P105" s="917"/>
      <c r="Q105" s="890"/>
      <c r="R105" s="890"/>
      <c r="S105" s="890"/>
      <c r="T105" s="890"/>
      <c r="U105" s="890"/>
      <c r="V105" s="917"/>
      <c r="W105" s="917"/>
      <c r="X105" s="918"/>
      <c r="Y105" s="917"/>
      <c r="Z105" s="918"/>
      <c r="AA105" s="918"/>
      <c r="AB105" s="917"/>
      <c r="AC105" s="917"/>
      <c r="AD105" s="917"/>
      <c r="AE105" s="917"/>
      <c r="AF105" s="917"/>
      <c r="AG105" s="917"/>
      <c r="AK105" s="917">
        <f t="shared" si="36"/>
        <v>0</v>
      </c>
      <c r="AL105" s="917"/>
      <c r="AM105" s="917">
        <f ca="1"/>
        <v>0</v>
      </c>
      <c r="AN105" s="917">
        <f ca="1"/>
        <v>0</v>
      </c>
      <c r="AO105" s="917">
        <f t="shared" ca="1" si="37"/>
        <v>0</v>
      </c>
      <c r="AP105" s="917">
        <f t="shared" ca="1" si="38"/>
        <v>0</v>
      </c>
    </row>
    <row r="106" spans="1:42" ht="16">
      <c r="A106" s="30"/>
      <c r="B106" s="5"/>
      <c r="C106" s="30"/>
      <c r="D106" s="30"/>
      <c r="E106" s="5"/>
      <c r="F106" s="890"/>
      <c r="G106" s="935"/>
      <c r="H106" s="915"/>
      <c r="I106" s="915"/>
      <c r="J106" s="915"/>
      <c r="K106" s="916"/>
      <c r="L106" s="890"/>
      <c r="M106" s="890"/>
      <c r="N106" s="890"/>
      <c r="O106" s="917"/>
      <c r="P106" s="917"/>
      <c r="Q106" s="890"/>
      <c r="R106" s="890"/>
      <c r="S106" s="890"/>
      <c r="T106" s="890"/>
      <c r="U106" s="890"/>
      <c r="V106" s="917"/>
      <c r="W106" s="917"/>
      <c r="X106" s="918"/>
      <c r="Y106" s="917"/>
      <c r="Z106" s="918"/>
      <c r="AA106" s="918"/>
      <c r="AB106" s="917"/>
      <c r="AC106" s="917"/>
      <c r="AD106" s="917"/>
      <c r="AE106" s="917"/>
      <c r="AF106" s="917"/>
      <c r="AG106" s="917"/>
      <c r="AK106" s="917">
        <f t="shared" si="36"/>
        <v>0</v>
      </c>
      <c r="AL106" s="917"/>
      <c r="AM106" s="917">
        <f ca="1"/>
        <v>0</v>
      </c>
      <c r="AN106" s="917">
        <f ca="1"/>
        <v>0</v>
      </c>
      <c r="AO106" s="917">
        <f t="shared" ca="1" si="37"/>
        <v>0</v>
      </c>
      <c r="AP106" s="917">
        <f t="shared" ca="1" si="38"/>
        <v>0</v>
      </c>
    </row>
    <row r="107" spans="1:42" ht="16">
      <c r="A107" s="30"/>
      <c r="B107" s="5"/>
      <c r="C107" s="30"/>
      <c r="D107" s="30"/>
      <c r="E107" s="5"/>
      <c r="F107" s="890"/>
      <c r="G107" s="935"/>
      <c r="H107" s="915"/>
      <c r="I107" s="915"/>
      <c r="J107" s="915"/>
      <c r="K107" s="916"/>
      <c r="L107" s="890"/>
      <c r="M107" s="890"/>
      <c r="N107" s="890"/>
      <c r="O107" s="917"/>
      <c r="P107" s="917"/>
      <c r="Q107" s="890"/>
      <c r="R107" s="890"/>
      <c r="S107" s="890"/>
      <c r="T107" s="890"/>
      <c r="U107" s="890"/>
      <c r="V107" s="917"/>
      <c r="W107" s="917"/>
      <c r="X107" s="918"/>
      <c r="Y107" s="917"/>
      <c r="Z107" s="918"/>
      <c r="AA107" s="918"/>
      <c r="AB107" s="917"/>
      <c r="AC107" s="917"/>
      <c r="AD107" s="917"/>
      <c r="AE107" s="917"/>
      <c r="AF107" s="917"/>
      <c r="AG107" s="917"/>
      <c r="AK107" s="917">
        <f t="shared" si="36"/>
        <v>0</v>
      </c>
      <c r="AL107" s="917"/>
      <c r="AM107" s="917">
        <f ca="1"/>
        <v>0</v>
      </c>
      <c r="AN107" s="917">
        <f ca="1"/>
        <v>0</v>
      </c>
      <c r="AO107" s="917">
        <f t="shared" ca="1" si="37"/>
        <v>0</v>
      </c>
      <c r="AP107" s="917">
        <f t="shared" ca="1" si="38"/>
        <v>0</v>
      </c>
    </row>
    <row r="108" spans="1:42" ht="16">
      <c r="A108" s="30"/>
      <c r="B108" s="5"/>
      <c r="C108" s="30"/>
      <c r="D108" s="30"/>
      <c r="E108" s="5"/>
      <c r="F108" s="890"/>
      <c r="G108" s="935"/>
      <c r="H108" s="915"/>
      <c r="I108" s="915"/>
      <c r="J108" s="915"/>
      <c r="K108" s="916"/>
      <c r="L108" s="890"/>
      <c r="M108" s="890"/>
      <c r="N108" s="890"/>
      <c r="O108" s="917"/>
      <c r="P108" s="917"/>
      <c r="Q108" s="890"/>
      <c r="R108" s="890"/>
      <c r="S108" s="890"/>
      <c r="T108" s="890"/>
      <c r="U108" s="890"/>
      <c r="V108" s="917"/>
      <c r="W108" s="917"/>
      <c r="X108" s="918"/>
      <c r="Y108" s="917"/>
      <c r="Z108" s="918"/>
      <c r="AA108" s="918"/>
      <c r="AB108" s="917"/>
      <c r="AC108" s="917"/>
      <c r="AD108" s="917"/>
      <c r="AE108" s="917"/>
      <c r="AF108" s="917"/>
      <c r="AG108" s="917"/>
      <c r="AK108" s="917">
        <f t="shared" si="36"/>
        <v>0</v>
      </c>
      <c r="AL108" s="917"/>
      <c r="AM108" s="917">
        <f ca="1"/>
        <v>0</v>
      </c>
      <c r="AN108" s="917">
        <f ca="1"/>
        <v>0</v>
      </c>
      <c r="AO108" s="917">
        <f t="shared" ca="1" si="37"/>
        <v>0</v>
      </c>
      <c r="AP108" s="917">
        <f t="shared" ca="1" si="38"/>
        <v>0</v>
      </c>
    </row>
    <row r="109" spans="1:42" ht="16">
      <c r="A109" s="30"/>
      <c r="B109" s="5"/>
      <c r="C109" s="30"/>
      <c r="D109" s="30"/>
      <c r="E109" s="5"/>
      <c r="F109" s="890"/>
      <c r="G109" s="935"/>
      <c r="H109" s="915"/>
      <c r="I109" s="915"/>
      <c r="J109" s="915"/>
      <c r="K109" s="916"/>
      <c r="L109" s="890"/>
      <c r="M109" s="890"/>
      <c r="N109" s="890"/>
      <c r="O109" s="917"/>
      <c r="P109" s="917"/>
      <c r="Q109" s="890"/>
      <c r="R109" s="890"/>
      <c r="S109" s="890"/>
      <c r="T109" s="890"/>
      <c r="U109" s="890"/>
      <c r="V109" s="917"/>
      <c r="W109" s="917"/>
      <c r="X109" s="918"/>
      <c r="Y109" s="917"/>
      <c r="Z109" s="918"/>
      <c r="AA109" s="918"/>
      <c r="AB109" s="917"/>
      <c r="AC109" s="917"/>
      <c r="AD109" s="917"/>
      <c r="AE109" s="917"/>
      <c r="AF109" s="917"/>
      <c r="AG109" s="917"/>
      <c r="AK109" s="917">
        <f t="shared" si="36"/>
        <v>0</v>
      </c>
      <c r="AL109" s="917"/>
      <c r="AM109" s="917">
        <f ca="1"/>
        <v>0</v>
      </c>
      <c r="AN109" s="917">
        <f ca="1"/>
        <v>0</v>
      </c>
      <c r="AO109" s="917">
        <f t="shared" ca="1" si="37"/>
        <v>0</v>
      </c>
      <c r="AP109" s="917">
        <f t="shared" ca="1" si="38"/>
        <v>0</v>
      </c>
    </row>
    <row r="110" spans="1:42" ht="16">
      <c r="A110" s="30"/>
      <c r="B110" s="5"/>
      <c r="C110" s="30"/>
      <c r="D110" s="30"/>
      <c r="E110" s="5"/>
      <c r="F110" s="890"/>
      <c r="G110" s="935"/>
      <c r="H110" s="915"/>
      <c r="I110" s="915"/>
      <c r="J110" s="915"/>
      <c r="K110" s="916"/>
      <c r="L110" s="890"/>
      <c r="M110" s="890"/>
      <c r="N110" s="890"/>
      <c r="O110" s="917"/>
      <c r="P110" s="917"/>
      <c r="Q110" s="890"/>
      <c r="R110" s="890"/>
      <c r="S110" s="890"/>
      <c r="T110" s="890"/>
      <c r="U110" s="890"/>
      <c r="V110" s="917"/>
      <c r="W110" s="917"/>
      <c r="X110" s="918"/>
      <c r="Y110" s="917"/>
      <c r="Z110" s="918"/>
      <c r="AA110" s="918"/>
      <c r="AB110" s="917"/>
      <c r="AC110" s="917"/>
      <c r="AD110" s="917"/>
      <c r="AE110" s="917"/>
      <c r="AF110" s="917"/>
      <c r="AG110" s="917"/>
      <c r="AK110" s="917">
        <f t="shared" si="36"/>
        <v>0</v>
      </c>
      <c r="AL110" s="917"/>
      <c r="AM110" s="917">
        <f ca="1"/>
        <v>0</v>
      </c>
      <c r="AN110" s="917">
        <f ca="1"/>
        <v>0</v>
      </c>
      <c r="AO110" s="917">
        <f t="shared" ca="1" si="37"/>
        <v>0</v>
      </c>
      <c r="AP110" s="917">
        <f t="shared" ca="1" si="38"/>
        <v>0</v>
      </c>
    </row>
    <row r="111" spans="1:42" ht="16">
      <c r="A111" s="30"/>
      <c r="B111" s="5"/>
      <c r="C111" s="30"/>
      <c r="D111" s="30"/>
      <c r="E111" s="5"/>
      <c r="F111" s="890"/>
      <c r="G111" s="935"/>
      <c r="H111" s="915"/>
      <c r="I111" s="915"/>
      <c r="J111" s="915"/>
      <c r="K111" s="916"/>
      <c r="L111" s="890"/>
      <c r="M111" s="890"/>
      <c r="N111" s="890"/>
      <c r="O111" s="917"/>
      <c r="P111" s="917"/>
      <c r="Q111" s="890"/>
      <c r="R111" s="890"/>
      <c r="S111" s="890"/>
      <c r="T111" s="890"/>
      <c r="U111" s="890"/>
      <c r="V111" s="917"/>
      <c r="W111" s="917"/>
      <c r="X111" s="918"/>
      <c r="Y111" s="917"/>
      <c r="Z111" s="918"/>
      <c r="AA111" s="918"/>
      <c r="AB111" s="917"/>
      <c r="AC111" s="917"/>
      <c r="AD111" s="917"/>
      <c r="AE111" s="917"/>
      <c r="AF111" s="917"/>
      <c r="AG111" s="917"/>
      <c r="AK111" s="917">
        <f t="shared" si="36"/>
        <v>0</v>
      </c>
      <c r="AL111" s="917"/>
      <c r="AM111" s="917">
        <f ca="1"/>
        <v>0</v>
      </c>
      <c r="AN111" s="917">
        <f ca="1"/>
        <v>0</v>
      </c>
      <c r="AO111" s="917">
        <f t="shared" ca="1" si="37"/>
        <v>0</v>
      </c>
      <c r="AP111" s="917">
        <f t="shared" ca="1" si="38"/>
        <v>0</v>
      </c>
    </row>
    <row r="112" spans="1:42" ht="16">
      <c r="A112" s="30"/>
      <c r="B112" s="5"/>
      <c r="C112" s="30"/>
      <c r="D112" s="30"/>
      <c r="E112" s="5"/>
      <c r="F112" s="890"/>
      <c r="G112" s="935"/>
      <c r="H112" s="915"/>
      <c r="I112" s="915"/>
      <c r="J112" s="915"/>
      <c r="K112" s="916"/>
      <c r="L112" s="890"/>
      <c r="M112" s="890"/>
      <c r="N112" s="890"/>
      <c r="O112" s="917"/>
      <c r="P112" s="917"/>
      <c r="Q112" s="890"/>
      <c r="R112" s="890"/>
      <c r="S112" s="890"/>
      <c r="T112" s="890"/>
      <c r="U112" s="890"/>
      <c r="V112" s="917"/>
      <c r="W112" s="917"/>
      <c r="X112" s="918"/>
      <c r="Y112" s="917"/>
      <c r="Z112" s="918"/>
      <c r="AA112" s="918"/>
      <c r="AB112" s="917"/>
      <c r="AC112" s="917"/>
      <c r="AD112" s="917"/>
      <c r="AE112" s="917"/>
      <c r="AF112" s="917"/>
      <c r="AG112" s="917"/>
      <c r="AK112" s="917">
        <f t="shared" si="36"/>
        <v>0</v>
      </c>
      <c r="AL112" s="917"/>
      <c r="AM112" s="917">
        <f ca="1"/>
        <v>0</v>
      </c>
      <c r="AN112" s="917">
        <f ca="1"/>
        <v>0</v>
      </c>
      <c r="AO112" s="917">
        <f t="shared" ca="1" si="37"/>
        <v>0</v>
      </c>
      <c r="AP112" s="917">
        <f t="shared" ca="1" si="38"/>
        <v>0</v>
      </c>
    </row>
    <row r="113" spans="1:42" ht="16">
      <c r="A113" s="30"/>
      <c r="B113" s="5"/>
      <c r="C113" s="30"/>
      <c r="D113" s="30"/>
      <c r="E113" s="5"/>
      <c r="F113" s="890"/>
      <c r="G113" s="935"/>
      <c r="H113" s="915"/>
      <c r="I113" s="915"/>
      <c r="J113" s="915"/>
      <c r="K113" s="916"/>
      <c r="L113" s="890"/>
      <c r="M113" s="890"/>
      <c r="N113" s="890"/>
      <c r="O113" s="917"/>
      <c r="P113" s="917"/>
      <c r="Q113" s="890"/>
      <c r="R113" s="890"/>
      <c r="S113" s="890"/>
      <c r="T113" s="890"/>
      <c r="U113" s="890"/>
      <c r="V113" s="917"/>
      <c r="W113" s="917"/>
      <c r="X113" s="918"/>
      <c r="Y113" s="917"/>
      <c r="Z113" s="918"/>
      <c r="AA113" s="918"/>
      <c r="AB113" s="917"/>
      <c r="AC113" s="917"/>
      <c r="AD113" s="917"/>
      <c r="AE113" s="917"/>
      <c r="AF113" s="917"/>
      <c r="AG113" s="917"/>
      <c r="AK113" s="917">
        <f t="shared" si="36"/>
        <v>0</v>
      </c>
      <c r="AL113" s="917"/>
      <c r="AM113" s="917">
        <f ca="1"/>
        <v>0</v>
      </c>
      <c r="AN113" s="917">
        <f ca="1"/>
        <v>0</v>
      </c>
      <c r="AO113" s="917">
        <f t="shared" ca="1" si="37"/>
        <v>0</v>
      </c>
      <c r="AP113" s="917">
        <f t="shared" ca="1" si="38"/>
        <v>0</v>
      </c>
    </row>
    <row r="114" spans="1:42" ht="16">
      <c r="A114" s="30"/>
      <c r="B114" s="5"/>
      <c r="C114" s="30"/>
      <c r="D114" s="30"/>
      <c r="E114" s="5"/>
      <c r="F114" s="890"/>
      <c r="G114" s="935"/>
      <c r="H114" s="915"/>
      <c r="I114" s="915"/>
      <c r="J114" s="915"/>
      <c r="K114" s="916"/>
      <c r="L114" s="890"/>
      <c r="M114" s="890"/>
      <c r="N114" s="890"/>
      <c r="O114" s="917"/>
      <c r="P114" s="917"/>
      <c r="Q114" s="890"/>
      <c r="R114" s="890"/>
      <c r="S114" s="890"/>
      <c r="T114" s="890"/>
      <c r="U114" s="890"/>
      <c r="V114" s="917"/>
      <c r="W114" s="917"/>
      <c r="X114" s="918"/>
      <c r="Y114" s="917"/>
      <c r="Z114" s="918"/>
      <c r="AA114" s="918"/>
      <c r="AB114" s="917"/>
      <c r="AC114" s="917"/>
      <c r="AD114" s="917"/>
      <c r="AE114" s="917"/>
      <c r="AF114" s="917"/>
      <c r="AG114" s="917"/>
      <c r="AK114" s="917">
        <f t="shared" si="36"/>
        <v>0</v>
      </c>
      <c r="AL114" s="917"/>
      <c r="AM114" s="917">
        <f ca="1"/>
        <v>0</v>
      </c>
      <c r="AN114" s="917">
        <f ca="1"/>
        <v>0</v>
      </c>
      <c r="AO114" s="917">
        <f t="shared" ca="1" si="37"/>
        <v>0</v>
      </c>
      <c r="AP114" s="917">
        <f t="shared" ca="1" si="38"/>
        <v>0</v>
      </c>
    </row>
    <row r="115" spans="1:42" ht="16">
      <c r="A115" s="30"/>
      <c r="B115" s="5"/>
      <c r="C115" s="30"/>
      <c r="D115" s="30"/>
      <c r="E115" s="5"/>
      <c r="F115" s="890"/>
      <c r="G115" s="935"/>
      <c r="H115" s="915"/>
      <c r="I115" s="915"/>
      <c r="J115" s="915"/>
      <c r="K115" s="916"/>
      <c r="L115" s="890"/>
      <c r="M115" s="890"/>
      <c r="N115" s="890"/>
      <c r="O115" s="917"/>
      <c r="P115" s="917"/>
      <c r="Q115" s="890"/>
      <c r="R115" s="890"/>
      <c r="S115" s="890"/>
      <c r="T115" s="890"/>
      <c r="U115" s="890"/>
      <c r="V115" s="917"/>
      <c r="W115" s="917"/>
      <c r="X115" s="918"/>
      <c r="Y115" s="917"/>
      <c r="Z115" s="918"/>
      <c r="AA115" s="918"/>
      <c r="AB115" s="917"/>
      <c r="AC115" s="917"/>
      <c r="AD115" s="917"/>
      <c r="AE115" s="917"/>
      <c r="AF115" s="917"/>
      <c r="AG115" s="917"/>
      <c r="AK115" s="917">
        <f t="shared" si="36"/>
        <v>0</v>
      </c>
      <c r="AL115" s="917"/>
      <c r="AM115" s="917">
        <f ca="1"/>
        <v>0</v>
      </c>
      <c r="AN115" s="917">
        <f ca="1"/>
        <v>0</v>
      </c>
      <c r="AO115" s="917">
        <f t="shared" ca="1" si="37"/>
        <v>0</v>
      </c>
      <c r="AP115" s="917">
        <f t="shared" ca="1" si="38"/>
        <v>0</v>
      </c>
    </row>
    <row r="116" spans="1:42" ht="16">
      <c r="A116" s="30"/>
      <c r="B116" s="5"/>
      <c r="C116" s="30"/>
      <c r="D116" s="30"/>
      <c r="E116" s="5"/>
      <c r="F116" s="890"/>
      <c r="G116" s="935"/>
      <c r="H116" s="915"/>
      <c r="I116" s="915"/>
      <c r="J116" s="915"/>
      <c r="K116" s="916"/>
      <c r="L116" s="890"/>
      <c r="M116" s="890"/>
      <c r="N116" s="890"/>
      <c r="O116" s="917"/>
      <c r="P116" s="917"/>
      <c r="Q116" s="890"/>
      <c r="R116" s="890"/>
      <c r="S116" s="890"/>
      <c r="T116" s="890"/>
      <c r="U116" s="890"/>
      <c r="V116" s="917"/>
      <c r="W116" s="917"/>
      <c r="X116" s="918"/>
      <c r="Y116" s="917"/>
      <c r="Z116" s="918"/>
      <c r="AA116" s="918"/>
      <c r="AB116" s="917"/>
      <c r="AC116" s="917"/>
      <c r="AD116" s="917"/>
      <c r="AE116" s="917"/>
      <c r="AF116" s="917"/>
      <c r="AG116" s="917"/>
      <c r="AK116" s="917">
        <f t="shared" si="36"/>
        <v>0</v>
      </c>
      <c r="AL116" s="917"/>
      <c r="AM116" s="917">
        <f ca="1"/>
        <v>0</v>
      </c>
      <c r="AN116" s="917">
        <f ca="1"/>
        <v>0</v>
      </c>
      <c r="AO116" s="917">
        <f t="shared" ca="1" si="37"/>
        <v>0</v>
      </c>
      <c r="AP116" s="917">
        <f t="shared" ca="1" si="38"/>
        <v>0</v>
      </c>
    </row>
    <row r="117" spans="1:42" ht="16">
      <c r="A117" s="30"/>
      <c r="B117" s="5"/>
      <c r="C117" s="30"/>
      <c r="D117" s="30"/>
      <c r="E117" s="5"/>
      <c r="F117" s="890"/>
      <c r="G117" s="935"/>
      <c r="H117" s="915"/>
      <c r="I117" s="915"/>
      <c r="J117" s="915"/>
      <c r="K117" s="916"/>
      <c r="L117" s="890"/>
      <c r="M117" s="890"/>
      <c r="N117" s="890"/>
      <c r="O117" s="917"/>
      <c r="P117" s="917"/>
      <c r="Q117" s="890"/>
      <c r="R117" s="890"/>
      <c r="S117" s="890"/>
      <c r="T117" s="890"/>
      <c r="U117" s="890"/>
      <c r="V117" s="917"/>
      <c r="W117" s="917"/>
      <c r="X117" s="918"/>
      <c r="Y117" s="917"/>
      <c r="Z117" s="918"/>
      <c r="AA117" s="918"/>
      <c r="AB117" s="917"/>
      <c r="AC117" s="917"/>
      <c r="AD117" s="917"/>
      <c r="AE117" s="917"/>
      <c r="AF117" s="917"/>
      <c r="AG117" s="917"/>
      <c r="AK117" s="917">
        <f t="shared" si="36"/>
        <v>0</v>
      </c>
      <c r="AL117" s="917"/>
      <c r="AM117" s="917">
        <f ca="1"/>
        <v>0</v>
      </c>
      <c r="AN117" s="917">
        <f ca="1"/>
        <v>0</v>
      </c>
      <c r="AO117" s="917">
        <f t="shared" ca="1" si="37"/>
        <v>0</v>
      </c>
      <c r="AP117" s="917">
        <f t="shared" ca="1" si="38"/>
        <v>0</v>
      </c>
    </row>
    <row r="118" spans="1:42" ht="16">
      <c r="A118" s="30"/>
      <c r="B118" s="5"/>
      <c r="C118" s="30"/>
      <c r="D118" s="30"/>
      <c r="E118" s="5"/>
      <c r="F118" s="890"/>
      <c r="G118" s="935"/>
      <c r="H118" s="915"/>
      <c r="I118" s="915"/>
      <c r="J118" s="915"/>
      <c r="K118" s="916"/>
      <c r="L118" s="890"/>
      <c r="M118" s="890"/>
      <c r="N118" s="890"/>
      <c r="O118" s="917"/>
      <c r="P118" s="917"/>
      <c r="Q118" s="890"/>
      <c r="R118" s="890"/>
      <c r="S118" s="890"/>
      <c r="T118" s="890"/>
      <c r="U118" s="890"/>
      <c r="V118" s="917"/>
      <c r="W118" s="917"/>
      <c r="X118" s="918"/>
      <c r="Y118" s="917"/>
      <c r="Z118" s="918"/>
      <c r="AA118" s="918"/>
      <c r="AB118" s="917"/>
      <c r="AC118" s="917"/>
      <c r="AD118" s="917"/>
      <c r="AE118" s="917"/>
      <c r="AF118" s="917"/>
      <c r="AG118" s="917"/>
      <c r="AK118" s="917">
        <f t="shared" si="36"/>
        <v>0</v>
      </c>
      <c r="AL118" s="917"/>
      <c r="AM118" s="917">
        <f ca="1"/>
        <v>0</v>
      </c>
      <c r="AN118" s="917">
        <f ca="1"/>
        <v>0</v>
      </c>
      <c r="AO118" s="917">
        <f t="shared" ca="1" si="37"/>
        <v>0</v>
      </c>
      <c r="AP118" s="917">
        <f t="shared" ca="1" si="38"/>
        <v>0</v>
      </c>
    </row>
    <row r="119" spans="1:42" ht="16">
      <c r="A119" s="30"/>
      <c r="B119" s="5"/>
      <c r="C119" s="30"/>
      <c r="D119" s="30"/>
      <c r="E119" s="5"/>
      <c r="F119" s="890"/>
      <c r="G119" s="935"/>
      <c r="H119" s="915"/>
      <c r="I119" s="915"/>
      <c r="J119" s="915"/>
      <c r="K119" s="916"/>
      <c r="L119" s="890"/>
      <c r="M119" s="890"/>
      <c r="N119" s="890"/>
      <c r="O119" s="917"/>
      <c r="P119" s="917"/>
      <c r="Q119" s="890"/>
      <c r="R119" s="890"/>
      <c r="S119" s="890"/>
      <c r="T119" s="890"/>
      <c r="U119" s="890"/>
      <c r="V119" s="917"/>
      <c r="W119" s="917"/>
      <c r="X119" s="918"/>
      <c r="Y119" s="917"/>
      <c r="Z119" s="918"/>
      <c r="AA119" s="918"/>
      <c r="AB119" s="917"/>
      <c r="AC119" s="917"/>
      <c r="AD119" s="917"/>
      <c r="AE119" s="917"/>
      <c r="AF119" s="917"/>
      <c r="AG119" s="917"/>
      <c r="AK119" s="917">
        <f t="shared" si="36"/>
        <v>0</v>
      </c>
      <c r="AL119" s="917"/>
      <c r="AM119" s="917">
        <f ca="1"/>
        <v>0</v>
      </c>
      <c r="AN119" s="917">
        <f ca="1"/>
        <v>0</v>
      </c>
      <c r="AO119" s="917">
        <f t="shared" ca="1" si="37"/>
        <v>0</v>
      </c>
      <c r="AP119" s="917">
        <f t="shared" ca="1" si="38"/>
        <v>0</v>
      </c>
    </row>
    <row r="120" spans="1:42" ht="16">
      <c r="A120" s="30"/>
      <c r="B120" s="5"/>
      <c r="C120" s="30"/>
      <c r="D120" s="30"/>
      <c r="E120" s="5"/>
      <c r="F120" s="890"/>
      <c r="G120" s="935"/>
      <c r="H120" s="915"/>
      <c r="I120" s="915"/>
      <c r="J120" s="915"/>
      <c r="K120" s="916"/>
      <c r="L120" s="890"/>
      <c r="M120" s="890"/>
      <c r="N120" s="890"/>
      <c r="O120" s="917"/>
      <c r="P120" s="917"/>
      <c r="Q120" s="890"/>
      <c r="R120" s="890"/>
      <c r="S120" s="890"/>
      <c r="T120" s="890"/>
      <c r="U120" s="890"/>
      <c r="V120" s="917"/>
      <c r="W120" s="917"/>
      <c r="X120" s="918"/>
      <c r="Y120" s="917"/>
      <c r="Z120" s="918"/>
      <c r="AA120" s="918"/>
      <c r="AB120" s="917"/>
      <c r="AC120" s="917"/>
      <c r="AD120" s="917"/>
      <c r="AE120" s="917"/>
      <c r="AF120" s="917"/>
      <c r="AG120" s="917"/>
      <c r="AK120" s="917">
        <f t="shared" si="36"/>
        <v>0</v>
      </c>
      <c r="AL120" s="917"/>
      <c r="AM120" s="917">
        <f ca="1"/>
        <v>0</v>
      </c>
      <c r="AN120" s="917">
        <f ca="1"/>
        <v>0</v>
      </c>
      <c r="AO120" s="917">
        <f t="shared" ca="1" si="37"/>
        <v>0</v>
      </c>
      <c r="AP120" s="917">
        <f t="shared" ca="1" si="38"/>
        <v>0</v>
      </c>
    </row>
    <row r="121" spans="1:42" ht="16">
      <c r="A121" s="30"/>
      <c r="B121" s="5"/>
      <c r="C121" s="30"/>
      <c r="D121" s="30"/>
      <c r="E121" s="5"/>
      <c r="F121" s="890"/>
      <c r="G121" s="935"/>
      <c r="H121" s="915"/>
      <c r="I121" s="915"/>
      <c r="J121" s="915"/>
      <c r="K121" s="916"/>
      <c r="L121" s="890"/>
      <c r="M121" s="890"/>
      <c r="N121" s="890"/>
      <c r="O121" s="917"/>
      <c r="P121" s="917"/>
      <c r="Q121" s="890"/>
      <c r="R121" s="890"/>
      <c r="S121" s="890"/>
      <c r="T121" s="890"/>
      <c r="U121" s="890"/>
      <c r="V121" s="917"/>
      <c r="W121" s="917"/>
      <c r="X121" s="918"/>
      <c r="Y121" s="917"/>
      <c r="Z121" s="918"/>
      <c r="AA121" s="918"/>
      <c r="AB121" s="917"/>
      <c r="AC121" s="917"/>
      <c r="AD121" s="917"/>
      <c r="AE121" s="917"/>
      <c r="AF121" s="917"/>
      <c r="AG121" s="917"/>
      <c r="AK121" s="917">
        <f t="shared" si="36"/>
        <v>0</v>
      </c>
      <c r="AL121" s="917"/>
      <c r="AM121" s="917">
        <f ca="1"/>
        <v>0</v>
      </c>
      <c r="AN121" s="917">
        <f ca="1"/>
        <v>0</v>
      </c>
      <c r="AO121" s="917">
        <f t="shared" ca="1" si="37"/>
        <v>0</v>
      </c>
      <c r="AP121" s="917">
        <f t="shared" ca="1" si="38"/>
        <v>0</v>
      </c>
    </row>
    <row r="122" spans="1:42" ht="16">
      <c r="A122" s="30"/>
      <c r="B122" s="5"/>
      <c r="C122" s="30"/>
      <c r="D122" s="30"/>
      <c r="E122" s="5"/>
      <c r="F122" s="890"/>
      <c r="G122" s="935"/>
      <c r="H122" s="915"/>
      <c r="I122" s="915"/>
      <c r="J122" s="915"/>
      <c r="K122" s="916"/>
      <c r="L122" s="890"/>
      <c r="M122" s="890"/>
      <c r="N122" s="890"/>
      <c r="O122" s="917"/>
      <c r="P122" s="917"/>
      <c r="Q122" s="890"/>
      <c r="R122" s="890"/>
      <c r="S122" s="890"/>
      <c r="T122" s="890"/>
      <c r="U122" s="890"/>
      <c r="V122" s="917"/>
      <c r="W122" s="917"/>
      <c r="X122" s="918"/>
      <c r="Y122" s="917"/>
      <c r="Z122" s="918"/>
      <c r="AA122" s="918"/>
      <c r="AB122" s="917"/>
      <c r="AC122" s="917"/>
      <c r="AD122" s="917"/>
      <c r="AE122" s="917"/>
      <c r="AF122" s="917"/>
      <c r="AG122" s="917"/>
      <c r="AK122" s="917">
        <f t="shared" si="36"/>
        <v>0</v>
      </c>
      <c r="AL122" s="917"/>
      <c r="AM122" s="917">
        <f ca="1"/>
        <v>0</v>
      </c>
      <c r="AN122" s="917">
        <f ca="1"/>
        <v>0</v>
      </c>
      <c r="AO122" s="917">
        <f t="shared" ca="1" si="37"/>
        <v>0</v>
      </c>
      <c r="AP122" s="917">
        <f t="shared" ca="1" si="38"/>
        <v>0</v>
      </c>
    </row>
    <row r="123" spans="1:42" ht="16">
      <c r="A123" s="30"/>
      <c r="B123" s="5"/>
      <c r="C123" s="30"/>
      <c r="D123" s="30"/>
      <c r="E123" s="5"/>
      <c r="F123" s="890"/>
      <c r="G123" s="935"/>
      <c r="H123" s="915"/>
      <c r="I123" s="915"/>
      <c r="J123" s="915"/>
      <c r="K123" s="916"/>
      <c r="L123" s="890"/>
      <c r="M123" s="890"/>
      <c r="N123" s="890"/>
      <c r="O123" s="917"/>
      <c r="P123" s="917"/>
      <c r="Q123" s="890"/>
      <c r="R123" s="890"/>
      <c r="S123" s="890"/>
      <c r="T123" s="890"/>
      <c r="U123" s="890"/>
      <c r="V123" s="917"/>
      <c r="W123" s="917"/>
      <c r="X123" s="918"/>
      <c r="Y123" s="917"/>
      <c r="Z123" s="918"/>
      <c r="AA123" s="918"/>
      <c r="AB123" s="917"/>
      <c r="AC123" s="917"/>
      <c r="AD123" s="917"/>
      <c r="AE123" s="917"/>
      <c r="AF123" s="917"/>
      <c r="AG123" s="917"/>
      <c r="AK123" s="917">
        <f t="shared" si="36"/>
        <v>0</v>
      </c>
      <c r="AL123" s="917"/>
      <c r="AM123" s="917">
        <f ca="1"/>
        <v>0</v>
      </c>
      <c r="AN123" s="917">
        <f ca="1"/>
        <v>0</v>
      </c>
      <c r="AO123" s="917">
        <f t="shared" ca="1" si="37"/>
        <v>0</v>
      </c>
      <c r="AP123" s="917">
        <f t="shared" ca="1" si="38"/>
        <v>0</v>
      </c>
    </row>
    <row r="124" spans="1:42" ht="16">
      <c r="A124" s="30"/>
      <c r="B124" s="5"/>
      <c r="C124" s="30"/>
      <c r="D124" s="30"/>
      <c r="E124" s="5"/>
      <c r="F124" s="890"/>
      <c r="G124" s="935"/>
      <c r="H124" s="915"/>
      <c r="I124" s="915"/>
      <c r="J124" s="915"/>
      <c r="K124" s="916"/>
      <c r="L124" s="890"/>
      <c r="M124" s="890"/>
      <c r="N124" s="890"/>
      <c r="O124" s="917"/>
      <c r="P124" s="917"/>
      <c r="Q124" s="890"/>
      <c r="R124" s="890"/>
      <c r="S124" s="890"/>
      <c r="T124" s="890"/>
      <c r="U124" s="890"/>
      <c r="V124" s="917"/>
      <c r="W124" s="917"/>
      <c r="X124" s="918"/>
      <c r="Y124" s="917"/>
      <c r="Z124" s="918"/>
      <c r="AA124" s="918"/>
      <c r="AB124" s="917"/>
      <c r="AC124" s="917"/>
      <c r="AD124" s="917"/>
      <c r="AE124" s="917"/>
      <c r="AF124" s="917"/>
      <c r="AG124" s="917"/>
      <c r="AK124" s="917">
        <f t="shared" si="36"/>
        <v>0</v>
      </c>
      <c r="AL124" s="917"/>
      <c r="AM124" s="917">
        <f ca="1"/>
        <v>0</v>
      </c>
      <c r="AN124" s="917">
        <f ca="1"/>
        <v>0</v>
      </c>
      <c r="AO124" s="917">
        <f t="shared" ca="1" si="37"/>
        <v>0</v>
      </c>
      <c r="AP124" s="917">
        <f t="shared" ca="1" si="38"/>
        <v>0</v>
      </c>
    </row>
    <row r="125" spans="1:42" ht="16">
      <c r="A125" s="30"/>
      <c r="B125" s="5"/>
      <c r="C125" s="30"/>
      <c r="D125" s="30"/>
      <c r="E125" s="5"/>
      <c r="F125" s="890"/>
      <c r="G125" s="935"/>
      <c r="H125" s="915"/>
      <c r="I125" s="915"/>
      <c r="J125" s="915"/>
      <c r="K125" s="916"/>
      <c r="L125" s="890"/>
      <c r="M125" s="890"/>
      <c r="N125" s="890"/>
      <c r="O125" s="917"/>
      <c r="P125" s="917"/>
      <c r="Q125" s="890"/>
      <c r="R125" s="890"/>
      <c r="S125" s="890"/>
      <c r="T125" s="890"/>
      <c r="U125" s="890"/>
      <c r="V125" s="917"/>
      <c r="W125" s="917"/>
      <c r="X125" s="918"/>
      <c r="Y125" s="917"/>
      <c r="Z125" s="918"/>
      <c r="AA125" s="918"/>
      <c r="AB125" s="917"/>
      <c r="AC125" s="917"/>
      <c r="AD125" s="917"/>
      <c r="AE125" s="917"/>
      <c r="AF125" s="917"/>
      <c r="AG125" s="917"/>
      <c r="AK125" s="917">
        <f t="shared" si="36"/>
        <v>0</v>
      </c>
      <c r="AL125" s="917"/>
      <c r="AM125" s="917">
        <f ca="1"/>
        <v>0</v>
      </c>
      <c r="AN125" s="917">
        <f ca="1"/>
        <v>0</v>
      </c>
      <c r="AO125" s="917">
        <f t="shared" ca="1" si="37"/>
        <v>0</v>
      </c>
      <c r="AP125" s="917">
        <f t="shared" ca="1" si="38"/>
        <v>0</v>
      </c>
    </row>
    <row r="126" spans="1:42" ht="16">
      <c r="A126" s="30"/>
      <c r="B126" s="5"/>
      <c r="C126" s="30"/>
      <c r="D126" s="30"/>
      <c r="E126" s="5"/>
      <c r="F126" s="890"/>
      <c r="G126" s="935"/>
      <c r="H126" s="915"/>
      <c r="I126" s="915"/>
      <c r="J126" s="915"/>
      <c r="K126" s="916"/>
      <c r="L126" s="890"/>
      <c r="M126" s="890"/>
      <c r="N126" s="890"/>
      <c r="O126" s="917"/>
      <c r="P126" s="917"/>
      <c r="Q126" s="890"/>
      <c r="R126" s="890"/>
      <c r="S126" s="890"/>
      <c r="T126" s="890"/>
      <c r="U126" s="890"/>
      <c r="V126" s="917"/>
      <c r="W126" s="917"/>
      <c r="X126" s="918"/>
      <c r="Y126" s="917"/>
      <c r="Z126" s="918"/>
      <c r="AA126" s="918"/>
      <c r="AB126" s="917"/>
      <c r="AC126" s="917"/>
      <c r="AD126" s="917"/>
      <c r="AE126" s="917"/>
      <c r="AF126" s="917"/>
      <c r="AG126" s="917"/>
      <c r="AK126" s="917">
        <f t="shared" si="36"/>
        <v>0</v>
      </c>
      <c r="AL126" s="917"/>
      <c r="AM126" s="917">
        <f ca="1"/>
        <v>0</v>
      </c>
      <c r="AN126" s="917">
        <f ca="1"/>
        <v>0</v>
      </c>
      <c r="AO126" s="917">
        <f t="shared" ca="1" si="37"/>
        <v>0</v>
      </c>
      <c r="AP126" s="917">
        <f t="shared" ca="1" si="38"/>
        <v>0</v>
      </c>
    </row>
    <row r="127" spans="1:42" ht="16">
      <c r="A127" s="30"/>
      <c r="B127" s="5"/>
      <c r="C127" s="30"/>
      <c r="D127" s="30"/>
      <c r="E127" s="5"/>
      <c r="F127" s="890"/>
      <c r="G127" s="935"/>
      <c r="H127" s="915"/>
      <c r="I127" s="915"/>
      <c r="J127" s="915"/>
      <c r="K127" s="916"/>
      <c r="L127" s="890"/>
      <c r="M127" s="890"/>
      <c r="N127" s="890"/>
      <c r="O127" s="917"/>
      <c r="P127" s="917"/>
      <c r="Q127" s="890"/>
      <c r="R127" s="890"/>
      <c r="S127" s="890"/>
      <c r="T127" s="890"/>
      <c r="U127" s="890"/>
      <c r="V127" s="917"/>
      <c r="W127" s="917"/>
      <c r="X127" s="918"/>
      <c r="Y127" s="917"/>
      <c r="Z127" s="918"/>
      <c r="AA127" s="918"/>
      <c r="AB127" s="917"/>
      <c r="AC127" s="917"/>
      <c r="AD127" s="917"/>
      <c r="AE127" s="917"/>
      <c r="AF127" s="917"/>
      <c r="AG127" s="917"/>
      <c r="AK127" s="917">
        <f t="shared" si="36"/>
        <v>0</v>
      </c>
      <c r="AL127" s="917"/>
      <c r="AM127" s="917">
        <f ca="1"/>
        <v>0</v>
      </c>
      <c r="AN127" s="917">
        <f ca="1"/>
        <v>0</v>
      </c>
      <c r="AO127" s="917">
        <f t="shared" ca="1" si="37"/>
        <v>0</v>
      </c>
      <c r="AP127" s="917">
        <f t="shared" ca="1" si="38"/>
        <v>0</v>
      </c>
    </row>
    <row r="128" spans="1:42" ht="16">
      <c r="A128" s="30"/>
      <c r="B128" s="5"/>
      <c r="C128" s="30"/>
      <c r="D128" s="30"/>
      <c r="E128" s="5"/>
      <c r="F128" s="890"/>
      <c r="G128" s="935"/>
      <c r="H128" s="915"/>
      <c r="I128" s="915"/>
      <c r="J128" s="915"/>
      <c r="K128" s="916"/>
      <c r="L128" s="890"/>
      <c r="M128" s="890"/>
      <c r="N128" s="890"/>
      <c r="O128" s="917"/>
      <c r="P128" s="917"/>
      <c r="Q128" s="890"/>
      <c r="R128" s="890"/>
      <c r="S128" s="890"/>
      <c r="T128" s="890"/>
      <c r="U128" s="890"/>
      <c r="V128" s="917"/>
      <c r="W128" s="917"/>
      <c r="X128" s="918"/>
      <c r="Y128" s="917"/>
      <c r="Z128" s="918"/>
      <c r="AA128" s="918"/>
      <c r="AB128" s="917"/>
      <c r="AC128" s="917"/>
      <c r="AD128" s="917"/>
      <c r="AE128" s="917"/>
      <c r="AF128" s="917"/>
      <c r="AG128" s="917"/>
      <c r="AK128" s="917">
        <f t="shared" si="36"/>
        <v>0</v>
      </c>
      <c r="AL128" s="917"/>
      <c r="AM128" s="917">
        <f ca="1"/>
        <v>0</v>
      </c>
      <c r="AN128" s="917">
        <f ca="1"/>
        <v>0</v>
      </c>
      <c r="AO128" s="917">
        <f t="shared" ca="1" si="37"/>
        <v>0</v>
      </c>
      <c r="AP128" s="917">
        <f t="shared" ca="1" si="38"/>
        <v>0</v>
      </c>
    </row>
    <row r="129" spans="1:42" ht="16">
      <c r="A129" s="30"/>
      <c r="B129" s="5"/>
      <c r="C129" s="30"/>
      <c r="D129" s="30"/>
      <c r="E129" s="5"/>
      <c r="F129" s="890"/>
      <c r="G129" s="935"/>
      <c r="H129" s="915"/>
      <c r="I129" s="915"/>
      <c r="J129" s="915"/>
      <c r="K129" s="916"/>
      <c r="L129" s="890"/>
      <c r="M129" s="890"/>
      <c r="N129" s="890"/>
      <c r="O129" s="917"/>
      <c r="P129" s="917"/>
      <c r="Q129" s="890"/>
      <c r="R129" s="890"/>
      <c r="S129" s="890"/>
      <c r="T129" s="890"/>
      <c r="U129" s="890"/>
      <c r="V129" s="917"/>
      <c r="W129" s="917"/>
      <c r="X129" s="918"/>
      <c r="Y129" s="917"/>
      <c r="Z129" s="918"/>
      <c r="AA129" s="918"/>
      <c r="AB129" s="917"/>
      <c r="AC129" s="917"/>
      <c r="AD129" s="917"/>
      <c r="AE129" s="917"/>
      <c r="AF129" s="917"/>
      <c r="AG129" s="917"/>
      <c r="AK129" s="917">
        <f t="shared" si="36"/>
        <v>0</v>
      </c>
      <c r="AL129" s="917"/>
      <c r="AM129" s="917">
        <f ca="1"/>
        <v>0</v>
      </c>
      <c r="AN129" s="917">
        <f ca="1"/>
        <v>0</v>
      </c>
      <c r="AO129" s="917">
        <f t="shared" ca="1" si="37"/>
        <v>0</v>
      </c>
      <c r="AP129" s="917">
        <f t="shared" ca="1" si="38"/>
        <v>0</v>
      </c>
    </row>
    <row r="130" spans="1:42" ht="16">
      <c r="A130" s="30"/>
      <c r="B130" s="5"/>
      <c r="C130" s="30"/>
      <c r="D130" s="30"/>
      <c r="E130" s="5"/>
      <c r="F130" s="890"/>
      <c r="G130" s="935"/>
      <c r="H130" s="915"/>
      <c r="I130" s="915"/>
      <c r="J130" s="915"/>
      <c r="K130" s="916"/>
      <c r="L130" s="890"/>
      <c r="M130" s="890"/>
      <c r="N130" s="890"/>
      <c r="O130" s="917"/>
      <c r="P130" s="917"/>
      <c r="Q130" s="890"/>
      <c r="R130" s="890"/>
      <c r="S130" s="890"/>
      <c r="T130" s="890"/>
      <c r="U130" s="890"/>
      <c r="V130" s="917"/>
      <c r="W130" s="917"/>
      <c r="X130" s="918"/>
      <c r="Y130" s="917"/>
      <c r="Z130" s="918"/>
      <c r="AA130" s="918"/>
      <c r="AB130" s="917"/>
      <c r="AC130" s="917"/>
      <c r="AD130" s="917"/>
      <c r="AE130" s="917"/>
      <c r="AF130" s="917"/>
      <c r="AG130" s="917"/>
      <c r="AK130" s="917">
        <f t="shared" si="36"/>
        <v>0</v>
      </c>
      <c r="AL130" s="917"/>
      <c r="AM130" s="917">
        <f ca="1"/>
        <v>0</v>
      </c>
      <c r="AN130" s="917">
        <f ca="1"/>
        <v>0</v>
      </c>
      <c r="AO130" s="917">
        <f t="shared" ca="1" si="37"/>
        <v>0</v>
      </c>
      <c r="AP130" s="917">
        <f t="shared" ca="1" si="38"/>
        <v>0</v>
      </c>
    </row>
    <row r="131" spans="1:42" ht="16">
      <c r="A131" s="30"/>
      <c r="B131" s="5"/>
      <c r="C131" s="30"/>
      <c r="D131" s="30"/>
      <c r="E131" s="5"/>
      <c r="F131" s="890"/>
      <c r="G131" s="935"/>
      <c r="H131" s="915"/>
      <c r="I131" s="915"/>
      <c r="J131" s="915"/>
      <c r="K131" s="916"/>
      <c r="L131" s="890"/>
      <c r="M131" s="890"/>
      <c r="N131" s="890"/>
      <c r="O131" s="917"/>
      <c r="P131" s="917"/>
      <c r="Q131" s="890"/>
      <c r="R131" s="890"/>
      <c r="S131" s="890"/>
      <c r="T131" s="890"/>
      <c r="U131" s="890"/>
      <c r="V131" s="917"/>
      <c r="W131" s="917"/>
      <c r="X131" s="918"/>
      <c r="Y131" s="917"/>
      <c r="Z131" s="918"/>
      <c r="AA131" s="918"/>
      <c r="AB131" s="917"/>
      <c r="AC131" s="917"/>
      <c r="AD131" s="917"/>
      <c r="AE131" s="917"/>
      <c r="AF131" s="917"/>
      <c r="AG131" s="917"/>
      <c r="AK131" s="917">
        <f t="shared" si="36"/>
        <v>0</v>
      </c>
      <c r="AL131" s="917"/>
      <c r="AM131" s="917">
        <f ca="1"/>
        <v>0</v>
      </c>
      <c r="AN131" s="917">
        <f ca="1"/>
        <v>0</v>
      </c>
      <c r="AO131" s="917">
        <f t="shared" ca="1" si="37"/>
        <v>0</v>
      </c>
      <c r="AP131" s="917">
        <f t="shared" ca="1" si="38"/>
        <v>0</v>
      </c>
    </row>
    <row r="132" spans="1:42" ht="16">
      <c r="A132" s="30"/>
      <c r="B132" s="5"/>
      <c r="C132" s="30"/>
      <c r="D132" s="30"/>
      <c r="E132" s="5"/>
      <c r="F132" s="890"/>
      <c r="G132" s="935"/>
      <c r="H132" s="915"/>
      <c r="I132" s="915"/>
      <c r="J132" s="915"/>
      <c r="K132" s="916"/>
      <c r="L132" s="890"/>
      <c r="M132" s="890"/>
      <c r="N132" s="890"/>
      <c r="O132" s="917"/>
      <c r="P132" s="917"/>
      <c r="Q132" s="890"/>
      <c r="R132" s="890"/>
      <c r="S132" s="890"/>
      <c r="T132" s="890"/>
      <c r="U132" s="890"/>
      <c r="V132" s="917"/>
      <c r="W132" s="917"/>
      <c r="X132" s="918"/>
      <c r="Y132" s="917"/>
      <c r="Z132" s="918"/>
      <c r="AA132" s="918"/>
      <c r="AB132" s="917"/>
      <c r="AC132" s="917"/>
      <c r="AD132" s="917"/>
      <c r="AE132" s="917"/>
      <c r="AF132" s="917"/>
      <c r="AG132" s="917"/>
      <c r="AK132" s="917">
        <f t="shared" si="36"/>
        <v>0</v>
      </c>
      <c r="AL132" s="917"/>
      <c r="AM132" s="917">
        <f ca="1"/>
        <v>0</v>
      </c>
      <c r="AN132" s="917">
        <f ca="1"/>
        <v>0</v>
      </c>
      <c r="AO132" s="917">
        <f t="shared" ca="1" si="37"/>
        <v>0</v>
      </c>
      <c r="AP132" s="917">
        <f t="shared" ca="1" si="38"/>
        <v>0</v>
      </c>
    </row>
    <row r="133" spans="1:42" ht="16">
      <c r="A133" s="30"/>
      <c r="B133" s="5"/>
      <c r="C133" s="30"/>
      <c r="D133" s="30"/>
      <c r="E133" s="5"/>
      <c r="F133" s="890"/>
      <c r="G133" s="935"/>
      <c r="H133" s="915"/>
      <c r="I133" s="915"/>
      <c r="J133" s="915"/>
      <c r="K133" s="916"/>
      <c r="L133" s="890"/>
      <c r="M133" s="890"/>
      <c r="N133" s="890"/>
      <c r="O133" s="917"/>
      <c r="P133" s="917"/>
      <c r="Q133" s="890"/>
      <c r="R133" s="890"/>
      <c r="S133" s="890"/>
      <c r="T133" s="890"/>
      <c r="U133" s="890"/>
      <c r="V133" s="917"/>
      <c r="W133" s="917"/>
      <c r="X133" s="918"/>
      <c r="Y133" s="917"/>
      <c r="Z133" s="918"/>
      <c r="AA133" s="918"/>
      <c r="AB133" s="917"/>
      <c r="AC133" s="917"/>
      <c r="AD133" s="917"/>
      <c r="AE133" s="917"/>
      <c r="AF133" s="917"/>
      <c r="AG133" s="917"/>
      <c r="AK133" s="917">
        <f t="shared" si="36"/>
        <v>0</v>
      </c>
      <c r="AL133" s="917"/>
      <c r="AM133" s="917">
        <f ca="1"/>
        <v>0</v>
      </c>
      <c r="AN133" s="917">
        <f ca="1"/>
        <v>0</v>
      </c>
      <c r="AO133" s="917">
        <f t="shared" ca="1" si="37"/>
        <v>0</v>
      </c>
      <c r="AP133" s="917">
        <f t="shared" ca="1" si="38"/>
        <v>0</v>
      </c>
    </row>
    <row r="134" spans="1:42" ht="16">
      <c r="A134" s="30"/>
      <c r="B134" s="5"/>
      <c r="C134" s="30"/>
      <c r="D134" s="30"/>
      <c r="E134" s="5"/>
      <c r="F134" s="890"/>
      <c r="G134" s="935"/>
      <c r="H134" s="915"/>
      <c r="I134" s="915"/>
      <c r="J134" s="915"/>
      <c r="K134" s="916"/>
      <c r="L134" s="890"/>
      <c r="M134" s="890"/>
      <c r="N134" s="890"/>
      <c r="O134" s="917"/>
      <c r="P134" s="917"/>
      <c r="Q134" s="890"/>
      <c r="R134" s="890"/>
      <c r="S134" s="890"/>
      <c r="T134" s="890"/>
      <c r="U134" s="890"/>
      <c r="V134" s="917"/>
      <c r="W134" s="917"/>
      <c r="X134" s="918"/>
      <c r="Y134" s="917"/>
      <c r="Z134" s="918"/>
      <c r="AA134" s="918"/>
      <c r="AB134" s="917"/>
      <c r="AC134" s="917"/>
      <c r="AD134" s="917"/>
      <c r="AE134" s="917"/>
      <c r="AF134" s="917"/>
      <c r="AG134" s="917"/>
      <c r="AK134" s="917">
        <f t="shared" si="36"/>
        <v>0</v>
      </c>
      <c r="AL134" s="917"/>
      <c r="AM134" s="917">
        <f ca="1"/>
        <v>0</v>
      </c>
      <c r="AN134" s="917">
        <f ca="1"/>
        <v>0</v>
      </c>
      <c r="AO134" s="917">
        <f t="shared" ca="1" si="37"/>
        <v>0</v>
      </c>
      <c r="AP134" s="917">
        <f t="shared" ca="1" si="38"/>
        <v>0</v>
      </c>
    </row>
    <row r="135" spans="1:42" ht="16">
      <c r="A135" s="30"/>
      <c r="B135" s="5"/>
      <c r="C135" s="30"/>
      <c r="D135" s="30"/>
      <c r="E135" s="5"/>
      <c r="F135" s="890"/>
      <c r="G135" s="935"/>
      <c r="H135" s="915"/>
      <c r="I135" s="915"/>
      <c r="J135" s="915"/>
      <c r="K135" s="916"/>
      <c r="L135" s="890"/>
      <c r="M135" s="890"/>
      <c r="N135" s="890"/>
      <c r="O135" s="917"/>
      <c r="P135" s="917"/>
      <c r="Q135" s="890"/>
      <c r="R135" s="890"/>
      <c r="S135" s="890"/>
      <c r="T135" s="890"/>
      <c r="U135" s="890"/>
      <c r="V135" s="917"/>
      <c r="W135" s="917"/>
      <c r="X135" s="918"/>
      <c r="Y135" s="917"/>
      <c r="Z135" s="918"/>
      <c r="AA135" s="918"/>
      <c r="AB135" s="917"/>
      <c r="AC135" s="917"/>
      <c r="AD135" s="917"/>
      <c r="AE135" s="917"/>
      <c r="AF135" s="917"/>
      <c r="AG135" s="917"/>
      <c r="AK135" s="917">
        <f t="shared" si="36"/>
        <v>0</v>
      </c>
      <c r="AL135" s="917"/>
      <c r="AM135" s="917">
        <f ca="1"/>
        <v>0</v>
      </c>
      <c r="AN135" s="917">
        <f ca="1"/>
        <v>0</v>
      </c>
      <c r="AO135" s="917">
        <f t="shared" ca="1" si="37"/>
        <v>0</v>
      </c>
      <c r="AP135" s="917">
        <f t="shared" ca="1" si="38"/>
        <v>0</v>
      </c>
    </row>
    <row r="136" spans="1:42" ht="16">
      <c r="A136" s="30"/>
      <c r="B136" s="5"/>
      <c r="C136" s="30"/>
      <c r="D136" s="30"/>
      <c r="E136" s="5"/>
      <c r="F136" s="890"/>
      <c r="G136" s="935"/>
      <c r="H136" s="915"/>
      <c r="I136" s="915"/>
      <c r="J136" s="915"/>
      <c r="K136" s="916"/>
      <c r="L136" s="890"/>
      <c r="M136" s="890"/>
      <c r="N136" s="890"/>
      <c r="O136" s="917"/>
      <c r="P136" s="917"/>
      <c r="Q136" s="890"/>
      <c r="R136" s="890"/>
      <c r="S136" s="890"/>
      <c r="T136" s="890"/>
      <c r="U136" s="890"/>
      <c r="V136" s="917"/>
      <c r="W136" s="917"/>
      <c r="X136" s="918"/>
      <c r="Y136" s="917"/>
      <c r="Z136" s="918"/>
      <c r="AA136" s="918"/>
      <c r="AB136" s="917"/>
      <c r="AC136" s="917"/>
      <c r="AD136" s="917"/>
      <c r="AE136" s="917"/>
      <c r="AF136" s="917"/>
      <c r="AG136" s="917"/>
      <c r="AK136" s="917">
        <f t="shared" si="36"/>
        <v>0</v>
      </c>
      <c r="AL136" s="917"/>
      <c r="AM136" s="917">
        <f ca="1"/>
        <v>0</v>
      </c>
      <c r="AN136" s="917">
        <f ca="1"/>
        <v>0</v>
      </c>
      <c r="AO136" s="917">
        <f t="shared" ca="1" si="37"/>
        <v>0</v>
      </c>
      <c r="AP136" s="917">
        <f t="shared" ca="1" si="38"/>
        <v>0</v>
      </c>
    </row>
    <row r="137" spans="1:42" ht="16">
      <c r="A137" s="30"/>
      <c r="B137" s="5"/>
      <c r="C137" s="30"/>
      <c r="D137" s="30"/>
      <c r="E137" s="5"/>
      <c r="F137" s="890"/>
      <c r="G137" s="935"/>
      <c r="H137" s="915"/>
      <c r="I137" s="915"/>
      <c r="J137" s="915"/>
      <c r="K137" s="916"/>
      <c r="L137" s="890"/>
      <c r="M137" s="890"/>
      <c r="N137" s="890"/>
      <c r="O137" s="917"/>
      <c r="P137" s="917"/>
      <c r="Q137" s="890"/>
      <c r="R137" s="890"/>
      <c r="S137" s="890"/>
      <c r="T137" s="890"/>
      <c r="U137" s="890"/>
      <c r="V137" s="917"/>
      <c r="W137" s="917"/>
      <c r="X137" s="918"/>
      <c r="Y137" s="917"/>
      <c r="Z137" s="918"/>
      <c r="AA137" s="918"/>
      <c r="AB137" s="917"/>
      <c r="AC137" s="917"/>
      <c r="AD137" s="917"/>
      <c r="AE137" s="917"/>
      <c r="AF137" s="917"/>
      <c r="AG137" s="917"/>
      <c r="AK137" s="917">
        <f t="shared" ref="AK137:AK200" si="40">IF(W137&lt;0,W137,0)</f>
        <v>0</v>
      </c>
      <c r="AL137" s="917"/>
      <c r="AM137" s="917">
        <f ca="1"/>
        <v>0</v>
      </c>
      <c r="AN137" s="917">
        <f ca="1"/>
        <v>0</v>
      </c>
      <c r="AO137" s="917">
        <f t="shared" ref="AO137:AO200" ca="1" si="41">SUM(AL137:AN137)</f>
        <v>0</v>
      </c>
      <c r="AP137" s="917">
        <f t="shared" ref="AP137:AP200" ca="1" si="42">AO137+AK137</f>
        <v>0</v>
      </c>
    </row>
    <row r="138" spans="1:42" ht="16">
      <c r="A138" s="30"/>
      <c r="B138" s="5"/>
      <c r="C138" s="30"/>
      <c r="D138" s="30"/>
      <c r="E138" s="5"/>
      <c r="F138" s="890"/>
      <c r="G138" s="935"/>
      <c r="H138" s="915"/>
      <c r="I138" s="915"/>
      <c r="J138" s="915"/>
      <c r="K138" s="916"/>
      <c r="L138" s="890"/>
      <c r="M138" s="890"/>
      <c r="N138" s="890"/>
      <c r="O138" s="917"/>
      <c r="P138" s="917"/>
      <c r="Q138" s="890"/>
      <c r="R138" s="890"/>
      <c r="S138" s="890"/>
      <c r="T138" s="890"/>
      <c r="U138" s="890"/>
      <c r="V138" s="917"/>
      <c r="W138" s="917"/>
      <c r="X138" s="918"/>
      <c r="Y138" s="917"/>
      <c r="Z138" s="918"/>
      <c r="AA138" s="918"/>
      <c r="AB138" s="917"/>
      <c r="AC138" s="917"/>
      <c r="AD138" s="917"/>
      <c r="AE138" s="917"/>
      <c r="AF138" s="917"/>
      <c r="AG138" s="917"/>
      <c r="AK138" s="917">
        <f t="shared" si="40"/>
        <v>0</v>
      </c>
      <c r="AL138" s="917"/>
      <c r="AM138" s="917">
        <f ca="1"/>
        <v>0</v>
      </c>
      <c r="AN138" s="917">
        <f ca="1"/>
        <v>0</v>
      </c>
      <c r="AO138" s="917">
        <f t="shared" ca="1" si="41"/>
        <v>0</v>
      </c>
      <c r="AP138" s="917">
        <f t="shared" ca="1" si="42"/>
        <v>0</v>
      </c>
    </row>
    <row r="139" spans="1:42" ht="16">
      <c r="A139" s="30"/>
      <c r="B139" s="5"/>
      <c r="C139" s="30"/>
      <c r="D139" s="30"/>
      <c r="E139" s="5"/>
      <c r="F139" s="890"/>
      <c r="G139" s="935"/>
      <c r="H139" s="915"/>
      <c r="I139" s="915"/>
      <c r="J139" s="915"/>
      <c r="K139" s="916"/>
      <c r="L139" s="890"/>
      <c r="M139" s="890"/>
      <c r="N139" s="890"/>
      <c r="O139" s="917"/>
      <c r="P139" s="917"/>
      <c r="Q139" s="890"/>
      <c r="R139" s="890"/>
      <c r="S139" s="890"/>
      <c r="T139" s="890"/>
      <c r="U139" s="890"/>
      <c r="V139" s="917"/>
      <c r="W139" s="917"/>
      <c r="X139" s="918"/>
      <c r="Y139" s="917"/>
      <c r="Z139" s="918"/>
      <c r="AA139" s="918"/>
      <c r="AB139" s="917"/>
      <c r="AC139" s="917"/>
      <c r="AD139" s="917"/>
      <c r="AE139" s="917"/>
      <c r="AF139" s="917"/>
      <c r="AG139" s="917"/>
      <c r="AK139" s="917">
        <f t="shared" si="40"/>
        <v>0</v>
      </c>
      <c r="AL139" s="917"/>
      <c r="AM139" s="917">
        <f ca="1"/>
        <v>0</v>
      </c>
      <c r="AN139" s="917">
        <f ca="1"/>
        <v>0</v>
      </c>
      <c r="AO139" s="917">
        <f t="shared" ca="1" si="41"/>
        <v>0</v>
      </c>
      <c r="AP139" s="917">
        <f t="shared" ca="1" si="42"/>
        <v>0</v>
      </c>
    </row>
    <row r="140" spans="1:42" ht="16">
      <c r="A140" s="30"/>
      <c r="B140" s="5"/>
      <c r="C140" s="30"/>
      <c r="D140" s="30"/>
      <c r="E140" s="5"/>
      <c r="F140" s="890"/>
      <c r="G140" s="935"/>
      <c r="H140" s="915"/>
      <c r="I140" s="915"/>
      <c r="J140" s="915"/>
      <c r="K140" s="916"/>
      <c r="L140" s="890"/>
      <c r="M140" s="890"/>
      <c r="N140" s="890"/>
      <c r="O140" s="917"/>
      <c r="P140" s="917"/>
      <c r="Q140" s="890"/>
      <c r="R140" s="890"/>
      <c r="S140" s="890"/>
      <c r="T140" s="890"/>
      <c r="U140" s="890"/>
      <c r="V140" s="917"/>
      <c r="W140" s="917"/>
      <c r="X140" s="918"/>
      <c r="Y140" s="917"/>
      <c r="Z140" s="918"/>
      <c r="AA140" s="918"/>
      <c r="AB140" s="917"/>
      <c r="AC140" s="917"/>
      <c r="AD140" s="917"/>
      <c r="AE140" s="917"/>
      <c r="AF140" s="917"/>
      <c r="AG140" s="917"/>
      <c r="AK140" s="917">
        <f t="shared" si="40"/>
        <v>0</v>
      </c>
      <c r="AL140" s="917"/>
      <c r="AM140" s="917">
        <f ca="1"/>
        <v>0</v>
      </c>
      <c r="AN140" s="917">
        <f ca="1"/>
        <v>0</v>
      </c>
      <c r="AO140" s="917">
        <f t="shared" ca="1" si="41"/>
        <v>0</v>
      </c>
      <c r="AP140" s="917">
        <f t="shared" ca="1" si="42"/>
        <v>0</v>
      </c>
    </row>
    <row r="141" spans="1:42" ht="16">
      <c r="A141" s="30"/>
      <c r="B141" s="5"/>
      <c r="C141" s="30"/>
      <c r="D141" s="30"/>
      <c r="E141" s="5"/>
      <c r="F141" s="890"/>
      <c r="G141" s="935"/>
      <c r="H141" s="915"/>
      <c r="I141" s="915"/>
      <c r="J141" s="915"/>
      <c r="K141" s="916"/>
      <c r="L141" s="890"/>
      <c r="M141" s="890"/>
      <c r="N141" s="890"/>
      <c r="O141" s="917"/>
      <c r="P141" s="917"/>
      <c r="Q141" s="890"/>
      <c r="R141" s="890"/>
      <c r="S141" s="890"/>
      <c r="T141" s="890"/>
      <c r="U141" s="890"/>
      <c r="V141" s="917"/>
      <c r="W141" s="917"/>
      <c r="X141" s="918"/>
      <c r="Y141" s="917"/>
      <c r="Z141" s="918"/>
      <c r="AA141" s="918"/>
      <c r="AB141" s="917"/>
      <c r="AC141" s="917"/>
      <c r="AD141" s="917"/>
      <c r="AE141" s="917"/>
      <c r="AF141" s="917"/>
      <c r="AG141" s="917"/>
      <c r="AK141" s="917">
        <f t="shared" si="40"/>
        <v>0</v>
      </c>
      <c r="AL141" s="917"/>
      <c r="AM141" s="917">
        <f ca="1"/>
        <v>0</v>
      </c>
      <c r="AN141" s="917">
        <f ca="1"/>
        <v>0</v>
      </c>
      <c r="AO141" s="917">
        <f t="shared" ca="1" si="41"/>
        <v>0</v>
      </c>
      <c r="AP141" s="917">
        <f t="shared" ca="1" si="42"/>
        <v>0</v>
      </c>
    </row>
    <row r="142" spans="1:42" ht="16">
      <c r="A142" s="30"/>
      <c r="B142" s="5"/>
      <c r="C142" s="30"/>
      <c r="D142" s="30"/>
      <c r="E142" s="5"/>
      <c r="F142" s="890"/>
      <c r="G142" s="935"/>
      <c r="H142" s="915"/>
      <c r="I142" s="915"/>
      <c r="J142" s="915"/>
      <c r="K142" s="916"/>
      <c r="L142" s="890"/>
      <c r="M142" s="890"/>
      <c r="N142" s="890"/>
      <c r="O142" s="917"/>
      <c r="P142" s="917"/>
      <c r="Q142" s="890"/>
      <c r="R142" s="890"/>
      <c r="S142" s="890"/>
      <c r="T142" s="890"/>
      <c r="U142" s="890"/>
      <c r="V142" s="917"/>
      <c r="W142" s="917"/>
      <c r="X142" s="918"/>
      <c r="Y142" s="917"/>
      <c r="Z142" s="918"/>
      <c r="AA142" s="918"/>
      <c r="AB142" s="917"/>
      <c r="AC142" s="917"/>
      <c r="AD142" s="917"/>
      <c r="AE142" s="917"/>
      <c r="AF142" s="917"/>
      <c r="AG142" s="917"/>
      <c r="AK142" s="917">
        <f t="shared" si="40"/>
        <v>0</v>
      </c>
      <c r="AL142" s="917"/>
      <c r="AM142" s="917">
        <f ca="1"/>
        <v>0</v>
      </c>
      <c r="AN142" s="917">
        <f ca="1"/>
        <v>0</v>
      </c>
      <c r="AO142" s="917">
        <f t="shared" ca="1" si="41"/>
        <v>0</v>
      </c>
      <c r="AP142" s="917">
        <f t="shared" ca="1" si="42"/>
        <v>0</v>
      </c>
    </row>
    <row r="143" spans="1:42" ht="16">
      <c r="A143" s="30"/>
      <c r="B143" s="5"/>
      <c r="C143" s="30"/>
      <c r="D143" s="30"/>
      <c r="E143" s="5"/>
      <c r="F143" s="890"/>
      <c r="G143" s="935"/>
      <c r="H143" s="915"/>
      <c r="I143" s="915"/>
      <c r="J143" s="915"/>
      <c r="K143" s="916"/>
      <c r="L143" s="890"/>
      <c r="M143" s="890"/>
      <c r="N143" s="890"/>
      <c r="O143" s="917"/>
      <c r="P143" s="917"/>
      <c r="Q143" s="890"/>
      <c r="R143" s="890"/>
      <c r="S143" s="890"/>
      <c r="T143" s="890"/>
      <c r="U143" s="890"/>
      <c r="V143" s="917"/>
      <c r="W143" s="917"/>
      <c r="X143" s="918"/>
      <c r="Y143" s="917"/>
      <c r="Z143" s="918"/>
      <c r="AA143" s="918"/>
      <c r="AB143" s="917"/>
      <c r="AC143" s="917"/>
      <c r="AD143" s="917"/>
      <c r="AE143" s="917"/>
      <c r="AF143" s="917"/>
      <c r="AG143" s="917"/>
      <c r="AK143" s="917">
        <f t="shared" si="40"/>
        <v>0</v>
      </c>
      <c r="AL143" s="917"/>
      <c r="AM143" s="917">
        <f ca="1"/>
        <v>0</v>
      </c>
      <c r="AN143" s="917">
        <f ca="1"/>
        <v>0</v>
      </c>
      <c r="AO143" s="917">
        <f t="shared" ca="1" si="41"/>
        <v>0</v>
      </c>
      <c r="AP143" s="917">
        <f t="shared" ca="1" si="42"/>
        <v>0</v>
      </c>
    </row>
    <row r="144" spans="1:42" ht="16">
      <c r="A144" s="30"/>
      <c r="B144" s="5"/>
      <c r="C144" s="30"/>
      <c r="D144" s="30"/>
      <c r="E144" s="5"/>
      <c r="F144" s="890"/>
      <c r="G144" s="935"/>
      <c r="H144" s="915"/>
      <c r="I144" s="915"/>
      <c r="J144" s="915"/>
      <c r="K144" s="916"/>
      <c r="L144" s="890"/>
      <c r="M144" s="890"/>
      <c r="N144" s="890"/>
      <c r="O144" s="917"/>
      <c r="P144" s="917"/>
      <c r="Q144" s="890"/>
      <c r="R144" s="890"/>
      <c r="S144" s="890"/>
      <c r="T144" s="890"/>
      <c r="U144" s="890"/>
      <c r="V144" s="917"/>
      <c r="W144" s="917"/>
      <c r="X144" s="918"/>
      <c r="Y144" s="917"/>
      <c r="Z144" s="918"/>
      <c r="AA144" s="918"/>
      <c r="AB144" s="917"/>
      <c r="AC144" s="917"/>
      <c r="AD144" s="917"/>
      <c r="AE144" s="917"/>
      <c r="AF144" s="917"/>
      <c r="AG144" s="917"/>
      <c r="AK144" s="917">
        <f t="shared" si="40"/>
        <v>0</v>
      </c>
      <c r="AL144" s="917"/>
      <c r="AM144" s="917">
        <f ca="1"/>
        <v>0</v>
      </c>
      <c r="AN144" s="917">
        <f ca="1"/>
        <v>0</v>
      </c>
      <c r="AO144" s="917">
        <f t="shared" ca="1" si="41"/>
        <v>0</v>
      </c>
      <c r="AP144" s="917">
        <f t="shared" ca="1" si="42"/>
        <v>0</v>
      </c>
    </row>
    <row r="145" spans="1:42" ht="16">
      <c r="A145" s="30"/>
      <c r="B145" s="5"/>
      <c r="C145" s="30"/>
      <c r="D145" s="30"/>
      <c r="E145" s="5"/>
      <c r="F145" s="890"/>
      <c r="G145" s="935"/>
      <c r="H145" s="915"/>
      <c r="I145" s="915"/>
      <c r="J145" s="915"/>
      <c r="K145" s="916"/>
      <c r="L145" s="890"/>
      <c r="M145" s="890"/>
      <c r="N145" s="890"/>
      <c r="O145" s="917"/>
      <c r="P145" s="917"/>
      <c r="Q145" s="890"/>
      <c r="R145" s="890"/>
      <c r="S145" s="890"/>
      <c r="T145" s="890"/>
      <c r="U145" s="890"/>
      <c r="V145" s="917"/>
      <c r="W145" s="917"/>
      <c r="X145" s="918"/>
      <c r="Y145" s="917"/>
      <c r="Z145" s="918"/>
      <c r="AA145" s="918"/>
      <c r="AB145" s="917"/>
      <c r="AC145" s="917"/>
      <c r="AD145" s="917"/>
      <c r="AE145" s="917"/>
      <c r="AF145" s="917"/>
      <c r="AG145" s="917"/>
      <c r="AK145" s="917">
        <f t="shared" si="40"/>
        <v>0</v>
      </c>
      <c r="AL145" s="917"/>
      <c r="AM145" s="917">
        <f ca="1"/>
        <v>0</v>
      </c>
      <c r="AN145" s="917">
        <f ca="1"/>
        <v>0</v>
      </c>
      <c r="AO145" s="917">
        <f t="shared" ca="1" si="41"/>
        <v>0</v>
      </c>
      <c r="AP145" s="917">
        <f t="shared" ca="1" si="42"/>
        <v>0</v>
      </c>
    </row>
    <row r="146" spans="1:42" ht="16">
      <c r="A146" s="30"/>
      <c r="B146" s="5"/>
      <c r="C146" s="30"/>
      <c r="D146" s="30"/>
      <c r="E146" s="5"/>
      <c r="F146" s="890"/>
      <c r="G146" s="935"/>
      <c r="H146" s="915"/>
      <c r="I146" s="915"/>
      <c r="J146" s="915"/>
      <c r="K146" s="916"/>
      <c r="L146" s="890"/>
      <c r="M146" s="890"/>
      <c r="N146" s="890"/>
      <c r="O146" s="917"/>
      <c r="P146" s="917"/>
      <c r="Q146" s="890"/>
      <c r="R146" s="890"/>
      <c r="S146" s="890"/>
      <c r="T146" s="890"/>
      <c r="U146" s="890"/>
      <c r="V146" s="917"/>
      <c r="W146" s="917"/>
      <c r="X146" s="918"/>
      <c r="Y146" s="917"/>
      <c r="Z146" s="918"/>
      <c r="AA146" s="918"/>
      <c r="AB146" s="917"/>
      <c r="AC146" s="917"/>
      <c r="AD146" s="917"/>
      <c r="AE146" s="917"/>
      <c r="AF146" s="917"/>
      <c r="AG146" s="917"/>
      <c r="AK146" s="917">
        <f t="shared" si="40"/>
        <v>0</v>
      </c>
      <c r="AL146" s="917"/>
      <c r="AM146" s="917">
        <f ca="1"/>
        <v>0</v>
      </c>
      <c r="AN146" s="917">
        <f ca="1"/>
        <v>0</v>
      </c>
      <c r="AO146" s="917">
        <f t="shared" ca="1" si="41"/>
        <v>0</v>
      </c>
      <c r="AP146" s="917">
        <f t="shared" ca="1" si="42"/>
        <v>0</v>
      </c>
    </row>
    <row r="147" spans="1:42" ht="16">
      <c r="A147" s="30"/>
      <c r="B147" s="5"/>
      <c r="C147" s="30"/>
      <c r="D147" s="30"/>
      <c r="E147" s="5"/>
      <c r="F147" s="890"/>
      <c r="G147" s="935"/>
      <c r="H147" s="915"/>
      <c r="I147" s="915"/>
      <c r="J147" s="915"/>
      <c r="K147" s="916"/>
      <c r="L147" s="890"/>
      <c r="M147" s="890"/>
      <c r="N147" s="890"/>
      <c r="O147" s="917"/>
      <c r="P147" s="917"/>
      <c r="Q147" s="890"/>
      <c r="R147" s="890"/>
      <c r="S147" s="890"/>
      <c r="T147" s="890"/>
      <c r="U147" s="890"/>
      <c r="V147" s="917"/>
      <c r="W147" s="917"/>
      <c r="X147" s="918"/>
      <c r="Y147" s="917"/>
      <c r="Z147" s="918"/>
      <c r="AA147" s="918"/>
      <c r="AB147" s="917"/>
      <c r="AC147" s="917"/>
      <c r="AD147" s="917"/>
      <c r="AE147" s="917"/>
      <c r="AF147" s="917"/>
      <c r="AG147" s="917"/>
      <c r="AK147" s="917">
        <f t="shared" si="40"/>
        <v>0</v>
      </c>
      <c r="AL147" s="917"/>
      <c r="AM147" s="917">
        <f ca="1"/>
        <v>0</v>
      </c>
      <c r="AN147" s="917">
        <f ca="1"/>
        <v>0</v>
      </c>
      <c r="AO147" s="917">
        <f t="shared" ca="1" si="41"/>
        <v>0</v>
      </c>
      <c r="AP147" s="917">
        <f t="shared" ca="1" si="42"/>
        <v>0</v>
      </c>
    </row>
    <row r="148" spans="1:42" ht="16">
      <c r="A148" s="30"/>
      <c r="B148" s="5"/>
      <c r="C148" s="30"/>
      <c r="D148" s="30"/>
      <c r="E148" s="5"/>
      <c r="F148" s="890"/>
      <c r="G148" s="935"/>
      <c r="H148" s="915"/>
      <c r="I148" s="915"/>
      <c r="J148" s="915"/>
      <c r="K148" s="916"/>
      <c r="L148" s="890"/>
      <c r="M148" s="890"/>
      <c r="N148" s="890"/>
      <c r="O148" s="917"/>
      <c r="P148" s="917"/>
      <c r="Q148" s="890"/>
      <c r="R148" s="890"/>
      <c r="S148" s="890"/>
      <c r="T148" s="890"/>
      <c r="U148" s="890"/>
      <c r="V148" s="917"/>
      <c r="W148" s="917"/>
      <c r="X148" s="918"/>
      <c r="Y148" s="917"/>
      <c r="Z148" s="918"/>
      <c r="AA148" s="918"/>
      <c r="AB148" s="917"/>
      <c r="AC148" s="917"/>
      <c r="AD148" s="917"/>
      <c r="AE148" s="917"/>
      <c r="AF148" s="917"/>
      <c r="AG148" s="917"/>
      <c r="AK148" s="917">
        <f t="shared" si="40"/>
        <v>0</v>
      </c>
      <c r="AL148" s="917"/>
      <c r="AM148" s="917">
        <f ca="1"/>
        <v>0</v>
      </c>
      <c r="AN148" s="917">
        <f ca="1"/>
        <v>0</v>
      </c>
      <c r="AO148" s="917">
        <f t="shared" ca="1" si="41"/>
        <v>0</v>
      </c>
      <c r="AP148" s="917">
        <f t="shared" ca="1" si="42"/>
        <v>0</v>
      </c>
    </row>
    <row r="149" spans="1:42" ht="16">
      <c r="A149" s="30"/>
      <c r="B149" s="5"/>
      <c r="C149" s="30"/>
      <c r="D149" s="30"/>
      <c r="E149" s="5"/>
      <c r="F149" s="890"/>
      <c r="G149" s="935"/>
      <c r="H149" s="915"/>
      <c r="I149" s="915"/>
      <c r="J149" s="915"/>
      <c r="K149" s="916"/>
      <c r="L149" s="890"/>
      <c r="M149" s="890"/>
      <c r="N149" s="890"/>
      <c r="O149" s="917"/>
      <c r="P149" s="917"/>
      <c r="Q149" s="890"/>
      <c r="R149" s="890"/>
      <c r="S149" s="890"/>
      <c r="T149" s="890"/>
      <c r="U149" s="890"/>
      <c r="V149" s="917"/>
      <c r="W149" s="917"/>
      <c r="X149" s="918"/>
      <c r="Y149" s="917"/>
      <c r="Z149" s="918"/>
      <c r="AA149" s="918"/>
      <c r="AB149" s="917"/>
      <c r="AC149" s="917"/>
      <c r="AD149" s="917"/>
      <c r="AE149" s="917"/>
      <c r="AF149" s="917"/>
      <c r="AG149" s="917"/>
      <c r="AK149" s="917">
        <f t="shared" si="40"/>
        <v>0</v>
      </c>
      <c r="AL149" s="917"/>
      <c r="AM149" s="917">
        <f ca="1"/>
        <v>0</v>
      </c>
      <c r="AN149" s="917">
        <f ca="1"/>
        <v>0</v>
      </c>
      <c r="AO149" s="917">
        <f t="shared" ca="1" si="41"/>
        <v>0</v>
      </c>
      <c r="AP149" s="917">
        <f t="shared" ca="1" si="42"/>
        <v>0</v>
      </c>
    </row>
    <row r="150" spans="1:42" ht="16">
      <c r="A150" s="30"/>
      <c r="B150" s="5"/>
      <c r="C150" s="30"/>
      <c r="D150" s="30"/>
      <c r="E150" s="5"/>
      <c r="F150" s="890"/>
      <c r="G150" s="935"/>
      <c r="H150" s="915"/>
      <c r="I150" s="915"/>
      <c r="J150" s="915"/>
      <c r="K150" s="916"/>
      <c r="L150" s="890"/>
      <c r="M150" s="890"/>
      <c r="N150" s="890"/>
      <c r="O150" s="917"/>
      <c r="P150" s="917"/>
      <c r="Q150" s="890"/>
      <c r="R150" s="890"/>
      <c r="S150" s="890"/>
      <c r="T150" s="890"/>
      <c r="U150" s="890"/>
      <c r="V150" s="917"/>
      <c r="W150" s="917"/>
      <c r="X150" s="918"/>
      <c r="Y150" s="917"/>
      <c r="Z150" s="918"/>
      <c r="AA150" s="918"/>
      <c r="AB150" s="917"/>
      <c r="AC150" s="917"/>
      <c r="AD150" s="917"/>
      <c r="AE150" s="917"/>
      <c r="AF150" s="917"/>
      <c r="AG150" s="917"/>
      <c r="AK150" s="917">
        <f t="shared" si="40"/>
        <v>0</v>
      </c>
      <c r="AL150" s="917"/>
      <c r="AM150" s="917">
        <f ca="1"/>
        <v>0</v>
      </c>
      <c r="AN150" s="917">
        <f ca="1"/>
        <v>0</v>
      </c>
      <c r="AO150" s="917">
        <f t="shared" ca="1" si="41"/>
        <v>0</v>
      </c>
      <c r="AP150" s="917">
        <f t="shared" ca="1" si="42"/>
        <v>0</v>
      </c>
    </row>
    <row r="151" spans="1:42" ht="16">
      <c r="A151" s="30"/>
      <c r="B151" s="5"/>
      <c r="C151" s="30"/>
      <c r="D151" s="30"/>
      <c r="E151" s="5"/>
      <c r="F151" s="890"/>
      <c r="G151" s="935"/>
      <c r="H151" s="915"/>
      <c r="I151" s="915"/>
      <c r="J151" s="915"/>
      <c r="K151" s="916"/>
      <c r="L151" s="890"/>
      <c r="M151" s="890"/>
      <c r="N151" s="890"/>
      <c r="O151" s="917"/>
      <c r="P151" s="917"/>
      <c r="Q151" s="890"/>
      <c r="R151" s="890"/>
      <c r="S151" s="890"/>
      <c r="T151" s="890"/>
      <c r="U151" s="890"/>
      <c r="V151" s="917"/>
      <c r="W151" s="917"/>
      <c r="X151" s="918"/>
      <c r="Y151" s="917"/>
      <c r="Z151" s="918"/>
      <c r="AA151" s="918"/>
      <c r="AB151" s="917"/>
      <c r="AC151" s="917"/>
      <c r="AD151" s="917"/>
      <c r="AE151" s="917"/>
      <c r="AF151" s="917"/>
      <c r="AG151" s="917"/>
      <c r="AK151" s="917">
        <f t="shared" si="40"/>
        <v>0</v>
      </c>
      <c r="AL151" s="917"/>
      <c r="AM151" s="917">
        <f ca="1"/>
        <v>0</v>
      </c>
      <c r="AN151" s="917">
        <f ca="1"/>
        <v>0</v>
      </c>
      <c r="AO151" s="917">
        <f t="shared" ca="1" si="41"/>
        <v>0</v>
      </c>
      <c r="AP151" s="917">
        <f t="shared" ca="1" si="42"/>
        <v>0</v>
      </c>
    </row>
    <row r="152" spans="1:42" ht="16">
      <c r="A152" s="30"/>
      <c r="B152" s="5"/>
      <c r="C152" s="30"/>
      <c r="D152" s="30"/>
      <c r="E152" s="5"/>
      <c r="F152" s="890"/>
      <c r="G152" s="935"/>
      <c r="H152" s="915"/>
      <c r="I152" s="915"/>
      <c r="J152" s="915"/>
      <c r="K152" s="916"/>
      <c r="L152" s="890"/>
      <c r="M152" s="890"/>
      <c r="N152" s="890"/>
      <c r="O152" s="917"/>
      <c r="P152" s="917"/>
      <c r="Q152" s="890"/>
      <c r="R152" s="890"/>
      <c r="S152" s="890"/>
      <c r="T152" s="890"/>
      <c r="U152" s="890"/>
      <c r="V152" s="917"/>
      <c r="W152" s="917"/>
      <c r="X152" s="918"/>
      <c r="Y152" s="917"/>
      <c r="Z152" s="918"/>
      <c r="AA152" s="918"/>
      <c r="AB152" s="917"/>
      <c r="AC152" s="917"/>
      <c r="AD152" s="917"/>
      <c r="AE152" s="917"/>
      <c r="AF152" s="917"/>
      <c r="AG152" s="917"/>
      <c r="AK152" s="917">
        <f t="shared" si="40"/>
        <v>0</v>
      </c>
      <c r="AL152" s="917"/>
      <c r="AM152" s="917">
        <f ca="1"/>
        <v>0</v>
      </c>
      <c r="AN152" s="917">
        <f ca="1"/>
        <v>0</v>
      </c>
      <c r="AO152" s="917">
        <f t="shared" ca="1" si="41"/>
        <v>0</v>
      </c>
      <c r="AP152" s="917">
        <f t="shared" ca="1" si="42"/>
        <v>0</v>
      </c>
    </row>
    <row r="153" spans="1:42" ht="16">
      <c r="A153" s="30"/>
      <c r="B153" s="5"/>
      <c r="C153" s="30"/>
      <c r="D153" s="30"/>
      <c r="E153" s="5"/>
      <c r="F153" s="890"/>
      <c r="G153" s="935"/>
      <c r="H153" s="915"/>
      <c r="I153" s="915"/>
      <c r="J153" s="915"/>
      <c r="K153" s="916"/>
      <c r="L153" s="890"/>
      <c r="M153" s="890"/>
      <c r="N153" s="890"/>
      <c r="O153" s="917"/>
      <c r="P153" s="917"/>
      <c r="Q153" s="890"/>
      <c r="R153" s="890"/>
      <c r="S153" s="890"/>
      <c r="T153" s="890"/>
      <c r="U153" s="890"/>
      <c r="V153" s="917"/>
      <c r="W153" s="917"/>
      <c r="X153" s="918"/>
      <c r="Y153" s="917"/>
      <c r="Z153" s="918"/>
      <c r="AA153" s="918"/>
      <c r="AB153" s="917"/>
      <c r="AC153" s="917"/>
      <c r="AD153" s="917"/>
      <c r="AE153" s="917"/>
      <c r="AF153" s="917"/>
      <c r="AG153" s="917"/>
      <c r="AK153" s="917">
        <f t="shared" si="40"/>
        <v>0</v>
      </c>
      <c r="AL153" s="917"/>
      <c r="AM153" s="917">
        <f ca="1"/>
        <v>0</v>
      </c>
      <c r="AN153" s="917">
        <f ca="1"/>
        <v>0</v>
      </c>
      <c r="AO153" s="917">
        <f t="shared" ca="1" si="41"/>
        <v>0</v>
      </c>
      <c r="AP153" s="917">
        <f t="shared" ca="1" si="42"/>
        <v>0</v>
      </c>
    </row>
    <row r="154" spans="1:42" ht="16">
      <c r="A154" s="30"/>
      <c r="B154" s="5"/>
      <c r="C154" s="30"/>
      <c r="D154" s="30"/>
      <c r="E154" s="5"/>
      <c r="F154" s="890"/>
      <c r="G154" s="935"/>
      <c r="H154" s="915"/>
      <c r="I154" s="915"/>
      <c r="J154" s="915"/>
      <c r="K154" s="916"/>
      <c r="L154" s="890"/>
      <c r="M154" s="890"/>
      <c r="N154" s="890"/>
      <c r="O154" s="917"/>
      <c r="P154" s="917"/>
      <c r="Q154" s="890"/>
      <c r="R154" s="890"/>
      <c r="S154" s="890"/>
      <c r="T154" s="890"/>
      <c r="U154" s="890"/>
      <c r="V154" s="917"/>
      <c r="W154" s="917"/>
      <c r="X154" s="918"/>
      <c r="Y154" s="917"/>
      <c r="Z154" s="918"/>
      <c r="AA154" s="918"/>
      <c r="AB154" s="917"/>
      <c r="AC154" s="917"/>
      <c r="AD154" s="917"/>
      <c r="AE154" s="917"/>
      <c r="AF154" s="917"/>
      <c r="AG154" s="917"/>
      <c r="AK154" s="917">
        <f t="shared" si="40"/>
        <v>0</v>
      </c>
      <c r="AL154" s="917"/>
      <c r="AM154" s="917">
        <f ca="1"/>
        <v>0</v>
      </c>
      <c r="AN154" s="917">
        <f ca="1"/>
        <v>0</v>
      </c>
      <c r="AO154" s="917">
        <f t="shared" ca="1" si="41"/>
        <v>0</v>
      </c>
      <c r="AP154" s="917">
        <f t="shared" ca="1" si="42"/>
        <v>0</v>
      </c>
    </row>
    <row r="155" spans="1:42" ht="16">
      <c r="A155" s="30"/>
      <c r="B155" s="5"/>
      <c r="C155" s="30"/>
      <c r="D155" s="30"/>
      <c r="E155" s="5"/>
      <c r="F155" s="890"/>
      <c r="G155" s="935"/>
      <c r="H155" s="915"/>
      <c r="I155" s="915"/>
      <c r="J155" s="915"/>
      <c r="K155" s="916"/>
      <c r="L155" s="890"/>
      <c r="M155" s="890"/>
      <c r="N155" s="890"/>
      <c r="O155" s="917"/>
      <c r="P155" s="917"/>
      <c r="Q155" s="890"/>
      <c r="R155" s="890"/>
      <c r="S155" s="890"/>
      <c r="T155" s="890"/>
      <c r="U155" s="890"/>
      <c r="V155" s="917"/>
      <c r="W155" s="917"/>
      <c r="X155" s="918"/>
      <c r="Y155" s="917"/>
      <c r="Z155" s="918"/>
      <c r="AA155" s="918"/>
      <c r="AB155" s="917"/>
      <c r="AC155" s="917"/>
      <c r="AD155" s="917"/>
      <c r="AE155" s="917"/>
      <c r="AF155" s="917"/>
      <c r="AG155" s="917"/>
      <c r="AK155" s="917">
        <f t="shared" si="40"/>
        <v>0</v>
      </c>
      <c r="AL155" s="917"/>
      <c r="AM155" s="917">
        <f ca="1"/>
        <v>0</v>
      </c>
      <c r="AN155" s="917">
        <f ca="1"/>
        <v>0</v>
      </c>
      <c r="AO155" s="917">
        <f t="shared" ca="1" si="41"/>
        <v>0</v>
      </c>
      <c r="AP155" s="917">
        <f t="shared" ca="1" si="42"/>
        <v>0</v>
      </c>
    </row>
    <row r="156" spans="1:42" ht="16">
      <c r="A156" s="30"/>
      <c r="B156" s="5"/>
      <c r="C156" s="30"/>
      <c r="D156" s="30"/>
      <c r="E156" s="5"/>
      <c r="F156" s="890"/>
      <c r="G156" s="935"/>
      <c r="H156" s="915"/>
      <c r="I156" s="915"/>
      <c r="J156" s="915"/>
      <c r="K156" s="916"/>
      <c r="L156" s="890"/>
      <c r="M156" s="890"/>
      <c r="N156" s="890"/>
      <c r="O156" s="917"/>
      <c r="P156" s="917"/>
      <c r="Q156" s="890"/>
      <c r="R156" s="890"/>
      <c r="S156" s="890"/>
      <c r="T156" s="890"/>
      <c r="U156" s="890"/>
      <c r="V156" s="917"/>
      <c r="W156" s="917"/>
      <c r="X156" s="918"/>
      <c r="Y156" s="917"/>
      <c r="Z156" s="918"/>
      <c r="AA156" s="918"/>
      <c r="AB156" s="917"/>
      <c r="AC156" s="917"/>
      <c r="AD156" s="917"/>
      <c r="AE156" s="917"/>
      <c r="AF156" s="917"/>
      <c r="AG156" s="917"/>
      <c r="AK156" s="917">
        <f t="shared" si="40"/>
        <v>0</v>
      </c>
      <c r="AL156" s="917"/>
      <c r="AM156" s="917">
        <f ca="1"/>
        <v>0</v>
      </c>
      <c r="AN156" s="917">
        <f ca="1"/>
        <v>0</v>
      </c>
      <c r="AO156" s="917">
        <f t="shared" ca="1" si="41"/>
        <v>0</v>
      </c>
      <c r="AP156" s="917">
        <f t="shared" ca="1" si="42"/>
        <v>0</v>
      </c>
    </row>
    <row r="157" spans="1:42" ht="16">
      <c r="A157" s="30"/>
      <c r="B157" s="5"/>
      <c r="C157" s="30"/>
      <c r="D157" s="30"/>
      <c r="E157" s="5"/>
      <c r="F157" s="890"/>
      <c r="G157" s="935"/>
      <c r="H157" s="915"/>
      <c r="I157" s="915"/>
      <c r="J157" s="915"/>
      <c r="K157" s="916"/>
      <c r="L157" s="890"/>
      <c r="M157" s="890"/>
      <c r="N157" s="890"/>
      <c r="O157" s="917"/>
      <c r="P157" s="917"/>
      <c r="Q157" s="890"/>
      <c r="R157" s="890"/>
      <c r="S157" s="890"/>
      <c r="T157" s="890"/>
      <c r="U157" s="890"/>
      <c r="V157" s="917"/>
      <c r="W157" s="917"/>
      <c r="X157" s="918"/>
      <c r="Y157" s="917"/>
      <c r="Z157" s="918"/>
      <c r="AA157" s="918"/>
      <c r="AB157" s="917"/>
      <c r="AC157" s="917"/>
      <c r="AD157" s="917"/>
      <c r="AE157" s="917"/>
      <c r="AF157" s="917"/>
      <c r="AG157" s="917"/>
      <c r="AK157" s="917">
        <f t="shared" si="40"/>
        <v>0</v>
      </c>
      <c r="AL157" s="917"/>
      <c r="AM157" s="917">
        <f ca="1"/>
        <v>0</v>
      </c>
      <c r="AN157" s="917">
        <f ca="1"/>
        <v>0</v>
      </c>
      <c r="AO157" s="917">
        <f t="shared" ca="1" si="41"/>
        <v>0</v>
      </c>
      <c r="AP157" s="917">
        <f t="shared" ca="1" si="42"/>
        <v>0</v>
      </c>
    </row>
    <row r="158" spans="1:42" ht="16">
      <c r="A158" s="30"/>
      <c r="B158" s="5"/>
      <c r="C158" s="30"/>
      <c r="D158" s="30"/>
      <c r="E158" s="5"/>
      <c r="F158" s="890"/>
      <c r="G158" s="935"/>
      <c r="H158" s="915"/>
      <c r="I158" s="915"/>
      <c r="J158" s="915"/>
      <c r="K158" s="916"/>
      <c r="L158" s="890"/>
      <c r="M158" s="890"/>
      <c r="N158" s="890"/>
      <c r="O158" s="917"/>
      <c r="P158" s="917"/>
      <c r="Q158" s="890"/>
      <c r="R158" s="890"/>
      <c r="S158" s="890"/>
      <c r="T158" s="890"/>
      <c r="U158" s="890"/>
      <c r="V158" s="917"/>
      <c r="W158" s="917"/>
      <c r="X158" s="918"/>
      <c r="Y158" s="917"/>
      <c r="Z158" s="918"/>
      <c r="AA158" s="918"/>
      <c r="AB158" s="917"/>
      <c r="AC158" s="917"/>
      <c r="AD158" s="917"/>
      <c r="AE158" s="917"/>
      <c r="AF158" s="917"/>
      <c r="AG158" s="917"/>
      <c r="AK158" s="917">
        <f t="shared" si="40"/>
        <v>0</v>
      </c>
      <c r="AL158" s="917"/>
      <c r="AM158" s="917">
        <f ca="1"/>
        <v>0</v>
      </c>
      <c r="AN158" s="917">
        <f ca="1"/>
        <v>0</v>
      </c>
      <c r="AO158" s="917">
        <f t="shared" ca="1" si="41"/>
        <v>0</v>
      </c>
      <c r="AP158" s="917">
        <f t="shared" ca="1" si="42"/>
        <v>0</v>
      </c>
    </row>
    <row r="159" spans="1:42" ht="16">
      <c r="A159" s="30"/>
      <c r="B159" s="5"/>
      <c r="C159" s="30"/>
      <c r="D159" s="30"/>
      <c r="E159" s="5"/>
      <c r="F159" s="890"/>
      <c r="G159" s="935"/>
      <c r="H159" s="915"/>
      <c r="I159" s="915"/>
      <c r="J159" s="915"/>
      <c r="K159" s="916"/>
      <c r="L159" s="890"/>
      <c r="M159" s="890"/>
      <c r="N159" s="890"/>
      <c r="O159" s="917"/>
      <c r="P159" s="917"/>
      <c r="Q159" s="890"/>
      <c r="R159" s="890"/>
      <c r="S159" s="890"/>
      <c r="T159" s="890"/>
      <c r="U159" s="890"/>
      <c r="V159" s="917"/>
      <c r="W159" s="917"/>
      <c r="X159" s="918"/>
      <c r="Y159" s="917"/>
      <c r="Z159" s="918"/>
      <c r="AA159" s="918"/>
      <c r="AB159" s="917"/>
      <c r="AC159" s="917"/>
      <c r="AD159" s="917"/>
      <c r="AE159" s="917"/>
      <c r="AF159" s="917"/>
      <c r="AG159" s="917"/>
      <c r="AK159" s="917">
        <f t="shared" si="40"/>
        <v>0</v>
      </c>
      <c r="AL159" s="917"/>
      <c r="AM159" s="917">
        <f ca="1"/>
        <v>0</v>
      </c>
      <c r="AN159" s="917">
        <f ca="1"/>
        <v>0</v>
      </c>
      <c r="AO159" s="917">
        <f t="shared" ca="1" si="41"/>
        <v>0</v>
      </c>
      <c r="AP159" s="917">
        <f t="shared" ca="1" si="42"/>
        <v>0</v>
      </c>
    </row>
    <row r="160" spans="1:42" ht="16">
      <c r="A160" s="30"/>
      <c r="B160" s="5"/>
      <c r="C160" s="30"/>
      <c r="D160" s="30"/>
      <c r="E160" s="5"/>
      <c r="F160" s="890"/>
      <c r="G160" s="935"/>
      <c r="H160" s="915"/>
      <c r="I160" s="915"/>
      <c r="J160" s="915"/>
      <c r="K160" s="916"/>
      <c r="L160" s="890"/>
      <c r="M160" s="890"/>
      <c r="N160" s="890"/>
      <c r="O160" s="917"/>
      <c r="P160" s="917"/>
      <c r="Q160" s="890"/>
      <c r="R160" s="890"/>
      <c r="S160" s="890"/>
      <c r="T160" s="890"/>
      <c r="U160" s="890"/>
      <c r="V160" s="917"/>
      <c r="W160" s="917"/>
      <c r="X160" s="918"/>
      <c r="Y160" s="917"/>
      <c r="Z160" s="918"/>
      <c r="AA160" s="918"/>
      <c r="AB160" s="917"/>
      <c r="AC160" s="917"/>
      <c r="AD160" s="917"/>
      <c r="AE160" s="917"/>
      <c r="AF160" s="917"/>
      <c r="AG160" s="917"/>
      <c r="AK160" s="917">
        <f t="shared" si="40"/>
        <v>0</v>
      </c>
      <c r="AL160" s="917"/>
      <c r="AM160" s="917">
        <f ca="1"/>
        <v>0</v>
      </c>
      <c r="AN160" s="917">
        <f ca="1"/>
        <v>0</v>
      </c>
      <c r="AO160" s="917">
        <f t="shared" ca="1" si="41"/>
        <v>0</v>
      </c>
      <c r="AP160" s="917">
        <f t="shared" ca="1" si="42"/>
        <v>0</v>
      </c>
    </row>
    <row r="161" spans="1:42" ht="16">
      <c r="A161" s="30"/>
      <c r="B161" s="5"/>
      <c r="C161" s="30"/>
      <c r="D161" s="30"/>
      <c r="E161" s="5"/>
      <c r="F161" s="890"/>
      <c r="G161" s="935"/>
      <c r="H161" s="915"/>
      <c r="I161" s="915"/>
      <c r="J161" s="915"/>
      <c r="K161" s="916"/>
      <c r="L161" s="890"/>
      <c r="M161" s="890"/>
      <c r="N161" s="890"/>
      <c r="O161" s="917"/>
      <c r="P161" s="917"/>
      <c r="Q161" s="890"/>
      <c r="R161" s="890"/>
      <c r="S161" s="890"/>
      <c r="T161" s="890"/>
      <c r="U161" s="890"/>
      <c r="V161" s="917"/>
      <c r="W161" s="917"/>
      <c r="X161" s="918"/>
      <c r="Y161" s="917"/>
      <c r="Z161" s="918"/>
      <c r="AA161" s="918"/>
      <c r="AB161" s="917"/>
      <c r="AC161" s="917"/>
      <c r="AD161" s="917"/>
      <c r="AE161" s="917"/>
      <c r="AF161" s="917"/>
      <c r="AG161" s="917"/>
      <c r="AK161" s="917">
        <f t="shared" si="40"/>
        <v>0</v>
      </c>
      <c r="AL161" s="917"/>
      <c r="AM161" s="917">
        <f ca="1"/>
        <v>0</v>
      </c>
      <c r="AN161" s="917">
        <f ca="1"/>
        <v>0</v>
      </c>
      <c r="AO161" s="917">
        <f t="shared" ca="1" si="41"/>
        <v>0</v>
      </c>
      <c r="AP161" s="917">
        <f t="shared" ca="1" si="42"/>
        <v>0</v>
      </c>
    </row>
    <row r="162" spans="1:42" ht="16">
      <c r="A162" s="30"/>
      <c r="B162" s="5"/>
      <c r="C162" s="30"/>
      <c r="D162" s="30"/>
      <c r="E162" s="5"/>
      <c r="F162" s="890"/>
      <c r="G162" s="935"/>
      <c r="H162" s="915"/>
      <c r="I162" s="915"/>
      <c r="J162" s="915"/>
      <c r="K162" s="916"/>
      <c r="L162" s="890"/>
      <c r="M162" s="890"/>
      <c r="N162" s="890"/>
      <c r="O162" s="917"/>
      <c r="P162" s="917"/>
      <c r="Q162" s="890"/>
      <c r="R162" s="890"/>
      <c r="S162" s="890"/>
      <c r="T162" s="890"/>
      <c r="U162" s="890"/>
      <c r="V162" s="917"/>
      <c r="W162" s="917"/>
      <c r="X162" s="918"/>
      <c r="Y162" s="917"/>
      <c r="Z162" s="918"/>
      <c r="AA162" s="918"/>
      <c r="AB162" s="917"/>
      <c r="AC162" s="917"/>
      <c r="AD162" s="917"/>
      <c r="AE162" s="917"/>
      <c r="AF162" s="917"/>
      <c r="AG162" s="917"/>
      <c r="AK162" s="917">
        <f t="shared" si="40"/>
        <v>0</v>
      </c>
      <c r="AL162" s="917"/>
      <c r="AM162" s="917">
        <f ca="1"/>
        <v>0</v>
      </c>
      <c r="AN162" s="917">
        <f ca="1"/>
        <v>0</v>
      </c>
      <c r="AO162" s="917">
        <f t="shared" ca="1" si="41"/>
        <v>0</v>
      </c>
      <c r="AP162" s="917">
        <f t="shared" ca="1" si="42"/>
        <v>0</v>
      </c>
    </row>
    <row r="163" spans="1:42" ht="16">
      <c r="A163" s="30"/>
      <c r="B163" s="5"/>
      <c r="C163" s="30"/>
      <c r="D163" s="30"/>
      <c r="E163" s="5"/>
      <c r="F163" s="890"/>
      <c r="G163" s="935"/>
      <c r="H163" s="915"/>
      <c r="I163" s="915"/>
      <c r="J163" s="915"/>
      <c r="K163" s="916"/>
      <c r="L163" s="890"/>
      <c r="M163" s="890"/>
      <c r="N163" s="890"/>
      <c r="O163" s="917"/>
      <c r="P163" s="917"/>
      <c r="Q163" s="890"/>
      <c r="R163" s="890"/>
      <c r="S163" s="890"/>
      <c r="T163" s="890"/>
      <c r="U163" s="890"/>
      <c r="V163" s="917"/>
      <c r="W163" s="917"/>
      <c r="X163" s="918"/>
      <c r="Y163" s="917"/>
      <c r="Z163" s="918"/>
      <c r="AA163" s="918"/>
      <c r="AB163" s="917"/>
      <c r="AC163" s="917"/>
      <c r="AD163" s="917"/>
      <c r="AE163" s="917"/>
      <c r="AF163" s="917"/>
      <c r="AG163" s="917"/>
      <c r="AK163" s="917">
        <f t="shared" si="40"/>
        <v>0</v>
      </c>
      <c r="AL163" s="917"/>
      <c r="AM163" s="917">
        <f ca="1"/>
        <v>0</v>
      </c>
      <c r="AN163" s="917">
        <f ca="1"/>
        <v>0</v>
      </c>
      <c r="AO163" s="917">
        <f t="shared" ca="1" si="41"/>
        <v>0</v>
      </c>
      <c r="AP163" s="917">
        <f t="shared" ca="1" si="42"/>
        <v>0</v>
      </c>
    </row>
    <row r="164" spans="1:42" ht="16">
      <c r="A164" s="30"/>
      <c r="B164" s="5"/>
      <c r="C164" s="30"/>
      <c r="D164" s="30"/>
      <c r="E164" s="5"/>
      <c r="F164" s="890"/>
      <c r="G164" s="935"/>
      <c r="H164" s="915"/>
      <c r="I164" s="915"/>
      <c r="J164" s="915"/>
      <c r="K164" s="916"/>
      <c r="L164" s="890"/>
      <c r="M164" s="890"/>
      <c r="N164" s="890"/>
      <c r="O164" s="917"/>
      <c r="P164" s="917"/>
      <c r="Q164" s="890"/>
      <c r="R164" s="890"/>
      <c r="S164" s="890"/>
      <c r="T164" s="890"/>
      <c r="U164" s="890"/>
      <c r="V164" s="917"/>
      <c r="W164" s="917"/>
      <c r="X164" s="918"/>
      <c r="Y164" s="917"/>
      <c r="Z164" s="918"/>
      <c r="AA164" s="918"/>
      <c r="AB164" s="917"/>
      <c r="AC164" s="917"/>
      <c r="AD164" s="917"/>
      <c r="AE164" s="917"/>
      <c r="AF164" s="917"/>
      <c r="AG164" s="917"/>
      <c r="AK164" s="917">
        <f t="shared" si="40"/>
        <v>0</v>
      </c>
      <c r="AL164" s="917"/>
      <c r="AM164" s="917">
        <f ca="1"/>
        <v>0</v>
      </c>
      <c r="AN164" s="917">
        <f ca="1"/>
        <v>0</v>
      </c>
      <c r="AO164" s="917">
        <f t="shared" ca="1" si="41"/>
        <v>0</v>
      </c>
      <c r="AP164" s="917">
        <f t="shared" ca="1" si="42"/>
        <v>0</v>
      </c>
    </row>
    <row r="165" spans="1:42" ht="16">
      <c r="A165" s="30"/>
      <c r="B165" s="5"/>
      <c r="C165" s="30"/>
      <c r="D165" s="30"/>
      <c r="E165" s="5"/>
      <c r="F165" s="890"/>
      <c r="G165" s="935"/>
      <c r="H165" s="915"/>
      <c r="I165" s="915"/>
      <c r="J165" s="915"/>
      <c r="K165" s="916"/>
      <c r="L165" s="890"/>
      <c r="M165" s="890"/>
      <c r="N165" s="890"/>
      <c r="O165" s="917"/>
      <c r="P165" s="917"/>
      <c r="Q165" s="890"/>
      <c r="R165" s="890"/>
      <c r="S165" s="890"/>
      <c r="T165" s="890"/>
      <c r="U165" s="890"/>
      <c r="V165" s="917"/>
      <c r="W165" s="917"/>
      <c r="X165" s="918"/>
      <c r="Y165" s="917"/>
      <c r="Z165" s="918"/>
      <c r="AA165" s="918"/>
      <c r="AB165" s="917"/>
      <c r="AC165" s="917"/>
      <c r="AD165" s="917"/>
      <c r="AE165" s="917"/>
      <c r="AF165" s="917"/>
      <c r="AG165" s="917"/>
      <c r="AK165" s="917">
        <f t="shared" si="40"/>
        <v>0</v>
      </c>
      <c r="AL165" s="917"/>
      <c r="AM165" s="917">
        <f ca="1"/>
        <v>0</v>
      </c>
      <c r="AN165" s="917">
        <f ca="1"/>
        <v>0</v>
      </c>
      <c r="AO165" s="917">
        <f t="shared" ca="1" si="41"/>
        <v>0</v>
      </c>
      <c r="AP165" s="917">
        <f t="shared" ca="1" si="42"/>
        <v>0</v>
      </c>
    </row>
    <row r="166" spans="1:42" ht="16">
      <c r="A166" s="30"/>
      <c r="B166" s="5"/>
      <c r="C166" s="30"/>
      <c r="D166" s="30"/>
      <c r="E166" s="5"/>
      <c r="F166" s="890"/>
      <c r="G166" s="935"/>
      <c r="H166" s="915"/>
      <c r="I166" s="915"/>
      <c r="J166" s="915"/>
      <c r="K166" s="916"/>
      <c r="L166" s="890"/>
      <c r="M166" s="890"/>
      <c r="N166" s="890"/>
      <c r="O166" s="917"/>
      <c r="P166" s="917"/>
      <c r="Q166" s="890"/>
      <c r="R166" s="890"/>
      <c r="S166" s="890"/>
      <c r="T166" s="890"/>
      <c r="U166" s="890"/>
      <c r="V166" s="917"/>
      <c r="W166" s="917"/>
      <c r="X166" s="918"/>
      <c r="Y166" s="917"/>
      <c r="Z166" s="918"/>
      <c r="AA166" s="918"/>
      <c r="AB166" s="917"/>
      <c r="AC166" s="917"/>
      <c r="AD166" s="917"/>
      <c r="AE166" s="917"/>
      <c r="AF166" s="917"/>
      <c r="AG166" s="917"/>
      <c r="AK166" s="917">
        <f t="shared" si="40"/>
        <v>0</v>
      </c>
      <c r="AL166" s="917"/>
      <c r="AM166" s="917">
        <f ca="1"/>
        <v>0</v>
      </c>
      <c r="AN166" s="917">
        <f ca="1"/>
        <v>0</v>
      </c>
      <c r="AO166" s="917">
        <f t="shared" ca="1" si="41"/>
        <v>0</v>
      </c>
      <c r="AP166" s="917">
        <f t="shared" ca="1" si="42"/>
        <v>0</v>
      </c>
    </row>
    <row r="167" spans="1:42" ht="16">
      <c r="A167" s="30"/>
      <c r="B167" s="5"/>
      <c r="C167" s="30"/>
      <c r="D167" s="30"/>
      <c r="E167" s="5"/>
      <c r="F167" s="890"/>
      <c r="G167" s="935"/>
      <c r="H167" s="915"/>
      <c r="I167" s="915"/>
      <c r="J167" s="915"/>
      <c r="K167" s="916"/>
      <c r="L167" s="890"/>
      <c r="M167" s="890"/>
      <c r="N167" s="890"/>
      <c r="O167" s="917"/>
      <c r="P167" s="917"/>
      <c r="Q167" s="890"/>
      <c r="R167" s="890"/>
      <c r="S167" s="890"/>
      <c r="T167" s="890"/>
      <c r="U167" s="890"/>
      <c r="V167" s="917"/>
      <c r="W167" s="917"/>
      <c r="X167" s="918"/>
      <c r="Y167" s="917"/>
      <c r="Z167" s="918"/>
      <c r="AA167" s="918"/>
      <c r="AB167" s="917"/>
      <c r="AC167" s="917"/>
      <c r="AD167" s="917"/>
      <c r="AE167" s="917"/>
      <c r="AF167" s="917"/>
      <c r="AG167" s="917"/>
      <c r="AK167" s="917">
        <f t="shared" si="40"/>
        <v>0</v>
      </c>
      <c r="AL167" s="917"/>
      <c r="AM167" s="917">
        <f ca="1"/>
        <v>0</v>
      </c>
      <c r="AN167" s="917">
        <f ca="1"/>
        <v>0</v>
      </c>
      <c r="AO167" s="917">
        <f t="shared" ca="1" si="41"/>
        <v>0</v>
      </c>
      <c r="AP167" s="917">
        <f t="shared" ca="1" si="42"/>
        <v>0</v>
      </c>
    </row>
    <row r="168" spans="1:42" ht="16">
      <c r="A168" s="30"/>
      <c r="B168" s="5"/>
      <c r="C168" s="30"/>
      <c r="D168" s="30"/>
      <c r="E168" s="5"/>
      <c r="F168" s="890"/>
      <c r="G168" s="935"/>
      <c r="H168" s="915"/>
      <c r="I168" s="915"/>
      <c r="J168" s="915"/>
      <c r="K168" s="916"/>
      <c r="L168" s="890"/>
      <c r="M168" s="890"/>
      <c r="N168" s="890"/>
      <c r="O168" s="917"/>
      <c r="P168" s="917"/>
      <c r="Q168" s="890"/>
      <c r="R168" s="890"/>
      <c r="S168" s="890"/>
      <c r="T168" s="890"/>
      <c r="U168" s="890"/>
      <c r="V168" s="917"/>
      <c r="W168" s="917"/>
      <c r="X168" s="918"/>
      <c r="Y168" s="917"/>
      <c r="Z168" s="918"/>
      <c r="AA168" s="918"/>
      <c r="AB168" s="917"/>
      <c r="AC168" s="917"/>
      <c r="AD168" s="917"/>
      <c r="AE168" s="917"/>
      <c r="AF168" s="917"/>
      <c r="AG168" s="917"/>
      <c r="AK168" s="917">
        <f t="shared" si="40"/>
        <v>0</v>
      </c>
      <c r="AL168" s="917"/>
      <c r="AM168" s="917">
        <f ca="1"/>
        <v>0</v>
      </c>
      <c r="AN168" s="917">
        <f ca="1"/>
        <v>0</v>
      </c>
      <c r="AO168" s="917">
        <f t="shared" ca="1" si="41"/>
        <v>0</v>
      </c>
      <c r="AP168" s="917">
        <f t="shared" ca="1" si="42"/>
        <v>0</v>
      </c>
    </row>
    <row r="169" spans="1:42" ht="16">
      <c r="A169" s="30"/>
      <c r="B169" s="5"/>
      <c r="C169" s="30"/>
      <c r="D169" s="30"/>
      <c r="E169" s="5"/>
      <c r="F169" s="890"/>
      <c r="G169" s="935"/>
      <c r="H169" s="915"/>
      <c r="I169" s="915"/>
      <c r="J169" s="915"/>
      <c r="K169" s="916"/>
      <c r="L169" s="890"/>
      <c r="M169" s="890"/>
      <c r="N169" s="890"/>
      <c r="O169" s="917"/>
      <c r="P169" s="917"/>
      <c r="Q169" s="890"/>
      <c r="R169" s="890"/>
      <c r="S169" s="890"/>
      <c r="T169" s="890"/>
      <c r="U169" s="890"/>
      <c r="V169" s="917"/>
      <c r="W169" s="917"/>
      <c r="X169" s="918"/>
      <c r="Y169" s="917"/>
      <c r="Z169" s="918"/>
      <c r="AA169" s="918"/>
      <c r="AB169" s="917"/>
      <c r="AC169" s="917"/>
      <c r="AD169" s="917"/>
      <c r="AE169" s="917"/>
      <c r="AF169" s="917"/>
      <c r="AG169" s="917"/>
      <c r="AK169" s="917">
        <f t="shared" si="40"/>
        <v>0</v>
      </c>
      <c r="AL169" s="917"/>
      <c r="AM169" s="917">
        <f ca="1"/>
        <v>0</v>
      </c>
      <c r="AN169" s="917">
        <f ca="1"/>
        <v>0</v>
      </c>
      <c r="AO169" s="917">
        <f t="shared" ca="1" si="41"/>
        <v>0</v>
      </c>
      <c r="AP169" s="917">
        <f t="shared" ca="1" si="42"/>
        <v>0</v>
      </c>
    </row>
    <row r="170" spans="1:42" ht="16">
      <c r="A170" s="30"/>
      <c r="B170" s="5"/>
      <c r="C170" s="30"/>
      <c r="D170" s="30"/>
      <c r="E170" s="5"/>
      <c r="F170" s="890"/>
      <c r="G170" s="935"/>
      <c r="H170" s="915"/>
      <c r="I170" s="915"/>
      <c r="J170" s="915"/>
      <c r="K170" s="916"/>
      <c r="L170" s="890"/>
      <c r="M170" s="890"/>
      <c r="N170" s="890"/>
      <c r="O170" s="917"/>
      <c r="P170" s="917"/>
      <c r="Q170" s="890"/>
      <c r="R170" s="890"/>
      <c r="S170" s="890"/>
      <c r="T170" s="890"/>
      <c r="U170" s="890"/>
      <c r="V170" s="917"/>
      <c r="W170" s="917"/>
      <c r="X170" s="918"/>
      <c r="Y170" s="917"/>
      <c r="Z170" s="918"/>
      <c r="AA170" s="918"/>
      <c r="AB170" s="917"/>
      <c r="AC170" s="917"/>
      <c r="AD170" s="917"/>
      <c r="AE170" s="917"/>
      <c r="AF170" s="917"/>
      <c r="AG170" s="917"/>
      <c r="AK170" s="917">
        <f t="shared" si="40"/>
        <v>0</v>
      </c>
      <c r="AL170" s="917"/>
      <c r="AM170" s="917">
        <f ca="1"/>
        <v>0</v>
      </c>
      <c r="AN170" s="917">
        <f ca="1"/>
        <v>0</v>
      </c>
      <c r="AO170" s="917">
        <f t="shared" ca="1" si="41"/>
        <v>0</v>
      </c>
      <c r="AP170" s="917">
        <f t="shared" ca="1" si="42"/>
        <v>0</v>
      </c>
    </row>
    <row r="171" spans="1:42" ht="16">
      <c r="A171" s="30"/>
      <c r="B171" s="5"/>
      <c r="C171" s="30"/>
      <c r="D171" s="30"/>
      <c r="E171" s="5"/>
      <c r="F171" s="890"/>
      <c r="G171" s="935"/>
      <c r="H171" s="915"/>
      <c r="I171" s="915"/>
      <c r="J171" s="915"/>
      <c r="K171" s="916"/>
      <c r="L171" s="890"/>
      <c r="M171" s="890"/>
      <c r="N171" s="890"/>
      <c r="O171" s="917"/>
      <c r="P171" s="917"/>
      <c r="Q171" s="890"/>
      <c r="R171" s="890"/>
      <c r="S171" s="890"/>
      <c r="T171" s="890"/>
      <c r="U171" s="890"/>
      <c r="V171" s="917"/>
      <c r="W171" s="917"/>
      <c r="X171" s="918"/>
      <c r="Y171" s="917"/>
      <c r="Z171" s="918"/>
      <c r="AA171" s="918"/>
      <c r="AB171" s="917"/>
      <c r="AC171" s="917"/>
      <c r="AD171" s="917"/>
      <c r="AE171" s="917"/>
      <c r="AF171" s="917"/>
      <c r="AG171" s="917"/>
      <c r="AK171" s="917">
        <f t="shared" si="40"/>
        <v>0</v>
      </c>
      <c r="AL171" s="917"/>
      <c r="AM171" s="917">
        <f ca="1"/>
        <v>0</v>
      </c>
      <c r="AN171" s="917">
        <f ca="1"/>
        <v>0</v>
      </c>
      <c r="AO171" s="917">
        <f t="shared" ca="1" si="41"/>
        <v>0</v>
      </c>
      <c r="AP171" s="917">
        <f t="shared" ca="1" si="42"/>
        <v>0</v>
      </c>
    </row>
    <row r="172" spans="1:42" ht="16">
      <c r="A172" s="30"/>
      <c r="B172" s="5"/>
      <c r="C172" s="30"/>
      <c r="D172" s="30"/>
      <c r="E172" s="5"/>
      <c r="F172" s="890"/>
      <c r="G172" s="935"/>
      <c r="H172" s="915"/>
      <c r="I172" s="915"/>
      <c r="J172" s="915"/>
      <c r="K172" s="916"/>
      <c r="L172" s="890"/>
      <c r="M172" s="890"/>
      <c r="N172" s="890"/>
      <c r="O172" s="917"/>
      <c r="P172" s="917"/>
      <c r="Q172" s="890"/>
      <c r="R172" s="890"/>
      <c r="S172" s="890"/>
      <c r="T172" s="890"/>
      <c r="U172" s="890"/>
      <c r="V172" s="917"/>
      <c r="W172" s="917"/>
      <c r="X172" s="918"/>
      <c r="Y172" s="917"/>
      <c r="Z172" s="918"/>
      <c r="AA172" s="918"/>
      <c r="AB172" s="917"/>
      <c r="AC172" s="917"/>
      <c r="AD172" s="917"/>
      <c r="AE172" s="917"/>
      <c r="AF172" s="917"/>
      <c r="AG172" s="917"/>
      <c r="AK172" s="917">
        <f t="shared" si="40"/>
        <v>0</v>
      </c>
      <c r="AL172" s="917"/>
      <c r="AM172" s="917">
        <f ca="1"/>
        <v>0</v>
      </c>
      <c r="AN172" s="917">
        <f ca="1"/>
        <v>0</v>
      </c>
      <c r="AO172" s="917">
        <f t="shared" ca="1" si="41"/>
        <v>0</v>
      </c>
      <c r="AP172" s="917">
        <f t="shared" ca="1" si="42"/>
        <v>0</v>
      </c>
    </row>
    <row r="173" spans="1:42" ht="16">
      <c r="A173" s="30"/>
      <c r="B173" s="5"/>
      <c r="C173" s="30"/>
      <c r="D173" s="30"/>
      <c r="E173" s="5"/>
      <c r="F173" s="890"/>
      <c r="G173" s="935"/>
      <c r="H173" s="915"/>
      <c r="I173" s="915"/>
      <c r="J173" s="915"/>
      <c r="K173" s="916"/>
      <c r="L173" s="890"/>
      <c r="M173" s="890"/>
      <c r="N173" s="890"/>
      <c r="O173" s="917"/>
      <c r="P173" s="917"/>
      <c r="Q173" s="890"/>
      <c r="R173" s="890"/>
      <c r="S173" s="890"/>
      <c r="T173" s="890"/>
      <c r="U173" s="890"/>
      <c r="V173" s="917"/>
      <c r="W173" s="917"/>
      <c r="X173" s="918"/>
      <c r="Y173" s="917"/>
      <c r="Z173" s="918"/>
      <c r="AA173" s="918"/>
      <c r="AB173" s="917"/>
      <c r="AC173" s="917"/>
      <c r="AD173" s="917"/>
      <c r="AE173" s="917"/>
      <c r="AF173" s="917"/>
      <c r="AG173" s="917"/>
      <c r="AK173" s="917">
        <f t="shared" si="40"/>
        <v>0</v>
      </c>
      <c r="AL173" s="917"/>
      <c r="AM173" s="917">
        <f ca="1"/>
        <v>0</v>
      </c>
      <c r="AN173" s="917">
        <f ca="1"/>
        <v>0</v>
      </c>
      <c r="AO173" s="917">
        <f t="shared" ca="1" si="41"/>
        <v>0</v>
      </c>
      <c r="AP173" s="917">
        <f t="shared" ca="1" si="42"/>
        <v>0</v>
      </c>
    </row>
    <row r="174" spans="1:42" ht="16">
      <c r="A174" s="30"/>
      <c r="B174" s="5"/>
      <c r="C174" s="30"/>
      <c r="D174" s="30"/>
      <c r="E174" s="5"/>
      <c r="F174" s="890"/>
      <c r="G174" s="935"/>
      <c r="H174" s="915"/>
      <c r="I174" s="915"/>
      <c r="J174" s="915"/>
      <c r="K174" s="916"/>
      <c r="L174" s="890"/>
      <c r="M174" s="890"/>
      <c r="N174" s="890"/>
      <c r="O174" s="917"/>
      <c r="P174" s="917"/>
      <c r="Q174" s="890"/>
      <c r="R174" s="890"/>
      <c r="S174" s="890"/>
      <c r="T174" s="890"/>
      <c r="U174" s="890"/>
      <c r="V174" s="917"/>
      <c r="W174" s="917"/>
      <c r="X174" s="918"/>
      <c r="Y174" s="917"/>
      <c r="Z174" s="918"/>
      <c r="AA174" s="918"/>
      <c r="AB174" s="917"/>
      <c r="AC174" s="917"/>
      <c r="AD174" s="917"/>
      <c r="AE174" s="917"/>
      <c r="AF174" s="917"/>
      <c r="AG174" s="917"/>
      <c r="AK174" s="917">
        <f t="shared" si="40"/>
        <v>0</v>
      </c>
      <c r="AL174" s="917"/>
      <c r="AM174" s="917">
        <f ca="1"/>
        <v>0</v>
      </c>
      <c r="AN174" s="917">
        <f ca="1"/>
        <v>0</v>
      </c>
      <c r="AO174" s="917">
        <f t="shared" ca="1" si="41"/>
        <v>0</v>
      </c>
      <c r="AP174" s="917">
        <f t="shared" ca="1" si="42"/>
        <v>0</v>
      </c>
    </row>
    <row r="175" spans="1:42" ht="16">
      <c r="A175" s="30"/>
      <c r="B175" s="5"/>
      <c r="C175" s="30"/>
      <c r="D175" s="30"/>
      <c r="E175" s="5"/>
      <c r="F175" s="890"/>
      <c r="G175" s="935"/>
      <c r="H175" s="915"/>
      <c r="I175" s="915"/>
      <c r="J175" s="915"/>
      <c r="K175" s="916"/>
      <c r="L175" s="890"/>
      <c r="M175" s="890"/>
      <c r="N175" s="890"/>
      <c r="O175" s="917"/>
      <c r="P175" s="917"/>
      <c r="Q175" s="890"/>
      <c r="R175" s="890"/>
      <c r="S175" s="890"/>
      <c r="T175" s="890"/>
      <c r="U175" s="890"/>
      <c r="V175" s="917"/>
      <c r="W175" s="917"/>
      <c r="X175" s="918"/>
      <c r="Y175" s="917"/>
      <c r="Z175" s="918"/>
      <c r="AA175" s="918"/>
      <c r="AB175" s="917"/>
      <c r="AC175" s="917"/>
      <c r="AD175" s="917"/>
      <c r="AE175" s="917"/>
      <c r="AF175" s="917"/>
      <c r="AG175" s="917"/>
      <c r="AK175" s="917">
        <f t="shared" si="40"/>
        <v>0</v>
      </c>
      <c r="AL175" s="917"/>
      <c r="AM175" s="917">
        <f ca="1"/>
        <v>0</v>
      </c>
      <c r="AN175" s="917">
        <f ca="1"/>
        <v>0</v>
      </c>
      <c r="AO175" s="917">
        <f t="shared" ca="1" si="41"/>
        <v>0</v>
      </c>
      <c r="AP175" s="917">
        <f t="shared" ca="1" si="42"/>
        <v>0</v>
      </c>
    </row>
    <row r="176" spans="1:42" ht="16">
      <c r="A176" s="30"/>
      <c r="B176" s="5"/>
      <c r="C176" s="30"/>
      <c r="D176" s="30"/>
      <c r="E176" s="5"/>
      <c r="F176" s="890"/>
      <c r="G176" s="935"/>
      <c r="H176" s="915"/>
      <c r="I176" s="915"/>
      <c r="J176" s="915"/>
      <c r="K176" s="916"/>
      <c r="L176" s="890"/>
      <c r="M176" s="890"/>
      <c r="N176" s="890"/>
      <c r="O176" s="917"/>
      <c r="P176" s="917"/>
      <c r="Q176" s="890"/>
      <c r="R176" s="890"/>
      <c r="S176" s="890"/>
      <c r="T176" s="890"/>
      <c r="U176" s="890"/>
      <c r="V176" s="917"/>
      <c r="W176" s="917"/>
      <c r="X176" s="918"/>
      <c r="Y176" s="917"/>
      <c r="Z176" s="918"/>
      <c r="AA176" s="918"/>
      <c r="AB176" s="917"/>
      <c r="AC176" s="917"/>
      <c r="AD176" s="917"/>
      <c r="AE176" s="917"/>
      <c r="AF176" s="917"/>
      <c r="AG176" s="917"/>
      <c r="AK176" s="917">
        <f t="shared" si="40"/>
        <v>0</v>
      </c>
      <c r="AL176" s="917"/>
      <c r="AM176" s="917">
        <f ca="1"/>
        <v>0</v>
      </c>
      <c r="AN176" s="917">
        <f ca="1"/>
        <v>0</v>
      </c>
      <c r="AO176" s="917">
        <f t="shared" ca="1" si="41"/>
        <v>0</v>
      </c>
      <c r="AP176" s="917">
        <f t="shared" ca="1" si="42"/>
        <v>0</v>
      </c>
    </row>
    <row r="177" spans="1:42" ht="16">
      <c r="A177" s="30"/>
      <c r="B177" s="5"/>
      <c r="C177" s="30"/>
      <c r="D177" s="30"/>
      <c r="E177" s="5"/>
      <c r="F177" s="890"/>
      <c r="G177" s="935"/>
      <c r="H177" s="915"/>
      <c r="I177" s="915"/>
      <c r="J177" s="915"/>
      <c r="K177" s="916"/>
      <c r="L177" s="890"/>
      <c r="M177" s="890"/>
      <c r="N177" s="890"/>
      <c r="O177" s="917"/>
      <c r="P177" s="917"/>
      <c r="Q177" s="890"/>
      <c r="R177" s="890"/>
      <c r="S177" s="890"/>
      <c r="T177" s="890"/>
      <c r="U177" s="890"/>
      <c r="V177" s="917"/>
      <c r="W177" s="917"/>
      <c r="X177" s="918"/>
      <c r="Y177" s="917"/>
      <c r="Z177" s="918"/>
      <c r="AA177" s="918"/>
      <c r="AB177" s="917"/>
      <c r="AC177" s="917"/>
      <c r="AD177" s="917"/>
      <c r="AE177" s="917"/>
      <c r="AF177" s="917"/>
      <c r="AG177" s="917"/>
      <c r="AK177" s="917">
        <f t="shared" si="40"/>
        <v>0</v>
      </c>
      <c r="AL177" s="917"/>
      <c r="AM177" s="917">
        <f ca="1"/>
        <v>0</v>
      </c>
      <c r="AN177" s="917">
        <f ca="1"/>
        <v>0</v>
      </c>
      <c r="AO177" s="917">
        <f t="shared" ca="1" si="41"/>
        <v>0</v>
      </c>
      <c r="AP177" s="917">
        <f t="shared" ca="1" si="42"/>
        <v>0</v>
      </c>
    </row>
    <row r="178" spans="1:42" ht="16">
      <c r="A178" s="30"/>
      <c r="B178" s="5"/>
      <c r="C178" s="30"/>
      <c r="D178" s="30"/>
      <c r="E178" s="5"/>
      <c r="F178" s="890"/>
      <c r="G178" s="935"/>
      <c r="H178" s="915"/>
      <c r="I178" s="915"/>
      <c r="J178" s="915"/>
      <c r="K178" s="916"/>
      <c r="L178" s="890"/>
      <c r="M178" s="890"/>
      <c r="N178" s="890"/>
      <c r="O178" s="917"/>
      <c r="P178" s="917"/>
      <c r="Q178" s="890"/>
      <c r="R178" s="890"/>
      <c r="S178" s="890"/>
      <c r="T178" s="890"/>
      <c r="U178" s="890"/>
      <c r="V178" s="917"/>
      <c r="W178" s="917"/>
      <c r="X178" s="918"/>
      <c r="Y178" s="917"/>
      <c r="Z178" s="918"/>
      <c r="AA178" s="918"/>
      <c r="AB178" s="917"/>
      <c r="AC178" s="917"/>
      <c r="AD178" s="917"/>
      <c r="AE178" s="917"/>
      <c r="AF178" s="917"/>
      <c r="AG178" s="917"/>
      <c r="AK178" s="917">
        <f t="shared" si="40"/>
        <v>0</v>
      </c>
      <c r="AL178" s="917"/>
      <c r="AM178" s="917">
        <f ca="1"/>
        <v>0</v>
      </c>
      <c r="AN178" s="917">
        <f ca="1"/>
        <v>0</v>
      </c>
      <c r="AO178" s="917">
        <f t="shared" ca="1" si="41"/>
        <v>0</v>
      </c>
      <c r="AP178" s="917">
        <f t="shared" ca="1" si="42"/>
        <v>0</v>
      </c>
    </row>
    <row r="179" spans="1:42" ht="16">
      <c r="A179" s="30"/>
      <c r="B179" s="5"/>
      <c r="C179" s="30"/>
      <c r="D179" s="30"/>
      <c r="E179" s="5"/>
      <c r="F179" s="890"/>
      <c r="G179" s="935"/>
      <c r="H179" s="915"/>
      <c r="I179" s="915"/>
      <c r="J179" s="915"/>
      <c r="K179" s="916"/>
      <c r="L179" s="890"/>
      <c r="M179" s="890"/>
      <c r="N179" s="890"/>
      <c r="O179" s="917"/>
      <c r="P179" s="917"/>
      <c r="Q179" s="890"/>
      <c r="R179" s="890"/>
      <c r="S179" s="890"/>
      <c r="T179" s="890"/>
      <c r="U179" s="890"/>
      <c r="V179" s="917"/>
      <c r="W179" s="917"/>
      <c r="X179" s="918"/>
      <c r="Y179" s="917"/>
      <c r="Z179" s="918"/>
      <c r="AA179" s="918"/>
      <c r="AB179" s="917"/>
      <c r="AC179" s="917"/>
      <c r="AD179" s="917"/>
      <c r="AE179" s="917"/>
      <c r="AF179" s="917"/>
      <c r="AG179" s="917"/>
      <c r="AK179" s="917">
        <f t="shared" si="40"/>
        <v>0</v>
      </c>
      <c r="AL179" s="917"/>
      <c r="AM179" s="917">
        <f ca="1"/>
        <v>0</v>
      </c>
      <c r="AN179" s="917">
        <f ca="1"/>
        <v>0</v>
      </c>
      <c r="AO179" s="917">
        <f t="shared" ca="1" si="41"/>
        <v>0</v>
      </c>
      <c r="AP179" s="917">
        <f t="shared" ca="1" si="42"/>
        <v>0</v>
      </c>
    </row>
    <row r="180" spans="1:42" ht="16">
      <c r="A180" s="30"/>
      <c r="B180" s="5"/>
      <c r="C180" s="30"/>
      <c r="D180" s="30"/>
      <c r="E180" s="5"/>
      <c r="F180" s="890"/>
      <c r="G180" s="935"/>
      <c r="H180" s="915"/>
      <c r="I180" s="915"/>
      <c r="J180" s="915"/>
      <c r="K180" s="916"/>
      <c r="L180" s="890"/>
      <c r="M180" s="890"/>
      <c r="N180" s="890"/>
      <c r="O180" s="917"/>
      <c r="P180" s="917"/>
      <c r="Q180" s="890"/>
      <c r="R180" s="890"/>
      <c r="S180" s="890"/>
      <c r="T180" s="890"/>
      <c r="U180" s="890"/>
      <c r="V180" s="917"/>
      <c r="W180" s="917"/>
      <c r="X180" s="918"/>
      <c r="Y180" s="917"/>
      <c r="Z180" s="918"/>
      <c r="AA180" s="918"/>
      <c r="AB180" s="917"/>
      <c r="AC180" s="917"/>
      <c r="AD180" s="917"/>
      <c r="AE180" s="917"/>
      <c r="AF180" s="917"/>
      <c r="AG180" s="917"/>
      <c r="AK180" s="917">
        <f t="shared" si="40"/>
        <v>0</v>
      </c>
      <c r="AL180" s="917"/>
      <c r="AM180" s="917">
        <f ca="1"/>
        <v>0</v>
      </c>
      <c r="AN180" s="917">
        <f ca="1"/>
        <v>0</v>
      </c>
      <c r="AO180" s="917">
        <f t="shared" ca="1" si="41"/>
        <v>0</v>
      </c>
      <c r="AP180" s="917">
        <f t="shared" ca="1" si="42"/>
        <v>0</v>
      </c>
    </row>
    <row r="181" spans="1:42" ht="16">
      <c r="A181" s="30"/>
      <c r="B181" s="5"/>
      <c r="C181" s="30"/>
      <c r="D181" s="30"/>
      <c r="E181" s="5"/>
      <c r="F181" s="890"/>
      <c r="G181" s="935"/>
      <c r="H181" s="915"/>
      <c r="I181" s="915"/>
      <c r="J181" s="915"/>
      <c r="K181" s="916"/>
      <c r="L181" s="890"/>
      <c r="M181" s="890"/>
      <c r="N181" s="890"/>
      <c r="O181" s="917"/>
      <c r="P181" s="917"/>
      <c r="Q181" s="890"/>
      <c r="R181" s="890"/>
      <c r="S181" s="890"/>
      <c r="T181" s="890"/>
      <c r="U181" s="890"/>
      <c r="V181" s="917"/>
      <c r="W181" s="917"/>
      <c r="X181" s="918"/>
      <c r="Y181" s="917"/>
      <c r="Z181" s="918"/>
      <c r="AA181" s="918"/>
      <c r="AB181" s="917"/>
      <c r="AC181" s="917"/>
      <c r="AD181" s="917"/>
      <c r="AE181" s="917"/>
      <c r="AF181" s="917"/>
      <c r="AG181" s="917"/>
      <c r="AK181" s="917">
        <f t="shared" si="40"/>
        <v>0</v>
      </c>
      <c r="AL181" s="917"/>
      <c r="AM181" s="917">
        <f ca="1"/>
        <v>0</v>
      </c>
      <c r="AN181" s="917">
        <f ca="1"/>
        <v>0</v>
      </c>
      <c r="AO181" s="917">
        <f t="shared" ca="1" si="41"/>
        <v>0</v>
      </c>
      <c r="AP181" s="917">
        <f t="shared" ca="1" si="42"/>
        <v>0</v>
      </c>
    </row>
    <row r="182" spans="1:42" ht="16">
      <c r="A182" s="30"/>
      <c r="B182" s="5"/>
      <c r="C182" s="30"/>
      <c r="D182" s="30"/>
      <c r="E182" s="5"/>
      <c r="F182" s="890"/>
      <c r="G182" s="935"/>
      <c r="H182" s="915"/>
      <c r="I182" s="915"/>
      <c r="J182" s="915"/>
      <c r="K182" s="916"/>
      <c r="L182" s="890"/>
      <c r="M182" s="890"/>
      <c r="N182" s="890"/>
      <c r="O182" s="917"/>
      <c r="P182" s="917"/>
      <c r="Q182" s="890"/>
      <c r="R182" s="890"/>
      <c r="S182" s="890"/>
      <c r="T182" s="890"/>
      <c r="U182" s="890"/>
      <c r="V182" s="917"/>
      <c r="W182" s="917"/>
      <c r="X182" s="918"/>
      <c r="Y182" s="917"/>
      <c r="Z182" s="918"/>
      <c r="AA182" s="918"/>
      <c r="AB182" s="917"/>
      <c r="AC182" s="917"/>
      <c r="AD182" s="917"/>
      <c r="AE182" s="917"/>
      <c r="AF182" s="917"/>
      <c r="AG182" s="917"/>
      <c r="AK182" s="917">
        <f t="shared" si="40"/>
        <v>0</v>
      </c>
      <c r="AL182" s="917"/>
      <c r="AM182" s="917">
        <f ca="1"/>
        <v>0</v>
      </c>
      <c r="AN182" s="917">
        <f ca="1"/>
        <v>0</v>
      </c>
      <c r="AO182" s="917">
        <f t="shared" ca="1" si="41"/>
        <v>0</v>
      </c>
      <c r="AP182" s="917">
        <f t="shared" ca="1" si="42"/>
        <v>0</v>
      </c>
    </row>
    <row r="183" spans="1:42" ht="16">
      <c r="A183" s="30"/>
      <c r="B183" s="5"/>
      <c r="C183" s="30"/>
      <c r="D183" s="30"/>
      <c r="E183" s="5"/>
      <c r="F183" s="890"/>
      <c r="G183" s="935"/>
      <c r="H183" s="915"/>
      <c r="I183" s="915"/>
      <c r="J183" s="915"/>
      <c r="K183" s="916"/>
      <c r="L183" s="890"/>
      <c r="M183" s="890"/>
      <c r="N183" s="890"/>
      <c r="O183" s="917"/>
      <c r="P183" s="917"/>
      <c r="Q183" s="890"/>
      <c r="R183" s="890"/>
      <c r="S183" s="890"/>
      <c r="T183" s="890"/>
      <c r="U183" s="890"/>
      <c r="V183" s="917"/>
      <c r="W183" s="917"/>
      <c r="X183" s="918"/>
      <c r="Y183" s="917"/>
      <c r="Z183" s="918"/>
      <c r="AA183" s="918"/>
      <c r="AB183" s="917"/>
      <c r="AC183" s="917"/>
      <c r="AD183" s="917"/>
      <c r="AE183" s="917"/>
      <c r="AF183" s="917"/>
      <c r="AG183" s="917"/>
      <c r="AK183" s="917">
        <f t="shared" si="40"/>
        <v>0</v>
      </c>
      <c r="AL183" s="917"/>
      <c r="AM183" s="917">
        <f ca="1"/>
        <v>0</v>
      </c>
      <c r="AN183" s="917">
        <f ca="1"/>
        <v>0</v>
      </c>
      <c r="AO183" s="917">
        <f t="shared" ca="1" si="41"/>
        <v>0</v>
      </c>
      <c r="AP183" s="917">
        <f t="shared" ca="1" si="42"/>
        <v>0</v>
      </c>
    </row>
    <row r="184" spans="1:42" ht="16">
      <c r="A184" s="30"/>
      <c r="B184" s="5"/>
      <c r="C184" s="30"/>
      <c r="D184" s="30"/>
      <c r="E184" s="5"/>
      <c r="F184" s="890"/>
      <c r="G184" s="935"/>
      <c r="H184" s="915"/>
      <c r="I184" s="915"/>
      <c r="J184" s="915"/>
      <c r="K184" s="916"/>
      <c r="L184" s="890"/>
      <c r="M184" s="890"/>
      <c r="N184" s="890"/>
      <c r="O184" s="917"/>
      <c r="P184" s="917"/>
      <c r="Q184" s="890"/>
      <c r="R184" s="890"/>
      <c r="S184" s="890"/>
      <c r="T184" s="890"/>
      <c r="U184" s="890"/>
      <c r="V184" s="917"/>
      <c r="W184" s="917"/>
      <c r="X184" s="918"/>
      <c r="Y184" s="917"/>
      <c r="Z184" s="918"/>
      <c r="AA184" s="918"/>
      <c r="AB184" s="917"/>
      <c r="AC184" s="917"/>
      <c r="AD184" s="917"/>
      <c r="AE184" s="917"/>
      <c r="AF184" s="917"/>
      <c r="AG184" s="917"/>
      <c r="AK184" s="917">
        <f t="shared" si="40"/>
        <v>0</v>
      </c>
      <c r="AL184" s="917"/>
      <c r="AM184" s="917">
        <f ca="1"/>
        <v>0</v>
      </c>
      <c r="AN184" s="917">
        <f ca="1"/>
        <v>0</v>
      </c>
      <c r="AO184" s="917">
        <f t="shared" ca="1" si="41"/>
        <v>0</v>
      </c>
      <c r="AP184" s="917">
        <f t="shared" ca="1" si="42"/>
        <v>0</v>
      </c>
    </row>
    <row r="185" spans="1:42" ht="16">
      <c r="A185" s="30"/>
      <c r="B185" s="5"/>
      <c r="C185" s="30"/>
      <c r="D185" s="30"/>
      <c r="E185" s="5"/>
      <c r="F185" s="890"/>
      <c r="G185" s="935"/>
      <c r="H185" s="915"/>
      <c r="I185" s="915"/>
      <c r="J185" s="915"/>
      <c r="K185" s="916"/>
      <c r="L185" s="890"/>
      <c r="M185" s="890"/>
      <c r="N185" s="890"/>
      <c r="O185" s="917"/>
      <c r="P185" s="917"/>
      <c r="Q185" s="890"/>
      <c r="R185" s="890"/>
      <c r="S185" s="890"/>
      <c r="T185" s="890"/>
      <c r="U185" s="890"/>
      <c r="V185" s="917"/>
      <c r="W185" s="917"/>
      <c r="X185" s="918"/>
      <c r="Y185" s="917"/>
      <c r="Z185" s="918"/>
      <c r="AA185" s="918"/>
      <c r="AB185" s="917"/>
      <c r="AC185" s="917"/>
      <c r="AD185" s="917"/>
      <c r="AE185" s="917"/>
      <c r="AF185" s="917"/>
      <c r="AG185" s="917"/>
      <c r="AK185" s="917">
        <f t="shared" si="40"/>
        <v>0</v>
      </c>
      <c r="AL185" s="917"/>
      <c r="AM185" s="917">
        <f ca="1"/>
        <v>0</v>
      </c>
      <c r="AN185" s="917">
        <f ca="1"/>
        <v>0</v>
      </c>
      <c r="AO185" s="917">
        <f t="shared" ca="1" si="41"/>
        <v>0</v>
      </c>
      <c r="AP185" s="917">
        <f t="shared" ca="1" si="42"/>
        <v>0</v>
      </c>
    </row>
    <row r="186" spans="1:42" ht="16">
      <c r="A186" s="30"/>
      <c r="B186" s="5"/>
      <c r="C186" s="30"/>
      <c r="D186" s="30"/>
      <c r="E186" s="5"/>
      <c r="F186" s="890"/>
      <c r="G186" s="935"/>
      <c r="H186" s="915"/>
      <c r="I186" s="915"/>
      <c r="J186" s="915"/>
      <c r="K186" s="916"/>
      <c r="L186" s="890"/>
      <c r="M186" s="890"/>
      <c r="N186" s="890"/>
      <c r="O186" s="917"/>
      <c r="P186" s="917"/>
      <c r="Q186" s="890"/>
      <c r="R186" s="890"/>
      <c r="S186" s="890"/>
      <c r="T186" s="890"/>
      <c r="U186" s="890"/>
      <c r="V186" s="917"/>
      <c r="W186" s="917"/>
      <c r="X186" s="918"/>
      <c r="Y186" s="917"/>
      <c r="Z186" s="918"/>
      <c r="AA186" s="918"/>
      <c r="AB186" s="917"/>
      <c r="AC186" s="917"/>
      <c r="AD186" s="917"/>
      <c r="AE186" s="917"/>
      <c r="AF186" s="917"/>
      <c r="AG186" s="917"/>
      <c r="AK186" s="917">
        <f t="shared" si="40"/>
        <v>0</v>
      </c>
      <c r="AL186" s="917"/>
      <c r="AM186" s="917">
        <f ca="1"/>
        <v>0</v>
      </c>
      <c r="AN186" s="917">
        <f ca="1"/>
        <v>0</v>
      </c>
      <c r="AO186" s="917">
        <f t="shared" ca="1" si="41"/>
        <v>0</v>
      </c>
      <c r="AP186" s="917">
        <f t="shared" ca="1" si="42"/>
        <v>0</v>
      </c>
    </row>
    <row r="187" spans="1:42" ht="16">
      <c r="A187" s="30"/>
      <c r="B187" s="5"/>
      <c r="C187" s="30"/>
      <c r="D187" s="30"/>
      <c r="E187" s="5"/>
      <c r="F187" s="890"/>
      <c r="G187" s="935"/>
      <c r="H187" s="915"/>
      <c r="I187" s="915"/>
      <c r="J187" s="915"/>
      <c r="K187" s="916"/>
      <c r="L187" s="890"/>
      <c r="M187" s="890"/>
      <c r="N187" s="890"/>
      <c r="O187" s="917"/>
      <c r="P187" s="917"/>
      <c r="Q187" s="890"/>
      <c r="R187" s="890"/>
      <c r="S187" s="890"/>
      <c r="T187" s="890"/>
      <c r="U187" s="890"/>
      <c r="V187" s="917"/>
      <c r="W187" s="917"/>
      <c r="X187" s="918"/>
      <c r="Y187" s="917"/>
      <c r="Z187" s="918"/>
      <c r="AA187" s="918"/>
      <c r="AB187" s="917"/>
      <c r="AC187" s="917"/>
      <c r="AD187" s="917"/>
      <c r="AE187" s="917"/>
      <c r="AF187" s="917"/>
      <c r="AG187" s="917"/>
      <c r="AK187" s="917">
        <f t="shared" si="40"/>
        <v>0</v>
      </c>
      <c r="AL187" s="917"/>
      <c r="AM187" s="917">
        <f ca="1"/>
        <v>0</v>
      </c>
      <c r="AN187" s="917">
        <f ca="1"/>
        <v>0</v>
      </c>
      <c r="AO187" s="917">
        <f t="shared" ca="1" si="41"/>
        <v>0</v>
      </c>
      <c r="AP187" s="917">
        <f t="shared" ca="1" si="42"/>
        <v>0</v>
      </c>
    </row>
    <row r="188" spans="1:42" ht="16">
      <c r="A188" s="30"/>
      <c r="B188" s="5"/>
      <c r="C188" s="30"/>
      <c r="D188" s="30"/>
      <c r="E188" s="5"/>
      <c r="F188" s="890"/>
      <c r="G188" s="935"/>
      <c r="H188" s="915"/>
      <c r="I188" s="915"/>
      <c r="J188" s="915"/>
      <c r="K188" s="916"/>
      <c r="L188" s="890"/>
      <c r="M188" s="890"/>
      <c r="N188" s="890"/>
      <c r="O188" s="917"/>
      <c r="P188" s="917"/>
      <c r="Q188" s="890"/>
      <c r="R188" s="890"/>
      <c r="S188" s="890"/>
      <c r="T188" s="890"/>
      <c r="U188" s="890"/>
      <c r="V188" s="917"/>
      <c r="W188" s="917"/>
      <c r="X188" s="918"/>
      <c r="Y188" s="917"/>
      <c r="Z188" s="918"/>
      <c r="AA188" s="918"/>
      <c r="AB188" s="917"/>
      <c r="AC188" s="917"/>
      <c r="AD188" s="917"/>
      <c r="AE188" s="917"/>
      <c r="AF188" s="917"/>
      <c r="AG188" s="917"/>
      <c r="AK188" s="917">
        <f t="shared" si="40"/>
        <v>0</v>
      </c>
      <c r="AL188" s="917"/>
      <c r="AM188" s="917">
        <f ca="1"/>
        <v>0</v>
      </c>
      <c r="AN188" s="917">
        <f ca="1"/>
        <v>0</v>
      </c>
      <c r="AO188" s="917">
        <f t="shared" ca="1" si="41"/>
        <v>0</v>
      </c>
      <c r="AP188" s="917">
        <f t="shared" ca="1" si="42"/>
        <v>0</v>
      </c>
    </row>
    <row r="189" spans="1:42" ht="16">
      <c r="A189" s="30"/>
      <c r="B189" s="5"/>
      <c r="C189" s="30"/>
      <c r="D189" s="30"/>
      <c r="E189" s="5"/>
      <c r="F189" s="890"/>
      <c r="G189" s="935"/>
      <c r="H189" s="915"/>
      <c r="I189" s="915"/>
      <c r="J189" s="915"/>
      <c r="K189" s="916"/>
      <c r="L189" s="890"/>
      <c r="M189" s="890"/>
      <c r="N189" s="890"/>
      <c r="O189" s="917"/>
      <c r="P189" s="917"/>
      <c r="Q189" s="890"/>
      <c r="R189" s="890"/>
      <c r="S189" s="890"/>
      <c r="T189" s="890"/>
      <c r="U189" s="890"/>
      <c r="V189" s="917"/>
      <c r="W189" s="917"/>
      <c r="X189" s="918"/>
      <c r="Y189" s="917"/>
      <c r="Z189" s="918"/>
      <c r="AA189" s="918"/>
      <c r="AB189" s="917"/>
      <c r="AC189" s="917"/>
      <c r="AD189" s="917"/>
      <c r="AE189" s="917"/>
      <c r="AF189" s="917"/>
      <c r="AG189" s="917"/>
      <c r="AK189" s="917">
        <f t="shared" si="40"/>
        <v>0</v>
      </c>
      <c r="AL189" s="917"/>
      <c r="AM189" s="917">
        <f ca="1"/>
        <v>0</v>
      </c>
      <c r="AN189" s="917">
        <f ca="1"/>
        <v>0</v>
      </c>
      <c r="AO189" s="917">
        <f t="shared" ca="1" si="41"/>
        <v>0</v>
      </c>
      <c r="AP189" s="917">
        <f t="shared" ca="1" si="42"/>
        <v>0</v>
      </c>
    </row>
    <row r="190" spans="1:42" ht="16">
      <c r="A190" s="30"/>
      <c r="B190" s="5"/>
      <c r="C190" s="30"/>
      <c r="D190" s="30"/>
      <c r="E190" s="5"/>
      <c r="F190" s="890"/>
      <c r="G190" s="935"/>
      <c r="H190" s="915"/>
      <c r="I190" s="915"/>
      <c r="J190" s="915"/>
      <c r="K190" s="916"/>
      <c r="L190" s="890"/>
      <c r="M190" s="890"/>
      <c r="N190" s="890"/>
      <c r="O190" s="917"/>
      <c r="P190" s="917"/>
      <c r="Q190" s="890"/>
      <c r="R190" s="890"/>
      <c r="S190" s="890"/>
      <c r="T190" s="890"/>
      <c r="U190" s="890"/>
      <c r="V190" s="917"/>
      <c r="W190" s="917"/>
      <c r="X190" s="918"/>
      <c r="Y190" s="917"/>
      <c r="Z190" s="918"/>
      <c r="AA190" s="918"/>
      <c r="AB190" s="917"/>
      <c r="AC190" s="917"/>
      <c r="AD190" s="917"/>
      <c r="AE190" s="917"/>
      <c r="AF190" s="917"/>
      <c r="AG190" s="917"/>
      <c r="AK190" s="917">
        <f t="shared" si="40"/>
        <v>0</v>
      </c>
      <c r="AL190" s="917"/>
      <c r="AM190" s="917">
        <f ca="1"/>
        <v>0</v>
      </c>
      <c r="AN190" s="917">
        <f ca="1"/>
        <v>0</v>
      </c>
      <c r="AO190" s="917">
        <f t="shared" ca="1" si="41"/>
        <v>0</v>
      </c>
      <c r="AP190" s="917">
        <f t="shared" ca="1" si="42"/>
        <v>0</v>
      </c>
    </row>
    <row r="191" spans="1:42" ht="16">
      <c r="A191" s="30"/>
      <c r="B191" s="5"/>
      <c r="C191" s="30"/>
      <c r="D191" s="30"/>
      <c r="E191" s="5"/>
      <c r="F191" s="890"/>
      <c r="G191" s="935"/>
      <c r="H191" s="915"/>
      <c r="I191" s="915"/>
      <c r="J191" s="915"/>
      <c r="K191" s="916"/>
      <c r="L191" s="890"/>
      <c r="M191" s="890"/>
      <c r="N191" s="890"/>
      <c r="O191" s="917"/>
      <c r="P191" s="917"/>
      <c r="Q191" s="890"/>
      <c r="R191" s="890"/>
      <c r="S191" s="890"/>
      <c r="T191" s="890"/>
      <c r="U191" s="890"/>
      <c r="V191" s="917"/>
      <c r="W191" s="917"/>
      <c r="X191" s="918"/>
      <c r="Y191" s="917"/>
      <c r="Z191" s="918"/>
      <c r="AA191" s="918"/>
      <c r="AB191" s="917"/>
      <c r="AC191" s="917"/>
      <c r="AD191" s="917"/>
      <c r="AE191" s="917"/>
      <c r="AF191" s="917"/>
      <c r="AG191" s="917"/>
      <c r="AK191" s="917">
        <f t="shared" si="40"/>
        <v>0</v>
      </c>
      <c r="AL191" s="917"/>
      <c r="AM191" s="917">
        <f ca="1"/>
        <v>0</v>
      </c>
      <c r="AN191" s="917">
        <f ca="1"/>
        <v>0</v>
      </c>
      <c r="AO191" s="917">
        <f t="shared" ca="1" si="41"/>
        <v>0</v>
      </c>
      <c r="AP191" s="917">
        <f t="shared" ca="1" si="42"/>
        <v>0</v>
      </c>
    </row>
    <row r="192" spans="1:42" ht="16">
      <c r="A192" s="30"/>
      <c r="B192" s="5"/>
      <c r="C192" s="30"/>
      <c r="D192" s="30"/>
      <c r="E192" s="5"/>
      <c r="F192" s="890"/>
      <c r="G192" s="935"/>
      <c r="H192" s="915"/>
      <c r="I192" s="915"/>
      <c r="J192" s="915"/>
      <c r="K192" s="916"/>
      <c r="L192" s="890"/>
      <c r="M192" s="890"/>
      <c r="N192" s="890"/>
      <c r="O192" s="917"/>
      <c r="P192" s="917"/>
      <c r="Q192" s="890"/>
      <c r="R192" s="890"/>
      <c r="S192" s="890"/>
      <c r="T192" s="890"/>
      <c r="U192" s="890"/>
      <c r="V192" s="917"/>
      <c r="W192" s="917"/>
      <c r="X192" s="918"/>
      <c r="Y192" s="917"/>
      <c r="Z192" s="918"/>
      <c r="AA192" s="918"/>
      <c r="AB192" s="917"/>
      <c r="AC192" s="917"/>
      <c r="AD192" s="917"/>
      <c r="AE192" s="917"/>
      <c r="AF192" s="917"/>
      <c r="AG192" s="917"/>
      <c r="AK192" s="917">
        <f t="shared" si="40"/>
        <v>0</v>
      </c>
      <c r="AL192" s="917"/>
      <c r="AM192" s="917">
        <f ca="1"/>
        <v>0</v>
      </c>
      <c r="AN192" s="917">
        <f ca="1"/>
        <v>0</v>
      </c>
      <c r="AO192" s="917">
        <f t="shared" ca="1" si="41"/>
        <v>0</v>
      </c>
      <c r="AP192" s="917">
        <f t="shared" ca="1" si="42"/>
        <v>0</v>
      </c>
    </row>
    <row r="193" spans="1:42" ht="16">
      <c r="A193" s="30"/>
      <c r="B193" s="5"/>
      <c r="C193" s="30"/>
      <c r="D193" s="30"/>
      <c r="E193" s="5"/>
      <c r="F193" s="890"/>
      <c r="G193" s="935"/>
      <c r="H193" s="915"/>
      <c r="I193" s="915"/>
      <c r="J193" s="915"/>
      <c r="K193" s="916"/>
      <c r="L193" s="890"/>
      <c r="M193" s="890"/>
      <c r="N193" s="890"/>
      <c r="O193" s="917"/>
      <c r="P193" s="917"/>
      <c r="Q193" s="890"/>
      <c r="R193" s="890"/>
      <c r="S193" s="890"/>
      <c r="T193" s="890"/>
      <c r="U193" s="890"/>
      <c r="V193" s="917"/>
      <c r="W193" s="917"/>
      <c r="X193" s="918"/>
      <c r="Y193" s="917"/>
      <c r="Z193" s="918"/>
      <c r="AA193" s="918"/>
      <c r="AB193" s="917"/>
      <c r="AC193" s="917"/>
      <c r="AD193" s="917"/>
      <c r="AE193" s="917"/>
      <c r="AF193" s="917"/>
      <c r="AG193" s="917"/>
      <c r="AK193" s="917">
        <f t="shared" si="40"/>
        <v>0</v>
      </c>
      <c r="AL193" s="917"/>
      <c r="AM193" s="917">
        <f ca="1"/>
        <v>0</v>
      </c>
      <c r="AN193" s="917">
        <f ca="1"/>
        <v>0</v>
      </c>
      <c r="AO193" s="917">
        <f t="shared" ca="1" si="41"/>
        <v>0</v>
      </c>
      <c r="AP193" s="917">
        <f t="shared" ca="1" si="42"/>
        <v>0</v>
      </c>
    </row>
    <row r="194" spans="1:42" ht="16">
      <c r="A194" s="30"/>
      <c r="B194" s="5"/>
      <c r="C194" s="30"/>
      <c r="D194" s="30"/>
      <c r="E194" s="5"/>
      <c r="F194" s="890"/>
      <c r="G194" s="935"/>
      <c r="H194" s="915"/>
      <c r="I194" s="915"/>
      <c r="J194" s="915"/>
      <c r="K194" s="916"/>
      <c r="L194" s="890"/>
      <c r="M194" s="890"/>
      <c r="N194" s="890"/>
      <c r="O194" s="917"/>
      <c r="P194" s="917"/>
      <c r="Q194" s="890"/>
      <c r="R194" s="890"/>
      <c r="S194" s="890"/>
      <c r="T194" s="890"/>
      <c r="U194" s="890"/>
      <c r="V194" s="917"/>
      <c r="W194" s="917"/>
      <c r="X194" s="918"/>
      <c r="Y194" s="917"/>
      <c r="Z194" s="918"/>
      <c r="AA194" s="918"/>
      <c r="AB194" s="917"/>
      <c r="AC194" s="917"/>
      <c r="AD194" s="917"/>
      <c r="AE194" s="917"/>
      <c r="AF194" s="917"/>
      <c r="AG194" s="917"/>
      <c r="AK194" s="917">
        <f t="shared" si="40"/>
        <v>0</v>
      </c>
      <c r="AL194" s="917"/>
      <c r="AM194" s="917">
        <f ca="1"/>
        <v>0</v>
      </c>
      <c r="AN194" s="917">
        <f ca="1"/>
        <v>0</v>
      </c>
      <c r="AO194" s="917">
        <f t="shared" ca="1" si="41"/>
        <v>0</v>
      </c>
      <c r="AP194" s="917">
        <f t="shared" ca="1" si="42"/>
        <v>0</v>
      </c>
    </row>
    <row r="195" spans="1:42" ht="16">
      <c r="A195" s="30"/>
      <c r="B195" s="5"/>
      <c r="C195" s="30"/>
      <c r="D195" s="30"/>
      <c r="E195" s="5"/>
      <c r="F195" s="890"/>
      <c r="G195" s="935"/>
      <c r="H195" s="915"/>
      <c r="I195" s="915"/>
      <c r="J195" s="915"/>
      <c r="K195" s="916"/>
      <c r="L195" s="890"/>
      <c r="M195" s="890"/>
      <c r="N195" s="890"/>
      <c r="O195" s="917"/>
      <c r="P195" s="917"/>
      <c r="Q195" s="890"/>
      <c r="R195" s="890"/>
      <c r="S195" s="890"/>
      <c r="T195" s="890"/>
      <c r="U195" s="890"/>
      <c r="V195" s="917"/>
      <c r="W195" s="917"/>
      <c r="X195" s="918"/>
      <c r="Y195" s="917"/>
      <c r="Z195" s="918"/>
      <c r="AA195" s="918"/>
      <c r="AB195" s="917"/>
      <c r="AC195" s="917"/>
      <c r="AD195" s="917"/>
      <c r="AE195" s="917"/>
      <c r="AF195" s="917"/>
      <c r="AG195" s="917"/>
      <c r="AK195" s="917">
        <f t="shared" si="40"/>
        <v>0</v>
      </c>
      <c r="AL195" s="917"/>
      <c r="AM195" s="917">
        <f ca="1"/>
        <v>0</v>
      </c>
      <c r="AN195" s="917">
        <f ca="1"/>
        <v>0</v>
      </c>
      <c r="AO195" s="917">
        <f t="shared" ca="1" si="41"/>
        <v>0</v>
      </c>
      <c r="AP195" s="917">
        <f t="shared" ca="1" si="42"/>
        <v>0</v>
      </c>
    </row>
    <row r="196" spans="1:42" ht="16">
      <c r="A196" s="30"/>
      <c r="B196" s="5"/>
      <c r="C196" s="30"/>
      <c r="D196" s="30"/>
      <c r="E196" s="5"/>
      <c r="F196" s="890"/>
      <c r="G196" s="935"/>
      <c r="H196" s="915"/>
      <c r="I196" s="915"/>
      <c r="J196" s="915"/>
      <c r="K196" s="916"/>
      <c r="L196" s="890"/>
      <c r="M196" s="890"/>
      <c r="N196" s="890"/>
      <c r="O196" s="917"/>
      <c r="P196" s="917"/>
      <c r="Q196" s="890"/>
      <c r="R196" s="890"/>
      <c r="S196" s="890"/>
      <c r="T196" s="890"/>
      <c r="U196" s="890"/>
      <c r="V196" s="917"/>
      <c r="W196" s="917"/>
      <c r="X196" s="918"/>
      <c r="Y196" s="917"/>
      <c r="Z196" s="918"/>
      <c r="AA196" s="918"/>
      <c r="AB196" s="917"/>
      <c r="AC196" s="917"/>
      <c r="AD196" s="917"/>
      <c r="AE196" s="917"/>
      <c r="AF196" s="917"/>
      <c r="AG196" s="917"/>
      <c r="AK196" s="917">
        <f t="shared" si="40"/>
        <v>0</v>
      </c>
      <c r="AL196" s="917"/>
      <c r="AM196" s="917">
        <f ca="1"/>
        <v>0</v>
      </c>
      <c r="AN196" s="917">
        <f ca="1"/>
        <v>0</v>
      </c>
      <c r="AO196" s="917">
        <f t="shared" ca="1" si="41"/>
        <v>0</v>
      </c>
      <c r="AP196" s="917">
        <f t="shared" ca="1" si="42"/>
        <v>0</v>
      </c>
    </row>
    <row r="197" spans="1:42" ht="16">
      <c r="A197" s="30"/>
      <c r="B197" s="5"/>
      <c r="C197" s="30"/>
      <c r="D197" s="30"/>
      <c r="E197" s="5"/>
      <c r="F197" s="890"/>
      <c r="G197" s="935"/>
      <c r="H197" s="915"/>
      <c r="I197" s="915"/>
      <c r="J197" s="915"/>
      <c r="K197" s="916"/>
      <c r="L197" s="890"/>
      <c r="M197" s="890"/>
      <c r="N197" s="890"/>
      <c r="O197" s="917"/>
      <c r="P197" s="917"/>
      <c r="Q197" s="890"/>
      <c r="R197" s="890"/>
      <c r="S197" s="890"/>
      <c r="T197" s="890"/>
      <c r="U197" s="890"/>
      <c r="V197" s="917"/>
      <c r="W197" s="917"/>
      <c r="X197" s="918"/>
      <c r="Y197" s="917"/>
      <c r="Z197" s="918"/>
      <c r="AA197" s="918"/>
      <c r="AB197" s="917"/>
      <c r="AC197" s="917"/>
      <c r="AD197" s="917"/>
      <c r="AE197" s="917"/>
      <c r="AF197" s="917"/>
      <c r="AG197" s="917"/>
      <c r="AK197" s="917">
        <f t="shared" si="40"/>
        <v>0</v>
      </c>
      <c r="AL197" s="917"/>
      <c r="AM197" s="917">
        <f ca="1"/>
        <v>0</v>
      </c>
      <c r="AN197" s="917">
        <f ca="1"/>
        <v>0</v>
      </c>
      <c r="AO197" s="917">
        <f t="shared" ca="1" si="41"/>
        <v>0</v>
      </c>
      <c r="AP197" s="917">
        <f t="shared" ca="1" si="42"/>
        <v>0</v>
      </c>
    </row>
    <row r="198" spans="1:42" ht="16">
      <c r="A198" s="30"/>
      <c r="B198" s="5"/>
      <c r="C198" s="30"/>
      <c r="D198" s="30"/>
      <c r="E198" s="5"/>
      <c r="F198" s="890"/>
      <c r="G198" s="935"/>
      <c r="H198" s="915"/>
      <c r="I198" s="915"/>
      <c r="J198" s="915"/>
      <c r="K198" s="916"/>
      <c r="L198" s="890"/>
      <c r="M198" s="890"/>
      <c r="N198" s="890"/>
      <c r="O198" s="917"/>
      <c r="P198" s="917"/>
      <c r="Q198" s="890"/>
      <c r="R198" s="890"/>
      <c r="S198" s="890"/>
      <c r="T198" s="890"/>
      <c r="U198" s="890"/>
      <c r="V198" s="917"/>
      <c r="W198" s="917"/>
      <c r="X198" s="918"/>
      <c r="Y198" s="917"/>
      <c r="Z198" s="918"/>
      <c r="AA198" s="918"/>
      <c r="AB198" s="917"/>
      <c r="AC198" s="917"/>
      <c r="AD198" s="917"/>
      <c r="AE198" s="917"/>
      <c r="AF198" s="917"/>
      <c r="AG198" s="917"/>
      <c r="AK198" s="917">
        <f t="shared" si="40"/>
        <v>0</v>
      </c>
      <c r="AL198" s="917"/>
      <c r="AM198" s="917">
        <f ca="1"/>
        <v>0</v>
      </c>
      <c r="AN198" s="917">
        <f ca="1"/>
        <v>0</v>
      </c>
      <c r="AO198" s="917">
        <f t="shared" ca="1" si="41"/>
        <v>0</v>
      </c>
      <c r="AP198" s="917">
        <f t="shared" ca="1" si="42"/>
        <v>0</v>
      </c>
    </row>
    <row r="199" spans="1:42" ht="16">
      <c r="A199" s="30"/>
      <c r="B199" s="5"/>
      <c r="C199" s="30"/>
      <c r="D199" s="30"/>
      <c r="E199" s="5"/>
      <c r="F199" s="890"/>
      <c r="G199" s="935"/>
      <c r="H199" s="915"/>
      <c r="I199" s="915"/>
      <c r="J199" s="915"/>
      <c r="K199" s="916"/>
      <c r="L199" s="890"/>
      <c r="M199" s="890"/>
      <c r="N199" s="890"/>
      <c r="O199" s="917"/>
      <c r="P199" s="917"/>
      <c r="Q199" s="890"/>
      <c r="R199" s="890"/>
      <c r="S199" s="890"/>
      <c r="T199" s="890"/>
      <c r="U199" s="890"/>
      <c r="V199" s="917"/>
      <c r="W199" s="917"/>
      <c r="X199" s="918"/>
      <c r="Y199" s="917"/>
      <c r="Z199" s="918"/>
      <c r="AA199" s="918"/>
      <c r="AB199" s="917"/>
      <c r="AC199" s="917"/>
      <c r="AD199" s="917"/>
      <c r="AE199" s="917"/>
      <c r="AF199" s="917"/>
      <c r="AG199" s="917"/>
      <c r="AK199" s="917">
        <f t="shared" si="40"/>
        <v>0</v>
      </c>
      <c r="AL199" s="917"/>
      <c r="AM199" s="917">
        <f ca="1"/>
        <v>0</v>
      </c>
      <c r="AN199" s="917">
        <f ca="1"/>
        <v>0</v>
      </c>
      <c r="AO199" s="917">
        <f t="shared" ca="1" si="41"/>
        <v>0</v>
      </c>
      <c r="AP199" s="917">
        <f t="shared" ca="1" si="42"/>
        <v>0</v>
      </c>
    </row>
    <row r="200" spans="1:42" ht="16">
      <c r="A200" s="30"/>
      <c r="B200" s="5"/>
      <c r="C200" s="30"/>
      <c r="D200" s="30"/>
      <c r="E200" s="5"/>
      <c r="F200" s="890"/>
      <c r="G200" s="935"/>
      <c r="H200" s="915"/>
      <c r="I200" s="915"/>
      <c r="J200" s="915"/>
      <c r="K200" s="916"/>
      <c r="L200" s="890"/>
      <c r="M200" s="890"/>
      <c r="N200" s="890"/>
      <c r="O200" s="917"/>
      <c r="P200" s="917"/>
      <c r="Q200" s="890"/>
      <c r="R200" s="890"/>
      <c r="S200" s="890"/>
      <c r="T200" s="890"/>
      <c r="U200" s="890"/>
      <c r="V200" s="917"/>
      <c r="W200" s="917"/>
      <c r="X200" s="918"/>
      <c r="Y200" s="917"/>
      <c r="Z200" s="918"/>
      <c r="AA200" s="918"/>
      <c r="AB200" s="917"/>
      <c r="AC200" s="917"/>
      <c r="AD200" s="917"/>
      <c r="AE200" s="917"/>
      <c r="AF200" s="917"/>
      <c r="AG200" s="917"/>
      <c r="AK200" s="917">
        <f t="shared" si="40"/>
        <v>0</v>
      </c>
      <c r="AL200" s="917"/>
      <c r="AM200" s="917">
        <f ca="1"/>
        <v>0</v>
      </c>
      <c r="AN200" s="917">
        <f ca="1"/>
        <v>0</v>
      </c>
      <c r="AO200" s="917">
        <f t="shared" ca="1" si="41"/>
        <v>0</v>
      </c>
      <c r="AP200" s="917">
        <f t="shared" ca="1" si="42"/>
        <v>0</v>
      </c>
    </row>
    <row r="201" spans="1:42" ht="16">
      <c r="A201" s="30"/>
      <c r="B201" s="5"/>
      <c r="C201" s="30"/>
      <c r="D201" s="30"/>
      <c r="E201" s="5"/>
      <c r="F201" s="890"/>
      <c r="G201" s="935"/>
      <c r="H201" s="915"/>
      <c r="I201" s="915"/>
      <c r="J201" s="915"/>
      <c r="K201" s="916"/>
      <c r="L201" s="890"/>
      <c r="M201" s="890"/>
      <c r="N201" s="890"/>
      <c r="O201" s="917"/>
      <c r="P201" s="917"/>
      <c r="Q201" s="890"/>
      <c r="R201" s="890"/>
      <c r="S201" s="890"/>
      <c r="T201" s="890"/>
      <c r="U201" s="890"/>
      <c r="V201" s="917"/>
      <c r="W201" s="917"/>
      <c r="X201" s="918"/>
      <c r="Y201" s="917"/>
      <c r="Z201" s="918"/>
      <c r="AA201" s="918"/>
      <c r="AB201" s="917"/>
      <c r="AC201" s="917"/>
      <c r="AD201" s="917"/>
      <c r="AE201" s="917"/>
      <c r="AF201" s="917"/>
      <c r="AG201" s="917"/>
      <c r="AK201" s="917">
        <f t="shared" ref="AK201:AK264" si="43">IF(W201&lt;0,W201,0)</f>
        <v>0</v>
      </c>
      <c r="AL201" s="917"/>
      <c r="AM201" s="917">
        <f ca="1"/>
        <v>0</v>
      </c>
      <c r="AN201" s="917">
        <f ca="1"/>
        <v>0</v>
      </c>
      <c r="AO201" s="917">
        <f t="shared" ref="AO201:AO264" ca="1" si="44">SUM(AL201:AN201)</f>
        <v>0</v>
      </c>
      <c r="AP201" s="917">
        <f t="shared" ref="AP201:AP264" ca="1" si="45">AO201+AK201</f>
        <v>0</v>
      </c>
    </row>
    <row r="202" spans="1:42" ht="16">
      <c r="A202" s="30"/>
      <c r="B202" s="5"/>
      <c r="C202" s="30"/>
      <c r="D202" s="30"/>
      <c r="E202" s="5"/>
      <c r="F202" s="890"/>
      <c r="G202" s="935"/>
      <c r="H202" s="915"/>
      <c r="I202" s="915"/>
      <c r="J202" s="915"/>
      <c r="K202" s="916"/>
      <c r="L202" s="890"/>
      <c r="M202" s="890"/>
      <c r="N202" s="890"/>
      <c r="O202" s="917"/>
      <c r="P202" s="917"/>
      <c r="Q202" s="890"/>
      <c r="R202" s="890"/>
      <c r="S202" s="890"/>
      <c r="T202" s="890"/>
      <c r="U202" s="890"/>
      <c r="V202" s="917"/>
      <c r="W202" s="917"/>
      <c r="X202" s="918"/>
      <c r="Y202" s="917"/>
      <c r="Z202" s="918"/>
      <c r="AA202" s="918"/>
      <c r="AB202" s="917"/>
      <c r="AC202" s="917"/>
      <c r="AD202" s="917"/>
      <c r="AE202" s="917"/>
      <c r="AF202" s="917"/>
      <c r="AG202" s="917"/>
      <c r="AK202" s="917">
        <f t="shared" si="43"/>
        <v>0</v>
      </c>
      <c r="AL202" s="917"/>
      <c r="AM202" s="917">
        <f ca="1"/>
        <v>0</v>
      </c>
      <c r="AN202" s="917">
        <f ca="1"/>
        <v>0</v>
      </c>
      <c r="AO202" s="917">
        <f t="shared" ca="1" si="44"/>
        <v>0</v>
      </c>
      <c r="AP202" s="917">
        <f t="shared" ca="1" si="45"/>
        <v>0</v>
      </c>
    </row>
    <row r="203" spans="1:42" ht="16">
      <c r="A203" s="30"/>
      <c r="B203" s="5"/>
      <c r="C203" s="30"/>
      <c r="D203" s="30"/>
      <c r="E203" s="5"/>
      <c r="F203" s="890"/>
      <c r="G203" s="935"/>
      <c r="H203" s="915"/>
      <c r="I203" s="915"/>
      <c r="J203" s="915"/>
      <c r="K203" s="916"/>
      <c r="L203" s="890"/>
      <c r="M203" s="890"/>
      <c r="N203" s="890"/>
      <c r="O203" s="917"/>
      <c r="P203" s="917"/>
      <c r="Q203" s="890"/>
      <c r="R203" s="890"/>
      <c r="S203" s="890"/>
      <c r="T203" s="890"/>
      <c r="U203" s="890"/>
      <c r="V203" s="917"/>
      <c r="W203" s="917"/>
      <c r="X203" s="918"/>
      <c r="Y203" s="917"/>
      <c r="Z203" s="918"/>
      <c r="AA203" s="918"/>
      <c r="AB203" s="917"/>
      <c r="AC203" s="917"/>
      <c r="AD203" s="917"/>
      <c r="AE203" s="917"/>
      <c r="AF203" s="917"/>
      <c r="AG203" s="917"/>
      <c r="AK203" s="917">
        <f t="shared" si="43"/>
        <v>0</v>
      </c>
      <c r="AL203" s="917"/>
      <c r="AM203" s="917">
        <f ca="1"/>
        <v>0</v>
      </c>
      <c r="AN203" s="917">
        <f ca="1"/>
        <v>0</v>
      </c>
      <c r="AO203" s="917">
        <f t="shared" ca="1" si="44"/>
        <v>0</v>
      </c>
      <c r="AP203" s="917">
        <f t="shared" ca="1" si="45"/>
        <v>0</v>
      </c>
    </row>
    <row r="204" spans="1:42" ht="16">
      <c r="A204" s="30"/>
      <c r="B204" s="5"/>
      <c r="C204" s="30"/>
      <c r="D204" s="30"/>
      <c r="E204" s="5"/>
      <c r="F204" s="890"/>
      <c r="G204" s="935"/>
      <c r="H204" s="915"/>
      <c r="I204" s="915"/>
      <c r="J204" s="915"/>
      <c r="K204" s="916"/>
      <c r="L204" s="890"/>
      <c r="M204" s="890"/>
      <c r="N204" s="890"/>
      <c r="O204" s="917"/>
      <c r="P204" s="917"/>
      <c r="Q204" s="890"/>
      <c r="R204" s="890"/>
      <c r="S204" s="890"/>
      <c r="T204" s="890"/>
      <c r="U204" s="890"/>
      <c r="V204" s="917"/>
      <c r="W204" s="917"/>
      <c r="X204" s="918"/>
      <c r="Y204" s="917"/>
      <c r="Z204" s="918"/>
      <c r="AA204" s="918"/>
      <c r="AB204" s="917"/>
      <c r="AC204" s="917"/>
      <c r="AD204" s="917"/>
      <c r="AE204" s="917"/>
      <c r="AF204" s="917"/>
      <c r="AG204" s="917"/>
      <c r="AK204" s="917">
        <f t="shared" si="43"/>
        <v>0</v>
      </c>
      <c r="AL204" s="917"/>
      <c r="AM204" s="917">
        <f ca="1"/>
        <v>0</v>
      </c>
      <c r="AN204" s="917">
        <f ca="1"/>
        <v>0</v>
      </c>
      <c r="AO204" s="917">
        <f t="shared" ca="1" si="44"/>
        <v>0</v>
      </c>
      <c r="AP204" s="917">
        <f t="shared" ca="1" si="45"/>
        <v>0</v>
      </c>
    </row>
    <row r="205" spans="1:42" ht="16">
      <c r="A205" s="30"/>
      <c r="B205" s="5"/>
      <c r="C205" s="30"/>
      <c r="D205" s="30"/>
      <c r="E205" s="5"/>
      <c r="F205" s="890"/>
      <c r="G205" s="935"/>
      <c r="H205" s="915"/>
      <c r="I205" s="915"/>
      <c r="J205" s="915"/>
      <c r="K205" s="916"/>
      <c r="L205" s="890"/>
      <c r="M205" s="890"/>
      <c r="N205" s="890"/>
      <c r="O205" s="917"/>
      <c r="P205" s="917"/>
      <c r="Q205" s="890"/>
      <c r="R205" s="890"/>
      <c r="S205" s="890"/>
      <c r="T205" s="890"/>
      <c r="U205" s="890"/>
      <c r="V205" s="917"/>
      <c r="W205" s="917"/>
      <c r="X205" s="918"/>
      <c r="Y205" s="917"/>
      <c r="Z205" s="918"/>
      <c r="AA205" s="918"/>
      <c r="AB205" s="917"/>
      <c r="AC205" s="917"/>
      <c r="AD205" s="917"/>
      <c r="AE205" s="917"/>
      <c r="AF205" s="917"/>
      <c r="AG205" s="917"/>
      <c r="AK205" s="917">
        <f t="shared" si="43"/>
        <v>0</v>
      </c>
      <c r="AL205" s="917"/>
      <c r="AM205" s="917">
        <f ca="1"/>
        <v>0</v>
      </c>
      <c r="AN205" s="917">
        <f ca="1"/>
        <v>0</v>
      </c>
      <c r="AO205" s="917">
        <f t="shared" ca="1" si="44"/>
        <v>0</v>
      </c>
      <c r="AP205" s="917">
        <f t="shared" ca="1" si="45"/>
        <v>0</v>
      </c>
    </row>
    <row r="206" spans="1:42" ht="16">
      <c r="A206" s="30"/>
      <c r="B206" s="5"/>
      <c r="C206" s="30"/>
      <c r="D206" s="30"/>
      <c r="E206" s="5"/>
      <c r="F206" s="890"/>
      <c r="G206" s="935"/>
      <c r="H206" s="915"/>
      <c r="I206" s="915"/>
      <c r="J206" s="915"/>
      <c r="K206" s="916"/>
      <c r="L206" s="890"/>
      <c r="M206" s="890"/>
      <c r="N206" s="890"/>
      <c r="O206" s="917"/>
      <c r="P206" s="917"/>
      <c r="Q206" s="890"/>
      <c r="R206" s="890"/>
      <c r="S206" s="890"/>
      <c r="T206" s="890"/>
      <c r="U206" s="890"/>
      <c r="V206" s="917"/>
      <c r="W206" s="917"/>
      <c r="X206" s="918"/>
      <c r="Y206" s="917"/>
      <c r="Z206" s="918"/>
      <c r="AA206" s="918"/>
      <c r="AB206" s="917"/>
      <c r="AC206" s="917"/>
      <c r="AD206" s="917"/>
      <c r="AE206" s="917"/>
      <c r="AF206" s="917"/>
      <c r="AG206" s="917"/>
      <c r="AK206" s="917">
        <f t="shared" si="43"/>
        <v>0</v>
      </c>
      <c r="AL206" s="917"/>
      <c r="AM206" s="917">
        <f ca="1"/>
        <v>0</v>
      </c>
      <c r="AN206" s="917">
        <f ca="1"/>
        <v>0</v>
      </c>
      <c r="AO206" s="917">
        <f t="shared" ca="1" si="44"/>
        <v>0</v>
      </c>
      <c r="AP206" s="917">
        <f t="shared" ca="1" si="45"/>
        <v>0</v>
      </c>
    </row>
    <row r="207" spans="1:42" ht="16">
      <c r="A207" s="30"/>
      <c r="B207" s="5"/>
      <c r="C207" s="30"/>
      <c r="D207" s="30"/>
      <c r="E207" s="5"/>
      <c r="F207" s="890"/>
      <c r="G207" s="935"/>
      <c r="H207" s="915"/>
      <c r="I207" s="915"/>
      <c r="J207" s="915"/>
      <c r="K207" s="916"/>
      <c r="L207" s="890"/>
      <c r="M207" s="890"/>
      <c r="N207" s="890"/>
      <c r="O207" s="917"/>
      <c r="P207" s="917"/>
      <c r="Q207" s="890"/>
      <c r="R207" s="890"/>
      <c r="S207" s="890"/>
      <c r="T207" s="890"/>
      <c r="U207" s="890"/>
      <c r="V207" s="917"/>
      <c r="W207" s="917"/>
      <c r="X207" s="918"/>
      <c r="Y207" s="917"/>
      <c r="Z207" s="918"/>
      <c r="AA207" s="918"/>
      <c r="AB207" s="917"/>
      <c r="AC207" s="917"/>
      <c r="AD207" s="917"/>
      <c r="AE207" s="917"/>
      <c r="AF207" s="917"/>
      <c r="AG207" s="917"/>
      <c r="AK207" s="917">
        <f t="shared" si="43"/>
        <v>0</v>
      </c>
      <c r="AL207" s="917"/>
      <c r="AM207" s="917">
        <f ca="1"/>
        <v>0</v>
      </c>
      <c r="AN207" s="917">
        <f ca="1"/>
        <v>0</v>
      </c>
      <c r="AO207" s="917">
        <f t="shared" ca="1" si="44"/>
        <v>0</v>
      </c>
      <c r="AP207" s="917">
        <f t="shared" ca="1" si="45"/>
        <v>0</v>
      </c>
    </row>
    <row r="208" spans="1:42" ht="16">
      <c r="A208" s="30"/>
      <c r="B208" s="5"/>
      <c r="C208" s="30"/>
      <c r="D208" s="30"/>
      <c r="E208" s="5"/>
      <c r="F208" s="890"/>
      <c r="G208" s="935"/>
      <c r="H208" s="915"/>
      <c r="I208" s="915"/>
      <c r="J208" s="915"/>
      <c r="K208" s="916"/>
      <c r="L208" s="890"/>
      <c r="M208" s="890"/>
      <c r="N208" s="890"/>
      <c r="O208" s="917"/>
      <c r="P208" s="917"/>
      <c r="Q208" s="890"/>
      <c r="R208" s="890"/>
      <c r="S208" s="890"/>
      <c r="T208" s="890"/>
      <c r="U208" s="890"/>
      <c r="V208" s="917"/>
      <c r="W208" s="917"/>
      <c r="X208" s="918"/>
      <c r="Y208" s="917"/>
      <c r="Z208" s="918"/>
      <c r="AA208" s="918"/>
      <c r="AB208" s="917"/>
      <c r="AC208" s="917"/>
      <c r="AD208" s="917"/>
      <c r="AE208" s="917"/>
      <c r="AF208" s="917"/>
      <c r="AG208" s="917"/>
      <c r="AK208" s="917">
        <f t="shared" si="43"/>
        <v>0</v>
      </c>
      <c r="AL208" s="917"/>
      <c r="AM208" s="917">
        <f ca="1"/>
        <v>0</v>
      </c>
      <c r="AN208" s="917">
        <f ca="1"/>
        <v>0</v>
      </c>
      <c r="AO208" s="917">
        <f t="shared" ca="1" si="44"/>
        <v>0</v>
      </c>
      <c r="AP208" s="917">
        <f t="shared" ca="1" si="45"/>
        <v>0</v>
      </c>
    </row>
    <row r="209" spans="1:42" ht="16">
      <c r="A209" s="30"/>
      <c r="B209" s="5"/>
      <c r="C209" s="30"/>
      <c r="D209" s="30"/>
      <c r="E209" s="5"/>
      <c r="F209" s="890"/>
      <c r="G209" s="935"/>
      <c r="H209" s="915"/>
      <c r="I209" s="915"/>
      <c r="J209" s="915"/>
      <c r="K209" s="916"/>
      <c r="L209" s="890"/>
      <c r="M209" s="890"/>
      <c r="N209" s="890"/>
      <c r="O209" s="917"/>
      <c r="P209" s="917"/>
      <c r="Q209" s="890"/>
      <c r="R209" s="890"/>
      <c r="S209" s="890"/>
      <c r="T209" s="890"/>
      <c r="U209" s="890"/>
      <c r="V209" s="917"/>
      <c r="W209" s="917"/>
      <c r="X209" s="918"/>
      <c r="Y209" s="917"/>
      <c r="Z209" s="918"/>
      <c r="AA209" s="918"/>
      <c r="AB209" s="917"/>
      <c r="AC209" s="917"/>
      <c r="AD209" s="917"/>
      <c r="AE209" s="917"/>
      <c r="AF209" s="917"/>
      <c r="AG209" s="917"/>
      <c r="AK209" s="917">
        <f t="shared" si="43"/>
        <v>0</v>
      </c>
      <c r="AL209" s="917"/>
      <c r="AM209" s="917">
        <f ca="1"/>
        <v>0</v>
      </c>
      <c r="AN209" s="917">
        <f ca="1"/>
        <v>0</v>
      </c>
      <c r="AO209" s="917">
        <f t="shared" ca="1" si="44"/>
        <v>0</v>
      </c>
      <c r="AP209" s="917">
        <f t="shared" ca="1" si="45"/>
        <v>0</v>
      </c>
    </row>
    <row r="210" spans="1:42" ht="16">
      <c r="A210" s="30"/>
      <c r="B210" s="5"/>
      <c r="C210" s="30"/>
      <c r="D210" s="30"/>
      <c r="E210" s="5"/>
      <c r="F210" s="890"/>
      <c r="G210" s="935"/>
      <c r="H210" s="915"/>
      <c r="I210" s="915"/>
      <c r="J210" s="915"/>
      <c r="K210" s="916"/>
      <c r="L210" s="890"/>
      <c r="M210" s="890"/>
      <c r="N210" s="890"/>
      <c r="O210" s="917"/>
      <c r="P210" s="917"/>
      <c r="Q210" s="890"/>
      <c r="R210" s="890"/>
      <c r="S210" s="890"/>
      <c r="T210" s="890"/>
      <c r="U210" s="890"/>
      <c r="V210" s="917"/>
      <c r="W210" s="917"/>
      <c r="X210" s="918"/>
      <c r="Y210" s="917"/>
      <c r="Z210" s="918"/>
      <c r="AA210" s="918"/>
      <c r="AB210" s="917"/>
      <c r="AC210" s="917"/>
      <c r="AD210" s="917"/>
      <c r="AE210" s="917"/>
      <c r="AF210" s="917"/>
      <c r="AG210" s="917"/>
      <c r="AK210" s="917">
        <f t="shared" si="43"/>
        <v>0</v>
      </c>
      <c r="AL210" s="917"/>
      <c r="AM210" s="917">
        <f ca="1"/>
        <v>0</v>
      </c>
      <c r="AN210" s="917">
        <f ca="1"/>
        <v>0</v>
      </c>
      <c r="AO210" s="917">
        <f t="shared" ca="1" si="44"/>
        <v>0</v>
      </c>
      <c r="AP210" s="917">
        <f t="shared" ca="1" si="45"/>
        <v>0</v>
      </c>
    </row>
    <row r="211" spans="1:42" ht="16">
      <c r="A211" s="30"/>
      <c r="B211" s="5"/>
      <c r="C211" s="30"/>
      <c r="D211" s="30"/>
      <c r="E211" s="5"/>
      <c r="F211" s="890"/>
      <c r="G211" s="935"/>
      <c r="H211" s="915"/>
      <c r="I211" s="915"/>
      <c r="J211" s="915"/>
      <c r="K211" s="916"/>
      <c r="L211" s="890"/>
      <c r="M211" s="890"/>
      <c r="N211" s="890"/>
      <c r="O211" s="917"/>
      <c r="P211" s="917"/>
      <c r="Q211" s="890"/>
      <c r="R211" s="890"/>
      <c r="S211" s="890"/>
      <c r="T211" s="890"/>
      <c r="U211" s="890"/>
      <c r="V211" s="917"/>
      <c r="W211" s="917"/>
      <c r="X211" s="918"/>
      <c r="Y211" s="917"/>
      <c r="Z211" s="918"/>
      <c r="AA211" s="918"/>
      <c r="AB211" s="917"/>
      <c r="AC211" s="917"/>
      <c r="AD211" s="917"/>
      <c r="AE211" s="917"/>
      <c r="AF211" s="917"/>
      <c r="AG211" s="917"/>
      <c r="AK211" s="917">
        <f t="shared" si="43"/>
        <v>0</v>
      </c>
      <c r="AL211" s="917"/>
      <c r="AM211" s="917">
        <f ca="1"/>
        <v>0</v>
      </c>
      <c r="AN211" s="917">
        <f ca="1"/>
        <v>0</v>
      </c>
      <c r="AO211" s="917">
        <f t="shared" ca="1" si="44"/>
        <v>0</v>
      </c>
      <c r="AP211" s="917">
        <f t="shared" ca="1" si="45"/>
        <v>0</v>
      </c>
    </row>
    <row r="212" spans="1:42" ht="16">
      <c r="A212" s="30"/>
      <c r="B212" s="5"/>
      <c r="C212" s="30"/>
      <c r="D212" s="30"/>
      <c r="E212" s="5"/>
      <c r="F212" s="890"/>
      <c r="G212" s="935"/>
      <c r="H212" s="915"/>
      <c r="I212" s="915"/>
      <c r="J212" s="915"/>
      <c r="K212" s="916"/>
      <c r="L212" s="890"/>
      <c r="M212" s="890"/>
      <c r="N212" s="890"/>
      <c r="O212" s="917"/>
      <c r="P212" s="917"/>
      <c r="Q212" s="890"/>
      <c r="R212" s="890"/>
      <c r="S212" s="890"/>
      <c r="T212" s="890"/>
      <c r="U212" s="890"/>
      <c r="V212" s="917"/>
      <c r="W212" s="917"/>
      <c r="X212" s="918"/>
      <c r="Y212" s="917"/>
      <c r="Z212" s="918"/>
      <c r="AA212" s="918"/>
      <c r="AB212" s="917"/>
      <c r="AC212" s="917"/>
      <c r="AD212" s="917"/>
      <c r="AE212" s="917"/>
      <c r="AF212" s="917"/>
      <c r="AG212" s="917"/>
      <c r="AK212" s="917">
        <f t="shared" si="43"/>
        <v>0</v>
      </c>
      <c r="AL212" s="917"/>
      <c r="AM212" s="917">
        <f ca="1"/>
        <v>0</v>
      </c>
      <c r="AN212" s="917">
        <f ca="1"/>
        <v>0</v>
      </c>
      <c r="AO212" s="917">
        <f t="shared" ca="1" si="44"/>
        <v>0</v>
      </c>
      <c r="AP212" s="917">
        <f t="shared" ca="1" si="45"/>
        <v>0</v>
      </c>
    </row>
    <row r="213" spans="1:42" ht="16">
      <c r="A213" s="30"/>
      <c r="B213" s="5"/>
      <c r="C213" s="30"/>
      <c r="D213" s="30"/>
      <c r="E213" s="5"/>
      <c r="F213" s="890"/>
      <c r="G213" s="935"/>
      <c r="H213" s="915"/>
      <c r="I213" s="915"/>
      <c r="J213" s="915"/>
      <c r="K213" s="916"/>
      <c r="L213" s="890"/>
      <c r="M213" s="890"/>
      <c r="N213" s="890"/>
      <c r="O213" s="917"/>
      <c r="P213" s="917"/>
      <c r="Q213" s="890"/>
      <c r="R213" s="890"/>
      <c r="S213" s="890"/>
      <c r="T213" s="890"/>
      <c r="U213" s="890"/>
      <c r="V213" s="917"/>
      <c r="W213" s="917"/>
      <c r="X213" s="918"/>
      <c r="Y213" s="917"/>
      <c r="Z213" s="918"/>
      <c r="AA213" s="918"/>
      <c r="AB213" s="917"/>
      <c r="AC213" s="917"/>
      <c r="AD213" s="917"/>
      <c r="AE213" s="917"/>
      <c r="AF213" s="917"/>
      <c r="AG213" s="917"/>
      <c r="AK213" s="917">
        <f t="shared" si="43"/>
        <v>0</v>
      </c>
      <c r="AL213" s="917"/>
      <c r="AM213" s="917">
        <f ca="1"/>
        <v>0</v>
      </c>
      <c r="AN213" s="917">
        <f ca="1"/>
        <v>0</v>
      </c>
      <c r="AO213" s="917">
        <f t="shared" ca="1" si="44"/>
        <v>0</v>
      </c>
      <c r="AP213" s="917">
        <f t="shared" ca="1" si="45"/>
        <v>0</v>
      </c>
    </row>
    <row r="214" spans="1:42" ht="16">
      <c r="A214" s="30"/>
      <c r="B214" s="5"/>
      <c r="C214" s="30"/>
      <c r="D214" s="30"/>
      <c r="E214" s="5"/>
      <c r="F214" s="890"/>
      <c r="G214" s="935"/>
      <c r="H214" s="915"/>
      <c r="I214" s="915"/>
      <c r="J214" s="915"/>
      <c r="K214" s="916"/>
      <c r="L214" s="890"/>
      <c r="M214" s="890"/>
      <c r="N214" s="890"/>
      <c r="O214" s="917"/>
      <c r="P214" s="917"/>
      <c r="Q214" s="890"/>
      <c r="R214" s="890"/>
      <c r="S214" s="890"/>
      <c r="T214" s="890"/>
      <c r="U214" s="890"/>
      <c r="V214" s="917"/>
      <c r="W214" s="917"/>
      <c r="X214" s="918"/>
      <c r="Y214" s="917"/>
      <c r="Z214" s="918"/>
      <c r="AA214" s="918"/>
      <c r="AB214" s="917"/>
      <c r="AC214" s="917"/>
      <c r="AD214" s="917"/>
      <c r="AE214" s="917"/>
      <c r="AF214" s="917"/>
      <c r="AG214" s="917"/>
      <c r="AK214" s="917">
        <f t="shared" si="43"/>
        <v>0</v>
      </c>
      <c r="AL214" s="917"/>
      <c r="AM214" s="917">
        <f ca="1"/>
        <v>0</v>
      </c>
      <c r="AN214" s="917">
        <f ca="1"/>
        <v>0</v>
      </c>
      <c r="AO214" s="917">
        <f t="shared" ca="1" si="44"/>
        <v>0</v>
      </c>
      <c r="AP214" s="917">
        <f t="shared" ca="1" si="45"/>
        <v>0</v>
      </c>
    </row>
    <row r="215" spans="1:42" ht="16">
      <c r="A215" s="30"/>
      <c r="B215" s="5"/>
      <c r="C215" s="30"/>
      <c r="D215" s="30"/>
      <c r="E215" s="5"/>
      <c r="F215" s="890"/>
      <c r="G215" s="935"/>
      <c r="H215" s="915"/>
      <c r="I215" s="915"/>
      <c r="J215" s="915"/>
      <c r="K215" s="916"/>
      <c r="L215" s="890"/>
      <c r="M215" s="890"/>
      <c r="N215" s="890"/>
      <c r="O215" s="917"/>
      <c r="P215" s="917"/>
      <c r="Q215" s="890"/>
      <c r="R215" s="890"/>
      <c r="S215" s="890"/>
      <c r="T215" s="890"/>
      <c r="U215" s="890"/>
      <c r="V215" s="917"/>
      <c r="W215" s="917"/>
      <c r="X215" s="918"/>
      <c r="Y215" s="917"/>
      <c r="Z215" s="918"/>
      <c r="AA215" s="918"/>
      <c r="AB215" s="917"/>
      <c r="AC215" s="917"/>
      <c r="AD215" s="917"/>
      <c r="AE215" s="917"/>
      <c r="AF215" s="917"/>
      <c r="AG215" s="917"/>
      <c r="AK215" s="917">
        <f t="shared" si="43"/>
        <v>0</v>
      </c>
      <c r="AL215" s="917"/>
      <c r="AM215" s="917">
        <f ca="1"/>
        <v>0</v>
      </c>
      <c r="AN215" s="917">
        <f ca="1"/>
        <v>0</v>
      </c>
      <c r="AO215" s="917">
        <f t="shared" ca="1" si="44"/>
        <v>0</v>
      </c>
      <c r="AP215" s="917">
        <f t="shared" ca="1" si="45"/>
        <v>0</v>
      </c>
    </row>
    <row r="216" spans="1:42" ht="16">
      <c r="A216" s="30"/>
      <c r="B216" s="5"/>
      <c r="C216" s="30"/>
      <c r="D216" s="30"/>
      <c r="E216" s="5"/>
      <c r="F216" s="890"/>
      <c r="G216" s="935"/>
      <c r="H216" s="915"/>
      <c r="I216" s="915"/>
      <c r="J216" s="915"/>
      <c r="K216" s="916"/>
      <c r="L216" s="890"/>
      <c r="M216" s="890"/>
      <c r="N216" s="890"/>
      <c r="O216" s="917"/>
      <c r="P216" s="917"/>
      <c r="Q216" s="890"/>
      <c r="R216" s="890"/>
      <c r="S216" s="890"/>
      <c r="T216" s="890"/>
      <c r="U216" s="890"/>
      <c r="V216" s="917"/>
      <c r="W216" s="917"/>
      <c r="X216" s="918"/>
      <c r="Y216" s="917"/>
      <c r="Z216" s="918"/>
      <c r="AA216" s="918"/>
      <c r="AB216" s="917"/>
      <c r="AC216" s="917"/>
      <c r="AD216" s="917"/>
      <c r="AE216" s="917"/>
      <c r="AF216" s="917"/>
      <c r="AG216" s="917"/>
      <c r="AK216" s="917">
        <f t="shared" si="43"/>
        <v>0</v>
      </c>
      <c r="AL216" s="917"/>
      <c r="AM216" s="917">
        <f ca="1"/>
        <v>0</v>
      </c>
      <c r="AN216" s="917">
        <f ca="1"/>
        <v>0</v>
      </c>
      <c r="AO216" s="917">
        <f t="shared" ca="1" si="44"/>
        <v>0</v>
      </c>
      <c r="AP216" s="917">
        <f t="shared" ca="1" si="45"/>
        <v>0</v>
      </c>
    </row>
    <row r="217" spans="1:42" ht="16">
      <c r="A217" s="30"/>
      <c r="B217" s="5"/>
      <c r="C217" s="30"/>
      <c r="D217" s="30"/>
      <c r="E217" s="5"/>
      <c r="F217" s="890"/>
      <c r="G217" s="935"/>
      <c r="H217" s="915"/>
      <c r="I217" s="915"/>
      <c r="J217" s="915"/>
      <c r="K217" s="916"/>
      <c r="L217" s="890"/>
      <c r="M217" s="890"/>
      <c r="N217" s="890"/>
      <c r="O217" s="917"/>
      <c r="P217" s="917"/>
      <c r="Q217" s="890"/>
      <c r="R217" s="890"/>
      <c r="S217" s="890"/>
      <c r="T217" s="890"/>
      <c r="U217" s="890"/>
      <c r="V217" s="917"/>
      <c r="W217" s="917"/>
      <c r="X217" s="918"/>
      <c r="Y217" s="917"/>
      <c r="Z217" s="918"/>
      <c r="AA217" s="918"/>
      <c r="AB217" s="917"/>
      <c r="AC217" s="917"/>
      <c r="AD217" s="917"/>
      <c r="AE217" s="917"/>
      <c r="AF217" s="917"/>
      <c r="AG217" s="917"/>
      <c r="AK217" s="917">
        <f t="shared" si="43"/>
        <v>0</v>
      </c>
      <c r="AL217" s="917"/>
      <c r="AM217" s="917">
        <f ca="1"/>
        <v>0</v>
      </c>
      <c r="AN217" s="917">
        <f ca="1"/>
        <v>0</v>
      </c>
      <c r="AO217" s="917">
        <f t="shared" ca="1" si="44"/>
        <v>0</v>
      </c>
      <c r="AP217" s="917">
        <f t="shared" ca="1" si="45"/>
        <v>0</v>
      </c>
    </row>
    <row r="218" spans="1:42" ht="16">
      <c r="A218" s="30"/>
      <c r="B218" s="5"/>
      <c r="C218" s="30"/>
      <c r="D218" s="30"/>
      <c r="E218" s="5"/>
      <c r="F218" s="890"/>
      <c r="G218" s="935"/>
      <c r="H218" s="915"/>
      <c r="I218" s="915"/>
      <c r="J218" s="915"/>
      <c r="K218" s="916"/>
      <c r="L218" s="890"/>
      <c r="M218" s="890"/>
      <c r="N218" s="890"/>
      <c r="O218" s="917"/>
      <c r="P218" s="917"/>
      <c r="Q218" s="890"/>
      <c r="R218" s="890"/>
      <c r="S218" s="890"/>
      <c r="T218" s="890"/>
      <c r="U218" s="890"/>
      <c r="V218" s="917"/>
      <c r="W218" s="917"/>
      <c r="X218" s="918"/>
      <c r="Y218" s="917"/>
      <c r="Z218" s="918"/>
      <c r="AA218" s="918"/>
      <c r="AB218" s="917"/>
      <c r="AC218" s="917"/>
      <c r="AD218" s="917"/>
      <c r="AE218" s="917"/>
      <c r="AF218" s="917"/>
      <c r="AG218" s="917"/>
      <c r="AK218" s="917">
        <f t="shared" si="43"/>
        <v>0</v>
      </c>
      <c r="AL218" s="917"/>
      <c r="AM218" s="917">
        <f ca="1"/>
        <v>0</v>
      </c>
      <c r="AN218" s="917">
        <f ca="1"/>
        <v>0</v>
      </c>
      <c r="AO218" s="917">
        <f t="shared" ca="1" si="44"/>
        <v>0</v>
      </c>
      <c r="AP218" s="917">
        <f t="shared" ca="1" si="45"/>
        <v>0</v>
      </c>
    </row>
    <row r="219" spans="1:42" ht="16">
      <c r="A219" s="30"/>
      <c r="B219" s="5"/>
      <c r="C219" s="30"/>
      <c r="D219" s="30"/>
      <c r="E219" s="5"/>
      <c r="F219" s="890"/>
      <c r="G219" s="935"/>
      <c r="H219" s="915"/>
      <c r="I219" s="915"/>
      <c r="J219" s="915"/>
      <c r="K219" s="916"/>
      <c r="L219" s="890"/>
      <c r="M219" s="890"/>
      <c r="N219" s="890"/>
      <c r="O219" s="917"/>
      <c r="P219" s="917"/>
      <c r="Q219" s="890"/>
      <c r="R219" s="890"/>
      <c r="S219" s="890"/>
      <c r="T219" s="890"/>
      <c r="U219" s="890"/>
      <c r="V219" s="917"/>
      <c r="W219" s="917"/>
      <c r="X219" s="918"/>
      <c r="Y219" s="917"/>
      <c r="Z219" s="918"/>
      <c r="AA219" s="918"/>
      <c r="AB219" s="917"/>
      <c r="AC219" s="917"/>
      <c r="AD219" s="917"/>
      <c r="AE219" s="917"/>
      <c r="AF219" s="917"/>
      <c r="AG219" s="917"/>
      <c r="AK219" s="917">
        <f t="shared" si="43"/>
        <v>0</v>
      </c>
      <c r="AL219" s="917"/>
      <c r="AM219" s="917">
        <f ca="1"/>
        <v>0</v>
      </c>
      <c r="AN219" s="917">
        <f ca="1"/>
        <v>0</v>
      </c>
      <c r="AO219" s="917">
        <f t="shared" ca="1" si="44"/>
        <v>0</v>
      </c>
      <c r="AP219" s="917">
        <f t="shared" ca="1" si="45"/>
        <v>0</v>
      </c>
    </row>
    <row r="220" spans="1:42" ht="16">
      <c r="A220" s="30"/>
      <c r="B220" s="5"/>
      <c r="C220" s="30"/>
      <c r="D220" s="30"/>
      <c r="E220" s="5"/>
      <c r="F220" s="890"/>
      <c r="G220" s="935"/>
      <c r="H220" s="915"/>
      <c r="I220" s="915"/>
      <c r="J220" s="915"/>
      <c r="K220" s="916"/>
      <c r="L220" s="890"/>
      <c r="M220" s="890"/>
      <c r="N220" s="890"/>
      <c r="O220" s="917"/>
      <c r="P220" s="917"/>
      <c r="Q220" s="890"/>
      <c r="R220" s="890"/>
      <c r="S220" s="890"/>
      <c r="T220" s="890"/>
      <c r="U220" s="890"/>
      <c r="V220" s="917"/>
      <c r="W220" s="917"/>
      <c r="X220" s="918"/>
      <c r="Y220" s="917"/>
      <c r="Z220" s="918"/>
      <c r="AA220" s="918"/>
      <c r="AB220" s="917"/>
      <c r="AC220" s="917"/>
      <c r="AD220" s="917"/>
      <c r="AE220" s="917"/>
      <c r="AF220" s="917"/>
      <c r="AG220" s="917"/>
      <c r="AK220" s="917">
        <f t="shared" si="43"/>
        <v>0</v>
      </c>
      <c r="AL220" s="917"/>
      <c r="AM220" s="917">
        <f ca="1"/>
        <v>0</v>
      </c>
      <c r="AN220" s="917">
        <f ca="1"/>
        <v>0</v>
      </c>
      <c r="AO220" s="917">
        <f t="shared" ca="1" si="44"/>
        <v>0</v>
      </c>
      <c r="AP220" s="917">
        <f t="shared" ca="1" si="45"/>
        <v>0</v>
      </c>
    </row>
    <row r="221" spans="1:42" ht="16">
      <c r="A221" s="30"/>
      <c r="B221" s="5"/>
      <c r="C221" s="30"/>
      <c r="D221" s="30"/>
      <c r="E221" s="5"/>
      <c r="F221" s="890"/>
      <c r="G221" s="935"/>
      <c r="H221" s="915"/>
      <c r="I221" s="915"/>
      <c r="J221" s="915"/>
      <c r="K221" s="916"/>
      <c r="L221" s="890"/>
      <c r="M221" s="890"/>
      <c r="N221" s="890"/>
      <c r="O221" s="917"/>
      <c r="P221" s="917"/>
      <c r="Q221" s="890"/>
      <c r="R221" s="890"/>
      <c r="S221" s="890"/>
      <c r="T221" s="890"/>
      <c r="U221" s="890"/>
      <c r="V221" s="917"/>
      <c r="W221" s="917"/>
      <c r="X221" s="918"/>
      <c r="Y221" s="917"/>
      <c r="Z221" s="918"/>
      <c r="AA221" s="918"/>
      <c r="AB221" s="917"/>
      <c r="AC221" s="917"/>
      <c r="AD221" s="917"/>
      <c r="AE221" s="917"/>
      <c r="AF221" s="917"/>
      <c r="AG221" s="917"/>
      <c r="AK221" s="917">
        <f t="shared" si="43"/>
        <v>0</v>
      </c>
      <c r="AL221" s="917"/>
      <c r="AM221" s="917">
        <f ca="1"/>
        <v>0</v>
      </c>
      <c r="AN221" s="917">
        <f ca="1"/>
        <v>0</v>
      </c>
      <c r="AO221" s="917">
        <f t="shared" ca="1" si="44"/>
        <v>0</v>
      </c>
      <c r="AP221" s="917">
        <f t="shared" ca="1" si="45"/>
        <v>0</v>
      </c>
    </row>
    <row r="222" spans="1:42" ht="16">
      <c r="A222" s="30"/>
      <c r="B222" s="5"/>
      <c r="C222" s="30"/>
      <c r="D222" s="30"/>
      <c r="E222" s="5"/>
      <c r="F222" s="890"/>
      <c r="G222" s="935"/>
      <c r="H222" s="915"/>
      <c r="I222" s="915"/>
      <c r="J222" s="915"/>
      <c r="K222" s="916"/>
      <c r="L222" s="890"/>
      <c r="M222" s="890"/>
      <c r="N222" s="890"/>
      <c r="O222" s="917"/>
      <c r="P222" s="917"/>
      <c r="Q222" s="890"/>
      <c r="R222" s="890"/>
      <c r="S222" s="890"/>
      <c r="T222" s="890"/>
      <c r="U222" s="890"/>
      <c r="V222" s="917"/>
      <c r="W222" s="917"/>
      <c r="X222" s="918"/>
      <c r="Y222" s="917"/>
      <c r="Z222" s="918"/>
      <c r="AA222" s="918"/>
      <c r="AB222" s="917"/>
      <c r="AC222" s="917"/>
      <c r="AD222" s="917"/>
      <c r="AE222" s="917"/>
      <c r="AF222" s="917"/>
      <c r="AG222" s="917"/>
      <c r="AK222" s="917">
        <f t="shared" si="43"/>
        <v>0</v>
      </c>
      <c r="AL222" s="917"/>
      <c r="AM222" s="917">
        <f ca="1"/>
        <v>0</v>
      </c>
      <c r="AN222" s="917">
        <f ca="1"/>
        <v>0</v>
      </c>
      <c r="AO222" s="917">
        <f t="shared" ca="1" si="44"/>
        <v>0</v>
      </c>
      <c r="AP222" s="917">
        <f t="shared" ca="1" si="45"/>
        <v>0</v>
      </c>
    </row>
    <row r="223" spans="1:42" ht="16">
      <c r="A223" s="30"/>
      <c r="B223" s="5"/>
      <c r="C223" s="30"/>
      <c r="D223" s="30"/>
      <c r="E223" s="5"/>
      <c r="F223" s="890"/>
      <c r="G223" s="935"/>
      <c r="H223" s="915"/>
      <c r="I223" s="915"/>
      <c r="J223" s="915"/>
      <c r="K223" s="916"/>
      <c r="L223" s="890"/>
      <c r="M223" s="890"/>
      <c r="N223" s="890"/>
      <c r="O223" s="917"/>
      <c r="P223" s="917"/>
      <c r="Q223" s="890"/>
      <c r="R223" s="890"/>
      <c r="S223" s="890"/>
      <c r="T223" s="890"/>
      <c r="U223" s="890"/>
      <c r="V223" s="917"/>
      <c r="W223" s="917"/>
      <c r="X223" s="918"/>
      <c r="Y223" s="917"/>
      <c r="Z223" s="918"/>
      <c r="AA223" s="918"/>
      <c r="AB223" s="917"/>
      <c r="AC223" s="917"/>
      <c r="AD223" s="917"/>
      <c r="AE223" s="917"/>
      <c r="AF223" s="917"/>
      <c r="AG223" s="917"/>
      <c r="AK223" s="917">
        <f t="shared" si="43"/>
        <v>0</v>
      </c>
      <c r="AL223" s="917"/>
      <c r="AM223" s="917">
        <f ca="1"/>
        <v>0</v>
      </c>
      <c r="AN223" s="917">
        <f ca="1"/>
        <v>0</v>
      </c>
      <c r="AO223" s="917">
        <f t="shared" ca="1" si="44"/>
        <v>0</v>
      </c>
      <c r="AP223" s="917">
        <f t="shared" ca="1" si="45"/>
        <v>0</v>
      </c>
    </row>
    <row r="224" spans="1:42" ht="16">
      <c r="A224" s="30"/>
      <c r="B224" s="5"/>
      <c r="C224" s="30"/>
      <c r="D224" s="30"/>
      <c r="E224" s="5"/>
      <c r="F224" s="890"/>
      <c r="G224" s="935"/>
      <c r="H224" s="915"/>
      <c r="I224" s="915"/>
      <c r="J224" s="915"/>
      <c r="K224" s="916"/>
      <c r="L224" s="890"/>
      <c r="M224" s="890"/>
      <c r="N224" s="890"/>
      <c r="O224" s="917"/>
      <c r="P224" s="917"/>
      <c r="Q224" s="890"/>
      <c r="R224" s="890"/>
      <c r="S224" s="890"/>
      <c r="T224" s="890"/>
      <c r="U224" s="890"/>
      <c r="V224" s="917"/>
      <c r="W224" s="917"/>
      <c r="X224" s="918"/>
      <c r="Y224" s="917"/>
      <c r="Z224" s="918"/>
      <c r="AA224" s="918"/>
      <c r="AB224" s="917"/>
      <c r="AC224" s="917"/>
      <c r="AD224" s="917"/>
      <c r="AE224" s="917"/>
      <c r="AF224" s="917"/>
      <c r="AG224" s="917"/>
      <c r="AK224" s="917">
        <f t="shared" si="43"/>
        <v>0</v>
      </c>
      <c r="AL224" s="917"/>
      <c r="AM224" s="917">
        <f ca="1"/>
        <v>0</v>
      </c>
      <c r="AN224" s="917">
        <f ca="1"/>
        <v>0</v>
      </c>
      <c r="AO224" s="917">
        <f t="shared" ca="1" si="44"/>
        <v>0</v>
      </c>
      <c r="AP224" s="917">
        <f t="shared" ca="1" si="45"/>
        <v>0</v>
      </c>
    </row>
    <row r="225" spans="1:42" ht="16">
      <c r="A225" s="30"/>
      <c r="B225" s="5"/>
      <c r="C225" s="30"/>
      <c r="D225" s="30"/>
      <c r="E225" s="5"/>
      <c r="F225" s="890"/>
      <c r="G225" s="935"/>
      <c r="H225" s="915"/>
      <c r="I225" s="915"/>
      <c r="J225" s="915"/>
      <c r="K225" s="916"/>
      <c r="L225" s="890"/>
      <c r="M225" s="890"/>
      <c r="N225" s="890"/>
      <c r="O225" s="917"/>
      <c r="P225" s="917"/>
      <c r="Q225" s="890"/>
      <c r="R225" s="890"/>
      <c r="S225" s="890"/>
      <c r="T225" s="890"/>
      <c r="U225" s="890"/>
      <c r="V225" s="917"/>
      <c r="W225" s="917"/>
      <c r="X225" s="918"/>
      <c r="Y225" s="917"/>
      <c r="Z225" s="918"/>
      <c r="AA225" s="918"/>
      <c r="AB225" s="917"/>
      <c r="AC225" s="917"/>
      <c r="AD225" s="917"/>
      <c r="AE225" s="917"/>
      <c r="AF225" s="917"/>
      <c r="AG225" s="917"/>
      <c r="AK225" s="917">
        <f t="shared" si="43"/>
        <v>0</v>
      </c>
      <c r="AL225" s="917"/>
      <c r="AM225" s="917">
        <f ca="1"/>
        <v>0</v>
      </c>
      <c r="AN225" s="917">
        <f ca="1"/>
        <v>0</v>
      </c>
      <c r="AO225" s="917">
        <f t="shared" ca="1" si="44"/>
        <v>0</v>
      </c>
      <c r="AP225" s="917">
        <f t="shared" ca="1" si="45"/>
        <v>0</v>
      </c>
    </row>
    <row r="226" spans="1:42" ht="16">
      <c r="A226" s="30"/>
      <c r="B226" s="5"/>
      <c r="C226" s="30"/>
      <c r="D226" s="30"/>
      <c r="E226" s="5"/>
      <c r="F226" s="890"/>
      <c r="G226" s="935"/>
      <c r="H226" s="915"/>
      <c r="I226" s="915"/>
      <c r="J226" s="915"/>
      <c r="K226" s="916"/>
      <c r="L226" s="890"/>
      <c r="M226" s="890"/>
      <c r="N226" s="890"/>
      <c r="O226" s="917"/>
      <c r="P226" s="917"/>
      <c r="Q226" s="890"/>
      <c r="R226" s="890"/>
      <c r="S226" s="890"/>
      <c r="T226" s="890"/>
      <c r="U226" s="890"/>
      <c r="V226" s="917"/>
      <c r="W226" s="917"/>
      <c r="X226" s="918"/>
      <c r="Y226" s="917"/>
      <c r="Z226" s="918"/>
      <c r="AA226" s="918"/>
      <c r="AB226" s="917"/>
      <c r="AC226" s="917"/>
      <c r="AD226" s="917"/>
      <c r="AE226" s="917"/>
      <c r="AF226" s="917"/>
      <c r="AG226" s="917"/>
      <c r="AK226" s="917">
        <f t="shared" si="43"/>
        <v>0</v>
      </c>
      <c r="AL226" s="917"/>
      <c r="AM226" s="917">
        <f ca="1"/>
        <v>0</v>
      </c>
      <c r="AN226" s="917">
        <f ca="1"/>
        <v>0</v>
      </c>
      <c r="AO226" s="917">
        <f t="shared" ca="1" si="44"/>
        <v>0</v>
      </c>
      <c r="AP226" s="917">
        <f t="shared" ca="1" si="45"/>
        <v>0</v>
      </c>
    </row>
    <row r="227" spans="1:42" ht="16">
      <c r="A227" s="30"/>
      <c r="B227" s="5"/>
      <c r="C227" s="30"/>
      <c r="D227" s="30"/>
      <c r="E227" s="5"/>
      <c r="F227" s="890"/>
      <c r="G227" s="935"/>
      <c r="H227" s="915"/>
      <c r="I227" s="915"/>
      <c r="J227" s="915"/>
      <c r="K227" s="916"/>
      <c r="L227" s="890"/>
      <c r="M227" s="890"/>
      <c r="N227" s="890"/>
      <c r="O227" s="917"/>
      <c r="P227" s="917"/>
      <c r="Q227" s="890"/>
      <c r="R227" s="890"/>
      <c r="S227" s="890"/>
      <c r="T227" s="890"/>
      <c r="U227" s="890"/>
      <c r="V227" s="917"/>
      <c r="W227" s="917"/>
      <c r="X227" s="918"/>
      <c r="Y227" s="917"/>
      <c r="Z227" s="918"/>
      <c r="AA227" s="918"/>
      <c r="AB227" s="917"/>
      <c r="AC227" s="917"/>
      <c r="AD227" s="917"/>
      <c r="AE227" s="917"/>
      <c r="AF227" s="917"/>
      <c r="AG227" s="917"/>
      <c r="AK227" s="917">
        <f t="shared" si="43"/>
        <v>0</v>
      </c>
      <c r="AL227" s="917"/>
      <c r="AM227" s="917">
        <f ca="1"/>
        <v>0</v>
      </c>
      <c r="AN227" s="917">
        <f ca="1"/>
        <v>0</v>
      </c>
      <c r="AO227" s="917">
        <f t="shared" ca="1" si="44"/>
        <v>0</v>
      </c>
      <c r="AP227" s="917">
        <f t="shared" ca="1" si="45"/>
        <v>0</v>
      </c>
    </row>
    <row r="228" spans="1:42" ht="16">
      <c r="A228" s="30"/>
      <c r="B228" s="5"/>
      <c r="C228" s="30"/>
      <c r="D228" s="30"/>
      <c r="E228" s="5"/>
      <c r="F228" s="890"/>
      <c r="G228" s="935"/>
      <c r="H228" s="915"/>
      <c r="I228" s="915"/>
      <c r="J228" s="915"/>
      <c r="K228" s="916"/>
      <c r="L228" s="890"/>
      <c r="M228" s="890"/>
      <c r="N228" s="890"/>
      <c r="O228" s="917"/>
      <c r="P228" s="917"/>
      <c r="Q228" s="890"/>
      <c r="R228" s="890"/>
      <c r="S228" s="890"/>
      <c r="T228" s="890"/>
      <c r="U228" s="890"/>
      <c r="V228" s="917"/>
      <c r="W228" s="917"/>
      <c r="X228" s="918"/>
      <c r="Y228" s="917"/>
      <c r="Z228" s="918"/>
      <c r="AA228" s="918"/>
      <c r="AB228" s="917"/>
      <c r="AC228" s="917"/>
      <c r="AD228" s="917"/>
      <c r="AE228" s="917"/>
      <c r="AF228" s="917"/>
      <c r="AG228" s="917"/>
      <c r="AK228" s="917">
        <f t="shared" si="43"/>
        <v>0</v>
      </c>
      <c r="AL228" s="917"/>
      <c r="AM228" s="917">
        <f ca="1"/>
        <v>0</v>
      </c>
      <c r="AN228" s="917">
        <f ca="1"/>
        <v>0</v>
      </c>
      <c r="AO228" s="917">
        <f t="shared" ca="1" si="44"/>
        <v>0</v>
      </c>
      <c r="AP228" s="917">
        <f t="shared" ca="1" si="45"/>
        <v>0</v>
      </c>
    </row>
    <row r="229" spans="1:42" ht="16">
      <c r="A229" s="30"/>
      <c r="B229" s="5"/>
      <c r="C229" s="30"/>
      <c r="D229" s="30"/>
      <c r="E229" s="5"/>
      <c r="F229" s="890"/>
      <c r="G229" s="935"/>
      <c r="H229" s="915"/>
      <c r="I229" s="915"/>
      <c r="J229" s="915"/>
      <c r="K229" s="916"/>
      <c r="L229" s="890"/>
      <c r="M229" s="890"/>
      <c r="N229" s="890"/>
      <c r="O229" s="917"/>
      <c r="P229" s="917"/>
      <c r="Q229" s="890"/>
      <c r="R229" s="890"/>
      <c r="S229" s="890"/>
      <c r="T229" s="890"/>
      <c r="U229" s="890"/>
      <c r="V229" s="917"/>
      <c r="W229" s="917"/>
      <c r="X229" s="918"/>
      <c r="Y229" s="917"/>
      <c r="Z229" s="918"/>
      <c r="AA229" s="918"/>
      <c r="AB229" s="917"/>
      <c r="AC229" s="917"/>
      <c r="AD229" s="917"/>
      <c r="AE229" s="917"/>
      <c r="AF229" s="917"/>
      <c r="AG229" s="917"/>
      <c r="AK229" s="917">
        <f t="shared" si="43"/>
        <v>0</v>
      </c>
      <c r="AL229" s="917"/>
      <c r="AM229" s="917">
        <f ca="1"/>
        <v>0</v>
      </c>
      <c r="AN229" s="917">
        <f ca="1"/>
        <v>0</v>
      </c>
      <c r="AO229" s="917">
        <f t="shared" ca="1" si="44"/>
        <v>0</v>
      </c>
      <c r="AP229" s="917">
        <f t="shared" ca="1" si="45"/>
        <v>0</v>
      </c>
    </row>
    <row r="230" spans="1:42" ht="16">
      <c r="A230" s="30"/>
      <c r="B230" s="5"/>
      <c r="C230" s="30"/>
      <c r="D230" s="30"/>
      <c r="E230" s="5"/>
      <c r="F230" s="890"/>
      <c r="G230" s="935"/>
      <c r="H230" s="915"/>
      <c r="I230" s="915"/>
      <c r="J230" s="915"/>
      <c r="K230" s="916"/>
      <c r="L230" s="890"/>
      <c r="M230" s="890"/>
      <c r="N230" s="890"/>
      <c r="O230" s="917"/>
      <c r="P230" s="917"/>
      <c r="Q230" s="890"/>
      <c r="R230" s="890"/>
      <c r="S230" s="890"/>
      <c r="T230" s="890"/>
      <c r="U230" s="890"/>
      <c r="V230" s="917"/>
      <c r="W230" s="917"/>
      <c r="X230" s="918"/>
      <c r="Y230" s="917"/>
      <c r="Z230" s="918"/>
      <c r="AA230" s="918"/>
      <c r="AB230" s="917"/>
      <c r="AC230" s="917"/>
      <c r="AD230" s="917"/>
      <c r="AE230" s="917"/>
      <c r="AF230" s="917"/>
      <c r="AG230" s="917"/>
      <c r="AK230" s="917">
        <f t="shared" si="43"/>
        <v>0</v>
      </c>
      <c r="AL230" s="917"/>
      <c r="AM230" s="917">
        <f ca="1"/>
        <v>0</v>
      </c>
      <c r="AN230" s="917">
        <f ca="1"/>
        <v>0</v>
      </c>
      <c r="AO230" s="917">
        <f t="shared" ca="1" si="44"/>
        <v>0</v>
      </c>
      <c r="AP230" s="917">
        <f t="shared" ca="1" si="45"/>
        <v>0</v>
      </c>
    </row>
    <row r="231" spans="1:42" ht="16">
      <c r="A231" s="30"/>
      <c r="B231" s="5"/>
      <c r="C231" s="30"/>
      <c r="D231" s="30"/>
      <c r="E231" s="5"/>
      <c r="F231" s="890"/>
      <c r="G231" s="935"/>
      <c r="H231" s="915"/>
      <c r="I231" s="915"/>
      <c r="J231" s="915"/>
      <c r="K231" s="916"/>
      <c r="L231" s="890"/>
      <c r="M231" s="890"/>
      <c r="N231" s="890"/>
      <c r="O231" s="917"/>
      <c r="P231" s="917"/>
      <c r="Q231" s="890"/>
      <c r="R231" s="890"/>
      <c r="S231" s="890"/>
      <c r="T231" s="890"/>
      <c r="U231" s="890"/>
      <c r="V231" s="917"/>
      <c r="W231" s="917"/>
      <c r="X231" s="918"/>
      <c r="Y231" s="917"/>
      <c r="Z231" s="918"/>
      <c r="AA231" s="918"/>
      <c r="AB231" s="917"/>
      <c r="AC231" s="917"/>
      <c r="AD231" s="917"/>
      <c r="AE231" s="917"/>
      <c r="AF231" s="917"/>
      <c r="AG231" s="917"/>
      <c r="AK231" s="917">
        <f t="shared" si="43"/>
        <v>0</v>
      </c>
      <c r="AL231" s="917"/>
      <c r="AM231" s="917">
        <f ca="1"/>
        <v>0</v>
      </c>
      <c r="AN231" s="917">
        <f ca="1"/>
        <v>0</v>
      </c>
      <c r="AO231" s="917">
        <f t="shared" ca="1" si="44"/>
        <v>0</v>
      </c>
      <c r="AP231" s="917">
        <f t="shared" ca="1" si="45"/>
        <v>0</v>
      </c>
    </row>
    <row r="232" spans="1:42" ht="16">
      <c r="A232" s="30"/>
      <c r="B232" s="5"/>
      <c r="C232" s="30"/>
      <c r="D232" s="30"/>
      <c r="E232" s="5"/>
      <c r="F232" s="890"/>
      <c r="G232" s="935"/>
      <c r="H232" s="915"/>
      <c r="I232" s="915"/>
      <c r="J232" s="915"/>
      <c r="K232" s="916"/>
      <c r="L232" s="890"/>
      <c r="M232" s="890"/>
      <c r="N232" s="890"/>
      <c r="O232" s="917"/>
      <c r="P232" s="917"/>
      <c r="Q232" s="890"/>
      <c r="R232" s="890"/>
      <c r="S232" s="890"/>
      <c r="T232" s="890"/>
      <c r="U232" s="890"/>
      <c r="V232" s="917"/>
      <c r="W232" s="917"/>
      <c r="X232" s="918"/>
      <c r="Y232" s="917"/>
      <c r="Z232" s="918"/>
      <c r="AA232" s="918"/>
      <c r="AB232" s="917"/>
      <c r="AC232" s="917"/>
      <c r="AD232" s="917"/>
      <c r="AE232" s="917"/>
      <c r="AF232" s="917"/>
      <c r="AG232" s="917"/>
      <c r="AK232" s="917">
        <f t="shared" si="43"/>
        <v>0</v>
      </c>
      <c r="AL232" s="917"/>
      <c r="AM232" s="917">
        <f ca="1"/>
        <v>0</v>
      </c>
      <c r="AN232" s="917">
        <f ca="1"/>
        <v>0</v>
      </c>
      <c r="AO232" s="917">
        <f t="shared" ca="1" si="44"/>
        <v>0</v>
      </c>
      <c r="AP232" s="917">
        <f t="shared" ca="1" si="45"/>
        <v>0</v>
      </c>
    </row>
    <row r="233" spans="1:42" ht="16">
      <c r="A233" s="30"/>
      <c r="B233" s="5"/>
      <c r="C233" s="30"/>
      <c r="D233" s="30"/>
      <c r="E233" s="5"/>
      <c r="F233" s="890"/>
      <c r="G233" s="935"/>
      <c r="H233" s="915"/>
      <c r="I233" s="915"/>
      <c r="J233" s="915"/>
      <c r="K233" s="916"/>
      <c r="L233" s="890"/>
      <c r="M233" s="890"/>
      <c r="N233" s="890"/>
      <c r="O233" s="917"/>
      <c r="P233" s="917"/>
      <c r="Q233" s="890"/>
      <c r="R233" s="890"/>
      <c r="S233" s="890"/>
      <c r="T233" s="890"/>
      <c r="U233" s="890"/>
      <c r="V233" s="917"/>
      <c r="W233" s="917"/>
      <c r="X233" s="918"/>
      <c r="Y233" s="917"/>
      <c r="Z233" s="918"/>
      <c r="AA233" s="918"/>
      <c r="AB233" s="917"/>
      <c r="AC233" s="917"/>
      <c r="AD233" s="917"/>
      <c r="AE233" s="917"/>
      <c r="AF233" s="917"/>
      <c r="AG233" s="917"/>
      <c r="AK233" s="917">
        <f t="shared" si="43"/>
        <v>0</v>
      </c>
      <c r="AL233" s="917"/>
      <c r="AM233" s="917">
        <f ca="1"/>
        <v>0</v>
      </c>
      <c r="AN233" s="917">
        <f ca="1"/>
        <v>0</v>
      </c>
      <c r="AO233" s="917">
        <f t="shared" ca="1" si="44"/>
        <v>0</v>
      </c>
      <c r="AP233" s="917">
        <f t="shared" ca="1" si="45"/>
        <v>0</v>
      </c>
    </row>
    <row r="234" spans="1:42" ht="16">
      <c r="A234" s="30"/>
      <c r="B234" s="5"/>
      <c r="C234" s="30"/>
      <c r="D234" s="30"/>
      <c r="E234" s="5"/>
      <c r="F234" s="890"/>
      <c r="G234" s="935"/>
      <c r="H234" s="915"/>
      <c r="I234" s="915"/>
      <c r="J234" s="915"/>
      <c r="K234" s="916"/>
      <c r="L234" s="890"/>
      <c r="M234" s="890"/>
      <c r="N234" s="890"/>
      <c r="O234" s="917"/>
      <c r="P234" s="917"/>
      <c r="Q234" s="890"/>
      <c r="R234" s="890"/>
      <c r="S234" s="890"/>
      <c r="T234" s="890"/>
      <c r="U234" s="890"/>
      <c r="V234" s="917"/>
      <c r="W234" s="917"/>
      <c r="X234" s="918"/>
      <c r="Y234" s="917"/>
      <c r="Z234" s="918"/>
      <c r="AA234" s="918"/>
      <c r="AB234" s="917"/>
      <c r="AC234" s="917"/>
      <c r="AD234" s="917"/>
      <c r="AE234" s="917"/>
      <c r="AF234" s="917"/>
      <c r="AG234" s="917"/>
      <c r="AK234" s="917">
        <f t="shared" si="43"/>
        <v>0</v>
      </c>
      <c r="AL234" s="917"/>
      <c r="AM234" s="917">
        <f ca="1"/>
        <v>0</v>
      </c>
      <c r="AN234" s="917">
        <f ca="1"/>
        <v>0</v>
      </c>
      <c r="AO234" s="917">
        <f t="shared" ca="1" si="44"/>
        <v>0</v>
      </c>
      <c r="AP234" s="917">
        <f t="shared" ca="1" si="45"/>
        <v>0</v>
      </c>
    </row>
    <row r="235" spans="1:42" ht="16">
      <c r="A235" s="30"/>
      <c r="B235" s="5"/>
      <c r="C235" s="30"/>
      <c r="D235" s="30"/>
      <c r="E235" s="5"/>
      <c r="F235" s="890"/>
      <c r="G235" s="935"/>
      <c r="H235" s="915"/>
      <c r="I235" s="915"/>
      <c r="J235" s="915"/>
      <c r="K235" s="916"/>
      <c r="L235" s="890"/>
      <c r="M235" s="890"/>
      <c r="N235" s="890"/>
      <c r="O235" s="917"/>
      <c r="P235" s="917"/>
      <c r="Q235" s="890"/>
      <c r="R235" s="890"/>
      <c r="S235" s="890"/>
      <c r="T235" s="890"/>
      <c r="U235" s="890"/>
      <c r="V235" s="917"/>
      <c r="W235" s="917"/>
      <c r="X235" s="918"/>
      <c r="Y235" s="917"/>
      <c r="Z235" s="918"/>
      <c r="AA235" s="918"/>
      <c r="AB235" s="917"/>
      <c r="AC235" s="917"/>
      <c r="AD235" s="917"/>
      <c r="AE235" s="917"/>
      <c r="AF235" s="917"/>
      <c r="AG235" s="917"/>
      <c r="AK235" s="917">
        <f t="shared" si="43"/>
        <v>0</v>
      </c>
      <c r="AL235" s="917"/>
      <c r="AM235" s="917">
        <f ca="1"/>
        <v>0</v>
      </c>
      <c r="AN235" s="917">
        <f ca="1"/>
        <v>0</v>
      </c>
      <c r="AO235" s="917">
        <f t="shared" ca="1" si="44"/>
        <v>0</v>
      </c>
      <c r="AP235" s="917">
        <f t="shared" ca="1" si="45"/>
        <v>0</v>
      </c>
    </row>
    <row r="236" spans="1:42" ht="16">
      <c r="A236" s="30"/>
      <c r="B236" s="5"/>
      <c r="C236" s="30"/>
      <c r="D236" s="30"/>
      <c r="E236" s="5"/>
      <c r="F236" s="890"/>
      <c r="G236" s="935"/>
      <c r="H236" s="915"/>
      <c r="I236" s="915"/>
      <c r="J236" s="915"/>
      <c r="K236" s="916"/>
      <c r="L236" s="890"/>
      <c r="M236" s="890"/>
      <c r="N236" s="890"/>
      <c r="O236" s="917"/>
      <c r="P236" s="917"/>
      <c r="Q236" s="890"/>
      <c r="R236" s="890"/>
      <c r="S236" s="890"/>
      <c r="T236" s="890"/>
      <c r="U236" s="890"/>
      <c r="V236" s="917"/>
      <c r="W236" s="917"/>
      <c r="X236" s="918"/>
      <c r="Y236" s="917"/>
      <c r="Z236" s="918"/>
      <c r="AA236" s="918"/>
      <c r="AB236" s="917"/>
      <c r="AC236" s="917"/>
      <c r="AD236" s="917"/>
      <c r="AE236" s="917"/>
      <c r="AF236" s="917"/>
      <c r="AG236" s="917"/>
      <c r="AK236" s="917">
        <f t="shared" si="43"/>
        <v>0</v>
      </c>
      <c r="AL236" s="917"/>
      <c r="AM236" s="917">
        <f ca="1"/>
        <v>0</v>
      </c>
      <c r="AN236" s="917">
        <f ca="1"/>
        <v>0</v>
      </c>
      <c r="AO236" s="917">
        <f t="shared" ca="1" si="44"/>
        <v>0</v>
      </c>
      <c r="AP236" s="917">
        <f t="shared" ca="1" si="45"/>
        <v>0</v>
      </c>
    </row>
    <row r="237" spans="1:42" ht="16">
      <c r="A237" s="30"/>
      <c r="B237" s="5"/>
      <c r="C237" s="30"/>
      <c r="D237" s="30"/>
      <c r="E237" s="5"/>
      <c r="F237" s="890"/>
      <c r="G237" s="935"/>
      <c r="H237" s="915"/>
      <c r="I237" s="915"/>
      <c r="J237" s="915"/>
      <c r="K237" s="916"/>
      <c r="L237" s="890"/>
      <c r="M237" s="890"/>
      <c r="N237" s="890"/>
      <c r="O237" s="917"/>
      <c r="P237" s="917"/>
      <c r="Q237" s="890"/>
      <c r="R237" s="890"/>
      <c r="S237" s="890"/>
      <c r="T237" s="890"/>
      <c r="U237" s="890"/>
      <c r="V237" s="917"/>
      <c r="W237" s="917"/>
      <c r="X237" s="918"/>
      <c r="Y237" s="917"/>
      <c r="Z237" s="918"/>
      <c r="AA237" s="918"/>
      <c r="AB237" s="917"/>
      <c r="AC237" s="917"/>
      <c r="AD237" s="917"/>
      <c r="AE237" s="917"/>
      <c r="AF237" s="917"/>
      <c r="AG237" s="917"/>
      <c r="AK237" s="917">
        <f t="shared" si="43"/>
        <v>0</v>
      </c>
      <c r="AL237" s="917"/>
      <c r="AM237" s="917">
        <f ca="1"/>
        <v>0</v>
      </c>
      <c r="AN237" s="917">
        <f ca="1"/>
        <v>0</v>
      </c>
      <c r="AO237" s="917">
        <f t="shared" ca="1" si="44"/>
        <v>0</v>
      </c>
      <c r="AP237" s="917">
        <f t="shared" ca="1" si="45"/>
        <v>0</v>
      </c>
    </row>
    <row r="238" spans="1:42" ht="16">
      <c r="A238" s="30"/>
      <c r="B238" s="5"/>
      <c r="C238" s="30"/>
      <c r="D238" s="30"/>
      <c r="E238" s="5"/>
      <c r="F238" s="890"/>
      <c r="G238" s="935"/>
      <c r="H238" s="915"/>
      <c r="I238" s="915"/>
      <c r="J238" s="915"/>
      <c r="K238" s="916"/>
      <c r="L238" s="890"/>
      <c r="M238" s="890"/>
      <c r="N238" s="890"/>
      <c r="O238" s="917"/>
      <c r="P238" s="917"/>
      <c r="Q238" s="890"/>
      <c r="R238" s="890"/>
      <c r="S238" s="890"/>
      <c r="T238" s="890"/>
      <c r="U238" s="890"/>
      <c r="V238" s="917"/>
      <c r="W238" s="917"/>
      <c r="X238" s="918"/>
      <c r="Y238" s="917"/>
      <c r="Z238" s="918"/>
      <c r="AA238" s="918"/>
      <c r="AB238" s="917"/>
      <c r="AC238" s="917"/>
      <c r="AD238" s="917"/>
      <c r="AE238" s="917"/>
      <c r="AF238" s="917"/>
      <c r="AG238" s="917"/>
      <c r="AK238" s="917">
        <f t="shared" si="43"/>
        <v>0</v>
      </c>
      <c r="AL238" s="917"/>
      <c r="AM238" s="917">
        <f ca="1"/>
        <v>0</v>
      </c>
      <c r="AN238" s="917">
        <f ca="1"/>
        <v>0</v>
      </c>
      <c r="AO238" s="917">
        <f t="shared" ca="1" si="44"/>
        <v>0</v>
      </c>
      <c r="AP238" s="917">
        <f t="shared" ca="1" si="45"/>
        <v>0</v>
      </c>
    </row>
    <row r="239" spans="1:42" ht="16">
      <c r="A239" s="30"/>
      <c r="B239" s="5"/>
      <c r="C239" s="30"/>
      <c r="D239" s="30"/>
      <c r="E239" s="5"/>
      <c r="F239" s="890"/>
      <c r="G239" s="935"/>
      <c r="H239" s="915"/>
      <c r="I239" s="915"/>
      <c r="J239" s="915"/>
      <c r="K239" s="916"/>
      <c r="L239" s="890"/>
      <c r="M239" s="890"/>
      <c r="N239" s="890"/>
      <c r="O239" s="917"/>
      <c r="P239" s="917"/>
      <c r="Q239" s="890"/>
      <c r="R239" s="890"/>
      <c r="S239" s="890"/>
      <c r="T239" s="890"/>
      <c r="U239" s="890"/>
      <c r="V239" s="917"/>
      <c r="W239" s="917"/>
      <c r="X239" s="918"/>
      <c r="Y239" s="917"/>
      <c r="Z239" s="918"/>
      <c r="AA239" s="918"/>
      <c r="AB239" s="917"/>
      <c r="AC239" s="917"/>
      <c r="AD239" s="917"/>
      <c r="AE239" s="917"/>
      <c r="AF239" s="917"/>
      <c r="AG239" s="917"/>
      <c r="AK239" s="917">
        <f t="shared" si="43"/>
        <v>0</v>
      </c>
      <c r="AL239" s="917"/>
      <c r="AM239" s="917">
        <f ca="1"/>
        <v>0</v>
      </c>
      <c r="AN239" s="917">
        <f ca="1"/>
        <v>0</v>
      </c>
      <c r="AO239" s="917">
        <f t="shared" ca="1" si="44"/>
        <v>0</v>
      </c>
      <c r="AP239" s="917">
        <f t="shared" ca="1" si="45"/>
        <v>0</v>
      </c>
    </row>
    <row r="240" spans="1:42" ht="16">
      <c r="A240" s="30"/>
      <c r="B240" s="5"/>
      <c r="C240" s="30"/>
      <c r="D240" s="30"/>
      <c r="E240" s="5"/>
      <c r="F240" s="890"/>
      <c r="G240" s="935"/>
      <c r="H240" s="915"/>
      <c r="I240" s="915"/>
      <c r="J240" s="915"/>
      <c r="K240" s="916"/>
      <c r="L240" s="890"/>
      <c r="M240" s="890"/>
      <c r="N240" s="890"/>
      <c r="O240" s="917"/>
      <c r="P240" s="917"/>
      <c r="Q240" s="890"/>
      <c r="R240" s="890"/>
      <c r="S240" s="890"/>
      <c r="T240" s="890"/>
      <c r="U240" s="890"/>
      <c r="V240" s="917"/>
      <c r="W240" s="917"/>
      <c r="X240" s="918"/>
      <c r="Y240" s="917"/>
      <c r="Z240" s="918"/>
      <c r="AA240" s="918"/>
      <c r="AB240" s="917"/>
      <c r="AC240" s="917"/>
      <c r="AD240" s="917"/>
      <c r="AE240" s="917"/>
      <c r="AF240" s="917"/>
      <c r="AG240" s="917"/>
      <c r="AK240" s="917">
        <f t="shared" si="43"/>
        <v>0</v>
      </c>
      <c r="AL240" s="917"/>
      <c r="AM240" s="917">
        <f ca="1"/>
        <v>0</v>
      </c>
      <c r="AN240" s="917">
        <f ca="1"/>
        <v>0</v>
      </c>
      <c r="AO240" s="917">
        <f t="shared" ca="1" si="44"/>
        <v>0</v>
      </c>
      <c r="AP240" s="917">
        <f t="shared" ca="1" si="45"/>
        <v>0</v>
      </c>
    </row>
    <row r="241" spans="1:42" ht="16">
      <c r="A241" s="30"/>
      <c r="B241" s="5"/>
      <c r="C241" s="30"/>
      <c r="D241" s="30"/>
      <c r="E241" s="5"/>
      <c r="F241" s="890"/>
      <c r="G241" s="935"/>
      <c r="H241" s="915"/>
      <c r="I241" s="915"/>
      <c r="J241" s="915"/>
      <c r="K241" s="916"/>
      <c r="L241" s="890"/>
      <c r="M241" s="890"/>
      <c r="N241" s="890"/>
      <c r="O241" s="917"/>
      <c r="P241" s="917"/>
      <c r="Q241" s="890"/>
      <c r="R241" s="890"/>
      <c r="S241" s="890"/>
      <c r="T241" s="890"/>
      <c r="U241" s="890"/>
      <c r="V241" s="917"/>
      <c r="W241" s="917"/>
      <c r="X241" s="918"/>
      <c r="Y241" s="917"/>
      <c r="Z241" s="918"/>
      <c r="AA241" s="918"/>
      <c r="AB241" s="917"/>
      <c r="AC241" s="917"/>
      <c r="AD241" s="917"/>
      <c r="AE241" s="917"/>
      <c r="AF241" s="917"/>
      <c r="AG241" s="917"/>
      <c r="AK241" s="917">
        <f t="shared" si="43"/>
        <v>0</v>
      </c>
      <c r="AL241" s="917"/>
      <c r="AM241" s="917">
        <f ca="1"/>
        <v>0</v>
      </c>
      <c r="AN241" s="917">
        <f ca="1"/>
        <v>0</v>
      </c>
      <c r="AO241" s="917">
        <f t="shared" ca="1" si="44"/>
        <v>0</v>
      </c>
      <c r="AP241" s="917">
        <f t="shared" ca="1" si="45"/>
        <v>0</v>
      </c>
    </row>
    <row r="242" spans="1:42" ht="16">
      <c r="A242" s="30"/>
      <c r="B242" s="5"/>
      <c r="C242" s="30"/>
      <c r="D242" s="30"/>
      <c r="E242" s="5"/>
      <c r="F242" s="890"/>
      <c r="G242" s="935"/>
      <c r="H242" s="915"/>
      <c r="I242" s="915"/>
      <c r="J242" s="915"/>
      <c r="K242" s="916"/>
      <c r="L242" s="890"/>
      <c r="M242" s="890"/>
      <c r="N242" s="890"/>
      <c r="O242" s="917"/>
      <c r="P242" s="917"/>
      <c r="Q242" s="890"/>
      <c r="R242" s="890"/>
      <c r="S242" s="890"/>
      <c r="T242" s="890"/>
      <c r="U242" s="890"/>
      <c r="V242" s="917"/>
      <c r="W242" s="917"/>
      <c r="X242" s="918"/>
      <c r="Y242" s="917"/>
      <c r="Z242" s="918"/>
      <c r="AA242" s="918"/>
      <c r="AB242" s="917"/>
      <c r="AC242" s="917"/>
      <c r="AD242" s="917"/>
      <c r="AE242" s="917"/>
      <c r="AF242" s="917"/>
      <c r="AG242" s="917"/>
      <c r="AK242" s="917">
        <f t="shared" si="43"/>
        <v>0</v>
      </c>
      <c r="AL242" s="917"/>
      <c r="AM242" s="917">
        <f ca="1"/>
        <v>0</v>
      </c>
      <c r="AN242" s="917">
        <f ca="1"/>
        <v>0</v>
      </c>
      <c r="AO242" s="917">
        <f t="shared" ca="1" si="44"/>
        <v>0</v>
      </c>
      <c r="AP242" s="917">
        <f t="shared" ca="1" si="45"/>
        <v>0</v>
      </c>
    </row>
    <row r="243" spans="1:42" ht="16">
      <c r="A243" s="30"/>
      <c r="B243" s="5"/>
      <c r="C243" s="30"/>
      <c r="D243" s="30"/>
      <c r="E243" s="5"/>
      <c r="F243" s="890"/>
      <c r="G243" s="935"/>
      <c r="H243" s="915"/>
      <c r="I243" s="915"/>
      <c r="J243" s="915"/>
      <c r="K243" s="916"/>
      <c r="L243" s="890"/>
      <c r="M243" s="890"/>
      <c r="N243" s="890"/>
      <c r="O243" s="917"/>
      <c r="P243" s="917"/>
      <c r="Q243" s="890"/>
      <c r="R243" s="890"/>
      <c r="S243" s="890"/>
      <c r="T243" s="890"/>
      <c r="U243" s="890"/>
      <c r="V243" s="917"/>
      <c r="W243" s="917"/>
      <c r="X243" s="918"/>
      <c r="Y243" s="917"/>
      <c r="Z243" s="918"/>
      <c r="AA243" s="918"/>
      <c r="AB243" s="917"/>
      <c r="AC243" s="917"/>
      <c r="AD243" s="917"/>
      <c r="AE243" s="917"/>
      <c r="AF243" s="917"/>
      <c r="AG243" s="917"/>
      <c r="AK243" s="917">
        <f t="shared" si="43"/>
        <v>0</v>
      </c>
      <c r="AL243" s="917"/>
      <c r="AM243" s="917">
        <f ca="1"/>
        <v>0</v>
      </c>
      <c r="AN243" s="917">
        <f ca="1"/>
        <v>0</v>
      </c>
      <c r="AO243" s="917">
        <f t="shared" ca="1" si="44"/>
        <v>0</v>
      </c>
      <c r="AP243" s="917">
        <f t="shared" ca="1" si="45"/>
        <v>0</v>
      </c>
    </row>
    <row r="244" spans="1:42" ht="16">
      <c r="A244" s="30"/>
      <c r="B244" s="5"/>
      <c r="C244" s="30"/>
      <c r="D244" s="30"/>
      <c r="E244" s="5"/>
      <c r="F244" s="890"/>
      <c r="G244" s="935"/>
      <c r="H244" s="915"/>
      <c r="I244" s="915"/>
      <c r="J244" s="915"/>
      <c r="K244" s="916"/>
      <c r="L244" s="890"/>
      <c r="M244" s="890"/>
      <c r="N244" s="890"/>
      <c r="O244" s="917"/>
      <c r="P244" s="917"/>
      <c r="Q244" s="890"/>
      <c r="R244" s="890"/>
      <c r="S244" s="890"/>
      <c r="T244" s="890"/>
      <c r="U244" s="890"/>
      <c r="V244" s="917"/>
      <c r="W244" s="917"/>
      <c r="X244" s="918"/>
      <c r="Y244" s="917"/>
      <c r="Z244" s="918"/>
      <c r="AA244" s="918"/>
      <c r="AB244" s="917"/>
      <c r="AC244" s="917"/>
      <c r="AD244" s="917"/>
      <c r="AE244" s="917"/>
      <c r="AF244" s="917"/>
      <c r="AG244" s="917"/>
      <c r="AK244" s="917">
        <f t="shared" si="43"/>
        <v>0</v>
      </c>
      <c r="AL244" s="917"/>
      <c r="AM244" s="917">
        <f ca="1"/>
        <v>0</v>
      </c>
      <c r="AN244" s="917">
        <f ca="1"/>
        <v>0</v>
      </c>
      <c r="AO244" s="917">
        <f t="shared" ca="1" si="44"/>
        <v>0</v>
      </c>
      <c r="AP244" s="917">
        <f t="shared" ca="1" si="45"/>
        <v>0</v>
      </c>
    </row>
    <row r="245" spans="1:42" ht="16">
      <c r="A245" s="30"/>
      <c r="B245" s="5"/>
      <c r="C245" s="30"/>
      <c r="D245" s="30"/>
      <c r="E245" s="5"/>
      <c r="F245" s="890"/>
      <c r="G245" s="935"/>
      <c r="H245" s="915"/>
      <c r="I245" s="915"/>
      <c r="J245" s="915"/>
      <c r="K245" s="916"/>
      <c r="L245" s="890"/>
      <c r="M245" s="890"/>
      <c r="N245" s="890"/>
      <c r="O245" s="917"/>
      <c r="P245" s="917"/>
      <c r="Q245" s="890"/>
      <c r="R245" s="890"/>
      <c r="S245" s="890"/>
      <c r="T245" s="890"/>
      <c r="U245" s="890"/>
      <c r="V245" s="917"/>
      <c r="W245" s="917"/>
      <c r="X245" s="918"/>
      <c r="Y245" s="917"/>
      <c r="Z245" s="918"/>
      <c r="AA245" s="918"/>
      <c r="AB245" s="917"/>
      <c r="AC245" s="917"/>
      <c r="AD245" s="917"/>
      <c r="AE245" s="917"/>
      <c r="AF245" s="917"/>
      <c r="AG245" s="917"/>
      <c r="AK245" s="917">
        <f t="shared" si="43"/>
        <v>0</v>
      </c>
      <c r="AL245" s="917"/>
      <c r="AM245" s="917">
        <f ca="1"/>
        <v>0</v>
      </c>
      <c r="AN245" s="917">
        <f ca="1"/>
        <v>0</v>
      </c>
      <c r="AO245" s="917">
        <f t="shared" ca="1" si="44"/>
        <v>0</v>
      </c>
      <c r="AP245" s="917">
        <f t="shared" ca="1" si="45"/>
        <v>0</v>
      </c>
    </row>
    <row r="246" spans="1:42" ht="16">
      <c r="A246" s="30"/>
      <c r="B246" s="5"/>
      <c r="C246" s="30"/>
      <c r="D246" s="30"/>
      <c r="E246" s="5"/>
      <c r="F246" s="890"/>
      <c r="G246" s="935"/>
      <c r="H246" s="915"/>
      <c r="I246" s="915"/>
      <c r="J246" s="915"/>
      <c r="K246" s="916"/>
      <c r="L246" s="890"/>
      <c r="M246" s="890"/>
      <c r="N246" s="890"/>
      <c r="O246" s="917"/>
      <c r="P246" s="917"/>
      <c r="Q246" s="890"/>
      <c r="R246" s="890"/>
      <c r="S246" s="890"/>
      <c r="T246" s="890"/>
      <c r="U246" s="890"/>
      <c r="V246" s="917"/>
      <c r="W246" s="917"/>
      <c r="X246" s="918"/>
      <c r="Y246" s="917"/>
      <c r="Z246" s="918"/>
      <c r="AA246" s="918"/>
      <c r="AB246" s="917"/>
      <c r="AC246" s="917"/>
      <c r="AD246" s="917"/>
      <c r="AE246" s="917"/>
      <c r="AF246" s="917"/>
      <c r="AG246" s="917"/>
      <c r="AK246" s="917">
        <f t="shared" si="43"/>
        <v>0</v>
      </c>
      <c r="AL246" s="917"/>
      <c r="AM246" s="917">
        <f ca="1"/>
        <v>0</v>
      </c>
      <c r="AN246" s="917">
        <f ca="1"/>
        <v>0</v>
      </c>
      <c r="AO246" s="917">
        <f t="shared" ca="1" si="44"/>
        <v>0</v>
      </c>
      <c r="AP246" s="917">
        <f t="shared" ca="1" si="45"/>
        <v>0</v>
      </c>
    </row>
    <row r="247" spans="1:42" ht="16">
      <c r="A247" s="30"/>
      <c r="B247" s="5"/>
      <c r="C247" s="30"/>
      <c r="D247" s="30"/>
      <c r="E247" s="5"/>
      <c r="F247" s="890"/>
      <c r="G247" s="935"/>
      <c r="H247" s="915"/>
      <c r="I247" s="915"/>
      <c r="J247" s="915"/>
      <c r="K247" s="916"/>
      <c r="L247" s="890"/>
      <c r="M247" s="890"/>
      <c r="N247" s="890"/>
      <c r="O247" s="917"/>
      <c r="P247" s="917"/>
      <c r="Q247" s="890"/>
      <c r="R247" s="890"/>
      <c r="S247" s="890"/>
      <c r="T247" s="890"/>
      <c r="U247" s="890"/>
      <c r="V247" s="917"/>
      <c r="W247" s="917"/>
      <c r="X247" s="918"/>
      <c r="Y247" s="917"/>
      <c r="Z247" s="918"/>
      <c r="AA247" s="918"/>
      <c r="AB247" s="917"/>
      <c r="AC247" s="917"/>
      <c r="AD247" s="917"/>
      <c r="AE247" s="917"/>
      <c r="AF247" s="917"/>
      <c r="AG247" s="917"/>
      <c r="AK247" s="917">
        <f t="shared" si="43"/>
        <v>0</v>
      </c>
      <c r="AL247" s="917"/>
      <c r="AM247" s="917">
        <f ca="1"/>
        <v>0</v>
      </c>
      <c r="AN247" s="917">
        <f ca="1"/>
        <v>0</v>
      </c>
      <c r="AO247" s="917">
        <f t="shared" ca="1" si="44"/>
        <v>0</v>
      </c>
      <c r="AP247" s="917">
        <f t="shared" ca="1" si="45"/>
        <v>0</v>
      </c>
    </row>
    <row r="248" spans="1:42" ht="16">
      <c r="A248" s="30"/>
      <c r="B248" s="5"/>
      <c r="C248" s="30"/>
      <c r="D248" s="30"/>
      <c r="E248" s="5"/>
      <c r="F248" s="890"/>
      <c r="G248" s="935"/>
      <c r="H248" s="915"/>
      <c r="I248" s="915"/>
      <c r="J248" s="915"/>
      <c r="K248" s="916"/>
      <c r="L248" s="890"/>
      <c r="M248" s="890"/>
      <c r="N248" s="890"/>
      <c r="O248" s="917"/>
      <c r="P248" s="917"/>
      <c r="Q248" s="890"/>
      <c r="R248" s="890"/>
      <c r="S248" s="890"/>
      <c r="T248" s="890"/>
      <c r="U248" s="890"/>
      <c r="V248" s="917"/>
      <c r="W248" s="917"/>
      <c r="X248" s="918"/>
      <c r="Y248" s="917"/>
      <c r="Z248" s="918"/>
      <c r="AA248" s="918"/>
      <c r="AB248" s="917"/>
      <c r="AC248" s="917"/>
      <c r="AD248" s="917"/>
      <c r="AE248" s="917"/>
      <c r="AF248" s="917"/>
      <c r="AG248" s="917"/>
      <c r="AK248" s="917">
        <f t="shared" si="43"/>
        <v>0</v>
      </c>
      <c r="AL248" s="917"/>
      <c r="AM248" s="917">
        <f ca="1"/>
        <v>0</v>
      </c>
      <c r="AN248" s="917">
        <f ca="1"/>
        <v>0</v>
      </c>
      <c r="AO248" s="917">
        <f t="shared" ca="1" si="44"/>
        <v>0</v>
      </c>
      <c r="AP248" s="917">
        <f t="shared" ca="1" si="45"/>
        <v>0</v>
      </c>
    </row>
    <row r="249" spans="1:42" ht="16">
      <c r="A249" s="30"/>
      <c r="B249" s="5"/>
      <c r="C249" s="30"/>
      <c r="D249" s="30"/>
      <c r="E249" s="5"/>
      <c r="F249" s="890"/>
      <c r="G249" s="935"/>
      <c r="H249" s="915"/>
      <c r="I249" s="915"/>
      <c r="J249" s="915"/>
      <c r="K249" s="916"/>
      <c r="L249" s="890"/>
      <c r="M249" s="890"/>
      <c r="N249" s="890"/>
      <c r="O249" s="917"/>
      <c r="P249" s="917"/>
      <c r="Q249" s="890"/>
      <c r="R249" s="890"/>
      <c r="S249" s="890"/>
      <c r="T249" s="890"/>
      <c r="U249" s="890"/>
      <c r="V249" s="917"/>
      <c r="W249" s="917"/>
      <c r="X249" s="918"/>
      <c r="Y249" s="917"/>
      <c r="Z249" s="918"/>
      <c r="AA249" s="918"/>
      <c r="AB249" s="917"/>
      <c r="AC249" s="917"/>
      <c r="AD249" s="917"/>
      <c r="AE249" s="917"/>
      <c r="AF249" s="917"/>
      <c r="AG249" s="917"/>
      <c r="AK249" s="917">
        <f t="shared" si="43"/>
        <v>0</v>
      </c>
      <c r="AL249" s="917"/>
      <c r="AM249" s="917">
        <f ca="1"/>
        <v>0</v>
      </c>
      <c r="AN249" s="917">
        <f ca="1"/>
        <v>0</v>
      </c>
      <c r="AO249" s="917">
        <f t="shared" ca="1" si="44"/>
        <v>0</v>
      </c>
      <c r="AP249" s="917">
        <f t="shared" ca="1" si="45"/>
        <v>0</v>
      </c>
    </row>
    <row r="250" spans="1:42" ht="16">
      <c r="A250" s="30"/>
      <c r="B250" s="5"/>
      <c r="C250" s="30"/>
      <c r="D250" s="30"/>
      <c r="E250" s="5"/>
      <c r="F250" s="890"/>
      <c r="G250" s="935"/>
      <c r="H250" s="915"/>
      <c r="I250" s="915"/>
      <c r="J250" s="915"/>
      <c r="K250" s="916"/>
      <c r="L250" s="890"/>
      <c r="M250" s="890"/>
      <c r="N250" s="890"/>
      <c r="O250" s="917"/>
      <c r="P250" s="917"/>
      <c r="Q250" s="890"/>
      <c r="R250" s="890"/>
      <c r="S250" s="890"/>
      <c r="T250" s="890"/>
      <c r="U250" s="890"/>
      <c r="V250" s="917"/>
      <c r="W250" s="917"/>
      <c r="X250" s="918"/>
      <c r="Y250" s="917"/>
      <c r="Z250" s="918"/>
      <c r="AA250" s="918"/>
      <c r="AB250" s="917"/>
      <c r="AC250" s="917"/>
      <c r="AD250" s="917"/>
      <c r="AE250" s="917"/>
      <c r="AF250" s="917"/>
      <c r="AG250" s="917"/>
      <c r="AK250" s="917">
        <f t="shared" si="43"/>
        <v>0</v>
      </c>
      <c r="AL250" s="917"/>
      <c r="AM250" s="917">
        <f ca="1"/>
        <v>0</v>
      </c>
      <c r="AN250" s="917">
        <f ca="1"/>
        <v>0</v>
      </c>
      <c r="AO250" s="917">
        <f t="shared" ca="1" si="44"/>
        <v>0</v>
      </c>
      <c r="AP250" s="917">
        <f t="shared" ca="1" si="45"/>
        <v>0</v>
      </c>
    </row>
    <row r="251" spans="1:42" ht="16">
      <c r="A251" s="30"/>
      <c r="B251" s="5"/>
      <c r="C251" s="30"/>
      <c r="D251" s="30"/>
      <c r="E251" s="5"/>
      <c r="F251" s="890"/>
      <c r="G251" s="935"/>
      <c r="H251" s="915"/>
      <c r="I251" s="915"/>
      <c r="J251" s="915"/>
      <c r="K251" s="916"/>
      <c r="L251" s="890"/>
      <c r="M251" s="890"/>
      <c r="N251" s="890"/>
      <c r="O251" s="917"/>
      <c r="P251" s="917"/>
      <c r="Q251" s="890"/>
      <c r="R251" s="890"/>
      <c r="S251" s="890"/>
      <c r="T251" s="890"/>
      <c r="U251" s="890"/>
      <c r="V251" s="917"/>
      <c r="W251" s="917"/>
      <c r="X251" s="918"/>
      <c r="Y251" s="917"/>
      <c r="Z251" s="918"/>
      <c r="AA251" s="918"/>
      <c r="AB251" s="917"/>
      <c r="AC251" s="917"/>
      <c r="AD251" s="917"/>
      <c r="AE251" s="917"/>
      <c r="AF251" s="917"/>
      <c r="AG251" s="917"/>
      <c r="AK251" s="917">
        <f t="shared" si="43"/>
        <v>0</v>
      </c>
      <c r="AL251" s="917"/>
      <c r="AM251" s="917">
        <f ca="1"/>
        <v>0</v>
      </c>
      <c r="AN251" s="917">
        <f ca="1"/>
        <v>0</v>
      </c>
      <c r="AO251" s="917">
        <f t="shared" ca="1" si="44"/>
        <v>0</v>
      </c>
      <c r="AP251" s="917">
        <f t="shared" ca="1" si="45"/>
        <v>0</v>
      </c>
    </row>
    <row r="252" spans="1:42" ht="16">
      <c r="A252" s="30"/>
      <c r="B252" s="5"/>
      <c r="C252" s="30"/>
      <c r="D252" s="30"/>
      <c r="E252" s="5"/>
      <c r="F252" s="890"/>
      <c r="G252" s="935"/>
      <c r="H252" s="915"/>
      <c r="I252" s="915"/>
      <c r="J252" s="915"/>
      <c r="K252" s="916"/>
      <c r="L252" s="890"/>
      <c r="M252" s="890"/>
      <c r="N252" s="890"/>
      <c r="O252" s="917"/>
      <c r="P252" s="917"/>
      <c r="Q252" s="890"/>
      <c r="R252" s="890"/>
      <c r="S252" s="890"/>
      <c r="T252" s="890"/>
      <c r="U252" s="890"/>
      <c r="V252" s="917"/>
      <c r="W252" s="917"/>
      <c r="X252" s="918"/>
      <c r="Y252" s="917"/>
      <c r="Z252" s="918"/>
      <c r="AA252" s="918"/>
      <c r="AB252" s="917"/>
      <c r="AC252" s="917"/>
      <c r="AD252" s="917"/>
      <c r="AE252" s="917"/>
      <c r="AF252" s="917"/>
      <c r="AG252" s="917"/>
      <c r="AK252" s="917">
        <f t="shared" si="43"/>
        <v>0</v>
      </c>
      <c r="AL252" s="917"/>
      <c r="AM252" s="917">
        <f ca="1"/>
        <v>0</v>
      </c>
      <c r="AN252" s="917">
        <f ca="1"/>
        <v>0</v>
      </c>
      <c r="AO252" s="917">
        <f t="shared" ca="1" si="44"/>
        <v>0</v>
      </c>
      <c r="AP252" s="917">
        <f t="shared" ca="1" si="45"/>
        <v>0</v>
      </c>
    </row>
    <row r="253" spans="1:42" ht="16">
      <c r="A253" s="30"/>
      <c r="B253" s="5"/>
      <c r="C253" s="30"/>
      <c r="D253" s="30"/>
      <c r="E253" s="5"/>
      <c r="F253" s="890"/>
      <c r="G253" s="935"/>
      <c r="H253" s="915"/>
      <c r="I253" s="915"/>
      <c r="J253" s="915"/>
      <c r="K253" s="916"/>
      <c r="L253" s="890"/>
      <c r="M253" s="890"/>
      <c r="N253" s="890"/>
      <c r="O253" s="917"/>
      <c r="P253" s="917"/>
      <c r="Q253" s="890"/>
      <c r="R253" s="890"/>
      <c r="S253" s="890"/>
      <c r="T253" s="890"/>
      <c r="U253" s="890"/>
      <c r="V253" s="917"/>
      <c r="W253" s="917"/>
      <c r="X253" s="918"/>
      <c r="Y253" s="917"/>
      <c r="Z253" s="918"/>
      <c r="AA253" s="918"/>
      <c r="AB253" s="917"/>
      <c r="AC253" s="917"/>
      <c r="AD253" s="917"/>
      <c r="AE253" s="917"/>
      <c r="AF253" s="917"/>
      <c r="AG253" s="917"/>
      <c r="AK253" s="917">
        <f t="shared" si="43"/>
        <v>0</v>
      </c>
      <c r="AL253" s="917"/>
      <c r="AM253" s="917">
        <f ca="1"/>
        <v>0</v>
      </c>
      <c r="AN253" s="917">
        <f ca="1"/>
        <v>0</v>
      </c>
      <c r="AO253" s="917">
        <f t="shared" ca="1" si="44"/>
        <v>0</v>
      </c>
      <c r="AP253" s="917">
        <f t="shared" ca="1" si="45"/>
        <v>0</v>
      </c>
    </row>
    <row r="254" spans="1:42" ht="16">
      <c r="A254" s="30"/>
      <c r="B254" s="5"/>
      <c r="C254" s="30"/>
      <c r="D254" s="30"/>
      <c r="E254" s="5"/>
      <c r="F254" s="890"/>
      <c r="G254" s="935"/>
      <c r="H254" s="915"/>
      <c r="I254" s="915"/>
      <c r="J254" s="915"/>
      <c r="K254" s="916"/>
      <c r="L254" s="890"/>
      <c r="M254" s="890"/>
      <c r="N254" s="890"/>
      <c r="O254" s="917"/>
      <c r="P254" s="917"/>
      <c r="Q254" s="890"/>
      <c r="R254" s="890"/>
      <c r="S254" s="890"/>
      <c r="T254" s="890"/>
      <c r="U254" s="890"/>
      <c r="V254" s="917"/>
      <c r="W254" s="917"/>
      <c r="X254" s="918"/>
      <c r="Y254" s="917"/>
      <c r="Z254" s="918"/>
      <c r="AA254" s="918"/>
      <c r="AB254" s="917"/>
      <c r="AC254" s="917"/>
      <c r="AD254" s="917"/>
      <c r="AE254" s="917"/>
      <c r="AF254" s="917"/>
      <c r="AG254" s="917"/>
      <c r="AK254" s="917">
        <f t="shared" si="43"/>
        <v>0</v>
      </c>
      <c r="AL254" s="917"/>
      <c r="AM254" s="917">
        <f ca="1"/>
        <v>0</v>
      </c>
      <c r="AN254" s="917">
        <f ca="1"/>
        <v>0</v>
      </c>
      <c r="AO254" s="917">
        <f t="shared" ca="1" si="44"/>
        <v>0</v>
      </c>
      <c r="AP254" s="917">
        <f t="shared" ca="1" si="45"/>
        <v>0</v>
      </c>
    </row>
    <row r="255" spans="1:42" ht="16">
      <c r="A255" s="30"/>
      <c r="B255" s="5"/>
      <c r="C255" s="30"/>
      <c r="D255" s="30"/>
      <c r="E255" s="5"/>
      <c r="F255" s="890"/>
      <c r="G255" s="935"/>
      <c r="H255" s="915"/>
      <c r="I255" s="915"/>
      <c r="J255" s="915"/>
      <c r="K255" s="916"/>
      <c r="L255" s="890"/>
      <c r="M255" s="890"/>
      <c r="N255" s="890"/>
      <c r="O255" s="917"/>
      <c r="P255" s="917"/>
      <c r="Q255" s="890"/>
      <c r="R255" s="890"/>
      <c r="S255" s="890"/>
      <c r="T255" s="890"/>
      <c r="U255" s="890"/>
      <c r="V255" s="917"/>
      <c r="W255" s="917"/>
      <c r="X255" s="918"/>
      <c r="Y255" s="917"/>
      <c r="Z255" s="918"/>
      <c r="AA255" s="918"/>
      <c r="AB255" s="917"/>
      <c r="AC255" s="917"/>
      <c r="AD255" s="917"/>
      <c r="AE255" s="917"/>
      <c r="AF255" s="917"/>
      <c r="AG255" s="917"/>
      <c r="AK255" s="917">
        <f t="shared" si="43"/>
        <v>0</v>
      </c>
      <c r="AL255" s="917"/>
      <c r="AM255" s="917">
        <f ca="1"/>
        <v>0</v>
      </c>
      <c r="AN255" s="917">
        <f ca="1"/>
        <v>0</v>
      </c>
      <c r="AO255" s="917">
        <f t="shared" ca="1" si="44"/>
        <v>0</v>
      </c>
      <c r="AP255" s="917">
        <f t="shared" ca="1" si="45"/>
        <v>0</v>
      </c>
    </row>
    <row r="256" spans="1:42" ht="16">
      <c r="A256" s="30"/>
      <c r="B256" s="5"/>
      <c r="C256" s="30"/>
      <c r="D256" s="30"/>
      <c r="E256" s="5"/>
      <c r="F256" s="890"/>
      <c r="G256" s="935"/>
      <c r="H256" s="915"/>
      <c r="I256" s="915"/>
      <c r="J256" s="915"/>
      <c r="K256" s="916"/>
      <c r="L256" s="890"/>
      <c r="M256" s="890"/>
      <c r="N256" s="890"/>
      <c r="O256" s="917"/>
      <c r="P256" s="917"/>
      <c r="Q256" s="890"/>
      <c r="R256" s="890"/>
      <c r="S256" s="890"/>
      <c r="T256" s="890"/>
      <c r="U256" s="890"/>
      <c r="V256" s="917"/>
      <c r="W256" s="917"/>
      <c r="X256" s="918"/>
      <c r="Y256" s="917"/>
      <c r="Z256" s="918"/>
      <c r="AA256" s="918"/>
      <c r="AB256" s="917"/>
      <c r="AC256" s="917"/>
      <c r="AD256" s="917"/>
      <c r="AE256" s="917"/>
      <c r="AF256" s="917"/>
      <c r="AG256" s="917"/>
      <c r="AK256" s="917">
        <f t="shared" si="43"/>
        <v>0</v>
      </c>
      <c r="AL256" s="917"/>
      <c r="AM256" s="917">
        <f ca="1"/>
        <v>0</v>
      </c>
      <c r="AN256" s="917">
        <f ca="1"/>
        <v>0</v>
      </c>
      <c r="AO256" s="917">
        <f t="shared" ca="1" si="44"/>
        <v>0</v>
      </c>
      <c r="AP256" s="917">
        <f t="shared" ca="1" si="45"/>
        <v>0</v>
      </c>
    </row>
    <row r="257" spans="1:42" ht="16">
      <c r="A257" s="30"/>
      <c r="B257" s="5"/>
      <c r="C257" s="30"/>
      <c r="D257" s="30"/>
      <c r="E257" s="5"/>
      <c r="F257" s="890"/>
      <c r="G257" s="935"/>
      <c r="H257" s="915"/>
      <c r="I257" s="915"/>
      <c r="J257" s="915"/>
      <c r="K257" s="916"/>
      <c r="L257" s="890"/>
      <c r="M257" s="890"/>
      <c r="N257" s="890"/>
      <c r="O257" s="917"/>
      <c r="P257" s="917"/>
      <c r="Q257" s="890"/>
      <c r="R257" s="890"/>
      <c r="S257" s="890"/>
      <c r="T257" s="890"/>
      <c r="U257" s="890"/>
      <c r="V257" s="917"/>
      <c r="W257" s="917"/>
      <c r="X257" s="918"/>
      <c r="Y257" s="917"/>
      <c r="Z257" s="918"/>
      <c r="AA257" s="918"/>
      <c r="AB257" s="917"/>
      <c r="AC257" s="917"/>
      <c r="AD257" s="917"/>
      <c r="AE257" s="917"/>
      <c r="AF257" s="917"/>
      <c r="AG257" s="917"/>
      <c r="AK257" s="917">
        <f t="shared" si="43"/>
        <v>0</v>
      </c>
      <c r="AL257" s="917"/>
      <c r="AM257" s="917">
        <f ca="1"/>
        <v>0</v>
      </c>
      <c r="AN257" s="917">
        <f ca="1"/>
        <v>0</v>
      </c>
      <c r="AO257" s="917">
        <f t="shared" ca="1" si="44"/>
        <v>0</v>
      </c>
      <c r="AP257" s="917">
        <f t="shared" ca="1" si="45"/>
        <v>0</v>
      </c>
    </row>
    <row r="258" spans="1:42" ht="16">
      <c r="A258" s="30"/>
      <c r="B258" s="5"/>
      <c r="C258" s="30"/>
      <c r="D258" s="30"/>
      <c r="E258" s="5"/>
      <c r="F258" s="890"/>
      <c r="G258" s="935"/>
      <c r="H258" s="915"/>
      <c r="I258" s="915"/>
      <c r="J258" s="915"/>
      <c r="K258" s="916"/>
      <c r="L258" s="890"/>
      <c r="M258" s="890"/>
      <c r="N258" s="890"/>
      <c r="O258" s="917"/>
      <c r="P258" s="917"/>
      <c r="Q258" s="890"/>
      <c r="R258" s="890"/>
      <c r="S258" s="890"/>
      <c r="T258" s="890"/>
      <c r="U258" s="890"/>
      <c r="V258" s="917"/>
      <c r="W258" s="917"/>
      <c r="X258" s="918"/>
      <c r="Y258" s="917"/>
      <c r="Z258" s="918"/>
      <c r="AA258" s="918"/>
      <c r="AB258" s="917"/>
      <c r="AC258" s="917"/>
      <c r="AD258" s="917"/>
      <c r="AE258" s="917"/>
      <c r="AF258" s="917"/>
      <c r="AG258" s="917"/>
      <c r="AK258" s="917">
        <f t="shared" si="43"/>
        <v>0</v>
      </c>
      <c r="AL258" s="917"/>
      <c r="AM258" s="917">
        <f ca="1"/>
        <v>0</v>
      </c>
      <c r="AN258" s="917">
        <f ca="1"/>
        <v>0</v>
      </c>
      <c r="AO258" s="917">
        <f t="shared" ca="1" si="44"/>
        <v>0</v>
      </c>
      <c r="AP258" s="917">
        <f t="shared" ca="1" si="45"/>
        <v>0</v>
      </c>
    </row>
    <row r="259" spans="1:42" ht="16">
      <c r="A259" s="30"/>
      <c r="B259" s="5"/>
      <c r="C259" s="30"/>
      <c r="D259" s="30"/>
      <c r="E259" s="5"/>
      <c r="F259" s="890"/>
      <c r="G259" s="935"/>
      <c r="H259" s="915"/>
      <c r="I259" s="915"/>
      <c r="J259" s="915"/>
      <c r="K259" s="916"/>
      <c r="L259" s="890"/>
      <c r="M259" s="890"/>
      <c r="N259" s="890"/>
      <c r="O259" s="917"/>
      <c r="P259" s="917"/>
      <c r="Q259" s="890"/>
      <c r="R259" s="890"/>
      <c r="S259" s="890"/>
      <c r="T259" s="890"/>
      <c r="U259" s="890"/>
      <c r="V259" s="917"/>
      <c r="W259" s="917"/>
      <c r="X259" s="918"/>
      <c r="Y259" s="917"/>
      <c r="Z259" s="918"/>
      <c r="AA259" s="918"/>
      <c r="AB259" s="917"/>
      <c r="AC259" s="917"/>
      <c r="AD259" s="917"/>
      <c r="AE259" s="917"/>
      <c r="AF259" s="917"/>
      <c r="AG259" s="917"/>
      <c r="AK259" s="917">
        <f t="shared" si="43"/>
        <v>0</v>
      </c>
      <c r="AL259" s="917"/>
      <c r="AM259" s="917">
        <f ca="1"/>
        <v>0</v>
      </c>
      <c r="AN259" s="917">
        <f ca="1"/>
        <v>0</v>
      </c>
      <c r="AO259" s="917">
        <f t="shared" ca="1" si="44"/>
        <v>0</v>
      </c>
      <c r="AP259" s="917">
        <f t="shared" ca="1" si="45"/>
        <v>0</v>
      </c>
    </row>
    <row r="260" spans="1:42" ht="16">
      <c r="A260" s="30"/>
      <c r="B260" s="5"/>
      <c r="C260" s="30"/>
      <c r="D260" s="30"/>
      <c r="E260" s="5"/>
      <c r="F260" s="890"/>
      <c r="G260" s="935"/>
      <c r="H260" s="915"/>
      <c r="I260" s="915"/>
      <c r="J260" s="915"/>
      <c r="K260" s="916"/>
      <c r="L260" s="890"/>
      <c r="M260" s="890"/>
      <c r="N260" s="890"/>
      <c r="O260" s="917"/>
      <c r="P260" s="917"/>
      <c r="Q260" s="890"/>
      <c r="R260" s="890"/>
      <c r="S260" s="890"/>
      <c r="T260" s="890"/>
      <c r="U260" s="890"/>
      <c r="V260" s="917"/>
      <c r="W260" s="917"/>
      <c r="X260" s="918"/>
      <c r="Y260" s="917"/>
      <c r="Z260" s="918"/>
      <c r="AA260" s="918"/>
      <c r="AB260" s="917"/>
      <c r="AC260" s="917"/>
      <c r="AD260" s="917"/>
      <c r="AE260" s="917"/>
      <c r="AF260" s="917"/>
      <c r="AG260" s="917"/>
      <c r="AK260" s="917">
        <f t="shared" si="43"/>
        <v>0</v>
      </c>
      <c r="AL260" s="917"/>
      <c r="AM260" s="917">
        <f ca="1"/>
        <v>0</v>
      </c>
      <c r="AN260" s="917">
        <f ca="1"/>
        <v>0</v>
      </c>
      <c r="AO260" s="917">
        <f t="shared" ca="1" si="44"/>
        <v>0</v>
      </c>
      <c r="AP260" s="917">
        <f t="shared" ca="1" si="45"/>
        <v>0</v>
      </c>
    </row>
    <row r="261" spans="1:42" ht="16">
      <c r="A261" s="30"/>
      <c r="B261" s="5"/>
      <c r="C261" s="30"/>
      <c r="D261" s="30"/>
      <c r="E261" s="5"/>
      <c r="F261" s="890"/>
      <c r="G261" s="935"/>
      <c r="H261" s="915"/>
      <c r="I261" s="915"/>
      <c r="J261" s="915"/>
      <c r="K261" s="916"/>
      <c r="L261" s="890"/>
      <c r="M261" s="890"/>
      <c r="N261" s="890"/>
      <c r="O261" s="917"/>
      <c r="P261" s="917"/>
      <c r="Q261" s="890"/>
      <c r="R261" s="890"/>
      <c r="S261" s="890"/>
      <c r="T261" s="890"/>
      <c r="U261" s="890"/>
      <c r="V261" s="917"/>
      <c r="W261" s="917"/>
      <c r="X261" s="918"/>
      <c r="Y261" s="917"/>
      <c r="Z261" s="918"/>
      <c r="AA261" s="918"/>
      <c r="AB261" s="917"/>
      <c r="AC261" s="917"/>
      <c r="AD261" s="917"/>
      <c r="AE261" s="917"/>
      <c r="AF261" s="917"/>
      <c r="AG261" s="917"/>
      <c r="AK261" s="917">
        <f t="shared" si="43"/>
        <v>0</v>
      </c>
      <c r="AL261" s="917"/>
      <c r="AM261" s="917">
        <f ca="1"/>
        <v>0</v>
      </c>
      <c r="AN261" s="917">
        <f ca="1"/>
        <v>0</v>
      </c>
      <c r="AO261" s="917">
        <f t="shared" ca="1" si="44"/>
        <v>0</v>
      </c>
      <c r="AP261" s="917">
        <f t="shared" ca="1" si="45"/>
        <v>0</v>
      </c>
    </row>
    <row r="262" spans="1:42" ht="16">
      <c r="A262" s="30"/>
      <c r="B262" s="5"/>
      <c r="C262" s="30"/>
      <c r="D262" s="30"/>
      <c r="E262" s="5"/>
      <c r="F262" s="890"/>
      <c r="G262" s="935"/>
      <c r="H262" s="915"/>
      <c r="I262" s="915"/>
      <c r="J262" s="915"/>
      <c r="K262" s="916"/>
      <c r="L262" s="890"/>
      <c r="M262" s="890"/>
      <c r="N262" s="890"/>
      <c r="O262" s="917"/>
      <c r="P262" s="917"/>
      <c r="Q262" s="890"/>
      <c r="R262" s="890"/>
      <c r="S262" s="890"/>
      <c r="T262" s="890"/>
      <c r="U262" s="890"/>
      <c r="V262" s="917"/>
      <c r="W262" s="917"/>
      <c r="X262" s="918"/>
      <c r="Y262" s="917"/>
      <c r="Z262" s="918"/>
      <c r="AA262" s="918"/>
      <c r="AB262" s="917"/>
      <c r="AC262" s="917"/>
      <c r="AD262" s="917"/>
      <c r="AE262" s="917"/>
      <c r="AF262" s="917"/>
      <c r="AG262" s="917"/>
      <c r="AK262" s="917">
        <f t="shared" si="43"/>
        <v>0</v>
      </c>
      <c r="AL262" s="917"/>
      <c r="AM262" s="917">
        <f ca="1"/>
        <v>0</v>
      </c>
      <c r="AN262" s="917">
        <f ca="1"/>
        <v>0</v>
      </c>
      <c r="AO262" s="917">
        <f t="shared" ca="1" si="44"/>
        <v>0</v>
      </c>
      <c r="AP262" s="917">
        <f t="shared" ca="1" si="45"/>
        <v>0</v>
      </c>
    </row>
    <row r="263" spans="1:42" ht="16">
      <c r="A263" s="30"/>
      <c r="B263" s="5"/>
      <c r="C263" s="30"/>
      <c r="D263" s="30"/>
      <c r="E263" s="5"/>
      <c r="F263" s="890"/>
      <c r="G263" s="935"/>
      <c r="H263" s="915"/>
      <c r="I263" s="915"/>
      <c r="J263" s="915"/>
      <c r="K263" s="916"/>
      <c r="L263" s="890"/>
      <c r="M263" s="890"/>
      <c r="N263" s="890"/>
      <c r="O263" s="917"/>
      <c r="P263" s="917"/>
      <c r="Q263" s="890"/>
      <c r="R263" s="890"/>
      <c r="S263" s="890"/>
      <c r="T263" s="890"/>
      <c r="U263" s="890"/>
      <c r="V263" s="917"/>
      <c r="W263" s="917"/>
      <c r="X263" s="918"/>
      <c r="Y263" s="917"/>
      <c r="Z263" s="918"/>
      <c r="AA263" s="918"/>
      <c r="AB263" s="917"/>
      <c r="AC263" s="917"/>
      <c r="AD263" s="917"/>
      <c r="AE263" s="917"/>
      <c r="AF263" s="917"/>
      <c r="AG263" s="917"/>
      <c r="AK263" s="917">
        <f t="shared" si="43"/>
        <v>0</v>
      </c>
      <c r="AL263" s="917"/>
      <c r="AM263" s="917">
        <f ca="1"/>
        <v>0</v>
      </c>
      <c r="AN263" s="917">
        <f ca="1"/>
        <v>0</v>
      </c>
      <c r="AO263" s="917">
        <f t="shared" ca="1" si="44"/>
        <v>0</v>
      </c>
      <c r="AP263" s="917">
        <f t="shared" ca="1" si="45"/>
        <v>0</v>
      </c>
    </row>
    <row r="264" spans="1:42" ht="16">
      <c r="A264" s="30"/>
      <c r="B264" s="5"/>
      <c r="C264" s="30"/>
      <c r="D264" s="30"/>
      <c r="E264" s="5"/>
      <c r="F264" s="890"/>
      <c r="G264" s="935"/>
      <c r="H264" s="915"/>
      <c r="I264" s="915"/>
      <c r="J264" s="915"/>
      <c r="K264" s="916"/>
      <c r="L264" s="890"/>
      <c r="M264" s="890"/>
      <c r="N264" s="890"/>
      <c r="O264" s="917"/>
      <c r="P264" s="917"/>
      <c r="Q264" s="890"/>
      <c r="R264" s="890"/>
      <c r="S264" s="890"/>
      <c r="T264" s="890"/>
      <c r="U264" s="890"/>
      <c r="V264" s="917"/>
      <c r="W264" s="917"/>
      <c r="X264" s="918"/>
      <c r="Y264" s="917"/>
      <c r="Z264" s="918"/>
      <c r="AA264" s="918"/>
      <c r="AB264" s="917"/>
      <c r="AC264" s="917"/>
      <c r="AD264" s="917"/>
      <c r="AE264" s="917"/>
      <c r="AF264" s="917"/>
      <c r="AG264" s="917"/>
      <c r="AK264" s="917">
        <f t="shared" si="43"/>
        <v>0</v>
      </c>
      <c r="AL264" s="917"/>
      <c r="AM264" s="917">
        <f ca="1"/>
        <v>0</v>
      </c>
      <c r="AN264" s="917">
        <f ca="1"/>
        <v>0</v>
      </c>
      <c r="AO264" s="917">
        <f t="shared" ca="1" si="44"/>
        <v>0</v>
      </c>
      <c r="AP264" s="917">
        <f t="shared" ca="1" si="45"/>
        <v>0</v>
      </c>
    </row>
    <row r="265" spans="1:42" ht="16">
      <c r="A265" s="30"/>
      <c r="B265" s="5"/>
      <c r="C265" s="30"/>
      <c r="D265" s="30"/>
      <c r="E265" s="5"/>
      <c r="F265" s="890"/>
      <c r="G265" s="935"/>
      <c r="H265" s="915"/>
      <c r="I265" s="915"/>
      <c r="J265" s="915"/>
      <c r="K265" s="916"/>
      <c r="L265" s="890"/>
      <c r="M265" s="890"/>
      <c r="N265" s="890"/>
      <c r="O265" s="917"/>
      <c r="P265" s="917"/>
      <c r="Q265" s="890"/>
      <c r="R265" s="890"/>
      <c r="S265" s="890"/>
      <c r="T265" s="890"/>
      <c r="U265" s="890"/>
      <c r="V265" s="917"/>
      <c r="W265" s="917"/>
      <c r="X265" s="918"/>
      <c r="Y265" s="917"/>
      <c r="Z265" s="918"/>
      <c r="AA265" s="918"/>
      <c r="AB265" s="917"/>
      <c r="AC265" s="917"/>
      <c r="AD265" s="917"/>
      <c r="AE265" s="917"/>
      <c r="AF265" s="917"/>
      <c r="AG265" s="917"/>
      <c r="AK265" s="917">
        <f t="shared" ref="AK265:AK328" si="46">IF(W265&lt;0,W265,0)</f>
        <v>0</v>
      </c>
      <c r="AL265" s="917"/>
      <c r="AM265" s="917">
        <f ca="1"/>
        <v>0</v>
      </c>
      <c r="AN265" s="917">
        <f ca="1"/>
        <v>0</v>
      </c>
      <c r="AO265" s="917">
        <f t="shared" ref="AO265:AO328" ca="1" si="47">SUM(AL265:AN265)</f>
        <v>0</v>
      </c>
      <c r="AP265" s="917">
        <f t="shared" ref="AP265:AP328" ca="1" si="48">AO265+AK265</f>
        <v>0</v>
      </c>
    </row>
    <row r="266" spans="1:42" ht="16">
      <c r="A266" s="30"/>
      <c r="B266" s="5"/>
      <c r="C266" s="30"/>
      <c r="D266" s="30"/>
      <c r="E266" s="5"/>
      <c r="F266" s="890"/>
      <c r="G266" s="935"/>
      <c r="H266" s="915"/>
      <c r="I266" s="915"/>
      <c r="J266" s="915"/>
      <c r="K266" s="916"/>
      <c r="L266" s="890"/>
      <c r="M266" s="890"/>
      <c r="N266" s="890"/>
      <c r="O266" s="917"/>
      <c r="P266" s="917"/>
      <c r="Q266" s="890"/>
      <c r="R266" s="890"/>
      <c r="S266" s="890"/>
      <c r="T266" s="890"/>
      <c r="U266" s="890"/>
      <c r="V266" s="917"/>
      <c r="W266" s="917"/>
      <c r="X266" s="918"/>
      <c r="Y266" s="917"/>
      <c r="Z266" s="918"/>
      <c r="AA266" s="918"/>
      <c r="AB266" s="917"/>
      <c r="AC266" s="917"/>
      <c r="AD266" s="917"/>
      <c r="AE266" s="917"/>
      <c r="AF266" s="917"/>
      <c r="AG266" s="917"/>
      <c r="AK266" s="917">
        <f t="shared" si="46"/>
        <v>0</v>
      </c>
      <c r="AL266" s="917"/>
      <c r="AM266" s="917">
        <f ca="1"/>
        <v>0</v>
      </c>
      <c r="AN266" s="917">
        <f ca="1"/>
        <v>0</v>
      </c>
      <c r="AO266" s="917">
        <f t="shared" ca="1" si="47"/>
        <v>0</v>
      </c>
      <c r="AP266" s="917">
        <f t="shared" ca="1" si="48"/>
        <v>0</v>
      </c>
    </row>
    <row r="267" spans="1:42" ht="16">
      <c r="A267" s="30"/>
      <c r="B267" s="5"/>
      <c r="C267" s="30"/>
      <c r="D267" s="30"/>
      <c r="E267" s="5"/>
      <c r="F267" s="890"/>
      <c r="G267" s="935"/>
      <c r="H267" s="915"/>
      <c r="I267" s="915"/>
      <c r="J267" s="915"/>
      <c r="K267" s="916"/>
      <c r="L267" s="890"/>
      <c r="M267" s="890"/>
      <c r="N267" s="890"/>
      <c r="O267" s="917"/>
      <c r="P267" s="917"/>
      <c r="Q267" s="890"/>
      <c r="R267" s="890"/>
      <c r="S267" s="890"/>
      <c r="T267" s="890"/>
      <c r="U267" s="890"/>
      <c r="V267" s="917"/>
      <c r="W267" s="917"/>
      <c r="X267" s="918"/>
      <c r="Y267" s="917"/>
      <c r="Z267" s="918"/>
      <c r="AA267" s="918"/>
      <c r="AB267" s="917"/>
      <c r="AC267" s="917"/>
      <c r="AD267" s="917"/>
      <c r="AE267" s="917"/>
      <c r="AF267" s="917"/>
      <c r="AG267" s="917"/>
      <c r="AK267" s="917">
        <f t="shared" si="46"/>
        <v>0</v>
      </c>
      <c r="AL267" s="917"/>
      <c r="AM267" s="917">
        <f ca="1"/>
        <v>0</v>
      </c>
      <c r="AN267" s="917">
        <f ca="1"/>
        <v>0</v>
      </c>
      <c r="AO267" s="917">
        <f t="shared" ca="1" si="47"/>
        <v>0</v>
      </c>
      <c r="AP267" s="917">
        <f t="shared" ca="1" si="48"/>
        <v>0</v>
      </c>
    </row>
    <row r="268" spans="1:42" ht="16">
      <c r="A268" s="30"/>
      <c r="B268" s="5"/>
      <c r="C268" s="30"/>
      <c r="D268" s="30"/>
      <c r="E268" s="5"/>
      <c r="F268" s="890"/>
      <c r="G268" s="935"/>
      <c r="H268" s="915"/>
      <c r="I268" s="915"/>
      <c r="J268" s="915"/>
      <c r="K268" s="916"/>
      <c r="L268" s="890"/>
      <c r="M268" s="890"/>
      <c r="N268" s="890"/>
      <c r="O268" s="917"/>
      <c r="P268" s="917"/>
      <c r="Q268" s="890"/>
      <c r="R268" s="890"/>
      <c r="S268" s="890"/>
      <c r="T268" s="890"/>
      <c r="U268" s="890"/>
      <c r="V268" s="917"/>
      <c r="W268" s="917"/>
      <c r="X268" s="918"/>
      <c r="Y268" s="917"/>
      <c r="Z268" s="918"/>
      <c r="AA268" s="918"/>
      <c r="AB268" s="917"/>
      <c r="AC268" s="917"/>
      <c r="AD268" s="917"/>
      <c r="AE268" s="917"/>
      <c r="AF268" s="917"/>
      <c r="AG268" s="917"/>
      <c r="AK268" s="917">
        <f t="shared" si="46"/>
        <v>0</v>
      </c>
      <c r="AL268" s="917"/>
      <c r="AM268" s="917">
        <f ca="1"/>
        <v>0</v>
      </c>
      <c r="AN268" s="917">
        <f ca="1"/>
        <v>0</v>
      </c>
      <c r="AO268" s="917">
        <f t="shared" ca="1" si="47"/>
        <v>0</v>
      </c>
      <c r="AP268" s="917">
        <f t="shared" ca="1" si="48"/>
        <v>0</v>
      </c>
    </row>
    <row r="269" spans="1:42" ht="16">
      <c r="A269" s="30"/>
      <c r="B269" s="5"/>
      <c r="C269" s="30"/>
      <c r="D269" s="30"/>
      <c r="E269" s="5"/>
      <c r="F269" s="890"/>
      <c r="G269" s="935"/>
      <c r="H269" s="915"/>
      <c r="I269" s="915"/>
      <c r="J269" s="915"/>
      <c r="K269" s="916"/>
      <c r="L269" s="890"/>
      <c r="M269" s="890"/>
      <c r="N269" s="890"/>
      <c r="O269" s="917"/>
      <c r="P269" s="917"/>
      <c r="Q269" s="890"/>
      <c r="R269" s="890"/>
      <c r="S269" s="890"/>
      <c r="T269" s="890"/>
      <c r="U269" s="890"/>
      <c r="V269" s="917"/>
      <c r="W269" s="917"/>
      <c r="X269" s="918"/>
      <c r="Y269" s="917"/>
      <c r="Z269" s="918"/>
      <c r="AA269" s="918"/>
      <c r="AB269" s="917"/>
      <c r="AC269" s="917"/>
      <c r="AD269" s="917"/>
      <c r="AE269" s="917"/>
      <c r="AF269" s="917"/>
      <c r="AG269" s="917"/>
      <c r="AK269" s="917">
        <f t="shared" si="46"/>
        <v>0</v>
      </c>
      <c r="AL269" s="917"/>
      <c r="AM269" s="917">
        <f ca="1"/>
        <v>0</v>
      </c>
      <c r="AN269" s="917">
        <f ca="1"/>
        <v>0</v>
      </c>
      <c r="AO269" s="917">
        <f t="shared" ca="1" si="47"/>
        <v>0</v>
      </c>
      <c r="AP269" s="917">
        <f t="shared" ca="1" si="48"/>
        <v>0</v>
      </c>
    </row>
    <row r="270" spans="1:42" ht="16">
      <c r="A270" s="30"/>
      <c r="B270" s="5"/>
      <c r="C270" s="30"/>
      <c r="D270" s="30"/>
      <c r="E270" s="5"/>
      <c r="F270" s="890"/>
      <c r="G270" s="935"/>
      <c r="H270" s="915"/>
      <c r="I270" s="915"/>
      <c r="J270" s="915"/>
      <c r="K270" s="916"/>
      <c r="L270" s="890"/>
      <c r="M270" s="890"/>
      <c r="N270" s="890"/>
      <c r="O270" s="917"/>
      <c r="P270" s="917"/>
      <c r="Q270" s="890"/>
      <c r="R270" s="890"/>
      <c r="S270" s="890"/>
      <c r="T270" s="890"/>
      <c r="U270" s="890"/>
      <c r="V270" s="917"/>
      <c r="W270" s="917"/>
      <c r="X270" s="918"/>
      <c r="Y270" s="917"/>
      <c r="Z270" s="918"/>
      <c r="AA270" s="918"/>
      <c r="AB270" s="917"/>
      <c r="AC270" s="917"/>
      <c r="AD270" s="917"/>
      <c r="AE270" s="917"/>
      <c r="AF270" s="917"/>
      <c r="AG270" s="917"/>
      <c r="AK270" s="917">
        <f t="shared" si="46"/>
        <v>0</v>
      </c>
      <c r="AL270" s="917"/>
      <c r="AM270" s="917">
        <f ca="1"/>
        <v>0</v>
      </c>
      <c r="AN270" s="917">
        <f ca="1"/>
        <v>0</v>
      </c>
      <c r="AO270" s="917">
        <f t="shared" ca="1" si="47"/>
        <v>0</v>
      </c>
      <c r="AP270" s="917">
        <f t="shared" ca="1" si="48"/>
        <v>0</v>
      </c>
    </row>
    <row r="271" spans="1:42" ht="16">
      <c r="A271" s="30"/>
      <c r="B271" s="5"/>
      <c r="C271" s="30"/>
      <c r="D271" s="30"/>
      <c r="E271" s="5"/>
      <c r="F271" s="890"/>
      <c r="G271" s="935"/>
      <c r="H271" s="915"/>
      <c r="I271" s="915"/>
      <c r="J271" s="915"/>
      <c r="K271" s="916"/>
      <c r="L271" s="890"/>
      <c r="M271" s="890"/>
      <c r="N271" s="890"/>
      <c r="O271" s="917"/>
      <c r="P271" s="917"/>
      <c r="Q271" s="890"/>
      <c r="R271" s="890"/>
      <c r="S271" s="890"/>
      <c r="T271" s="890"/>
      <c r="U271" s="890"/>
      <c r="V271" s="917"/>
      <c r="W271" s="917"/>
      <c r="X271" s="918"/>
      <c r="Y271" s="917"/>
      <c r="Z271" s="918"/>
      <c r="AA271" s="918"/>
      <c r="AB271" s="917"/>
      <c r="AC271" s="917"/>
      <c r="AD271" s="917"/>
      <c r="AE271" s="917"/>
      <c r="AF271" s="917"/>
      <c r="AG271" s="917"/>
      <c r="AK271" s="917">
        <f t="shared" si="46"/>
        <v>0</v>
      </c>
      <c r="AL271" s="917"/>
      <c r="AM271" s="917">
        <f ca="1"/>
        <v>0</v>
      </c>
      <c r="AN271" s="917">
        <f ca="1"/>
        <v>0</v>
      </c>
      <c r="AO271" s="917">
        <f t="shared" ca="1" si="47"/>
        <v>0</v>
      </c>
      <c r="AP271" s="917">
        <f t="shared" ca="1" si="48"/>
        <v>0</v>
      </c>
    </row>
    <row r="272" spans="1:42" ht="16">
      <c r="A272" s="30"/>
      <c r="B272" s="5"/>
      <c r="C272" s="30"/>
      <c r="D272" s="30"/>
      <c r="E272" s="5"/>
      <c r="F272" s="890"/>
      <c r="G272" s="935"/>
      <c r="H272" s="915"/>
      <c r="I272" s="915"/>
      <c r="J272" s="915"/>
      <c r="K272" s="916"/>
      <c r="L272" s="890"/>
      <c r="M272" s="890"/>
      <c r="N272" s="890"/>
      <c r="O272" s="917"/>
      <c r="P272" s="917"/>
      <c r="Q272" s="890"/>
      <c r="R272" s="890"/>
      <c r="S272" s="890"/>
      <c r="T272" s="890"/>
      <c r="U272" s="890"/>
      <c r="V272" s="917"/>
      <c r="W272" s="917"/>
      <c r="X272" s="918"/>
      <c r="Y272" s="917"/>
      <c r="Z272" s="918"/>
      <c r="AA272" s="918"/>
      <c r="AB272" s="917"/>
      <c r="AC272" s="917"/>
      <c r="AD272" s="917"/>
      <c r="AE272" s="917"/>
      <c r="AF272" s="917"/>
      <c r="AG272" s="917"/>
      <c r="AK272" s="917">
        <f t="shared" si="46"/>
        <v>0</v>
      </c>
      <c r="AL272" s="917"/>
      <c r="AM272" s="917">
        <f ca="1"/>
        <v>0</v>
      </c>
      <c r="AN272" s="917">
        <f ca="1"/>
        <v>0</v>
      </c>
      <c r="AO272" s="917">
        <f t="shared" ca="1" si="47"/>
        <v>0</v>
      </c>
      <c r="AP272" s="917">
        <f t="shared" ca="1" si="48"/>
        <v>0</v>
      </c>
    </row>
    <row r="273" spans="1:42" ht="16">
      <c r="A273" s="30"/>
      <c r="B273" s="5"/>
      <c r="C273" s="30"/>
      <c r="D273" s="30"/>
      <c r="E273" s="5"/>
      <c r="F273" s="890"/>
      <c r="G273" s="935"/>
      <c r="H273" s="915"/>
      <c r="I273" s="915"/>
      <c r="J273" s="915"/>
      <c r="K273" s="916"/>
      <c r="L273" s="890"/>
      <c r="M273" s="890"/>
      <c r="N273" s="890"/>
      <c r="O273" s="917"/>
      <c r="P273" s="917"/>
      <c r="Q273" s="890"/>
      <c r="R273" s="890"/>
      <c r="S273" s="890"/>
      <c r="T273" s="890"/>
      <c r="U273" s="890"/>
      <c r="V273" s="917"/>
      <c r="W273" s="917"/>
      <c r="X273" s="918"/>
      <c r="Y273" s="917"/>
      <c r="Z273" s="918"/>
      <c r="AA273" s="918"/>
      <c r="AB273" s="917"/>
      <c r="AC273" s="917"/>
      <c r="AD273" s="917"/>
      <c r="AE273" s="917"/>
      <c r="AF273" s="917"/>
      <c r="AG273" s="917"/>
      <c r="AK273" s="917">
        <f t="shared" si="46"/>
        <v>0</v>
      </c>
      <c r="AL273" s="917"/>
      <c r="AM273" s="917">
        <f ca="1"/>
        <v>0</v>
      </c>
      <c r="AN273" s="917">
        <f ca="1"/>
        <v>0</v>
      </c>
      <c r="AO273" s="917">
        <f t="shared" ca="1" si="47"/>
        <v>0</v>
      </c>
      <c r="AP273" s="917">
        <f t="shared" ca="1" si="48"/>
        <v>0</v>
      </c>
    </row>
    <row r="274" spans="1:42" ht="16">
      <c r="A274" s="30"/>
      <c r="B274" s="5"/>
      <c r="C274" s="30"/>
      <c r="D274" s="30"/>
      <c r="E274" s="5"/>
      <c r="F274" s="890"/>
      <c r="G274" s="935"/>
      <c r="H274" s="915"/>
      <c r="I274" s="915"/>
      <c r="J274" s="915"/>
      <c r="K274" s="916"/>
      <c r="L274" s="890"/>
      <c r="M274" s="890"/>
      <c r="N274" s="890"/>
      <c r="O274" s="917"/>
      <c r="P274" s="917"/>
      <c r="Q274" s="890"/>
      <c r="R274" s="890"/>
      <c r="S274" s="890"/>
      <c r="T274" s="890"/>
      <c r="U274" s="890"/>
      <c r="V274" s="917"/>
      <c r="W274" s="917"/>
      <c r="X274" s="918"/>
      <c r="Y274" s="917"/>
      <c r="Z274" s="918"/>
      <c r="AA274" s="918"/>
      <c r="AB274" s="917"/>
      <c r="AC274" s="917"/>
      <c r="AD274" s="917"/>
      <c r="AE274" s="917"/>
      <c r="AF274" s="917"/>
      <c r="AG274" s="917"/>
      <c r="AK274" s="917">
        <f t="shared" si="46"/>
        <v>0</v>
      </c>
      <c r="AL274" s="917"/>
      <c r="AM274" s="917">
        <f ca="1"/>
        <v>0</v>
      </c>
      <c r="AN274" s="917">
        <f ca="1"/>
        <v>0</v>
      </c>
      <c r="AO274" s="917">
        <f t="shared" ca="1" si="47"/>
        <v>0</v>
      </c>
      <c r="AP274" s="917">
        <f t="shared" ca="1" si="48"/>
        <v>0</v>
      </c>
    </row>
    <row r="275" spans="1:42" ht="16">
      <c r="A275" s="30"/>
      <c r="B275" s="5"/>
      <c r="C275" s="30"/>
      <c r="D275" s="30"/>
      <c r="E275" s="5"/>
      <c r="F275" s="890"/>
      <c r="G275" s="935"/>
      <c r="H275" s="915"/>
      <c r="I275" s="915"/>
      <c r="J275" s="915"/>
      <c r="K275" s="916"/>
      <c r="L275" s="890"/>
      <c r="M275" s="890"/>
      <c r="N275" s="890"/>
      <c r="O275" s="917"/>
      <c r="P275" s="917"/>
      <c r="Q275" s="890"/>
      <c r="R275" s="890"/>
      <c r="S275" s="890"/>
      <c r="T275" s="890"/>
      <c r="U275" s="890"/>
      <c r="V275" s="917"/>
      <c r="W275" s="917"/>
      <c r="X275" s="918"/>
      <c r="Y275" s="917"/>
      <c r="Z275" s="918"/>
      <c r="AA275" s="918"/>
      <c r="AB275" s="917"/>
      <c r="AC275" s="917"/>
      <c r="AD275" s="917"/>
      <c r="AE275" s="917"/>
      <c r="AF275" s="917"/>
      <c r="AG275" s="917"/>
      <c r="AK275" s="917">
        <f t="shared" si="46"/>
        <v>0</v>
      </c>
      <c r="AL275" s="917"/>
      <c r="AM275" s="917">
        <f ca="1"/>
        <v>0</v>
      </c>
      <c r="AN275" s="917">
        <f ca="1"/>
        <v>0</v>
      </c>
      <c r="AO275" s="917">
        <f t="shared" ca="1" si="47"/>
        <v>0</v>
      </c>
      <c r="AP275" s="917">
        <f t="shared" ca="1" si="48"/>
        <v>0</v>
      </c>
    </row>
    <row r="276" spans="1:42" ht="16">
      <c r="A276" s="30"/>
      <c r="B276" s="5"/>
      <c r="C276" s="30"/>
      <c r="D276" s="30"/>
      <c r="E276" s="5"/>
      <c r="F276" s="890"/>
      <c r="G276" s="935"/>
      <c r="H276" s="915"/>
      <c r="I276" s="915"/>
      <c r="J276" s="915"/>
      <c r="K276" s="916"/>
      <c r="L276" s="890"/>
      <c r="M276" s="890"/>
      <c r="N276" s="890"/>
      <c r="O276" s="917"/>
      <c r="P276" s="917"/>
      <c r="Q276" s="890"/>
      <c r="R276" s="890"/>
      <c r="S276" s="890"/>
      <c r="T276" s="890"/>
      <c r="U276" s="890"/>
      <c r="V276" s="917"/>
      <c r="W276" s="917"/>
      <c r="X276" s="918"/>
      <c r="Y276" s="917"/>
      <c r="Z276" s="918"/>
      <c r="AA276" s="918"/>
      <c r="AB276" s="917"/>
      <c r="AC276" s="917"/>
      <c r="AD276" s="917"/>
      <c r="AE276" s="917"/>
      <c r="AF276" s="917"/>
      <c r="AG276" s="917"/>
      <c r="AK276" s="917">
        <f t="shared" si="46"/>
        <v>0</v>
      </c>
      <c r="AL276" s="917"/>
      <c r="AM276" s="917">
        <f ca="1"/>
        <v>0</v>
      </c>
      <c r="AN276" s="917">
        <f ca="1"/>
        <v>0</v>
      </c>
      <c r="AO276" s="917">
        <f t="shared" ca="1" si="47"/>
        <v>0</v>
      </c>
      <c r="AP276" s="917">
        <f t="shared" ca="1" si="48"/>
        <v>0</v>
      </c>
    </row>
    <row r="277" spans="1:42" ht="16">
      <c r="A277" s="30"/>
      <c r="B277" s="5"/>
      <c r="C277" s="30"/>
      <c r="D277" s="30"/>
      <c r="E277" s="5"/>
      <c r="F277" s="890"/>
      <c r="G277" s="935"/>
      <c r="H277" s="915"/>
      <c r="I277" s="915"/>
      <c r="J277" s="915"/>
      <c r="K277" s="916"/>
      <c r="L277" s="890"/>
      <c r="M277" s="890"/>
      <c r="N277" s="890"/>
      <c r="O277" s="917"/>
      <c r="P277" s="917"/>
      <c r="Q277" s="890"/>
      <c r="R277" s="890"/>
      <c r="S277" s="890"/>
      <c r="T277" s="890"/>
      <c r="U277" s="890"/>
      <c r="V277" s="917"/>
      <c r="W277" s="917"/>
      <c r="X277" s="918"/>
      <c r="Y277" s="917"/>
      <c r="Z277" s="918"/>
      <c r="AA277" s="918"/>
      <c r="AB277" s="917"/>
      <c r="AC277" s="917"/>
      <c r="AD277" s="917"/>
      <c r="AE277" s="917"/>
      <c r="AF277" s="917"/>
      <c r="AG277" s="917"/>
      <c r="AK277" s="917">
        <f t="shared" si="46"/>
        <v>0</v>
      </c>
      <c r="AL277" s="917"/>
      <c r="AM277" s="917">
        <f ca="1"/>
        <v>0</v>
      </c>
      <c r="AN277" s="917">
        <f ca="1"/>
        <v>0</v>
      </c>
      <c r="AO277" s="917">
        <f t="shared" ca="1" si="47"/>
        <v>0</v>
      </c>
      <c r="AP277" s="917">
        <f t="shared" ca="1" si="48"/>
        <v>0</v>
      </c>
    </row>
    <row r="278" spans="1:42" ht="16">
      <c r="A278" s="30"/>
      <c r="B278" s="5"/>
      <c r="C278" s="30"/>
      <c r="D278" s="30"/>
      <c r="E278" s="5"/>
      <c r="F278" s="890"/>
      <c r="G278" s="935"/>
      <c r="H278" s="915"/>
      <c r="I278" s="915"/>
      <c r="J278" s="915"/>
      <c r="K278" s="916"/>
      <c r="L278" s="890"/>
      <c r="M278" s="890"/>
      <c r="N278" s="890"/>
      <c r="O278" s="917"/>
      <c r="P278" s="917"/>
      <c r="Q278" s="890"/>
      <c r="R278" s="890"/>
      <c r="S278" s="890"/>
      <c r="T278" s="890"/>
      <c r="U278" s="890"/>
      <c r="V278" s="917"/>
      <c r="W278" s="917"/>
      <c r="X278" s="918"/>
      <c r="Y278" s="917"/>
      <c r="Z278" s="918"/>
      <c r="AA278" s="918"/>
      <c r="AB278" s="917"/>
      <c r="AC278" s="917"/>
      <c r="AD278" s="917"/>
      <c r="AE278" s="917"/>
      <c r="AF278" s="917"/>
      <c r="AG278" s="917"/>
      <c r="AK278" s="917">
        <f t="shared" si="46"/>
        <v>0</v>
      </c>
      <c r="AL278" s="917"/>
      <c r="AM278" s="917">
        <f ca="1"/>
        <v>0</v>
      </c>
      <c r="AN278" s="917">
        <f ca="1"/>
        <v>0</v>
      </c>
      <c r="AO278" s="917">
        <f t="shared" ca="1" si="47"/>
        <v>0</v>
      </c>
      <c r="AP278" s="917">
        <f t="shared" ca="1" si="48"/>
        <v>0</v>
      </c>
    </row>
    <row r="279" spans="1:42" ht="16">
      <c r="A279" s="30"/>
      <c r="B279" s="5"/>
      <c r="C279" s="30"/>
      <c r="D279" s="30"/>
      <c r="E279" s="5"/>
      <c r="F279" s="890"/>
      <c r="G279" s="935"/>
      <c r="H279" s="915"/>
      <c r="I279" s="915"/>
      <c r="J279" s="915"/>
      <c r="K279" s="916"/>
      <c r="L279" s="890"/>
      <c r="M279" s="890"/>
      <c r="N279" s="890"/>
      <c r="O279" s="917"/>
      <c r="P279" s="917"/>
      <c r="Q279" s="890"/>
      <c r="R279" s="890"/>
      <c r="S279" s="890"/>
      <c r="T279" s="890"/>
      <c r="U279" s="890"/>
      <c r="V279" s="917"/>
      <c r="W279" s="917"/>
      <c r="X279" s="918"/>
      <c r="Y279" s="917"/>
      <c r="Z279" s="918"/>
      <c r="AA279" s="918"/>
      <c r="AB279" s="917"/>
      <c r="AC279" s="917"/>
      <c r="AD279" s="917"/>
      <c r="AE279" s="917"/>
      <c r="AF279" s="917"/>
      <c r="AG279" s="917"/>
      <c r="AK279" s="917">
        <f t="shared" si="46"/>
        <v>0</v>
      </c>
      <c r="AL279" s="917"/>
      <c r="AM279" s="917">
        <f ca="1"/>
        <v>0</v>
      </c>
      <c r="AN279" s="917">
        <f ca="1"/>
        <v>0</v>
      </c>
      <c r="AO279" s="917">
        <f t="shared" ca="1" si="47"/>
        <v>0</v>
      </c>
      <c r="AP279" s="917">
        <f t="shared" ca="1" si="48"/>
        <v>0</v>
      </c>
    </row>
    <row r="280" spans="1:42" ht="16">
      <c r="A280" s="30"/>
      <c r="B280" s="5"/>
      <c r="C280" s="30"/>
      <c r="D280" s="30"/>
      <c r="E280" s="5"/>
      <c r="F280" s="890"/>
      <c r="G280" s="935"/>
      <c r="H280" s="915"/>
      <c r="I280" s="915"/>
      <c r="J280" s="915"/>
      <c r="K280" s="916"/>
      <c r="L280" s="890"/>
      <c r="M280" s="890"/>
      <c r="N280" s="890"/>
      <c r="O280" s="917"/>
      <c r="P280" s="917"/>
      <c r="Q280" s="890"/>
      <c r="R280" s="890"/>
      <c r="S280" s="890"/>
      <c r="T280" s="890"/>
      <c r="U280" s="890"/>
      <c r="V280" s="917"/>
      <c r="W280" s="917"/>
      <c r="X280" s="918"/>
      <c r="Y280" s="917"/>
      <c r="Z280" s="918"/>
      <c r="AA280" s="918"/>
      <c r="AB280" s="917"/>
      <c r="AC280" s="917"/>
      <c r="AD280" s="917"/>
      <c r="AE280" s="917"/>
      <c r="AF280" s="917"/>
      <c r="AG280" s="917"/>
      <c r="AK280" s="917">
        <f t="shared" si="46"/>
        <v>0</v>
      </c>
      <c r="AL280" s="917"/>
      <c r="AM280" s="917">
        <f ca="1"/>
        <v>0</v>
      </c>
      <c r="AN280" s="917">
        <f ca="1"/>
        <v>0</v>
      </c>
      <c r="AO280" s="917">
        <f t="shared" ca="1" si="47"/>
        <v>0</v>
      </c>
      <c r="AP280" s="917">
        <f t="shared" ca="1" si="48"/>
        <v>0</v>
      </c>
    </row>
    <row r="281" spans="1:42" ht="16">
      <c r="A281" s="30"/>
      <c r="B281" s="5"/>
      <c r="C281" s="30"/>
      <c r="D281" s="30"/>
      <c r="E281" s="5"/>
      <c r="F281" s="890"/>
      <c r="G281" s="935"/>
      <c r="H281" s="915"/>
      <c r="I281" s="915"/>
      <c r="J281" s="915"/>
      <c r="K281" s="916"/>
      <c r="L281" s="890"/>
      <c r="M281" s="890"/>
      <c r="N281" s="890"/>
      <c r="O281" s="917"/>
      <c r="P281" s="917"/>
      <c r="Q281" s="890"/>
      <c r="R281" s="890"/>
      <c r="S281" s="890"/>
      <c r="T281" s="890"/>
      <c r="U281" s="890"/>
      <c r="V281" s="917"/>
      <c r="W281" s="917"/>
      <c r="X281" s="918"/>
      <c r="Y281" s="917"/>
      <c r="Z281" s="918"/>
      <c r="AA281" s="918"/>
      <c r="AB281" s="917"/>
      <c r="AC281" s="917"/>
      <c r="AD281" s="917"/>
      <c r="AE281" s="917"/>
      <c r="AF281" s="917"/>
      <c r="AG281" s="917"/>
      <c r="AK281" s="917">
        <f t="shared" si="46"/>
        <v>0</v>
      </c>
      <c r="AL281" s="917"/>
      <c r="AM281" s="917">
        <f ca="1"/>
        <v>0</v>
      </c>
      <c r="AN281" s="917">
        <f ca="1"/>
        <v>0</v>
      </c>
      <c r="AO281" s="917">
        <f t="shared" ca="1" si="47"/>
        <v>0</v>
      </c>
      <c r="AP281" s="917">
        <f t="shared" ca="1" si="48"/>
        <v>0</v>
      </c>
    </row>
    <row r="282" spans="1:42" ht="16">
      <c r="A282" s="30"/>
      <c r="B282" s="5"/>
      <c r="C282" s="30"/>
      <c r="D282" s="30"/>
      <c r="E282" s="5"/>
      <c r="F282" s="890"/>
      <c r="G282" s="935"/>
      <c r="H282" s="915"/>
      <c r="I282" s="915"/>
      <c r="J282" s="915"/>
      <c r="K282" s="916"/>
      <c r="L282" s="890"/>
      <c r="M282" s="890"/>
      <c r="N282" s="890"/>
      <c r="O282" s="917"/>
      <c r="P282" s="917"/>
      <c r="Q282" s="890"/>
      <c r="R282" s="890"/>
      <c r="S282" s="890"/>
      <c r="T282" s="890"/>
      <c r="U282" s="890"/>
      <c r="V282" s="917"/>
      <c r="W282" s="917"/>
      <c r="X282" s="918"/>
      <c r="Y282" s="917"/>
      <c r="Z282" s="918"/>
      <c r="AA282" s="918"/>
      <c r="AB282" s="917"/>
      <c r="AC282" s="917"/>
      <c r="AD282" s="917"/>
      <c r="AE282" s="917"/>
      <c r="AF282" s="917"/>
      <c r="AG282" s="917"/>
      <c r="AK282" s="917">
        <f t="shared" si="46"/>
        <v>0</v>
      </c>
      <c r="AL282" s="917"/>
      <c r="AM282" s="917">
        <f ca="1"/>
        <v>0</v>
      </c>
      <c r="AN282" s="917">
        <f ca="1"/>
        <v>0</v>
      </c>
      <c r="AO282" s="917">
        <f t="shared" ca="1" si="47"/>
        <v>0</v>
      </c>
      <c r="AP282" s="917">
        <f t="shared" ca="1" si="48"/>
        <v>0</v>
      </c>
    </row>
    <row r="283" spans="1:42" ht="16">
      <c r="A283" s="30"/>
      <c r="B283" s="5"/>
      <c r="C283" s="30"/>
      <c r="D283" s="30"/>
      <c r="E283" s="5"/>
      <c r="F283" s="890"/>
      <c r="G283" s="935"/>
      <c r="H283" s="915"/>
      <c r="I283" s="915"/>
      <c r="J283" s="915"/>
      <c r="K283" s="916"/>
      <c r="L283" s="890"/>
      <c r="M283" s="890"/>
      <c r="N283" s="890"/>
      <c r="O283" s="917"/>
      <c r="P283" s="917"/>
      <c r="Q283" s="890"/>
      <c r="R283" s="890"/>
      <c r="S283" s="890"/>
      <c r="T283" s="890"/>
      <c r="U283" s="890"/>
      <c r="V283" s="917"/>
      <c r="W283" s="917"/>
      <c r="X283" s="918"/>
      <c r="Y283" s="917"/>
      <c r="Z283" s="918"/>
      <c r="AA283" s="918"/>
      <c r="AB283" s="917"/>
      <c r="AC283" s="917"/>
      <c r="AD283" s="917"/>
      <c r="AE283" s="917"/>
      <c r="AF283" s="917"/>
      <c r="AG283" s="917"/>
      <c r="AK283" s="917">
        <f t="shared" si="46"/>
        <v>0</v>
      </c>
      <c r="AL283" s="917"/>
      <c r="AM283" s="917">
        <f ca="1"/>
        <v>0</v>
      </c>
      <c r="AN283" s="917">
        <f ca="1"/>
        <v>0</v>
      </c>
      <c r="AO283" s="917">
        <f t="shared" ca="1" si="47"/>
        <v>0</v>
      </c>
      <c r="AP283" s="917">
        <f t="shared" ca="1" si="48"/>
        <v>0</v>
      </c>
    </row>
    <row r="284" spans="1:42" ht="16">
      <c r="A284" s="30"/>
      <c r="B284" s="5"/>
      <c r="C284" s="30"/>
      <c r="D284" s="30"/>
      <c r="E284" s="5"/>
      <c r="F284" s="890"/>
      <c r="G284" s="935"/>
      <c r="H284" s="915"/>
      <c r="I284" s="915"/>
      <c r="J284" s="915"/>
      <c r="K284" s="916"/>
      <c r="L284" s="890"/>
      <c r="M284" s="890"/>
      <c r="N284" s="890"/>
      <c r="O284" s="917"/>
      <c r="P284" s="917"/>
      <c r="Q284" s="890"/>
      <c r="R284" s="890"/>
      <c r="S284" s="890"/>
      <c r="T284" s="890"/>
      <c r="U284" s="890"/>
      <c r="V284" s="917"/>
      <c r="W284" s="917"/>
      <c r="X284" s="918"/>
      <c r="Y284" s="917"/>
      <c r="Z284" s="918"/>
      <c r="AA284" s="918"/>
      <c r="AB284" s="917"/>
      <c r="AC284" s="917"/>
      <c r="AD284" s="917"/>
      <c r="AE284" s="917"/>
      <c r="AF284" s="917"/>
      <c r="AG284" s="917"/>
      <c r="AK284" s="917">
        <f t="shared" si="46"/>
        <v>0</v>
      </c>
      <c r="AL284" s="917"/>
      <c r="AM284" s="917">
        <f ca="1"/>
        <v>0</v>
      </c>
      <c r="AN284" s="917">
        <f ca="1"/>
        <v>0</v>
      </c>
      <c r="AO284" s="917">
        <f t="shared" ca="1" si="47"/>
        <v>0</v>
      </c>
      <c r="AP284" s="917">
        <f t="shared" ca="1" si="48"/>
        <v>0</v>
      </c>
    </row>
    <row r="285" spans="1:42" ht="16">
      <c r="A285" s="30"/>
      <c r="B285" s="5"/>
      <c r="C285" s="30"/>
      <c r="D285" s="30"/>
      <c r="E285" s="5"/>
      <c r="F285" s="890"/>
      <c r="G285" s="935"/>
      <c r="H285" s="915"/>
      <c r="I285" s="915"/>
      <c r="J285" s="915"/>
      <c r="K285" s="916"/>
      <c r="L285" s="890"/>
      <c r="M285" s="890"/>
      <c r="N285" s="890"/>
      <c r="O285" s="917"/>
      <c r="P285" s="917"/>
      <c r="Q285" s="890"/>
      <c r="R285" s="890"/>
      <c r="S285" s="890"/>
      <c r="T285" s="890"/>
      <c r="U285" s="890"/>
      <c r="V285" s="917"/>
      <c r="W285" s="917"/>
      <c r="X285" s="918"/>
      <c r="Y285" s="917"/>
      <c r="Z285" s="918"/>
      <c r="AA285" s="918"/>
      <c r="AB285" s="917"/>
      <c r="AC285" s="917"/>
      <c r="AD285" s="917"/>
      <c r="AE285" s="917"/>
      <c r="AF285" s="917"/>
      <c r="AG285" s="917"/>
      <c r="AK285" s="917">
        <f t="shared" si="46"/>
        <v>0</v>
      </c>
      <c r="AL285" s="917"/>
      <c r="AM285" s="917">
        <f ca="1"/>
        <v>0</v>
      </c>
      <c r="AN285" s="917">
        <f ca="1"/>
        <v>0</v>
      </c>
      <c r="AO285" s="917">
        <f t="shared" ca="1" si="47"/>
        <v>0</v>
      </c>
      <c r="AP285" s="917">
        <f t="shared" ca="1" si="48"/>
        <v>0</v>
      </c>
    </row>
    <row r="286" spans="1:42" ht="16">
      <c r="A286" s="30"/>
      <c r="B286" s="5"/>
      <c r="C286" s="30"/>
      <c r="D286" s="30"/>
      <c r="E286" s="5"/>
      <c r="F286" s="890"/>
      <c r="G286" s="935"/>
      <c r="H286" s="915"/>
      <c r="I286" s="915"/>
      <c r="J286" s="915"/>
      <c r="K286" s="916"/>
      <c r="L286" s="890"/>
      <c r="M286" s="890"/>
      <c r="N286" s="890"/>
      <c r="O286" s="917"/>
      <c r="P286" s="917"/>
      <c r="Q286" s="890"/>
      <c r="R286" s="890"/>
      <c r="S286" s="890"/>
      <c r="T286" s="890"/>
      <c r="U286" s="890"/>
      <c r="V286" s="917"/>
      <c r="W286" s="917"/>
      <c r="X286" s="918"/>
      <c r="Y286" s="917"/>
      <c r="Z286" s="918"/>
      <c r="AA286" s="918"/>
      <c r="AB286" s="917"/>
      <c r="AC286" s="917"/>
      <c r="AD286" s="917"/>
      <c r="AE286" s="917"/>
      <c r="AF286" s="917"/>
      <c r="AG286" s="917"/>
      <c r="AK286" s="917">
        <f t="shared" si="46"/>
        <v>0</v>
      </c>
      <c r="AL286" s="917"/>
      <c r="AM286" s="917">
        <f ca="1"/>
        <v>0</v>
      </c>
      <c r="AN286" s="917">
        <f ca="1"/>
        <v>0</v>
      </c>
      <c r="AO286" s="917">
        <f t="shared" ca="1" si="47"/>
        <v>0</v>
      </c>
      <c r="AP286" s="917">
        <f t="shared" ca="1" si="48"/>
        <v>0</v>
      </c>
    </row>
    <row r="287" spans="1:42" ht="16">
      <c r="A287" s="30"/>
      <c r="B287" s="5"/>
      <c r="C287" s="30"/>
      <c r="D287" s="30"/>
      <c r="E287" s="5"/>
      <c r="F287" s="890"/>
      <c r="G287" s="935"/>
      <c r="H287" s="915"/>
      <c r="I287" s="915"/>
      <c r="J287" s="915"/>
      <c r="K287" s="916"/>
      <c r="L287" s="890"/>
      <c r="M287" s="890"/>
      <c r="N287" s="890"/>
      <c r="O287" s="917"/>
      <c r="P287" s="917"/>
      <c r="Q287" s="890"/>
      <c r="R287" s="890"/>
      <c r="S287" s="890"/>
      <c r="T287" s="890"/>
      <c r="U287" s="890"/>
      <c r="V287" s="917"/>
      <c r="W287" s="917"/>
      <c r="X287" s="918"/>
      <c r="Y287" s="917"/>
      <c r="Z287" s="918"/>
      <c r="AA287" s="918"/>
      <c r="AB287" s="917"/>
      <c r="AC287" s="917"/>
      <c r="AD287" s="917"/>
      <c r="AE287" s="917"/>
      <c r="AF287" s="917"/>
      <c r="AG287" s="917"/>
      <c r="AK287" s="917">
        <f t="shared" si="46"/>
        <v>0</v>
      </c>
      <c r="AL287" s="917"/>
      <c r="AM287" s="917">
        <f ca="1"/>
        <v>0</v>
      </c>
      <c r="AN287" s="917">
        <f ca="1"/>
        <v>0</v>
      </c>
      <c r="AO287" s="917">
        <f t="shared" ca="1" si="47"/>
        <v>0</v>
      </c>
      <c r="AP287" s="917">
        <f t="shared" ca="1" si="48"/>
        <v>0</v>
      </c>
    </row>
    <row r="288" spans="1:42" ht="16">
      <c r="A288" s="30"/>
      <c r="B288" s="5"/>
      <c r="C288" s="30"/>
      <c r="D288" s="30"/>
      <c r="E288" s="5"/>
      <c r="F288" s="890"/>
      <c r="G288" s="935"/>
      <c r="H288" s="915"/>
      <c r="I288" s="915"/>
      <c r="J288" s="915"/>
      <c r="K288" s="916"/>
      <c r="L288" s="890"/>
      <c r="M288" s="890"/>
      <c r="N288" s="890"/>
      <c r="O288" s="917"/>
      <c r="P288" s="917"/>
      <c r="Q288" s="890"/>
      <c r="R288" s="890"/>
      <c r="S288" s="890"/>
      <c r="T288" s="890"/>
      <c r="U288" s="890"/>
      <c r="V288" s="917"/>
      <c r="W288" s="917"/>
      <c r="X288" s="918"/>
      <c r="Y288" s="917"/>
      <c r="Z288" s="918"/>
      <c r="AA288" s="918"/>
      <c r="AB288" s="917"/>
      <c r="AC288" s="917"/>
      <c r="AD288" s="917"/>
      <c r="AE288" s="917"/>
      <c r="AF288" s="917"/>
      <c r="AG288" s="917"/>
      <c r="AK288" s="917">
        <f t="shared" si="46"/>
        <v>0</v>
      </c>
      <c r="AL288" s="917"/>
      <c r="AM288" s="917">
        <f ca="1"/>
        <v>0</v>
      </c>
      <c r="AN288" s="917">
        <f ca="1"/>
        <v>0</v>
      </c>
      <c r="AO288" s="917">
        <f t="shared" ca="1" si="47"/>
        <v>0</v>
      </c>
      <c r="AP288" s="917">
        <f t="shared" ca="1" si="48"/>
        <v>0</v>
      </c>
    </row>
    <row r="289" spans="1:42" ht="16">
      <c r="A289" s="30"/>
      <c r="B289" s="5"/>
      <c r="C289" s="30"/>
      <c r="D289" s="30"/>
      <c r="E289" s="5"/>
      <c r="F289" s="890"/>
      <c r="G289" s="935"/>
      <c r="H289" s="915"/>
      <c r="I289" s="915"/>
      <c r="J289" s="915"/>
      <c r="K289" s="916"/>
      <c r="L289" s="890"/>
      <c r="M289" s="890"/>
      <c r="N289" s="890"/>
      <c r="O289" s="917"/>
      <c r="P289" s="917"/>
      <c r="Q289" s="890"/>
      <c r="R289" s="890"/>
      <c r="S289" s="890"/>
      <c r="T289" s="890"/>
      <c r="U289" s="890"/>
      <c r="V289" s="917"/>
      <c r="W289" s="917"/>
      <c r="X289" s="918"/>
      <c r="Y289" s="917"/>
      <c r="Z289" s="918"/>
      <c r="AA289" s="918"/>
      <c r="AB289" s="917"/>
      <c r="AC289" s="917"/>
      <c r="AD289" s="917"/>
      <c r="AE289" s="917"/>
      <c r="AF289" s="917"/>
      <c r="AG289" s="917"/>
      <c r="AK289" s="917">
        <f t="shared" si="46"/>
        <v>0</v>
      </c>
      <c r="AL289" s="917"/>
      <c r="AM289" s="917">
        <f ca="1"/>
        <v>0</v>
      </c>
      <c r="AN289" s="917">
        <f ca="1"/>
        <v>0</v>
      </c>
      <c r="AO289" s="917">
        <f t="shared" ca="1" si="47"/>
        <v>0</v>
      </c>
      <c r="AP289" s="917">
        <f t="shared" ca="1" si="48"/>
        <v>0</v>
      </c>
    </row>
    <row r="290" spans="1:42" ht="16">
      <c r="A290" s="30"/>
      <c r="B290" s="5"/>
      <c r="C290" s="30"/>
      <c r="D290" s="30"/>
      <c r="E290" s="5"/>
      <c r="F290" s="890"/>
      <c r="G290" s="935"/>
      <c r="H290" s="915"/>
      <c r="I290" s="915"/>
      <c r="J290" s="915"/>
      <c r="K290" s="916"/>
      <c r="L290" s="890"/>
      <c r="M290" s="890"/>
      <c r="N290" s="890"/>
      <c r="O290" s="917"/>
      <c r="P290" s="917"/>
      <c r="Q290" s="890"/>
      <c r="R290" s="890"/>
      <c r="S290" s="890"/>
      <c r="T290" s="890"/>
      <c r="U290" s="890"/>
      <c r="V290" s="917"/>
      <c r="W290" s="917"/>
      <c r="X290" s="918"/>
      <c r="Y290" s="917"/>
      <c r="Z290" s="918"/>
      <c r="AA290" s="918"/>
      <c r="AB290" s="917"/>
      <c r="AC290" s="917"/>
      <c r="AD290" s="917"/>
      <c r="AE290" s="917"/>
      <c r="AF290" s="917"/>
      <c r="AG290" s="917"/>
      <c r="AK290" s="917">
        <f t="shared" si="46"/>
        <v>0</v>
      </c>
      <c r="AL290" s="917"/>
      <c r="AM290" s="917">
        <f ca="1"/>
        <v>0</v>
      </c>
      <c r="AN290" s="917">
        <f ca="1"/>
        <v>0</v>
      </c>
      <c r="AO290" s="917">
        <f t="shared" ca="1" si="47"/>
        <v>0</v>
      </c>
      <c r="AP290" s="917">
        <f t="shared" ca="1" si="48"/>
        <v>0</v>
      </c>
    </row>
    <row r="291" spans="1:42" ht="16">
      <c r="A291" s="30"/>
      <c r="B291" s="5"/>
      <c r="C291" s="30"/>
      <c r="D291" s="30"/>
      <c r="E291" s="5"/>
      <c r="F291" s="890"/>
      <c r="G291" s="935"/>
      <c r="H291" s="915"/>
      <c r="I291" s="915"/>
      <c r="J291" s="915"/>
      <c r="K291" s="916"/>
      <c r="L291" s="890"/>
      <c r="M291" s="890"/>
      <c r="N291" s="890"/>
      <c r="O291" s="917"/>
      <c r="P291" s="917"/>
      <c r="Q291" s="890"/>
      <c r="R291" s="890"/>
      <c r="S291" s="890"/>
      <c r="T291" s="890"/>
      <c r="U291" s="890"/>
      <c r="V291" s="917"/>
      <c r="W291" s="917"/>
      <c r="X291" s="918"/>
      <c r="Y291" s="917"/>
      <c r="Z291" s="918"/>
      <c r="AA291" s="918"/>
      <c r="AB291" s="917"/>
      <c r="AC291" s="917"/>
      <c r="AD291" s="917"/>
      <c r="AE291" s="917"/>
      <c r="AF291" s="917"/>
      <c r="AG291" s="917"/>
      <c r="AK291" s="917">
        <f t="shared" si="46"/>
        <v>0</v>
      </c>
      <c r="AL291" s="917"/>
      <c r="AM291" s="917">
        <f ca="1"/>
        <v>0</v>
      </c>
      <c r="AN291" s="917">
        <f ca="1"/>
        <v>0</v>
      </c>
      <c r="AO291" s="917">
        <f t="shared" ca="1" si="47"/>
        <v>0</v>
      </c>
      <c r="AP291" s="917">
        <f t="shared" ca="1" si="48"/>
        <v>0</v>
      </c>
    </row>
    <row r="292" spans="1:42" ht="16">
      <c r="A292" s="30"/>
      <c r="B292" s="5"/>
      <c r="C292" s="30"/>
      <c r="D292" s="30"/>
      <c r="E292" s="5"/>
      <c r="F292" s="890"/>
      <c r="G292" s="935"/>
      <c r="H292" s="915"/>
      <c r="I292" s="915"/>
      <c r="J292" s="915"/>
      <c r="K292" s="916"/>
      <c r="L292" s="890"/>
      <c r="M292" s="890"/>
      <c r="N292" s="890"/>
      <c r="O292" s="917"/>
      <c r="P292" s="917"/>
      <c r="Q292" s="890"/>
      <c r="R292" s="890"/>
      <c r="S292" s="890"/>
      <c r="T292" s="890"/>
      <c r="U292" s="890"/>
      <c r="V292" s="917"/>
      <c r="W292" s="917"/>
      <c r="X292" s="918"/>
      <c r="Y292" s="917"/>
      <c r="Z292" s="918"/>
      <c r="AA292" s="918"/>
      <c r="AB292" s="917"/>
      <c r="AC292" s="917"/>
      <c r="AD292" s="917"/>
      <c r="AE292" s="917"/>
      <c r="AF292" s="917"/>
      <c r="AG292" s="917"/>
      <c r="AK292" s="917">
        <f t="shared" si="46"/>
        <v>0</v>
      </c>
      <c r="AL292" s="917"/>
      <c r="AM292" s="917">
        <f ca="1"/>
        <v>0</v>
      </c>
      <c r="AN292" s="917">
        <f ca="1"/>
        <v>0</v>
      </c>
      <c r="AO292" s="917">
        <f t="shared" ca="1" si="47"/>
        <v>0</v>
      </c>
      <c r="AP292" s="917">
        <f t="shared" ca="1" si="48"/>
        <v>0</v>
      </c>
    </row>
    <row r="293" spans="1:42" ht="16">
      <c r="A293" s="30"/>
      <c r="B293" s="5"/>
      <c r="C293" s="30"/>
      <c r="D293" s="30"/>
      <c r="E293" s="5"/>
      <c r="F293" s="890"/>
      <c r="G293" s="935"/>
      <c r="H293" s="915"/>
      <c r="I293" s="915"/>
      <c r="J293" s="915"/>
      <c r="K293" s="916"/>
      <c r="L293" s="890"/>
      <c r="M293" s="890"/>
      <c r="N293" s="890"/>
      <c r="O293" s="917"/>
      <c r="P293" s="917"/>
      <c r="Q293" s="890"/>
      <c r="R293" s="890"/>
      <c r="S293" s="890"/>
      <c r="T293" s="890"/>
      <c r="U293" s="890"/>
      <c r="V293" s="917"/>
      <c r="W293" s="917"/>
      <c r="X293" s="918"/>
      <c r="Y293" s="917"/>
      <c r="Z293" s="918"/>
      <c r="AA293" s="918"/>
      <c r="AB293" s="917"/>
      <c r="AC293" s="917"/>
      <c r="AD293" s="917"/>
      <c r="AE293" s="917"/>
      <c r="AF293" s="917"/>
      <c r="AG293" s="917"/>
      <c r="AK293" s="917">
        <f t="shared" si="46"/>
        <v>0</v>
      </c>
      <c r="AL293" s="917"/>
      <c r="AM293" s="917">
        <f ca="1"/>
        <v>0</v>
      </c>
      <c r="AN293" s="917">
        <f ca="1"/>
        <v>0</v>
      </c>
      <c r="AO293" s="917">
        <f t="shared" ca="1" si="47"/>
        <v>0</v>
      </c>
      <c r="AP293" s="917">
        <f t="shared" ca="1" si="48"/>
        <v>0</v>
      </c>
    </row>
    <row r="294" spans="1:42" ht="16">
      <c r="A294" s="30"/>
      <c r="B294" s="5"/>
      <c r="C294" s="30"/>
      <c r="D294" s="30"/>
      <c r="E294" s="5"/>
      <c r="F294" s="890"/>
      <c r="G294" s="935"/>
      <c r="H294" s="915"/>
      <c r="I294" s="915"/>
      <c r="J294" s="915"/>
      <c r="K294" s="916"/>
      <c r="L294" s="890"/>
      <c r="M294" s="890"/>
      <c r="N294" s="890"/>
      <c r="O294" s="917"/>
      <c r="P294" s="917"/>
      <c r="Q294" s="890"/>
      <c r="R294" s="890"/>
      <c r="S294" s="890"/>
      <c r="T294" s="890"/>
      <c r="U294" s="890"/>
      <c r="V294" s="917"/>
      <c r="W294" s="917"/>
      <c r="X294" s="918"/>
      <c r="Y294" s="917"/>
      <c r="Z294" s="918"/>
      <c r="AA294" s="918"/>
      <c r="AB294" s="917"/>
      <c r="AC294" s="917"/>
      <c r="AD294" s="917"/>
      <c r="AE294" s="917"/>
      <c r="AF294" s="917"/>
      <c r="AG294" s="917"/>
      <c r="AK294" s="917">
        <f t="shared" si="46"/>
        <v>0</v>
      </c>
      <c r="AL294" s="917"/>
      <c r="AM294" s="917">
        <f ca="1"/>
        <v>0</v>
      </c>
      <c r="AN294" s="917">
        <f ca="1"/>
        <v>0</v>
      </c>
      <c r="AO294" s="917">
        <f t="shared" ca="1" si="47"/>
        <v>0</v>
      </c>
      <c r="AP294" s="917">
        <f t="shared" ca="1" si="48"/>
        <v>0</v>
      </c>
    </row>
    <row r="295" spans="1:42" ht="16">
      <c r="A295" s="30"/>
      <c r="B295" s="5"/>
      <c r="C295" s="30"/>
      <c r="D295" s="30"/>
      <c r="E295" s="5"/>
      <c r="F295" s="890"/>
      <c r="G295" s="935"/>
      <c r="H295" s="915"/>
      <c r="I295" s="915"/>
      <c r="J295" s="915"/>
      <c r="K295" s="916"/>
      <c r="L295" s="890"/>
      <c r="M295" s="890"/>
      <c r="N295" s="890"/>
      <c r="O295" s="917"/>
      <c r="P295" s="917"/>
      <c r="Q295" s="890"/>
      <c r="R295" s="890"/>
      <c r="S295" s="890"/>
      <c r="T295" s="890"/>
      <c r="U295" s="890"/>
      <c r="V295" s="917"/>
      <c r="W295" s="917"/>
      <c r="X295" s="918"/>
      <c r="Y295" s="917"/>
      <c r="Z295" s="918"/>
      <c r="AA295" s="918"/>
      <c r="AB295" s="917"/>
      <c r="AC295" s="917"/>
      <c r="AD295" s="917"/>
      <c r="AE295" s="917"/>
      <c r="AF295" s="917"/>
      <c r="AG295" s="917"/>
      <c r="AK295" s="917">
        <f t="shared" si="46"/>
        <v>0</v>
      </c>
      <c r="AL295" s="917"/>
      <c r="AM295" s="917">
        <f ca="1"/>
        <v>0</v>
      </c>
      <c r="AN295" s="917">
        <f ca="1"/>
        <v>0</v>
      </c>
      <c r="AO295" s="917">
        <f t="shared" ca="1" si="47"/>
        <v>0</v>
      </c>
      <c r="AP295" s="917">
        <f t="shared" ca="1" si="48"/>
        <v>0</v>
      </c>
    </row>
    <row r="296" spans="1:42" ht="16">
      <c r="A296" s="30"/>
      <c r="B296" s="5"/>
      <c r="C296" s="30"/>
      <c r="D296" s="30"/>
      <c r="E296" s="5"/>
      <c r="F296" s="890"/>
      <c r="G296" s="935"/>
      <c r="H296" s="915"/>
      <c r="I296" s="915"/>
      <c r="J296" s="915"/>
      <c r="K296" s="916"/>
      <c r="L296" s="890"/>
      <c r="M296" s="890"/>
      <c r="N296" s="890"/>
      <c r="O296" s="917"/>
      <c r="P296" s="917"/>
      <c r="Q296" s="890"/>
      <c r="R296" s="890"/>
      <c r="S296" s="890"/>
      <c r="T296" s="890"/>
      <c r="U296" s="890"/>
      <c r="V296" s="917"/>
      <c r="W296" s="917"/>
      <c r="X296" s="918"/>
      <c r="Y296" s="917"/>
      <c r="Z296" s="918"/>
      <c r="AA296" s="918"/>
      <c r="AB296" s="917"/>
      <c r="AC296" s="917"/>
      <c r="AD296" s="917"/>
      <c r="AE296" s="917"/>
      <c r="AF296" s="917"/>
      <c r="AG296" s="917"/>
      <c r="AK296" s="917">
        <f t="shared" si="46"/>
        <v>0</v>
      </c>
      <c r="AL296" s="917"/>
      <c r="AM296" s="917">
        <f ca="1"/>
        <v>0</v>
      </c>
      <c r="AN296" s="917">
        <f ca="1"/>
        <v>0</v>
      </c>
      <c r="AO296" s="917">
        <f t="shared" ca="1" si="47"/>
        <v>0</v>
      </c>
      <c r="AP296" s="917">
        <f t="shared" ca="1" si="48"/>
        <v>0</v>
      </c>
    </row>
    <row r="297" spans="1:42" ht="16">
      <c r="A297" s="30"/>
      <c r="B297" s="5"/>
      <c r="C297" s="30"/>
      <c r="D297" s="30"/>
      <c r="E297" s="5"/>
      <c r="F297" s="890"/>
      <c r="G297" s="935"/>
      <c r="H297" s="915"/>
      <c r="I297" s="915"/>
      <c r="J297" s="915"/>
      <c r="K297" s="916"/>
      <c r="L297" s="890"/>
      <c r="M297" s="890"/>
      <c r="N297" s="890"/>
      <c r="O297" s="917"/>
      <c r="P297" s="917"/>
      <c r="Q297" s="890"/>
      <c r="R297" s="890"/>
      <c r="S297" s="890"/>
      <c r="T297" s="890"/>
      <c r="U297" s="890"/>
      <c r="V297" s="917"/>
      <c r="W297" s="917"/>
      <c r="X297" s="918"/>
      <c r="Y297" s="917"/>
      <c r="Z297" s="918"/>
      <c r="AA297" s="918"/>
      <c r="AB297" s="917"/>
      <c r="AC297" s="917"/>
      <c r="AD297" s="917"/>
      <c r="AE297" s="917"/>
      <c r="AF297" s="917"/>
      <c r="AG297" s="917"/>
      <c r="AK297" s="917">
        <f t="shared" si="46"/>
        <v>0</v>
      </c>
      <c r="AL297" s="917"/>
      <c r="AM297" s="917">
        <f ca="1"/>
        <v>0</v>
      </c>
      <c r="AN297" s="917">
        <f ca="1"/>
        <v>0</v>
      </c>
      <c r="AO297" s="917">
        <f t="shared" ca="1" si="47"/>
        <v>0</v>
      </c>
      <c r="AP297" s="917">
        <f t="shared" ca="1" si="48"/>
        <v>0</v>
      </c>
    </row>
    <row r="298" spans="1:42" ht="16">
      <c r="A298" s="30"/>
      <c r="B298" s="5"/>
      <c r="C298" s="30"/>
      <c r="D298" s="30"/>
      <c r="E298" s="5"/>
      <c r="F298" s="890"/>
      <c r="G298" s="935"/>
      <c r="H298" s="915"/>
      <c r="I298" s="915"/>
      <c r="J298" s="915"/>
      <c r="K298" s="916"/>
      <c r="L298" s="890"/>
      <c r="M298" s="890"/>
      <c r="N298" s="890"/>
      <c r="O298" s="917"/>
      <c r="P298" s="917"/>
      <c r="Q298" s="890"/>
      <c r="R298" s="890"/>
      <c r="S298" s="890"/>
      <c r="T298" s="890"/>
      <c r="U298" s="890"/>
      <c r="V298" s="917"/>
      <c r="W298" s="917"/>
      <c r="X298" s="918"/>
      <c r="Y298" s="917"/>
      <c r="Z298" s="918"/>
      <c r="AA298" s="918"/>
      <c r="AB298" s="917"/>
      <c r="AC298" s="917"/>
      <c r="AD298" s="917"/>
      <c r="AE298" s="917"/>
      <c r="AF298" s="917"/>
      <c r="AG298" s="917"/>
      <c r="AK298" s="917">
        <f t="shared" si="46"/>
        <v>0</v>
      </c>
      <c r="AL298" s="917"/>
      <c r="AM298" s="917">
        <f ca="1"/>
        <v>0</v>
      </c>
      <c r="AN298" s="917">
        <f ca="1"/>
        <v>0</v>
      </c>
      <c r="AO298" s="917">
        <f t="shared" ca="1" si="47"/>
        <v>0</v>
      </c>
      <c r="AP298" s="917">
        <f t="shared" ca="1" si="48"/>
        <v>0</v>
      </c>
    </row>
    <row r="299" spans="1:42" ht="16">
      <c r="A299" s="30"/>
      <c r="B299" s="5"/>
      <c r="C299" s="30"/>
      <c r="D299" s="30"/>
      <c r="E299" s="5"/>
      <c r="F299" s="890"/>
      <c r="G299" s="935"/>
      <c r="H299" s="915"/>
      <c r="I299" s="915"/>
      <c r="J299" s="915"/>
      <c r="K299" s="916"/>
      <c r="L299" s="890"/>
      <c r="M299" s="890"/>
      <c r="N299" s="890"/>
      <c r="O299" s="917"/>
      <c r="P299" s="917"/>
      <c r="Q299" s="890"/>
      <c r="R299" s="890"/>
      <c r="S299" s="890"/>
      <c r="T299" s="890"/>
      <c r="U299" s="890"/>
      <c r="V299" s="917"/>
      <c r="W299" s="917"/>
      <c r="X299" s="918"/>
      <c r="Y299" s="917"/>
      <c r="Z299" s="918"/>
      <c r="AA299" s="918"/>
      <c r="AB299" s="917"/>
      <c r="AC299" s="917"/>
      <c r="AD299" s="917"/>
      <c r="AE299" s="917"/>
      <c r="AF299" s="917"/>
      <c r="AG299" s="917"/>
      <c r="AK299" s="917">
        <f t="shared" si="46"/>
        <v>0</v>
      </c>
      <c r="AL299" s="917"/>
      <c r="AM299" s="917">
        <f ca="1"/>
        <v>0</v>
      </c>
      <c r="AN299" s="917">
        <f ca="1"/>
        <v>0</v>
      </c>
      <c r="AO299" s="917">
        <f t="shared" ca="1" si="47"/>
        <v>0</v>
      </c>
      <c r="AP299" s="917">
        <f t="shared" ca="1" si="48"/>
        <v>0</v>
      </c>
    </row>
    <row r="300" spans="1:42" ht="16">
      <c r="A300" s="30"/>
      <c r="B300" s="5"/>
      <c r="C300" s="30"/>
      <c r="D300" s="30"/>
      <c r="E300" s="5"/>
      <c r="F300" s="890"/>
      <c r="G300" s="935"/>
      <c r="H300" s="915"/>
      <c r="I300" s="915"/>
      <c r="J300" s="915"/>
      <c r="K300" s="916"/>
      <c r="L300" s="890"/>
      <c r="M300" s="890"/>
      <c r="N300" s="890"/>
      <c r="O300" s="917"/>
      <c r="P300" s="917"/>
      <c r="Q300" s="890"/>
      <c r="R300" s="890"/>
      <c r="S300" s="890"/>
      <c r="T300" s="890"/>
      <c r="U300" s="890"/>
      <c r="V300" s="917"/>
      <c r="W300" s="917"/>
      <c r="X300" s="918"/>
      <c r="Y300" s="917"/>
      <c r="Z300" s="918"/>
      <c r="AA300" s="918"/>
      <c r="AB300" s="917"/>
      <c r="AC300" s="917"/>
      <c r="AD300" s="917"/>
      <c r="AE300" s="917"/>
      <c r="AF300" s="917"/>
      <c r="AG300" s="917"/>
      <c r="AK300" s="917">
        <f t="shared" si="46"/>
        <v>0</v>
      </c>
      <c r="AL300" s="917"/>
      <c r="AM300" s="917">
        <f ca="1"/>
        <v>0</v>
      </c>
      <c r="AN300" s="917">
        <f ca="1"/>
        <v>0</v>
      </c>
      <c r="AO300" s="917">
        <f t="shared" ca="1" si="47"/>
        <v>0</v>
      </c>
      <c r="AP300" s="917">
        <f t="shared" ca="1" si="48"/>
        <v>0</v>
      </c>
    </row>
    <row r="301" spans="1:42" ht="16">
      <c r="A301" s="30"/>
      <c r="B301" s="5"/>
      <c r="C301" s="30"/>
      <c r="D301" s="30"/>
      <c r="E301" s="5"/>
      <c r="F301" s="890"/>
      <c r="G301" s="935"/>
      <c r="H301" s="915"/>
      <c r="I301" s="915"/>
      <c r="J301" s="915"/>
      <c r="K301" s="916"/>
      <c r="L301" s="890"/>
      <c r="M301" s="890"/>
      <c r="N301" s="890"/>
      <c r="O301" s="917"/>
      <c r="P301" s="917"/>
      <c r="Q301" s="890"/>
      <c r="R301" s="890"/>
      <c r="S301" s="890"/>
      <c r="T301" s="890"/>
      <c r="U301" s="890"/>
      <c r="V301" s="917"/>
      <c r="W301" s="917"/>
      <c r="X301" s="918"/>
      <c r="Y301" s="917"/>
      <c r="Z301" s="918"/>
      <c r="AA301" s="918"/>
      <c r="AB301" s="917"/>
      <c r="AC301" s="917"/>
      <c r="AD301" s="917"/>
      <c r="AE301" s="917"/>
      <c r="AF301" s="917"/>
      <c r="AG301" s="917"/>
      <c r="AK301" s="917">
        <f t="shared" si="46"/>
        <v>0</v>
      </c>
      <c r="AL301" s="917"/>
      <c r="AM301" s="917">
        <f ca="1"/>
        <v>0</v>
      </c>
      <c r="AN301" s="917">
        <f ca="1"/>
        <v>0</v>
      </c>
      <c r="AO301" s="917">
        <f t="shared" ca="1" si="47"/>
        <v>0</v>
      </c>
      <c r="AP301" s="917">
        <f t="shared" ca="1" si="48"/>
        <v>0</v>
      </c>
    </row>
    <row r="302" spans="1:42" ht="16">
      <c r="A302" s="30"/>
      <c r="B302" s="5"/>
      <c r="C302" s="30"/>
      <c r="D302" s="30"/>
      <c r="E302" s="5"/>
      <c r="F302" s="890"/>
      <c r="G302" s="935"/>
      <c r="H302" s="915"/>
      <c r="I302" s="915"/>
      <c r="J302" s="915"/>
      <c r="K302" s="916"/>
      <c r="L302" s="890"/>
      <c r="M302" s="890"/>
      <c r="N302" s="890"/>
      <c r="O302" s="917"/>
      <c r="P302" s="917"/>
      <c r="Q302" s="890"/>
      <c r="R302" s="890"/>
      <c r="S302" s="890"/>
      <c r="T302" s="890"/>
      <c r="U302" s="890"/>
      <c r="V302" s="917"/>
      <c r="W302" s="917"/>
      <c r="X302" s="918"/>
      <c r="Y302" s="917"/>
      <c r="Z302" s="918"/>
      <c r="AA302" s="918"/>
      <c r="AB302" s="917"/>
      <c r="AC302" s="917"/>
      <c r="AD302" s="917"/>
      <c r="AE302" s="917"/>
      <c r="AF302" s="917"/>
      <c r="AG302" s="917"/>
      <c r="AK302" s="917">
        <f t="shared" si="46"/>
        <v>0</v>
      </c>
      <c r="AL302" s="917"/>
      <c r="AM302" s="917">
        <f ca="1"/>
        <v>0</v>
      </c>
      <c r="AN302" s="917">
        <f ca="1"/>
        <v>0</v>
      </c>
      <c r="AO302" s="917">
        <f t="shared" ca="1" si="47"/>
        <v>0</v>
      </c>
      <c r="AP302" s="917">
        <f t="shared" ca="1" si="48"/>
        <v>0</v>
      </c>
    </row>
    <row r="303" spans="1:42" ht="16">
      <c r="A303" s="30"/>
      <c r="B303" s="5"/>
      <c r="C303" s="30"/>
      <c r="D303" s="30"/>
      <c r="E303" s="5"/>
      <c r="F303" s="890"/>
      <c r="G303" s="935"/>
      <c r="H303" s="915"/>
      <c r="I303" s="915"/>
      <c r="J303" s="915"/>
      <c r="K303" s="916"/>
      <c r="L303" s="890"/>
      <c r="M303" s="890"/>
      <c r="N303" s="890"/>
      <c r="O303" s="917"/>
      <c r="P303" s="917"/>
      <c r="Q303" s="890"/>
      <c r="R303" s="890"/>
      <c r="S303" s="890"/>
      <c r="T303" s="890"/>
      <c r="U303" s="890"/>
      <c r="V303" s="917"/>
      <c r="W303" s="917"/>
      <c r="X303" s="918"/>
      <c r="Y303" s="917"/>
      <c r="Z303" s="918"/>
      <c r="AA303" s="918"/>
      <c r="AB303" s="917"/>
      <c r="AC303" s="917"/>
      <c r="AD303" s="917"/>
      <c r="AE303" s="917"/>
      <c r="AF303" s="917"/>
      <c r="AG303" s="917"/>
      <c r="AK303" s="917">
        <f t="shared" si="46"/>
        <v>0</v>
      </c>
      <c r="AL303" s="917"/>
      <c r="AM303" s="917">
        <f ca="1"/>
        <v>0</v>
      </c>
      <c r="AN303" s="917">
        <f ca="1"/>
        <v>0</v>
      </c>
      <c r="AO303" s="917">
        <f t="shared" ca="1" si="47"/>
        <v>0</v>
      </c>
      <c r="AP303" s="917">
        <f t="shared" ca="1" si="48"/>
        <v>0</v>
      </c>
    </row>
    <row r="304" spans="1:42" ht="16">
      <c r="A304" s="30"/>
      <c r="B304" s="5"/>
      <c r="C304" s="30"/>
      <c r="D304" s="30"/>
      <c r="E304" s="5"/>
      <c r="F304" s="890"/>
      <c r="G304" s="935"/>
      <c r="H304" s="915"/>
      <c r="I304" s="915"/>
      <c r="J304" s="915"/>
      <c r="K304" s="916"/>
      <c r="L304" s="890"/>
      <c r="M304" s="890"/>
      <c r="N304" s="890"/>
      <c r="O304" s="917"/>
      <c r="P304" s="917"/>
      <c r="Q304" s="890"/>
      <c r="R304" s="890"/>
      <c r="S304" s="890"/>
      <c r="T304" s="890"/>
      <c r="U304" s="890"/>
      <c r="V304" s="917"/>
      <c r="W304" s="917"/>
      <c r="X304" s="918"/>
      <c r="Y304" s="917"/>
      <c r="Z304" s="918"/>
      <c r="AA304" s="918"/>
      <c r="AB304" s="917"/>
      <c r="AC304" s="917"/>
      <c r="AD304" s="917"/>
      <c r="AE304" s="917"/>
      <c r="AF304" s="917"/>
      <c r="AG304" s="917"/>
      <c r="AK304" s="917">
        <f t="shared" si="46"/>
        <v>0</v>
      </c>
      <c r="AL304" s="917"/>
      <c r="AM304" s="917">
        <f ca="1"/>
        <v>0</v>
      </c>
      <c r="AN304" s="917">
        <f ca="1"/>
        <v>0</v>
      </c>
      <c r="AO304" s="917">
        <f t="shared" ca="1" si="47"/>
        <v>0</v>
      </c>
      <c r="AP304" s="917">
        <f t="shared" ca="1" si="48"/>
        <v>0</v>
      </c>
    </row>
    <row r="305" spans="1:42" ht="16">
      <c r="A305" s="30"/>
      <c r="B305" s="5"/>
      <c r="C305" s="30"/>
      <c r="D305" s="30"/>
      <c r="E305" s="5"/>
      <c r="F305" s="890"/>
      <c r="G305" s="935"/>
      <c r="H305" s="915"/>
      <c r="I305" s="915"/>
      <c r="J305" s="915"/>
      <c r="K305" s="916"/>
      <c r="L305" s="890"/>
      <c r="M305" s="890"/>
      <c r="N305" s="890"/>
      <c r="O305" s="917"/>
      <c r="P305" s="917"/>
      <c r="Q305" s="890"/>
      <c r="R305" s="890"/>
      <c r="S305" s="890"/>
      <c r="T305" s="890"/>
      <c r="U305" s="890"/>
      <c r="V305" s="917"/>
      <c r="W305" s="917"/>
      <c r="X305" s="918"/>
      <c r="Y305" s="917"/>
      <c r="Z305" s="918"/>
      <c r="AA305" s="918"/>
      <c r="AB305" s="917"/>
      <c r="AC305" s="917"/>
      <c r="AD305" s="917"/>
      <c r="AE305" s="917"/>
      <c r="AF305" s="917"/>
      <c r="AG305" s="917"/>
      <c r="AK305" s="917">
        <f t="shared" si="46"/>
        <v>0</v>
      </c>
      <c r="AL305" s="917"/>
      <c r="AM305" s="917">
        <f ca="1"/>
        <v>0</v>
      </c>
      <c r="AN305" s="917">
        <f ca="1"/>
        <v>0</v>
      </c>
      <c r="AO305" s="917">
        <f t="shared" ca="1" si="47"/>
        <v>0</v>
      </c>
      <c r="AP305" s="917">
        <f t="shared" ca="1" si="48"/>
        <v>0</v>
      </c>
    </row>
    <row r="306" spans="1:42" ht="16">
      <c r="A306" s="30"/>
      <c r="B306" s="5"/>
      <c r="C306" s="30"/>
      <c r="D306" s="30"/>
      <c r="E306" s="5"/>
      <c r="F306" s="890"/>
      <c r="G306" s="935"/>
      <c r="H306" s="915"/>
      <c r="I306" s="915"/>
      <c r="J306" s="915"/>
      <c r="K306" s="916"/>
      <c r="L306" s="890"/>
      <c r="M306" s="890"/>
      <c r="N306" s="890"/>
      <c r="O306" s="917"/>
      <c r="P306" s="917"/>
      <c r="Q306" s="890"/>
      <c r="R306" s="890"/>
      <c r="S306" s="890"/>
      <c r="T306" s="890"/>
      <c r="U306" s="890"/>
      <c r="V306" s="917"/>
      <c r="W306" s="917"/>
      <c r="X306" s="918"/>
      <c r="Y306" s="917"/>
      <c r="Z306" s="918"/>
      <c r="AA306" s="918"/>
      <c r="AB306" s="917"/>
      <c r="AC306" s="917"/>
      <c r="AD306" s="917"/>
      <c r="AE306" s="917"/>
      <c r="AF306" s="917"/>
      <c r="AG306" s="917"/>
      <c r="AK306" s="917">
        <f t="shared" si="46"/>
        <v>0</v>
      </c>
      <c r="AL306" s="917"/>
      <c r="AM306" s="917">
        <f ca="1"/>
        <v>0</v>
      </c>
      <c r="AN306" s="917">
        <f ca="1"/>
        <v>0</v>
      </c>
      <c r="AO306" s="917">
        <f t="shared" ca="1" si="47"/>
        <v>0</v>
      </c>
      <c r="AP306" s="917">
        <f t="shared" ca="1" si="48"/>
        <v>0</v>
      </c>
    </row>
    <row r="307" spans="1:42" ht="16">
      <c r="A307" s="30"/>
      <c r="B307" s="5"/>
      <c r="C307" s="30"/>
      <c r="D307" s="30"/>
      <c r="E307" s="5"/>
      <c r="F307" s="890"/>
      <c r="G307" s="935"/>
      <c r="H307" s="915"/>
      <c r="I307" s="915"/>
      <c r="J307" s="915"/>
      <c r="K307" s="916"/>
      <c r="L307" s="890"/>
      <c r="M307" s="890"/>
      <c r="N307" s="890"/>
      <c r="O307" s="917"/>
      <c r="P307" s="917"/>
      <c r="Q307" s="890"/>
      <c r="R307" s="890"/>
      <c r="S307" s="890"/>
      <c r="T307" s="890"/>
      <c r="U307" s="890"/>
      <c r="V307" s="917"/>
      <c r="W307" s="917"/>
      <c r="X307" s="918"/>
      <c r="Y307" s="917"/>
      <c r="Z307" s="918"/>
      <c r="AA307" s="918"/>
      <c r="AB307" s="917"/>
      <c r="AC307" s="917"/>
      <c r="AD307" s="917"/>
      <c r="AE307" s="917"/>
      <c r="AF307" s="917"/>
      <c r="AG307" s="917"/>
      <c r="AK307" s="917">
        <f t="shared" si="46"/>
        <v>0</v>
      </c>
      <c r="AL307" s="917"/>
      <c r="AM307" s="917">
        <f ca="1"/>
        <v>0</v>
      </c>
      <c r="AN307" s="917">
        <f ca="1"/>
        <v>0</v>
      </c>
      <c r="AO307" s="917">
        <f t="shared" ca="1" si="47"/>
        <v>0</v>
      </c>
      <c r="AP307" s="917">
        <f t="shared" ca="1" si="48"/>
        <v>0</v>
      </c>
    </row>
    <row r="308" spans="1:42" ht="16">
      <c r="A308" s="30"/>
      <c r="B308" s="5"/>
      <c r="C308" s="30"/>
      <c r="D308" s="30"/>
      <c r="E308" s="5"/>
      <c r="F308" s="890"/>
      <c r="G308" s="935"/>
      <c r="H308" s="915"/>
      <c r="I308" s="915"/>
      <c r="J308" s="915"/>
      <c r="K308" s="916"/>
      <c r="L308" s="890"/>
      <c r="M308" s="890"/>
      <c r="N308" s="890"/>
      <c r="O308" s="917"/>
      <c r="P308" s="917"/>
      <c r="Q308" s="890"/>
      <c r="R308" s="890"/>
      <c r="S308" s="890"/>
      <c r="T308" s="890"/>
      <c r="U308" s="890"/>
      <c r="V308" s="917"/>
      <c r="W308" s="917"/>
      <c r="X308" s="918"/>
      <c r="Y308" s="917"/>
      <c r="Z308" s="918"/>
      <c r="AA308" s="918"/>
      <c r="AB308" s="917"/>
      <c r="AC308" s="917"/>
      <c r="AD308" s="917"/>
      <c r="AE308" s="917"/>
      <c r="AF308" s="917"/>
      <c r="AG308" s="917"/>
      <c r="AK308" s="917">
        <f t="shared" si="46"/>
        <v>0</v>
      </c>
      <c r="AL308" s="917"/>
      <c r="AM308" s="917">
        <f ca="1"/>
        <v>0</v>
      </c>
      <c r="AN308" s="917">
        <f ca="1"/>
        <v>0</v>
      </c>
      <c r="AO308" s="917">
        <f t="shared" ca="1" si="47"/>
        <v>0</v>
      </c>
      <c r="AP308" s="917">
        <f t="shared" ca="1" si="48"/>
        <v>0</v>
      </c>
    </row>
    <row r="309" spans="1:42" ht="16">
      <c r="A309" s="30"/>
      <c r="B309" s="5"/>
      <c r="C309" s="30"/>
      <c r="D309" s="30"/>
      <c r="E309" s="5"/>
      <c r="F309" s="890"/>
      <c r="G309" s="935"/>
      <c r="H309" s="915"/>
      <c r="I309" s="915"/>
      <c r="J309" s="915"/>
      <c r="K309" s="916"/>
      <c r="L309" s="890"/>
      <c r="M309" s="890"/>
      <c r="N309" s="890"/>
      <c r="O309" s="917"/>
      <c r="P309" s="917"/>
      <c r="Q309" s="890"/>
      <c r="R309" s="890"/>
      <c r="S309" s="890"/>
      <c r="T309" s="890"/>
      <c r="U309" s="890"/>
      <c r="V309" s="917"/>
      <c r="W309" s="917"/>
      <c r="X309" s="918"/>
      <c r="Y309" s="917"/>
      <c r="Z309" s="918"/>
      <c r="AA309" s="918"/>
      <c r="AB309" s="917"/>
      <c r="AC309" s="917"/>
      <c r="AD309" s="917"/>
      <c r="AE309" s="917"/>
      <c r="AF309" s="917"/>
      <c r="AG309" s="917"/>
      <c r="AK309" s="917">
        <f t="shared" si="46"/>
        <v>0</v>
      </c>
      <c r="AL309" s="917"/>
      <c r="AM309" s="917">
        <f ca="1"/>
        <v>0</v>
      </c>
      <c r="AN309" s="917">
        <f ca="1"/>
        <v>0</v>
      </c>
      <c r="AO309" s="917">
        <f t="shared" ca="1" si="47"/>
        <v>0</v>
      </c>
      <c r="AP309" s="917">
        <f t="shared" ca="1" si="48"/>
        <v>0</v>
      </c>
    </row>
    <row r="310" spans="1:42" ht="16">
      <c r="A310" s="30"/>
      <c r="B310" s="5"/>
      <c r="C310" s="30"/>
      <c r="D310" s="30"/>
      <c r="E310" s="5"/>
      <c r="F310" s="890"/>
      <c r="G310" s="935"/>
      <c r="H310" s="915"/>
      <c r="I310" s="915"/>
      <c r="J310" s="915"/>
      <c r="K310" s="916"/>
      <c r="L310" s="890"/>
      <c r="M310" s="890"/>
      <c r="N310" s="890"/>
      <c r="O310" s="917"/>
      <c r="P310" s="917"/>
      <c r="Q310" s="890"/>
      <c r="R310" s="890"/>
      <c r="S310" s="890"/>
      <c r="T310" s="890"/>
      <c r="U310" s="890"/>
      <c r="V310" s="917"/>
      <c r="W310" s="917"/>
      <c r="X310" s="918"/>
      <c r="Y310" s="917"/>
      <c r="Z310" s="918"/>
      <c r="AA310" s="918"/>
      <c r="AB310" s="917"/>
      <c r="AC310" s="917"/>
      <c r="AD310" s="917"/>
      <c r="AE310" s="917"/>
      <c r="AF310" s="917"/>
      <c r="AG310" s="917"/>
      <c r="AK310" s="917">
        <f t="shared" si="46"/>
        <v>0</v>
      </c>
      <c r="AL310" s="917"/>
      <c r="AM310" s="917">
        <f ca="1"/>
        <v>0</v>
      </c>
      <c r="AN310" s="917">
        <f ca="1"/>
        <v>0</v>
      </c>
      <c r="AO310" s="917">
        <f t="shared" ca="1" si="47"/>
        <v>0</v>
      </c>
      <c r="AP310" s="917">
        <f t="shared" ca="1" si="48"/>
        <v>0</v>
      </c>
    </row>
    <row r="311" spans="1:42" ht="16">
      <c r="A311" s="30"/>
      <c r="B311" s="5"/>
      <c r="C311" s="30"/>
      <c r="D311" s="30"/>
      <c r="E311" s="5"/>
      <c r="F311" s="890"/>
      <c r="G311" s="935"/>
      <c r="H311" s="915"/>
      <c r="I311" s="915"/>
      <c r="J311" s="915"/>
      <c r="K311" s="916"/>
      <c r="L311" s="890"/>
      <c r="M311" s="890"/>
      <c r="N311" s="890"/>
      <c r="O311" s="917"/>
      <c r="P311" s="917"/>
      <c r="Q311" s="890"/>
      <c r="R311" s="890"/>
      <c r="S311" s="890"/>
      <c r="T311" s="890"/>
      <c r="U311" s="890"/>
      <c r="V311" s="917"/>
      <c r="W311" s="917"/>
      <c r="X311" s="918"/>
      <c r="Y311" s="917"/>
      <c r="Z311" s="918"/>
      <c r="AA311" s="918"/>
      <c r="AB311" s="917"/>
      <c r="AC311" s="917"/>
      <c r="AD311" s="917"/>
      <c r="AE311" s="917"/>
      <c r="AF311" s="917"/>
      <c r="AG311" s="917"/>
      <c r="AK311" s="917">
        <f t="shared" si="46"/>
        <v>0</v>
      </c>
      <c r="AL311" s="917"/>
      <c r="AM311" s="917">
        <f ca="1"/>
        <v>0</v>
      </c>
      <c r="AN311" s="917">
        <f ca="1"/>
        <v>0</v>
      </c>
      <c r="AO311" s="917">
        <f t="shared" ca="1" si="47"/>
        <v>0</v>
      </c>
      <c r="AP311" s="917">
        <f t="shared" ca="1" si="48"/>
        <v>0</v>
      </c>
    </row>
    <row r="312" spans="1:42" ht="16">
      <c r="A312" s="30"/>
      <c r="B312" s="5"/>
      <c r="C312" s="30"/>
      <c r="D312" s="30"/>
      <c r="E312" s="5"/>
      <c r="F312" s="890"/>
      <c r="G312" s="935"/>
      <c r="H312" s="915"/>
      <c r="I312" s="915"/>
      <c r="J312" s="915"/>
      <c r="K312" s="916"/>
      <c r="L312" s="890"/>
      <c r="M312" s="890"/>
      <c r="N312" s="890"/>
      <c r="O312" s="917"/>
      <c r="P312" s="917"/>
      <c r="Q312" s="890"/>
      <c r="R312" s="890"/>
      <c r="S312" s="890"/>
      <c r="T312" s="890"/>
      <c r="U312" s="890"/>
      <c r="V312" s="917"/>
      <c r="W312" s="917"/>
      <c r="X312" s="918"/>
      <c r="Y312" s="917"/>
      <c r="Z312" s="918"/>
      <c r="AA312" s="918"/>
      <c r="AB312" s="917"/>
      <c r="AC312" s="917"/>
      <c r="AD312" s="917"/>
      <c r="AE312" s="917"/>
      <c r="AF312" s="917"/>
      <c r="AG312" s="917"/>
      <c r="AK312" s="917">
        <f t="shared" si="46"/>
        <v>0</v>
      </c>
      <c r="AL312" s="917"/>
      <c r="AM312" s="917">
        <f ca="1"/>
        <v>0</v>
      </c>
      <c r="AN312" s="917">
        <f ca="1"/>
        <v>0</v>
      </c>
      <c r="AO312" s="917">
        <f t="shared" ca="1" si="47"/>
        <v>0</v>
      </c>
      <c r="AP312" s="917">
        <f t="shared" ca="1" si="48"/>
        <v>0</v>
      </c>
    </row>
    <row r="313" spans="1:42" ht="16">
      <c r="A313" s="30"/>
      <c r="B313" s="5"/>
      <c r="C313" s="30"/>
      <c r="D313" s="30"/>
      <c r="E313" s="5"/>
      <c r="F313" s="890"/>
      <c r="G313" s="935"/>
      <c r="H313" s="915"/>
      <c r="I313" s="915"/>
      <c r="J313" s="915"/>
      <c r="K313" s="916"/>
      <c r="L313" s="890"/>
      <c r="M313" s="890"/>
      <c r="N313" s="890"/>
      <c r="O313" s="917"/>
      <c r="P313" s="917"/>
      <c r="Q313" s="890"/>
      <c r="R313" s="890"/>
      <c r="S313" s="890"/>
      <c r="T313" s="890"/>
      <c r="U313" s="890"/>
      <c r="V313" s="917"/>
      <c r="W313" s="917"/>
      <c r="X313" s="918"/>
      <c r="Y313" s="917"/>
      <c r="Z313" s="918"/>
      <c r="AA313" s="918"/>
      <c r="AB313" s="917"/>
      <c r="AC313" s="917"/>
      <c r="AD313" s="917"/>
      <c r="AE313" s="917"/>
      <c r="AF313" s="917"/>
      <c r="AG313" s="917"/>
      <c r="AK313" s="917">
        <f t="shared" si="46"/>
        <v>0</v>
      </c>
      <c r="AL313" s="917"/>
      <c r="AM313" s="917">
        <f ca="1"/>
        <v>0</v>
      </c>
      <c r="AN313" s="917">
        <f ca="1"/>
        <v>0</v>
      </c>
      <c r="AO313" s="917">
        <f t="shared" ca="1" si="47"/>
        <v>0</v>
      </c>
      <c r="AP313" s="917">
        <f t="shared" ca="1" si="48"/>
        <v>0</v>
      </c>
    </row>
    <row r="314" spans="1:42" ht="16">
      <c r="A314" s="30"/>
      <c r="B314" s="5"/>
      <c r="C314" s="30"/>
      <c r="D314" s="30"/>
      <c r="E314" s="5"/>
      <c r="F314" s="890"/>
      <c r="G314" s="935"/>
      <c r="H314" s="915"/>
      <c r="I314" s="915"/>
      <c r="J314" s="915"/>
      <c r="K314" s="916"/>
      <c r="L314" s="890"/>
      <c r="M314" s="890"/>
      <c r="N314" s="890"/>
      <c r="O314" s="917"/>
      <c r="P314" s="917"/>
      <c r="Q314" s="890"/>
      <c r="R314" s="890"/>
      <c r="S314" s="890"/>
      <c r="T314" s="890"/>
      <c r="U314" s="890"/>
      <c r="V314" s="917"/>
      <c r="W314" s="917"/>
      <c r="X314" s="918"/>
      <c r="Y314" s="917"/>
      <c r="Z314" s="918"/>
      <c r="AA314" s="918"/>
      <c r="AB314" s="917"/>
      <c r="AC314" s="917"/>
      <c r="AD314" s="917"/>
      <c r="AE314" s="917"/>
      <c r="AF314" s="917"/>
      <c r="AG314" s="917"/>
      <c r="AK314" s="917">
        <f t="shared" si="46"/>
        <v>0</v>
      </c>
      <c r="AL314" s="917"/>
      <c r="AM314" s="917">
        <f ca="1"/>
        <v>0</v>
      </c>
      <c r="AN314" s="917">
        <f ca="1"/>
        <v>0</v>
      </c>
      <c r="AO314" s="917">
        <f t="shared" ca="1" si="47"/>
        <v>0</v>
      </c>
      <c r="AP314" s="917">
        <f t="shared" ca="1" si="48"/>
        <v>0</v>
      </c>
    </row>
    <row r="315" spans="1:42" ht="16">
      <c r="A315" s="30"/>
      <c r="B315" s="5"/>
      <c r="C315" s="30"/>
      <c r="D315" s="30"/>
      <c r="E315" s="5"/>
      <c r="F315" s="890"/>
      <c r="G315" s="935"/>
      <c r="H315" s="915"/>
      <c r="I315" s="915"/>
      <c r="J315" s="915"/>
      <c r="K315" s="916"/>
      <c r="L315" s="890"/>
      <c r="M315" s="890"/>
      <c r="N315" s="890"/>
      <c r="O315" s="917"/>
      <c r="P315" s="917"/>
      <c r="Q315" s="890"/>
      <c r="R315" s="890"/>
      <c r="S315" s="890"/>
      <c r="T315" s="890"/>
      <c r="U315" s="890"/>
      <c r="V315" s="917"/>
      <c r="W315" s="917"/>
      <c r="X315" s="918"/>
      <c r="Y315" s="917"/>
      <c r="Z315" s="918"/>
      <c r="AA315" s="918"/>
      <c r="AB315" s="917"/>
      <c r="AC315" s="917"/>
      <c r="AD315" s="917"/>
      <c r="AE315" s="917"/>
      <c r="AF315" s="917"/>
      <c r="AG315" s="917"/>
      <c r="AK315" s="917">
        <f t="shared" si="46"/>
        <v>0</v>
      </c>
      <c r="AL315" s="917"/>
      <c r="AM315" s="917">
        <f ca="1"/>
        <v>0</v>
      </c>
      <c r="AN315" s="917">
        <f ca="1"/>
        <v>0</v>
      </c>
      <c r="AO315" s="917">
        <f t="shared" ca="1" si="47"/>
        <v>0</v>
      </c>
      <c r="AP315" s="917">
        <f t="shared" ca="1" si="48"/>
        <v>0</v>
      </c>
    </row>
    <row r="316" spans="1:42" ht="16">
      <c r="A316" s="30"/>
      <c r="B316" s="5"/>
      <c r="C316" s="30"/>
      <c r="D316" s="30"/>
      <c r="E316" s="5"/>
      <c r="F316" s="890"/>
      <c r="G316" s="935"/>
      <c r="H316" s="915"/>
      <c r="I316" s="915"/>
      <c r="J316" s="915"/>
      <c r="K316" s="916"/>
      <c r="L316" s="890"/>
      <c r="M316" s="890"/>
      <c r="N316" s="890"/>
      <c r="O316" s="917"/>
      <c r="P316" s="917"/>
      <c r="Q316" s="890"/>
      <c r="R316" s="890"/>
      <c r="S316" s="890"/>
      <c r="T316" s="890"/>
      <c r="U316" s="890"/>
      <c r="V316" s="917"/>
      <c r="W316" s="917"/>
      <c r="X316" s="918"/>
      <c r="Y316" s="917"/>
      <c r="Z316" s="918"/>
      <c r="AA316" s="918"/>
      <c r="AB316" s="917"/>
      <c r="AC316" s="917"/>
      <c r="AD316" s="917"/>
      <c r="AE316" s="917"/>
      <c r="AF316" s="917"/>
      <c r="AG316" s="917"/>
      <c r="AK316" s="917">
        <f t="shared" si="46"/>
        <v>0</v>
      </c>
      <c r="AL316" s="917"/>
      <c r="AM316" s="917">
        <f ca="1"/>
        <v>0</v>
      </c>
      <c r="AN316" s="917">
        <f ca="1"/>
        <v>0</v>
      </c>
      <c r="AO316" s="917">
        <f t="shared" ca="1" si="47"/>
        <v>0</v>
      </c>
      <c r="AP316" s="917">
        <f t="shared" ca="1" si="48"/>
        <v>0</v>
      </c>
    </row>
    <row r="317" spans="1:42" ht="16">
      <c r="A317" s="30"/>
      <c r="B317" s="5"/>
      <c r="C317" s="30"/>
      <c r="D317" s="30"/>
      <c r="E317" s="5"/>
      <c r="F317" s="890"/>
      <c r="G317" s="935"/>
      <c r="H317" s="915"/>
      <c r="I317" s="915"/>
      <c r="J317" s="915"/>
      <c r="K317" s="916"/>
      <c r="L317" s="890"/>
      <c r="M317" s="890"/>
      <c r="N317" s="890"/>
      <c r="O317" s="917"/>
      <c r="P317" s="917"/>
      <c r="Q317" s="890"/>
      <c r="R317" s="890"/>
      <c r="S317" s="890"/>
      <c r="T317" s="890"/>
      <c r="U317" s="890"/>
      <c r="V317" s="917"/>
      <c r="W317" s="917"/>
      <c r="X317" s="918"/>
      <c r="Y317" s="917"/>
      <c r="Z317" s="918"/>
      <c r="AA317" s="918"/>
      <c r="AB317" s="917"/>
      <c r="AC317" s="917"/>
      <c r="AD317" s="917"/>
      <c r="AE317" s="917"/>
      <c r="AF317" s="917"/>
      <c r="AG317" s="917"/>
      <c r="AK317" s="917">
        <f t="shared" si="46"/>
        <v>0</v>
      </c>
      <c r="AL317" s="917"/>
      <c r="AM317" s="917">
        <f ca="1"/>
        <v>0</v>
      </c>
      <c r="AN317" s="917">
        <f ca="1"/>
        <v>0</v>
      </c>
      <c r="AO317" s="917">
        <f t="shared" ca="1" si="47"/>
        <v>0</v>
      </c>
      <c r="AP317" s="917">
        <f t="shared" ca="1" si="48"/>
        <v>0</v>
      </c>
    </row>
    <row r="318" spans="1:42" ht="16">
      <c r="A318" s="30"/>
      <c r="B318" s="5"/>
      <c r="C318" s="30"/>
      <c r="D318" s="30"/>
      <c r="E318" s="5"/>
      <c r="F318" s="890"/>
      <c r="G318" s="935"/>
      <c r="H318" s="915"/>
      <c r="I318" s="915"/>
      <c r="J318" s="915"/>
      <c r="K318" s="916"/>
      <c r="L318" s="890"/>
      <c r="M318" s="890"/>
      <c r="N318" s="890"/>
      <c r="O318" s="917"/>
      <c r="P318" s="917"/>
      <c r="Q318" s="890"/>
      <c r="R318" s="890"/>
      <c r="S318" s="890"/>
      <c r="T318" s="890"/>
      <c r="U318" s="890"/>
      <c r="V318" s="917"/>
      <c r="W318" s="917"/>
      <c r="X318" s="918"/>
      <c r="Y318" s="917"/>
      <c r="Z318" s="918"/>
      <c r="AA318" s="918"/>
      <c r="AB318" s="917"/>
      <c r="AC318" s="917"/>
      <c r="AD318" s="917"/>
      <c r="AE318" s="917"/>
      <c r="AF318" s="917"/>
      <c r="AG318" s="917"/>
      <c r="AK318" s="917">
        <f t="shared" si="46"/>
        <v>0</v>
      </c>
      <c r="AL318" s="917"/>
      <c r="AM318" s="917">
        <f ca="1"/>
        <v>0</v>
      </c>
      <c r="AN318" s="917">
        <f ca="1"/>
        <v>0</v>
      </c>
      <c r="AO318" s="917">
        <f t="shared" ca="1" si="47"/>
        <v>0</v>
      </c>
      <c r="AP318" s="917">
        <f t="shared" ca="1" si="48"/>
        <v>0</v>
      </c>
    </row>
    <row r="319" spans="1:42" ht="16">
      <c r="A319" s="30"/>
      <c r="B319" s="5"/>
      <c r="C319" s="30"/>
      <c r="D319" s="30"/>
      <c r="E319" s="5"/>
      <c r="F319" s="890"/>
      <c r="G319" s="935"/>
      <c r="H319" s="915"/>
      <c r="I319" s="915"/>
      <c r="J319" s="915"/>
      <c r="K319" s="916"/>
      <c r="L319" s="890"/>
      <c r="M319" s="890"/>
      <c r="N319" s="890"/>
      <c r="O319" s="917"/>
      <c r="P319" s="917"/>
      <c r="Q319" s="890"/>
      <c r="R319" s="890"/>
      <c r="S319" s="890"/>
      <c r="T319" s="890"/>
      <c r="U319" s="890"/>
      <c r="V319" s="917"/>
      <c r="W319" s="917"/>
      <c r="X319" s="918"/>
      <c r="Y319" s="917"/>
      <c r="Z319" s="918"/>
      <c r="AA319" s="918"/>
      <c r="AB319" s="917"/>
      <c r="AC319" s="917"/>
      <c r="AD319" s="917"/>
      <c r="AE319" s="917"/>
      <c r="AF319" s="917"/>
      <c r="AG319" s="917"/>
      <c r="AK319" s="917">
        <f t="shared" si="46"/>
        <v>0</v>
      </c>
      <c r="AL319" s="917"/>
      <c r="AM319" s="917">
        <f ca="1"/>
        <v>0</v>
      </c>
      <c r="AN319" s="917">
        <f ca="1"/>
        <v>0</v>
      </c>
      <c r="AO319" s="917">
        <f t="shared" ca="1" si="47"/>
        <v>0</v>
      </c>
      <c r="AP319" s="917">
        <f t="shared" ca="1" si="48"/>
        <v>0</v>
      </c>
    </row>
    <row r="320" spans="1:42" ht="16">
      <c r="A320" s="30"/>
      <c r="B320" s="5"/>
      <c r="C320" s="30"/>
      <c r="D320" s="30"/>
      <c r="E320" s="5"/>
      <c r="F320" s="890"/>
      <c r="G320" s="935"/>
      <c r="H320" s="915"/>
      <c r="I320" s="915"/>
      <c r="J320" s="915"/>
      <c r="K320" s="916"/>
      <c r="L320" s="890"/>
      <c r="M320" s="890"/>
      <c r="N320" s="890"/>
      <c r="O320" s="917"/>
      <c r="P320" s="917"/>
      <c r="Q320" s="890"/>
      <c r="R320" s="890"/>
      <c r="S320" s="890"/>
      <c r="T320" s="890"/>
      <c r="U320" s="890"/>
      <c r="V320" s="917"/>
      <c r="W320" s="917"/>
      <c r="X320" s="918"/>
      <c r="Y320" s="917"/>
      <c r="Z320" s="918"/>
      <c r="AA320" s="918"/>
      <c r="AB320" s="917"/>
      <c r="AC320" s="917"/>
      <c r="AD320" s="917"/>
      <c r="AE320" s="917"/>
      <c r="AF320" s="917"/>
      <c r="AG320" s="917"/>
      <c r="AK320" s="917">
        <f t="shared" si="46"/>
        <v>0</v>
      </c>
      <c r="AL320" s="917"/>
      <c r="AM320" s="917">
        <f ca="1"/>
        <v>0</v>
      </c>
      <c r="AN320" s="917">
        <f ca="1"/>
        <v>0</v>
      </c>
      <c r="AO320" s="917">
        <f t="shared" ca="1" si="47"/>
        <v>0</v>
      </c>
      <c r="AP320" s="917">
        <f t="shared" ca="1" si="48"/>
        <v>0</v>
      </c>
    </row>
    <row r="321" spans="1:42" ht="16">
      <c r="A321" s="30"/>
      <c r="B321" s="5"/>
      <c r="C321" s="30"/>
      <c r="D321" s="30"/>
      <c r="E321" s="5"/>
      <c r="F321" s="890"/>
      <c r="G321" s="935"/>
      <c r="H321" s="915"/>
      <c r="I321" s="915"/>
      <c r="J321" s="915"/>
      <c r="K321" s="916"/>
      <c r="L321" s="890"/>
      <c r="M321" s="890"/>
      <c r="N321" s="890"/>
      <c r="O321" s="917"/>
      <c r="P321" s="917"/>
      <c r="Q321" s="890"/>
      <c r="R321" s="890"/>
      <c r="S321" s="890"/>
      <c r="T321" s="890"/>
      <c r="U321" s="890"/>
      <c r="V321" s="917"/>
      <c r="W321" s="917"/>
      <c r="X321" s="918"/>
      <c r="Y321" s="917"/>
      <c r="Z321" s="918"/>
      <c r="AA321" s="918"/>
      <c r="AB321" s="917"/>
      <c r="AC321" s="917"/>
      <c r="AD321" s="917"/>
      <c r="AE321" s="917"/>
      <c r="AF321" s="917"/>
      <c r="AG321" s="917"/>
      <c r="AK321" s="917">
        <f t="shared" si="46"/>
        <v>0</v>
      </c>
      <c r="AL321" s="917"/>
      <c r="AM321" s="917">
        <f ca="1"/>
        <v>0</v>
      </c>
      <c r="AN321" s="917">
        <f ca="1"/>
        <v>0</v>
      </c>
      <c r="AO321" s="917">
        <f t="shared" ca="1" si="47"/>
        <v>0</v>
      </c>
      <c r="AP321" s="917">
        <f t="shared" ca="1" si="48"/>
        <v>0</v>
      </c>
    </row>
    <row r="322" spans="1:42" ht="16">
      <c r="A322" s="30"/>
      <c r="B322" s="5"/>
      <c r="C322" s="30"/>
      <c r="D322" s="30"/>
      <c r="E322" s="5"/>
      <c r="F322" s="890"/>
      <c r="G322" s="935"/>
      <c r="H322" s="915"/>
      <c r="I322" s="915"/>
      <c r="J322" s="915"/>
      <c r="K322" s="916"/>
      <c r="L322" s="890"/>
      <c r="M322" s="890"/>
      <c r="N322" s="890"/>
      <c r="O322" s="917"/>
      <c r="P322" s="917"/>
      <c r="Q322" s="890"/>
      <c r="R322" s="890"/>
      <c r="S322" s="890"/>
      <c r="T322" s="890"/>
      <c r="U322" s="890"/>
      <c r="V322" s="917"/>
      <c r="W322" s="917"/>
      <c r="X322" s="918"/>
      <c r="Y322" s="917"/>
      <c r="Z322" s="918"/>
      <c r="AA322" s="918"/>
      <c r="AB322" s="917"/>
      <c r="AC322" s="917"/>
      <c r="AD322" s="917"/>
      <c r="AE322" s="917"/>
      <c r="AF322" s="917"/>
      <c r="AG322" s="917"/>
      <c r="AK322" s="917">
        <f t="shared" si="46"/>
        <v>0</v>
      </c>
      <c r="AL322" s="917"/>
      <c r="AM322" s="917">
        <f ca="1"/>
        <v>0</v>
      </c>
      <c r="AN322" s="917">
        <f ca="1"/>
        <v>0</v>
      </c>
      <c r="AO322" s="917">
        <f t="shared" ca="1" si="47"/>
        <v>0</v>
      </c>
      <c r="AP322" s="917">
        <f t="shared" ca="1" si="48"/>
        <v>0</v>
      </c>
    </row>
    <row r="323" spans="1:42" ht="16">
      <c r="A323" s="30"/>
      <c r="B323" s="5"/>
      <c r="C323" s="30"/>
      <c r="D323" s="30"/>
      <c r="E323" s="5"/>
      <c r="F323" s="890"/>
      <c r="G323" s="935"/>
      <c r="H323" s="915"/>
      <c r="I323" s="915"/>
      <c r="J323" s="915"/>
      <c r="K323" s="916"/>
      <c r="L323" s="890"/>
      <c r="M323" s="890"/>
      <c r="N323" s="890"/>
      <c r="O323" s="917"/>
      <c r="P323" s="917"/>
      <c r="Q323" s="890"/>
      <c r="R323" s="890"/>
      <c r="S323" s="890"/>
      <c r="T323" s="890"/>
      <c r="U323" s="890"/>
      <c r="V323" s="917"/>
      <c r="W323" s="917"/>
      <c r="X323" s="918"/>
      <c r="Y323" s="917"/>
      <c r="Z323" s="918"/>
      <c r="AA323" s="918"/>
      <c r="AB323" s="917"/>
      <c r="AC323" s="917"/>
      <c r="AD323" s="917"/>
      <c r="AE323" s="917"/>
      <c r="AF323" s="917"/>
      <c r="AG323" s="917"/>
      <c r="AK323" s="917">
        <f t="shared" si="46"/>
        <v>0</v>
      </c>
      <c r="AL323" s="917"/>
      <c r="AM323" s="917">
        <f ca="1"/>
        <v>0</v>
      </c>
      <c r="AN323" s="917">
        <f ca="1"/>
        <v>0</v>
      </c>
      <c r="AO323" s="917">
        <f t="shared" ca="1" si="47"/>
        <v>0</v>
      </c>
      <c r="AP323" s="917">
        <f t="shared" ca="1" si="48"/>
        <v>0</v>
      </c>
    </row>
    <row r="324" spans="1:42" ht="16">
      <c r="A324" s="30"/>
      <c r="B324" s="5"/>
      <c r="C324" s="30"/>
      <c r="D324" s="30"/>
      <c r="E324" s="5"/>
      <c r="F324" s="890"/>
      <c r="G324" s="935"/>
      <c r="H324" s="915"/>
      <c r="I324" s="915"/>
      <c r="J324" s="915"/>
      <c r="K324" s="916"/>
      <c r="L324" s="890"/>
      <c r="M324" s="890"/>
      <c r="N324" s="890"/>
      <c r="O324" s="917"/>
      <c r="P324" s="917"/>
      <c r="Q324" s="890"/>
      <c r="R324" s="890"/>
      <c r="S324" s="890"/>
      <c r="T324" s="890"/>
      <c r="U324" s="890"/>
      <c r="V324" s="917"/>
      <c r="W324" s="917"/>
      <c r="X324" s="918"/>
      <c r="Y324" s="917"/>
      <c r="Z324" s="918"/>
      <c r="AA324" s="918"/>
      <c r="AB324" s="917"/>
      <c r="AC324" s="917"/>
      <c r="AD324" s="917"/>
      <c r="AE324" s="917"/>
      <c r="AF324" s="917"/>
      <c r="AG324" s="917"/>
      <c r="AK324" s="917">
        <f t="shared" si="46"/>
        <v>0</v>
      </c>
      <c r="AL324" s="917"/>
      <c r="AM324" s="917">
        <f ca="1"/>
        <v>0</v>
      </c>
      <c r="AN324" s="917">
        <f ca="1"/>
        <v>0</v>
      </c>
      <c r="AO324" s="917">
        <f t="shared" ca="1" si="47"/>
        <v>0</v>
      </c>
      <c r="AP324" s="917">
        <f t="shared" ca="1" si="48"/>
        <v>0</v>
      </c>
    </row>
    <row r="325" spans="1:42" ht="16">
      <c r="A325" s="30"/>
      <c r="B325" s="5"/>
      <c r="C325" s="30"/>
      <c r="D325" s="30"/>
      <c r="E325" s="5"/>
      <c r="F325" s="890"/>
      <c r="G325" s="935"/>
      <c r="H325" s="915"/>
      <c r="I325" s="915"/>
      <c r="J325" s="915"/>
      <c r="K325" s="916"/>
      <c r="L325" s="890"/>
      <c r="M325" s="890"/>
      <c r="N325" s="890"/>
      <c r="O325" s="917"/>
      <c r="P325" s="917"/>
      <c r="Q325" s="890"/>
      <c r="R325" s="890"/>
      <c r="S325" s="890"/>
      <c r="T325" s="890"/>
      <c r="U325" s="890"/>
      <c r="V325" s="917"/>
      <c r="W325" s="917"/>
      <c r="X325" s="918"/>
      <c r="Y325" s="917"/>
      <c r="Z325" s="918"/>
      <c r="AA325" s="918"/>
      <c r="AB325" s="917"/>
      <c r="AC325" s="917"/>
      <c r="AD325" s="917"/>
      <c r="AE325" s="917"/>
      <c r="AF325" s="917"/>
      <c r="AG325" s="917"/>
      <c r="AK325" s="917">
        <f t="shared" si="46"/>
        <v>0</v>
      </c>
      <c r="AL325" s="917"/>
      <c r="AM325" s="917">
        <f ca="1"/>
        <v>0</v>
      </c>
      <c r="AN325" s="917">
        <f ca="1"/>
        <v>0</v>
      </c>
      <c r="AO325" s="917">
        <f t="shared" ca="1" si="47"/>
        <v>0</v>
      </c>
      <c r="AP325" s="917">
        <f t="shared" ca="1" si="48"/>
        <v>0</v>
      </c>
    </row>
    <row r="326" spans="1:42" ht="16">
      <c r="A326" s="30"/>
      <c r="B326" s="5"/>
      <c r="C326" s="30"/>
      <c r="D326" s="30"/>
      <c r="E326" s="5"/>
      <c r="F326" s="890"/>
      <c r="G326" s="935"/>
      <c r="H326" s="915"/>
      <c r="I326" s="915"/>
      <c r="J326" s="915"/>
      <c r="K326" s="916"/>
      <c r="L326" s="890"/>
      <c r="M326" s="890"/>
      <c r="N326" s="890"/>
      <c r="O326" s="917"/>
      <c r="P326" s="917"/>
      <c r="Q326" s="890"/>
      <c r="R326" s="890"/>
      <c r="S326" s="890"/>
      <c r="T326" s="890"/>
      <c r="U326" s="890"/>
      <c r="V326" s="917"/>
      <c r="W326" s="917"/>
      <c r="X326" s="918"/>
      <c r="Y326" s="917"/>
      <c r="Z326" s="918"/>
      <c r="AA326" s="918"/>
      <c r="AB326" s="917"/>
      <c r="AC326" s="917"/>
      <c r="AD326" s="917"/>
      <c r="AE326" s="917"/>
      <c r="AF326" s="917"/>
      <c r="AG326" s="917"/>
      <c r="AK326" s="917">
        <f t="shared" si="46"/>
        <v>0</v>
      </c>
      <c r="AL326" s="917"/>
      <c r="AM326" s="917">
        <f ca="1"/>
        <v>0</v>
      </c>
      <c r="AN326" s="917">
        <f ca="1"/>
        <v>0</v>
      </c>
      <c r="AO326" s="917">
        <f t="shared" ca="1" si="47"/>
        <v>0</v>
      </c>
      <c r="AP326" s="917">
        <f t="shared" ca="1" si="48"/>
        <v>0</v>
      </c>
    </row>
    <row r="327" spans="1:42" ht="16">
      <c r="A327" s="30"/>
      <c r="B327" s="5"/>
      <c r="C327" s="30"/>
      <c r="D327" s="30"/>
      <c r="E327" s="5"/>
      <c r="F327" s="890"/>
      <c r="G327" s="935"/>
      <c r="H327" s="915"/>
      <c r="I327" s="915"/>
      <c r="J327" s="915"/>
      <c r="K327" s="916"/>
      <c r="L327" s="890"/>
      <c r="M327" s="890"/>
      <c r="N327" s="890"/>
      <c r="O327" s="917"/>
      <c r="P327" s="917"/>
      <c r="Q327" s="890"/>
      <c r="R327" s="890"/>
      <c r="S327" s="890"/>
      <c r="T327" s="890"/>
      <c r="U327" s="890"/>
      <c r="V327" s="917"/>
      <c r="W327" s="917"/>
      <c r="X327" s="918"/>
      <c r="Y327" s="917"/>
      <c r="Z327" s="918"/>
      <c r="AA327" s="918"/>
      <c r="AB327" s="917"/>
      <c r="AC327" s="917"/>
      <c r="AD327" s="917"/>
      <c r="AE327" s="917"/>
      <c r="AF327" s="917"/>
      <c r="AG327" s="917"/>
      <c r="AK327" s="917">
        <f t="shared" si="46"/>
        <v>0</v>
      </c>
      <c r="AL327" s="917"/>
      <c r="AM327" s="917">
        <f ca="1"/>
        <v>0</v>
      </c>
      <c r="AN327" s="917">
        <f ca="1"/>
        <v>0</v>
      </c>
      <c r="AO327" s="917">
        <f t="shared" ca="1" si="47"/>
        <v>0</v>
      </c>
      <c r="AP327" s="917">
        <f t="shared" ca="1" si="48"/>
        <v>0</v>
      </c>
    </row>
    <row r="328" spans="1:42" ht="16">
      <c r="A328" s="30"/>
      <c r="B328" s="5"/>
      <c r="C328" s="30"/>
      <c r="D328" s="30"/>
      <c r="E328" s="5"/>
      <c r="F328" s="890"/>
      <c r="G328" s="935"/>
      <c r="H328" s="915"/>
      <c r="I328" s="915"/>
      <c r="J328" s="915"/>
      <c r="K328" s="916"/>
      <c r="L328" s="890"/>
      <c r="M328" s="890"/>
      <c r="N328" s="890"/>
      <c r="O328" s="917"/>
      <c r="P328" s="917"/>
      <c r="Q328" s="890"/>
      <c r="R328" s="890"/>
      <c r="S328" s="890"/>
      <c r="T328" s="890"/>
      <c r="U328" s="890"/>
      <c r="V328" s="917"/>
      <c r="W328" s="917"/>
      <c r="X328" s="918"/>
      <c r="Y328" s="917"/>
      <c r="Z328" s="918"/>
      <c r="AA328" s="918"/>
      <c r="AB328" s="917"/>
      <c r="AC328" s="917"/>
      <c r="AD328" s="917"/>
      <c r="AE328" s="917"/>
      <c r="AF328" s="917"/>
      <c r="AG328" s="917"/>
      <c r="AK328" s="917">
        <f t="shared" si="46"/>
        <v>0</v>
      </c>
      <c r="AL328" s="917"/>
      <c r="AM328" s="917">
        <f ca="1"/>
        <v>0</v>
      </c>
      <c r="AN328" s="917">
        <f ca="1"/>
        <v>0</v>
      </c>
      <c r="AO328" s="917">
        <f t="shared" ca="1" si="47"/>
        <v>0</v>
      </c>
      <c r="AP328" s="917">
        <f t="shared" ca="1" si="48"/>
        <v>0</v>
      </c>
    </row>
    <row r="329" spans="1:42" ht="16">
      <c r="A329" s="30"/>
      <c r="B329" s="5"/>
      <c r="C329" s="30"/>
      <c r="D329" s="30"/>
      <c r="E329" s="5"/>
      <c r="F329" s="890"/>
      <c r="G329" s="935"/>
      <c r="H329" s="915"/>
      <c r="I329" s="915"/>
      <c r="J329" s="915"/>
      <c r="K329" s="916"/>
      <c r="L329" s="890"/>
      <c r="M329" s="890"/>
      <c r="N329" s="890"/>
      <c r="O329" s="917"/>
      <c r="P329" s="917"/>
      <c r="Q329" s="890"/>
      <c r="R329" s="890"/>
      <c r="S329" s="890"/>
      <c r="T329" s="890"/>
      <c r="U329" s="890"/>
      <c r="V329" s="917"/>
      <c r="W329" s="917"/>
      <c r="X329" s="918"/>
      <c r="Y329" s="917"/>
      <c r="Z329" s="918"/>
      <c r="AA329" s="918"/>
      <c r="AB329" s="917"/>
      <c r="AC329" s="917"/>
      <c r="AD329" s="917"/>
      <c r="AE329" s="917"/>
      <c r="AF329" s="917"/>
      <c r="AG329" s="917"/>
      <c r="AK329" s="917">
        <f t="shared" ref="AK329:AK375" si="49">IF(W329&lt;0,W329,0)</f>
        <v>0</v>
      </c>
      <c r="AL329" s="917"/>
      <c r="AM329" s="917">
        <f ca="1"/>
        <v>0</v>
      </c>
      <c r="AN329" s="917">
        <f ca="1"/>
        <v>0</v>
      </c>
      <c r="AO329" s="917">
        <f t="shared" ref="AO329:AO375" ca="1" si="50">SUM(AL329:AN329)</f>
        <v>0</v>
      </c>
      <c r="AP329" s="917">
        <f t="shared" ref="AP329:AP375" ca="1" si="51">AO329+AK329</f>
        <v>0</v>
      </c>
    </row>
    <row r="330" spans="1:42" ht="16">
      <c r="A330" s="30"/>
      <c r="B330" s="5"/>
      <c r="C330" s="30"/>
      <c r="D330" s="30"/>
      <c r="E330" s="5"/>
      <c r="F330" s="890"/>
      <c r="G330" s="935"/>
      <c r="H330" s="915"/>
      <c r="I330" s="915"/>
      <c r="J330" s="915"/>
      <c r="K330" s="916"/>
      <c r="L330" s="890"/>
      <c r="M330" s="890"/>
      <c r="N330" s="890"/>
      <c r="O330" s="917"/>
      <c r="P330" s="917"/>
      <c r="Q330" s="890"/>
      <c r="R330" s="890"/>
      <c r="S330" s="890"/>
      <c r="T330" s="890"/>
      <c r="U330" s="890"/>
      <c r="V330" s="917"/>
      <c r="W330" s="917"/>
      <c r="X330" s="918"/>
      <c r="Y330" s="917"/>
      <c r="Z330" s="918"/>
      <c r="AA330" s="918"/>
      <c r="AB330" s="917"/>
      <c r="AC330" s="917"/>
      <c r="AD330" s="917"/>
      <c r="AE330" s="917"/>
      <c r="AF330" s="917"/>
      <c r="AG330" s="917"/>
      <c r="AK330" s="917">
        <f t="shared" si="49"/>
        <v>0</v>
      </c>
      <c r="AL330" s="917"/>
      <c r="AM330" s="917">
        <f ca="1"/>
        <v>0</v>
      </c>
      <c r="AN330" s="917">
        <f ca="1"/>
        <v>0</v>
      </c>
      <c r="AO330" s="917">
        <f t="shared" ca="1" si="50"/>
        <v>0</v>
      </c>
      <c r="AP330" s="917">
        <f t="shared" ca="1" si="51"/>
        <v>0</v>
      </c>
    </row>
    <row r="331" spans="1:42" ht="16">
      <c r="A331" s="30"/>
      <c r="B331" s="5"/>
      <c r="C331" s="30"/>
      <c r="D331" s="30"/>
      <c r="E331" s="5"/>
      <c r="F331" s="890"/>
      <c r="G331" s="935"/>
      <c r="H331" s="915"/>
      <c r="I331" s="915"/>
      <c r="J331" s="915"/>
      <c r="K331" s="916"/>
      <c r="L331" s="890"/>
      <c r="M331" s="890"/>
      <c r="N331" s="890"/>
      <c r="O331" s="917"/>
      <c r="P331" s="917"/>
      <c r="Q331" s="890"/>
      <c r="R331" s="890"/>
      <c r="S331" s="890"/>
      <c r="T331" s="890"/>
      <c r="U331" s="890"/>
      <c r="V331" s="917"/>
      <c r="W331" s="917"/>
      <c r="X331" s="918"/>
      <c r="Y331" s="917"/>
      <c r="Z331" s="918"/>
      <c r="AA331" s="918"/>
      <c r="AB331" s="917"/>
      <c r="AC331" s="917"/>
      <c r="AD331" s="917"/>
      <c r="AE331" s="917"/>
      <c r="AF331" s="917"/>
      <c r="AG331" s="917"/>
      <c r="AK331" s="917">
        <f t="shared" si="49"/>
        <v>0</v>
      </c>
      <c r="AL331" s="917"/>
      <c r="AM331" s="917">
        <f ca="1"/>
        <v>0</v>
      </c>
      <c r="AN331" s="917">
        <f ca="1"/>
        <v>0</v>
      </c>
      <c r="AO331" s="917">
        <f t="shared" ca="1" si="50"/>
        <v>0</v>
      </c>
      <c r="AP331" s="917">
        <f t="shared" ca="1" si="51"/>
        <v>0</v>
      </c>
    </row>
    <row r="332" spans="1:42" ht="16">
      <c r="A332" s="30"/>
      <c r="B332" s="5"/>
      <c r="C332" s="30"/>
      <c r="D332" s="30"/>
      <c r="E332" s="5"/>
      <c r="F332" s="890"/>
      <c r="G332" s="935"/>
      <c r="H332" s="915"/>
      <c r="I332" s="915"/>
      <c r="J332" s="915"/>
      <c r="K332" s="916"/>
      <c r="L332" s="890"/>
      <c r="M332" s="890"/>
      <c r="N332" s="890"/>
      <c r="O332" s="917"/>
      <c r="P332" s="917"/>
      <c r="Q332" s="890"/>
      <c r="R332" s="890"/>
      <c r="S332" s="890"/>
      <c r="T332" s="890"/>
      <c r="U332" s="890"/>
      <c r="V332" s="917"/>
      <c r="W332" s="917"/>
      <c r="X332" s="918"/>
      <c r="Y332" s="917"/>
      <c r="Z332" s="918"/>
      <c r="AA332" s="918"/>
      <c r="AB332" s="917"/>
      <c r="AC332" s="917"/>
      <c r="AD332" s="917"/>
      <c r="AE332" s="917"/>
      <c r="AF332" s="917"/>
      <c r="AG332" s="917"/>
      <c r="AK332" s="917">
        <f t="shared" si="49"/>
        <v>0</v>
      </c>
      <c r="AL332" s="917"/>
      <c r="AM332" s="917">
        <f ca="1"/>
        <v>0</v>
      </c>
      <c r="AN332" s="917">
        <f ca="1"/>
        <v>0</v>
      </c>
      <c r="AO332" s="917">
        <f t="shared" ca="1" si="50"/>
        <v>0</v>
      </c>
      <c r="AP332" s="917">
        <f t="shared" ca="1" si="51"/>
        <v>0</v>
      </c>
    </row>
    <row r="333" spans="1:42" ht="16">
      <c r="A333" s="30"/>
      <c r="B333" s="5"/>
      <c r="C333" s="30"/>
      <c r="D333" s="30"/>
      <c r="E333" s="5"/>
      <c r="F333" s="890"/>
      <c r="G333" s="935"/>
      <c r="H333" s="915"/>
      <c r="I333" s="915"/>
      <c r="J333" s="915"/>
      <c r="K333" s="916"/>
      <c r="L333" s="890"/>
      <c r="M333" s="890"/>
      <c r="N333" s="890"/>
      <c r="O333" s="917"/>
      <c r="P333" s="917"/>
      <c r="Q333" s="890"/>
      <c r="R333" s="890"/>
      <c r="S333" s="890"/>
      <c r="T333" s="890"/>
      <c r="U333" s="890"/>
      <c r="V333" s="917"/>
      <c r="W333" s="917"/>
      <c r="X333" s="918"/>
      <c r="Y333" s="917"/>
      <c r="Z333" s="918"/>
      <c r="AA333" s="918"/>
      <c r="AB333" s="917"/>
      <c r="AC333" s="917"/>
      <c r="AD333" s="917"/>
      <c r="AE333" s="917"/>
      <c r="AF333" s="917"/>
      <c r="AG333" s="917"/>
      <c r="AK333" s="917">
        <f t="shared" si="49"/>
        <v>0</v>
      </c>
      <c r="AL333" s="917"/>
      <c r="AM333" s="917">
        <f ca="1"/>
        <v>0</v>
      </c>
      <c r="AN333" s="917">
        <f ca="1"/>
        <v>0</v>
      </c>
      <c r="AO333" s="917">
        <f t="shared" ca="1" si="50"/>
        <v>0</v>
      </c>
      <c r="AP333" s="917">
        <f t="shared" ca="1" si="51"/>
        <v>0</v>
      </c>
    </row>
    <row r="334" spans="1:42" ht="16">
      <c r="A334" s="30"/>
      <c r="B334" s="5"/>
      <c r="C334" s="30"/>
      <c r="D334" s="30"/>
      <c r="E334" s="5"/>
      <c r="F334" s="890"/>
      <c r="G334" s="935"/>
      <c r="H334" s="915"/>
      <c r="I334" s="915"/>
      <c r="J334" s="915"/>
      <c r="K334" s="916"/>
      <c r="L334" s="890"/>
      <c r="M334" s="890"/>
      <c r="N334" s="890"/>
      <c r="O334" s="917"/>
      <c r="P334" s="917"/>
      <c r="Q334" s="890"/>
      <c r="R334" s="890"/>
      <c r="S334" s="890"/>
      <c r="T334" s="890"/>
      <c r="U334" s="890"/>
      <c r="V334" s="917"/>
      <c r="W334" s="917"/>
      <c r="X334" s="918"/>
      <c r="Y334" s="917"/>
      <c r="Z334" s="918"/>
      <c r="AA334" s="918"/>
      <c r="AB334" s="917"/>
      <c r="AC334" s="917"/>
      <c r="AD334" s="917"/>
      <c r="AE334" s="917"/>
      <c r="AF334" s="917"/>
      <c r="AG334" s="917"/>
      <c r="AK334" s="917">
        <f t="shared" si="49"/>
        <v>0</v>
      </c>
      <c r="AL334" s="917"/>
      <c r="AM334" s="917">
        <f ca="1"/>
        <v>0</v>
      </c>
      <c r="AN334" s="917">
        <f ca="1"/>
        <v>0</v>
      </c>
      <c r="AO334" s="917">
        <f t="shared" ca="1" si="50"/>
        <v>0</v>
      </c>
      <c r="AP334" s="917">
        <f t="shared" ca="1" si="51"/>
        <v>0</v>
      </c>
    </row>
    <row r="335" spans="1:42" ht="16">
      <c r="A335" s="30"/>
      <c r="B335" s="5"/>
      <c r="C335" s="30"/>
      <c r="D335" s="30"/>
      <c r="E335" s="5"/>
      <c r="F335" s="890"/>
      <c r="G335" s="935"/>
      <c r="H335" s="915"/>
      <c r="I335" s="915"/>
      <c r="J335" s="915"/>
      <c r="K335" s="916"/>
      <c r="L335" s="890"/>
      <c r="M335" s="890"/>
      <c r="N335" s="890"/>
      <c r="O335" s="917"/>
      <c r="P335" s="917"/>
      <c r="Q335" s="890"/>
      <c r="R335" s="890"/>
      <c r="S335" s="890"/>
      <c r="T335" s="890"/>
      <c r="U335" s="890"/>
      <c r="V335" s="917"/>
      <c r="W335" s="917"/>
      <c r="X335" s="918"/>
      <c r="Y335" s="917"/>
      <c r="Z335" s="918"/>
      <c r="AA335" s="918"/>
      <c r="AB335" s="917"/>
      <c r="AC335" s="917"/>
      <c r="AD335" s="917"/>
      <c r="AE335" s="917"/>
      <c r="AF335" s="917"/>
      <c r="AG335" s="917"/>
      <c r="AK335" s="917">
        <f t="shared" si="49"/>
        <v>0</v>
      </c>
      <c r="AL335" s="917"/>
      <c r="AM335" s="917">
        <f ca="1"/>
        <v>0</v>
      </c>
      <c r="AN335" s="917">
        <f ca="1"/>
        <v>0</v>
      </c>
      <c r="AO335" s="917">
        <f t="shared" ca="1" si="50"/>
        <v>0</v>
      </c>
      <c r="AP335" s="917">
        <f t="shared" ca="1" si="51"/>
        <v>0</v>
      </c>
    </row>
    <row r="336" spans="1:42" ht="16">
      <c r="A336" s="30"/>
      <c r="B336" s="5"/>
      <c r="C336" s="30"/>
      <c r="D336" s="30"/>
      <c r="E336" s="5"/>
      <c r="F336" s="890"/>
      <c r="G336" s="935"/>
      <c r="H336" s="915"/>
      <c r="I336" s="915"/>
      <c r="J336" s="915"/>
      <c r="K336" s="916"/>
      <c r="L336" s="890"/>
      <c r="M336" s="890"/>
      <c r="N336" s="890"/>
      <c r="O336" s="917"/>
      <c r="P336" s="917"/>
      <c r="Q336" s="890"/>
      <c r="R336" s="890"/>
      <c r="S336" s="890"/>
      <c r="T336" s="890"/>
      <c r="U336" s="890"/>
      <c r="V336" s="917"/>
      <c r="W336" s="917"/>
      <c r="X336" s="918"/>
      <c r="Y336" s="917"/>
      <c r="Z336" s="918"/>
      <c r="AA336" s="918"/>
      <c r="AB336" s="917"/>
      <c r="AC336" s="917"/>
      <c r="AD336" s="917"/>
      <c r="AE336" s="917"/>
      <c r="AF336" s="917"/>
      <c r="AG336" s="917"/>
      <c r="AK336" s="917">
        <f t="shared" si="49"/>
        <v>0</v>
      </c>
      <c r="AL336" s="917"/>
      <c r="AM336" s="917">
        <f ca="1"/>
        <v>0</v>
      </c>
      <c r="AN336" s="917">
        <f ca="1"/>
        <v>0</v>
      </c>
      <c r="AO336" s="917">
        <f t="shared" ca="1" si="50"/>
        <v>0</v>
      </c>
      <c r="AP336" s="917">
        <f t="shared" ca="1" si="51"/>
        <v>0</v>
      </c>
    </row>
    <row r="337" spans="1:42" ht="16">
      <c r="A337" s="30"/>
      <c r="B337" s="5"/>
      <c r="C337" s="30"/>
      <c r="D337" s="30"/>
      <c r="E337" s="5"/>
      <c r="F337" s="890"/>
      <c r="G337" s="935"/>
      <c r="H337" s="915"/>
      <c r="I337" s="915"/>
      <c r="J337" s="915"/>
      <c r="K337" s="916"/>
      <c r="L337" s="890"/>
      <c r="M337" s="890"/>
      <c r="N337" s="890"/>
      <c r="O337" s="917"/>
      <c r="P337" s="917"/>
      <c r="Q337" s="890"/>
      <c r="R337" s="890"/>
      <c r="S337" s="890"/>
      <c r="T337" s="890"/>
      <c r="U337" s="890"/>
      <c r="V337" s="917"/>
      <c r="W337" s="917"/>
      <c r="X337" s="918"/>
      <c r="Y337" s="917"/>
      <c r="Z337" s="918"/>
      <c r="AA337" s="918"/>
      <c r="AB337" s="917"/>
      <c r="AC337" s="917"/>
      <c r="AD337" s="917"/>
      <c r="AE337" s="917"/>
      <c r="AF337" s="917"/>
      <c r="AG337" s="917"/>
      <c r="AK337" s="917">
        <f t="shared" si="49"/>
        <v>0</v>
      </c>
      <c r="AL337" s="917"/>
      <c r="AM337" s="917">
        <f ca="1"/>
        <v>0</v>
      </c>
      <c r="AN337" s="917">
        <f ca="1"/>
        <v>0</v>
      </c>
      <c r="AO337" s="917">
        <f t="shared" ca="1" si="50"/>
        <v>0</v>
      </c>
      <c r="AP337" s="917">
        <f t="shared" ca="1" si="51"/>
        <v>0</v>
      </c>
    </row>
    <row r="338" spans="1:42" ht="16">
      <c r="A338" s="30"/>
      <c r="B338" s="5"/>
      <c r="C338" s="30"/>
      <c r="D338" s="30"/>
      <c r="E338" s="5"/>
      <c r="F338" s="890"/>
      <c r="G338" s="935"/>
      <c r="H338" s="915"/>
      <c r="I338" s="915"/>
      <c r="J338" s="915"/>
      <c r="K338" s="916"/>
      <c r="L338" s="890"/>
      <c r="M338" s="890"/>
      <c r="N338" s="890"/>
      <c r="O338" s="917"/>
      <c r="P338" s="917"/>
      <c r="Q338" s="890"/>
      <c r="R338" s="890"/>
      <c r="S338" s="890"/>
      <c r="T338" s="890"/>
      <c r="U338" s="890"/>
      <c r="V338" s="917"/>
      <c r="W338" s="917"/>
      <c r="X338" s="918"/>
      <c r="Y338" s="917"/>
      <c r="Z338" s="918"/>
      <c r="AA338" s="918"/>
      <c r="AB338" s="917"/>
      <c r="AC338" s="917"/>
      <c r="AD338" s="917"/>
      <c r="AE338" s="917"/>
      <c r="AF338" s="917"/>
      <c r="AG338" s="917"/>
      <c r="AK338" s="917">
        <f t="shared" si="49"/>
        <v>0</v>
      </c>
      <c r="AL338" s="917"/>
      <c r="AM338" s="917">
        <f ca="1"/>
        <v>0</v>
      </c>
      <c r="AN338" s="917">
        <f ca="1"/>
        <v>0</v>
      </c>
      <c r="AO338" s="917">
        <f t="shared" ca="1" si="50"/>
        <v>0</v>
      </c>
      <c r="AP338" s="917">
        <f t="shared" ca="1" si="51"/>
        <v>0</v>
      </c>
    </row>
    <row r="339" spans="1:42" ht="16">
      <c r="A339" s="30"/>
      <c r="B339" s="5"/>
      <c r="C339" s="30"/>
      <c r="D339" s="30"/>
      <c r="E339" s="5"/>
      <c r="F339" s="890"/>
      <c r="G339" s="935"/>
      <c r="H339" s="915"/>
      <c r="I339" s="915"/>
      <c r="J339" s="915"/>
      <c r="K339" s="916"/>
      <c r="L339" s="890"/>
      <c r="M339" s="890"/>
      <c r="N339" s="890"/>
      <c r="O339" s="917"/>
      <c r="P339" s="917"/>
      <c r="Q339" s="890"/>
      <c r="R339" s="890"/>
      <c r="S339" s="890"/>
      <c r="T339" s="890"/>
      <c r="U339" s="890"/>
      <c r="V339" s="917"/>
      <c r="W339" s="917"/>
      <c r="X339" s="918"/>
      <c r="Y339" s="917"/>
      <c r="Z339" s="918"/>
      <c r="AA339" s="918"/>
      <c r="AB339" s="917"/>
      <c r="AC339" s="917"/>
      <c r="AD339" s="917"/>
      <c r="AE339" s="917"/>
      <c r="AF339" s="917"/>
      <c r="AG339" s="917"/>
      <c r="AK339" s="917">
        <f t="shared" si="49"/>
        <v>0</v>
      </c>
      <c r="AL339" s="917"/>
      <c r="AM339" s="917">
        <f ca="1"/>
        <v>0</v>
      </c>
      <c r="AN339" s="917">
        <f ca="1"/>
        <v>0</v>
      </c>
      <c r="AO339" s="917">
        <f t="shared" ca="1" si="50"/>
        <v>0</v>
      </c>
      <c r="AP339" s="917">
        <f t="shared" ca="1" si="51"/>
        <v>0</v>
      </c>
    </row>
    <row r="340" spans="1:42" ht="16">
      <c r="A340" s="30"/>
      <c r="B340" s="5"/>
      <c r="C340" s="30"/>
      <c r="D340" s="30"/>
      <c r="E340" s="5"/>
      <c r="F340" s="890"/>
      <c r="G340" s="935"/>
      <c r="H340" s="915"/>
      <c r="I340" s="915"/>
      <c r="J340" s="915"/>
      <c r="K340" s="916"/>
      <c r="L340" s="890"/>
      <c r="M340" s="890"/>
      <c r="N340" s="890"/>
      <c r="O340" s="917"/>
      <c r="P340" s="917"/>
      <c r="Q340" s="890"/>
      <c r="R340" s="890"/>
      <c r="S340" s="890"/>
      <c r="T340" s="890"/>
      <c r="U340" s="890"/>
      <c r="V340" s="917"/>
      <c r="W340" s="917"/>
      <c r="X340" s="918"/>
      <c r="Y340" s="917"/>
      <c r="Z340" s="918"/>
      <c r="AA340" s="918"/>
      <c r="AB340" s="917"/>
      <c r="AC340" s="917"/>
      <c r="AD340" s="917"/>
      <c r="AE340" s="917"/>
      <c r="AF340" s="917"/>
      <c r="AG340" s="917"/>
      <c r="AK340" s="917">
        <f t="shared" si="49"/>
        <v>0</v>
      </c>
      <c r="AL340" s="917"/>
      <c r="AM340" s="917">
        <f ca="1"/>
        <v>0</v>
      </c>
      <c r="AN340" s="917">
        <f ca="1"/>
        <v>0</v>
      </c>
      <c r="AO340" s="917">
        <f t="shared" ca="1" si="50"/>
        <v>0</v>
      </c>
      <c r="AP340" s="917">
        <f t="shared" ca="1" si="51"/>
        <v>0</v>
      </c>
    </row>
    <row r="341" spans="1:42" ht="16">
      <c r="A341" s="30"/>
      <c r="B341" s="5"/>
      <c r="C341" s="30"/>
      <c r="D341" s="30"/>
      <c r="E341" s="5"/>
      <c r="F341" s="890"/>
      <c r="G341" s="935"/>
      <c r="H341" s="915"/>
      <c r="I341" s="915"/>
      <c r="J341" s="915"/>
      <c r="K341" s="916"/>
      <c r="L341" s="890"/>
      <c r="M341" s="890"/>
      <c r="N341" s="890"/>
      <c r="O341" s="917"/>
      <c r="P341" s="917"/>
      <c r="Q341" s="890"/>
      <c r="R341" s="890"/>
      <c r="S341" s="890"/>
      <c r="T341" s="890"/>
      <c r="U341" s="890"/>
      <c r="V341" s="917"/>
      <c r="W341" s="917"/>
      <c r="X341" s="918"/>
      <c r="Y341" s="917"/>
      <c r="Z341" s="918"/>
      <c r="AA341" s="918"/>
      <c r="AB341" s="917"/>
      <c r="AC341" s="917"/>
      <c r="AD341" s="917"/>
      <c r="AE341" s="917"/>
      <c r="AF341" s="917"/>
      <c r="AG341" s="917"/>
      <c r="AK341" s="917">
        <f t="shared" si="49"/>
        <v>0</v>
      </c>
      <c r="AL341" s="917"/>
      <c r="AM341" s="917">
        <f ca="1"/>
        <v>0</v>
      </c>
      <c r="AN341" s="917">
        <f ca="1"/>
        <v>0</v>
      </c>
      <c r="AO341" s="917">
        <f t="shared" ca="1" si="50"/>
        <v>0</v>
      </c>
      <c r="AP341" s="917">
        <f t="shared" ca="1" si="51"/>
        <v>0</v>
      </c>
    </row>
    <row r="342" spans="1:42" ht="16">
      <c r="A342" s="30"/>
      <c r="B342" s="5"/>
      <c r="C342" s="30"/>
      <c r="D342" s="30"/>
      <c r="E342" s="5"/>
      <c r="F342" s="890"/>
      <c r="G342" s="935"/>
      <c r="H342" s="915"/>
      <c r="I342" s="915"/>
      <c r="J342" s="915"/>
      <c r="K342" s="916"/>
      <c r="L342" s="890"/>
      <c r="M342" s="890"/>
      <c r="N342" s="890"/>
      <c r="O342" s="917"/>
      <c r="P342" s="917"/>
      <c r="Q342" s="890"/>
      <c r="R342" s="890"/>
      <c r="S342" s="890"/>
      <c r="T342" s="890"/>
      <c r="U342" s="890"/>
      <c r="V342" s="917"/>
      <c r="W342" s="917"/>
      <c r="X342" s="918"/>
      <c r="Y342" s="917"/>
      <c r="Z342" s="918"/>
      <c r="AA342" s="918"/>
      <c r="AB342" s="917"/>
      <c r="AC342" s="917"/>
      <c r="AD342" s="917"/>
      <c r="AE342" s="917"/>
      <c r="AF342" s="917"/>
      <c r="AG342" s="917"/>
      <c r="AK342" s="917">
        <f t="shared" si="49"/>
        <v>0</v>
      </c>
      <c r="AL342" s="917"/>
      <c r="AM342" s="917">
        <f ca="1"/>
        <v>0</v>
      </c>
      <c r="AN342" s="917">
        <f ca="1"/>
        <v>0</v>
      </c>
      <c r="AO342" s="917">
        <f t="shared" ca="1" si="50"/>
        <v>0</v>
      </c>
      <c r="AP342" s="917">
        <f t="shared" ca="1" si="51"/>
        <v>0</v>
      </c>
    </row>
    <row r="343" spans="1:42" ht="16">
      <c r="A343" s="30"/>
      <c r="B343" s="5"/>
      <c r="C343" s="30"/>
      <c r="D343" s="30"/>
      <c r="E343" s="5"/>
      <c r="F343" s="890"/>
      <c r="G343" s="935"/>
      <c r="H343" s="915"/>
      <c r="I343" s="915"/>
      <c r="J343" s="915"/>
      <c r="K343" s="916"/>
      <c r="L343" s="890"/>
      <c r="M343" s="890"/>
      <c r="N343" s="890"/>
      <c r="O343" s="917"/>
      <c r="P343" s="917"/>
      <c r="Q343" s="890"/>
      <c r="R343" s="890"/>
      <c r="S343" s="890"/>
      <c r="T343" s="890"/>
      <c r="U343" s="890"/>
      <c r="V343" s="917"/>
      <c r="W343" s="917"/>
      <c r="X343" s="918"/>
      <c r="Y343" s="917"/>
      <c r="Z343" s="918"/>
      <c r="AA343" s="918"/>
      <c r="AB343" s="917"/>
      <c r="AC343" s="917"/>
      <c r="AD343" s="917"/>
      <c r="AE343" s="917"/>
      <c r="AF343" s="917"/>
      <c r="AG343" s="917"/>
      <c r="AK343" s="917">
        <f t="shared" si="49"/>
        <v>0</v>
      </c>
      <c r="AL343" s="917"/>
      <c r="AM343" s="917">
        <f ca="1"/>
        <v>0</v>
      </c>
      <c r="AN343" s="917">
        <f ca="1"/>
        <v>0</v>
      </c>
      <c r="AO343" s="917">
        <f t="shared" ca="1" si="50"/>
        <v>0</v>
      </c>
      <c r="AP343" s="917">
        <f t="shared" ca="1" si="51"/>
        <v>0</v>
      </c>
    </row>
    <row r="344" spans="1:42" ht="16">
      <c r="A344" s="30"/>
      <c r="B344" s="5"/>
      <c r="C344" s="30"/>
      <c r="D344" s="30"/>
      <c r="E344" s="5"/>
      <c r="F344" s="890"/>
      <c r="G344" s="935"/>
      <c r="H344" s="915"/>
      <c r="I344" s="915"/>
      <c r="J344" s="915"/>
      <c r="K344" s="916"/>
      <c r="L344" s="890"/>
      <c r="M344" s="890"/>
      <c r="N344" s="890"/>
      <c r="O344" s="917"/>
      <c r="P344" s="917"/>
      <c r="Q344" s="890"/>
      <c r="R344" s="890"/>
      <c r="S344" s="890"/>
      <c r="T344" s="890"/>
      <c r="U344" s="890"/>
      <c r="V344" s="917"/>
      <c r="W344" s="917"/>
      <c r="X344" s="918"/>
      <c r="Y344" s="917"/>
      <c r="Z344" s="918"/>
      <c r="AA344" s="918"/>
      <c r="AB344" s="917"/>
      <c r="AC344" s="917"/>
      <c r="AD344" s="917"/>
      <c r="AE344" s="917"/>
      <c r="AF344" s="917"/>
      <c r="AG344" s="917"/>
      <c r="AK344" s="917">
        <f t="shared" si="49"/>
        <v>0</v>
      </c>
      <c r="AL344" s="917"/>
      <c r="AM344" s="917">
        <f ca="1"/>
        <v>0</v>
      </c>
      <c r="AN344" s="917">
        <f ca="1"/>
        <v>0</v>
      </c>
      <c r="AO344" s="917">
        <f t="shared" ca="1" si="50"/>
        <v>0</v>
      </c>
      <c r="AP344" s="917">
        <f t="shared" ca="1" si="51"/>
        <v>0</v>
      </c>
    </row>
    <row r="345" spans="1:42" ht="16">
      <c r="A345" s="30"/>
      <c r="B345" s="5"/>
      <c r="C345" s="30"/>
      <c r="D345" s="30"/>
      <c r="E345" s="5"/>
      <c r="F345" s="890"/>
      <c r="G345" s="935"/>
      <c r="H345" s="915"/>
      <c r="I345" s="915"/>
      <c r="J345" s="915"/>
      <c r="K345" s="916"/>
      <c r="L345" s="890"/>
      <c r="M345" s="890"/>
      <c r="N345" s="890"/>
      <c r="O345" s="917"/>
      <c r="P345" s="917"/>
      <c r="Q345" s="890"/>
      <c r="R345" s="890"/>
      <c r="S345" s="890"/>
      <c r="T345" s="890"/>
      <c r="U345" s="890"/>
      <c r="V345" s="917"/>
      <c r="W345" s="917"/>
      <c r="X345" s="918"/>
      <c r="Y345" s="917"/>
      <c r="Z345" s="918"/>
      <c r="AA345" s="918"/>
      <c r="AB345" s="917"/>
      <c r="AC345" s="917"/>
      <c r="AD345" s="917"/>
      <c r="AE345" s="917"/>
      <c r="AF345" s="917"/>
      <c r="AG345" s="917"/>
      <c r="AK345" s="917">
        <f t="shared" si="49"/>
        <v>0</v>
      </c>
      <c r="AL345" s="917"/>
      <c r="AM345" s="917">
        <f ca="1"/>
        <v>0</v>
      </c>
      <c r="AN345" s="917">
        <f ca="1"/>
        <v>0</v>
      </c>
      <c r="AO345" s="917">
        <f t="shared" ca="1" si="50"/>
        <v>0</v>
      </c>
      <c r="AP345" s="917">
        <f t="shared" ca="1" si="51"/>
        <v>0</v>
      </c>
    </row>
    <row r="346" spans="1:42" ht="16">
      <c r="A346" s="30"/>
      <c r="B346" s="5"/>
      <c r="C346" s="30"/>
      <c r="D346" s="30"/>
      <c r="E346" s="5"/>
      <c r="F346" s="890"/>
      <c r="G346" s="935"/>
      <c r="H346" s="915"/>
      <c r="I346" s="915"/>
      <c r="J346" s="915"/>
      <c r="K346" s="916"/>
      <c r="L346" s="890"/>
      <c r="M346" s="890"/>
      <c r="N346" s="890"/>
      <c r="O346" s="917"/>
      <c r="P346" s="917"/>
      <c r="Q346" s="890"/>
      <c r="R346" s="890"/>
      <c r="S346" s="890"/>
      <c r="T346" s="890"/>
      <c r="U346" s="890"/>
      <c r="V346" s="917"/>
      <c r="W346" s="917"/>
      <c r="X346" s="918"/>
      <c r="Y346" s="917"/>
      <c r="Z346" s="918"/>
      <c r="AA346" s="918"/>
      <c r="AB346" s="917"/>
      <c r="AC346" s="917"/>
      <c r="AD346" s="917"/>
      <c r="AE346" s="917"/>
      <c r="AF346" s="917"/>
      <c r="AG346" s="917"/>
      <c r="AK346" s="917">
        <f t="shared" si="49"/>
        <v>0</v>
      </c>
      <c r="AL346" s="917"/>
      <c r="AM346" s="917">
        <f ca="1"/>
        <v>0</v>
      </c>
      <c r="AN346" s="917">
        <f ca="1"/>
        <v>0</v>
      </c>
      <c r="AO346" s="917">
        <f t="shared" ca="1" si="50"/>
        <v>0</v>
      </c>
      <c r="AP346" s="917">
        <f t="shared" ca="1" si="51"/>
        <v>0</v>
      </c>
    </row>
    <row r="347" spans="1:42" ht="16">
      <c r="A347" s="30"/>
      <c r="B347" s="5"/>
      <c r="C347" s="30"/>
      <c r="D347" s="30"/>
      <c r="E347" s="5"/>
      <c r="F347" s="890"/>
      <c r="G347" s="935"/>
      <c r="H347" s="915"/>
      <c r="I347" s="915"/>
      <c r="J347" s="915"/>
      <c r="K347" s="916"/>
      <c r="L347" s="890"/>
      <c r="M347" s="890"/>
      <c r="N347" s="890"/>
      <c r="O347" s="917"/>
      <c r="P347" s="917"/>
      <c r="Q347" s="890"/>
      <c r="R347" s="890"/>
      <c r="S347" s="890"/>
      <c r="T347" s="890"/>
      <c r="U347" s="890"/>
      <c r="V347" s="917"/>
      <c r="W347" s="917"/>
      <c r="X347" s="918"/>
      <c r="Y347" s="917"/>
      <c r="Z347" s="918"/>
      <c r="AA347" s="918"/>
      <c r="AB347" s="917"/>
      <c r="AC347" s="917"/>
      <c r="AD347" s="917"/>
      <c r="AE347" s="917"/>
      <c r="AF347" s="917"/>
      <c r="AG347" s="917"/>
      <c r="AK347" s="917">
        <f t="shared" si="49"/>
        <v>0</v>
      </c>
      <c r="AL347" s="917"/>
      <c r="AM347" s="917">
        <f ca="1"/>
        <v>0</v>
      </c>
      <c r="AN347" s="917">
        <f ca="1"/>
        <v>0</v>
      </c>
      <c r="AO347" s="917">
        <f t="shared" ca="1" si="50"/>
        <v>0</v>
      </c>
      <c r="AP347" s="917">
        <f t="shared" ca="1" si="51"/>
        <v>0</v>
      </c>
    </row>
    <row r="348" spans="1:42" ht="16">
      <c r="A348" s="30"/>
      <c r="B348" s="5"/>
      <c r="C348" s="30"/>
      <c r="D348" s="30"/>
      <c r="E348" s="5"/>
      <c r="F348" s="890"/>
      <c r="G348" s="935"/>
      <c r="H348" s="915"/>
      <c r="I348" s="915"/>
      <c r="J348" s="915"/>
      <c r="K348" s="916"/>
      <c r="L348" s="890"/>
      <c r="M348" s="890"/>
      <c r="N348" s="890"/>
      <c r="O348" s="917"/>
      <c r="P348" s="917"/>
      <c r="Q348" s="890"/>
      <c r="R348" s="890"/>
      <c r="S348" s="890"/>
      <c r="T348" s="890"/>
      <c r="U348" s="890"/>
      <c r="V348" s="917"/>
      <c r="W348" s="917"/>
      <c r="X348" s="918"/>
      <c r="Y348" s="917"/>
      <c r="Z348" s="918"/>
      <c r="AA348" s="918"/>
      <c r="AB348" s="917"/>
      <c r="AC348" s="917"/>
      <c r="AD348" s="917"/>
      <c r="AE348" s="917"/>
      <c r="AF348" s="917"/>
      <c r="AG348" s="917"/>
      <c r="AK348" s="917">
        <f t="shared" si="49"/>
        <v>0</v>
      </c>
      <c r="AL348" s="917"/>
      <c r="AM348" s="917">
        <f ca="1"/>
        <v>0</v>
      </c>
      <c r="AN348" s="917">
        <f ca="1"/>
        <v>0</v>
      </c>
      <c r="AO348" s="917">
        <f t="shared" ca="1" si="50"/>
        <v>0</v>
      </c>
      <c r="AP348" s="917">
        <f t="shared" ca="1" si="51"/>
        <v>0</v>
      </c>
    </row>
    <row r="349" spans="1:42" ht="16">
      <c r="A349" s="30"/>
      <c r="B349" s="5"/>
      <c r="C349" s="30"/>
      <c r="D349" s="30"/>
      <c r="E349" s="5"/>
      <c r="F349" s="890"/>
      <c r="G349" s="935"/>
      <c r="H349" s="915"/>
      <c r="I349" s="915"/>
      <c r="J349" s="915"/>
      <c r="K349" s="916"/>
      <c r="L349" s="890"/>
      <c r="M349" s="890"/>
      <c r="N349" s="890"/>
      <c r="O349" s="917"/>
      <c r="P349" s="917"/>
      <c r="Q349" s="890"/>
      <c r="R349" s="890"/>
      <c r="S349" s="890"/>
      <c r="T349" s="890"/>
      <c r="U349" s="890"/>
      <c r="V349" s="917"/>
      <c r="W349" s="917"/>
      <c r="X349" s="918"/>
      <c r="Y349" s="917"/>
      <c r="Z349" s="918"/>
      <c r="AA349" s="918"/>
      <c r="AB349" s="917"/>
      <c r="AC349" s="917"/>
      <c r="AD349" s="917"/>
      <c r="AE349" s="917"/>
      <c r="AF349" s="917"/>
      <c r="AG349" s="917"/>
      <c r="AK349" s="917">
        <f t="shared" si="49"/>
        <v>0</v>
      </c>
      <c r="AL349" s="917"/>
      <c r="AM349" s="917">
        <f ca="1"/>
        <v>0</v>
      </c>
      <c r="AN349" s="917">
        <f ca="1"/>
        <v>0</v>
      </c>
      <c r="AO349" s="917">
        <f t="shared" ca="1" si="50"/>
        <v>0</v>
      </c>
      <c r="AP349" s="917">
        <f t="shared" ca="1" si="51"/>
        <v>0</v>
      </c>
    </row>
    <row r="350" spans="1:42" ht="16">
      <c r="A350" s="30"/>
      <c r="B350" s="5"/>
      <c r="C350" s="30"/>
      <c r="D350" s="30"/>
      <c r="E350" s="5"/>
      <c r="F350" s="890"/>
      <c r="G350" s="935"/>
      <c r="H350" s="915"/>
      <c r="I350" s="915"/>
      <c r="J350" s="915"/>
      <c r="K350" s="916"/>
      <c r="L350" s="890"/>
      <c r="M350" s="890"/>
      <c r="N350" s="890"/>
      <c r="O350" s="917"/>
      <c r="P350" s="917"/>
      <c r="Q350" s="890"/>
      <c r="R350" s="890"/>
      <c r="S350" s="890"/>
      <c r="T350" s="890"/>
      <c r="U350" s="890"/>
      <c r="V350" s="917"/>
      <c r="W350" s="917"/>
      <c r="X350" s="918"/>
      <c r="Y350" s="917"/>
      <c r="Z350" s="918"/>
      <c r="AA350" s="918"/>
      <c r="AB350" s="917"/>
      <c r="AC350" s="917"/>
      <c r="AD350" s="917"/>
      <c r="AE350" s="917"/>
      <c r="AF350" s="917"/>
      <c r="AG350" s="917"/>
      <c r="AK350" s="917">
        <f t="shared" si="49"/>
        <v>0</v>
      </c>
      <c r="AL350" s="917"/>
      <c r="AM350" s="917">
        <f ca="1"/>
        <v>0</v>
      </c>
      <c r="AN350" s="917">
        <f ca="1"/>
        <v>0</v>
      </c>
      <c r="AO350" s="917">
        <f t="shared" ca="1" si="50"/>
        <v>0</v>
      </c>
      <c r="AP350" s="917">
        <f t="shared" ca="1" si="51"/>
        <v>0</v>
      </c>
    </row>
    <row r="351" spans="1:42" ht="16">
      <c r="A351" s="30"/>
      <c r="B351" s="5"/>
      <c r="C351" s="30"/>
      <c r="D351" s="30"/>
      <c r="E351" s="5"/>
      <c r="F351" s="890"/>
      <c r="G351" s="935"/>
      <c r="H351" s="915"/>
      <c r="I351" s="915"/>
      <c r="J351" s="915"/>
      <c r="K351" s="916"/>
      <c r="L351" s="890"/>
      <c r="M351" s="890"/>
      <c r="N351" s="890"/>
      <c r="O351" s="917"/>
      <c r="P351" s="917"/>
      <c r="Q351" s="890"/>
      <c r="R351" s="890"/>
      <c r="S351" s="890"/>
      <c r="T351" s="890"/>
      <c r="U351" s="890"/>
      <c r="V351" s="917"/>
      <c r="W351" s="917"/>
      <c r="X351" s="918"/>
      <c r="Y351" s="917"/>
      <c r="Z351" s="918"/>
      <c r="AA351" s="918"/>
      <c r="AB351" s="917"/>
      <c r="AC351" s="917"/>
      <c r="AD351" s="917"/>
      <c r="AE351" s="917"/>
      <c r="AF351" s="917"/>
      <c r="AG351" s="917"/>
      <c r="AK351" s="917">
        <f t="shared" si="49"/>
        <v>0</v>
      </c>
      <c r="AL351" s="917"/>
      <c r="AM351" s="917">
        <f ca="1"/>
        <v>0</v>
      </c>
      <c r="AN351" s="917">
        <f ca="1"/>
        <v>0</v>
      </c>
      <c r="AO351" s="917">
        <f t="shared" ca="1" si="50"/>
        <v>0</v>
      </c>
      <c r="AP351" s="917">
        <f t="shared" ca="1" si="51"/>
        <v>0</v>
      </c>
    </row>
    <row r="352" spans="1:42" ht="16">
      <c r="A352" s="30"/>
      <c r="B352" s="5"/>
      <c r="C352" s="30"/>
      <c r="D352" s="30"/>
      <c r="E352" s="5"/>
      <c r="F352" s="890"/>
      <c r="G352" s="935"/>
      <c r="H352" s="915"/>
      <c r="I352" s="915"/>
      <c r="J352" s="915"/>
      <c r="K352" s="916"/>
      <c r="L352" s="890"/>
      <c r="M352" s="890"/>
      <c r="N352" s="890"/>
      <c r="O352" s="917"/>
      <c r="P352" s="917"/>
      <c r="Q352" s="890"/>
      <c r="R352" s="890"/>
      <c r="S352" s="890"/>
      <c r="T352" s="890"/>
      <c r="U352" s="890"/>
      <c r="V352" s="917"/>
      <c r="W352" s="917"/>
      <c r="X352" s="918"/>
      <c r="Y352" s="917"/>
      <c r="Z352" s="918"/>
      <c r="AA352" s="918"/>
      <c r="AB352" s="917"/>
      <c r="AC352" s="917"/>
      <c r="AD352" s="917"/>
      <c r="AE352" s="917"/>
      <c r="AF352" s="917"/>
      <c r="AG352" s="917"/>
      <c r="AK352" s="917">
        <f t="shared" si="49"/>
        <v>0</v>
      </c>
      <c r="AL352" s="917"/>
      <c r="AM352" s="917">
        <f ca="1"/>
        <v>0</v>
      </c>
      <c r="AN352" s="917">
        <f ca="1"/>
        <v>0</v>
      </c>
      <c r="AO352" s="917">
        <f t="shared" ca="1" si="50"/>
        <v>0</v>
      </c>
      <c r="AP352" s="917">
        <f t="shared" ca="1" si="51"/>
        <v>0</v>
      </c>
    </row>
    <row r="353" spans="1:42" ht="16">
      <c r="A353" s="30"/>
      <c r="B353" s="5"/>
      <c r="C353" s="30"/>
      <c r="D353" s="30"/>
      <c r="E353" s="5"/>
      <c r="F353" s="890"/>
      <c r="G353" s="935"/>
      <c r="H353" s="915"/>
      <c r="I353" s="915"/>
      <c r="J353" s="915"/>
      <c r="K353" s="916"/>
      <c r="L353" s="890"/>
      <c r="M353" s="890"/>
      <c r="N353" s="890"/>
      <c r="O353" s="917"/>
      <c r="P353" s="917"/>
      <c r="Q353" s="890"/>
      <c r="R353" s="890"/>
      <c r="S353" s="890"/>
      <c r="T353" s="890"/>
      <c r="U353" s="890"/>
      <c r="V353" s="917"/>
      <c r="W353" s="917"/>
      <c r="X353" s="918"/>
      <c r="Y353" s="917"/>
      <c r="Z353" s="918"/>
      <c r="AA353" s="918"/>
      <c r="AB353" s="917"/>
      <c r="AC353" s="917"/>
      <c r="AD353" s="917"/>
      <c r="AE353" s="917"/>
      <c r="AF353" s="917"/>
      <c r="AG353" s="917"/>
      <c r="AK353" s="917">
        <f t="shared" si="49"/>
        <v>0</v>
      </c>
      <c r="AL353" s="917"/>
      <c r="AM353" s="917">
        <f ca="1"/>
        <v>0</v>
      </c>
      <c r="AN353" s="917">
        <f ca="1"/>
        <v>0</v>
      </c>
      <c r="AO353" s="917">
        <f t="shared" ca="1" si="50"/>
        <v>0</v>
      </c>
      <c r="AP353" s="917">
        <f t="shared" ca="1" si="51"/>
        <v>0</v>
      </c>
    </row>
    <row r="354" spans="1:42" ht="16">
      <c r="A354" s="30"/>
      <c r="B354" s="5"/>
      <c r="C354" s="30"/>
      <c r="D354" s="30"/>
      <c r="E354" s="5"/>
      <c r="F354" s="890"/>
      <c r="G354" s="935"/>
      <c r="H354" s="915"/>
      <c r="I354" s="915"/>
      <c r="J354" s="915"/>
      <c r="K354" s="916"/>
      <c r="L354" s="890"/>
      <c r="M354" s="890"/>
      <c r="N354" s="890"/>
      <c r="O354" s="917"/>
      <c r="P354" s="917"/>
      <c r="Q354" s="890"/>
      <c r="R354" s="890"/>
      <c r="S354" s="890"/>
      <c r="T354" s="890"/>
      <c r="U354" s="890"/>
      <c r="V354" s="917"/>
      <c r="W354" s="917"/>
      <c r="X354" s="918"/>
      <c r="Y354" s="917"/>
      <c r="Z354" s="918"/>
      <c r="AA354" s="918"/>
      <c r="AB354" s="917"/>
      <c r="AC354" s="917"/>
      <c r="AD354" s="917"/>
      <c r="AE354" s="917"/>
      <c r="AF354" s="917"/>
      <c r="AG354" s="917"/>
      <c r="AK354" s="917">
        <f t="shared" si="49"/>
        <v>0</v>
      </c>
      <c r="AL354" s="917"/>
      <c r="AM354" s="917">
        <f ca="1"/>
        <v>0</v>
      </c>
      <c r="AN354" s="917">
        <f ca="1"/>
        <v>0</v>
      </c>
      <c r="AO354" s="917">
        <f t="shared" ca="1" si="50"/>
        <v>0</v>
      </c>
      <c r="AP354" s="917">
        <f t="shared" ca="1" si="51"/>
        <v>0</v>
      </c>
    </row>
    <row r="355" spans="1:42" ht="16">
      <c r="A355" s="30"/>
      <c r="B355" s="5"/>
      <c r="C355" s="30"/>
      <c r="D355" s="30"/>
      <c r="E355" s="5"/>
      <c r="F355" s="890"/>
      <c r="G355" s="935"/>
      <c r="H355" s="915"/>
      <c r="I355" s="915"/>
      <c r="J355" s="915"/>
      <c r="K355" s="916"/>
      <c r="L355" s="890"/>
      <c r="M355" s="890"/>
      <c r="N355" s="890"/>
      <c r="O355" s="917"/>
      <c r="P355" s="917"/>
      <c r="Q355" s="890"/>
      <c r="R355" s="890"/>
      <c r="S355" s="890"/>
      <c r="T355" s="890"/>
      <c r="U355" s="890"/>
      <c r="V355" s="917"/>
      <c r="W355" s="917"/>
      <c r="X355" s="918"/>
      <c r="Y355" s="917"/>
      <c r="Z355" s="918"/>
      <c r="AA355" s="918"/>
      <c r="AB355" s="917"/>
      <c r="AC355" s="917"/>
      <c r="AD355" s="917"/>
      <c r="AE355" s="917"/>
      <c r="AF355" s="917"/>
      <c r="AG355" s="917"/>
      <c r="AK355" s="917">
        <f t="shared" si="49"/>
        <v>0</v>
      </c>
      <c r="AL355" s="917"/>
      <c r="AM355" s="917">
        <f ca="1"/>
        <v>0</v>
      </c>
      <c r="AN355" s="917">
        <f ca="1"/>
        <v>0</v>
      </c>
      <c r="AO355" s="917">
        <f t="shared" ca="1" si="50"/>
        <v>0</v>
      </c>
      <c r="AP355" s="917">
        <f t="shared" ca="1" si="51"/>
        <v>0</v>
      </c>
    </row>
    <row r="356" spans="1:42" ht="16">
      <c r="A356" s="30"/>
      <c r="B356" s="5"/>
      <c r="C356" s="30"/>
      <c r="D356" s="30"/>
      <c r="E356" s="5"/>
      <c r="F356" s="890"/>
      <c r="G356" s="935"/>
      <c r="H356" s="915"/>
      <c r="I356" s="915"/>
      <c r="J356" s="915"/>
      <c r="K356" s="916"/>
      <c r="L356" s="890"/>
      <c r="M356" s="890"/>
      <c r="N356" s="890"/>
      <c r="O356" s="917"/>
      <c r="P356" s="917"/>
      <c r="Q356" s="890"/>
      <c r="R356" s="890"/>
      <c r="S356" s="890"/>
      <c r="T356" s="890"/>
      <c r="U356" s="890"/>
      <c r="V356" s="917"/>
      <c r="W356" s="917"/>
      <c r="X356" s="918"/>
      <c r="Y356" s="917"/>
      <c r="Z356" s="918"/>
      <c r="AA356" s="918"/>
      <c r="AB356" s="917"/>
      <c r="AC356" s="917"/>
      <c r="AD356" s="917"/>
      <c r="AE356" s="917"/>
      <c r="AF356" s="917"/>
      <c r="AG356" s="917"/>
      <c r="AK356" s="917">
        <f t="shared" si="49"/>
        <v>0</v>
      </c>
      <c r="AL356" s="917"/>
      <c r="AM356" s="917">
        <f ca="1"/>
        <v>0</v>
      </c>
      <c r="AN356" s="917">
        <f ca="1"/>
        <v>0</v>
      </c>
      <c r="AO356" s="917">
        <f t="shared" ca="1" si="50"/>
        <v>0</v>
      </c>
      <c r="AP356" s="917">
        <f t="shared" ca="1" si="51"/>
        <v>0</v>
      </c>
    </row>
    <row r="357" spans="1:42" ht="16">
      <c r="A357" s="30"/>
      <c r="B357" s="5"/>
      <c r="C357" s="30"/>
      <c r="D357" s="30"/>
      <c r="E357" s="5"/>
      <c r="F357" s="890"/>
      <c r="G357" s="935"/>
      <c r="H357" s="915"/>
      <c r="I357" s="915"/>
      <c r="J357" s="915"/>
      <c r="K357" s="916"/>
      <c r="L357" s="890"/>
      <c r="M357" s="890"/>
      <c r="N357" s="890"/>
      <c r="O357" s="917"/>
      <c r="P357" s="917"/>
      <c r="Q357" s="890"/>
      <c r="R357" s="890"/>
      <c r="S357" s="890"/>
      <c r="T357" s="890"/>
      <c r="U357" s="890"/>
      <c r="V357" s="917"/>
      <c r="W357" s="917"/>
      <c r="X357" s="918"/>
      <c r="Y357" s="917"/>
      <c r="Z357" s="918"/>
      <c r="AA357" s="918"/>
      <c r="AB357" s="917"/>
      <c r="AC357" s="917"/>
      <c r="AD357" s="917"/>
      <c r="AE357" s="917"/>
      <c r="AF357" s="917"/>
      <c r="AG357" s="917"/>
      <c r="AK357" s="917">
        <f t="shared" si="49"/>
        <v>0</v>
      </c>
      <c r="AL357" s="917"/>
      <c r="AM357" s="917">
        <f ca="1"/>
        <v>0</v>
      </c>
      <c r="AN357" s="917">
        <f ca="1"/>
        <v>0</v>
      </c>
      <c r="AO357" s="917">
        <f t="shared" ca="1" si="50"/>
        <v>0</v>
      </c>
      <c r="AP357" s="917">
        <f t="shared" ca="1" si="51"/>
        <v>0</v>
      </c>
    </row>
    <row r="358" spans="1:42" ht="16">
      <c r="A358" s="30"/>
      <c r="B358" s="5"/>
      <c r="C358" s="30"/>
      <c r="D358" s="30"/>
      <c r="E358" s="5"/>
      <c r="F358" s="890"/>
      <c r="G358" s="935"/>
      <c r="H358" s="915"/>
      <c r="I358" s="915"/>
      <c r="J358" s="915"/>
      <c r="K358" s="916"/>
      <c r="L358" s="890"/>
      <c r="M358" s="890"/>
      <c r="N358" s="890"/>
      <c r="O358" s="917"/>
      <c r="P358" s="917"/>
      <c r="Q358" s="890"/>
      <c r="R358" s="890"/>
      <c r="S358" s="890"/>
      <c r="T358" s="890"/>
      <c r="U358" s="890"/>
      <c r="V358" s="917"/>
      <c r="W358" s="917"/>
      <c r="X358" s="918"/>
      <c r="Y358" s="917"/>
      <c r="Z358" s="918"/>
      <c r="AA358" s="918"/>
      <c r="AB358" s="917"/>
      <c r="AC358" s="917"/>
      <c r="AD358" s="917"/>
      <c r="AE358" s="917"/>
      <c r="AF358" s="917"/>
      <c r="AG358" s="917"/>
      <c r="AK358" s="917">
        <f t="shared" si="49"/>
        <v>0</v>
      </c>
      <c r="AL358" s="917"/>
      <c r="AM358" s="917">
        <f ca="1"/>
        <v>0</v>
      </c>
      <c r="AN358" s="917">
        <f ca="1"/>
        <v>0</v>
      </c>
      <c r="AO358" s="917">
        <f t="shared" ca="1" si="50"/>
        <v>0</v>
      </c>
      <c r="AP358" s="917">
        <f t="shared" ca="1" si="51"/>
        <v>0</v>
      </c>
    </row>
    <row r="359" spans="1:42" ht="16">
      <c r="A359" s="30"/>
      <c r="B359" s="5"/>
      <c r="C359" s="30"/>
      <c r="D359" s="30"/>
      <c r="E359" s="5"/>
      <c r="F359" s="890"/>
      <c r="G359" s="935"/>
      <c r="H359" s="915"/>
      <c r="I359" s="915"/>
      <c r="J359" s="915"/>
      <c r="K359" s="916"/>
      <c r="L359" s="890"/>
      <c r="M359" s="890"/>
      <c r="N359" s="890"/>
      <c r="O359" s="917"/>
      <c r="P359" s="917"/>
      <c r="Q359" s="890"/>
      <c r="R359" s="890"/>
      <c r="S359" s="890"/>
      <c r="T359" s="890"/>
      <c r="U359" s="890"/>
      <c r="V359" s="917"/>
      <c r="W359" s="917"/>
      <c r="X359" s="918"/>
      <c r="Y359" s="917"/>
      <c r="Z359" s="918"/>
      <c r="AA359" s="918"/>
      <c r="AB359" s="917"/>
      <c r="AC359" s="917"/>
      <c r="AD359" s="917"/>
      <c r="AE359" s="917"/>
      <c r="AF359" s="917"/>
      <c r="AG359" s="917"/>
      <c r="AK359" s="917">
        <f t="shared" si="49"/>
        <v>0</v>
      </c>
      <c r="AL359" s="917"/>
      <c r="AM359" s="917">
        <f ca="1"/>
        <v>0</v>
      </c>
      <c r="AN359" s="917">
        <f ca="1"/>
        <v>0</v>
      </c>
      <c r="AO359" s="917">
        <f t="shared" ca="1" si="50"/>
        <v>0</v>
      </c>
      <c r="AP359" s="917">
        <f t="shared" ca="1" si="51"/>
        <v>0</v>
      </c>
    </row>
    <row r="360" spans="1:42" ht="16">
      <c r="A360" s="30"/>
      <c r="B360" s="5"/>
      <c r="C360" s="30"/>
      <c r="D360" s="30"/>
      <c r="E360" s="5"/>
      <c r="F360" s="890"/>
      <c r="G360" s="935"/>
      <c r="H360" s="915"/>
      <c r="I360" s="915"/>
      <c r="J360" s="915"/>
      <c r="K360" s="916"/>
      <c r="L360" s="890"/>
      <c r="M360" s="890"/>
      <c r="N360" s="890"/>
      <c r="O360" s="917"/>
      <c r="P360" s="917"/>
      <c r="Q360" s="890"/>
      <c r="R360" s="890"/>
      <c r="S360" s="890"/>
      <c r="T360" s="890"/>
      <c r="U360" s="890"/>
      <c r="V360" s="917"/>
      <c r="W360" s="917"/>
      <c r="X360" s="918"/>
      <c r="Y360" s="917"/>
      <c r="Z360" s="918"/>
      <c r="AA360" s="918"/>
      <c r="AB360" s="917"/>
      <c r="AC360" s="917"/>
      <c r="AD360" s="917"/>
      <c r="AE360" s="917"/>
      <c r="AF360" s="917"/>
      <c r="AG360" s="917"/>
      <c r="AK360" s="917">
        <f t="shared" si="49"/>
        <v>0</v>
      </c>
      <c r="AL360" s="917"/>
      <c r="AM360" s="917">
        <f ca="1"/>
        <v>0</v>
      </c>
      <c r="AN360" s="917">
        <f ca="1"/>
        <v>0</v>
      </c>
      <c r="AO360" s="917">
        <f t="shared" ca="1" si="50"/>
        <v>0</v>
      </c>
      <c r="AP360" s="917">
        <f t="shared" ca="1" si="51"/>
        <v>0</v>
      </c>
    </row>
    <row r="361" spans="1:42" ht="16">
      <c r="A361" s="30"/>
      <c r="B361" s="5"/>
      <c r="C361" s="30"/>
      <c r="D361" s="30"/>
      <c r="E361" s="5"/>
      <c r="F361" s="890"/>
      <c r="G361" s="935"/>
      <c r="H361" s="915"/>
      <c r="I361" s="915"/>
      <c r="J361" s="915"/>
      <c r="K361" s="916"/>
      <c r="L361" s="890"/>
      <c r="M361" s="890"/>
      <c r="N361" s="890"/>
      <c r="O361" s="917"/>
      <c r="P361" s="917"/>
      <c r="Q361" s="890"/>
      <c r="R361" s="890"/>
      <c r="S361" s="890"/>
      <c r="T361" s="890"/>
      <c r="U361" s="890"/>
      <c r="V361" s="917"/>
      <c r="W361" s="917"/>
      <c r="X361" s="918"/>
      <c r="Y361" s="917"/>
      <c r="Z361" s="918"/>
      <c r="AA361" s="918"/>
      <c r="AB361" s="917"/>
      <c r="AC361" s="917"/>
      <c r="AD361" s="917"/>
      <c r="AE361" s="917"/>
      <c r="AF361" s="917"/>
      <c r="AG361" s="917"/>
      <c r="AK361" s="917">
        <f t="shared" si="49"/>
        <v>0</v>
      </c>
      <c r="AL361" s="917"/>
      <c r="AM361" s="917">
        <f ca="1"/>
        <v>0</v>
      </c>
      <c r="AN361" s="917">
        <f ca="1"/>
        <v>0</v>
      </c>
      <c r="AO361" s="917">
        <f t="shared" ca="1" si="50"/>
        <v>0</v>
      </c>
      <c r="AP361" s="917">
        <f t="shared" ca="1" si="51"/>
        <v>0</v>
      </c>
    </row>
    <row r="362" spans="1:42" ht="16">
      <c r="A362" s="30"/>
      <c r="B362" s="5"/>
      <c r="C362" s="30"/>
      <c r="D362" s="30"/>
      <c r="E362" s="5"/>
      <c r="F362" s="890"/>
      <c r="G362" s="935"/>
      <c r="H362" s="915"/>
      <c r="I362" s="915"/>
      <c r="J362" s="915"/>
      <c r="K362" s="916"/>
      <c r="L362" s="890"/>
      <c r="M362" s="890"/>
      <c r="N362" s="890"/>
      <c r="O362" s="917"/>
      <c r="P362" s="917"/>
      <c r="Q362" s="890"/>
      <c r="R362" s="890"/>
      <c r="S362" s="890"/>
      <c r="T362" s="890"/>
      <c r="U362" s="890"/>
      <c r="V362" s="917"/>
      <c r="W362" s="917"/>
      <c r="X362" s="918"/>
      <c r="Y362" s="917"/>
      <c r="Z362" s="918"/>
      <c r="AA362" s="918"/>
      <c r="AB362" s="917"/>
      <c r="AC362" s="917"/>
      <c r="AD362" s="917"/>
      <c r="AE362" s="917"/>
      <c r="AF362" s="917"/>
      <c r="AG362" s="917"/>
      <c r="AK362" s="917">
        <f t="shared" si="49"/>
        <v>0</v>
      </c>
      <c r="AL362" s="917"/>
      <c r="AM362" s="917">
        <f ca="1"/>
        <v>0</v>
      </c>
      <c r="AN362" s="917">
        <f ca="1"/>
        <v>0</v>
      </c>
      <c r="AO362" s="917">
        <f t="shared" ca="1" si="50"/>
        <v>0</v>
      </c>
      <c r="AP362" s="917">
        <f t="shared" ca="1" si="51"/>
        <v>0</v>
      </c>
    </row>
    <row r="363" spans="1:42" ht="16">
      <c r="A363" s="30"/>
      <c r="B363" s="5"/>
      <c r="C363" s="30"/>
      <c r="D363" s="30"/>
      <c r="E363" s="5"/>
      <c r="F363" s="890"/>
      <c r="G363" s="935"/>
      <c r="H363" s="915"/>
      <c r="I363" s="915"/>
      <c r="J363" s="915"/>
      <c r="K363" s="916"/>
      <c r="L363" s="890"/>
      <c r="M363" s="890"/>
      <c r="N363" s="890"/>
      <c r="O363" s="917"/>
      <c r="P363" s="917"/>
      <c r="Q363" s="890"/>
      <c r="R363" s="890"/>
      <c r="S363" s="890"/>
      <c r="T363" s="890"/>
      <c r="U363" s="890"/>
      <c r="V363" s="917"/>
      <c r="W363" s="917"/>
      <c r="X363" s="918"/>
      <c r="Y363" s="917"/>
      <c r="Z363" s="918"/>
      <c r="AA363" s="918"/>
      <c r="AB363" s="917"/>
      <c r="AC363" s="917"/>
      <c r="AD363" s="917"/>
      <c r="AE363" s="917"/>
      <c r="AF363" s="917"/>
      <c r="AG363" s="917"/>
      <c r="AK363" s="917">
        <f t="shared" si="49"/>
        <v>0</v>
      </c>
      <c r="AL363" s="917"/>
      <c r="AM363" s="917">
        <f ca="1"/>
        <v>0</v>
      </c>
      <c r="AN363" s="917">
        <f ca="1"/>
        <v>0</v>
      </c>
      <c r="AO363" s="917">
        <f t="shared" ca="1" si="50"/>
        <v>0</v>
      </c>
      <c r="AP363" s="917">
        <f t="shared" ca="1" si="51"/>
        <v>0</v>
      </c>
    </row>
    <row r="364" spans="1:42" ht="16">
      <c r="A364" s="30"/>
      <c r="B364" s="5"/>
      <c r="C364" s="30"/>
      <c r="D364" s="30"/>
      <c r="E364" s="5"/>
      <c r="F364" s="890"/>
      <c r="G364" s="935"/>
      <c r="H364" s="915"/>
      <c r="I364" s="915"/>
      <c r="J364" s="915"/>
      <c r="K364" s="916"/>
      <c r="L364" s="890"/>
      <c r="M364" s="890"/>
      <c r="N364" s="890"/>
      <c r="O364" s="917"/>
      <c r="P364" s="917"/>
      <c r="Q364" s="890"/>
      <c r="R364" s="890"/>
      <c r="S364" s="890"/>
      <c r="T364" s="890"/>
      <c r="U364" s="890"/>
      <c r="V364" s="917"/>
      <c r="W364" s="917"/>
      <c r="X364" s="918"/>
      <c r="Y364" s="917"/>
      <c r="Z364" s="918"/>
      <c r="AA364" s="918"/>
      <c r="AB364" s="917"/>
      <c r="AC364" s="917"/>
      <c r="AD364" s="917"/>
      <c r="AE364" s="917"/>
      <c r="AF364" s="917"/>
      <c r="AG364" s="917"/>
      <c r="AK364" s="917">
        <f t="shared" si="49"/>
        <v>0</v>
      </c>
      <c r="AL364" s="917"/>
      <c r="AM364" s="917">
        <f ca="1"/>
        <v>0</v>
      </c>
      <c r="AN364" s="917">
        <f ca="1"/>
        <v>0</v>
      </c>
      <c r="AO364" s="917">
        <f t="shared" ca="1" si="50"/>
        <v>0</v>
      </c>
      <c r="AP364" s="917">
        <f t="shared" ca="1" si="51"/>
        <v>0</v>
      </c>
    </row>
    <row r="365" spans="1:42" ht="16">
      <c r="A365" s="30"/>
      <c r="B365" s="5"/>
      <c r="C365" s="30"/>
      <c r="D365" s="30"/>
      <c r="E365" s="5"/>
      <c r="F365" s="890"/>
      <c r="G365" s="935"/>
      <c r="H365" s="915"/>
      <c r="I365" s="915"/>
      <c r="J365" s="915"/>
      <c r="K365" s="916"/>
      <c r="L365" s="890"/>
      <c r="M365" s="890"/>
      <c r="N365" s="890"/>
      <c r="O365" s="917"/>
      <c r="P365" s="917"/>
      <c r="Q365" s="890"/>
      <c r="R365" s="890"/>
      <c r="S365" s="890"/>
      <c r="T365" s="890"/>
      <c r="U365" s="890"/>
      <c r="V365" s="917"/>
      <c r="W365" s="917"/>
      <c r="X365" s="918"/>
      <c r="Y365" s="917"/>
      <c r="Z365" s="918"/>
      <c r="AA365" s="918"/>
      <c r="AB365" s="917"/>
      <c r="AC365" s="917"/>
      <c r="AD365" s="917"/>
      <c r="AE365" s="917"/>
      <c r="AF365" s="917"/>
      <c r="AG365" s="917"/>
      <c r="AK365" s="917">
        <f t="shared" si="49"/>
        <v>0</v>
      </c>
      <c r="AL365" s="917"/>
      <c r="AM365" s="917">
        <f ca="1"/>
        <v>0</v>
      </c>
      <c r="AN365" s="917">
        <f ca="1"/>
        <v>0</v>
      </c>
      <c r="AO365" s="917">
        <f t="shared" ca="1" si="50"/>
        <v>0</v>
      </c>
      <c r="AP365" s="917">
        <f t="shared" ca="1" si="51"/>
        <v>0</v>
      </c>
    </row>
    <row r="366" spans="1:42" ht="16">
      <c r="A366" s="30"/>
      <c r="B366" s="5"/>
      <c r="C366" s="30"/>
      <c r="D366" s="30"/>
      <c r="E366" s="5"/>
      <c r="F366" s="890"/>
      <c r="G366" s="935"/>
      <c r="H366" s="915"/>
      <c r="I366" s="915"/>
      <c r="J366" s="915"/>
      <c r="K366" s="916"/>
      <c r="L366" s="890"/>
      <c r="M366" s="890"/>
      <c r="N366" s="890"/>
      <c r="O366" s="917"/>
      <c r="P366" s="917"/>
      <c r="Q366" s="890"/>
      <c r="R366" s="890"/>
      <c r="S366" s="890"/>
      <c r="T366" s="890"/>
      <c r="U366" s="890"/>
      <c r="V366" s="917"/>
      <c r="W366" s="917"/>
      <c r="X366" s="918"/>
      <c r="Y366" s="917"/>
      <c r="Z366" s="918"/>
      <c r="AA366" s="918"/>
      <c r="AB366" s="917"/>
      <c r="AC366" s="917"/>
      <c r="AD366" s="917"/>
      <c r="AE366" s="917"/>
      <c r="AF366" s="917"/>
      <c r="AG366" s="917"/>
      <c r="AK366" s="917">
        <f t="shared" si="49"/>
        <v>0</v>
      </c>
      <c r="AL366" s="917"/>
      <c r="AM366" s="917">
        <f ca="1"/>
        <v>0</v>
      </c>
      <c r="AN366" s="917">
        <f ca="1"/>
        <v>0</v>
      </c>
      <c r="AO366" s="917">
        <f t="shared" ca="1" si="50"/>
        <v>0</v>
      </c>
      <c r="AP366" s="917">
        <f t="shared" ca="1" si="51"/>
        <v>0</v>
      </c>
    </row>
    <row r="367" spans="1:42" ht="16">
      <c r="A367" s="30"/>
      <c r="B367" s="5"/>
      <c r="C367" s="30"/>
      <c r="D367" s="30"/>
      <c r="E367" s="5"/>
      <c r="F367" s="890"/>
      <c r="G367" s="935"/>
      <c r="H367" s="915"/>
      <c r="I367" s="915"/>
      <c r="J367" s="915"/>
      <c r="K367" s="916"/>
      <c r="L367" s="890"/>
      <c r="M367" s="890"/>
      <c r="N367" s="890"/>
      <c r="O367" s="917"/>
      <c r="P367" s="917"/>
      <c r="Q367" s="890"/>
      <c r="R367" s="890"/>
      <c r="S367" s="890"/>
      <c r="T367" s="890"/>
      <c r="U367" s="890"/>
      <c r="V367" s="917"/>
      <c r="W367" s="917"/>
      <c r="X367" s="918"/>
      <c r="Y367" s="917"/>
      <c r="Z367" s="918"/>
      <c r="AA367" s="918"/>
      <c r="AB367" s="917"/>
      <c r="AC367" s="917"/>
      <c r="AD367" s="917"/>
      <c r="AE367" s="917"/>
      <c r="AF367" s="917"/>
      <c r="AG367" s="917"/>
      <c r="AK367" s="917">
        <f t="shared" si="49"/>
        <v>0</v>
      </c>
      <c r="AL367" s="917"/>
      <c r="AM367" s="917">
        <f ca="1"/>
        <v>0</v>
      </c>
      <c r="AN367" s="917">
        <f ca="1"/>
        <v>0</v>
      </c>
      <c r="AO367" s="917">
        <f t="shared" ca="1" si="50"/>
        <v>0</v>
      </c>
      <c r="AP367" s="917">
        <f t="shared" ca="1" si="51"/>
        <v>0</v>
      </c>
    </row>
    <row r="368" spans="1:42" ht="16">
      <c r="A368" s="30"/>
      <c r="B368" s="5"/>
      <c r="C368" s="30"/>
      <c r="D368" s="30"/>
      <c r="E368" s="5"/>
      <c r="F368" s="890"/>
      <c r="G368" s="935"/>
      <c r="H368" s="915"/>
      <c r="I368" s="915"/>
      <c r="J368" s="915"/>
      <c r="K368" s="916"/>
      <c r="L368" s="890"/>
      <c r="M368" s="890"/>
      <c r="N368" s="890"/>
      <c r="O368" s="917"/>
      <c r="P368" s="917"/>
      <c r="Q368" s="890"/>
      <c r="R368" s="890"/>
      <c r="S368" s="890"/>
      <c r="T368" s="890"/>
      <c r="U368" s="890"/>
      <c r="V368" s="917"/>
      <c r="W368" s="917"/>
      <c r="X368" s="918"/>
      <c r="Y368" s="917"/>
      <c r="Z368" s="918"/>
      <c r="AA368" s="918"/>
      <c r="AB368" s="917"/>
      <c r="AC368" s="917"/>
      <c r="AD368" s="917"/>
      <c r="AE368" s="917"/>
      <c r="AF368" s="917"/>
      <c r="AG368" s="917"/>
      <c r="AK368" s="917">
        <f t="shared" si="49"/>
        <v>0</v>
      </c>
      <c r="AL368" s="917"/>
      <c r="AM368" s="917">
        <f ca="1"/>
        <v>0</v>
      </c>
      <c r="AN368" s="917">
        <f ca="1"/>
        <v>0</v>
      </c>
      <c r="AO368" s="917">
        <f t="shared" ca="1" si="50"/>
        <v>0</v>
      </c>
      <c r="AP368" s="917">
        <f t="shared" ca="1" si="51"/>
        <v>0</v>
      </c>
    </row>
    <row r="369" spans="1:42" ht="16">
      <c r="A369" s="30"/>
      <c r="B369" s="5"/>
      <c r="C369" s="30"/>
      <c r="D369" s="30"/>
      <c r="E369" s="5"/>
      <c r="F369" s="890"/>
      <c r="G369" s="935"/>
      <c r="H369" s="915"/>
      <c r="I369" s="915"/>
      <c r="J369" s="915"/>
      <c r="K369" s="916"/>
      <c r="L369" s="890"/>
      <c r="M369" s="890"/>
      <c r="N369" s="890"/>
      <c r="O369" s="917"/>
      <c r="P369" s="917"/>
      <c r="Q369" s="890"/>
      <c r="R369" s="890"/>
      <c r="S369" s="890"/>
      <c r="T369" s="890"/>
      <c r="U369" s="890"/>
      <c r="V369" s="917"/>
      <c r="W369" s="917"/>
      <c r="X369" s="918"/>
      <c r="Y369" s="917"/>
      <c r="Z369" s="918"/>
      <c r="AA369" s="918"/>
      <c r="AB369" s="917"/>
      <c r="AC369" s="917"/>
      <c r="AD369" s="917"/>
      <c r="AE369" s="917"/>
      <c r="AF369" s="917"/>
      <c r="AG369" s="917"/>
      <c r="AK369" s="917">
        <f t="shared" si="49"/>
        <v>0</v>
      </c>
      <c r="AL369" s="917"/>
      <c r="AM369" s="917">
        <f ca="1"/>
        <v>0</v>
      </c>
      <c r="AN369" s="917">
        <f ca="1"/>
        <v>0</v>
      </c>
      <c r="AO369" s="917">
        <f t="shared" ca="1" si="50"/>
        <v>0</v>
      </c>
      <c r="AP369" s="917">
        <f t="shared" ca="1" si="51"/>
        <v>0</v>
      </c>
    </row>
    <row r="370" spans="1:42" ht="16">
      <c r="A370" s="30"/>
      <c r="B370" s="5"/>
      <c r="C370" s="30"/>
      <c r="D370" s="30"/>
      <c r="E370" s="5"/>
      <c r="F370" s="890"/>
      <c r="G370" s="935"/>
      <c r="H370" s="915"/>
      <c r="I370" s="915"/>
      <c r="J370" s="915"/>
      <c r="K370" s="916"/>
      <c r="L370" s="890"/>
      <c r="M370" s="890"/>
      <c r="N370" s="890"/>
      <c r="O370" s="917"/>
      <c r="P370" s="917"/>
      <c r="Q370" s="890"/>
      <c r="R370" s="890"/>
      <c r="S370" s="890"/>
      <c r="T370" s="890"/>
      <c r="U370" s="890"/>
      <c r="V370" s="917"/>
      <c r="W370" s="917"/>
      <c r="X370" s="918"/>
      <c r="Y370" s="917"/>
      <c r="Z370" s="918"/>
      <c r="AA370" s="918"/>
      <c r="AB370" s="917"/>
      <c r="AC370" s="917"/>
      <c r="AD370" s="917"/>
      <c r="AE370" s="917"/>
      <c r="AF370" s="917"/>
      <c r="AG370" s="917"/>
      <c r="AK370" s="917">
        <f t="shared" si="49"/>
        <v>0</v>
      </c>
      <c r="AL370" s="917"/>
      <c r="AM370" s="917">
        <f ca="1"/>
        <v>0</v>
      </c>
      <c r="AN370" s="917">
        <f ca="1"/>
        <v>0</v>
      </c>
      <c r="AO370" s="917">
        <f t="shared" ca="1" si="50"/>
        <v>0</v>
      </c>
      <c r="AP370" s="917">
        <f t="shared" ca="1" si="51"/>
        <v>0</v>
      </c>
    </row>
    <row r="371" spans="1:42" ht="16">
      <c r="A371" s="30"/>
      <c r="B371" s="5"/>
      <c r="C371" s="30"/>
      <c r="D371" s="30"/>
      <c r="E371" s="5"/>
      <c r="F371" s="890"/>
      <c r="G371" s="935"/>
      <c r="H371" s="915"/>
      <c r="I371" s="915"/>
      <c r="J371" s="915"/>
      <c r="K371" s="916"/>
      <c r="L371" s="890"/>
      <c r="M371" s="890"/>
      <c r="N371" s="890"/>
      <c r="O371" s="917"/>
      <c r="P371" s="917"/>
      <c r="Q371" s="890"/>
      <c r="R371" s="890"/>
      <c r="S371" s="890"/>
      <c r="T371" s="890"/>
      <c r="U371" s="890"/>
      <c r="V371" s="917"/>
      <c r="W371" s="917"/>
      <c r="X371" s="918"/>
      <c r="Y371" s="917"/>
      <c r="Z371" s="918"/>
      <c r="AA371" s="918"/>
      <c r="AB371" s="917"/>
      <c r="AC371" s="917"/>
      <c r="AD371" s="917"/>
      <c r="AE371" s="917"/>
      <c r="AF371" s="917"/>
      <c r="AG371" s="917"/>
      <c r="AK371" s="917">
        <f t="shared" si="49"/>
        <v>0</v>
      </c>
      <c r="AL371" s="917"/>
      <c r="AM371" s="917">
        <f ca="1"/>
        <v>0</v>
      </c>
      <c r="AN371" s="917">
        <f ca="1"/>
        <v>0</v>
      </c>
      <c r="AO371" s="917">
        <f t="shared" ca="1" si="50"/>
        <v>0</v>
      </c>
      <c r="AP371" s="917">
        <f t="shared" ca="1" si="51"/>
        <v>0</v>
      </c>
    </row>
    <row r="372" spans="1:42" ht="16">
      <c r="A372" s="30"/>
      <c r="B372" s="5"/>
      <c r="C372" s="30"/>
      <c r="D372" s="30"/>
      <c r="E372" s="5"/>
      <c r="F372" s="890"/>
      <c r="G372" s="935"/>
      <c r="H372" s="915"/>
      <c r="I372" s="915"/>
      <c r="J372" s="915"/>
      <c r="K372" s="916"/>
      <c r="L372" s="890"/>
      <c r="M372" s="890"/>
      <c r="N372" s="890"/>
      <c r="O372" s="917"/>
      <c r="P372" s="917"/>
      <c r="Q372" s="890"/>
      <c r="R372" s="890"/>
      <c r="S372" s="890"/>
      <c r="T372" s="890"/>
      <c r="U372" s="890"/>
      <c r="V372" s="917"/>
      <c r="W372" s="917"/>
      <c r="X372" s="918"/>
      <c r="Y372" s="917"/>
      <c r="Z372" s="918"/>
      <c r="AA372" s="918"/>
      <c r="AB372" s="917"/>
      <c r="AC372" s="917"/>
      <c r="AD372" s="917"/>
      <c r="AE372" s="917"/>
      <c r="AF372" s="917"/>
      <c r="AG372" s="917"/>
      <c r="AK372" s="917">
        <f t="shared" si="49"/>
        <v>0</v>
      </c>
      <c r="AL372" s="917"/>
      <c r="AM372" s="917">
        <f ca="1"/>
        <v>0</v>
      </c>
      <c r="AN372" s="917">
        <f ca="1"/>
        <v>0</v>
      </c>
      <c r="AO372" s="917">
        <f t="shared" ca="1" si="50"/>
        <v>0</v>
      </c>
      <c r="AP372" s="917">
        <f t="shared" ca="1" si="51"/>
        <v>0</v>
      </c>
    </row>
    <row r="373" spans="1:42" ht="16">
      <c r="A373" s="30"/>
      <c r="B373" s="5"/>
      <c r="C373" s="30"/>
      <c r="D373" s="30"/>
      <c r="E373" s="5"/>
      <c r="F373" s="890"/>
      <c r="G373" s="935"/>
      <c r="H373" s="915"/>
      <c r="I373" s="915"/>
      <c r="J373" s="915"/>
      <c r="K373" s="916"/>
      <c r="L373" s="890"/>
      <c r="M373" s="890"/>
      <c r="N373" s="890"/>
      <c r="O373" s="917"/>
      <c r="P373" s="917"/>
      <c r="Q373" s="890"/>
      <c r="R373" s="890"/>
      <c r="S373" s="890"/>
      <c r="T373" s="890"/>
      <c r="U373" s="890"/>
      <c r="V373" s="917"/>
      <c r="W373" s="917"/>
      <c r="X373" s="918"/>
      <c r="Y373" s="917"/>
      <c r="Z373" s="918"/>
      <c r="AA373" s="918"/>
      <c r="AB373" s="917"/>
      <c r="AC373" s="917"/>
      <c r="AD373" s="917"/>
      <c r="AE373" s="917"/>
      <c r="AF373" s="917"/>
      <c r="AG373" s="917"/>
      <c r="AK373" s="917">
        <f t="shared" si="49"/>
        <v>0</v>
      </c>
      <c r="AL373" s="917"/>
      <c r="AM373" s="917">
        <f ca="1"/>
        <v>0</v>
      </c>
      <c r="AN373" s="917">
        <f ca="1"/>
        <v>0</v>
      </c>
      <c r="AO373" s="917">
        <f t="shared" ca="1" si="50"/>
        <v>0</v>
      </c>
      <c r="AP373" s="917">
        <f t="shared" ca="1" si="51"/>
        <v>0</v>
      </c>
    </row>
    <row r="374" spans="1:42" ht="16">
      <c r="A374" s="30"/>
      <c r="B374" s="5"/>
      <c r="C374" s="30"/>
      <c r="D374" s="30"/>
      <c r="E374" s="5"/>
      <c r="F374" s="890"/>
      <c r="G374" s="935"/>
      <c r="H374" s="915"/>
      <c r="I374" s="915"/>
      <c r="J374" s="915"/>
      <c r="K374" s="916"/>
      <c r="L374" s="890"/>
      <c r="M374" s="890"/>
      <c r="N374" s="890"/>
      <c r="O374" s="917"/>
      <c r="P374" s="917"/>
      <c r="Q374" s="890"/>
      <c r="R374" s="890"/>
      <c r="S374" s="890"/>
      <c r="T374" s="890"/>
      <c r="U374" s="890"/>
      <c r="V374" s="917"/>
      <c r="W374" s="917"/>
      <c r="X374" s="918"/>
      <c r="Y374" s="917"/>
      <c r="Z374" s="918"/>
      <c r="AA374" s="918"/>
      <c r="AB374" s="917"/>
      <c r="AC374" s="917"/>
      <c r="AD374" s="917"/>
      <c r="AE374" s="917"/>
      <c r="AF374" s="917"/>
      <c r="AG374" s="917"/>
      <c r="AK374" s="917">
        <f t="shared" si="49"/>
        <v>0</v>
      </c>
      <c r="AL374" s="917"/>
      <c r="AM374" s="917">
        <f ca="1"/>
        <v>0</v>
      </c>
      <c r="AN374" s="917">
        <f ca="1"/>
        <v>0</v>
      </c>
      <c r="AO374" s="917">
        <f t="shared" ca="1" si="50"/>
        <v>0</v>
      </c>
      <c r="AP374" s="917">
        <f t="shared" ca="1" si="51"/>
        <v>0</v>
      </c>
    </row>
    <row r="375" spans="1:42" ht="16">
      <c r="A375" s="30"/>
      <c r="B375" s="5"/>
      <c r="C375" s="30"/>
      <c r="D375" s="30"/>
      <c r="E375" s="5"/>
      <c r="F375" s="890"/>
      <c r="G375" s="935"/>
      <c r="H375" s="915"/>
      <c r="I375" s="915"/>
      <c r="J375" s="915"/>
      <c r="K375" s="916"/>
      <c r="L375" s="890"/>
      <c r="M375" s="890"/>
      <c r="N375" s="890"/>
      <c r="O375" s="917"/>
      <c r="P375" s="917"/>
      <c r="Q375" s="890"/>
      <c r="R375" s="890"/>
      <c r="S375" s="890"/>
      <c r="T375" s="890"/>
      <c r="U375" s="890"/>
      <c r="V375" s="917"/>
      <c r="W375" s="917"/>
      <c r="X375" s="918"/>
      <c r="Y375" s="917"/>
      <c r="Z375" s="918"/>
      <c r="AA375" s="918"/>
      <c r="AB375" s="917"/>
      <c r="AC375" s="917"/>
      <c r="AD375" s="917"/>
      <c r="AE375" s="917"/>
      <c r="AF375" s="917"/>
      <c r="AG375" s="917"/>
      <c r="AK375" s="917">
        <f t="shared" si="49"/>
        <v>0</v>
      </c>
      <c r="AL375" s="917"/>
      <c r="AM375" s="917">
        <f ca="1"/>
        <v>0</v>
      </c>
      <c r="AN375" s="917">
        <f ca="1"/>
        <v>0</v>
      </c>
      <c r="AO375" s="917">
        <f t="shared" ca="1" si="50"/>
        <v>0</v>
      </c>
      <c r="AP375" s="917">
        <f t="shared" ca="1" si="51"/>
        <v>0</v>
      </c>
    </row>
  </sheetData>
  <mergeCells count="3">
    <mergeCell ref="Q5:U5"/>
    <mergeCell ref="F5:K6"/>
    <mergeCell ref="AL5:AO5"/>
  </mergeCells>
  <conditionalFormatting sqref="A11:D55 A57:D57">
    <cfRule type="expression" dxfId="24" priority="45">
      <formula>MOD(ROW(), 2) = 1</formula>
    </cfRule>
  </conditionalFormatting>
  <conditionalFormatting sqref="F8:AG375">
    <cfRule type="expression" dxfId="23" priority="17">
      <formula>MOD(ROW(), 2) = 1</formula>
    </cfRule>
  </conditionalFormatting>
  <conditionalFormatting sqref="F8:F375">
    <cfRule type="expression" dxfId="22" priority="15">
      <formula>MOD(ROW(), 2) = 1</formula>
    </cfRule>
  </conditionalFormatting>
  <conditionalFormatting sqref="G8:G375">
    <cfRule type="expression" dxfId="21" priority="14">
      <formula>MOD(ROW(), 2) = 1</formula>
    </cfRule>
  </conditionalFormatting>
  <conditionalFormatting sqref="H8:H375">
    <cfRule type="expression" dxfId="20" priority="13">
      <formula>MOD(ROW(), 2) = 1</formula>
    </cfRule>
  </conditionalFormatting>
  <conditionalFormatting sqref="K8:K375">
    <cfRule type="expression" dxfId="19" priority="11">
      <formula>MOD(ROW(), 2) = 1</formula>
    </cfRule>
  </conditionalFormatting>
  <conditionalFormatting sqref="J8:J375">
    <cfRule type="expression" dxfId="18" priority="9">
      <formula>MOD(ROW(), 2) = 1</formula>
    </cfRule>
  </conditionalFormatting>
  <conditionalFormatting sqref="I8:I375">
    <cfRule type="expression" dxfId="17" priority="8">
      <formula>MOD(ROW(), 2) = 1</formula>
    </cfRule>
  </conditionalFormatting>
  <conditionalFormatting sqref="AB9:AG375">
    <cfRule type="expression" dxfId="16" priority="7">
      <formula>MOD(ROW(), 2) = 1</formula>
    </cfRule>
  </conditionalFormatting>
  <conditionalFormatting sqref="AA8:AA375">
    <cfRule type="expression" dxfId="15" priority="6">
      <formula>MOD(ROW(), 2) = 1</formula>
    </cfRule>
  </conditionalFormatting>
  <conditionalFormatting sqref="AB8:AG8">
    <cfRule type="expression" dxfId="14" priority="5">
      <formula>MOD(ROW(), 2) = 1</formula>
    </cfRule>
  </conditionalFormatting>
  <conditionalFormatting sqref="AK8:AP375">
    <cfRule type="expression" dxfId="13" priority="4">
      <formula>MOD(ROW(), 2) = 1</formula>
    </cfRule>
  </conditionalFormatting>
  <conditionalFormatting sqref="AK9:AP375">
    <cfRule type="expression" dxfId="12" priority="3">
      <formula>MOD(ROW(), 2) = 1</formula>
    </cfRule>
  </conditionalFormatting>
  <conditionalFormatting sqref="AK8:AP8">
    <cfRule type="expression" dxfId="11" priority="2">
      <formula>MOD(ROW(), 2) = 1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555675-CE98-F045-B8DD-CC9A1F933260}">
  <sheetPr codeName="Sheet1">
    <tabColor rgb="FF7CE38B"/>
  </sheetPr>
  <dimension ref="A1:EN452"/>
  <sheetViews>
    <sheetView topLeftCell="B2" workbookViewId="0"/>
  </sheetViews>
  <sheetFormatPr baseColWidth="10" defaultColWidth="0" defaultRowHeight="14" zeroHeight="1"/>
  <cols>
    <col min="1" max="1" width="8.6640625" style="433" hidden="1" customWidth="1"/>
    <col min="2" max="2" width="2.33203125" customWidth="1"/>
    <col min="3" max="3" width="2" customWidth="1"/>
    <col min="4" max="4" width="5.6640625" customWidth="1"/>
    <col min="5" max="5" width="9.5" customWidth="1"/>
    <col min="6" max="6" width="5" customWidth="1"/>
    <col min="7" max="7" width="20.33203125" bestFit="1" customWidth="1"/>
    <col min="8" max="8" width="11.33203125" customWidth="1"/>
    <col min="9" max="9" width="12.83203125" customWidth="1"/>
    <col min="10" max="10" width="13" customWidth="1"/>
    <col min="11" max="11" width="10.1640625" customWidth="1"/>
    <col min="12" max="12" width="10.6640625" bestFit="1" customWidth="1"/>
    <col min="13" max="13" width="10.33203125" customWidth="1"/>
    <col min="14" max="15" width="10.5" customWidth="1"/>
    <col min="16" max="16" width="10.1640625" bestFit="1" customWidth="1"/>
    <col min="17" max="17" width="9.83203125" customWidth="1"/>
    <col min="18" max="18" width="11.1640625" bestFit="1" customWidth="1"/>
    <col min="19" max="19" width="14" customWidth="1"/>
    <col min="20" max="20" width="10" bestFit="1" customWidth="1"/>
    <col min="21" max="21" width="8.5" bestFit="1" customWidth="1"/>
    <col min="22" max="22" width="9" customWidth="1"/>
    <col min="23" max="24" width="10" bestFit="1" customWidth="1"/>
    <col min="25" max="25" width="13.1640625" bestFit="1" customWidth="1"/>
    <col min="26" max="27" width="10" bestFit="1" customWidth="1"/>
    <col min="28" max="28" width="20.83203125" bestFit="1" customWidth="1"/>
    <col min="29" max="29" width="9.1640625" customWidth="1"/>
    <col min="30" max="30" width="10.33203125" bestFit="1" customWidth="1"/>
    <col min="31" max="31" width="8.5" bestFit="1" customWidth="1"/>
    <col min="32" max="32" width="7.6640625" customWidth="1"/>
    <col min="33" max="33" width="8.5" bestFit="1" customWidth="1"/>
    <col min="34" max="34" width="7.1640625" bestFit="1" customWidth="1"/>
    <col min="35" max="35" width="9.33203125" bestFit="1" customWidth="1"/>
    <col min="36" max="36" width="8.5" bestFit="1" customWidth="1"/>
    <col min="37" max="37" width="10.6640625" customWidth="1"/>
    <col min="38" max="38" width="7.33203125" bestFit="1" customWidth="1"/>
    <col min="39" max="40" width="8.5" bestFit="1" customWidth="1"/>
    <col min="41" max="41" width="3.1640625" bestFit="1" customWidth="1"/>
    <col min="42" max="42" width="10.33203125" bestFit="1" customWidth="1"/>
    <col min="43" max="44" width="8.5" bestFit="1" customWidth="1"/>
    <col min="45" max="45" width="8.5" customWidth="1"/>
    <col min="46" max="46" width="7.1640625" bestFit="1" customWidth="1"/>
    <col min="47" max="48" width="8.5" bestFit="1" customWidth="1"/>
    <col min="49" max="49" width="11.83203125" customWidth="1"/>
    <col min="50" max="50" width="7.33203125" bestFit="1" customWidth="1"/>
    <col min="51" max="52" width="8.5" bestFit="1" customWidth="1"/>
    <col min="53" max="53" width="3.1640625" bestFit="1" customWidth="1"/>
    <col min="54" max="55" width="8.83203125" customWidth="1"/>
    <col min="56" max="56" width="3.1640625" bestFit="1" customWidth="1"/>
    <col min="57" max="59" width="9.83203125" bestFit="1" customWidth="1"/>
    <col min="60" max="60" width="3.5" bestFit="1" customWidth="1"/>
    <col min="61" max="62" width="9.83203125" bestFit="1" customWidth="1"/>
    <col min="63" max="63" width="7.6640625" bestFit="1" customWidth="1"/>
    <col min="64" max="64" width="9" bestFit="1" customWidth="1"/>
    <col min="65" max="65" width="7.6640625" bestFit="1" customWidth="1"/>
    <col min="66" max="66" width="9" bestFit="1" customWidth="1"/>
    <col min="67" max="67" width="7.6640625" bestFit="1" customWidth="1"/>
    <col min="68" max="69" width="9" bestFit="1" customWidth="1"/>
    <col min="70" max="73" width="9.83203125" bestFit="1" customWidth="1"/>
    <col min="74" max="75" width="5.6640625" bestFit="1" customWidth="1"/>
    <col min="76" max="77" width="9.83203125" bestFit="1" customWidth="1"/>
    <col min="78" max="78" width="13.33203125" bestFit="1" customWidth="1"/>
    <col min="79" max="80" width="9" bestFit="1" customWidth="1"/>
    <col min="81" max="82" width="9.83203125" bestFit="1" customWidth="1"/>
    <col min="83" max="90" width="4.83203125" bestFit="1" customWidth="1"/>
    <col min="91" max="91" width="5.1640625" hidden="1" customWidth="1"/>
    <col min="92" max="144" width="0" hidden="1" customWidth="1"/>
    <col min="145" max="16384" width="5.1640625" hidden="1"/>
  </cols>
  <sheetData>
    <row r="1" spans="3:90" hidden="1"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4"/>
      <c r="X1" s="3"/>
      <c r="Y1" s="3"/>
      <c r="Z1" s="3" t="s">
        <v>159</v>
      </c>
      <c r="AA1" s="3" t="s">
        <v>159</v>
      </c>
      <c r="AB1" s="3" t="s">
        <v>159</v>
      </c>
      <c r="AC1" s="3" t="s">
        <v>159</v>
      </c>
      <c r="AD1" s="3" t="s">
        <v>159</v>
      </c>
      <c r="AE1" s="3" t="s">
        <v>159</v>
      </c>
      <c r="AF1" s="3" t="s">
        <v>159</v>
      </c>
      <c r="AG1" s="3" t="s">
        <v>159</v>
      </c>
      <c r="AH1" s="3" t="s">
        <v>159</v>
      </c>
      <c r="AI1" s="3" t="s">
        <v>159</v>
      </c>
      <c r="AJ1" s="3" t="s">
        <v>160</v>
      </c>
      <c r="AK1" s="3" t="s">
        <v>160</v>
      </c>
      <c r="AL1" s="3" t="s">
        <v>160</v>
      </c>
      <c r="AM1" s="3" t="s">
        <v>160</v>
      </c>
      <c r="AN1" s="3" t="s">
        <v>160</v>
      </c>
      <c r="AO1" s="3" t="s">
        <v>160</v>
      </c>
      <c r="AP1" s="3" t="s">
        <v>160</v>
      </c>
      <c r="AQ1" s="3" t="s">
        <v>160</v>
      </c>
      <c r="AR1" s="3" t="s">
        <v>160</v>
      </c>
      <c r="AS1" s="3" t="s">
        <v>160</v>
      </c>
      <c r="AT1" s="3" t="s">
        <v>160</v>
      </c>
      <c r="AU1" s="3" t="s">
        <v>161</v>
      </c>
      <c r="AV1" s="3" t="s">
        <v>161</v>
      </c>
      <c r="AW1" s="3" t="s">
        <v>161</v>
      </c>
      <c r="AX1" s="3" t="s">
        <v>161</v>
      </c>
      <c r="AY1" s="3" t="s">
        <v>161</v>
      </c>
      <c r="AZ1" s="3" t="s">
        <v>161</v>
      </c>
      <c r="BA1" s="3" t="s">
        <v>161</v>
      </c>
      <c r="BB1" s="3" t="s">
        <v>161</v>
      </c>
      <c r="BC1" s="3" t="s">
        <v>161</v>
      </c>
      <c r="BD1" s="3" t="s">
        <v>161</v>
      </c>
      <c r="BE1" s="3" t="s">
        <v>161</v>
      </c>
      <c r="BF1" s="3" t="s">
        <v>161</v>
      </c>
      <c r="BG1" s="3" t="s">
        <v>162</v>
      </c>
      <c r="BH1" s="3" t="s">
        <v>162</v>
      </c>
      <c r="BI1" s="3" t="s">
        <v>162</v>
      </c>
      <c r="BJ1" s="3" t="s">
        <v>162</v>
      </c>
      <c r="BK1" s="3" t="s">
        <v>162</v>
      </c>
      <c r="BL1" s="3" t="s">
        <v>162</v>
      </c>
      <c r="BM1" s="3" t="s">
        <v>162</v>
      </c>
      <c r="BN1" s="3" t="s">
        <v>162</v>
      </c>
      <c r="BO1" s="3" t="s">
        <v>162</v>
      </c>
      <c r="BP1" s="3" t="s">
        <v>162</v>
      </c>
      <c r="BQ1" s="3" t="s">
        <v>162</v>
      </c>
      <c r="BR1" s="3" t="s">
        <v>162</v>
      </c>
      <c r="BS1" s="3" t="s">
        <v>163</v>
      </c>
      <c r="BT1" s="3" t="s">
        <v>163</v>
      </c>
      <c r="BU1" s="3" t="s">
        <v>163</v>
      </c>
      <c r="BV1" s="3" t="s">
        <v>14</v>
      </c>
      <c r="BW1" s="3" t="s">
        <v>14</v>
      </c>
      <c r="BX1" s="3" t="s">
        <v>14</v>
      </c>
      <c r="BY1" s="4" t="s">
        <v>164</v>
      </c>
      <c r="BZ1" s="4" t="s">
        <v>164</v>
      </c>
      <c r="CA1" s="4" t="s">
        <v>164</v>
      </c>
      <c r="CB1" s="4" t="s">
        <v>164</v>
      </c>
      <c r="CC1" s="4" t="s">
        <v>164</v>
      </c>
      <c r="CD1" s="4" t="s">
        <v>164</v>
      </c>
      <c r="CE1" s="4" t="s">
        <v>164</v>
      </c>
      <c r="CF1" s="4" t="s">
        <v>164</v>
      </c>
      <c r="CG1" s="4" t="s">
        <v>164</v>
      </c>
      <c r="CH1" s="4" t="s">
        <v>164</v>
      </c>
      <c r="CI1" s="4" t="s">
        <v>164</v>
      </c>
      <c r="CJ1" s="4" t="s">
        <v>164</v>
      </c>
      <c r="CK1" s="4" t="s">
        <v>164</v>
      </c>
      <c r="CL1" s="4" t="s">
        <v>164</v>
      </c>
    </row>
    <row r="2" spans="3:90" ht="14.25" customHeight="1">
      <c r="C2" s="434"/>
      <c r="D2" s="434"/>
      <c r="E2" s="434"/>
      <c r="F2" s="434"/>
      <c r="G2" s="435"/>
      <c r="H2" s="436"/>
      <c r="I2" s="434"/>
      <c r="J2" s="434"/>
      <c r="K2" s="434"/>
      <c r="L2" s="434"/>
      <c r="M2" s="434"/>
      <c r="N2" s="434"/>
      <c r="O2" s="434"/>
      <c r="P2" s="434"/>
      <c r="Q2" s="434"/>
      <c r="R2" s="434"/>
      <c r="S2" s="434"/>
      <c r="T2" s="434"/>
      <c r="U2" s="434"/>
      <c r="V2" s="434"/>
      <c r="W2" s="437"/>
      <c r="X2" s="434"/>
      <c r="Y2" s="434"/>
      <c r="Z2" s="434"/>
      <c r="AA2" s="434"/>
      <c r="AB2" s="434"/>
      <c r="AC2" s="434"/>
      <c r="AD2" s="434"/>
      <c r="AE2" s="438"/>
      <c r="AF2" s="434"/>
      <c r="AG2" s="434"/>
      <c r="AH2" s="434"/>
      <c r="AI2" s="434"/>
      <c r="AJ2" s="434"/>
      <c r="AK2" s="434"/>
      <c r="AL2" s="434"/>
      <c r="AM2" s="434"/>
      <c r="AN2" s="434"/>
      <c r="AO2" s="434"/>
      <c r="AP2" s="438"/>
      <c r="AQ2" s="434"/>
      <c r="AR2" s="434"/>
      <c r="AS2" s="434"/>
      <c r="AT2" s="434"/>
      <c r="AU2" s="434"/>
      <c r="AV2" s="434"/>
      <c r="AW2" s="434"/>
      <c r="AX2" s="434"/>
      <c r="AY2" s="434"/>
      <c r="AZ2" s="434"/>
      <c r="BA2" s="434"/>
      <c r="BB2" s="434"/>
      <c r="BC2" s="434"/>
      <c r="BD2" s="434"/>
      <c r="BE2" s="434"/>
      <c r="BF2" s="434"/>
      <c r="BG2" s="434"/>
      <c r="BH2" s="434"/>
      <c r="BI2" s="434"/>
      <c r="BJ2" s="434"/>
      <c r="BK2" s="434"/>
      <c r="BL2" s="434"/>
      <c r="BM2" s="434"/>
      <c r="BN2" s="434"/>
      <c r="BO2" s="434"/>
      <c r="BP2" s="434"/>
      <c r="BQ2" s="434"/>
      <c r="BR2" s="434"/>
      <c r="BS2" s="434"/>
      <c r="BT2" s="434"/>
      <c r="BU2" s="434"/>
      <c r="BV2" s="434"/>
      <c r="BW2" s="434"/>
      <c r="BX2" s="434"/>
      <c r="BY2" s="434"/>
      <c r="BZ2" s="439" t="s">
        <v>165</v>
      </c>
      <c r="CA2" s="434"/>
      <c r="CB2" s="434"/>
      <c r="CC2" s="434"/>
      <c r="CD2" s="434"/>
      <c r="CE2" s="434"/>
      <c r="CF2" s="434"/>
      <c r="CG2" s="434"/>
      <c r="CH2" s="434"/>
      <c r="CI2" s="434"/>
      <c r="CJ2" s="434"/>
      <c r="CK2" s="434"/>
      <c r="CL2" s="434"/>
    </row>
    <row r="3" spans="3:90" ht="14.25" customHeight="1">
      <c r="C3" s="434"/>
      <c r="D3" s="434"/>
      <c r="E3" s="434"/>
      <c r="F3" s="434"/>
      <c r="G3" s="435"/>
      <c r="H3" s="436"/>
      <c r="I3" s="434"/>
      <c r="J3" s="434"/>
      <c r="K3" s="434"/>
      <c r="L3" s="434"/>
      <c r="M3" s="434"/>
      <c r="N3" s="434"/>
      <c r="O3" s="434"/>
      <c r="P3" s="434"/>
      <c r="Q3" s="434"/>
      <c r="R3" s="434"/>
      <c r="S3" s="434"/>
      <c r="T3" s="434"/>
      <c r="U3" s="434"/>
      <c r="V3" s="434"/>
      <c r="W3" s="437"/>
      <c r="X3" s="434"/>
      <c r="Y3" s="434"/>
      <c r="Z3" s="434"/>
      <c r="AA3" s="434"/>
      <c r="AB3" s="434"/>
      <c r="AC3" s="434"/>
      <c r="AD3" s="434"/>
      <c r="AE3" s="438"/>
      <c r="AF3" s="434"/>
      <c r="AG3" s="434"/>
      <c r="AH3" s="434"/>
      <c r="AI3" s="434"/>
      <c r="AJ3" s="434"/>
      <c r="AK3" s="434"/>
      <c r="AL3" s="434"/>
      <c r="AM3" s="434"/>
      <c r="AN3" s="434"/>
      <c r="AO3" s="434"/>
      <c r="AP3" s="438"/>
      <c r="AQ3" s="434"/>
      <c r="AR3" s="434"/>
      <c r="AS3" s="434"/>
      <c r="AT3" s="434"/>
      <c r="AU3" s="434"/>
      <c r="AV3" s="434"/>
      <c r="AW3" s="434"/>
      <c r="AX3" s="434"/>
      <c r="AY3" s="434"/>
      <c r="AZ3" s="434"/>
      <c r="BA3" s="434"/>
      <c r="BB3" s="434"/>
      <c r="BC3" s="434"/>
      <c r="BD3" s="434"/>
      <c r="BE3" s="434"/>
      <c r="BF3" s="434"/>
      <c r="BG3" s="434"/>
      <c r="BH3" s="434"/>
      <c r="BI3" s="434"/>
      <c r="BJ3" s="434"/>
      <c r="BK3" s="434"/>
      <c r="BL3" s="434"/>
      <c r="BM3" s="434"/>
      <c r="BN3" s="434"/>
      <c r="BO3" s="434"/>
      <c r="BP3" s="434"/>
      <c r="BQ3" s="434"/>
      <c r="BR3" s="434"/>
      <c r="BS3" s="434"/>
      <c r="BT3" s="434"/>
      <c r="BU3" s="434"/>
      <c r="BV3" s="434"/>
      <c r="BW3" s="434"/>
      <c r="BX3" s="434"/>
      <c r="BY3" s="434"/>
      <c r="BZ3" s="439"/>
      <c r="CA3" s="434"/>
      <c r="CB3" s="434"/>
      <c r="CC3" s="434"/>
      <c r="CD3" s="434"/>
      <c r="CE3" s="434"/>
      <c r="CF3" s="434"/>
      <c r="CG3" s="434"/>
      <c r="CH3" s="434"/>
      <c r="CI3" s="434"/>
      <c r="CJ3" s="434"/>
      <c r="CK3" s="434"/>
      <c r="CL3" s="434"/>
    </row>
    <row r="4" spans="3:90" ht="14.25" customHeight="1">
      <c r="C4" s="434"/>
      <c r="D4" s="434"/>
      <c r="E4" s="434"/>
      <c r="F4" s="434"/>
      <c r="G4" s="435"/>
      <c r="H4" s="436"/>
      <c r="I4" s="434"/>
      <c r="J4" s="434"/>
      <c r="K4" s="434"/>
      <c r="L4" s="434"/>
      <c r="M4" s="434"/>
      <c r="N4" s="434"/>
      <c r="O4" s="434"/>
      <c r="P4" s="434"/>
      <c r="Q4" s="434"/>
      <c r="R4" s="434"/>
      <c r="S4" s="434"/>
      <c r="T4" s="434"/>
      <c r="U4" s="434"/>
      <c r="V4" s="434"/>
      <c r="W4" s="437"/>
      <c r="X4" s="434"/>
      <c r="Y4" s="434"/>
      <c r="Z4" s="434"/>
      <c r="AA4" s="434"/>
      <c r="AB4" s="434"/>
      <c r="AC4" s="434"/>
      <c r="AD4" s="434"/>
      <c r="AE4" s="438"/>
      <c r="AF4" s="434"/>
      <c r="AG4" s="434"/>
      <c r="AH4" s="434"/>
      <c r="AI4" s="434"/>
      <c r="AJ4" s="434"/>
      <c r="AK4" s="434"/>
      <c r="AL4" s="434"/>
      <c r="AM4" s="434"/>
      <c r="AN4" s="434"/>
      <c r="AO4" s="434"/>
      <c r="AP4" s="438"/>
      <c r="AQ4" s="434"/>
      <c r="AR4" s="434"/>
      <c r="AS4" s="434"/>
      <c r="AT4" s="434"/>
      <c r="AU4" s="434"/>
      <c r="AV4" s="434"/>
      <c r="AW4" s="434"/>
      <c r="AX4" s="434"/>
      <c r="AY4" s="434"/>
      <c r="AZ4" s="434"/>
      <c r="BA4" s="434"/>
      <c r="BB4" s="434"/>
      <c r="BC4" s="434"/>
      <c r="BD4" s="434"/>
      <c r="BE4" s="434"/>
      <c r="BF4" s="434"/>
      <c r="BG4" s="434"/>
      <c r="BH4" s="434"/>
      <c r="BI4" s="434"/>
      <c r="BJ4" s="434"/>
      <c r="BK4" s="434"/>
      <c r="BL4" s="434"/>
      <c r="BM4" s="434"/>
      <c r="BN4" s="434"/>
      <c r="BO4" s="434"/>
      <c r="BP4" s="434"/>
      <c r="BQ4" s="434"/>
      <c r="BR4" s="434"/>
      <c r="BS4" s="434"/>
      <c r="BT4" s="434"/>
      <c r="BU4" s="434"/>
      <c r="BV4" s="434"/>
      <c r="BW4" s="434"/>
      <c r="BX4" s="434"/>
      <c r="BY4" s="434"/>
      <c r="BZ4" s="439"/>
      <c r="CA4" s="434"/>
      <c r="CB4" s="434"/>
      <c r="CC4" s="434"/>
      <c r="CD4" s="434"/>
      <c r="CE4" s="434"/>
      <c r="CF4" s="434"/>
      <c r="CG4" s="434"/>
      <c r="CH4" s="434"/>
      <c r="CI4" s="434"/>
      <c r="CJ4" s="434"/>
      <c r="CK4" s="434"/>
      <c r="CL4" s="434"/>
    </row>
    <row r="5" spans="3:90" ht="9" customHeight="1">
      <c r="C5" s="440"/>
      <c r="D5" s="440"/>
      <c r="E5" s="440"/>
      <c r="F5" s="440"/>
      <c r="G5" s="441"/>
      <c r="H5" s="442"/>
      <c r="I5" s="442"/>
      <c r="J5" s="443"/>
      <c r="K5" s="443"/>
      <c r="L5" s="443"/>
      <c r="M5" s="443"/>
      <c r="N5" s="443"/>
      <c r="O5" s="443"/>
      <c r="P5" s="443"/>
      <c r="Q5" s="443"/>
      <c r="R5" s="443"/>
      <c r="S5" s="443"/>
      <c r="T5" s="443"/>
      <c r="U5" s="444"/>
      <c r="V5" s="444"/>
      <c r="W5" s="444"/>
      <c r="X5" s="443"/>
      <c r="Z5" s="443"/>
      <c r="AA5" s="443"/>
      <c r="AB5" s="443"/>
      <c r="AC5" s="443"/>
      <c r="AD5" s="443"/>
      <c r="AE5" s="445"/>
      <c r="AF5" s="443"/>
      <c r="AG5" s="443"/>
      <c r="AH5" s="446"/>
      <c r="AI5" s="443"/>
      <c r="AJ5" s="443"/>
      <c r="AK5" s="443"/>
      <c r="AL5" s="443"/>
      <c r="AM5" s="443"/>
      <c r="AN5" s="443"/>
      <c r="AO5" s="443"/>
      <c r="AP5" s="447"/>
      <c r="AQ5" s="443"/>
      <c r="AS5" s="443"/>
      <c r="AT5" s="443"/>
      <c r="AU5" s="443"/>
      <c r="AV5" s="443"/>
      <c r="AW5" s="443"/>
      <c r="AX5" s="446">
        <f>AM86</f>
        <v>0</v>
      </c>
      <c r="AY5" s="443"/>
      <c r="AZ5" s="443"/>
      <c r="BA5" s="447"/>
      <c r="BC5" s="448"/>
      <c r="BE5" s="443"/>
      <c r="BG5" s="443"/>
      <c r="BH5" s="443"/>
      <c r="BI5" s="443"/>
      <c r="BJ5" s="443"/>
      <c r="BK5" s="443"/>
      <c r="BL5" s="443"/>
      <c r="BM5" s="447"/>
      <c r="BN5" s="447"/>
      <c r="BO5" s="443"/>
      <c r="BQ5" s="443"/>
      <c r="BS5" s="449"/>
      <c r="BT5" s="449"/>
      <c r="BU5" s="442"/>
      <c r="BZ5" s="443"/>
      <c r="CA5" s="443"/>
      <c r="CB5" s="443"/>
      <c r="CC5" s="443"/>
      <c r="CD5" s="443"/>
      <c r="CE5" s="443"/>
      <c r="CF5" s="443"/>
      <c r="CG5" s="443"/>
      <c r="CH5" s="443"/>
      <c r="CI5" s="443"/>
      <c r="CJ5" s="443"/>
      <c r="CK5" s="443"/>
      <c r="CL5" s="443"/>
    </row>
    <row r="6" spans="3:90" ht="15">
      <c r="C6" s="450"/>
      <c r="D6" s="451" t="s">
        <v>166</v>
      </c>
      <c r="E6" s="450"/>
      <c r="F6" s="450"/>
      <c r="G6" s="441"/>
      <c r="H6" s="442"/>
      <c r="I6" s="452"/>
      <c r="J6" s="443"/>
      <c r="L6" s="443"/>
      <c r="M6" s="443"/>
      <c r="N6" s="443"/>
      <c r="O6" s="443"/>
      <c r="P6" s="443"/>
      <c r="Q6" s="443"/>
      <c r="R6" s="443"/>
      <c r="S6" s="443"/>
      <c r="T6" s="443"/>
      <c r="U6" s="444"/>
      <c r="V6" s="444"/>
      <c r="W6" s="444"/>
      <c r="X6" s="443"/>
      <c r="Z6" s="443"/>
      <c r="AA6" s="443"/>
      <c r="AB6" s="443"/>
      <c r="AC6" s="443"/>
      <c r="AD6" s="443"/>
      <c r="AE6" s="445"/>
      <c r="AF6" s="443"/>
      <c r="AG6" s="443"/>
      <c r="AH6" s="446"/>
      <c r="AI6" s="443"/>
      <c r="AJ6" s="443"/>
      <c r="AK6" s="443"/>
      <c r="AL6" s="443"/>
      <c r="AM6" s="443"/>
      <c r="AN6" s="443"/>
      <c r="AO6" s="443"/>
      <c r="AP6" s="447"/>
      <c r="AQ6" s="443"/>
      <c r="AS6" s="443"/>
      <c r="AT6" s="443"/>
      <c r="AU6" s="443"/>
      <c r="AV6" s="443"/>
      <c r="AW6" s="443"/>
      <c r="AX6" s="446"/>
      <c r="AY6" s="443"/>
      <c r="AZ6" s="443"/>
      <c r="BA6" s="447"/>
      <c r="BC6" s="448"/>
      <c r="BE6" s="443"/>
      <c r="BG6" s="443"/>
      <c r="BH6" s="443"/>
      <c r="BI6" s="443"/>
      <c r="BJ6" s="443"/>
      <c r="BK6" s="443"/>
      <c r="BL6" s="443"/>
      <c r="BM6" s="447"/>
      <c r="BN6" s="447"/>
      <c r="BO6" s="443"/>
      <c r="BQ6" s="443"/>
      <c r="BS6" s="449"/>
      <c r="BT6" s="449"/>
      <c r="BU6" s="442"/>
      <c r="BZ6" s="443"/>
      <c r="CA6" s="443"/>
      <c r="CB6" s="443"/>
      <c r="CC6" s="443"/>
      <c r="CD6" s="443"/>
      <c r="CE6" s="443"/>
      <c r="CF6" s="443"/>
      <c r="CG6" s="443"/>
      <c r="CH6" s="443"/>
      <c r="CI6" s="443"/>
      <c r="CJ6" s="443"/>
      <c r="CK6" s="443"/>
      <c r="CL6" s="443"/>
    </row>
    <row r="7" spans="3:90" ht="16" thickBot="1">
      <c r="C7" s="453" t="s">
        <v>0</v>
      </c>
      <c r="D7" s="454"/>
      <c r="G7" s="685">
        <f>mOption!G8</f>
        <v>45688</v>
      </c>
      <c r="H7" s="455" t="s">
        <v>167</v>
      </c>
      <c r="I7" s="456"/>
      <c r="K7" s="443"/>
      <c r="L7" s="443"/>
      <c r="M7" s="443"/>
      <c r="N7" s="443"/>
      <c r="O7" s="443"/>
      <c r="P7" s="443"/>
      <c r="Q7" s="443"/>
      <c r="R7" s="443"/>
      <c r="S7" s="443"/>
      <c r="T7" s="443"/>
      <c r="U7" s="443"/>
      <c r="V7" s="444"/>
      <c r="W7" s="444"/>
      <c r="X7" s="444"/>
      <c r="Y7" s="443"/>
      <c r="AA7" s="443"/>
      <c r="AB7" s="443"/>
      <c r="AC7" s="443"/>
      <c r="AD7" s="443"/>
      <c r="AE7" s="443"/>
      <c r="AF7" s="445"/>
      <c r="AG7" s="443"/>
      <c r="AH7" s="443"/>
      <c r="AI7" s="446"/>
      <c r="AJ7" s="443"/>
      <c r="AK7" s="443"/>
      <c r="AL7" s="443"/>
      <c r="AM7" s="443"/>
      <c r="AN7" s="443"/>
      <c r="AO7" s="443"/>
      <c r="AP7" s="443"/>
      <c r="AQ7" s="447"/>
      <c r="AR7" s="443"/>
      <c r="AT7" s="443"/>
      <c r="AU7" s="443"/>
      <c r="AV7" s="443"/>
      <c r="AW7" s="443"/>
      <c r="AX7" s="443"/>
      <c r="AY7" s="446"/>
      <c r="AZ7" s="443"/>
      <c r="BA7" s="443"/>
      <c r="BB7" s="447"/>
      <c r="BD7" s="448"/>
      <c r="BF7" s="443"/>
      <c r="BH7" s="443"/>
      <c r="BI7" s="443"/>
      <c r="BJ7" s="443"/>
      <c r="BK7" s="443"/>
      <c r="BL7" s="443"/>
      <c r="BM7" s="443"/>
      <c r="BN7" s="447"/>
      <c r="BO7" s="447"/>
      <c r="BP7" s="443"/>
      <c r="BR7" s="443"/>
      <c r="BT7" s="449"/>
      <c r="BU7" s="449"/>
      <c r="BV7" s="442"/>
      <c r="CA7" s="443"/>
      <c r="CB7" s="443"/>
      <c r="CC7" s="443"/>
      <c r="CD7" s="443"/>
      <c r="CE7" s="443"/>
      <c r="CF7" s="443"/>
      <c r="CG7" s="443"/>
      <c r="CH7" s="443"/>
      <c r="CI7" s="443"/>
      <c r="CJ7" s="443"/>
      <c r="CK7" s="443"/>
      <c r="CL7" s="443"/>
    </row>
    <row r="8" spans="3:90" s="251" customFormat="1" ht="16" thickTop="1" thickBot="1">
      <c r="C8" t="s">
        <v>168</v>
      </c>
      <c r="D8"/>
      <c r="G8" s="457" cm="1">
        <f t="array" ref="G8">MATCH(1,0/G57:G416)</f>
        <v>64</v>
      </c>
      <c r="H8" s="458"/>
      <c r="I8"/>
      <c r="K8" s="443"/>
      <c r="L8" s="443"/>
      <c r="M8" s="251" t="s">
        <v>169</v>
      </c>
      <c r="R8" s="251" cm="1">
        <f t="array" ref="R8:Y8">_xlfn.SEQUENCE(1,COUNTA(D418:D448),0,1)</f>
        <v>0</v>
      </c>
      <c r="S8" s="251">
        <v>1</v>
      </c>
      <c r="T8" s="251">
        <v>2</v>
      </c>
      <c r="U8" s="251">
        <v>3</v>
      </c>
      <c r="V8" s="251">
        <v>4</v>
      </c>
      <c r="W8" s="251">
        <v>5</v>
      </c>
      <c r="X8" s="251">
        <v>6</v>
      </c>
      <c r="Y8" s="251">
        <v>7</v>
      </c>
      <c r="AE8" s="443"/>
      <c r="AF8" s="443"/>
      <c r="AG8" s="443"/>
      <c r="AH8" s="443"/>
      <c r="AI8" s="443"/>
      <c r="AJ8" s="443"/>
      <c r="AK8" s="443"/>
      <c r="AL8" s="447"/>
      <c r="AM8" s="443"/>
      <c r="AN8"/>
      <c r="AO8" s="443"/>
      <c r="AP8" s="443"/>
      <c r="AQ8" s="443"/>
      <c r="AR8" s="443"/>
      <c r="AS8" s="443"/>
      <c r="AT8" s="446"/>
      <c r="AU8" s="443"/>
      <c r="AV8" s="443"/>
      <c r="AW8" s="447"/>
      <c r="AX8"/>
      <c r="AY8" s="448"/>
      <c r="AZ8"/>
      <c r="BA8" s="443"/>
      <c r="BB8"/>
      <c r="BC8" s="443"/>
      <c r="BD8" s="443"/>
      <c r="BE8" s="443"/>
      <c r="BF8" s="443"/>
      <c r="BG8" s="443"/>
      <c r="BH8" s="443"/>
      <c r="BI8" s="447"/>
      <c r="BJ8" s="447"/>
      <c r="BK8" s="443"/>
      <c r="BL8"/>
      <c r="BM8" s="443"/>
      <c r="BN8"/>
      <c r="BO8" s="449"/>
      <c r="BP8" s="449"/>
      <c r="BQ8" s="442"/>
      <c r="BR8"/>
      <c r="BS8"/>
      <c r="BT8"/>
      <c r="BU8"/>
      <c r="BV8" s="443"/>
      <c r="BW8" s="443"/>
      <c r="BX8" s="443"/>
      <c r="BY8" s="443"/>
      <c r="BZ8" s="443"/>
      <c r="CA8" s="443"/>
      <c r="CB8" s="443"/>
      <c r="CC8" s="443"/>
      <c r="CD8" s="443"/>
      <c r="CE8" s="443"/>
      <c r="CF8" s="443"/>
      <c r="CG8" s="443"/>
      <c r="CH8"/>
    </row>
    <row r="9" spans="3:90" s="251" customFormat="1" ht="16" thickTop="1" thickBot="1">
      <c r="C9" s="440"/>
      <c r="D9" s="440"/>
      <c r="G9" s="440"/>
      <c r="H9" s="441"/>
      <c r="I9" s="442"/>
      <c r="J9" s="442"/>
      <c r="K9" s="443"/>
      <c r="L9" s="443"/>
      <c r="M9" s="251" t="s">
        <v>87</v>
      </c>
      <c r="R9" s="459">
        <f>G7-1</f>
        <v>45687</v>
      </c>
      <c r="S9" s="251" cm="1">
        <f t="array" ref="S9:W9">TRANSPOSE(_xlfn.UNIQUE(_xlfn._xlws.FILTER(F420:F450,F420:F450&lt;&gt;"")))</f>
        <v>2022</v>
      </c>
      <c r="T9" s="251">
        <v>2023</v>
      </c>
      <c r="U9" s="251">
        <v>2024</v>
      </c>
      <c r="V9" s="251">
        <v>2025</v>
      </c>
      <c r="W9" s="251">
        <v>2026</v>
      </c>
      <c r="AE9" s="443"/>
      <c r="AF9" s="443"/>
      <c r="AG9" s="443"/>
      <c r="AH9" s="443"/>
      <c r="AI9" s="443"/>
      <c r="AJ9" s="443"/>
      <c r="AK9" s="443"/>
      <c r="AL9" s="447"/>
      <c r="AM9" s="443"/>
      <c r="AN9"/>
      <c r="AO9" s="443"/>
      <c r="AP9" s="443"/>
      <c r="AQ9" s="443"/>
      <c r="AR9" s="443"/>
      <c r="AS9" s="443"/>
      <c r="AT9" s="446"/>
      <c r="AU9" s="443"/>
      <c r="AV9" s="443"/>
      <c r="AW9" s="447"/>
      <c r="AX9"/>
      <c r="AY9" s="448"/>
      <c r="AZ9"/>
      <c r="BA9" s="443"/>
      <c r="BB9"/>
      <c r="BC9" s="443"/>
      <c r="BD9" s="443"/>
      <c r="BE9" s="443"/>
      <c r="BF9" s="443"/>
      <c r="BG9" s="443"/>
      <c r="BH9" s="443"/>
      <c r="BI9" s="447"/>
      <c r="BJ9" s="447"/>
      <c r="BK9" s="443"/>
      <c r="BL9"/>
      <c r="BM9" s="443"/>
      <c r="BN9"/>
      <c r="BO9" s="449"/>
      <c r="BP9" s="449"/>
      <c r="BQ9" s="442"/>
      <c r="BR9"/>
      <c r="BS9"/>
      <c r="BT9"/>
      <c r="BU9"/>
      <c r="BV9" s="443"/>
      <c r="BW9" s="443"/>
      <c r="BX9" s="443"/>
      <c r="BY9" s="443"/>
      <c r="BZ9" s="443"/>
      <c r="CA9" s="443"/>
      <c r="CB9" s="443"/>
      <c r="CC9" s="443"/>
      <c r="CD9" s="443"/>
      <c r="CE9" s="443"/>
      <c r="CF9" s="443"/>
      <c r="CG9" s="443"/>
      <c r="CH9"/>
    </row>
    <row r="10" spans="3:90" ht="18" thickTop="1" thickBot="1">
      <c r="C10" s="460" t="s">
        <v>170</v>
      </c>
      <c r="D10" s="461"/>
      <c r="E10" s="461"/>
      <c r="F10" s="461"/>
      <c r="G10" s="462"/>
      <c r="H10" s="462"/>
      <c r="I10" s="463"/>
      <c r="J10" s="463"/>
      <c r="K10" s="443"/>
      <c r="L10" s="443"/>
      <c r="M10" s="251"/>
      <c r="N10" s="251"/>
      <c r="O10" s="251"/>
      <c r="P10" s="251"/>
      <c r="Q10" s="251"/>
      <c r="R10" s="251"/>
      <c r="S10" s="251"/>
      <c r="T10" s="251"/>
      <c r="U10" s="251"/>
      <c r="V10" s="251"/>
      <c r="W10" s="251"/>
      <c r="X10" s="251"/>
      <c r="Y10" s="251"/>
      <c r="Z10" s="251"/>
      <c r="AE10" s="443"/>
      <c r="AF10" s="443"/>
      <c r="AG10" s="443"/>
      <c r="AH10" s="443"/>
      <c r="AI10" s="443"/>
      <c r="AJ10" s="443"/>
      <c r="AK10" s="443"/>
      <c r="AL10" s="447"/>
      <c r="AM10" s="443"/>
      <c r="AO10" s="443"/>
      <c r="AP10" s="443"/>
      <c r="AQ10" s="443"/>
      <c r="AR10" s="443"/>
      <c r="AS10" s="443"/>
      <c r="AT10" s="446"/>
      <c r="AU10" s="443"/>
      <c r="AV10" s="443"/>
      <c r="AW10" s="447"/>
      <c r="AY10" s="448"/>
      <c r="BA10" s="443"/>
      <c r="BC10" s="443"/>
      <c r="BD10" s="443"/>
      <c r="BE10" s="443"/>
      <c r="BF10" s="443"/>
      <c r="BG10" s="443"/>
      <c r="BH10" s="443"/>
      <c r="BI10" s="447"/>
      <c r="BJ10" s="447"/>
      <c r="BK10" s="443"/>
      <c r="BM10" s="443"/>
      <c r="BO10" s="449"/>
      <c r="BP10" s="449"/>
      <c r="BQ10" s="442"/>
      <c r="BV10" s="443"/>
      <c r="BW10" s="443"/>
      <c r="BX10" s="443"/>
      <c r="BY10" s="443"/>
      <c r="BZ10" s="443"/>
      <c r="CA10" s="443"/>
      <c r="CB10" s="443"/>
      <c r="CC10" s="443"/>
      <c r="CD10" s="443"/>
      <c r="CE10" s="443"/>
      <c r="CF10" s="443"/>
      <c r="CG10" s="443"/>
    </row>
    <row r="11" spans="3:90" ht="16" thickTop="1" thickBot="1">
      <c r="C11" s="464" t="s">
        <v>171</v>
      </c>
      <c r="D11" s="464"/>
      <c r="E11" s="465"/>
      <c r="F11" s="466"/>
      <c r="G11" s="467"/>
      <c r="H11" s="468">
        <v>0</v>
      </c>
      <c r="I11" s="469" cm="1">
        <f t="array" ref="I11">c_EquityShare.LP</f>
        <v>1</v>
      </c>
      <c r="J11" s="470">
        <f>i_EquityShare.GP+I11</f>
        <v>1</v>
      </c>
      <c r="K11" s="443"/>
      <c r="L11" s="443"/>
      <c r="M11" s="251" t="s">
        <v>76</v>
      </c>
      <c r="N11" s="251"/>
      <c r="O11" s="251"/>
      <c r="P11" s="251"/>
      <c r="Q11" s="251"/>
      <c r="R11" s="471" cm="1">
        <f t="array" ref="R11:X11">TRANSPOSE(_xlfn._xlws.FILTER(G419:G449,G419:G449&lt;&gt;0))</f>
        <v>-18550000</v>
      </c>
      <c r="S11" s="471">
        <v>-6966666.666666667</v>
      </c>
      <c r="T11" s="471">
        <v>4616041.2437798735</v>
      </c>
      <c r="U11" s="471">
        <v>12262438.756910365</v>
      </c>
      <c r="V11" s="251">
        <v>19644030.359752346</v>
      </c>
      <c r="W11" s="251">
        <v>26076900.231866837</v>
      </c>
      <c r="X11" s="251">
        <v>13484551.326557463</v>
      </c>
      <c r="Y11" s="251"/>
      <c r="Z11" s="251"/>
      <c r="AE11" s="443"/>
      <c r="AF11" s="443"/>
      <c r="AG11" s="443"/>
      <c r="AH11" s="443"/>
      <c r="AI11" s="443"/>
      <c r="AJ11" s="443"/>
      <c r="AK11" s="443"/>
      <c r="AL11" s="447"/>
      <c r="AM11" s="443"/>
      <c r="AO11" s="443"/>
      <c r="AP11" s="443"/>
      <c r="AQ11" s="443"/>
      <c r="AR11" s="443"/>
      <c r="AS11" s="443"/>
      <c r="AT11" s="446"/>
      <c r="AU11" s="443"/>
      <c r="AV11" s="443"/>
      <c r="AW11" s="447"/>
      <c r="AY11" s="448"/>
      <c r="BA11" s="443"/>
      <c r="BC11" s="443"/>
      <c r="BD11" s="443"/>
      <c r="BE11" s="443"/>
      <c r="BF11" s="443"/>
      <c r="BG11" s="443"/>
      <c r="BH11" s="443"/>
      <c r="BI11" s="447"/>
      <c r="BJ11" s="447"/>
      <c r="BK11" s="443"/>
      <c r="BM11" s="443"/>
      <c r="BO11" s="449"/>
      <c r="BP11" s="449"/>
      <c r="BQ11" s="442"/>
      <c r="BV11" s="443"/>
      <c r="BW11" s="443"/>
      <c r="BX11" s="443"/>
      <c r="BY11" s="443"/>
      <c r="BZ11" s="443"/>
      <c r="CA11" s="443"/>
      <c r="CB11" s="443"/>
      <c r="CC11" s="443"/>
      <c r="CD11" s="443"/>
      <c r="CE11" s="443"/>
      <c r="CF11" s="443"/>
      <c r="CG11" s="443"/>
    </row>
    <row r="12" spans="3:90" ht="16" thickTop="1" thickBot="1">
      <c r="C12" s="464" t="s">
        <v>172</v>
      </c>
      <c r="D12" s="464"/>
      <c r="E12" s="465"/>
      <c r="F12" s="466"/>
      <c r="G12" s="472"/>
      <c r="H12" s="473">
        <f>H11*-SUMIF($G$56:$G$416,"&lt;0",$G$56:$G$416)</f>
        <v>0</v>
      </c>
      <c r="I12" s="473">
        <f>I11*-SUMIF($G$56:$G$416,"&lt;0",$G$56:$G$416)</f>
        <v>26213333.333333347</v>
      </c>
      <c r="J12" s="473">
        <f>J11*-SUMIF($G$56:$G$416,"&lt;0",$G$56:$G$416)</f>
        <v>26213333.333333347</v>
      </c>
      <c r="K12" s="443"/>
      <c r="L12" s="443"/>
      <c r="M12" s="251"/>
      <c r="N12" s="251"/>
      <c r="O12" s="251"/>
      <c r="P12" s="251"/>
      <c r="Q12" s="251"/>
      <c r="R12" s="251"/>
      <c r="S12" s="251"/>
      <c r="T12" s="251"/>
      <c r="U12" s="251"/>
      <c r="V12" s="251"/>
      <c r="W12" s="251"/>
      <c r="X12" s="251"/>
      <c r="Y12" s="251"/>
      <c r="Z12" s="251"/>
      <c r="AE12" s="443"/>
      <c r="AF12" s="443"/>
      <c r="AG12" s="443"/>
      <c r="AH12" s="443"/>
      <c r="AI12" s="443"/>
      <c r="AJ12" s="443"/>
      <c r="AK12" s="443"/>
      <c r="AL12" s="447"/>
      <c r="AM12" s="443"/>
      <c r="AO12" s="443"/>
      <c r="AP12" s="443"/>
      <c r="AQ12" s="443"/>
      <c r="AR12" s="443"/>
      <c r="AS12" s="443"/>
      <c r="AT12" s="446"/>
      <c r="AU12" s="443"/>
      <c r="AV12" s="443"/>
      <c r="AW12" s="447"/>
      <c r="AY12" s="448"/>
      <c r="BA12" s="443"/>
      <c r="BC12" s="443"/>
      <c r="BD12" s="443"/>
      <c r="BE12" s="443"/>
      <c r="BF12" s="443"/>
      <c r="BG12" s="443"/>
      <c r="BH12" s="443"/>
      <c r="BI12" s="447"/>
      <c r="BJ12" s="447"/>
      <c r="BK12" s="443"/>
      <c r="BM12" s="443"/>
      <c r="BO12" s="449"/>
      <c r="BP12" s="449"/>
      <c r="BQ12" s="442"/>
      <c r="BV12" s="443"/>
      <c r="BW12" s="443"/>
      <c r="BX12" s="443"/>
      <c r="BY12" s="443"/>
      <c r="BZ12" s="443"/>
      <c r="CA12" s="443"/>
      <c r="CB12" s="443"/>
      <c r="CC12" s="443"/>
      <c r="CD12" s="443"/>
      <c r="CE12" s="443"/>
      <c r="CF12" s="443"/>
      <c r="CG12" s="443"/>
    </row>
    <row r="13" spans="3:90" ht="16" thickTop="1" thickBot="1">
      <c r="C13" s="441"/>
      <c r="D13" s="442"/>
      <c r="G13" s="442"/>
      <c r="H13" s="441"/>
      <c r="I13" s="442"/>
      <c r="J13" s="442"/>
      <c r="K13" s="443"/>
      <c r="L13" s="443"/>
      <c r="M13" s="251" t="s">
        <v>173</v>
      </c>
      <c r="N13" s="251"/>
      <c r="O13" s="251"/>
      <c r="P13" s="251"/>
      <c r="Q13" s="251"/>
      <c r="R13" s="251"/>
      <c r="S13" s="251"/>
      <c r="T13" s="251"/>
      <c r="U13" s="251"/>
      <c r="V13" s="251"/>
      <c r="W13" s="251"/>
      <c r="X13" s="251"/>
      <c r="Y13" s="251"/>
      <c r="Z13" s="251"/>
      <c r="AE13" s="443"/>
      <c r="AF13" s="443"/>
      <c r="AG13" s="443"/>
      <c r="AH13" s="443"/>
      <c r="AI13" s="443"/>
      <c r="AJ13" s="443"/>
      <c r="AK13" s="443"/>
      <c r="AL13" s="447"/>
      <c r="AM13" s="443"/>
      <c r="AO13" s="443"/>
      <c r="AP13" s="443"/>
      <c r="AQ13" s="443"/>
      <c r="AR13" s="443"/>
      <c r="AS13" s="443"/>
      <c r="AT13" s="446"/>
      <c r="AU13" s="443"/>
      <c r="AV13" s="443"/>
      <c r="AW13" s="447"/>
      <c r="AY13" s="448"/>
      <c r="BA13" s="443"/>
      <c r="BC13" s="443"/>
      <c r="BD13" s="443"/>
      <c r="BE13" s="443"/>
      <c r="BF13" s="443"/>
      <c r="BG13" s="443"/>
      <c r="BH13" s="443"/>
      <c r="BI13" s="447"/>
      <c r="BJ13" s="447"/>
      <c r="BK13" s="443"/>
      <c r="BM13" s="443"/>
      <c r="BO13" s="449"/>
      <c r="BP13" s="449"/>
      <c r="BQ13" s="442"/>
      <c r="BV13" s="443"/>
      <c r="BW13" s="443"/>
      <c r="BX13" s="443"/>
      <c r="BY13" s="443"/>
      <c r="BZ13" s="443"/>
      <c r="CA13" s="443"/>
      <c r="CB13" s="443"/>
      <c r="CC13" s="443"/>
      <c r="CD13" s="443"/>
      <c r="CE13" s="443"/>
      <c r="CF13" s="443"/>
      <c r="CG13" s="443"/>
    </row>
    <row r="14" spans="3:90" ht="16" thickTop="1" thickBot="1">
      <c r="C14" s="474" t="s">
        <v>173</v>
      </c>
      <c r="D14" s="475"/>
      <c r="E14" s="475"/>
      <c r="F14" s="475"/>
      <c r="G14" s="476"/>
      <c r="H14" s="477" t="s">
        <v>174</v>
      </c>
      <c r="I14" s="477" t="s">
        <v>175</v>
      </c>
      <c r="J14" s="477" t="s">
        <v>176</v>
      </c>
      <c r="K14" s="443"/>
      <c r="L14" s="443"/>
      <c r="M14" s="251" t="s">
        <v>177</v>
      </c>
      <c r="N14" s="251"/>
      <c r="O14" s="478">
        <f>i_Rate.Pref</f>
        <v>0</v>
      </c>
      <c r="Q14" s="251"/>
      <c r="AE14" s="443"/>
      <c r="AF14" s="443"/>
      <c r="AG14" s="443"/>
      <c r="AH14" s="443"/>
      <c r="AI14" s="443"/>
      <c r="AJ14" s="443"/>
      <c r="AK14" s="443"/>
      <c r="AL14" s="447"/>
      <c r="AM14" s="443"/>
      <c r="AO14" s="443"/>
      <c r="AP14" s="443"/>
      <c r="AQ14" s="443"/>
      <c r="AR14" s="443"/>
      <c r="AS14" s="443"/>
      <c r="AT14" s="446"/>
      <c r="AU14" s="443"/>
      <c r="AV14" s="443"/>
      <c r="AW14" s="447"/>
      <c r="AY14" s="448"/>
      <c r="BA14" s="443"/>
      <c r="BC14" s="443"/>
      <c r="BD14" s="443"/>
      <c r="BE14" s="443"/>
      <c r="BF14" s="443"/>
      <c r="BG14" s="443"/>
      <c r="BH14" s="443"/>
      <c r="BI14" s="447"/>
      <c r="BJ14" s="447"/>
      <c r="BK14" s="443"/>
      <c r="BM14" s="443"/>
      <c r="BO14" s="449"/>
      <c r="BP14" s="449"/>
      <c r="BQ14" s="442"/>
      <c r="BV14" s="443"/>
      <c r="BW14" s="443"/>
      <c r="BX14" s="443"/>
      <c r="BY14" s="443"/>
      <c r="BZ14" s="443"/>
      <c r="CA14" s="443"/>
      <c r="CB14" s="443"/>
      <c r="CC14" s="443"/>
      <c r="CD14" s="443"/>
      <c r="CE14" s="443"/>
      <c r="CF14" s="443"/>
      <c r="CG14" s="443"/>
    </row>
    <row r="15" spans="3:90" ht="16" thickTop="1" thickBot="1">
      <c r="C15" s="479" t="s">
        <v>178</v>
      </c>
      <c r="D15" s="464"/>
      <c r="E15" s="465"/>
      <c r="F15" s="466"/>
      <c r="G15" s="480"/>
      <c r="H15" s="481"/>
      <c r="I15" s="481">
        <f>H11</f>
        <v>0</v>
      </c>
      <c r="J15" s="481">
        <f>I11</f>
        <v>1</v>
      </c>
      <c r="K15" s="443"/>
      <c r="L15" s="443"/>
      <c r="M15" s="482" t="s">
        <v>179</v>
      </c>
      <c r="N15" s="482"/>
      <c r="O15" s="482"/>
      <c r="P15" s="483">
        <f>I11</f>
        <v>1</v>
      </c>
      <c r="Q15" s="482"/>
      <c r="R15" s="471">
        <f t="shared" ref="R15:Z15" si="0">R$11*$P15</f>
        <v>-18550000</v>
      </c>
      <c r="S15" s="471">
        <f t="shared" si="0"/>
        <v>-6966666.666666667</v>
      </c>
      <c r="T15" s="471">
        <f t="shared" si="0"/>
        <v>4616041.2437798735</v>
      </c>
      <c r="U15" s="471">
        <f t="shared" si="0"/>
        <v>12262438.756910365</v>
      </c>
      <c r="V15" s="471">
        <f t="shared" si="0"/>
        <v>19644030.359752346</v>
      </c>
      <c r="W15" s="471">
        <f t="shared" si="0"/>
        <v>26076900.231866837</v>
      </c>
      <c r="X15" s="471">
        <f t="shared" si="0"/>
        <v>13484551.326557463</v>
      </c>
      <c r="Y15" s="471">
        <f t="shared" si="0"/>
        <v>0</v>
      </c>
      <c r="Z15" s="471">
        <f t="shared" si="0"/>
        <v>0</v>
      </c>
      <c r="AE15" s="443"/>
      <c r="AF15" s="443"/>
      <c r="AG15" s="443"/>
      <c r="AH15" s="443"/>
      <c r="AI15" s="443"/>
      <c r="AJ15" s="443"/>
      <c r="AK15" s="443"/>
      <c r="AL15" s="447"/>
      <c r="AM15" s="443"/>
      <c r="AO15" s="443"/>
      <c r="AP15" s="443"/>
      <c r="AQ15" s="443"/>
      <c r="AR15" s="443"/>
      <c r="AS15" s="443"/>
      <c r="AT15" s="446"/>
      <c r="AU15" s="443"/>
      <c r="AV15" s="443"/>
      <c r="AW15" s="447"/>
      <c r="AY15" s="448"/>
      <c r="BA15" s="443"/>
      <c r="BC15" s="443"/>
      <c r="BD15" s="443"/>
      <c r="BE15" s="443"/>
      <c r="BF15" s="443"/>
      <c r="BG15" s="443"/>
      <c r="BH15" s="443"/>
      <c r="BI15" s="447"/>
      <c r="BJ15" s="447"/>
      <c r="BK15" s="443"/>
      <c r="BM15" s="443"/>
      <c r="BO15" s="449"/>
      <c r="BP15" s="449"/>
      <c r="BQ15" s="442"/>
      <c r="BV15" s="443"/>
      <c r="BW15" s="443"/>
      <c r="BX15" s="443"/>
      <c r="BY15" s="443"/>
      <c r="BZ15" s="443"/>
      <c r="CA15" s="443"/>
      <c r="CB15" s="443"/>
      <c r="CC15" s="443"/>
      <c r="CD15" s="443"/>
      <c r="CE15" s="443"/>
      <c r="CF15" s="443"/>
      <c r="CG15" s="443"/>
    </row>
    <row r="16" spans="3:90" ht="16" thickTop="1" thickBot="1">
      <c r="C16" s="479" t="s">
        <v>177</v>
      </c>
      <c r="D16" s="464"/>
      <c r="E16" s="465"/>
      <c r="F16" s="466"/>
      <c r="G16" s="484">
        <v>0</v>
      </c>
      <c r="H16" s="468">
        <v>0</v>
      </c>
      <c r="I16" s="481" cm="1">
        <f t="array" ref="I16">1-(c_EquityShare.LP*(1-H16))</f>
        <v>0</v>
      </c>
      <c r="J16" s="481">
        <f>J15</f>
        <v>1</v>
      </c>
      <c r="K16" s="443"/>
      <c r="L16" s="443"/>
      <c r="M16" s="482" t="s">
        <v>180</v>
      </c>
      <c r="N16" s="482"/>
      <c r="O16" s="482"/>
      <c r="P16" s="483">
        <f>H11</f>
        <v>0</v>
      </c>
      <c r="Q16" s="482"/>
      <c r="R16" s="471">
        <f t="shared" ref="R16:Z16" si="1">R11-R15</f>
        <v>0</v>
      </c>
      <c r="S16" s="471">
        <f t="shared" si="1"/>
        <v>0</v>
      </c>
      <c r="T16" s="471">
        <f t="shared" si="1"/>
        <v>0</v>
      </c>
      <c r="U16" s="471">
        <f t="shared" si="1"/>
        <v>0</v>
      </c>
      <c r="V16" s="471">
        <f t="shared" si="1"/>
        <v>0</v>
      </c>
      <c r="W16" s="471">
        <f t="shared" si="1"/>
        <v>0</v>
      </c>
      <c r="X16" s="471">
        <f t="shared" si="1"/>
        <v>0</v>
      </c>
      <c r="Y16" s="471">
        <f t="shared" si="1"/>
        <v>0</v>
      </c>
      <c r="Z16" s="471">
        <f t="shared" si="1"/>
        <v>0</v>
      </c>
      <c r="AE16" s="443"/>
      <c r="AF16" s="443"/>
      <c r="AG16" s="443"/>
      <c r="AH16" s="443"/>
      <c r="AI16" s="443"/>
      <c r="AJ16" s="443"/>
      <c r="AK16" s="443"/>
      <c r="AL16" s="447"/>
      <c r="AM16" s="443"/>
      <c r="AO16" s="443"/>
      <c r="AP16" s="443"/>
      <c r="AQ16" s="443"/>
      <c r="AR16" s="443"/>
      <c r="AS16" s="443"/>
      <c r="AT16" s="446"/>
      <c r="AU16" s="443"/>
      <c r="AV16" s="443"/>
      <c r="AW16" s="447"/>
      <c r="AY16" s="448"/>
      <c r="BA16" s="443"/>
      <c r="BC16" s="443"/>
      <c r="BD16" s="443"/>
      <c r="BE16" s="443"/>
      <c r="BF16" s="443"/>
      <c r="BG16" s="443"/>
      <c r="BH16" s="443"/>
      <c r="BI16" s="447"/>
      <c r="BJ16" s="447"/>
      <c r="BK16" s="443"/>
      <c r="BM16" s="443"/>
      <c r="BO16" s="449"/>
      <c r="BP16" s="449"/>
      <c r="BQ16" s="442"/>
      <c r="BV16" s="443"/>
      <c r="BW16" s="443"/>
      <c r="BX16" s="443"/>
      <c r="BY16" s="443"/>
      <c r="BZ16" s="443"/>
      <c r="CA16" s="443"/>
      <c r="CB16" s="443"/>
      <c r="CC16" s="443"/>
      <c r="CD16" s="443"/>
      <c r="CE16" s="443"/>
      <c r="CF16" s="443"/>
      <c r="CG16" s="443"/>
    </row>
    <row r="17" spans="3:26" ht="16" thickTop="1" thickBot="1">
      <c r="C17" s="485" t="s">
        <v>181</v>
      </c>
      <c r="D17" s="486"/>
      <c r="G17" s="484">
        <v>0.1</v>
      </c>
      <c r="H17" s="468">
        <v>0.1</v>
      </c>
      <c r="I17" s="481" cm="1">
        <f t="array" ref="I17">1-(c_EquityShare.LP*(1-H17))</f>
        <v>9.9999999999999978E-2</v>
      </c>
      <c r="J17" s="481">
        <f>1-I17</f>
        <v>0.9</v>
      </c>
      <c r="K17" s="443"/>
      <c r="L17" s="443"/>
      <c r="M17" s="251"/>
      <c r="N17" s="251"/>
      <c r="O17" s="251"/>
      <c r="P17" s="251"/>
      <c r="Q17" s="251"/>
      <c r="R17" s="251"/>
      <c r="S17" s="251"/>
      <c r="T17" s="251"/>
      <c r="U17" s="251"/>
      <c r="V17" s="251"/>
      <c r="W17" s="251"/>
      <c r="X17" s="251"/>
      <c r="Y17" s="251"/>
      <c r="Z17" s="251"/>
    </row>
    <row r="18" spans="3:26" ht="16" thickTop="1" thickBot="1">
      <c r="C18" s="485" t="s">
        <v>182</v>
      </c>
      <c r="D18" s="486"/>
      <c r="G18" s="484">
        <v>0.2</v>
      </c>
      <c r="H18" s="468">
        <v>0.2</v>
      </c>
      <c r="I18" s="481" cm="1">
        <f t="array" ref="I18">1-(c_EquityShare.LP*(1-H18))</f>
        <v>0.19999999999999996</v>
      </c>
      <c r="J18" s="481">
        <f>1-I18</f>
        <v>0.8</v>
      </c>
      <c r="K18" s="443"/>
      <c r="L18" s="443"/>
      <c r="M18" s="251" t="s">
        <v>183</v>
      </c>
      <c r="N18" s="251"/>
      <c r="O18" s="478">
        <f>i_Rate.Hurdle1</f>
        <v>0.1</v>
      </c>
      <c r="Q18" s="251"/>
      <c r="W18" s="251"/>
      <c r="X18" s="251"/>
      <c r="Y18" s="251"/>
      <c r="Z18" s="251"/>
    </row>
    <row r="19" spans="3:26" ht="16" thickTop="1" thickBot="1">
      <c r="C19" s="485" t="s">
        <v>184</v>
      </c>
      <c r="D19" s="486"/>
      <c r="G19" s="484">
        <v>0.3</v>
      </c>
      <c r="H19" s="468">
        <v>0.3</v>
      </c>
      <c r="I19" s="481" cm="1">
        <f t="array" ref="I19">1-(c_EquityShare.LP*(1-H19))</f>
        <v>0.30000000000000004</v>
      </c>
      <c r="J19" s="481">
        <f>1-I19</f>
        <v>0.7</v>
      </c>
      <c r="K19" s="443"/>
      <c r="L19" s="443"/>
      <c r="M19" s="487" t="s">
        <v>185</v>
      </c>
      <c r="N19" s="487"/>
      <c r="O19" s="488">
        <v>0.2</v>
      </c>
      <c r="Q19" s="487"/>
      <c r="X19" s="251"/>
      <c r="Y19" s="251"/>
      <c r="Z19" s="251"/>
    </row>
    <row r="20" spans="3:26" ht="16" thickTop="1" thickBot="1">
      <c r="C20" s="485" t="s">
        <v>186</v>
      </c>
      <c r="D20" s="486"/>
      <c r="G20" s="484"/>
      <c r="H20" s="468">
        <v>0.5</v>
      </c>
      <c r="I20" s="481" cm="1">
        <f t="array" ref="I20">1-(c_EquityShare.LP*(1-H20))</f>
        <v>0.5</v>
      </c>
      <c r="J20" s="481">
        <f>1-I20</f>
        <v>0.5</v>
      </c>
      <c r="K20" s="443"/>
      <c r="L20" s="443"/>
      <c r="M20" s="482" t="s">
        <v>179</v>
      </c>
      <c r="N20" s="482"/>
      <c r="P20" s="483">
        <f>J17</f>
        <v>0.9</v>
      </c>
      <c r="Q20" s="482"/>
      <c r="R20" s="471"/>
      <c r="S20" s="471">
        <f t="shared" ref="S20:Z20" ca="1" si="2">IFERROR(LOOKUP(S8,_xlfn.ANCHORARRAY($D$420),$BL$420:$BL$449),"")</f>
        <v>0</v>
      </c>
      <c r="T20" s="471">
        <f t="shared" ca="1" si="2"/>
        <v>0</v>
      </c>
      <c r="U20" s="471">
        <f t="shared" ca="1" si="2"/>
        <v>0</v>
      </c>
      <c r="V20" s="471">
        <f t="shared" ca="1" si="2"/>
        <v>6763029.3644022625</v>
      </c>
      <c r="W20" s="471">
        <f t="shared" ca="1" si="2"/>
        <v>0</v>
      </c>
      <c r="X20" s="471">
        <f t="shared" ca="1" si="2"/>
        <v>0</v>
      </c>
      <c r="Y20" s="471">
        <f t="shared" ca="1" si="2"/>
        <v>0</v>
      </c>
      <c r="Z20" s="471" t="str">
        <f t="shared" si="2"/>
        <v/>
      </c>
    </row>
    <row r="21" spans="3:26" ht="17" thickTop="1" thickBot="1">
      <c r="C21" s="489"/>
      <c r="D21" s="490"/>
      <c r="G21" s="490"/>
      <c r="H21" s="490"/>
      <c r="I21" s="490"/>
      <c r="J21" s="490"/>
      <c r="K21" s="443"/>
      <c r="L21" s="443"/>
      <c r="M21" s="482" t="s">
        <v>180</v>
      </c>
      <c r="N21" s="482"/>
      <c r="P21" s="483">
        <f>1-P20</f>
        <v>9.9999999999999978E-2</v>
      </c>
      <c r="Q21" s="482"/>
      <c r="R21" s="471"/>
      <c r="S21" s="471">
        <f t="shared" ref="S21:Z21" ca="1" si="3">IFERROR(LOOKUP(S$8,_xlfn.ANCHORARRAY($D$420),$BM$420:$BM$449),"")</f>
        <v>0</v>
      </c>
      <c r="T21" s="471">
        <f t="shared" ca="1" si="3"/>
        <v>0</v>
      </c>
      <c r="U21" s="471">
        <f t="shared" ca="1" si="3"/>
        <v>0</v>
      </c>
      <c r="V21" s="471">
        <f t="shared" ca="1" si="3"/>
        <v>751447.70715580671</v>
      </c>
      <c r="W21" s="471">
        <f t="shared" ca="1" si="3"/>
        <v>0</v>
      </c>
      <c r="X21" s="471">
        <f t="shared" ca="1" si="3"/>
        <v>0</v>
      </c>
      <c r="Y21" s="471">
        <f t="shared" ca="1" si="3"/>
        <v>0</v>
      </c>
      <c r="Z21" s="471" t="str">
        <f t="shared" si="3"/>
        <v/>
      </c>
    </row>
    <row r="22" spans="3:26" ht="16" thickTop="1" thickBot="1">
      <c r="C22" s="491" t="s">
        <v>187</v>
      </c>
      <c r="D22" s="492"/>
      <c r="E22" s="492"/>
      <c r="F22" s="492"/>
      <c r="G22" s="493"/>
      <c r="H22" s="494" t="s">
        <v>14</v>
      </c>
      <c r="I22" s="495" t="s">
        <v>175</v>
      </c>
      <c r="J22" s="495" t="s">
        <v>176</v>
      </c>
      <c r="K22" s="443"/>
      <c r="L22" s="443"/>
      <c r="M22" s="251"/>
      <c r="N22" s="251"/>
      <c r="O22" s="251"/>
      <c r="P22" s="251"/>
      <c r="Q22" s="251"/>
      <c r="R22" s="251"/>
      <c r="S22" s="251"/>
      <c r="T22" s="251"/>
      <c r="U22" s="251"/>
      <c r="V22" s="251"/>
      <c r="W22" s="251"/>
      <c r="X22" s="251"/>
      <c r="Y22" s="251"/>
      <c r="Z22" s="251"/>
    </row>
    <row r="23" spans="3:26" ht="16" thickTop="1" thickBot="1">
      <c r="C23" s="479" t="s">
        <v>178</v>
      </c>
      <c r="D23" s="464"/>
      <c r="E23" s="465"/>
      <c r="F23" s="466"/>
      <c r="G23" s="496" t="str">
        <f t="shared" ref="G23:G30" si="4">IF(I23+J23-H23=0,"R","T")</f>
        <v>R</v>
      </c>
      <c r="H23" s="497">
        <f>J23+I23</f>
        <v>26213333.333333347</v>
      </c>
      <c r="I23" s="498">
        <f>H12</f>
        <v>0</v>
      </c>
      <c r="J23" s="498">
        <f>I12</f>
        <v>26213333.333333347</v>
      </c>
      <c r="K23" s="499">
        <f>H23-I23-J23</f>
        <v>0</v>
      </c>
      <c r="L23" s="443"/>
      <c r="M23" s="251" t="s">
        <v>188</v>
      </c>
      <c r="N23" s="251"/>
      <c r="O23" s="478">
        <f>i_Rate.Hurdle2</f>
        <v>0.2</v>
      </c>
      <c r="Q23" s="251"/>
    </row>
    <row r="24" spans="3:26" ht="16" thickTop="1" thickBot="1">
      <c r="C24" s="479" t="s">
        <v>177</v>
      </c>
      <c r="D24" s="464"/>
      <c r="E24" s="465"/>
      <c r="F24" s="466"/>
      <c r="G24" s="496" t="str">
        <f t="shared" si="4"/>
        <v>R</v>
      </c>
      <c r="H24" s="497">
        <f>P54</f>
        <v>0</v>
      </c>
      <c r="I24" s="498">
        <f>O54</f>
        <v>0</v>
      </c>
      <c r="J24" s="498">
        <f>N54</f>
        <v>0</v>
      </c>
      <c r="K24" s="499">
        <f t="shared" ref="K24:K30" si="5">H24-I24-J24</f>
        <v>0</v>
      </c>
      <c r="L24" s="443"/>
      <c r="M24" s="487" t="s">
        <v>185</v>
      </c>
      <c r="N24" s="487"/>
      <c r="O24" s="488">
        <f>H18</f>
        <v>0.2</v>
      </c>
      <c r="Q24" s="487"/>
    </row>
    <row r="25" spans="3:26" ht="16" thickTop="1" thickBot="1">
      <c r="C25" s="479" t="s">
        <v>181</v>
      </c>
      <c r="D25" s="464"/>
      <c r="E25" s="465"/>
      <c r="F25" s="466"/>
      <c r="G25" s="496" t="str">
        <f t="shared" si="4"/>
        <v>R</v>
      </c>
      <c r="H25" s="497">
        <f>J25+I25</f>
        <v>7514477.0715580694</v>
      </c>
      <c r="I25" s="498">
        <f>Z54-I24</f>
        <v>751447.70715580671</v>
      </c>
      <c r="J25" s="498">
        <f>Y54-J24</f>
        <v>6763029.3644022625</v>
      </c>
      <c r="K25" s="499">
        <f t="shared" si="5"/>
        <v>0</v>
      </c>
      <c r="L25" s="443"/>
      <c r="M25" s="482" t="s">
        <v>179</v>
      </c>
      <c r="N25" s="482"/>
      <c r="P25" s="483">
        <f>J18</f>
        <v>0.8</v>
      </c>
      <c r="Q25" s="482"/>
      <c r="R25" s="471"/>
      <c r="S25" s="471">
        <f t="shared" ref="S25:Z25" ca="1" si="6">IFERROR(LOOKUP(S$8,_xlfn.ANCHORARRAY($D$420),$BN$420:$BN$449),"")</f>
        <v>0</v>
      </c>
      <c r="T25" s="471">
        <f t="shared" ca="1" si="6"/>
        <v>0</v>
      </c>
      <c r="U25" s="471">
        <f t="shared" ca="1" si="6"/>
        <v>0</v>
      </c>
      <c r="V25" s="471">
        <f t="shared" ca="1" si="6"/>
        <v>2793093.2977742646</v>
      </c>
      <c r="W25" s="471">
        <f t="shared" ca="1" si="6"/>
        <v>6871494.1894904086</v>
      </c>
      <c r="X25" s="471">
        <f t="shared" ca="1" si="6"/>
        <v>0</v>
      </c>
      <c r="Y25" s="471">
        <f t="shared" ca="1" si="6"/>
        <v>0</v>
      </c>
      <c r="Z25" s="471" t="str">
        <f t="shared" si="6"/>
        <v/>
      </c>
    </row>
    <row r="26" spans="3:26" ht="16" thickTop="1" thickBot="1">
      <c r="C26" s="479" t="s">
        <v>182</v>
      </c>
      <c r="D26" s="464"/>
      <c r="E26" s="465"/>
      <c r="F26" s="466"/>
      <c r="G26" s="496" t="str">
        <f t="shared" si="4"/>
        <v>R</v>
      </c>
      <c r="H26" s="497">
        <f>J26+I26</f>
        <v>12080734.359080842</v>
      </c>
      <c r="I26" s="498">
        <f>BO55</f>
        <v>2416146.8718161671</v>
      </c>
      <c r="J26" s="498">
        <f>BN55</f>
        <v>9664587.4872646742</v>
      </c>
      <c r="K26" s="499">
        <f t="shared" si="5"/>
        <v>0</v>
      </c>
      <c r="L26" s="443"/>
      <c r="M26" s="482" t="s">
        <v>180</v>
      </c>
      <c r="N26" s="482"/>
      <c r="P26" s="483">
        <f>1-P25</f>
        <v>0.19999999999999996</v>
      </c>
      <c r="Q26" s="482"/>
      <c r="R26" s="471"/>
      <c r="S26" s="471">
        <f t="shared" ref="S26:Z26" ca="1" si="7">IFERROR(LOOKUP(S$8,_xlfn.ANCHORARRAY($D$420),$BO$420:$BO$449),"")</f>
        <v>0</v>
      </c>
      <c r="T26" s="471">
        <f t="shared" ca="1" si="7"/>
        <v>0</v>
      </c>
      <c r="U26" s="471">
        <f t="shared" ca="1" si="7"/>
        <v>0</v>
      </c>
      <c r="V26" s="471">
        <f t="shared" ca="1" si="7"/>
        <v>698273.3244435658</v>
      </c>
      <c r="W26" s="471">
        <f t="shared" ca="1" si="7"/>
        <v>1717873.5473726015</v>
      </c>
      <c r="X26" s="471">
        <f t="shared" ca="1" si="7"/>
        <v>0</v>
      </c>
      <c r="Y26" s="471">
        <f t="shared" ca="1" si="7"/>
        <v>0</v>
      </c>
      <c r="Z26" s="471" t="str">
        <f t="shared" si="7"/>
        <v/>
      </c>
    </row>
    <row r="27" spans="3:26" ht="16" thickTop="1" thickBot="1">
      <c r="C27" s="479" t="s">
        <v>184</v>
      </c>
      <c r="D27" s="464"/>
      <c r="E27" s="465"/>
      <c r="F27" s="466"/>
      <c r="G27" s="496" t="str">
        <f t="shared" si="4"/>
        <v>R</v>
      </c>
      <c r="H27" s="497">
        <f>J27+I27</f>
        <v>21661493.029947974</v>
      </c>
      <c r="I27" s="498">
        <f>BQ55</f>
        <v>6498447.9089843929</v>
      </c>
      <c r="J27" s="498">
        <f>BP55</f>
        <v>15163045.120963581</v>
      </c>
      <c r="K27" s="499">
        <f t="shared" si="5"/>
        <v>0</v>
      </c>
      <c r="L27" s="443"/>
    </row>
    <row r="28" spans="3:26" ht="15" thickTop="1">
      <c r="C28" s="500" t="s">
        <v>186</v>
      </c>
      <c r="D28" s="501"/>
      <c r="E28" s="502"/>
      <c r="F28" s="503"/>
      <c r="G28" s="504" t="str">
        <f t="shared" si="4"/>
        <v>R</v>
      </c>
      <c r="H28" s="505">
        <f>J28+I28</f>
        <v>9310590.7916133143</v>
      </c>
      <c r="I28" s="506">
        <f>BC54</f>
        <v>4655295.3958066572</v>
      </c>
      <c r="J28" s="506">
        <f>BB54</f>
        <v>4655295.3958066572</v>
      </c>
      <c r="K28" s="499">
        <f t="shared" si="5"/>
        <v>0</v>
      </c>
      <c r="L28" s="443"/>
      <c r="M28" s="251" t="s">
        <v>189</v>
      </c>
      <c r="N28" s="251"/>
      <c r="O28" s="478">
        <f>i_Rate.Hurdle3</f>
        <v>0.3</v>
      </c>
      <c r="Q28" s="251"/>
    </row>
    <row r="29" spans="3:26" ht="15" thickBot="1">
      <c r="C29" s="507" t="s">
        <v>190</v>
      </c>
      <c r="D29" s="508"/>
      <c r="E29" s="509"/>
      <c r="F29" s="510"/>
      <c r="G29" s="511" t="str">
        <f t="shared" si="4"/>
        <v>R</v>
      </c>
      <c r="H29" s="512">
        <f>SUM(H23:H28)</f>
        <v>76780628.585533544</v>
      </c>
      <c r="I29" s="513">
        <f>SUM(I23:I28)</f>
        <v>14321337.883763025</v>
      </c>
      <c r="J29" s="513">
        <f>SUM(J23:J28)</f>
        <v>62459290.701770522</v>
      </c>
      <c r="K29" s="499">
        <f t="shared" si="5"/>
        <v>0</v>
      </c>
      <c r="L29" s="443"/>
      <c r="M29" s="487" t="s">
        <v>185</v>
      </c>
      <c r="N29" s="487"/>
      <c r="O29" s="488">
        <f>H19</f>
        <v>0.3</v>
      </c>
      <c r="Q29" s="487"/>
    </row>
    <row r="30" spans="3:26" ht="16" thickTop="1" thickBot="1">
      <c r="C30" s="514" t="s">
        <v>191</v>
      </c>
      <c r="D30" s="515"/>
      <c r="E30" s="516"/>
      <c r="F30" s="517"/>
      <c r="G30" s="518" t="str">
        <f t="shared" si="4"/>
        <v>R</v>
      </c>
      <c r="H30" s="519">
        <f>I30+J30</f>
        <v>1</v>
      </c>
      <c r="I30" s="481">
        <f>I29/H29</f>
        <v>0.18652280070628841</v>
      </c>
      <c r="J30" s="481">
        <f>J29/H29</f>
        <v>0.81347719929371165</v>
      </c>
      <c r="K30" s="499">
        <f t="shared" si="5"/>
        <v>0</v>
      </c>
      <c r="L30" s="443"/>
      <c r="M30" s="482" t="s">
        <v>179</v>
      </c>
      <c r="N30" s="482"/>
      <c r="P30" s="483">
        <f>J19</f>
        <v>0.7</v>
      </c>
      <c r="Q30" s="482"/>
      <c r="R30" s="471"/>
      <c r="S30" s="471">
        <f t="shared" ref="S30:Z30" ca="1" si="8">IFERROR(LOOKUP(S$8,_xlfn.ANCHORARRAY($D$420),$BP$420:$BP$449),"")</f>
        <v>0</v>
      </c>
      <c r="T30" s="471">
        <f t="shared" ca="1" si="8"/>
        <v>0</v>
      </c>
      <c r="U30" s="471">
        <f t="shared" ca="1" si="8"/>
        <v>0</v>
      </c>
      <c r="V30" s="471">
        <f t="shared" ca="1" si="8"/>
        <v>0</v>
      </c>
      <c r="W30" s="471">
        <f t="shared" ca="1" si="8"/>
        <v>12241272.746502677</v>
      </c>
      <c r="X30" s="471">
        <f t="shared" ca="1" si="8"/>
        <v>2921772.3744609039</v>
      </c>
      <c r="Y30" s="471">
        <f t="shared" ca="1" si="8"/>
        <v>0</v>
      </c>
      <c r="Z30" s="471" t="str">
        <f t="shared" si="8"/>
        <v/>
      </c>
    </row>
    <row r="31" spans="3:26" ht="16" thickTop="1" thickBot="1">
      <c r="C31" s="520"/>
      <c r="G31" s="521"/>
      <c r="K31" s="443"/>
      <c r="L31" s="443"/>
      <c r="M31" s="482" t="s">
        <v>180</v>
      </c>
      <c r="N31" s="482"/>
      <c r="P31" s="483">
        <f>1-P30</f>
        <v>0.30000000000000004</v>
      </c>
      <c r="Q31" s="482"/>
      <c r="R31" s="471"/>
      <c r="S31" s="471">
        <f t="shared" ref="S31:Z31" ca="1" si="9">IFERROR(LOOKUP(S$8,_xlfn.ANCHORARRAY($D$420),$BQ$420:$BQ$449),"")</f>
        <v>0</v>
      </c>
      <c r="T31" s="471">
        <f t="shared" ca="1" si="9"/>
        <v>0</v>
      </c>
      <c r="U31" s="471">
        <f t="shared" ca="1" si="9"/>
        <v>0</v>
      </c>
      <c r="V31" s="471">
        <f t="shared" ca="1" si="9"/>
        <v>0</v>
      </c>
      <c r="W31" s="471">
        <f t="shared" ca="1" si="9"/>
        <v>5246259.7485011481</v>
      </c>
      <c r="X31" s="471">
        <f t="shared" ca="1" si="9"/>
        <v>1252188.1604832448</v>
      </c>
      <c r="Y31" s="471">
        <f t="shared" ca="1" si="9"/>
        <v>0</v>
      </c>
      <c r="Z31" s="471" t="str">
        <f t="shared" si="9"/>
        <v/>
      </c>
    </row>
    <row r="32" spans="3:26" ht="16" thickTop="1" thickBot="1">
      <c r="C32" s="491" t="s">
        <v>170</v>
      </c>
      <c r="D32" s="492"/>
      <c r="E32" s="492"/>
      <c r="F32" s="492"/>
      <c r="G32" s="493"/>
      <c r="H32" s="494" t="s">
        <v>120</v>
      </c>
      <c r="I32" s="495" t="s">
        <v>175</v>
      </c>
      <c r="J32" s="495" t="s">
        <v>176</v>
      </c>
      <c r="K32" s="443"/>
      <c r="L32" s="443"/>
    </row>
    <row r="33" spans="3:26" ht="16" thickTop="1" thickBot="1">
      <c r="C33" s="479" t="s">
        <v>192</v>
      </c>
      <c r="D33" s="522"/>
      <c r="E33" s="522"/>
      <c r="F33" s="522"/>
      <c r="G33" s="486"/>
      <c r="H33" s="523">
        <f>I33+J33</f>
        <v>26213333.333333347</v>
      </c>
      <c r="I33" s="524">
        <f>I23</f>
        <v>0</v>
      </c>
      <c r="J33" s="524">
        <f>J23</f>
        <v>26213333.333333347</v>
      </c>
      <c r="K33" s="443"/>
      <c r="L33" s="443"/>
      <c r="M33" s="251" t="s">
        <v>186</v>
      </c>
      <c r="N33" s="251"/>
      <c r="O33" s="478"/>
      <c r="Q33" s="251"/>
    </row>
    <row r="34" spans="3:26" ht="16" thickTop="1" thickBot="1">
      <c r="C34" s="479" t="s">
        <v>193</v>
      </c>
      <c r="D34" s="522"/>
      <c r="E34" s="522"/>
      <c r="F34" s="522"/>
      <c r="G34" s="486"/>
      <c r="H34" s="523">
        <f>I34+J34</f>
        <v>50567295.252200194</v>
      </c>
      <c r="I34" s="524">
        <f>SUM(I24:I28)</f>
        <v>14321337.883763025</v>
      </c>
      <c r="J34" s="524">
        <f>SUM(J24:J28)</f>
        <v>36245957.368437171</v>
      </c>
      <c r="K34" s="443"/>
      <c r="L34" s="443"/>
      <c r="M34" s="487" t="s">
        <v>185</v>
      </c>
      <c r="N34" s="487"/>
      <c r="O34" s="488">
        <v>0.5</v>
      </c>
      <c r="Q34" s="487"/>
    </row>
    <row r="35" spans="3:26" ht="16" thickTop="1" thickBot="1">
      <c r="C35" s="479" t="s">
        <v>190</v>
      </c>
      <c r="D35" s="522"/>
      <c r="E35" s="522"/>
      <c r="F35" s="522"/>
      <c r="G35" s="486"/>
      <c r="H35" s="523">
        <f>I35+J35</f>
        <v>50567295.252200194</v>
      </c>
      <c r="I35" s="524">
        <f>BU55</f>
        <v>14321337.883763025</v>
      </c>
      <c r="J35" s="524">
        <f>BT55</f>
        <v>36245957.368437171</v>
      </c>
      <c r="K35" s="443"/>
      <c r="L35" s="443"/>
      <c r="M35" s="482" t="s">
        <v>179</v>
      </c>
      <c r="N35" s="482"/>
      <c r="P35" s="483">
        <f>J20</f>
        <v>0.5</v>
      </c>
      <c r="Q35" s="482"/>
      <c r="R35" s="471"/>
      <c r="S35" s="471">
        <f t="shared" ref="S35:Z35" ca="1" si="10">IFERROR(LOOKUP(S$8,_xlfn.ANCHORARRAY($D$420),$BR$420:$BR$449),"")</f>
        <v>0</v>
      </c>
      <c r="T35" s="471">
        <f t="shared" ca="1" si="10"/>
        <v>0</v>
      </c>
      <c r="U35" s="471">
        <f t="shared" ca="1" si="10"/>
        <v>0</v>
      </c>
      <c r="V35" s="471">
        <f t="shared" ca="1" si="10"/>
        <v>0</v>
      </c>
      <c r="W35" s="471">
        <f t="shared" ca="1" si="10"/>
        <v>0</v>
      </c>
      <c r="X35" s="471">
        <f t="shared" ca="1" si="10"/>
        <v>4655295.3958066572</v>
      </c>
      <c r="Y35" s="471">
        <f t="shared" ca="1" si="10"/>
        <v>0</v>
      </c>
      <c r="Z35" s="471" t="str">
        <f t="shared" si="10"/>
        <v/>
      </c>
    </row>
    <row r="36" spans="3:26" ht="16" thickTop="1" thickBot="1">
      <c r="C36" s="479" t="s">
        <v>194</v>
      </c>
      <c r="D36" s="522"/>
      <c r="E36" s="522"/>
      <c r="F36" s="522"/>
      <c r="G36" s="486"/>
      <c r="H36" s="525" t="e">
        <f>#REF!</f>
        <v>#REF!</v>
      </c>
      <c r="I36" s="526" t="e">
        <f>XIRR(BF$56:BF$415,$E$56:$E$415)</f>
        <v>#NUM!</v>
      </c>
      <c r="J36" s="526">
        <f>XIRR(BE$56:BE$415,$E$56:$E$415)</f>
        <v>0.32028545737266545</v>
      </c>
      <c r="K36" s="443"/>
      <c r="L36" s="443"/>
      <c r="M36" s="482" t="s">
        <v>180</v>
      </c>
      <c r="N36" s="482"/>
      <c r="P36" s="483">
        <f>1-P35</f>
        <v>0.5</v>
      </c>
      <c r="Q36" s="482"/>
      <c r="R36" s="471"/>
      <c r="S36" s="471">
        <f t="shared" ref="S36:Z36" ca="1" si="11">IFERROR(LOOKUP(S$8,_xlfn.ANCHORARRAY($D$420),$BS$420:$BS$449),"")</f>
        <v>0</v>
      </c>
      <c r="T36" s="471">
        <f t="shared" ca="1" si="11"/>
        <v>0</v>
      </c>
      <c r="U36" s="471">
        <f t="shared" ca="1" si="11"/>
        <v>0</v>
      </c>
      <c r="V36" s="471">
        <f t="shared" ca="1" si="11"/>
        <v>0</v>
      </c>
      <c r="W36" s="471">
        <f t="shared" ca="1" si="11"/>
        <v>0</v>
      </c>
      <c r="X36" s="471">
        <f t="shared" ca="1" si="11"/>
        <v>4655295.3958066572</v>
      </c>
      <c r="Y36" s="471">
        <f t="shared" ca="1" si="11"/>
        <v>0</v>
      </c>
      <c r="Z36" s="471" t="str">
        <f t="shared" si="11"/>
        <v/>
      </c>
    </row>
    <row r="37" spans="3:26" ht="16" thickTop="1" thickBot="1">
      <c r="C37" s="479" t="s">
        <v>195</v>
      </c>
      <c r="D37" s="522"/>
      <c r="E37" s="522"/>
      <c r="F37" s="522"/>
      <c r="G37" s="486"/>
      <c r="H37" s="527">
        <f>H35/H33</f>
        <v>1.929067723252804</v>
      </c>
      <c r="I37" s="528" t="e">
        <f>I35/I23</f>
        <v>#DIV/0!</v>
      </c>
      <c r="J37" s="528">
        <f>J35/J33</f>
        <v>1.3827298080532993</v>
      </c>
      <c r="K37" s="443"/>
      <c r="L37" s="443"/>
    </row>
    <row r="38" spans="3:26" ht="15" thickTop="1">
      <c r="I38" s="443"/>
      <c r="K38" s="443"/>
      <c r="L38" s="443"/>
    </row>
    <row r="39" spans="3:26">
      <c r="I39" s="443"/>
      <c r="K39" s="443"/>
      <c r="L39" s="443"/>
      <c r="M39" t="s">
        <v>196</v>
      </c>
      <c r="O39" s="488">
        <f ca="1">IRR(R39:Z39)</f>
        <v>0.43049685551862238</v>
      </c>
      <c r="R39" s="421">
        <f t="shared" ref="R39:Z40" si="12">IFERROR(R15+R20+R25+R30+R35,0)</f>
        <v>-18550000</v>
      </c>
      <c r="S39" s="421">
        <f t="shared" ca="1" si="12"/>
        <v>-6966666.666666667</v>
      </c>
      <c r="T39" s="421">
        <f t="shared" ca="1" si="12"/>
        <v>4616041.2437798735</v>
      </c>
      <c r="U39" s="421">
        <f t="shared" ca="1" si="12"/>
        <v>12262438.756910365</v>
      </c>
      <c r="V39" s="421">
        <f t="shared" ca="1" si="12"/>
        <v>29200153.021928869</v>
      </c>
      <c r="W39" s="421">
        <f t="shared" ca="1" si="12"/>
        <v>45189667.167859919</v>
      </c>
      <c r="X39" s="421">
        <f t="shared" ca="1" si="12"/>
        <v>21061619.096825026</v>
      </c>
      <c r="Y39" s="421">
        <f t="shared" ca="1" si="12"/>
        <v>0</v>
      </c>
      <c r="Z39" s="421">
        <f t="shared" si="12"/>
        <v>0</v>
      </c>
    </row>
    <row r="40" spans="3:26" ht="15" thickBot="1">
      <c r="I40" s="443"/>
      <c r="K40" s="443"/>
      <c r="L40" s="443"/>
      <c r="M40" t="s">
        <v>197</v>
      </c>
      <c r="O40" s="488" t="e">
        <f ca="1">IRR(R40:Z40)</f>
        <v>#NUM!</v>
      </c>
      <c r="R40" s="421">
        <f t="shared" si="12"/>
        <v>0</v>
      </c>
      <c r="S40" s="421">
        <f t="shared" ca="1" si="12"/>
        <v>0</v>
      </c>
      <c r="T40" s="421">
        <f t="shared" ca="1" si="12"/>
        <v>0</v>
      </c>
      <c r="U40" s="421">
        <f t="shared" ca="1" si="12"/>
        <v>0</v>
      </c>
      <c r="V40" s="421">
        <f t="shared" ca="1" si="12"/>
        <v>1449721.0315993726</v>
      </c>
      <c r="W40" s="421">
        <f t="shared" ca="1" si="12"/>
        <v>6964133.29587375</v>
      </c>
      <c r="X40" s="421">
        <f t="shared" ca="1" si="12"/>
        <v>5907483.556289902</v>
      </c>
      <c r="Y40" s="421">
        <f t="shared" ca="1" si="12"/>
        <v>0</v>
      </c>
      <c r="Z40" s="421">
        <f t="shared" si="12"/>
        <v>0</v>
      </c>
    </row>
    <row r="50" spans="4:82" ht="19" thickTop="1">
      <c r="D50" s="529" t="s">
        <v>198</v>
      </c>
      <c r="E50" s="530"/>
      <c r="F50" s="531"/>
      <c r="G50" s="532" t="s">
        <v>120</v>
      </c>
      <c r="I50" s="533" t="s">
        <v>199</v>
      </c>
      <c r="J50" s="534"/>
      <c r="K50" s="535">
        <f>i_Rate.Pref</f>
        <v>0</v>
      </c>
      <c r="L50" s="534"/>
      <c r="M50" s="534"/>
      <c r="N50" s="536"/>
      <c r="O50" s="536"/>
      <c r="P50" s="536"/>
      <c r="Q50" s="537"/>
      <c r="S50" s="538" t="s">
        <v>183</v>
      </c>
      <c r="T50" s="539"/>
      <c r="U50" s="540">
        <f>i_Rate.Hurdle1</f>
        <v>0.1</v>
      </c>
      <c r="V50" s="539"/>
      <c r="W50" s="539"/>
      <c r="X50" s="539"/>
      <c r="Y50" s="536">
        <f>SUMIF($G$56:$G$416,"&lt;0",Y56:Y416)</f>
        <v>-26213333.333333347</v>
      </c>
      <c r="Z50" s="536">
        <f>SUMIF($G$56:$G$416,"&lt;0",Z56:Z416)</f>
        <v>0</v>
      </c>
      <c r="AA50" s="536">
        <f>SUMIF($G$56:$G$416,"&lt;0",AA56:AA416)</f>
        <v>-26213333.333333347</v>
      </c>
      <c r="AB50" s="541"/>
      <c r="AD50" s="542" t="s">
        <v>188</v>
      </c>
      <c r="AE50" s="543"/>
      <c r="AF50" s="544">
        <f>i_Rate.Hurdle2</f>
        <v>0.2</v>
      </c>
      <c r="AG50" s="543"/>
      <c r="AH50" s="543"/>
      <c r="AI50" s="543"/>
      <c r="AJ50" s="543"/>
      <c r="AK50" s="545"/>
      <c r="AL50" s="546"/>
      <c r="AM50" s="543"/>
      <c r="AN50" s="547"/>
      <c r="AP50" s="548" t="s">
        <v>189</v>
      </c>
      <c r="AQ50" s="549"/>
      <c r="AR50" s="550">
        <f>i_Rate.Hurdle3</f>
        <v>0.3</v>
      </c>
      <c r="AS50" s="549"/>
      <c r="AT50" s="549"/>
      <c r="AU50" s="549"/>
      <c r="AV50" s="549"/>
      <c r="AW50" s="551"/>
      <c r="AX50" s="552"/>
      <c r="AY50" s="549"/>
      <c r="AZ50" s="553"/>
      <c r="BB50" s="1069" t="s">
        <v>186</v>
      </c>
      <c r="BC50" s="1070"/>
      <c r="BD50" s="443"/>
      <c r="BE50" s="554" t="s">
        <v>14</v>
      </c>
      <c r="BF50" s="555"/>
      <c r="BG50" s="556"/>
      <c r="BI50" s="557"/>
      <c r="BJ50" s="534"/>
      <c r="BK50" s="534"/>
      <c r="BL50" s="534"/>
      <c r="BM50" s="534"/>
      <c r="BN50" s="534"/>
      <c r="BO50" s="534"/>
      <c r="BP50" s="534"/>
      <c r="BQ50" s="534"/>
      <c r="BR50" s="534"/>
      <c r="BS50" s="534"/>
      <c r="BT50" s="534"/>
      <c r="BU50" s="534"/>
      <c r="BX50" s="557"/>
      <c r="BY50" s="534"/>
      <c r="BZ50" s="534"/>
      <c r="CA50" s="534"/>
      <c r="CB50" s="534"/>
      <c r="CC50" s="534"/>
      <c r="CD50" s="534"/>
    </row>
    <row r="51" spans="4:82" ht="19" thickBot="1">
      <c r="D51" s="558"/>
      <c r="E51" s="559"/>
      <c r="F51" s="560"/>
      <c r="G51" s="561" t="s">
        <v>200</v>
      </c>
      <c r="I51" s="562"/>
      <c r="J51" s="563"/>
      <c r="K51" s="564"/>
      <c r="L51" s="563"/>
      <c r="M51" s="563"/>
      <c r="N51" s="565"/>
      <c r="O51" s="564"/>
      <c r="P51" s="566"/>
      <c r="Q51" s="567"/>
      <c r="S51" s="568"/>
      <c r="T51" s="569"/>
      <c r="U51" s="570">
        <f>(1+U50)^(1/12)-1</f>
        <v>7.9741404289037643E-3</v>
      </c>
      <c r="V51" s="569"/>
      <c r="W51" s="569"/>
      <c r="X51" s="569"/>
      <c r="Y51" s="571"/>
      <c r="Z51" s="572"/>
      <c r="AA51" s="572"/>
      <c r="AB51" s="573"/>
      <c r="AD51" s="574"/>
      <c r="AE51" s="575"/>
      <c r="AF51" s="576"/>
      <c r="AG51" s="577"/>
      <c r="AH51" s="575"/>
      <c r="AI51" s="575"/>
      <c r="AJ51" s="575"/>
      <c r="AK51" s="578"/>
      <c r="AL51" s="576"/>
      <c r="AM51" s="579"/>
      <c r="AN51" s="580"/>
      <c r="AP51" s="581"/>
      <c r="AQ51" s="582"/>
      <c r="AR51" s="583"/>
      <c r="AS51" s="582"/>
      <c r="AT51" s="582"/>
      <c r="AU51" s="582"/>
      <c r="AV51" s="582"/>
      <c r="AW51" s="584"/>
      <c r="AX51" s="583"/>
      <c r="AY51" s="585"/>
      <c r="AZ51" s="586"/>
      <c r="BB51" s="1071" t="s">
        <v>201</v>
      </c>
      <c r="BC51" s="1072"/>
      <c r="BD51" s="443"/>
      <c r="BE51" s="587"/>
      <c r="BF51" s="588"/>
      <c r="BG51" s="589"/>
      <c r="BI51" s="590"/>
      <c r="BJ51" s="563"/>
      <c r="BK51" s="563"/>
      <c r="BL51" s="563"/>
      <c r="BM51" s="563"/>
      <c r="BN51" s="563"/>
      <c r="BO51" s="563"/>
      <c r="BP51" s="563"/>
      <c r="BQ51" s="563"/>
      <c r="BR51" s="563"/>
      <c r="BS51" s="563"/>
      <c r="BT51" s="563"/>
      <c r="BU51" s="563"/>
      <c r="BX51" s="590"/>
      <c r="BY51" s="563"/>
      <c r="BZ51" s="563"/>
      <c r="CA51" s="563"/>
      <c r="CB51" s="563"/>
      <c r="CC51" s="563"/>
      <c r="CD51" s="563"/>
    </row>
    <row r="52" spans="4:82" ht="16" thickTop="1" thickBot="1">
      <c r="D52" s="591"/>
      <c r="E52" s="591"/>
      <c r="F52" s="591"/>
      <c r="G52" s="591" t="s">
        <v>202</v>
      </c>
      <c r="I52" s="592" t="s">
        <v>199</v>
      </c>
      <c r="J52" s="593" t="s">
        <v>176</v>
      </c>
      <c r="K52" s="592" t="s">
        <v>203</v>
      </c>
      <c r="L52" s="594" t="s">
        <v>204</v>
      </c>
      <c r="M52" s="592" t="s">
        <v>199</v>
      </c>
      <c r="N52" s="595" t="s">
        <v>205</v>
      </c>
      <c r="O52" s="596"/>
      <c r="P52" s="596"/>
      <c r="Q52" s="596"/>
      <c r="S52" s="597" t="s">
        <v>206</v>
      </c>
      <c r="T52" s="597" t="s">
        <v>207</v>
      </c>
      <c r="U52" s="597" t="s">
        <v>208</v>
      </c>
      <c r="V52" s="594" t="s">
        <v>209</v>
      </c>
      <c r="W52" s="597" t="s">
        <v>210</v>
      </c>
      <c r="X52" s="597" t="s">
        <v>183</v>
      </c>
      <c r="Y52" s="598" t="s">
        <v>211</v>
      </c>
      <c r="Z52" s="599"/>
      <c r="AA52" s="599"/>
      <c r="AB52" s="599"/>
      <c r="AD52" s="600" t="s">
        <v>212</v>
      </c>
      <c r="AE52" s="600" t="s">
        <v>207</v>
      </c>
      <c r="AF52" s="600" t="s">
        <v>203</v>
      </c>
      <c r="AG52" s="600" t="str">
        <f>V52</f>
        <v>LP Prior</v>
      </c>
      <c r="AH52" s="600"/>
      <c r="AI52" s="600" t="s">
        <v>213</v>
      </c>
      <c r="AJ52" s="600" t="s">
        <v>214</v>
      </c>
      <c r="AK52" s="601" t="s">
        <v>215</v>
      </c>
      <c r="AL52" s="602"/>
      <c r="AM52" s="602"/>
      <c r="AN52" s="602"/>
      <c r="AP52" s="603" t="s">
        <v>216</v>
      </c>
      <c r="AQ52" s="603" t="s">
        <v>207</v>
      </c>
      <c r="AR52" s="603" t="s">
        <v>203</v>
      </c>
      <c r="AS52" s="603" t="s">
        <v>209</v>
      </c>
      <c r="AT52" s="603"/>
      <c r="AU52" s="603" t="s">
        <v>213</v>
      </c>
      <c r="AV52" s="603" t="s">
        <v>217</v>
      </c>
      <c r="AW52" s="604" t="s">
        <v>218</v>
      </c>
      <c r="AX52" s="605"/>
      <c r="AY52" s="605"/>
      <c r="AZ52" s="605"/>
      <c r="BB52" s="606" t="s">
        <v>219</v>
      </c>
      <c r="BC52" s="607"/>
      <c r="BD52" s="443"/>
      <c r="BE52" s="608" t="str">
        <f>BB52</f>
        <v>Cash Flow Distributions</v>
      </c>
      <c r="BF52" s="609"/>
      <c r="BG52" s="609"/>
      <c r="BI52" s="592" t="s">
        <v>14</v>
      </c>
      <c r="BJ52" s="610" t="s">
        <v>220</v>
      </c>
      <c r="BK52" s="611"/>
      <c r="BL52" s="610" t="str">
        <f>W52</f>
        <v>to Hurdle 1</v>
      </c>
      <c r="BM52" s="611"/>
      <c r="BN52" s="610" t="s">
        <v>221</v>
      </c>
      <c r="BO52" s="611"/>
      <c r="BP52" s="610" t="s">
        <v>222</v>
      </c>
      <c r="BQ52" s="611"/>
      <c r="BR52" s="610" t="s">
        <v>186</v>
      </c>
      <c r="BS52" s="611"/>
      <c r="BT52" s="610" t="s">
        <v>14</v>
      </c>
      <c r="BU52" s="612"/>
      <c r="BX52" s="592" t="s">
        <v>14</v>
      </c>
      <c r="BY52" s="592" t="s">
        <v>199</v>
      </c>
      <c r="BZ52" s="592" t="s">
        <v>223</v>
      </c>
      <c r="CA52" s="592" t="s">
        <v>223</v>
      </c>
      <c r="CB52" s="592" t="s">
        <v>223</v>
      </c>
      <c r="CC52" s="592" t="s">
        <v>186</v>
      </c>
      <c r="CD52" s="592"/>
    </row>
    <row r="53" spans="4:82" ht="15" thickTop="1">
      <c r="D53" s="613"/>
      <c r="E53" s="613" t="s">
        <v>224</v>
      </c>
      <c r="F53" s="613" t="s">
        <v>225</v>
      </c>
      <c r="G53" s="613" t="s">
        <v>226</v>
      </c>
      <c r="I53" s="614" t="s">
        <v>227</v>
      </c>
      <c r="J53" s="592" t="s">
        <v>207</v>
      </c>
      <c r="K53" s="614" t="s">
        <v>199</v>
      </c>
      <c r="L53" s="615" t="s">
        <v>228</v>
      </c>
      <c r="M53" s="614" t="s">
        <v>229</v>
      </c>
      <c r="N53" s="614" t="s">
        <v>230</v>
      </c>
      <c r="O53" s="614" t="s">
        <v>231</v>
      </c>
      <c r="P53" s="614" t="s">
        <v>14</v>
      </c>
      <c r="Q53" s="614" t="s">
        <v>186</v>
      </c>
      <c r="S53" s="616" t="s">
        <v>227</v>
      </c>
      <c r="T53" s="616" t="s">
        <v>232</v>
      </c>
      <c r="U53" s="616" t="s">
        <v>183</v>
      </c>
      <c r="V53" s="615" t="s">
        <v>228</v>
      </c>
      <c r="W53" s="617">
        <f>U50</f>
        <v>0.1</v>
      </c>
      <c r="X53" s="616" t="s">
        <v>224</v>
      </c>
      <c r="Y53" s="618" t="s">
        <v>230</v>
      </c>
      <c r="Z53" s="618" t="s">
        <v>231</v>
      </c>
      <c r="AA53" s="618" t="s">
        <v>14</v>
      </c>
      <c r="AB53" s="618" t="s">
        <v>186</v>
      </c>
      <c r="AD53" s="619" t="s">
        <v>227</v>
      </c>
      <c r="AE53" s="619" t="s">
        <v>232</v>
      </c>
      <c r="AF53" s="619" t="s">
        <v>188</v>
      </c>
      <c r="AG53" s="619" t="s">
        <v>228</v>
      </c>
      <c r="AH53" s="619" t="s">
        <v>221</v>
      </c>
      <c r="AI53" s="619" t="s">
        <v>233</v>
      </c>
      <c r="AJ53" s="619" t="s">
        <v>234</v>
      </c>
      <c r="AK53" s="620" t="s">
        <v>230</v>
      </c>
      <c r="AL53" s="620" t="s">
        <v>231</v>
      </c>
      <c r="AM53" s="620" t="s">
        <v>14</v>
      </c>
      <c r="AN53" s="620" t="s">
        <v>186</v>
      </c>
      <c r="AP53" s="621" t="s">
        <v>227</v>
      </c>
      <c r="AQ53" s="621" t="s">
        <v>232</v>
      </c>
      <c r="AR53" s="621" t="s">
        <v>189</v>
      </c>
      <c r="AS53" s="621" t="s">
        <v>228</v>
      </c>
      <c r="AT53" s="621" t="s">
        <v>222</v>
      </c>
      <c r="AU53" s="621" t="s">
        <v>233</v>
      </c>
      <c r="AV53" s="621" t="s">
        <v>234</v>
      </c>
      <c r="AW53" s="622" t="s">
        <v>230</v>
      </c>
      <c r="AX53" s="622" t="s">
        <v>231</v>
      </c>
      <c r="AY53" s="622" t="s">
        <v>14</v>
      </c>
      <c r="AZ53" s="622" t="s">
        <v>186</v>
      </c>
      <c r="BB53" s="623" t="s">
        <v>176</v>
      </c>
      <c r="BC53" s="623" t="s">
        <v>175</v>
      </c>
      <c r="BD53" s="443"/>
      <c r="BE53" s="624" t="s">
        <v>176</v>
      </c>
      <c r="BF53" s="624" t="s">
        <v>175</v>
      </c>
      <c r="BG53" s="624" t="s">
        <v>14</v>
      </c>
      <c r="BI53" s="614" t="s">
        <v>120</v>
      </c>
      <c r="BJ53" s="625" t="s">
        <v>230</v>
      </c>
      <c r="BK53" s="625" t="s">
        <v>231</v>
      </c>
      <c r="BL53" s="625" t="s">
        <v>230</v>
      </c>
      <c r="BM53" s="625" t="str">
        <f>BK53</f>
        <v>to GP</v>
      </c>
      <c r="BN53" s="625" t="s">
        <v>230</v>
      </c>
      <c r="BO53" s="625" t="str">
        <f>BM53</f>
        <v>to GP</v>
      </c>
      <c r="BP53" s="625" t="s">
        <v>230</v>
      </c>
      <c r="BQ53" s="625" t="str">
        <f>BO53</f>
        <v>to GP</v>
      </c>
      <c r="BR53" s="625" t="s">
        <v>230</v>
      </c>
      <c r="BS53" s="625" t="str">
        <f>BQ53</f>
        <v>to GP</v>
      </c>
      <c r="BT53" s="1073" t="s">
        <v>230</v>
      </c>
      <c r="BU53" s="1073" t="s">
        <v>231</v>
      </c>
      <c r="BX53" s="614" t="s">
        <v>120</v>
      </c>
      <c r="BY53" s="614" t="s">
        <v>235</v>
      </c>
      <c r="BZ53" s="614" t="s">
        <v>236</v>
      </c>
      <c r="CA53" s="614" t="s">
        <v>237</v>
      </c>
      <c r="CB53" s="614" t="s">
        <v>238</v>
      </c>
      <c r="CC53" s="614" t="s">
        <v>239</v>
      </c>
      <c r="CD53" s="614" t="s">
        <v>14</v>
      </c>
    </row>
    <row r="54" spans="4:82" ht="15" thickBot="1">
      <c r="D54" s="626" t="s">
        <v>240</v>
      </c>
      <c r="E54" s="626" t="s">
        <v>96</v>
      </c>
      <c r="F54" s="626" t="s">
        <v>87</v>
      </c>
      <c r="G54" s="627">
        <f>SUM(G56:G406)</f>
        <v>50567295.252200201</v>
      </c>
      <c r="I54" s="628">
        <f>I11</f>
        <v>1</v>
      </c>
      <c r="J54" s="627">
        <f>SUM(J56:J415)</f>
        <v>26213333.333333347</v>
      </c>
      <c r="K54" s="627">
        <f>SUM(K56:K415)</f>
        <v>0</v>
      </c>
      <c r="L54" s="629">
        <f>SUM(L56:L415)</f>
        <v>26213333.333333351</v>
      </c>
      <c r="M54" s="630" t="s">
        <v>241</v>
      </c>
      <c r="N54" s="627">
        <f>SUM(N56:N415)</f>
        <v>0</v>
      </c>
      <c r="O54" s="627">
        <f>SUM(O56:O187)</f>
        <v>0</v>
      </c>
      <c r="P54" s="627">
        <f>SUM(P56:P415)</f>
        <v>0</v>
      </c>
      <c r="Q54" s="627">
        <f>SUM(Q56:Q415)</f>
        <v>50567295.252200201</v>
      </c>
      <c r="S54" s="631">
        <f>J17</f>
        <v>0.9</v>
      </c>
      <c r="T54" s="627">
        <f>SUM(T56:T415)</f>
        <v>26213333.333333347</v>
      </c>
      <c r="U54" s="627">
        <f>SUM(U56:U415)</f>
        <v>6763029.3644022606</v>
      </c>
      <c r="V54" s="629">
        <f>SUM(V56:V415)</f>
        <v>26213333.333333351</v>
      </c>
      <c r="W54" s="627">
        <f>SUM(W56:W415)</f>
        <v>6763029.3644022625</v>
      </c>
      <c r="X54" s="632" t="s">
        <v>241</v>
      </c>
      <c r="Y54" s="633">
        <f>SUM(Y56:Y415)</f>
        <v>6763029.3644022625</v>
      </c>
      <c r="Z54" s="633">
        <f>SUM(Z56:Z415)</f>
        <v>751447.70715580671</v>
      </c>
      <c r="AA54" s="633">
        <f>SUM(AA56:AA415)</f>
        <v>7514477.0715580694</v>
      </c>
      <c r="AB54" s="633">
        <f>SUM(AB56:AB415)</f>
        <v>43052818.180642128</v>
      </c>
      <c r="AD54" s="634">
        <f>J18</f>
        <v>0.8</v>
      </c>
      <c r="AE54" s="635">
        <f>SUM(AE56:AE187)</f>
        <v>26213333.333333347</v>
      </c>
      <c r="AF54" s="635">
        <f>SUM(AF56:AF187)</f>
        <v>16427616.851666924</v>
      </c>
      <c r="AG54" s="635">
        <f>SUM(AG56:AG187)</f>
        <v>32976362.697735615</v>
      </c>
      <c r="AH54" s="635">
        <f>SUM(AH56:AH187)</f>
        <v>9664587.4872646723</v>
      </c>
      <c r="AI54" s="636"/>
      <c r="AJ54" s="637">
        <f>XIRR(AJ56:AJ187,$E56:$E187)</f>
        <v>0.20025848746299743</v>
      </c>
      <c r="AK54" s="635">
        <f>SUM(AK56:AK187)</f>
        <v>16427616.851666935</v>
      </c>
      <c r="AL54" s="635">
        <f>SUM(AL56:AL187)</f>
        <v>3167594.5789719741</v>
      </c>
      <c r="AM54" s="635">
        <f>SUM(AM56:AM187)</f>
        <v>19595211.430638909</v>
      </c>
      <c r="AN54" s="635">
        <f>SUM(AN56:AN187)</f>
        <v>30972083.821561288</v>
      </c>
      <c r="AP54" s="638">
        <f>J19</f>
        <v>0.7</v>
      </c>
      <c r="AQ54" s="639">
        <f>SUM(AQ56:AQ187)</f>
        <v>26213333.333333347</v>
      </c>
      <c r="AR54" s="639">
        <f>SUM(AR56:AR187)</f>
        <v>31590661.972630512</v>
      </c>
      <c r="AS54" s="639">
        <f>SUM(AS56:AS187)</f>
        <v>42640950.185000286</v>
      </c>
      <c r="AT54" s="639">
        <f>SUM(AT56:AT187)</f>
        <v>15163045.120963581</v>
      </c>
      <c r="AU54" s="640"/>
      <c r="AV54" s="641">
        <f>XIRR(AV56:AV187,$E56:$E187)</f>
        <v>0.30033745169639592</v>
      </c>
      <c r="AW54" s="639">
        <f>SUM(AW56:AW187)</f>
        <v>31590661.972630512</v>
      </c>
      <c r="AX54" s="639">
        <f>SUM(AX56:AX187)</f>
        <v>9666042.4879563674</v>
      </c>
      <c r="AY54" s="639">
        <f>SUM(AY56:AY187)</f>
        <v>41256704.460586883</v>
      </c>
      <c r="AZ54" s="639">
        <f>SUM(AZ56:AZ187)</f>
        <v>9310590.7916133143</v>
      </c>
      <c r="BB54" s="642">
        <f>SUM(BB56:BB187)</f>
        <v>4655295.3958066572</v>
      </c>
      <c r="BC54" s="642">
        <f>SUM(BC56:BC187)</f>
        <v>4655295.3958066572</v>
      </c>
      <c r="BD54" s="443"/>
      <c r="BE54" s="643">
        <f>SUM(BE56:BE416)</f>
        <v>36245957.368437171</v>
      </c>
      <c r="BF54" s="643">
        <f>SUM(BF56:BF416)</f>
        <v>14321337.883763025</v>
      </c>
      <c r="BG54" s="643">
        <f>SUM(BG56:BG416)</f>
        <v>50567295.252200201</v>
      </c>
      <c r="BI54" s="628" t="s">
        <v>200</v>
      </c>
      <c r="BJ54" s="644">
        <f>I11</f>
        <v>1</v>
      </c>
      <c r="BK54" s="644">
        <f>1-BJ54</f>
        <v>0</v>
      </c>
      <c r="BL54" s="644">
        <f>S54</f>
        <v>0.9</v>
      </c>
      <c r="BM54" s="644">
        <f>1-BL54</f>
        <v>9.9999999999999978E-2</v>
      </c>
      <c r="BN54" s="644">
        <f>J18</f>
        <v>0.8</v>
      </c>
      <c r="BO54" s="644">
        <f>1-BN54</f>
        <v>0.19999999999999996</v>
      </c>
      <c r="BP54" s="644">
        <f>J19</f>
        <v>0.7</v>
      </c>
      <c r="BQ54" s="644">
        <f>1-BP54</f>
        <v>0.30000000000000004</v>
      </c>
      <c r="BR54" s="644">
        <f>J20</f>
        <v>0.5</v>
      </c>
      <c r="BS54" s="644">
        <f>1-BR54</f>
        <v>0.5</v>
      </c>
      <c r="BT54" s="1074"/>
      <c r="BU54" s="1074"/>
      <c r="BX54" s="628" t="s">
        <v>200</v>
      </c>
      <c r="BY54" s="628">
        <f>i_Rate.Pref</f>
        <v>0</v>
      </c>
      <c r="BZ54" s="628">
        <f>i_Rate.Hurdle1</f>
        <v>0.1</v>
      </c>
      <c r="CA54" s="628">
        <f>i_Rate.Hurdle2</f>
        <v>0.2</v>
      </c>
      <c r="CB54" s="628">
        <f>i_Rate.Hurdle3</f>
        <v>0.3</v>
      </c>
      <c r="CC54" s="628" t="s">
        <v>242</v>
      </c>
      <c r="CD54" s="628" t="s">
        <v>228</v>
      </c>
    </row>
    <row r="55" spans="4:82" ht="16" thickTop="1" thickBot="1">
      <c r="D55" s="645"/>
      <c r="E55" s="646"/>
      <c r="F55" s="647"/>
      <c r="G55" s="648">
        <f>XIRR(G56:G415,E56:E415)</f>
        <v>0.385418862104416</v>
      </c>
      <c r="H55" s="521"/>
      <c r="I55" s="645"/>
      <c r="J55" s="649"/>
      <c r="K55" s="646"/>
      <c r="L55" s="649"/>
      <c r="M55" s="649"/>
      <c r="N55" s="648">
        <f>XIRR(N56:N415,$E$56:$E$415)</f>
        <v>2.9802322387695314E-9</v>
      </c>
      <c r="O55" s="648" t="e">
        <f>XIRR(O56:O415,$E$56:$E$415)</f>
        <v>#NUM!</v>
      </c>
      <c r="P55" s="648">
        <f>XIRR(P56:P415,$E$56:$E$415)</f>
        <v>2.9802322387695314E-9</v>
      </c>
      <c r="Q55" s="649"/>
      <c r="R55" s="521"/>
      <c r="S55" s="645"/>
      <c r="T55" s="649"/>
      <c r="U55" s="646"/>
      <c r="V55" s="649"/>
      <c r="W55" s="649"/>
      <c r="X55" s="649"/>
      <c r="Y55" s="648">
        <f>XIRR(Y56:Y416,$E$56:$E$416)</f>
        <v>0.10014117360115055</v>
      </c>
      <c r="Z55" s="648" t="e">
        <f>XIRR(Z56:Z416,$E$56:$E$416)</f>
        <v>#NUM!</v>
      </c>
      <c r="AA55" s="648">
        <f>XIRR(AA56:AA416,$E$56:$E$416)</f>
        <v>0.10980058312416077</v>
      </c>
      <c r="AB55" s="649"/>
      <c r="AC55" s="521"/>
      <c r="AD55" s="645"/>
      <c r="AE55" s="649"/>
      <c r="AF55" s="646"/>
      <c r="AG55" s="649"/>
      <c r="AH55" s="649"/>
      <c r="AI55" s="649"/>
      <c r="AJ55" s="650"/>
      <c r="AK55" s="648">
        <f>XIRR(AK56:AK415,$E$56:$E$415)</f>
        <v>0.20025848746299743</v>
      </c>
      <c r="AL55" s="648" t="e">
        <f>XIRR(AL56:AL415,$E$56:$E$415)</f>
        <v>#NUM!</v>
      </c>
      <c r="AM55" s="648">
        <f>XIRR(AM56:AM415,$E$56:$E$415)</f>
        <v>0.22801483273506168</v>
      </c>
      <c r="AN55" s="649"/>
      <c r="AO55" s="521"/>
      <c r="AP55" s="645"/>
      <c r="AQ55" s="649"/>
      <c r="AR55" s="646"/>
      <c r="AS55" s="649"/>
      <c r="AT55" s="649"/>
      <c r="AU55" s="649"/>
      <c r="AV55" s="650"/>
      <c r="AW55" s="648">
        <f>XIRR(AW56:AW415,$E$56:$E$415)</f>
        <v>0.30033745169639592</v>
      </c>
      <c r="AX55" s="648" t="e">
        <f>XIRR(AX56:AX415,$E$56:$E$415)</f>
        <v>#NUM!</v>
      </c>
      <c r="AY55" s="648">
        <f>XIRR(AY56:AY415,$E$56:$E$415)</f>
        <v>0.35337885022163384</v>
      </c>
      <c r="AZ55" s="649"/>
      <c r="BA55" s="521"/>
      <c r="BB55" s="649"/>
      <c r="BC55" s="649"/>
      <c r="BD55" s="651"/>
      <c r="BE55" s="648">
        <f>XIRR(BE56:BE415,$E$56:$E$415)</f>
        <v>0.32028545737266545</v>
      </c>
      <c r="BF55" s="648" t="e">
        <f>XIRR(BF56:BF415,$E$56:$E$415)</f>
        <v>#NUM!</v>
      </c>
      <c r="BG55" s="648">
        <f>XIRR(BG56:BG415,$E$56:$E$415)</f>
        <v>0.385418862104416</v>
      </c>
      <c r="BI55" s="652">
        <f>SUM(_xlfn.ANCHORARRAY(BI56))</f>
        <v>50567295.252200201</v>
      </c>
      <c r="BJ55" s="652">
        <f>SUM(_xlfn.ANCHORARRAY(BJ56))</f>
        <v>0</v>
      </c>
      <c r="BK55" s="652">
        <f>SUM(_xlfn.ANCHORARRAY(BK56))</f>
        <v>0</v>
      </c>
      <c r="BL55" s="652">
        <f t="shared" ref="BL55:BQ55" si="13">SUM(BL56:BL415)</f>
        <v>6763029.3644022625</v>
      </c>
      <c r="BM55" s="652">
        <f t="shared" si="13"/>
        <v>751447.70715580671</v>
      </c>
      <c r="BN55" s="652">
        <f t="shared" si="13"/>
        <v>9664587.4872646742</v>
      </c>
      <c r="BO55" s="652">
        <f t="shared" si="13"/>
        <v>2416146.8718161671</v>
      </c>
      <c r="BP55" s="652">
        <f t="shared" si="13"/>
        <v>15163045.120963581</v>
      </c>
      <c r="BQ55" s="652">
        <f t="shared" si="13"/>
        <v>6498447.9089843929</v>
      </c>
      <c r="BR55" s="652">
        <f>SUM(_xlfn.ANCHORARRAY(BR56))</f>
        <v>4655295.3958066572</v>
      </c>
      <c r="BS55" s="652">
        <f>SUM(_xlfn.ANCHORARRAY(BS56))</f>
        <v>4655295.3958066572</v>
      </c>
      <c r="BT55" s="652">
        <f>SUM(BT56:BT415)</f>
        <v>36245957.368437171</v>
      </c>
      <c r="BU55" s="652">
        <f>SUM(BU56:BU415)</f>
        <v>14321337.883763025</v>
      </c>
      <c r="BX55" s="652"/>
      <c r="BY55" s="652">
        <f>SUM(BY56:BY416)+BX56</f>
        <v>0</v>
      </c>
      <c r="BZ55" s="652">
        <f>SUM(BZ56:BZ416)</f>
        <v>7514477.0715580694</v>
      </c>
      <c r="CA55" s="652">
        <f>SUM(CA56:CA415)</f>
        <v>12080734.35908084</v>
      </c>
      <c r="CB55" s="652">
        <f>SUM(CB56:CB415)</f>
        <v>21661493.029947978</v>
      </c>
      <c r="CC55" s="652">
        <f>SUM(CC56:CC416)</f>
        <v>9310590.7916133143</v>
      </c>
      <c r="CD55" s="652">
        <f>SUM(CD56:CD415)</f>
        <v>69117295.252200231</v>
      </c>
    </row>
    <row r="56" spans="4:82" ht="16" thickTop="1" thickBot="1">
      <c r="D56" s="686" cm="1">
        <f t="array" ref="D56:D128">_xlfn.ANCHORARRAY(mOption!F8)</f>
        <v>0</v>
      </c>
      <c r="E56" s="654" cm="1">
        <f t="array" ref="E56:E128">_xlfn.ANCHORARRAY(mOption!G8)</f>
        <v>45688</v>
      </c>
      <c r="F56" s="655">
        <v>0</v>
      </c>
      <c r="G56" s="656" cm="1">
        <f t="array" ref="G56:G122">mOption!W8:W74</f>
        <v>-18550000</v>
      </c>
      <c r="I56" s="657">
        <f>IF(E55=0,0,M56)</f>
        <v>0</v>
      </c>
      <c r="J56" s="657">
        <f t="shared" ref="J56" si="14">IF($G56=0,0,-MIN(0,G56*c_EquityShare.LP))</f>
        <v>18550000</v>
      </c>
      <c r="K56" s="657">
        <f>I56*($G$16/12)</f>
        <v>0</v>
      </c>
      <c r="L56" s="657">
        <f t="shared" ref="L56:L119" si="15">IF($G56=0,0,MAX(MIN($G56*$I$54,I56+K56-J56),0))</f>
        <v>0</v>
      </c>
      <c r="M56" s="657">
        <f>J56</f>
        <v>18550000</v>
      </c>
      <c r="N56" s="657">
        <f>-M56</f>
        <v>-18550000</v>
      </c>
      <c r="O56" s="657">
        <f>G56*i_EquityShare.GP</f>
        <v>0</v>
      </c>
      <c r="P56" s="657">
        <f>G56</f>
        <v>-18550000</v>
      </c>
      <c r="Q56" s="658">
        <f t="shared" ref="Q56:Q119" si="16">IF(E56=0,0,MAX(G56-P56,0))</f>
        <v>0</v>
      </c>
      <c r="R56" s="659"/>
      <c r="S56" s="660">
        <v>0</v>
      </c>
      <c r="T56" s="660" cm="1">
        <f t="array" ref="T56">IF($G56=0,0,-MIN(0,$G56*c_EquityShare.LP))</f>
        <v>18550000</v>
      </c>
      <c r="U56" s="660" cm="1">
        <f t="array" ref="U56">IF($D56=0,0,S56*(c_Rate.Hurdle1.MO))</f>
        <v>0</v>
      </c>
      <c r="V56" s="660">
        <v>0</v>
      </c>
      <c r="W56" s="660">
        <f t="shared" ref="W56:W119" si="17">MIN(S56+U56-V56,Q56*S$54)</f>
        <v>0</v>
      </c>
      <c r="X56" s="660">
        <f t="shared" ref="X56" si="18">S56+U56+T56-V56-W56</f>
        <v>18550000</v>
      </c>
      <c r="Y56" s="660">
        <f>-T56</f>
        <v>-18550000</v>
      </c>
      <c r="Z56" s="660">
        <f>O56</f>
        <v>0</v>
      </c>
      <c r="AA56" s="660">
        <f t="shared" ref="AA56:AA119" si="19">Y56+Z56</f>
        <v>-18550000</v>
      </c>
      <c r="AB56" s="660">
        <v>0</v>
      </c>
      <c r="AC56" s="659"/>
      <c r="AD56" s="660">
        <v>0</v>
      </c>
      <c r="AE56" s="660">
        <f t="shared" ref="AE56" si="20">IF($G56=0,0,-MIN(0,$G56*c_EquityShare.LP))</f>
        <v>18550000</v>
      </c>
      <c r="AF56" s="660">
        <v>0</v>
      </c>
      <c r="AG56" s="660">
        <f t="shared" ref="AG56:AG119" si="21">V56+W56</f>
        <v>0</v>
      </c>
      <c r="AH56" s="660"/>
      <c r="AI56" s="660">
        <f t="shared" ref="AI56:AI119" si="22">AD56+AF56+AE56-AG56-AH56</f>
        <v>18550000</v>
      </c>
      <c r="AJ56" s="661">
        <f t="shared" ref="AJ56:AJ119" si="23">-AE56+AG56+AH56</f>
        <v>-18550000</v>
      </c>
      <c r="AK56" s="660">
        <f t="shared" ref="AK56:AK119" si="24">Y56+AH56</f>
        <v>-18550000</v>
      </c>
      <c r="AL56" s="660">
        <f>Z56</f>
        <v>0</v>
      </c>
      <c r="AM56" s="660">
        <f t="shared" ref="AM56:AM119" si="25">AK56+AL56</f>
        <v>-18550000</v>
      </c>
      <c r="AN56" s="660">
        <v>0</v>
      </c>
      <c r="AO56" s="659"/>
      <c r="AP56" s="660">
        <v>0</v>
      </c>
      <c r="AQ56" s="660">
        <f t="shared" ref="AQ56" si="26">IF($G56=0,0,-MIN(0,$G56*c_EquityShare.LP))</f>
        <v>18550000</v>
      </c>
      <c r="AR56" s="660" cm="1">
        <f t="array" ref="AR56">IF($D56=0,0,AP56*(c_Rate.Hurdle3.MO))</f>
        <v>0</v>
      </c>
      <c r="AS56" s="660">
        <f t="shared" ref="AS56:AS119" si="27">AG56+AH56</f>
        <v>0</v>
      </c>
      <c r="AT56" s="660">
        <v>0</v>
      </c>
      <c r="AU56" s="660">
        <f t="shared" ref="AU56:AU119" si="28">AP56+AR56+AQ56-AS56-AT56</f>
        <v>18550000</v>
      </c>
      <c r="AV56" s="661">
        <f t="shared" ref="AV56:AV119" si="29">-AQ56+AS56+AT56</f>
        <v>-18550000</v>
      </c>
      <c r="AW56" s="660">
        <f>AK56</f>
        <v>-18550000</v>
      </c>
      <c r="AX56" s="660">
        <f>AL56</f>
        <v>0</v>
      </c>
      <c r="AY56" s="660">
        <f>AM56</f>
        <v>-18550000</v>
      </c>
      <c r="AZ56" s="660">
        <v>0</v>
      </c>
      <c r="BA56" s="659"/>
      <c r="BB56" s="660">
        <f t="shared" ref="BB56:BB119" si="30">$AZ56-BC56</f>
        <v>0</v>
      </c>
      <c r="BC56" s="660">
        <f t="shared" ref="BC56" si="31">$AZ56*c_Residual.Share_GP</f>
        <v>0</v>
      </c>
      <c r="BD56" s="662"/>
      <c r="BE56" s="660">
        <f>AW56</f>
        <v>-18550000</v>
      </c>
      <c r="BF56" s="660">
        <f>AX56</f>
        <v>0</v>
      </c>
      <c r="BG56" s="660">
        <f t="shared" ref="BG56:BG119" si="32">SUM(BE56:BF56)</f>
        <v>-18550000</v>
      </c>
      <c r="BI56" s="660" cm="1">
        <f t="array" ref="BI56:BI415">G56:G415</f>
        <v>-18550000</v>
      </c>
      <c r="BJ56" s="660" cm="1">
        <f t="array" ref="BJ56:BJ415">N56:N415</f>
        <v>-18550000</v>
      </c>
      <c r="BK56" s="660" cm="1">
        <f t="array" ref="BK56:BK415">O56:O415</f>
        <v>0</v>
      </c>
      <c r="BL56" s="660">
        <f t="shared" ref="BL56:BM94" si="33">Y56-N56</f>
        <v>0</v>
      </c>
      <c r="BM56" s="660">
        <f t="shared" si="33"/>
        <v>0</v>
      </c>
      <c r="BN56" s="660">
        <f t="shared" ref="BN56:BO94" si="34">AK56-Y56</f>
        <v>0</v>
      </c>
      <c r="BO56" s="660">
        <f t="shared" si="34"/>
        <v>0</v>
      </c>
      <c r="BP56" s="660">
        <f t="shared" ref="BP56:BQ94" si="35">AW56-AK56</f>
        <v>0</v>
      </c>
      <c r="BQ56" s="660">
        <f t="shared" si="35"/>
        <v>0</v>
      </c>
      <c r="BR56" s="660" cm="1">
        <f t="array" ref="BR56:BR415">BB56:BB415</f>
        <v>0</v>
      </c>
      <c r="BS56" s="660" cm="1">
        <f t="array" ref="BS56:BS415">BC56:BC415</f>
        <v>0</v>
      </c>
      <c r="BT56" s="660">
        <f t="shared" ref="BT56:BU119" si="36">BJ56+BL56+BN56+BP56+BR56</f>
        <v>-18550000</v>
      </c>
      <c r="BU56" s="660">
        <f t="shared" si="36"/>
        <v>0</v>
      </c>
      <c r="BX56" s="660" cm="1">
        <f t="array" ref="BX56:BX415">G56:G415</f>
        <v>-18550000</v>
      </c>
      <c r="BY56" s="660"/>
      <c r="BZ56" s="660">
        <f t="shared" ref="BZ56:BZ119" si="37">BL56+BM56</f>
        <v>0</v>
      </c>
      <c r="CA56" s="660">
        <f t="shared" ref="CA56:CA119" si="38">BN56+BO56</f>
        <v>0</v>
      </c>
      <c r="CB56" s="660">
        <f t="shared" ref="CB56:CB119" si="39">BP56+BQ56</f>
        <v>0</v>
      </c>
      <c r="CC56" s="660">
        <f t="shared" ref="CC56:CC119" si="40">BR56+BS56</f>
        <v>0</v>
      </c>
      <c r="CD56" s="660">
        <f t="shared" ref="CD56:CD94" si="41">SUM(BY56:CC56)</f>
        <v>0</v>
      </c>
    </row>
    <row r="57" spans="4:82" ht="16" thickTop="1" thickBot="1">
      <c r="D57" s="653">
        <v>1</v>
      </c>
      <c r="E57" s="654">
        <v>45716</v>
      </c>
      <c r="F57" s="655">
        <f t="shared" ref="F57:F120" si="42">IF(D57=0,"",MIN(INT(YEARFRAC(E$56,EDATE(E57,12),3))))</f>
        <v>1</v>
      </c>
      <c r="G57" s="656">
        <v>0</v>
      </c>
      <c r="I57" s="658">
        <f t="shared" ref="I57:I120" si="43">IF(D57=0,0,M56)</f>
        <v>18550000</v>
      </c>
      <c r="J57" s="658">
        <f t="shared" ref="J57" si="44">IF($G57=0,0,-MIN(0,G57*c_EquityShare.LP))</f>
        <v>0</v>
      </c>
      <c r="K57" s="658">
        <f t="shared" ref="K57" si="45">I57*c_Rate.Pref_MO</f>
        <v>0</v>
      </c>
      <c r="L57" s="658">
        <f t="shared" si="15"/>
        <v>0</v>
      </c>
      <c r="M57" s="658">
        <f t="shared" ref="M57:M120" si="46">I57+K57+J57-L57</f>
        <v>18550000</v>
      </c>
      <c r="N57" s="658">
        <f>L57-J57</f>
        <v>0</v>
      </c>
      <c r="O57" s="658" cm="1">
        <f t="array" ref="O57">IF(I57=0,0,IF(G57&lt;0,N57/c_EquityShare.LP*i_EquityShare.GP,L57/c_EquityShare.LP*i_EquityShare.GP))</f>
        <v>0</v>
      </c>
      <c r="P57" s="658">
        <f t="shared" ref="P57:P120" si="47">N57+O57</f>
        <v>0</v>
      </c>
      <c r="Q57" s="658">
        <f t="shared" si="16"/>
        <v>0</v>
      </c>
      <c r="R57" s="521"/>
      <c r="S57" s="660">
        <f t="shared" ref="S57:S120" si="48">X56</f>
        <v>18550000</v>
      </c>
      <c r="T57" s="663" cm="1">
        <f t="array" ref="T57">IF($G57=0,0,-MIN(0,$G57*c_EquityShare.LP))</f>
        <v>0</v>
      </c>
      <c r="U57" s="663" cm="1">
        <f t="array" ref="U57">IF($D57=0,0,S57*c_Rate.Hurdle1.MO)</f>
        <v>147920.30495616482</v>
      </c>
      <c r="V57" s="660">
        <f>L57</f>
        <v>0</v>
      </c>
      <c r="W57" s="660">
        <f t="shared" si="17"/>
        <v>0</v>
      </c>
      <c r="X57" s="663">
        <f>S57+T57+U57-V57-W57</f>
        <v>18697920.304956164</v>
      </c>
      <c r="Y57" s="663">
        <f t="shared" ref="Y57:Y120" si="49">N57+W57</f>
        <v>0</v>
      </c>
      <c r="Z57" s="663">
        <f t="shared" ref="Z57" si="50">IF(S57=0,0,O57+W57/$J$17*c_Hurdle1.Share_GP)</f>
        <v>0</v>
      </c>
      <c r="AA57" s="663">
        <f t="shared" si="19"/>
        <v>0</v>
      </c>
      <c r="AB57" s="660">
        <f>IF(AA57&lt;0,0,MAX($G57-P57-AA57,0))</f>
        <v>0</v>
      </c>
      <c r="AC57" s="521"/>
      <c r="AD57" s="663">
        <f t="shared" ref="AD57:AD120" si="51">AI56</f>
        <v>18550000</v>
      </c>
      <c r="AE57" s="663">
        <f t="shared" ref="AE57" si="52">IF($G57=0,0,-MIN(0,$G57*c_EquityShare.LP))</f>
        <v>0</v>
      </c>
      <c r="AF57" s="663" cm="1">
        <f t="array" ref="AF57">IF($D57=0,0,AD57*(c_Rate.Hurdle2.MO))</f>
        <v>283990.67777001363</v>
      </c>
      <c r="AG57" s="663">
        <f t="shared" si="21"/>
        <v>0</v>
      </c>
      <c r="AH57" s="663">
        <f t="shared" ref="AH57:AH120" si="53">IF(AB57=0,0,MIN(AD57+AE57+AF57-AG57,AB57*AD$54))</f>
        <v>0</v>
      </c>
      <c r="AI57" s="663">
        <f t="shared" si="22"/>
        <v>18833990.677770015</v>
      </c>
      <c r="AJ57" s="664">
        <f t="shared" si="23"/>
        <v>0</v>
      </c>
      <c r="AK57" s="660">
        <f t="shared" si="24"/>
        <v>0</v>
      </c>
      <c r="AL57" s="663">
        <f t="shared" ref="AL57" si="54">IF(AD57=0,0,Z57+AH57/$J$18*c_Hurdle2.Share_GP)</f>
        <v>0</v>
      </c>
      <c r="AM57" s="663">
        <f t="shared" si="25"/>
        <v>0</v>
      </c>
      <c r="AN57" s="660">
        <f>IF(AM57&lt;0,0,MAX($G57-AA57-AM57,0))</f>
        <v>0</v>
      </c>
      <c r="AO57" s="521"/>
      <c r="AP57" s="663">
        <f t="shared" ref="AP57:AP120" si="55">AU56</f>
        <v>18550000</v>
      </c>
      <c r="AQ57" s="663">
        <f t="shared" ref="AQ57" si="56">IF($G57=0,0,-MIN(0,$G57*c_EquityShare.LP))</f>
        <v>0</v>
      </c>
      <c r="AR57" s="663" cm="1">
        <f t="array" ref="AR57">IF($D57=0,0,AP57*(c_Rate.Hurdle3.MO))</f>
        <v>410037.55851157452</v>
      </c>
      <c r="AS57" s="663">
        <f t="shared" si="27"/>
        <v>0</v>
      </c>
      <c r="AT57" s="663">
        <f t="shared" ref="AT57:AT120" si="57">IF(AP57=0,0,MIN(AP57+AQ57+AR57-AS57,AN57*AP$54))</f>
        <v>0</v>
      </c>
      <c r="AU57" s="663">
        <f t="shared" si="28"/>
        <v>18960037.558511574</v>
      </c>
      <c r="AV57" s="664">
        <f t="shared" si="29"/>
        <v>0</v>
      </c>
      <c r="AW57" s="660">
        <f t="shared" ref="AW57:AW120" si="58">AK57+AT57</f>
        <v>0</v>
      </c>
      <c r="AX57" s="663">
        <f t="shared" ref="AX57" si="59">IF(AP57=0,0,AL57+AT57/$J$19*c_Hurdle3.Share_GP)</f>
        <v>0</v>
      </c>
      <c r="AY57" s="663">
        <f t="shared" ref="AY57:AY120" si="60">AW57+AX57</f>
        <v>0</v>
      </c>
      <c r="AZ57" s="660">
        <f>IF(AY57&lt;0,0,MAX($G57-AM57-AY57,0))</f>
        <v>0</v>
      </c>
      <c r="BA57" s="521"/>
      <c r="BB57" s="660">
        <f t="shared" si="30"/>
        <v>0</v>
      </c>
      <c r="BC57" s="660">
        <f t="shared" ref="BC57" si="61">$AZ57*c_Residual.Share_GP</f>
        <v>0</v>
      </c>
      <c r="BD57" s="651"/>
      <c r="BE57" s="660">
        <f t="shared" ref="BE57:BF94" si="62">AW57+BB57</f>
        <v>0</v>
      </c>
      <c r="BF57" s="660">
        <f t="shared" si="62"/>
        <v>0</v>
      </c>
      <c r="BG57" s="660">
        <f t="shared" si="32"/>
        <v>0</v>
      </c>
      <c r="BI57" s="660">
        <v>0</v>
      </c>
      <c r="BJ57" s="660">
        <v>0</v>
      </c>
      <c r="BK57" s="660">
        <v>0</v>
      </c>
      <c r="BL57" s="660">
        <f t="shared" si="33"/>
        <v>0</v>
      </c>
      <c r="BM57" s="660">
        <f t="shared" si="33"/>
        <v>0</v>
      </c>
      <c r="BN57" s="660">
        <f t="shared" si="34"/>
        <v>0</v>
      </c>
      <c r="BO57" s="660">
        <f t="shared" si="34"/>
        <v>0</v>
      </c>
      <c r="BP57" s="660">
        <f t="shared" si="35"/>
        <v>0</v>
      </c>
      <c r="BQ57" s="660">
        <f t="shared" si="35"/>
        <v>0</v>
      </c>
      <c r="BR57" s="660">
        <v>0</v>
      </c>
      <c r="BS57" s="660">
        <v>0</v>
      </c>
      <c r="BT57" s="660">
        <f t="shared" si="36"/>
        <v>0</v>
      </c>
      <c r="BU57" s="660">
        <f t="shared" si="36"/>
        <v>0</v>
      </c>
      <c r="BX57" s="660">
        <v>0</v>
      </c>
      <c r="BY57" s="660">
        <f t="shared" ref="BY57:BY120" si="63">BJ57+BK57</f>
        <v>0</v>
      </c>
      <c r="BZ57" s="660">
        <f t="shared" si="37"/>
        <v>0</v>
      </c>
      <c r="CA57" s="660">
        <f t="shared" si="38"/>
        <v>0</v>
      </c>
      <c r="CB57" s="660">
        <f t="shared" si="39"/>
        <v>0</v>
      </c>
      <c r="CC57" s="660">
        <f t="shared" si="40"/>
        <v>0</v>
      </c>
      <c r="CD57" s="660">
        <f t="shared" si="41"/>
        <v>0</v>
      </c>
    </row>
    <row r="58" spans="4:82" ht="16" thickTop="1" thickBot="1">
      <c r="D58" s="653">
        <v>2</v>
      </c>
      <c r="E58" s="654">
        <v>45747</v>
      </c>
      <c r="F58" s="655">
        <f t="shared" si="42"/>
        <v>1</v>
      </c>
      <c r="G58" s="656">
        <v>-696666.66666666663</v>
      </c>
      <c r="I58" s="658">
        <f t="shared" si="43"/>
        <v>18550000</v>
      </c>
      <c r="J58" s="658">
        <f t="shared" ref="J58" si="64">IF($G58=0,0,-MIN(0,G58*c_EquityShare.LP))</f>
        <v>696666.66666666663</v>
      </c>
      <c r="K58" s="658">
        <f t="shared" ref="K58" si="65">I58*c_Rate.Pref_MO</f>
        <v>0</v>
      </c>
      <c r="L58" s="658">
        <f t="shared" si="15"/>
        <v>0</v>
      </c>
      <c r="M58" s="658">
        <f t="shared" si="46"/>
        <v>19246666.666666668</v>
      </c>
      <c r="N58" s="658">
        <f t="shared" ref="N58:N121" si="66">L58-J58</f>
        <v>-696666.66666666663</v>
      </c>
      <c r="O58" s="658" cm="1">
        <f t="array" ref="O58">IF(I58=0,0,IF(G58&lt;0,N58/c_EquityShare.LP*i_EquityShare.GP,L58/c_EquityShare.LP*i_EquityShare.GP))</f>
        <v>0</v>
      </c>
      <c r="P58" s="658">
        <f t="shared" si="47"/>
        <v>-696666.66666666663</v>
      </c>
      <c r="Q58" s="658">
        <f t="shared" si="16"/>
        <v>0</v>
      </c>
      <c r="R58" s="521"/>
      <c r="S58" s="660">
        <f t="shared" si="48"/>
        <v>18697920.304956164</v>
      </c>
      <c r="T58" s="663" cm="1">
        <f t="array" ref="T58">IF($G58=0,0,-MIN(0,$G58*c_EquityShare.LP))</f>
        <v>696666.66666666663</v>
      </c>
      <c r="U58" s="663" cm="1">
        <f t="array" ref="U58">IF($D58=0,0,S58*c_Rate.Hurdle1.MO)</f>
        <v>149099.84224017154</v>
      </c>
      <c r="V58" s="660">
        <f t="shared" ref="V58:V121" si="67">L58</f>
        <v>0</v>
      </c>
      <c r="W58" s="660">
        <f t="shared" si="17"/>
        <v>0</v>
      </c>
      <c r="X58" s="663">
        <f t="shared" ref="X58:X121" si="68">S58+T58+U58-V58-W58</f>
        <v>19543686.813863005</v>
      </c>
      <c r="Y58" s="663">
        <f t="shared" si="49"/>
        <v>-696666.66666666663</v>
      </c>
      <c r="Z58" s="663">
        <f t="shared" ref="Z58" si="69">IF(S58=0,0,O58+W58/$J$17*c_Hurdle1.Share_GP)</f>
        <v>0</v>
      </c>
      <c r="AA58" s="663">
        <f t="shared" si="19"/>
        <v>-696666.66666666663</v>
      </c>
      <c r="AB58" s="660">
        <f t="shared" ref="AB58:AB121" si="70">IF(AA58&lt;0,0,MAX($G58-P58-AA58,0))</f>
        <v>0</v>
      </c>
      <c r="AC58" s="521"/>
      <c r="AD58" s="663">
        <f t="shared" si="51"/>
        <v>18833990.677770015</v>
      </c>
      <c r="AE58" s="663">
        <f t="shared" ref="AE58" si="71">IF($G58=0,0,-MIN(0,$G58*c_EquityShare.LP))</f>
        <v>696666.66666666663</v>
      </c>
      <c r="AF58" s="663" cm="1">
        <f t="array" ref="AF58">IF($D58=0,0,AD58*(c_Rate.Hurdle2.MO))</f>
        <v>288338.42467353231</v>
      </c>
      <c r="AG58" s="663">
        <f t="shared" si="21"/>
        <v>0</v>
      </c>
      <c r="AH58" s="663">
        <f t="shared" si="53"/>
        <v>0</v>
      </c>
      <c r="AI58" s="663">
        <f t="shared" si="22"/>
        <v>19818995.769110214</v>
      </c>
      <c r="AJ58" s="664">
        <f t="shared" si="23"/>
        <v>-696666.66666666663</v>
      </c>
      <c r="AK58" s="660">
        <f t="shared" si="24"/>
        <v>-696666.66666666663</v>
      </c>
      <c r="AL58" s="663">
        <f t="shared" ref="AL58" si="72">IF(AD58=0,0,Z58+AH58/$J$18*c_Hurdle2.Share_GP)</f>
        <v>0</v>
      </c>
      <c r="AM58" s="663">
        <f t="shared" si="25"/>
        <v>-696666.66666666663</v>
      </c>
      <c r="AN58" s="660">
        <f t="shared" ref="AN58:AN121" si="73">IF(AM58&lt;0,0,MAX($G58-AA58-AM58,0))</f>
        <v>0</v>
      </c>
      <c r="AO58" s="521"/>
      <c r="AP58" s="663">
        <f t="shared" si="55"/>
        <v>18960037.558511574</v>
      </c>
      <c r="AQ58" s="663">
        <f t="shared" ref="AQ58" si="74">IF($G58=0,0,-MIN(0,$G58*c_EquityShare.LP))</f>
        <v>696666.66666666663</v>
      </c>
      <c r="AR58" s="663" cm="1">
        <f t="array" ref="AR58">IF($D58=0,0,AP58*(c_Rate.Hurdle3.MO))</f>
        <v>419101.21346522047</v>
      </c>
      <c r="AS58" s="663">
        <f t="shared" si="27"/>
        <v>0</v>
      </c>
      <c r="AT58" s="663">
        <f t="shared" si="57"/>
        <v>0</v>
      </c>
      <c r="AU58" s="663">
        <f t="shared" si="28"/>
        <v>20075805.438643463</v>
      </c>
      <c r="AV58" s="664">
        <f t="shared" si="29"/>
        <v>-696666.66666666663</v>
      </c>
      <c r="AW58" s="660">
        <f t="shared" si="58"/>
        <v>-696666.66666666663</v>
      </c>
      <c r="AX58" s="663">
        <f t="shared" ref="AX58" si="75">IF(AP58=0,0,AL58+AT58/$J$19*c_Hurdle3.Share_GP)</f>
        <v>0</v>
      </c>
      <c r="AY58" s="663">
        <f t="shared" si="60"/>
        <v>-696666.66666666663</v>
      </c>
      <c r="AZ58" s="660">
        <f t="shared" ref="AZ58:AZ121" si="76">IF(AY58&lt;0,0,MAX($G58-AM58-AY58,0))</f>
        <v>0</v>
      </c>
      <c r="BA58" s="521"/>
      <c r="BB58" s="660">
        <f t="shared" si="30"/>
        <v>0</v>
      </c>
      <c r="BC58" s="660">
        <f t="shared" ref="BC58" si="77">$AZ58*c_Residual.Share_GP</f>
        <v>0</v>
      </c>
      <c r="BD58" s="651"/>
      <c r="BE58" s="660">
        <f t="shared" si="62"/>
        <v>-696666.66666666663</v>
      </c>
      <c r="BF58" s="660">
        <f t="shared" si="62"/>
        <v>0</v>
      </c>
      <c r="BG58" s="660">
        <f t="shared" si="32"/>
        <v>-696666.66666666663</v>
      </c>
      <c r="BI58" s="660">
        <v>-696666.66666666663</v>
      </c>
      <c r="BJ58" s="660">
        <v>-696666.66666666663</v>
      </c>
      <c r="BK58" s="660">
        <v>0</v>
      </c>
      <c r="BL58" s="660">
        <f t="shared" si="33"/>
        <v>0</v>
      </c>
      <c r="BM58" s="660">
        <f t="shared" si="33"/>
        <v>0</v>
      </c>
      <c r="BN58" s="660">
        <f t="shared" si="34"/>
        <v>0</v>
      </c>
      <c r="BO58" s="660">
        <f t="shared" si="34"/>
        <v>0</v>
      </c>
      <c r="BP58" s="660">
        <f t="shared" si="35"/>
        <v>0</v>
      </c>
      <c r="BQ58" s="660">
        <f t="shared" si="35"/>
        <v>0</v>
      </c>
      <c r="BR58" s="660">
        <v>0</v>
      </c>
      <c r="BS58" s="660">
        <v>0</v>
      </c>
      <c r="BT58" s="660">
        <f t="shared" si="36"/>
        <v>-696666.66666666663</v>
      </c>
      <c r="BU58" s="660">
        <f t="shared" si="36"/>
        <v>0</v>
      </c>
      <c r="BX58" s="660">
        <v>-696666.66666666663</v>
      </c>
      <c r="BY58" s="660">
        <f t="shared" si="63"/>
        <v>-696666.66666666663</v>
      </c>
      <c r="BZ58" s="660">
        <f t="shared" si="37"/>
        <v>0</v>
      </c>
      <c r="CA58" s="660">
        <f t="shared" si="38"/>
        <v>0</v>
      </c>
      <c r="CB58" s="660">
        <f t="shared" si="39"/>
        <v>0</v>
      </c>
      <c r="CC58" s="660">
        <f t="shared" si="40"/>
        <v>0</v>
      </c>
      <c r="CD58" s="660">
        <f t="shared" si="41"/>
        <v>-696666.66666666663</v>
      </c>
    </row>
    <row r="59" spans="4:82" ht="16" thickTop="1" thickBot="1">
      <c r="D59" s="653">
        <v>3</v>
      </c>
      <c r="E59" s="654">
        <v>45777</v>
      </c>
      <c r="F59" s="655">
        <f t="shared" si="42"/>
        <v>1</v>
      </c>
      <c r="G59" s="656">
        <v>-696666.66666666663</v>
      </c>
      <c r="I59" s="658">
        <f t="shared" si="43"/>
        <v>19246666.666666668</v>
      </c>
      <c r="J59" s="658">
        <f t="shared" ref="J59" si="78">IF($G59=0,0,-MIN(0,G59*c_EquityShare.LP))</f>
        <v>696666.66666666663</v>
      </c>
      <c r="K59" s="658">
        <f t="shared" ref="K59" si="79">I59*c_Rate.Pref_MO</f>
        <v>0</v>
      </c>
      <c r="L59" s="658">
        <f t="shared" si="15"/>
        <v>0</v>
      </c>
      <c r="M59" s="658">
        <f t="shared" si="46"/>
        <v>19943333.333333336</v>
      </c>
      <c r="N59" s="658">
        <f t="shared" si="66"/>
        <v>-696666.66666666663</v>
      </c>
      <c r="O59" s="658" cm="1">
        <f t="array" ref="O59">IF(I59=0,0,IF(G59&lt;0,N59/c_EquityShare.LP*i_EquityShare.GP,L59/c_EquityShare.LP*i_EquityShare.GP))</f>
        <v>0</v>
      </c>
      <c r="P59" s="658">
        <f t="shared" si="47"/>
        <v>-696666.66666666663</v>
      </c>
      <c r="Q59" s="658">
        <f t="shared" si="16"/>
        <v>0</v>
      </c>
      <c r="S59" s="660">
        <f t="shared" si="48"/>
        <v>19543686.813863005</v>
      </c>
      <c r="T59" s="663" cm="1">
        <f t="array" ref="T59">IF($G59=0,0,-MIN(0,$G59*c_EquityShare.LP))</f>
        <v>696666.66666666663</v>
      </c>
      <c r="U59" s="663" cm="1">
        <f t="array" ref="U59">IF($D59=0,0,S59*c_Rate.Hurdle1.MO)</f>
        <v>155844.10315225838</v>
      </c>
      <c r="V59" s="660">
        <f t="shared" si="67"/>
        <v>0</v>
      </c>
      <c r="W59" s="660">
        <f t="shared" si="17"/>
        <v>0</v>
      </c>
      <c r="X59" s="663">
        <f t="shared" si="68"/>
        <v>20396197.583681934</v>
      </c>
      <c r="Y59" s="663">
        <f t="shared" si="49"/>
        <v>-696666.66666666663</v>
      </c>
      <c r="Z59" s="663">
        <f t="shared" ref="Z59" si="80">IF(S59=0,0,O59+W59/$J$17*c_Hurdle1.Share_GP)</f>
        <v>0</v>
      </c>
      <c r="AA59" s="663">
        <f t="shared" si="19"/>
        <v>-696666.66666666663</v>
      </c>
      <c r="AB59" s="660">
        <f t="shared" si="70"/>
        <v>0</v>
      </c>
      <c r="AC59" s="521"/>
      <c r="AD59" s="663">
        <f t="shared" si="51"/>
        <v>19818995.769110214</v>
      </c>
      <c r="AE59" s="663">
        <f t="shared" ref="AE59" si="81">IF($G59=0,0,-MIN(0,$G59*c_EquityShare.LP))</f>
        <v>696666.66666666663</v>
      </c>
      <c r="AF59" s="663" cm="1">
        <f t="array" ref="AF59">IF($D59=0,0,AD59*(c_Rate.Hurdle2.MO))</f>
        <v>303418.33106149011</v>
      </c>
      <c r="AG59" s="663">
        <f t="shared" si="21"/>
        <v>0</v>
      </c>
      <c r="AH59" s="663">
        <f t="shared" si="53"/>
        <v>0</v>
      </c>
      <c r="AI59" s="663">
        <f t="shared" si="22"/>
        <v>20819080.766838372</v>
      </c>
      <c r="AJ59" s="664">
        <f t="shared" si="23"/>
        <v>-696666.66666666663</v>
      </c>
      <c r="AK59" s="660">
        <f t="shared" si="24"/>
        <v>-696666.66666666663</v>
      </c>
      <c r="AL59" s="663">
        <f t="shared" ref="AL59" si="82">IF(AD59=0,0,Z59+AH59/$J$18*c_Hurdle2.Share_GP)</f>
        <v>0</v>
      </c>
      <c r="AM59" s="663">
        <f t="shared" si="25"/>
        <v>-696666.66666666663</v>
      </c>
      <c r="AN59" s="660">
        <f t="shared" si="73"/>
        <v>0</v>
      </c>
      <c r="AO59" s="521"/>
      <c r="AP59" s="663">
        <f t="shared" si="55"/>
        <v>20075805.438643463</v>
      </c>
      <c r="AQ59" s="663">
        <f t="shared" ref="AQ59" si="83">IF($G59=0,0,-MIN(0,$G59*c_EquityShare.LP))</f>
        <v>696666.66666666663</v>
      </c>
      <c r="AR59" s="663" cm="1">
        <f t="array" ref="AR59">IF($D59=0,0,AP59*(c_Rate.Hurdle3.MO))</f>
        <v>443764.64944553934</v>
      </c>
      <c r="AS59" s="663">
        <f t="shared" si="27"/>
        <v>0</v>
      </c>
      <c r="AT59" s="663">
        <f t="shared" si="57"/>
        <v>0</v>
      </c>
      <c r="AU59" s="663">
        <f t="shared" si="28"/>
        <v>21216236.754755672</v>
      </c>
      <c r="AV59" s="664">
        <f t="shared" si="29"/>
        <v>-696666.66666666663</v>
      </c>
      <c r="AW59" s="660">
        <f t="shared" si="58"/>
        <v>-696666.66666666663</v>
      </c>
      <c r="AX59" s="663">
        <f t="shared" ref="AX59" si="84">IF(AP59=0,0,AL59+AT59/$J$19*c_Hurdle3.Share_GP)</f>
        <v>0</v>
      </c>
      <c r="AY59" s="663">
        <f t="shared" si="60"/>
        <v>-696666.66666666663</v>
      </c>
      <c r="AZ59" s="660">
        <f t="shared" si="76"/>
        <v>0</v>
      </c>
      <c r="BA59" s="521"/>
      <c r="BB59" s="660">
        <f t="shared" si="30"/>
        <v>0</v>
      </c>
      <c r="BC59" s="660">
        <f t="shared" ref="BC59" si="85">$AZ59*c_Residual.Share_GP</f>
        <v>0</v>
      </c>
      <c r="BD59" s="651"/>
      <c r="BE59" s="660">
        <f t="shared" si="62"/>
        <v>-696666.66666666663</v>
      </c>
      <c r="BF59" s="660">
        <f t="shared" si="62"/>
        <v>0</v>
      </c>
      <c r="BG59" s="660">
        <f t="shared" si="32"/>
        <v>-696666.66666666663</v>
      </c>
      <c r="BI59" s="660">
        <v>-696666.66666666663</v>
      </c>
      <c r="BJ59" s="660">
        <v>-696666.66666666663</v>
      </c>
      <c r="BK59" s="660">
        <v>0</v>
      </c>
      <c r="BL59" s="660">
        <f t="shared" si="33"/>
        <v>0</v>
      </c>
      <c r="BM59" s="660">
        <f t="shared" si="33"/>
        <v>0</v>
      </c>
      <c r="BN59" s="660">
        <f t="shared" si="34"/>
        <v>0</v>
      </c>
      <c r="BO59" s="660">
        <f t="shared" si="34"/>
        <v>0</v>
      </c>
      <c r="BP59" s="660">
        <f t="shared" si="35"/>
        <v>0</v>
      </c>
      <c r="BQ59" s="660">
        <f t="shared" si="35"/>
        <v>0</v>
      </c>
      <c r="BR59" s="660">
        <v>0</v>
      </c>
      <c r="BS59" s="660">
        <v>0</v>
      </c>
      <c r="BT59" s="660">
        <f t="shared" si="36"/>
        <v>-696666.66666666663</v>
      </c>
      <c r="BU59" s="660">
        <f t="shared" si="36"/>
        <v>0</v>
      </c>
      <c r="BX59" s="660">
        <v>-696666.66666666663</v>
      </c>
      <c r="BY59" s="660">
        <f t="shared" si="63"/>
        <v>-696666.66666666663</v>
      </c>
      <c r="BZ59" s="660">
        <f t="shared" si="37"/>
        <v>0</v>
      </c>
      <c r="CA59" s="660">
        <f t="shared" si="38"/>
        <v>0</v>
      </c>
      <c r="CB59" s="660">
        <f t="shared" si="39"/>
        <v>0</v>
      </c>
      <c r="CC59" s="660">
        <f t="shared" si="40"/>
        <v>0</v>
      </c>
      <c r="CD59" s="660">
        <f t="shared" si="41"/>
        <v>-696666.66666666663</v>
      </c>
    </row>
    <row r="60" spans="4:82" ht="16" thickTop="1" thickBot="1">
      <c r="D60" s="653">
        <v>4</v>
      </c>
      <c r="E60" s="654">
        <v>45808</v>
      </c>
      <c r="F60" s="655">
        <f t="shared" si="42"/>
        <v>1</v>
      </c>
      <c r="G60" s="656">
        <v>-696666.66666666663</v>
      </c>
      <c r="I60" s="658">
        <f t="shared" si="43"/>
        <v>19943333.333333336</v>
      </c>
      <c r="J60" s="658">
        <f t="shared" ref="J60" si="86">IF($G60=0,0,-MIN(0,G60*c_EquityShare.LP))</f>
        <v>696666.66666666663</v>
      </c>
      <c r="K60" s="658">
        <f t="shared" ref="K60" si="87">I60*c_Rate.Pref_MO</f>
        <v>0</v>
      </c>
      <c r="L60" s="658">
        <f t="shared" si="15"/>
        <v>0</v>
      </c>
      <c r="M60" s="658">
        <f t="shared" si="46"/>
        <v>20640000.000000004</v>
      </c>
      <c r="N60" s="658">
        <f t="shared" si="66"/>
        <v>-696666.66666666663</v>
      </c>
      <c r="O60" s="658" cm="1">
        <f t="array" ref="O60">IF(I60=0,0,IF(G60&lt;0,N60/c_EquityShare.LP*i_EquityShare.GP,L60/c_EquityShare.LP*i_EquityShare.GP))</f>
        <v>0</v>
      </c>
      <c r="P60" s="658">
        <f t="shared" si="47"/>
        <v>-696666.66666666663</v>
      </c>
      <c r="Q60" s="658">
        <f t="shared" si="16"/>
        <v>0</v>
      </c>
      <c r="S60" s="660">
        <f t="shared" si="48"/>
        <v>20396197.583681934</v>
      </c>
      <c r="T60" s="663" cm="1">
        <f t="array" ref="T60">IF($G60=0,0,-MIN(0,$G60*c_EquityShare.LP))</f>
        <v>696666.66666666663</v>
      </c>
      <c r="U60" s="663" cm="1">
        <f t="array" ref="U60">IF($D60=0,0,S60*c_Rate.Hurdle1.MO)</f>
        <v>162642.14374794738</v>
      </c>
      <c r="V60" s="660">
        <f t="shared" si="67"/>
        <v>0</v>
      </c>
      <c r="W60" s="660">
        <f t="shared" si="17"/>
        <v>0</v>
      </c>
      <c r="X60" s="663">
        <f t="shared" si="68"/>
        <v>21255506.39409655</v>
      </c>
      <c r="Y60" s="663">
        <f t="shared" si="49"/>
        <v>-696666.66666666663</v>
      </c>
      <c r="Z60" s="663">
        <f t="shared" ref="Z60" si="88">IF(S60=0,0,O60+W60/$J$17*c_Hurdle1.Share_GP)</f>
        <v>0</v>
      </c>
      <c r="AA60" s="663">
        <f t="shared" si="19"/>
        <v>-696666.66666666663</v>
      </c>
      <c r="AB60" s="660">
        <f t="shared" si="70"/>
        <v>0</v>
      </c>
      <c r="AC60" s="521"/>
      <c r="AD60" s="663">
        <f t="shared" si="51"/>
        <v>20819080.766838372</v>
      </c>
      <c r="AE60" s="663">
        <f t="shared" ref="AE60" si="89">IF($G60=0,0,-MIN(0,$G60*c_EquityShare.LP))</f>
        <v>696666.66666666663</v>
      </c>
      <c r="AF60" s="663" cm="1">
        <f t="array" ref="AF60">IF($D60=0,0,AD60*(c_Rate.Hurdle2.MO))</f>
        <v>318729.10283143312</v>
      </c>
      <c r="AG60" s="663">
        <f t="shared" si="21"/>
        <v>0</v>
      </c>
      <c r="AH60" s="663">
        <f t="shared" si="53"/>
        <v>0</v>
      </c>
      <c r="AI60" s="663">
        <f t="shared" si="22"/>
        <v>21834476.536336474</v>
      </c>
      <c r="AJ60" s="664">
        <f t="shared" si="23"/>
        <v>-696666.66666666663</v>
      </c>
      <c r="AK60" s="660">
        <f t="shared" si="24"/>
        <v>-696666.66666666663</v>
      </c>
      <c r="AL60" s="663">
        <f t="shared" ref="AL60" si="90">IF(AD60=0,0,Z60+AH60/$J$18*c_Hurdle2.Share_GP)</f>
        <v>0</v>
      </c>
      <c r="AM60" s="663">
        <f t="shared" si="25"/>
        <v>-696666.66666666663</v>
      </c>
      <c r="AN60" s="660">
        <f t="shared" si="73"/>
        <v>0</v>
      </c>
      <c r="AO60" s="521"/>
      <c r="AP60" s="663">
        <f t="shared" si="55"/>
        <v>21216236.754755672</v>
      </c>
      <c r="AQ60" s="663">
        <f t="shared" ref="AQ60" si="91">IF($G60=0,0,-MIN(0,$G60*c_EquityShare.LP))</f>
        <v>696666.66666666663</v>
      </c>
      <c r="AR60" s="663" cm="1">
        <f t="array" ref="AR60">IF($D60=0,0,AP60*(c_Rate.Hurdle3.MO))</f>
        <v>468973.25712795398</v>
      </c>
      <c r="AS60" s="663">
        <f t="shared" si="27"/>
        <v>0</v>
      </c>
      <c r="AT60" s="663">
        <f t="shared" si="57"/>
        <v>0</v>
      </c>
      <c r="AU60" s="663">
        <f t="shared" si="28"/>
        <v>22381876.678550296</v>
      </c>
      <c r="AV60" s="664">
        <f t="shared" si="29"/>
        <v>-696666.66666666663</v>
      </c>
      <c r="AW60" s="660">
        <f t="shared" si="58"/>
        <v>-696666.66666666663</v>
      </c>
      <c r="AX60" s="663">
        <f t="shared" ref="AX60" si="92">IF(AP60=0,0,AL60+AT60/$J$19*c_Hurdle3.Share_GP)</f>
        <v>0</v>
      </c>
      <c r="AY60" s="663">
        <f t="shared" si="60"/>
        <v>-696666.66666666663</v>
      </c>
      <c r="AZ60" s="660">
        <f t="shared" si="76"/>
        <v>0</v>
      </c>
      <c r="BA60" s="521"/>
      <c r="BB60" s="660">
        <f t="shared" si="30"/>
        <v>0</v>
      </c>
      <c r="BC60" s="660">
        <f t="shared" ref="BC60" si="93">$AZ60*c_Residual.Share_GP</f>
        <v>0</v>
      </c>
      <c r="BD60" s="651"/>
      <c r="BE60" s="660">
        <f t="shared" si="62"/>
        <v>-696666.66666666663</v>
      </c>
      <c r="BF60" s="660">
        <f t="shared" si="62"/>
        <v>0</v>
      </c>
      <c r="BG60" s="660">
        <f t="shared" si="32"/>
        <v>-696666.66666666663</v>
      </c>
      <c r="BI60" s="660">
        <v>-696666.66666666663</v>
      </c>
      <c r="BJ60" s="660">
        <v>-696666.66666666663</v>
      </c>
      <c r="BK60" s="660">
        <v>0</v>
      </c>
      <c r="BL60" s="660">
        <f t="shared" si="33"/>
        <v>0</v>
      </c>
      <c r="BM60" s="660">
        <f t="shared" si="33"/>
        <v>0</v>
      </c>
      <c r="BN60" s="660">
        <f t="shared" si="34"/>
        <v>0</v>
      </c>
      <c r="BO60" s="660">
        <f t="shared" si="34"/>
        <v>0</v>
      </c>
      <c r="BP60" s="660">
        <f t="shared" si="35"/>
        <v>0</v>
      </c>
      <c r="BQ60" s="660">
        <f t="shared" si="35"/>
        <v>0</v>
      </c>
      <c r="BR60" s="660">
        <v>0</v>
      </c>
      <c r="BS60" s="660">
        <v>0</v>
      </c>
      <c r="BT60" s="660">
        <f t="shared" si="36"/>
        <v>-696666.66666666663</v>
      </c>
      <c r="BU60" s="660">
        <f t="shared" si="36"/>
        <v>0</v>
      </c>
      <c r="BX60" s="660">
        <v>-696666.66666666663</v>
      </c>
      <c r="BY60" s="660">
        <f t="shared" si="63"/>
        <v>-696666.66666666663</v>
      </c>
      <c r="BZ60" s="660">
        <f t="shared" si="37"/>
        <v>0</v>
      </c>
      <c r="CA60" s="660">
        <f t="shared" si="38"/>
        <v>0</v>
      </c>
      <c r="CB60" s="660">
        <f t="shared" si="39"/>
        <v>0</v>
      </c>
      <c r="CC60" s="660">
        <f t="shared" si="40"/>
        <v>0</v>
      </c>
      <c r="CD60" s="660">
        <f t="shared" si="41"/>
        <v>-696666.66666666663</v>
      </c>
    </row>
    <row r="61" spans="4:82" ht="16" thickTop="1" thickBot="1">
      <c r="D61" s="653">
        <v>5</v>
      </c>
      <c r="E61" s="654">
        <v>45838</v>
      </c>
      <c r="F61" s="655">
        <f t="shared" si="42"/>
        <v>1</v>
      </c>
      <c r="G61" s="656">
        <v>-696666.66666666663</v>
      </c>
      <c r="I61" s="658">
        <f t="shared" si="43"/>
        <v>20640000.000000004</v>
      </c>
      <c r="J61" s="658">
        <f t="shared" ref="J61" si="94">IF($G61=0,0,-MIN(0,G61*c_EquityShare.LP))</f>
        <v>696666.66666666663</v>
      </c>
      <c r="K61" s="658">
        <f t="shared" ref="K61" si="95">I61*c_Rate.Pref_MO</f>
        <v>0</v>
      </c>
      <c r="L61" s="658">
        <f t="shared" si="15"/>
        <v>0</v>
      </c>
      <c r="M61" s="658">
        <f t="shared" si="46"/>
        <v>21336666.666666672</v>
      </c>
      <c r="N61" s="658">
        <f t="shared" si="66"/>
        <v>-696666.66666666663</v>
      </c>
      <c r="O61" s="658" cm="1">
        <f t="array" ref="O61">IF(I61=0,0,IF(G61&lt;0,N61/c_EquityShare.LP*i_EquityShare.GP,L61/c_EquityShare.LP*i_EquityShare.GP))</f>
        <v>0</v>
      </c>
      <c r="P61" s="658">
        <f t="shared" si="47"/>
        <v>-696666.66666666663</v>
      </c>
      <c r="Q61" s="658">
        <f t="shared" si="16"/>
        <v>0</v>
      </c>
      <c r="S61" s="660">
        <f t="shared" si="48"/>
        <v>21255506.39409655</v>
      </c>
      <c r="T61" s="663" cm="1">
        <f t="array" ref="T61">IF($G61=0,0,-MIN(0,$G61*c_EquityShare.LP))</f>
        <v>696666.66666666663</v>
      </c>
      <c r="U61" s="663" cm="1">
        <f t="array" ref="U61">IF($D61=0,0,S61*c_Rate.Hurdle1.MO)</f>
        <v>169494.39287398776</v>
      </c>
      <c r="V61" s="660">
        <f t="shared" si="67"/>
        <v>0</v>
      </c>
      <c r="W61" s="660">
        <f t="shared" si="17"/>
        <v>0</v>
      </c>
      <c r="X61" s="663">
        <f t="shared" si="68"/>
        <v>22121667.453637205</v>
      </c>
      <c r="Y61" s="663">
        <f t="shared" si="49"/>
        <v>-696666.66666666663</v>
      </c>
      <c r="Z61" s="663">
        <f t="shared" ref="Z61" si="96">IF(S61=0,0,O61+W61/$J$17*c_Hurdle1.Share_GP)</f>
        <v>0</v>
      </c>
      <c r="AA61" s="663">
        <f t="shared" si="19"/>
        <v>-696666.66666666663</v>
      </c>
      <c r="AB61" s="660">
        <f t="shared" si="70"/>
        <v>0</v>
      </c>
      <c r="AC61" s="521"/>
      <c r="AD61" s="663">
        <f t="shared" si="51"/>
        <v>21834476.536336474</v>
      </c>
      <c r="AE61" s="663">
        <f t="shared" ref="AE61" si="97">IF($G61=0,0,-MIN(0,$G61*c_EquityShare.LP))</f>
        <v>696666.66666666663</v>
      </c>
      <c r="AF61" s="663" cm="1">
        <f t="array" ref="AF61">IF($D61=0,0,AD61*(c_Rate.Hurdle2.MO))</f>
        <v>334274.27441011614</v>
      </c>
      <c r="AG61" s="663">
        <f t="shared" si="21"/>
        <v>0</v>
      </c>
      <c r="AH61" s="663">
        <f t="shared" si="53"/>
        <v>0</v>
      </c>
      <c r="AI61" s="663">
        <f t="shared" si="22"/>
        <v>22865417.477413259</v>
      </c>
      <c r="AJ61" s="664">
        <f t="shared" si="23"/>
        <v>-696666.66666666663</v>
      </c>
      <c r="AK61" s="660">
        <f t="shared" si="24"/>
        <v>-696666.66666666663</v>
      </c>
      <c r="AL61" s="663">
        <f t="shared" ref="AL61" si="98">IF(AD61=0,0,Z61+AH61/$J$18*c_Hurdle2.Share_GP)</f>
        <v>0</v>
      </c>
      <c r="AM61" s="663">
        <f t="shared" si="25"/>
        <v>-696666.66666666663</v>
      </c>
      <c r="AN61" s="660">
        <f t="shared" si="73"/>
        <v>0</v>
      </c>
      <c r="AO61" s="521"/>
      <c r="AP61" s="663">
        <f t="shared" si="55"/>
        <v>22381876.678550296</v>
      </c>
      <c r="AQ61" s="663">
        <f t="shared" ref="AQ61" si="99">IF($G61=0,0,-MIN(0,$G61*c_EquityShare.LP))</f>
        <v>696666.66666666663</v>
      </c>
      <c r="AR61" s="663" cm="1">
        <f t="array" ref="AR61">IF($D61=0,0,AP61*(c_Rate.Hurdle3.MO))</f>
        <v>494739.08723341842</v>
      </c>
      <c r="AS61" s="663">
        <f t="shared" si="27"/>
        <v>0</v>
      </c>
      <c r="AT61" s="663">
        <f t="shared" si="57"/>
        <v>0</v>
      </c>
      <c r="AU61" s="663">
        <f t="shared" si="28"/>
        <v>23573282.43245038</v>
      </c>
      <c r="AV61" s="664">
        <f t="shared" si="29"/>
        <v>-696666.66666666663</v>
      </c>
      <c r="AW61" s="660">
        <f t="shared" si="58"/>
        <v>-696666.66666666663</v>
      </c>
      <c r="AX61" s="663">
        <f t="shared" ref="AX61" si="100">IF(AP61=0,0,AL61+AT61/$J$19*c_Hurdle3.Share_GP)</f>
        <v>0</v>
      </c>
      <c r="AY61" s="663">
        <f t="shared" si="60"/>
        <v>-696666.66666666663</v>
      </c>
      <c r="AZ61" s="660">
        <f t="shared" si="76"/>
        <v>0</v>
      </c>
      <c r="BA61" s="521"/>
      <c r="BB61" s="660">
        <f t="shared" si="30"/>
        <v>0</v>
      </c>
      <c r="BC61" s="660">
        <f t="shared" ref="BC61" si="101">$AZ61*c_Residual.Share_GP</f>
        <v>0</v>
      </c>
      <c r="BD61" s="651"/>
      <c r="BE61" s="660">
        <f t="shared" si="62"/>
        <v>-696666.66666666663</v>
      </c>
      <c r="BF61" s="660">
        <f t="shared" si="62"/>
        <v>0</v>
      </c>
      <c r="BG61" s="660">
        <f t="shared" si="32"/>
        <v>-696666.66666666663</v>
      </c>
      <c r="BI61" s="660">
        <v>-696666.66666666663</v>
      </c>
      <c r="BJ61" s="660">
        <v>-696666.66666666663</v>
      </c>
      <c r="BK61" s="660">
        <v>0</v>
      </c>
      <c r="BL61" s="660">
        <f t="shared" si="33"/>
        <v>0</v>
      </c>
      <c r="BM61" s="660">
        <f t="shared" si="33"/>
        <v>0</v>
      </c>
      <c r="BN61" s="660">
        <f t="shared" si="34"/>
        <v>0</v>
      </c>
      <c r="BO61" s="660">
        <f t="shared" si="34"/>
        <v>0</v>
      </c>
      <c r="BP61" s="660">
        <f t="shared" si="35"/>
        <v>0</v>
      </c>
      <c r="BQ61" s="660">
        <f t="shared" si="35"/>
        <v>0</v>
      </c>
      <c r="BR61" s="660">
        <v>0</v>
      </c>
      <c r="BS61" s="660">
        <v>0</v>
      </c>
      <c r="BT61" s="660">
        <f t="shared" si="36"/>
        <v>-696666.66666666663</v>
      </c>
      <c r="BU61" s="660">
        <f t="shared" si="36"/>
        <v>0</v>
      </c>
      <c r="BX61" s="660">
        <v>-696666.66666666663</v>
      </c>
      <c r="BY61" s="660">
        <f t="shared" si="63"/>
        <v>-696666.66666666663</v>
      </c>
      <c r="BZ61" s="660">
        <f t="shared" si="37"/>
        <v>0</v>
      </c>
      <c r="CA61" s="660">
        <f t="shared" si="38"/>
        <v>0</v>
      </c>
      <c r="CB61" s="660">
        <f t="shared" si="39"/>
        <v>0</v>
      </c>
      <c r="CC61" s="660">
        <f t="shared" si="40"/>
        <v>0</v>
      </c>
      <c r="CD61" s="660">
        <f t="shared" si="41"/>
        <v>-696666.66666666663</v>
      </c>
    </row>
    <row r="62" spans="4:82" ht="16" thickTop="1" thickBot="1">
      <c r="D62" s="653">
        <v>6</v>
      </c>
      <c r="E62" s="654">
        <v>45869</v>
      </c>
      <c r="F62" s="655">
        <f t="shared" si="42"/>
        <v>1</v>
      </c>
      <c r="G62" s="656">
        <v>-696666.66666666663</v>
      </c>
      <c r="I62" s="658">
        <f t="shared" si="43"/>
        <v>21336666.666666672</v>
      </c>
      <c r="J62" s="658">
        <f t="shared" ref="J62" si="102">IF($G62=0,0,-MIN(0,G62*c_EquityShare.LP))</f>
        <v>696666.66666666663</v>
      </c>
      <c r="K62" s="658">
        <f t="shared" ref="K62" si="103">I62*c_Rate.Pref_MO</f>
        <v>0</v>
      </c>
      <c r="L62" s="658">
        <f t="shared" si="15"/>
        <v>0</v>
      </c>
      <c r="M62" s="658">
        <f t="shared" si="46"/>
        <v>22033333.33333334</v>
      </c>
      <c r="N62" s="658">
        <f t="shared" si="66"/>
        <v>-696666.66666666663</v>
      </c>
      <c r="O62" s="658" cm="1">
        <f t="array" ref="O62">IF(I62=0,0,IF(G62&lt;0,N62/c_EquityShare.LP*i_EquityShare.GP,L62/c_EquityShare.LP*i_EquityShare.GP))</f>
        <v>0</v>
      </c>
      <c r="P62" s="658">
        <f t="shared" si="47"/>
        <v>-696666.66666666663</v>
      </c>
      <c r="Q62" s="658">
        <f t="shared" si="16"/>
        <v>0</v>
      </c>
      <c r="S62" s="660">
        <f t="shared" si="48"/>
        <v>22121667.453637205</v>
      </c>
      <c r="T62" s="663" cm="1">
        <f t="array" ref="T62">IF($G62=0,0,-MIN(0,$G62*c_EquityShare.LP))</f>
        <v>696666.66666666663</v>
      </c>
      <c r="U62" s="663" cm="1">
        <f t="array" ref="U62">IF($D62=0,0,S62*c_Rate.Hurdle1.MO)</f>
        <v>176401.28279681303</v>
      </c>
      <c r="V62" s="660">
        <f t="shared" si="67"/>
        <v>0</v>
      </c>
      <c r="W62" s="660">
        <f t="shared" si="17"/>
        <v>0</v>
      </c>
      <c r="X62" s="663">
        <f t="shared" si="68"/>
        <v>22994735.403100684</v>
      </c>
      <c r="Y62" s="663">
        <f t="shared" si="49"/>
        <v>-696666.66666666663</v>
      </c>
      <c r="Z62" s="663">
        <f t="shared" ref="Z62" si="104">IF(S62=0,0,O62+W62/$J$17*c_Hurdle1.Share_GP)</f>
        <v>0</v>
      </c>
      <c r="AA62" s="663">
        <f t="shared" si="19"/>
        <v>-696666.66666666663</v>
      </c>
      <c r="AB62" s="660">
        <f t="shared" si="70"/>
        <v>0</v>
      </c>
      <c r="AC62" s="521"/>
      <c r="AD62" s="663">
        <f t="shared" si="51"/>
        <v>22865417.477413259</v>
      </c>
      <c r="AE62" s="663">
        <f t="shared" ref="AE62" si="105">IF($G62=0,0,-MIN(0,$G62*c_EquityShare.LP))</f>
        <v>696666.66666666663</v>
      </c>
      <c r="AF62" s="663" cm="1">
        <f t="array" ref="AF62">IF($D62=0,0,AD62*(c_Rate.Hurdle2.MO))</f>
        <v>350057.43433449633</v>
      </c>
      <c r="AG62" s="663">
        <f t="shared" si="21"/>
        <v>0</v>
      </c>
      <c r="AH62" s="663">
        <f t="shared" si="53"/>
        <v>0</v>
      </c>
      <c r="AI62" s="663">
        <f t="shared" si="22"/>
        <v>23912141.578414425</v>
      </c>
      <c r="AJ62" s="664">
        <f t="shared" si="23"/>
        <v>-696666.66666666663</v>
      </c>
      <c r="AK62" s="660">
        <f t="shared" si="24"/>
        <v>-696666.66666666663</v>
      </c>
      <c r="AL62" s="663">
        <f t="shared" ref="AL62" si="106">IF(AD62=0,0,Z62+AH62/$J$18*c_Hurdle2.Share_GP)</f>
        <v>0</v>
      </c>
      <c r="AM62" s="663">
        <f t="shared" si="25"/>
        <v>-696666.66666666663</v>
      </c>
      <c r="AN62" s="660">
        <f t="shared" si="73"/>
        <v>0</v>
      </c>
      <c r="AO62" s="521"/>
      <c r="AP62" s="663">
        <f t="shared" si="55"/>
        <v>23573282.43245038</v>
      </c>
      <c r="AQ62" s="663">
        <f t="shared" ref="AQ62" si="107">IF($G62=0,0,-MIN(0,$G62*c_EquityShare.LP))</f>
        <v>696666.66666666663</v>
      </c>
      <c r="AR62" s="663" cm="1">
        <f t="array" ref="AR62">IF($D62=0,0,AP62*(c_Rate.Hurdle3.MO))</f>
        <v>521074.45685745252</v>
      </c>
      <c r="AS62" s="663">
        <f t="shared" si="27"/>
        <v>0</v>
      </c>
      <c r="AT62" s="663">
        <f t="shared" si="57"/>
        <v>0</v>
      </c>
      <c r="AU62" s="663">
        <f t="shared" si="28"/>
        <v>24791023.555974502</v>
      </c>
      <c r="AV62" s="664">
        <f t="shared" si="29"/>
        <v>-696666.66666666663</v>
      </c>
      <c r="AW62" s="660">
        <f t="shared" si="58"/>
        <v>-696666.66666666663</v>
      </c>
      <c r="AX62" s="663">
        <f t="shared" ref="AX62" si="108">IF(AP62=0,0,AL62+AT62/$J$19*c_Hurdle3.Share_GP)</f>
        <v>0</v>
      </c>
      <c r="AY62" s="663">
        <f t="shared" si="60"/>
        <v>-696666.66666666663</v>
      </c>
      <c r="AZ62" s="660">
        <f t="shared" si="76"/>
        <v>0</v>
      </c>
      <c r="BA62" s="521"/>
      <c r="BB62" s="660">
        <f t="shared" si="30"/>
        <v>0</v>
      </c>
      <c r="BC62" s="660">
        <f t="shared" ref="BC62" si="109">$AZ62*c_Residual.Share_GP</f>
        <v>0</v>
      </c>
      <c r="BD62" s="651"/>
      <c r="BE62" s="660">
        <f t="shared" si="62"/>
        <v>-696666.66666666663</v>
      </c>
      <c r="BF62" s="660">
        <f t="shared" si="62"/>
        <v>0</v>
      </c>
      <c r="BG62" s="660">
        <f t="shared" si="32"/>
        <v>-696666.66666666663</v>
      </c>
      <c r="BI62" s="660">
        <v>-696666.66666666663</v>
      </c>
      <c r="BJ62" s="660">
        <v>-696666.66666666663</v>
      </c>
      <c r="BK62" s="660">
        <v>0</v>
      </c>
      <c r="BL62" s="660">
        <f t="shared" si="33"/>
        <v>0</v>
      </c>
      <c r="BM62" s="660">
        <f t="shared" si="33"/>
        <v>0</v>
      </c>
      <c r="BN62" s="660">
        <f t="shared" si="34"/>
        <v>0</v>
      </c>
      <c r="BO62" s="660">
        <f t="shared" si="34"/>
        <v>0</v>
      </c>
      <c r="BP62" s="660">
        <f t="shared" si="35"/>
        <v>0</v>
      </c>
      <c r="BQ62" s="660">
        <f t="shared" si="35"/>
        <v>0</v>
      </c>
      <c r="BR62" s="660">
        <v>0</v>
      </c>
      <c r="BS62" s="660">
        <v>0</v>
      </c>
      <c r="BT62" s="660">
        <f t="shared" si="36"/>
        <v>-696666.66666666663</v>
      </c>
      <c r="BU62" s="660">
        <f t="shared" si="36"/>
        <v>0</v>
      </c>
      <c r="BX62" s="660">
        <v>-696666.66666666663</v>
      </c>
      <c r="BY62" s="660">
        <f t="shared" si="63"/>
        <v>-696666.66666666663</v>
      </c>
      <c r="BZ62" s="660">
        <f t="shared" si="37"/>
        <v>0</v>
      </c>
      <c r="CA62" s="660">
        <f t="shared" si="38"/>
        <v>0</v>
      </c>
      <c r="CB62" s="660">
        <f t="shared" si="39"/>
        <v>0</v>
      </c>
      <c r="CC62" s="660">
        <f t="shared" si="40"/>
        <v>0</v>
      </c>
      <c r="CD62" s="660">
        <f t="shared" si="41"/>
        <v>-696666.66666666663</v>
      </c>
    </row>
    <row r="63" spans="4:82" ht="16" thickTop="1" thickBot="1">
      <c r="D63" s="653">
        <v>7</v>
      </c>
      <c r="E63" s="654">
        <v>45900</v>
      </c>
      <c r="F63" s="655">
        <f t="shared" si="42"/>
        <v>1</v>
      </c>
      <c r="G63" s="656">
        <v>-696666.66666666663</v>
      </c>
      <c r="I63" s="658">
        <f t="shared" si="43"/>
        <v>22033333.33333334</v>
      </c>
      <c r="J63" s="658">
        <f t="shared" ref="J63" si="110">IF($G63=0,0,-MIN(0,G63*c_EquityShare.LP))</f>
        <v>696666.66666666663</v>
      </c>
      <c r="K63" s="658">
        <f t="shared" ref="K63" si="111">I63*c_Rate.Pref_MO</f>
        <v>0</v>
      </c>
      <c r="L63" s="658">
        <f t="shared" si="15"/>
        <v>0</v>
      </c>
      <c r="M63" s="658">
        <f t="shared" si="46"/>
        <v>22730000.000000007</v>
      </c>
      <c r="N63" s="658">
        <f t="shared" si="66"/>
        <v>-696666.66666666663</v>
      </c>
      <c r="O63" s="658" cm="1">
        <f t="array" ref="O63">IF(I63=0,0,IF(G63&lt;0,N63/c_EquityShare.LP*i_EquityShare.GP,L63/c_EquityShare.LP*i_EquityShare.GP))</f>
        <v>0</v>
      </c>
      <c r="P63" s="658">
        <f t="shared" si="47"/>
        <v>-696666.66666666663</v>
      </c>
      <c r="Q63" s="658">
        <f t="shared" si="16"/>
        <v>0</v>
      </c>
      <c r="S63" s="660">
        <f t="shared" si="48"/>
        <v>22994735.403100684</v>
      </c>
      <c r="T63" s="663" cm="1">
        <f t="array" ref="T63">IF($G63=0,0,-MIN(0,$G63*c_EquityShare.LP))</f>
        <v>696666.66666666663</v>
      </c>
      <c r="U63" s="663" cm="1">
        <f t="array" ref="U63">IF($D63=0,0,S63*c_Rate.Hurdle1.MO)</f>
        <v>183363.24922980985</v>
      </c>
      <c r="V63" s="660">
        <f t="shared" si="67"/>
        <v>0</v>
      </c>
      <c r="W63" s="660">
        <f t="shared" si="17"/>
        <v>0</v>
      </c>
      <c r="X63" s="663">
        <f t="shared" si="68"/>
        <v>23874765.318997163</v>
      </c>
      <c r="Y63" s="663">
        <f t="shared" si="49"/>
        <v>-696666.66666666663</v>
      </c>
      <c r="Z63" s="663">
        <f t="shared" ref="Z63" si="112">IF(S63=0,0,O63+W63/$J$17*c_Hurdle1.Share_GP)</f>
        <v>0</v>
      </c>
      <c r="AA63" s="663">
        <f t="shared" si="19"/>
        <v>-696666.66666666663</v>
      </c>
      <c r="AB63" s="660">
        <f t="shared" si="70"/>
        <v>0</v>
      </c>
      <c r="AC63" s="521"/>
      <c r="AD63" s="663">
        <f t="shared" si="51"/>
        <v>23912141.578414425</v>
      </c>
      <c r="AE63" s="663">
        <f t="shared" ref="AE63" si="113">IF($G63=0,0,-MIN(0,$G63*c_EquityShare.LP))</f>
        <v>696666.66666666663</v>
      </c>
      <c r="AF63" s="663" cm="1">
        <f t="array" ref="AF63">IF($D63=0,0,AD63*(c_Rate.Hurdle2.MO))</f>
        <v>366082.22608013131</v>
      </c>
      <c r="AG63" s="663">
        <f t="shared" si="21"/>
        <v>0</v>
      </c>
      <c r="AH63" s="663">
        <f t="shared" si="53"/>
        <v>0</v>
      </c>
      <c r="AI63" s="663">
        <f t="shared" si="22"/>
        <v>24974890.471161224</v>
      </c>
      <c r="AJ63" s="664">
        <f t="shared" si="23"/>
        <v>-696666.66666666663</v>
      </c>
      <c r="AK63" s="660">
        <f t="shared" si="24"/>
        <v>-696666.66666666663</v>
      </c>
      <c r="AL63" s="663">
        <f t="shared" ref="AL63" si="114">IF(AD63=0,0,Z63+AH63/$J$18*c_Hurdle2.Share_GP)</f>
        <v>0</v>
      </c>
      <c r="AM63" s="663">
        <f t="shared" si="25"/>
        <v>-696666.66666666663</v>
      </c>
      <c r="AN63" s="660">
        <f t="shared" si="73"/>
        <v>0</v>
      </c>
      <c r="AO63" s="521"/>
      <c r="AP63" s="663">
        <f t="shared" si="55"/>
        <v>24791023.555974502</v>
      </c>
      <c r="AQ63" s="663">
        <f t="shared" ref="AQ63" si="115">IF($G63=0,0,-MIN(0,$G63*c_EquityShare.LP))</f>
        <v>696666.66666666663</v>
      </c>
      <c r="AR63" s="663" cm="1">
        <f t="array" ref="AR63">IF($D63=0,0,AP63*(c_Rate.Hurdle3.MO))</f>
        <v>547991.95535820571</v>
      </c>
      <c r="AS63" s="663">
        <f t="shared" si="27"/>
        <v>0</v>
      </c>
      <c r="AT63" s="663">
        <f t="shared" si="57"/>
        <v>0</v>
      </c>
      <c r="AU63" s="663">
        <f t="shared" si="28"/>
        <v>26035682.177999377</v>
      </c>
      <c r="AV63" s="664">
        <f t="shared" si="29"/>
        <v>-696666.66666666663</v>
      </c>
      <c r="AW63" s="660">
        <f t="shared" si="58"/>
        <v>-696666.66666666663</v>
      </c>
      <c r="AX63" s="663">
        <f t="shared" ref="AX63" si="116">IF(AP63=0,0,AL63+AT63/$J$19*c_Hurdle3.Share_GP)</f>
        <v>0</v>
      </c>
      <c r="AY63" s="663">
        <f t="shared" si="60"/>
        <v>-696666.66666666663</v>
      </c>
      <c r="AZ63" s="660">
        <f t="shared" si="76"/>
        <v>0</v>
      </c>
      <c r="BA63" s="521"/>
      <c r="BB63" s="660">
        <f t="shared" si="30"/>
        <v>0</v>
      </c>
      <c r="BC63" s="660">
        <f t="shared" ref="BC63" si="117">$AZ63*c_Residual.Share_GP</f>
        <v>0</v>
      </c>
      <c r="BD63" s="651"/>
      <c r="BE63" s="660">
        <f t="shared" si="62"/>
        <v>-696666.66666666663</v>
      </c>
      <c r="BF63" s="660">
        <f t="shared" si="62"/>
        <v>0</v>
      </c>
      <c r="BG63" s="660">
        <f t="shared" si="32"/>
        <v>-696666.66666666663</v>
      </c>
      <c r="BI63" s="660">
        <v>-696666.66666666663</v>
      </c>
      <c r="BJ63" s="660">
        <v>-696666.66666666663</v>
      </c>
      <c r="BK63" s="660">
        <v>0</v>
      </c>
      <c r="BL63" s="660">
        <f t="shared" si="33"/>
        <v>0</v>
      </c>
      <c r="BM63" s="660">
        <f t="shared" si="33"/>
        <v>0</v>
      </c>
      <c r="BN63" s="660">
        <f t="shared" si="34"/>
        <v>0</v>
      </c>
      <c r="BO63" s="660">
        <f t="shared" si="34"/>
        <v>0</v>
      </c>
      <c r="BP63" s="660">
        <f t="shared" si="35"/>
        <v>0</v>
      </c>
      <c r="BQ63" s="660">
        <f t="shared" si="35"/>
        <v>0</v>
      </c>
      <c r="BR63" s="660">
        <v>0</v>
      </c>
      <c r="BS63" s="660">
        <v>0</v>
      </c>
      <c r="BT63" s="660">
        <f t="shared" si="36"/>
        <v>-696666.66666666663</v>
      </c>
      <c r="BU63" s="660">
        <f t="shared" si="36"/>
        <v>0</v>
      </c>
      <c r="BX63" s="660">
        <v>-696666.66666666663</v>
      </c>
      <c r="BY63" s="660">
        <f t="shared" si="63"/>
        <v>-696666.66666666663</v>
      </c>
      <c r="BZ63" s="660">
        <f t="shared" si="37"/>
        <v>0</v>
      </c>
      <c r="CA63" s="660">
        <f t="shared" si="38"/>
        <v>0</v>
      </c>
      <c r="CB63" s="660">
        <f t="shared" si="39"/>
        <v>0</v>
      </c>
      <c r="CC63" s="660">
        <f t="shared" si="40"/>
        <v>0</v>
      </c>
      <c r="CD63" s="660">
        <f t="shared" si="41"/>
        <v>-696666.66666666663</v>
      </c>
    </row>
    <row r="64" spans="4:82" ht="16" thickTop="1" thickBot="1">
      <c r="D64" s="653">
        <v>8</v>
      </c>
      <c r="E64" s="654">
        <v>45930</v>
      </c>
      <c r="F64" s="655">
        <f t="shared" si="42"/>
        <v>1</v>
      </c>
      <c r="G64" s="656">
        <v>-696666.66666666663</v>
      </c>
      <c r="I64" s="658">
        <f t="shared" si="43"/>
        <v>22730000.000000007</v>
      </c>
      <c r="J64" s="658">
        <f t="shared" ref="J64" si="118">IF($G64=0,0,-MIN(0,G64*c_EquityShare.LP))</f>
        <v>696666.66666666663</v>
      </c>
      <c r="K64" s="658">
        <f t="shared" ref="K64" si="119">I64*c_Rate.Pref_MO</f>
        <v>0</v>
      </c>
      <c r="L64" s="658">
        <f t="shared" si="15"/>
        <v>0</v>
      </c>
      <c r="M64" s="658">
        <f t="shared" si="46"/>
        <v>23426666.666666675</v>
      </c>
      <c r="N64" s="658">
        <f t="shared" si="66"/>
        <v>-696666.66666666663</v>
      </c>
      <c r="O64" s="658" cm="1">
        <f t="array" ref="O64">IF(I64=0,0,IF(G64&lt;0,N64/c_EquityShare.LP*i_EquityShare.GP,L64/c_EquityShare.LP*i_EquityShare.GP))</f>
        <v>0</v>
      </c>
      <c r="P64" s="658">
        <f t="shared" si="47"/>
        <v>-696666.66666666663</v>
      </c>
      <c r="Q64" s="658">
        <f t="shared" si="16"/>
        <v>0</v>
      </c>
      <c r="S64" s="660">
        <f t="shared" si="48"/>
        <v>23874765.318997163</v>
      </c>
      <c r="T64" s="663" cm="1">
        <f t="array" ref="T64">IF($G64=0,0,-MIN(0,$G64*c_EquityShare.LP))</f>
        <v>696666.66666666663</v>
      </c>
      <c r="U64" s="663" cm="1">
        <f t="array" ref="U64">IF($D64=0,0,S64*c_Rate.Hurdle1.MO)</f>
        <v>190380.73136080476</v>
      </c>
      <c r="V64" s="660">
        <f t="shared" si="67"/>
        <v>0</v>
      </c>
      <c r="W64" s="660">
        <f t="shared" si="17"/>
        <v>0</v>
      </c>
      <c r="X64" s="663">
        <f t="shared" si="68"/>
        <v>24761812.717024636</v>
      </c>
      <c r="Y64" s="663">
        <f t="shared" si="49"/>
        <v>-696666.66666666663</v>
      </c>
      <c r="Z64" s="663">
        <f t="shared" ref="Z64" si="120">IF(S64=0,0,O64+W64/$J$17*c_Hurdle1.Share_GP)</f>
        <v>0</v>
      </c>
      <c r="AA64" s="663">
        <f t="shared" si="19"/>
        <v>-696666.66666666663</v>
      </c>
      <c r="AB64" s="660">
        <f t="shared" si="70"/>
        <v>0</v>
      </c>
      <c r="AC64" s="521"/>
      <c r="AD64" s="663">
        <f t="shared" si="51"/>
        <v>24974890.471161224</v>
      </c>
      <c r="AE64" s="663">
        <f t="shared" ref="AE64" si="121">IF($G64=0,0,-MIN(0,$G64*c_EquityShare.LP))</f>
        <v>696666.66666666663</v>
      </c>
      <c r="AF64" s="663" cm="1">
        <f t="array" ref="AF64">IF($D64=0,0,AD64*(c_Rate.Hurdle2.MO))</f>
        <v>382352.34890226042</v>
      </c>
      <c r="AG64" s="663">
        <f t="shared" si="21"/>
        <v>0</v>
      </c>
      <c r="AH64" s="663">
        <f t="shared" si="53"/>
        <v>0</v>
      </c>
      <c r="AI64" s="663">
        <f t="shared" si="22"/>
        <v>26053909.486730151</v>
      </c>
      <c r="AJ64" s="664">
        <f t="shared" si="23"/>
        <v>-696666.66666666663</v>
      </c>
      <c r="AK64" s="660">
        <f t="shared" si="24"/>
        <v>-696666.66666666663</v>
      </c>
      <c r="AL64" s="663">
        <f t="shared" ref="AL64" si="122">IF(AD64=0,0,Z64+AH64/$J$18*c_Hurdle2.Share_GP)</f>
        <v>0</v>
      </c>
      <c r="AM64" s="663">
        <f t="shared" si="25"/>
        <v>-696666.66666666663</v>
      </c>
      <c r="AN64" s="660">
        <f t="shared" si="73"/>
        <v>0</v>
      </c>
      <c r="AO64" s="521"/>
      <c r="AP64" s="663">
        <f t="shared" si="55"/>
        <v>26035682.177999377</v>
      </c>
      <c r="AQ64" s="663">
        <f t="shared" ref="AQ64" si="123">IF($G64=0,0,-MIN(0,$G64*c_EquityShare.LP))</f>
        <v>696666.66666666663</v>
      </c>
      <c r="AR64" s="663" cm="1">
        <f t="array" ref="AR64">IF($D64=0,0,AP64*(c_Rate.Hurdle3.MO))</f>
        <v>575504.45037467266</v>
      </c>
      <c r="AS64" s="663">
        <f t="shared" si="27"/>
        <v>0</v>
      </c>
      <c r="AT64" s="663">
        <f t="shared" si="57"/>
        <v>0</v>
      </c>
      <c r="AU64" s="663">
        <f t="shared" si="28"/>
        <v>27307853.295040719</v>
      </c>
      <c r="AV64" s="664">
        <f t="shared" si="29"/>
        <v>-696666.66666666663</v>
      </c>
      <c r="AW64" s="660">
        <f t="shared" si="58"/>
        <v>-696666.66666666663</v>
      </c>
      <c r="AX64" s="663">
        <f t="shared" ref="AX64" si="124">IF(AP64=0,0,AL64+AT64/$J$19*c_Hurdle3.Share_GP)</f>
        <v>0</v>
      </c>
      <c r="AY64" s="663">
        <f t="shared" si="60"/>
        <v>-696666.66666666663</v>
      </c>
      <c r="AZ64" s="660">
        <f t="shared" si="76"/>
        <v>0</v>
      </c>
      <c r="BA64" s="521"/>
      <c r="BB64" s="660">
        <f t="shared" si="30"/>
        <v>0</v>
      </c>
      <c r="BC64" s="660">
        <f t="shared" ref="BC64" si="125">$AZ64*c_Residual.Share_GP</f>
        <v>0</v>
      </c>
      <c r="BD64" s="651"/>
      <c r="BE64" s="660">
        <f t="shared" si="62"/>
        <v>-696666.66666666663</v>
      </c>
      <c r="BF64" s="660">
        <f t="shared" si="62"/>
        <v>0</v>
      </c>
      <c r="BG64" s="660">
        <f t="shared" si="32"/>
        <v>-696666.66666666663</v>
      </c>
      <c r="BI64" s="660">
        <v>-696666.66666666663</v>
      </c>
      <c r="BJ64" s="660">
        <v>-696666.66666666663</v>
      </c>
      <c r="BK64" s="660">
        <v>0</v>
      </c>
      <c r="BL64" s="660">
        <f t="shared" si="33"/>
        <v>0</v>
      </c>
      <c r="BM64" s="660">
        <f t="shared" si="33"/>
        <v>0</v>
      </c>
      <c r="BN64" s="660">
        <f t="shared" si="34"/>
        <v>0</v>
      </c>
      <c r="BO64" s="660">
        <f t="shared" si="34"/>
        <v>0</v>
      </c>
      <c r="BP64" s="660">
        <f t="shared" si="35"/>
        <v>0</v>
      </c>
      <c r="BQ64" s="660">
        <f t="shared" si="35"/>
        <v>0</v>
      </c>
      <c r="BR64" s="660">
        <v>0</v>
      </c>
      <c r="BS64" s="660">
        <v>0</v>
      </c>
      <c r="BT64" s="660">
        <f t="shared" si="36"/>
        <v>-696666.66666666663</v>
      </c>
      <c r="BU64" s="660">
        <f t="shared" si="36"/>
        <v>0</v>
      </c>
      <c r="BX64" s="660">
        <v>-696666.66666666663</v>
      </c>
      <c r="BY64" s="660">
        <f t="shared" si="63"/>
        <v>-696666.66666666663</v>
      </c>
      <c r="BZ64" s="660">
        <f t="shared" si="37"/>
        <v>0</v>
      </c>
      <c r="CA64" s="660">
        <f t="shared" si="38"/>
        <v>0</v>
      </c>
      <c r="CB64" s="660">
        <f t="shared" si="39"/>
        <v>0</v>
      </c>
      <c r="CC64" s="660">
        <f t="shared" si="40"/>
        <v>0</v>
      </c>
      <c r="CD64" s="660">
        <f t="shared" si="41"/>
        <v>-696666.66666666663</v>
      </c>
    </row>
    <row r="65" spans="4:82" ht="16" thickTop="1" thickBot="1">
      <c r="D65" s="653">
        <v>9</v>
      </c>
      <c r="E65" s="654">
        <v>45961</v>
      </c>
      <c r="F65" s="655">
        <f t="shared" si="42"/>
        <v>1</v>
      </c>
      <c r="G65" s="656">
        <v>-696666.66666666663</v>
      </c>
      <c r="I65" s="658">
        <f t="shared" si="43"/>
        <v>23426666.666666675</v>
      </c>
      <c r="J65" s="658">
        <f t="shared" ref="J65" si="126">IF($G65=0,0,-MIN(0,G65*c_EquityShare.LP))</f>
        <v>696666.66666666663</v>
      </c>
      <c r="K65" s="658">
        <f t="shared" ref="K65" si="127">I65*c_Rate.Pref_MO</f>
        <v>0</v>
      </c>
      <c r="L65" s="658">
        <f t="shared" si="15"/>
        <v>0</v>
      </c>
      <c r="M65" s="658">
        <f t="shared" si="46"/>
        <v>24123333.333333343</v>
      </c>
      <c r="N65" s="658">
        <f t="shared" si="66"/>
        <v>-696666.66666666663</v>
      </c>
      <c r="O65" s="658" cm="1">
        <f t="array" ref="O65">IF(I65=0,0,IF(G65&lt;0,N65/c_EquityShare.LP*i_EquityShare.GP,L65/c_EquityShare.LP*i_EquityShare.GP))</f>
        <v>0</v>
      </c>
      <c r="P65" s="658">
        <f t="shared" si="47"/>
        <v>-696666.66666666663</v>
      </c>
      <c r="Q65" s="658">
        <f t="shared" si="16"/>
        <v>0</v>
      </c>
      <c r="S65" s="660">
        <f t="shared" si="48"/>
        <v>24761812.717024636</v>
      </c>
      <c r="T65" s="663" cm="1">
        <f t="array" ref="T65">IF($G65=0,0,-MIN(0,$G65*c_EquityShare.LP))</f>
        <v>696666.66666666663</v>
      </c>
      <c r="U65" s="663" cm="1">
        <f t="array" ref="U65">IF($D65=0,0,S65*c_Rate.Hurdle1.MO)</f>
        <v>197454.17187976951</v>
      </c>
      <c r="V65" s="660">
        <f t="shared" si="67"/>
        <v>0</v>
      </c>
      <c r="W65" s="660">
        <f t="shared" si="17"/>
        <v>0</v>
      </c>
      <c r="X65" s="663">
        <f t="shared" si="68"/>
        <v>25655933.555571072</v>
      </c>
      <c r="Y65" s="663">
        <f t="shared" si="49"/>
        <v>-696666.66666666663</v>
      </c>
      <c r="Z65" s="663">
        <f t="shared" ref="Z65" si="128">IF(S65=0,0,O65+W65/$J$17*c_Hurdle1.Share_GP)</f>
        <v>0</v>
      </c>
      <c r="AA65" s="663">
        <f t="shared" si="19"/>
        <v>-696666.66666666663</v>
      </c>
      <c r="AB65" s="660">
        <f t="shared" si="70"/>
        <v>0</v>
      </c>
      <c r="AC65" s="521"/>
      <c r="AD65" s="663">
        <f t="shared" si="51"/>
        <v>26053909.486730151</v>
      </c>
      <c r="AE65" s="663">
        <f t="shared" ref="AE65" si="129">IF($G65=0,0,-MIN(0,$G65*c_EquityShare.LP))</f>
        <v>696666.66666666663</v>
      </c>
      <c r="AF65" s="663" cm="1">
        <f t="array" ref="AF65">IF($D65=0,0,AD65*(c_Rate.Hurdle2.MO))</f>
        <v>398871.55868976191</v>
      </c>
      <c r="AG65" s="663">
        <f t="shared" si="21"/>
        <v>0</v>
      </c>
      <c r="AH65" s="663">
        <f t="shared" si="53"/>
        <v>0</v>
      </c>
      <c r="AI65" s="663">
        <f t="shared" si="22"/>
        <v>27149447.712086581</v>
      </c>
      <c r="AJ65" s="664">
        <f t="shared" si="23"/>
        <v>-696666.66666666663</v>
      </c>
      <c r="AK65" s="660">
        <f t="shared" si="24"/>
        <v>-696666.66666666663</v>
      </c>
      <c r="AL65" s="663">
        <f t="shared" ref="AL65" si="130">IF(AD65=0,0,Z65+AH65/$J$18*c_Hurdle2.Share_GP)</f>
        <v>0</v>
      </c>
      <c r="AM65" s="663">
        <f t="shared" si="25"/>
        <v>-696666.66666666663</v>
      </c>
      <c r="AN65" s="660">
        <f t="shared" si="73"/>
        <v>0</v>
      </c>
      <c r="AO65" s="521"/>
      <c r="AP65" s="663">
        <f t="shared" si="55"/>
        <v>27307853.295040719</v>
      </c>
      <c r="AQ65" s="663">
        <f t="shared" ref="AQ65" si="131">IF($G65=0,0,-MIN(0,$G65*c_EquityShare.LP))</f>
        <v>696666.66666666663</v>
      </c>
      <c r="AR65" s="663" cm="1">
        <f t="array" ref="AR65">IF($D65=0,0,AP65*(c_Rate.Hurdle3.MO))</f>
        <v>603625.09397793806</v>
      </c>
      <c r="AS65" s="663">
        <f t="shared" si="27"/>
        <v>0</v>
      </c>
      <c r="AT65" s="663">
        <f t="shared" si="57"/>
        <v>0</v>
      </c>
      <c r="AU65" s="663">
        <f t="shared" si="28"/>
        <v>28608145.055685326</v>
      </c>
      <c r="AV65" s="664">
        <f t="shared" si="29"/>
        <v>-696666.66666666663</v>
      </c>
      <c r="AW65" s="660">
        <f t="shared" si="58"/>
        <v>-696666.66666666663</v>
      </c>
      <c r="AX65" s="663">
        <f t="shared" ref="AX65" si="132">IF(AP65=0,0,AL65+AT65/$J$19*c_Hurdle3.Share_GP)</f>
        <v>0</v>
      </c>
      <c r="AY65" s="663">
        <f t="shared" si="60"/>
        <v>-696666.66666666663</v>
      </c>
      <c r="AZ65" s="660">
        <f t="shared" si="76"/>
        <v>0</v>
      </c>
      <c r="BA65" s="521"/>
      <c r="BB65" s="660">
        <f t="shared" si="30"/>
        <v>0</v>
      </c>
      <c r="BC65" s="660">
        <f t="shared" ref="BC65" si="133">$AZ65*c_Residual.Share_GP</f>
        <v>0</v>
      </c>
      <c r="BD65" s="651"/>
      <c r="BE65" s="660">
        <f t="shared" si="62"/>
        <v>-696666.66666666663</v>
      </c>
      <c r="BF65" s="660">
        <f t="shared" si="62"/>
        <v>0</v>
      </c>
      <c r="BG65" s="660">
        <f t="shared" si="32"/>
        <v>-696666.66666666663</v>
      </c>
      <c r="BI65" s="660">
        <v>-696666.66666666663</v>
      </c>
      <c r="BJ65" s="660">
        <v>-696666.66666666663</v>
      </c>
      <c r="BK65" s="660">
        <v>0</v>
      </c>
      <c r="BL65" s="660">
        <f t="shared" si="33"/>
        <v>0</v>
      </c>
      <c r="BM65" s="660">
        <f t="shared" si="33"/>
        <v>0</v>
      </c>
      <c r="BN65" s="660">
        <f t="shared" si="34"/>
        <v>0</v>
      </c>
      <c r="BO65" s="660">
        <f t="shared" si="34"/>
        <v>0</v>
      </c>
      <c r="BP65" s="660">
        <f t="shared" si="35"/>
        <v>0</v>
      </c>
      <c r="BQ65" s="660">
        <f t="shared" si="35"/>
        <v>0</v>
      </c>
      <c r="BR65" s="660">
        <v>0</v>
      </c>
      <c r="BS65" s="660">
        <v>0</v>
      </c>
      <c r="BT65" s="660">
        <f t="shared" si="36"/>
        <v>-696666.66666666663</v>
      </c>
      <c r="BU65" s="660">
        <f t="shared" si="36"/>
        <v>0</v>
      </c>
      <c r="BX65" s="660">
        <v>-696666.66666666663</v>
      </c>
      <c r="BY65" s="660">
        <f t="shared" si="63"/>
        <v>-696666.66666666663</v>
      </c>
      <c r="BZ65" s="660">
        <f t="shared" si="37"/>
        <v>0</v>
      </c>
      <c r="CA65" s="660">
        <f t="shared" si="38"/>
        <v>0</v>
      </c>
      <c r="CB65" s="660">
        <f t="shared" si="39"/>
        <v>0</v>
      </c>
      <c r="CC65" s="660">
        <f t="shared" si="40"/>
        <v>0</v>
      </c>
      <c r="CD65" s="660">
        <f t="shared" si="41"/>
        <v>-696666.66666666663</v>
      </c>
    </row>
    <row r="66" spans="4:82" ht="16" thickTop="1" thickBot="1">
      <c r="D66" s="653">
        <v>10</v>
      </c>
      <c r="E66" s="654">
        <v>45991</v>
      </c>
      <c r="F66" s="655">
        <f t="shared" si="42"/>
        <v>1</v>
      </c>
      <c r="G66" s="656">
        <v>-696666.66666666663</v>
      </c>
      <c r="I66" s="658">
        <f t="shared" si="43"/>
        <v>24123333.333333343</v>
      </c>
      <c r="J66" s="658">
        <f t="shared" ref="J66" si="134">IF($G66=0,0,-MIN(0,G66*c_EquityShare.LP))</f>
        <v>696666.66666666663</v>
      </c>
      <c r="K66" s="658">
        <f t="shared" ref="K66" si="135">I66*c_Rate.Pref_MO</f>
        <v>0</v>
      </c>
      <c r="L66" s="658">
        <f t="shared" si="15"/>
        <v>0</v>
      </c>
      <c r="M66" s="658">
        <f t="shared" si="46"/>
        <v>24820000.000000011</v>
      </c>
      <c r="N66" s="658">
        <f t="shared" si="66"/>
        <v>-696666.66666666663</v>
      </c>
      <c r="O66" s="658" cm="1">
        <f t="array" ref="O66">IF(I66=0,0,IF(G66&lt;0,N66/c_EquityShare.LP*i_EquityShare.GP,L66/c_EquityShare.LP*i_EquityShare.GP))</f>
        <v>0</v>
      </c>
      <c r="P66" s="658">
        <f t="shared" si="47"/>
        <v>-696666.66666666663</v>
      </c>
      <c r="Q66" s="658">
        <f t="shared" si="16"/>
        <v>0</v>
      </c>
      <c r="S66" s="660">
        <f t="shared" si="48"/>
        <v>25655933.555571072</v>
      </c>
      <c r="T66" s="663" cm="1">
        <f t="array" ref="T66">IF($G66=0,0,-MIN(0,$G66*c_EquityShare.LP))</f>
        <v>696666.66666666663</v>
      </c>
      <c r="U66" s="663" cm="1">
        <f t="array" ref="U66">IF($D66=0,0,S66*c_Rate.Hurdle1.MO)</f>
        <v>204584.01700674798</v>
      </c>
      <c r="V66" s="660">
        <f t="shared" si="67"/>
        <v>0</v>
      </c>
      <c r="W66" s="660">
        <f t="shared" si="17"/>
        <v>0</v>
      </c>
      <c r="X66" s="663">
        <f t="shared" si="68"/>
        <v>26557184.239244487</v>
      </c>
      <c r="Y66" s="663">
        <f t="shared" si="49"/>
        <v>-696666.66666666663</v>
      </c>
      <c r="Z66" s="663">
        <f t="shared" ref="Z66" si="136">IF(S66=0,0,O66+W66/$J$17*c_Hurdle1.Share_GP)</f>
        <v>0</v>
      </c>
      <c r="AA66" s="663">
        <f t="shared" si="19"/>
        <v>-696666.66666666663</v>
      </c>
      <c r="AB66" s="660">
        <f t="shared" si="70"/>
        <v>0</v>
      </c>
      <c r="AC66" s="521"/>
      <c r="AD66" s="663">
        <f t="shared" si="51"/>
        <v>27149447.712086581</v>
      </c>
      <c r="AE66" s="663">
        <f t="shared" ref="AE66" si="137">IF($G66=0,0,-MIN(0,$G66*c_EquityShare.LP))</f>
        <v>696666.66666666663</v>
      </c>
      <c r="AF66" s="663" cm="1">
        <f t="array" ref="AF66">IF($D66=0,0,AD66*(c_Rate.Hurdle2.MO))</f>
        <v>415643.66883218405</v>
      </c>
      <c r="AG66" s="663">
        <f t="shared" si="21"/>
        <v>0</v>
      </c>
      <c r="AH66" s="663">
        <f t="shared" si="53"/>
        <v>0</v>
      </c>
      <c r="AI66" s="663">
        <f t="shared" si="22"/>
        <v>28261758.047585431</v>
      </c>
      <c r="AJ66" s="664">
        <f t="shared" si="23"/>
        <v>-696666.66666666663</v>
      </c>
      <c r="AK66" s="660">
        <f t="shared" si="24"/>
        <v>-696666.66666666663</v>
      </c>
      <c r="AL66" s="663">
        <f t="shared" ref="AL66" si="138">IF(AD66=0,0,Z66+AH66/$J$18*c_Hurdle2.Share_GP)</f>
        <v>0</v>
      </c>
      <c r="AM66" s="663">
        <f t="shared" si="25"/>
        <v>-696666.66666666663</v>
      </c>
      <c r="AN66" s="660">
        <f t="shared" si="73"/>
        <v>0</v>
      </c>
      <c r="AO66" s="521"/>
      <c r="AP66" s="663">
        <f t="shared" si="55"/>
        <v>28608145.055685326</v>
      </c>
      <c r="AQ66" s="663">
        <f t="shared" ref="AQ66" si="139">IF($G66=0,0,-MIN(0,$G66*c_EquityShare.LP))</f>
        <v>696666.66666666663</v>
      </c>
      <c r="AR66" s="663" cm="1">
        <f t="array" ref="AR66">IF($D66=0,0,AP66*(c_Rate.Hurdle3.MO))</f>
        <v>632367.32895839261</v>
      </c>
      <c r="AS66" s="663">
        <f t="shared" si="27"/>
        <v>0</v>
      </c>
      <c r="AT66" s="663">
        <f t="shared" si="57"/>
        <v>0</v>
      </c>
      <c r="AU66" s="663">
        <f t="shared" si="28"/>
        <v>29937179.051310387</v>
      </c>
      <c r="AV66" s="664">
        <f t="shared" si="29"/>
        <v>-696666.66666666663</v>
      </c>
      <c r="AW66" s="660">
        <f t="shared" si="58"/>
        <v>-696666.66666666663</v>
      </c>
      <c r="AX66" s="663">
        <f t="shared" ref="AX66" si="140">IF(AP66=0,0,AL66+AT66/$J$19*c_Hurdle3.Share_GP)</f>
        <v>0</v>
      </c>
      <c r="AY66" s="663">
        <f t="shared" si="60"/>
        <v>-696666.66666666663</v>
      </c>
      <c r="AZ66" s="660">
        <f t="shared" si="76"/>
        <v>0</v>
      </c>
      <c r="BA66" s="521"/>
      <c r="BB66" s="660">
        <f t="shared" si="30"/>
        <v>0</v>
      </c>
      <c r="BC66" s="660">
        <f t="shared" ref="BC66" si="141">$AZ66*c_Residual.Share_GP</f>
        <v>0</v>
      </c>
      <c r="BD66" s="651"/>
      <c r="BE66" s="660">
        <f t="shared" si="62"/>
        <v>-696666.66666666663</v>
      </c>
      <c r="BF66" s="660">
        <f t="shared" si="62"/>
        <v>0</v>
      </c>
      <c r="BG66" s="660">
        <f t="shared" si="32"/>
        <v>-696666.66666666663</v>
      </c>
      <c r="BI66" s="660">
        <v>-696666.66666666663</v>
      </c>
      <c r="BJ66" s="660">
        <v>-696666.66666666663</v>
      </c>
      <c r="BK66" s="660">
        <v>0</v>
      </c>
      <c r="BL66" s="660">
        <f t="shared" si="33"/>
        <v>0</v>
      </c>
      <c r="BM66" s="660">
        <f t="shared" si="33"/>
        <v>0</v>
      </c>
      <c r="BN66" s="660">
        <f t="shared" si="34"/>
        <v>0</v>
      </c>
      <c r="BO66" s="660">
        <f t="shared" si="34"/>
        <v>0</v>
      </c>
      <c r="BP66" s="660">
        <f t="shared" si="35"/>
        <v>0</v>
      </c>
      <c r="BQ66" s="660">
        <f t="shared" si="35"/>
        <v>0</v>
      </c>
      <c r="BR66" s="660">
        <v>0</v>
      </c>
      <c r="BS66" s="660">
        <v>0</v>
      </c>
      <c r="BT66" s="660">
        <f t="shared" si="36"/>
        <v>-696666.66666666663</v>
      </c>
      <c r="BU66" s="660">
        <f t="shared" si="36"/>
        <v>0</v>
      </c>
      <c r="BX66" s="660">
        <v>-696666.66666666663</v>
      </c>
      <c r="BY66" s="660">
        <f t="shared" si="63"/>
        <v>-696666.66666666663</v>
      </c>
      <c r="BZ66" s="660">
        <f t="shared" si="37"/>
        <v>0</v>
      </c>
      <c r="CA66" s="660">
        <f t="shared" si="38"/>
        <v>0</v>
      </c>
      <c r="CB66" s="660">
        <f t="shared" si="39"/>
        <v>0</v>
      </c>
      <c r="CC66" s="660">
        <f t="shared" si="40"/>
        <v>0</v>
      </c>
      <c r="CD66" s="660">
        <f t="shared" si="41"/>
        <v>-696666.66666666663</v>
      </c>
    </row>
    <row r="67" spans="4:82" ht="16" thickTop="1" thickBot="1">
      <c r="D67" s="653">
        <v>11</v>
      </c>
      <c r="E67" s="654">
        <v>46022</v>
      </c>
      <c r="F67" s="655">
        <f t="shared" si="42"/>
        <v>1</v>
      </c>
      <c r="G67" s="656">
        <v>-696666.66666666663</v>
      </c>
      <c r="I67" s="658">
        <f t="shared" si="43"/>
        <v>24820000.000000011</v>
      </c>
      <c r="J67" s="658">
        <f t="shared" ref="J67" si="142">IF($G67=0,0,-MIN(0,G67*c_EquityShare.LP))</f>
        <v>696666.66666666663</v>
      </c>
      <c r="K67" s="658">
        <f t="shared" ref="K67" si="143">I67*c_Rate.Pref_MO</f>
        <v>0</v>
      </c>
      <c r="L67" s="658">
        <f t="shared" si="15"/>
        <v>0</v>
      </c>
      <c r="M67" s="658">
        <f t="shared" si="46"/>
        <v>25516666.666666679</v>
      </c>
      <c r="N67" s="658">
        <f t="shared" si="66"/>
        <v>-696666.66666666663</v>
      </c>
      <c r="O67" s="658" cm="1">
        <f t="array" ref="O67">IF(I67=0,0,IF(G67&lt;0,N67/c_EquityShare.LP*i_EquityShare.GP,L67/c_EquityShare.LP*i_EquityShare.GP))</f>
        <v>0</v>
      </c>
      <c r="P67" s="658">
        <f t="shared" si="47"/>
        <v>-696666.66666666663</v>
      </c>
      <c r="Q67" s="658">
        <f t="shared" si="16"/>
        <v>0</v>
      </c>
      <c r="S67" s="660">
        <f t="shared" si="48"/>
        <v>26557184.239244487</v>
      </c>
      <c r="T67" s="663" cm="1">
        <f t="array" ref="T67">IF($G67=0,0,-MIN(0,$G67*c_EquityShare.LP))</f>
        <v>696666.66666666663</v>
      </c>
      <c r="U67" s="663" cm="1">
        <f t="array" ref="U67">IF($D67=0,0,S67*c_Rate.Hurdle1.MO)</f>
        <v>211770.71652000531</v>
      </c>
      <c r="V67" s="660">
        <f t="shared" si="67"/>
        <v>0</v>
      </c>
      <c r="W67" s="660">
        <f t="shared" si="17"/>
        <v>0</v>
      </c>
      <c r="X67" s="663">
        <f t="shared" si="68"/>
        <v>27465621.622431159</v>
      </c>
      <c r="Y67" s="663">
        <f t="shared" si="49"/>
        <v>-696666.66666666663</v>
      </c>
      <c r="Z67" s="663">
        <f t="shared" ref="Z67" si="144">IF(S67=0,0,O67+W67/$J$17*c_Hurdle1.Share_GP)</f>
        <v>0</v>
      </c>
      <c r="AA67" s="663">
        <f t="shared" si="19"/>
        <v>-696666.66666666663</v>
      </c>
      <c r="AB67" s="660">
        <f t="shared" si="70"/>
        <v>0</v>
      </c>
      <c r="AC67" s="521"/>
      <c r="AD67" s="663">
        <f t="shared" si="51"/>
        <v>28261758.047585431</v>
      </c>
      <c r="AE67" s="663">
        <f t="shared" ref="AE67" si="145">IF($G67=0,0,-MIN(0,$G67*c_EquityShare.LP))</f>
        <v>696666.66666666663</v>
      </c>
      <c r="AF67" s="663" cm="1">
        <f t="array" ref="AF67">IF($D67=0,0,AD67*(c_Rate.Hurdle2.MO))</f>
        <v>432672.55110004981</v>
      </c>
      <c r="AG67" s="663">
        <f t="shared" si="21"/>
        <v>0</v>
      </c>
      <c r="AH67" s="663">
        <f t="shared" si="53"/>
        <v>0</v>
      </c>
      <c r="AI67" s="663">
        <f t="shared" si="22"/>
        <v>29391097.265352149</v>
      </c>
      <c r="AJ67" s="664">
        <f t="shared" si="23"/>
        <v>-696666.66666666663</v>
      </c>
      <c r="AK67" s="660">
        <f t="shared" si="24"/>
        <v>-696666.66666666663</v>
      </c>
      <c r="AL67" s="663">
        <f t="shared" ref="AL67" si="146">IF(AD67=0,0,Z67+AH67/$J$18*c_Hurdle2.Share_GP)</f>
        <v>0</v>
      </c>
      <c r="AM67" s="663">
        <f t="shared" si="25"/>
        <v>-696666.66666666663</v>
      </c>
      <c r="AN67" s="660">
        <f t="shared" si="73"/>
        <v>0</v>
      </c>
      <c r="AO67" s="521"/>
      <c r="AP67" s="663">
        <f t="shared" si="55"/>
        <v>29937179.051310387</v>
      </c>
      <c r="AQ67" s="663">
        <f t="shared" ref="AQ67" si="147">IF($G67=0,0,-MIN(0,$G67*c_EquityShare.LP))</f>
        <v>696666.66666666663</v>
      </c>
      <c r="AR67" s="663" cm="1">
        <f t="array" ref="AR67">IF($D67=0,0,AP67*(c_Rate.Hurdle3.MO))</f>
        <v>661744.89525192266</v>
      </c>
      <c r="AS67" s="663">
        <f t="shared" si="27"/>
        <v>0</v>
      </c>
      <c r="AT67" s="663">
        <f t="shared" si="57"/>
        <v>0</v>
      </c>
      <c r="AU67" s="663">
        <f t="shared" si="28"/>
        <v>31295590.613228977</v>
      </c>
      <c r="AV67" s="664">
        <f t="shared" si="29"/>
        <v>-696666.66666666663</v>
      </c>
      <c r="AW67" s="660">
        <f t="shared" si="58"/>
        <v>-696666.66666666663</v>
      </c>
      <c r="AX67" s="663">
        <f t="shared" ref="AX67" si="148">IF(AP67=0,0,AL67+AT67/$J$19*c_Hurdle3.Share_GP)</f>
        <v>0</v>
      </c>
      <c r="AY67" s="663">
        <f t="shared" si="60"/>
        <v>-696666.66666666663</v>
      </c>
      <c r="AZ67" s="660">
        <f t="shared" si="76"/>
        <v>0</v>
      </c>
      <c r="BA67" s="521"/>
      <c r="BB67" s="660">
        <f t="shared" si="30"/>
        <v>0</v>
      </c>
      <c r="BC67" s="660">
        <f t="shared" ref="BC67" si="149">$AZ67*c_Residual.Share_GP</f>
        <v>0</v>
      </c>
      <c r="BD67" s="651"/>
      <c r="BE67" s="660">
        <f t="shared" si="62"/>
        <v>-696666.66666666663</v>
      </c>
      <c r="BF67" s="660">
        <f t="shared" si="62"/>
        <v>0</v>
      </c>
      <c r="BG67" s="660">
        <f t="shared" si="32"/>
        <v>-696666.66666666663</v>
      </c>
      <c r="BI67" s="660">
        <v>-696666.66666666663</v>
      </c>
      <c r="BJ67" s="660">
        <v>-696666.66666666663</v>
      </c>
      <c r="BK67" s="660">
        <v>0</v>
      </c>
      <c r="BL67" s="660">
        <f t="shared" si="33"/>
        <v>0</v>
      </c>
      <c r="BM67" s="660">
        <f t="shared" si="33"/>
        <v>0</v>
      </c>
      <c r="BN67" s="660">
        <f t="shared" si="34"/>
        <v>0</v>
      </c>
      <c r="BO67" s="660">
        <f t="shared" si="34"/>
        <v>0</v>
      </c>
      <c r="BP67" s="660">
        <f t="shared" si="35"/>
        <v>0</v>
      </c>
      <c r="BQ67" s="660">
        <f t="shared" si="35"/>
        <v>0</v>
      </c>
      <c r="BR67" s="660">
        <v>0</v>
      </c>
      <c r="BS67" s="660">
        <v>0</v>
      </c>
      <c r="BT67" s="660">
        <f t="shared" si="36"/>
        <v>-696666.66666666663</v>
      </c>
      <c r="BU67" s="660">
        <f t="shared" si="36"/>
        <v>0</v>
      </c>
      <c r="BX67" s="660">
        <v>-696666.66666666663</v>
      </c>
      <c r="BY67" s="660">
        <f t="shared" si="63"/>
        <v>-696666.66666666663</v>
      </c>
      <c r="BZ67" s="660">
        <f t="shared" si="37"/>
        <v>0</v>
      </c>
      <c r="CA67" s="660">
        <f t="shared" si="38"/>
        <v>0</v>
      </c>
      <c r="CB67" s="660">
        <f t="shared" si="39"/>
        <v>0</v>
      </c>
      <c r="CC67" s="660">
        <f t="shared" si="40"/>
        <v>0</v>
      </c>
      <c r="CD67" s="660">
        <f t="shared" si="41"/>
        <v>-696666.66666666663</v>
      </c>
    </row>
    <row r="68" spans="4:82" ht="16" thickTop="1" thickBot="1">
      <c r="D68" s="653">
        <v>12</v>
      </c>
      <c r="E68" s="654">
        <v>46053</v>
      </c>
      <c r="F68" s="655">
        <f t="shared" si="42"/>
        <v>2</v>
      </c>
      <c r="G68" s="656">
        <v>-696666.66666666663</v>
      </c>
      <c r="I68" s="658">
        <f t="shared" si="43"/>
        <v>25516666.666666679</v>
      </c>
      <c r="J68" s="658">
        <f t="shared" ref="J68" si="150">IF($G68=0,0,-MIN(0,G68*c_EquityShare.LP))</f>
        <v>696666.66666666663</v>
      </c>
      <c r="K68" s="658">
        <f t="shared" ref="K68" si="151">I68*c_Rate.Pref_MO</f>
        <v>0</v>
      </c>
      <c r="L68" s="658">
        <f t="shared" si="15"/>
        <v>0</v>
      </c>
      <c r="M68" s="658">
        <f t="shared" si="46"/>
        <v>26213333.333333347</v>
      </c>
      <c r="N68" s="658">
        <f t="shared" si="66"/>
        <v>-696666.66666666663</v>
      </c>
      <c r="O68" s="658" cm="1">
        <f t="array" ref="O68">IF(I68=0,0,IF(G68&lt;0,N68/c_EquityShare.LP*i_EquityShare.GP,L68/c_EquityShare.LP*i_EquityShare.GP))</f>
        <v>0</v>
      </c>
      <c r="P68" s="658">
        <f t="shared" si="47"/>
        <v>-696666.66666666663</v>
      </c>
      <c r="Q68" s="658">
        <f t="shared" si="16"/>
        <v>0</v>
      </c>
      <c r="S68" s="660">
        <f t="shared" si="48"/>
        <v>27465621.622431159</v>
      </c>
      <c r="T68" s="663" cm="1">
        <f t="array" ref="T68">IF($G68=0,0,-MIN(0,$G68*c_EquityShare.LP))</f>
        <v>696666.66666666663</v>
      </c>
      <c r="U68" s="663" cm="1">
        <f t="array" ref="U68">IF($D68=0,0,S68*c_Rate.Hurdle1.MO)</f>
        <v>219014.72378440169</v>
      </c>
      <c r="V68" s="660">
        <f t="shared" si="67"/>
        <v>0</v>
      </c>
      <c r="W68" s="660">
        <f t="shared" si="17"/>
        <v>0</v>
      </c>
      <c r="X68" s="663">
        <f t="shared" si="68"/>
        <v>28381303.012882229</v>
      </c>
      <c r="Y68" s="663">
        <f t="shared" si="49"/>
        <v>-696666.66666666663</v>
      </c>
      <c r="Z68" s="663">
        <f t="shared" ref="Z68" si="152">IF(S68=0,0,O68+W68/$J$17*c_Hurdle1.Share_GP)</f>
        <v>0</v>
      </c>
      <c r="AA68" s="663">
        <f t="shared" si="19"/>
        <v>-696666.66666666663</v>
      </c>
      <c r="AB68" s="660">
        <f t="shared" si="70"/>
        <v>0</v>
      </c>
      <c r="AC68" s="521"/>
      <c r="AD68" s="663">
        <f t="shared" si="51"/>
        <v>29391097.265352149</v>
      </c>
      <c r="AE68" s="663">
        <f t="shared" ref="AE68" si="153">IF($G68=0,0,-MIN(0,$G68*c_EquityShare.LP))</f>
        <v>696666.66666666663</v>
      </c>
      <c r="AF68" s="663" cm="1">
        <f t="array" ref="AF68">IF($D68=0,0,AD68*(c_Rate.Hurdle2.MO))</f>
        <v>449962.13653863885</v>
      </c>
      <c r="AG68" s="663">
        <f t="shared" si="21"/>
        <v>0</v>
      </c>
      <c r="AH68" s="663">
        <f t="shared" si="53"/>
        <v>0</v>
      </c>
      <c r="AI68" s="663">
        <f t="shared" si="22"/>
        <v>30537726.068557456</v>
      </c>
      <c r="AJ68" s="664">
        <f t="shared" si="23"/>
        <v>-696666.66666666663</v>
      </c>
      <c r="AK68" s="660">
        <f t="shared" si="24"/>
        <v>-696666.66666666663</v>
      </c>
      <c r="AL68" s="663">
        <f t="shared" ref="AL68" si="154">IF(AD68=0,0,Z68+AH68/$J$18*c_Hurdle2.Share_GP)</f>
        <v>0</v>
      </c>
      <c r="AM68" s="663">
        <f t="shared" si="25"/>
        <v>-696666.66666666663</v>
      </c>
      <c r="AN68" s="660">
        <f t="shared" si="73"/>
        <v>0</v>
      </c>
      <c r="AO68" s="521"/>
      <c r="AP68" s="663">
        <f t="shared" si="55"/>
        <v>31295590.613228977</v>
      </c>
      <c r="AQ68" s="663">
        <f t="shared" ref="AQ68" si="155">IF($G68=0,0,-MIN(0,$G68*c_EquityShare.LP))</f>
        <v>696666.66666666663</v>
      </c>
      <c r="AR68" s="663" cm="1">
        <f t="array" ref="AR68">IF($D68=0,0,AP68*(c_Rate.Hurdle3.MO))</f>
        <v>691771.8365081487</v>
      </c>
      <c r="AS68" s="663">
        <f t="shared" si="27"/>
        <v>0</v>
      </c>
      <c r="AT68" s="663">
        <f t="shared" si="57"/>
        <v>0</v>
      </c>
      <c r="AU68" s="663">
        <f t="shared" si="28"/>
        <v>32684029.116403792</v>
      </c>
      <c r="AV68" s="664">
        <f t="shared" si="29"/>
        <v>-696666.66666666663</v>
      </c>
      <c r="AW68" s="660">
        <f t="shared" si="58"/>
        <v>-696666.66666666663</v>
      </c>
      <c r="AX68" s="663">
        <f t="shared" ref="AX68" si="156">IF(AP68=0,0,AL68+AT68/$J$19*c_Hurdle3.Share_GP)</f>
        <v>0</v>
      </c>
      <c r="AY68" s="663">
        <f t="shared" si="60"/>
        <v>-696666.66666666663</v>
      </c>
      <c r="AZ68" s="660">
        <f t="shared" si="76"/>
        <v>0</v>
      </c>
      <c r="BA68" s="521"/>
      <c r="BB68" s="660">
        <f t="shared" si="30"/>
        <v>0</v>
      </c>
      <c r="BC68" s="660">
        <f t="shared" ref="BC68" si="157">$AZ68*c_Residual.Share_GP</f>
        <v>0</v>
      </c>
      <c r="BD68" s="651"/>
      <c r="BE68" s="660">
        <f t="shared" si="62"/>
        <v>-696666.66666666663</v>
      </c>
      <c r="BF68" s="660">
        <f t="shared" si="62"/>
        <v>0</v>
      </c>
      <c r="BG68" s="660">
        <f t="shared" si="32"/>
        <v>-696666.66666666663</v>
      </c>
      <c r="BI68" s="660">
        <v>-696666.66666666663</v>
      </c>
      <c r="BJ68" s="660">
        <v>-696666.66666666663</v>
      </c>
      <c r="BK68" s="660">
        <v>0</v>
      </c>
      <c r="BL68" s="660">
        <f t="shared" si="33"/>
        <v>0</v>
      </c>
      <c r="BM68" s="660">
        <f t="shared" si="33"/>
        <v>0</v>
      </c>
      <c r="BN68" s="660">
        <f t="shared" si="34"/>
        <v>0</v>
      </c>
      <c r="BO68" s="660">
        <f t="shared" si="34"/>
        <v>0</v>
      </c>
      <c r="BP68" s="660">
        <f t="shared" si="35"/>
        <v>0</v>
      </c>
      <c r="BQ68" s="660">
        <f t="shared" si="35"/>
        <v>0</v>
      </c>
      <c r="BR68" s="660">
        <v>0</v>
      </c>
      <c r="BS68" s="660">
        <v>0</v>
      </c>
      <c r="BT68" s="660">
        <f t="shared" si="36"/>
        <v>-696666.66666666663</v>
      </c>
      <c r="BU68" s="660">
        <f t="shared" si="36"/>
        <v>0</v>
      </c>
      <c r="BX68" s="660">
        <v>-696666.66666666663</v>
      </c>
      <c r="BY68" s="660">
        <f t="shared" si="63"/>
        <v>-696666.66666666663</v>
      </c>
      <c r="BZ68" s="660">
        <f t="shared" si="37"/>
        <v>0</v>
      </c>
      <c r="CA68" s="660">
        <f t="shared" si="38"/>
        <v>0</v>
      </c>
      <c r="CB68" s="660">
        <f t="shared" si="39"/>
        <v>0</v>
      </c>
      <c r="CC68" s="660">
        <f t="shared" si="40"/>
        <v>0</v>
      </c>
      <c r="CD68" s="660">
        <f t="shared" si="41"/>
        <v>-696666.66666666663</v>
      </c>
    </row>
    <row r="69" spans="4:82" ht="16" thickTop="1" thickBot="1">
      <c r="D69" s="653">
        <v>13</v>
      </c>
      <c r="E69" s="654">
        <v>46081</v>
      </c>
      <c r="F69" s="655">
        <f t="shared" si="42"/>
        <v>2</v>
      </c>
      <c r="G69" s="656">
        <v>2189725.8467499134</v>
      </c>
      <c r="I69" s="658">
        <f t="shared" si="43"/>
        <v>26213333.333333347</v>
      </c>
      <c r="J69" s="658">
        <f t="shared" ref="J69" si="158">IF($G69=0,0,-MIN(0,G69*c_EquityShare.LP))</f>
        <v>0</v>
      </c>
      <c r="K69" s="658">
        <f t="shared" ref="K69" si="159">I69*c_Rate.Pref_MO</f>
        <v>0</v>
      </c>
      <c r="L69" s="658">
        <f t="shared" si="15"/>
        <v>2189725.8467499134</v>
      </c>
      <c r="M69" s="658">
        <f t="shared" si="46"/>
        <v>24023607.486583434</v>
      </c>
      <c r="N69" s="658">
        <f t="shared" si="66"/>
        <v>2189725.8467499134</v>
      </c>
      <c r="O69" s="658" cm="1">
        <f t="array" ref="O69">IF(I69=0,0,IF(G69&lt;0,N69/c_EquityShare.LP*i_EquityShare.GP,L69/c_EquityShare.LP*i_EquityShare.GP))</f>
        <v>0</v>
      </c>
      <c r="P69" s="658">
        <f t="shared" si="47"/>
        <v>2189725.8467499134</v>
      </c>
      <c r="Q69" s="658">
        <f t="shared" si="16"/>
        <v>0</v>
      </c>
      <c r="S69" s="660">
        <f t="shared" si="48"/>
        <v>28381303.012882229</v>
      </c>
      <c r="T69" s="663" cm="1">
        <f t="array" ref="T69">IF($G69=0,0,-MIN(0,$G69*c_EquityShare.LP))</f>
        <v>0</v>
      </c>
      <c r="U69" s="663" cm="1">
        <f t="array" ref="U69">IF($D69=0,0,S69*c_Rate.Hurdle1.MO)</f>
        <v>226316.4957799924</v>
      </c>
      <c r="V69" s="660">
        <f t="shared" si="67"/>
        <v>2189725.8467499134</v>
      </c>
      <c r="W69" s="660">
        <f t="shared" si="17"/>
        <v>0</v>
      </c>
      <c r="X69" s="663">
        <f t="shared" si="68"/>
        <v>26417893.661912307</v>
      </c>
      <c r="Y69" s="663">
        <f t="shared" si="49"/>
        <v>2189725.8467499134</v>
      </c>
      <c r="Z69" s="663">
        <f t="shared" ref="Z69" si="160">IF(S69=0,0,O69+W69/$J$17*c_Hurdle1.Share_GP)</f>
        <v>0</v>
      </c>
      <c r="AA69" s="663">
        <f t="shared" si="19"/>
        <v>2189725.8467499134</v>
      </c>
      <c r="AB69" s="660">
        <f t="shared" si="70"/>
        <v>0</v>
      </c>
      <c r="AC69" s="521"/>
      <c r="AD69" s="663">
        <f t="shared" si="51"/>
        <v>30537726.068557456</v>
      </c>
      <c r="AE69" s="663">
        <f t="shared" ref="AE69" si="161">IF($G69=0,0,-MIN(0,$G69*c_EquityShare.LP))</f>
        <v>0</v>
      </c>
      <c r="AF69" s="663" cm="1">
        <f t="array" ref="AF69">IF($D69=0,0,AD69*(c_Rate.Hurdle2.MO))</f>
        <v>467516.41637545259</v>
      </c>
      <c r="AG69" s="663">
        <f t="shared" si="21"/>
        <v>2189725.8467499134</v>
      </c>
      <c r="AH69" s="663">
        <f t="shared" si="53"/>
        <v>0</v>
      </c>
      <c r="AI69" s="663">
        <f t="shared" si="22"/>
        <v>28815516.638182994</v>
      </c>
      <c r="AJ69" s="664">
        <f t="shared" si="23"/>
        <v>2189725.8467499134</v>
      </c>
      <c r="AK69" s="660">
        <f t="shared" si="24"/>
        <v>2189725.8467499134</v>
      </c>
      <c r="AL69" s="663">
        <f t="shared" ref="AL69" si="162">IF(AD69=0,0,Z69+AH69/$J$18*c_Hurdle2.Share_GP)</f>
        <v>0</v>
      </c>
      <c r="AM69" s="663">
        <f t="shared" si="25"/>
        <v>2189725.8467499134</v>
      </c>
      <c r="AN69" s="660">
        <f t="shared" si="73"/>
        <v>0</v>
      </c>
      <c r="AO69" s="521"/>
      <c r="AP69" s="663">
        <f t="shared" si="55"/>
        <v>32684029.116403792</v>
      </c>
      <c r="AQ69" s="663">
        <f t="shared" ref="AQ69" si="163">IF($G69=0,0,-MIN(0,$G69*c_EquityShare.LP))</f>
        <v>0</v>
      </c>
      <c r="AR69" s="663" cm="1">
        <f t="array" ref="AR69">IF($D69=0,0,AP69*(c_Rate.Hurdle3.MO))</f>
        <v>722462.50680385041</v>
      </c>
      <c r="AS69" s="663">
        <f t="shared" si="27"/>
        <v>2189725.8467499134</v>
      </c>
      <c r="AT69" s="663">
        <f t="shared" si="57"/>
        <v>0</v>
      </c>
      <c r="AU69" s="663">
        <f t="shared" si="28"/>
        <v>31216765.776457731</v>
      </c>
      <c r="AV69" s="664">
        <f t="shared" si="29"/>
        <v>2189725.8467499134</v>
      </c>
      <c r="AW69" s="660">
        <f t="shared" si="58"/>
        <v>2189725.8467499134</v>
      </c>
      <c r="AX69" s="663">
        <f t="shared" ref="AX69" si="164">IF(AP69=0,0,AL69+AT69/$J$19*c_Hurdle3.Share_GP)</f>
        <v>0</v>
      </c>
      <c r="AY69" s="663">
        <f t="shared" si="60"/>
        <v>2189725.8467499134</v>
      </c>
      <c r="AZ69" s="660">
        <f t="shared" si="76"/>
        <v>0</v>
      </c>
      <c r="BA69" s="521"/>
      <c r="BB69" s="660">
        <f t="shared" si="30"/>
        <v>0</v>
      </c>
      <c r="BC69" s="660">
        <f t="shared" ref="BC69" si="165">$AZ69*c_Residual.Share_GP</f>
        <v>0</v>
      </c>
      <c r="BD69" s="651"/>
      <c r="BE69" s="660">
        <f t="shared" si="62"/>
        <v>2189725.8467499134</v>
      </c>
      <c r="BF69" s="660">
        <f t="shared" si="62"/>
        <v>0</v>
      </c>
      <c r="BG69" s="660">
        <f t="shared" si="32"/>
        <v>2189725.8467499134</v>
      </c>
      <c r="BI69" s="660">
        <v>2189725.8467499134</v>
      </c>
      <c r="BJ69" s="660">
        <v>2189725.8467499134</v>
      </c>
      <c r="BK69" s="660">
        <v>0</v>
      </c>
      <c r="BL69" s="660">
        <f t="shared" si="33"/>
        <v>0</v>
      </c>
      <c r="BM69" s="660">
        <f t="shared" si="33"/>
        <v>0</v>
      </c>
      <c r="BN69" s="660">
        <f t="shared" si="34"/>
        <v>0</v>
      </c>
      <c r="BO69" s="660">
        <f t="shared" si="34"/>
        <v>0</v>
      </c>
      <c r="BP69" s="660">
        <f t="shared" si="35"/>
        <v>0</v>
      </c>
      <c r="BQ69" s="660">
        <f t="shared" si="35"/>
        <v>0</v>
      </c>
      <c r="BR69" s="660">
        <v>0</v>
      </c>
      <c r="BS69" s="660">
        <v>0</v>
      </c>
      <c r="BT69" s="660">
        <f t="shared" si="36"/>
        <v>2189725.8467499134</v>
      </c>
      <c r="BU69" s="660">
        <f t="shared" si="36"/>
        <v>0</v>
      </c>
      <c r="BX69" s="660">
        <v>2189725.8467499134</v>
      </c>
      <c r="BY69" s="660">
        <f t="shared" si="63"/>
        <v>2189725.8467499134</v>
      </c>
      <c r="BZ69" s="660">
        <f t="shared" si="37"/>
        <v>0</v>
      </c>
      <c r="CA69" s="660">
        <f t="shared" si="38"/>
        <v>0</v>
      </c>
      <c r="CB69" s="660">
        <f t="shared" si="39"/>
        <v>0</v>
      </c>
      <c r="CC69" s="660">
        <f t="shared" si="40"/>
        <v>0</v>
      </c>
      <c r="CD69" s="660">
        <f t="shared" si="41"/>
        <v>2189725.8467499134</v>
      </c>
    </row>
    <row r="70" spans="4:82" ht="16" thickTop="1" thickBot="1">
      <c r="D70" s="653">
        <v>14</v>
      </c>
      <c r="E70" s="654">
        <v>46112</v>
      </c>
      <c r="F70" s="655">
        <f t="shared" si="42"/>
        <v>2</v>
      </c>
      <c r="G70" s="656">
        <v>0</v>
      </c>
      <c r="I70" s="658">
        <f t="shared" si="43"/>
        <v>24023607.486583434</v>
      </c>
      <c r="J70" s="658">
        <f t="shared" ref="J70" si="166">IF($G70=0,0,-MIN(0,G70*c_EquityShare.LP))</f>
        <v>0</v>
      </c>
      <c r="K70" s="658">
        <f t="shared" ref="K70" si="167">I70*c_Rate.Pref_MO</f>
        <v>0</v>
      </c>
      <c r="L70" s="658">
        <f t="shared" si="15"/>
        <v>0</v>
      </c>
      <c r="M70" s="658">
        <f t="shared" si="46"/>
        <v>24023607.486583434</v>
      </c>
      <c r="N70" s="658">
        <f t="shared" si="66"/>
        <v>0</v>
      </c>
      <c r="O70" s="658" cm="1">
        <f t="array" ref="O70">IF(I70=0,0,IF(G70&lt;0,N70/c_EquityShare.LP*i_EquityShare.GP,L70/c_EquityShare.LP*i_EquityShare.GP))</f>
        <v>0</v>
      </c>
      <c r="P70" s="658">
        <f t="shared" si="47"/>
        <v>0</v>
      </c>
      <c r="Q70" s="658">
        <f t="shared" si="16"/>
        <v>0</v>
      </c>
      <c r="S70" s="660">
        <f t="shared" si="48"/>
        <v>26417893.661912307</v>
      </c>
      <c r="T70" s="663" cm="1">
        <f t="array" ref="T70">IF($G70=0,0,-MIN(0,$G70*c_EquityShare.LP))</f>
        <v>0</v>
      </c>
      <c r="U70" s="663" cm="1">
        <f t="array" ref="U70">IF($D70=0,0,S70*c_Rate.Hurdle1.MO)</f>
        <v>210659.99389593545</v>
      </c>
      <c r="V70" s="660">
        <f t="shared" si="67"/>
        <v>0</v>
      </c>
      <c r="W70" s="660">
        <f t="shared" si="17"/>
        <v>0</v>
      </c>
      <c r="X70" s="663">
        <f t="shared" si="68"/>
        <v>26628553.655808244</v>
      </c>
      <c r="Y70" s="663">
        <f t="shared" si="49"/>
        <v>0</v>
      </c>
      <c r="Z70" s="663">
        <f t="shared" ref="Z70" si="168">IF(S70=0,0,O70+W70/$J$17*c_Hurdle1.Share_GP)</f>
        <v>0</v>
      </c>
      <c r="AA70" s="663">
        <f t="shared" si="19"/>
        <v>0</v>
      </c>
      <c r="AB70" s="660">
        <f t="shared" si="70"/>
        <v>0</v>
      </c>
      <c r="AC70" s="521"/>
      <c r="AD70" s="663">
        <f t="shared" si="51"/>
        <v>28815516.638182994</v>
      </c>
      <c r="AE70" s="663">
        <f t="shared" ref="AE70" si="169">IF($G70=0,0,-MIN(0,$G70*c_EquityShare.LP))</f>
        <v>0</v>
      </c>
      <c r="AF70" s="663" cm="1">
        <f t="array" ref="AF70">IF($D70=0,0,AD70*(c_Rate.Hurdle2.MO))</f>
        <v>441150.30190677592</v>
      </c>
      <c r="AG70" s="663">
        <f t="shared" si="21"/>
        <v>0</v>
      </c>
      <c r="AH70" s="663">
        <f t="shared" si="53"/>
        <v>0</v>
      </c>
      <c r="AI70" s="663">
        <f t="shared" si="22"/>
        <v>29256666.94008977</v>
      </c>
      <c r="AJ70" s="664">
        <f t="shared" si="23"/>
        <v>0</v>
      </c>
      <c r="AK70" s="660">
        <f t="shared" si="24"/>
        <v>0</v>
      </c>
      <c r="AL70" s="663">
        <f t="shared" ref="AL70" si="170">IF(AD70=0,0,Z70+AH70/$J$18*c_Hurdle2.Share_GP)</f>
        <v>0</v>
      </c>
      <c r="AM70" s="663">
        <f t="shared" si="25"/>
        <v>0</v>
      </c>
      <c r="AN70" s="660">
        <f t="shared" si="73"/>
        <v>0</v>
      </c>
      <c r="AO70" s="521"/>
      <c r="AP70" s="663">
        <f t="shared" si="55"/>
        <v>31216765.776457731</v>
      </c>
      <c r="AQ70" s="663">
        <f t="shared" ref="AQ70" si="171">IF($G70=0,0,-MIN(0,$G70*c_EquityShare.LP))</f>
        <v>0</v>
      </c>
      <c r="AR70" s="663" cm="1">
        <f t="array" ref="AR70">IF($D70=0,0,AP70*(c_Rate.Hurdle3.MO))</f>
        <v>690029.45679818885</v>
      </c>
      <c r="AS70" s="663">
        <f t="shared" si="27"/>
        <v>0</v>
      </c>
      <c r="AT70" s="663">
        <f t="shared" si="57"/>
        <v>0</v>
      </c>
      <c r="AU70" s="663">
        <f t="shared" si="28"/>
        <v>31906795.233255919</v>
      </c>
      <c r="AV70" s="664">
        <f t="shared" si="29"/>
        <v>0</v>
      </c>
      <c r="AW70" s="660">
        <f t="shared" si="58"/>
        <v>0</v>
      </c>
      <c r="AX70" s="663">
        <f t="shared" ref="AX70" si="172">IF(AP70=0,0,AL70+AT70/$J$19*c_Hurdle3.Share_GP)</f>
        <v>0</v>
      </c>
      <c r="AY70" s="663">
        <f t="shared" si="60"/>
        <v>0</v>
      </c>
      <c r="AZ70" s="660">
        <f t="shared" si="76"/>
        <v>0</v>
      </c>
      <c r="BA70" s="521"/>
      <c r="BB70" s="660">
        <f t="shared" si="30"/>
        <v>0</v>
      </c>
      <c r="BC70" s="660">
        <f t="shared" ref="BC70" si="173">$AZ70*c_Residual.Share_GP</f>
        <v>0</v>
      </c>
      <c r="BD70" s="651"/>
      <c r="BE70" s="660">
        <f t="shared" si="62"/>
        <v>0</v>
      </c>
      <c r="BF70" s="660">
        <f t="shared" si="62"/>
        <v>0</v>
      </c>
      <c r="BG70" s="660">
        <f t="shared" si="32"/>
        <v>0</v>
      </c>
      <c r="BI70" s="660">
        <v>0</v>
      </c>
      <c r="BJ70" s="660">
        <v>0</v>
      </c>
      <c r="BK70" s="660">
        <v>0</v>
      </c>
      <c r="BL70" s="660">
        <f t="shared" si="33"/>
        <v>0</v>
      </c>
      <c r="BM70" s="660">
        <f t="shared" si="33"/>
        <v>0</v>
      </c>
      <c r="BN70" s="660">
        <f t="shared" si="34"/>
        <v>0</v>
      </c>
      <c r="BO70" s="660">
        <f t="shared" si="34"/>
        <v>0</v>
      </c>
      <c r="BP70" s="660">
        <f t="shared" si="35"/>
        <v>0</v>
      </c>
      <c r="BQ70" s="660">
        <f t="shared" si="35"/>
        <v>0</v>
      </c>
      <c r="BR70" s="660">
        <v>0</v>
      </c>
      <c r="BS70" s="660">
        <v>0</v>
      </c>
      <c r="BT70" s="660">
        <f t="shared" si="36"/>
        <v>0</v>
      </c>
      <c r="BU70" s="660">
        <f t="shared" si="36"/>
        <v>0</v>
      </c>
      <c r="BX70" s="660">
        <v>0</v>
      </c>
      <c r="BY70" s="660">
        <f t="shared" si="63"/>
        <v>0</v>
      </c>
      <c r="BZ70" s="660">
        <f t="shared" si="37"/>
        <v>0</v>
      </c>
      <c r="CA70" s="660">
        <f t="shared" si="38"/>
        <v>0</v>
      </c>
      <c r="CB70" s="660">
        <f t="shared" si="39"/>
        <v>0</v>
      </c>
      <c r="CC70" s="660">
        <f t="shared" si="40"/>
        <v>0</v>
      </c>
      <c r="CD70" s="660">
        <f t="shared" si="41"/>
        <v>0</v>
      </c>
    </row>
    <row r="71" spans="4:82" ht="16" thickTop="1" thickBot="1">
      <c r="D71" s="653">
        <v>15</v>
      </c>
      <c r="E71" s="654">
        <v>46142</v>
      </c>
      <c r="F71" s="655">
        <f t="shared" si="42"/>
        <v>2</v>
      </c>
      <c r="G71" s="656">
        <v>0</v>
      </c>
      <c r="I71" s="658">
        <f t="shared" si="43"/>
        <v>24023607.486583434</v>
      </c>
      <c r="J71" s="658">
        <f t="shared" ref="J71" si="174">IF($G71=0,0,-MIN(0,G71*c_EquityShare.LP))</f>
        <v>0</v>
      </c>
      <c r="K71" s="658">
        <f t="shared" ref="K71" si="175">I71*c_Rate.Pref_MO</f>
        <v>0</v>
      </c>
      <c r="L71" s="658">
        <f t="shared" si="15"/>
        <v>0</v>
      </c>
      <c r="M71" s="658">
        <f t="shared" si="46"/>
        <v>24023607.486583434</v>
      </c>
      <c r="N71" s="658">
        <f t="shared" si="66"/>
        <v>0</v>
      </c>
      <c r="O71" s="658" cm="1">
        <f t="array" ref="O71">IF(I71=0,0,IF(G71&lt;0,N71/c_EquityShare.LP*i_EquityShare.GP,L71/c_EquityShare.LP*i_EquityShare.GP))</f>
        <v>0</v>
      </c>
      <c r="P71" s="658">
        <f t="shared" si="47"/>
        <v>0</v>
      </c>
      <c r="Q71" s="658">
        <f t="shared" si="16"/>
        <v>0</v>
      </c>
      <c r="R71" s="521"/>
      <c r="S71" s="660">
        <f t="shared" si="48"/>
        <v>26628553.655808244</v>
      </c>
      <c r="T71" s="663" cm="1">
        <f t="array" ref="T71">IF($G71=0,0,-MIN(0,$G71*c_EquityShare.LP))</f>
        <v>0</v>
      </c>
      <c r="U71" s="663" cm="1">
        <f t="array" ref="U71">IF($D71=0,0,S71*c_Rate.Hurdle1.MO)</f>
        <v>212339.82627001364</v>
      </c>
      <c r="V71" s="660">
        <f t="shared" si="67"/>
        <v>0</v>
      </c>
      <c r="W71" s="660">
        <f t="shared" si="17"/>
        <v>0</v>
      </c>
      <c r="X71" s="663">
        <f t="shared" si="68"/>
        <v>26840893.482078258</v>
      </c>
      <c r="Y71" s="663">
        <f t="shared" si="49"/>
        <v>0</v>
      </c>
      <c r="Z71" s="663">
        <f t="shared" ref="Z71" si="176">IF(S71=0,0,O71+W71/$J$17*c_Hurdle1.Share_GP)</f>
        <v>0</v>
      </c>
      <c r="AA71" s="663">
        <f t="shared" si="19"/>
        <v>0</v>
      </c>
      <c r="AB71" s="660">
        <f t="shared" si="70"/>
        <v>0</v>
      </c>
      <c r="AC71" s="521"/>
      <c r="AD71" s="663">
        <f t="shared" si="51"/>
        <v>29256666.94008977</v>
      </c>
      <c r="AE71" s="663">
        <f t="shared" ref="AE71" si="177">IF($G71=0,0,-MIN(0,$G71*c_EquityShare.LP))</f>
        <v>0</v>
      </c>
      <c r="AF71" s="663" cm="1">
        <f t="array" ref="AF71">IF($D71=0,0,AD71*(c_Rate.Hurdle2.MO))</f>
        <v>447904.07943976519</v>
      </c>
      <c r="AG71" s="663">
        <f t="shared" si="21"/>
        <v>0</v>
      </c>
      <c r="AH71" s="663">
        <f t="shared" si="53"/>
        <v>0</v>
      </c>
      <c r="AI71" s="663">
        <f t="shared" si="22"/>
        <v>29704571.019529536</v>
      </c>
      <c r="AJ71" s="664">
        <f t="shared" si="23"/>
        <v>0</v>
      </c>
      <c r="AK71" s="660">
        <f t="shared" si="24"/>
        <v>0</v>
      </c>
      <c r="AL71" s="663">
        <f t="shared" ref="AL71" si="178">IF(AD71=0,0,Z71+AH71/$J$18*c_Hurdle2.Share_GP)</f>
        <v>0</v>
      </c>
      <c r="AM71" s="663">
        <f t="shared" si="25"/>
        <v>0</v>
      </c>
      <c r="AN71" s="660">
        <f t="shared" si="73"/>
        <v>0</v>
      </c>
      <c r="AO71" s="521"/>
      <c r="AP71" s="663">
        <f t="shared" si="55"/>
        <v>31906795.233255919</v>
      </c>
      <c r="AQ71" s="663">
        <f t="shared" ref="AQ71" si="179">IF($G71=0,0,-MIN(0,$G71*c_EquityShare.LP))</f>
        <v>0</v>
      </c>
      <c r="AR71" s="663" cm="1">
        <f t="array" ref="AR71">IF($D71=0,0,AP71*(c_Rate.Hurdle3.MO))</f>
        <v>705282.178834124</v>
      </c>
      <c r="AS71" s="663">
        <f t="shared" si="27"/>
        <v>0</v>
      </c>
      <c r="AT71" s="663">
        <f t="shared" si="57"/>
        <v>0</v>
      </c>
      <c r="AU71" s="663">
        <f t="shared" si="28"/>
        <v>32612077.412090044</v>
      </c>
      <c r="AV71" s="664">
        <f t="shared" si="29"/>
        <v>0</v>
      </c>
      <c r="AW71" s="660">
        <f t="shared" si="58"/>
        <v>0</v>
      </c>
      <c r="AX71" s="663">
        <f t="shared" ref="AX71" si="180">IF(AP71=0,0,AL71+AT71/$J$19*c_Hurdle3.Share_GP)</f>
        <v>0</v>
      </c>
      <c r="AY71" s="663">
        <f t="shared" si="60"/>
        <v>0</v>
      </c>
      <c r="AZ71" s="660">
        <f t="shared" si="76"/>
        <v>0</v>
      </c>
      <c r="BA71" s="521"/>
      <c r="BB71" s="660">
        <f t="shared" si="30"/>
        <v>0</v>
      </c>
      <c r="BC71" s="660">
        <f t="shared" ref="BC71" si="181">$AZ71*c_Residual.Share_GP</f>
        <v>0</v>
      </c>
      <c r="BD71" s="651"/>
      <c r="BE71" s="660">
        <f t="shared" si="62"/>
        <v>0</v>
      </c>
      <c r="BF71" s="660">
        <f t="shared" si="62"/>
        <v>0</v>
      </c>
      <c r="BG71" s="660">
        <f t="shared" si="32"/>
        <v>0</v>
      </c>
      <c r="BI71" s="660">
        <v>0</v>
      </c>
      <c r="BJ71" s="660">
        <v>0</v>
      </c>
      <c r="BK71" s="660">
        <v>0</v>
      </c>
      <c r="BL71" s="660">
        <f t="shared" si="33"/>
        <v>0</v>
      </c>
      <c r="BM71" s="660">
        <f t="shared" si="33"/>
        <v>0</v>
      </c>
      <c r="BN71" s="660">
        <f t="shared" si="34"/>
        <v>0</v>
      </c>
      <c r="BO71" s="660">
        <f t="shared" si="34"/>
        <v>0</v>
      </c>
      <c r="BP71" s="660">
        <f t="shared" si="35"/>
        <v>0</v>
      </c>
      <c r="BQ71" s="660">
        <f t="shared" si="35"/>
        <v>0</v>
      </c>
      <c r="BR71" s="660">
        <v>0</v>
      </c>
      <c r="BS71" s="660">
        <v>0</v>
      </c>
      <c r="BT71" s="660">
        <f t="shared" si="36"/>
        <v>0</v>
      </c>
      <c r="BU71" s="660">
        <f t="shared" si="36"/>
        <v>0</v>
      </c>
      <c r="BX71" s="660">
        <v>0</v>
      </c>
      <c r="BY71" s="660">
        <f t="shared" si="63"/>
        <v>0</v>
      </c>
      <c r="BZ71" s="660">
        <f t="shared" si="37"/>
        <v>0</v>
      </c>
      <c r="CA71" s="660">
        <f t="shared" si="38"/>
        <v>0</v>
      </c>
      <c r="CB71" s="660">
        <f t="shared" si="39"/>
        <v>0</v>
      </c>
      <c r="CC71" s="660">
        <f t="shared" si="40"/>
        <v>0</v>
      </c>
      <c r="CD71" s="660">
        <f t="shared" si="41"/>
        <v>0</v>
      </c>
    </row>
    <row r="72" spans="4:82" ht="16" thickTop="1" thickBot="1">
      <c r="D72" s="653">
        <v>16</v>
      </c>
      <c r="E72" s="654">
        <v>46173</v>
      </c>
      <c r="F72" s="655">
        <f t="shared" si="42"/>
        <v>2</v>
      </c>
      <c r="G72" s="656">
        <v>1182947.7514002374</v>
      </c>
      <c r="I72" s="658">
        <f t="shared" si="43"/>
        <v>24023607.486583434</v>
      </c>
      <c r="J72" s="658">
        <f t="shared" ref="J72" si="182">IF($G72=0,0,-MIN(0,G72*c_EquityShare.LP))</f>
        <v>0</v>
      </c>
      <c r="K72" s="658">
        <f t="shared" ref="K72" si="183">I72*c_Rate.Pref_MO</f>
        <v>0</v>
      </c>
      <c r="L72" s="658">
        <f t="shared" si="15"/>
        <v>1182947.7514002374</v>
      </c>
      <c r="M72" s="658">
        <f t="shared" si="46"/>
        <v>22840659.735183198</v>
      </c>
      <c r="N72" s="658">
        <f t="shared" si="66"/>
        <v>1182947.7514002374</v>
      </c>
      <c r="O72" s="658" cm="1">
        <f t="array" ref="O72">IF(I72=0,0,IF(G72&lt;0,N72/c_EquityShare.LP*i_EquityShare.GP,L72/c_EquityShare.LP*i_EquityShare.GP))</f>
        <v>0</v>
      </c>
      <c r="P72" s="658">
        <f t="shared" si="47"/>
        <v>1182947.7514002374</v>
      </c>
      <c r="Q72" s="658">
        <f t="shared" si="16"/>
        <v>0</v>
      </c>
      <c r="R72" s="521"/>
      <c r="S72" s="660">
        <f t="shared" si="48"/>
        <v>26840893.482078258</v>
      </c>
      <c r="T72" s="663" cm="1">
        <f t="array" ref="T72">IF($G72=0,0,-MIN(0,$G72*c_EquityShare.LP))</f>
        <v>0</v>
      </c>
      <c r="U72" s="663" cm="1">
        <f t="array" ref="U72">IF($D72=0,0,S72*c_Rate.Hurdle1.MO)</f>
        <v>214033.05386333977</v>
      </c>
      <c r="V72" s="660">
        <f t="shared" si="67"/>
        <v>1182947.7514002374</v>
      </c>
      <c r="W72" s="660">
        <f t="shared" si="17"/>
        <v>0</v>
      </c>
      <c r="X72" s="663">
        <f t="shared" si="68"/>
        <v>25871978.784541361</v>
      </c>
      <c r="Y72" s="663">
        <f t="shared" si="49"/>
        <v>1182947.7514002374</v>
      </c>
      <c r="Z72" s="663">
        <f t="shared" ref="Z72" si="184">IF(S72=0,0,O72+W72/$J$17*c_Hurdle1.Share_GP)</f>
        <v>0</v>
      </c>
      <c r="AA72" s="663">
        <f t="shared" si="19"/>
        <v>1182947.7514002374</v>
      </c>
      <c r="AB72" s="660">
        <f t="shared" si="70"/>
        <v>0</v>
      </c>
      <c r="AC72" s="521"/>
      <c r="AD72" s="663">
        <f t="shared" si="51"/>
        <v>29704571.019529536</v>
      </c>
      <c r="AE72" s="663">
        <f t="shared" ref="AE72" si="185">IF($G72=0,0,-MIN(0,$G72*c_EquityShare.LP))</f>
        <v>0</v>
      </c>
      <c r="AF72" s="663" cm="1">
        <f t="array" ref="AF72">IF($D72=0,0,AD72*(c_Rate.Hurdle2.MO))</f>
        <v>454761.25373065757</v>
      </c>
      <c r="AG72" s="663">
        <f t="shared" si="21"/>
        <v>1182947.7514002374</v>
      </c>
      <c r="AH72" s="663">
        <f t="shared" si="53"/>
        <v>0</v>
      </c>
      <c r="AI72" s="663">
        <f t="shared" si="22"/>
        <v>28976384.521859959</v>
      </c>
      <c r="AJ72" s="664">
        <f t="shared" si="23"/>
        <v>1182947.7514002374</v>
      </c>
      <c r="AK72" s="660">
        <f t="shared" si="24"/>
        <v>1182947.7514002374</v>
      </c>
      <c r="AL72" s="663">
        <f t="shared" ref="AL72" si="186">IF(AD72=0,0,Z72+AH72/$J$18*c_Hurdle2.Share_GP)</f>
        <v>0</v>
      </c>
      <c r="AM72" s="663">
        <f t="shared" si="25"/>
        <v>1182947.7514002374</v>
      </c>
      <c r="AN72" s="660">
        <f t="shared" si="73"/>
        <v>0</v>
      </c>
      <c r="AO72" s="521"/>
      <c r="AP72" s="663">
        <f t="shared" si="55"/>
        <v>32612077.412090044</v>
      </c>
      <c r="AQ72" s="663">
        <f t="shared" ref="AQ72" si="187">IF($G72=0,0,-MIN(0,$G72*c_EquityShare.LP))</f>
        <v>0</v>
      </c>
      <c r="AR72" s="663" cm="1">
        <f t="array" ref="AR72">IF($D72=0,0,AP72*(c_Rate.Hurdle3.MO))</f>
        <v>720872.05391072074</v>
      </c>
      <c r="AS72" s="663">
        <f t="shared" si="27"/>
        <v>1182947.7514002374</v>
      </c>
      <c r="AT72" s="663">
        <f t="shared" si="57"/>
        <v>0</v>
      </c>
      <c r="AU72" s="663">
        <f t="shared" si="28"/>
        <v>32150001.71460053</v>
      </c>
      <c r="AV72" s="664">
        <f t="shared" si="29"/>
        <v>1182947.7514002374</v>
      </c>
      <c r="AW72" s="660">
        <f t="shared" si="58"/>
        <v>1182947.7514002374</v>
      </c>
      <c r="AX72" s="663">
        <f t="shared" ref="AX72" si="188">IF(AP72=0,0,AL72+AT72/$J$19*c_Hurdle3.Share_GP)</f>
        <v>0</v>
      </c>
      <c r="AY72" s="663">
        <f t="shared" si="60"/>
        <v>1182947.7514002374</v>
      </c>
      <c r="AZ72" s="660">
        <f t="shared" si="76"/>
        <v>0</v>
      </c>
      <c r="BA72" s="521"/>
      <c r="BB72" s="660">
        <f t="shared" si="30"/>
        <v>0</v>
      </c>
      <c r="BC72" s="660">
        <f t="shared" ref="BC72" si="189">$AZ72*c_Residual.Share_GP</f>
        <v>0</v>
      </c>
      <c r="BD72" s="651"/>
      <c r="BE72" s="660">
        <f t="shared" si="62"/>
        <v>1182947.7514002374</v>
      </c>
      <c r="BF72" s="660">
        <f t="shared" si="62"/>
        <v>0</v>
      </c>
      <c r="BG72" s="660">
        <f t="shared" si="32"/>
        <v>1182947.7514002374</v>
      </c>
      <c r="BI72" s="660">
        <v>1182947.7514002374</v>
      </c>
      <c r="BJ72" s="660">
        <v>1182947.7514002374</v>
      </c>
      <c r="BK72" s="660">
        <v>0</v>
      </c>
      <c r="BL72" s="660">
        <f t="shared" si="33"/>
        <v>0</v>
      </c>
      <c r="BM72" s="660">
        <f t="shared" si="33"/>
        <v>0</v>
      </c>
      <c r="BN72" s="660">
        <f t="shared" si="34"/>
        <v>0</v>
      </c>
      <c r="BO72" s="660">
        <f t="shared" si="34"/>
        <v>0</v>
      </c>
      <c r="BP72" s="660">
        <f t="shared" si="35"/>
        <v>0</v>
      </c>
      <c r="BQ72" s="660">
        <f t="shared" si="35"/>
        <v>0</v>
      </c>
      <c r="BR72" s="660">
        <v>0</v>
      </c>
      <c r="BS72" s="660">
        <v>0</v>
      </c>
      <c r="BT72" s="660">
        <f t="shared" si="36"/>
        <v>1182947.7514002374</v>
      </c>
      <c r="BU72" s="660">
        <f t="shared" si="36"/>
        <v>0</v>
      </c>
      <c r="BX72" s="660">
        <v>1182947.7514002374</v>
      </c>
      <c r="BY72" s="660">
        <f t="shared" si="63"/>
        <v>1182947.7514002374</v>
      </c>
      <c r="BZ72" s="660">
        <f t="shared" si="37"/>
        <v>0</v>
      </c>
      <c r="CA72" s="660">
        <f t="shared" si="38"/>
        <v>0</v>
      </c>
      <c r="CB72" s="660">
        <f t="shared" si="39"/>
        <v>0</v>
      </c>
      <c r="CC72" s="660">
        <f t="shared" si="40"/>
        <v>0</v>
      </c>
      <c r="CD72" s="660">
        <f t="shared" si="41"/>
        <v>1182947.7514002374</v>
      </c>
    </row>
    <row r="73" spans="4:82" ht="16" thickTop="1" thickBot="1">
      <c r="D73" s="653">
        <v>17</v>
      </c>
      <c r="E73" s="654">
        <v>46203</v>
      </c>
      <c r="F73" s="655">
        <f t="shared" si="42"/>
        <v>2</v>
      </c>
      <c r="G73" s="656">
        <v>0</v>
      </c>
      <c r="I73" s="658">
        <f t="shared" si="43"/>
        <v>22840659.735183198</v>
      </c>
      <c r="J73" s="658">
        <f t="shared" ref="J73" si="190">IF($G73=0,0,-MIN(0,G73*c_EquityShare.LP))</f>
        <v>0</v>
      </c>
      <c r="K73" s="658">
        <f t="shared" ref="K73" si="191">I73*c_Rate.Pref_MO</f>
        <v>0</v>
      </c>
      <c r="L73" s="658">
        <f t="shared" si="15"/>
        <v>0</v>
      </c>
      <c r="M73" s="658">
        <f t="shared" si="46"/>
        <v>22840659.735183198</v>
      </c>
      <c r="N73" s="658">
        <f t="shared" si="66"/>
        <v>0</v>
      </c>
      <c r="O73" s="658" cm="1">
        <f t="array" ref="O73">IF(I73=0,0,IF(G73&lt;0,N73/c_EquityShare.LP*i_EquityShare.GP,L73/c_EquityShare.LP*i_EquityShare.GP))</f>
        <v>0</v>
      </c>
      <c r="P73" s="658">
        <f t="shared" si="47"/>
        <v>0</v>
      </c>
      <c r="Q73" s="658">
        <f t="shared" si="16"/>
        <v>0</v>
      </c>
      <c r="R73" s="521"/>
      <c r="S73" s="660">
        <f t="shared" si="48"/>
        <v>25871978.784541361</v>
      </c>
      <c r="T73" s="663" cm="1">
        <f t="array" ref="T73">IF($G73=0,0,-MIN(0,$G73*c_EquityShare.LP))</f>
        <v>0</v>
      </c>
      <c r="U73" s="663" cm="1">
        <f t="array" ref="U73">IF($D73=0,0,S73*c_Rate.Hurdle1.MO)</f>
        <v>206306.79200155174</v>
      </c>
      <c r="V73" s="660">
        <f t="shared" si="67"/>
        <v>0</v>
      </c>
      <c r="W73" s="660">
        <f t="shared" si="17"/>
        <v>0</v>
      </c>
      <c r="X73" s="663">
        <f t="shared" si="68"/>
        <v>26078285.576542914</v>
      </c>
      <c r="Y73" s="663">
        <f t="shared" si="49"/>
        <v>0</v>
      </c>
      <c r="Z73" s="663">
        <f t="shared" ref="Z73" si="192">IF(S73=0,0,O73+W73/$J$17*c_Hurdle1.Share_GP)</f>
        <v>0</v>
      </c>
      <c r="AA73" s="663">
        <f t="shared" si="19"/>
        <v>0</v>
      </c>
      <c r="AB73" s="660">
        <f t="shared" si="70"/>
        <v>0</v>
      </c>
      <c r="AC73" s="521"/>
      <c r="AD73" s="663">
        <f t="shared" si="51"/>
        <v>28976384.521859959</v>
      </c>
      <c r="AE73" s="663">
        <f t="shared" ref="AE73" si="193">IF($G73=0,0,-MIN(0,$G73*c_EquityShare.LP))</f>
        <v>0</v>
      </c>
      <c r="AF73" s="663" cm="1">
        <f t="array" ref="AF73">IF($D73=0,0,AD73*(c_Rate.Hurdle2.MO))</f>
        <v>443613.10402628256</v>
      </c>
      <c r="AG73" s="663">
        <f t="shared" si="21"/>
        <v>0</v>
      </c>
      <c r="AH73" s="663">
        <f t="shared" si="53"/>
        <v>0</v>
      </c>
      <c r="AI73" s="663">
        <f t="shared" si="22"/>
        <v>29419997.625886243</v>
      </c>
      <c r="AJ73" s="664">
        <f t="shared" si="23"/>
        <v>0</v>
      </c>
      <c r="AK73" s="660">
        <f t="shared" si="24"/>
        <v>0</v>
      </c>
      <c r="AL73" s="663">
        <f t="shared" ref="AL73" si="194">IF(AD73=0,0,Z73+AH73/$J$18*c_Hurdle2.Share_GP)</f>
        <v>0</v>
      </c>
      <c r="AM73" s="663">
        <f t="shared" si="25"/>
        <v>0</v>
      </c>
      <c r="AN73" s="660">
        <f t="shared" si="73"/>
        <v>0</v>
      </c>
      <c r="AO73" s="521"/>
      <c r="AP73" s="663">
        <f t="shared" si="55"/>
        <v>32150001.71460053</v>
      </c>
      <c r="AQ73" s="663">
        <f t="shared" ref="AQ73" si="195">IF($G73=0,0,-MIN(0,$G73*c_EquityShare.LP))</f>
        <v>0</v>
      </c>
      <c r="AR73" s="663" cm="1">
        <f t="array" ref="AR73">IF($D73=0,0,AP73*(c_Rate.Hurdle3.MO))</f>
        <v>710658.12448505312</v>
      </c>
      <c r="AS73" s="663">
        <f t="shared" si="27"/>
        <v>0</v>
      </c>
      <c r="AT73" s="663">
        <f t="shared" si="57"/>
        <v>0</v>
      </c>
      <c r="AU73" s="663">
        <f t="shared" si="28"/>
        <v>32860659.839085583</v>
      </c>
      <c r="AV73" s="664">
        <f t="shared" si="29"/>
        <v>0</v>
      </c>
      <c r="AW73" s="660">
        <f t="shared" si="58"/>
        <v>0</v>
      </c>
      <c r="AX73" s="663">
        <f t="shared" ref="AX73" si="196">IF(AP73=0,0,AL73+AT73/$J$19*c_Hurdle3.Share_GP)</f>
        <v>0</v>
      </c>
      <c r="AY73" s="663">
        <f t="shared" si="60"/>
        <v>0</v>
      </c>
      <c r="AZ73" s="660">
        <f t="shared" si="76"/>
        <v>0</v>
      </c>
      <c r="BA73" s="521"/>
      <c r="BB73" s="660">
        <f t="shared" si="30"/>
        <v>0</v>
      </c>
      <c r="BC73" s="660">
        <f t="shared" ref="BC73" si="197">$AZ73*c_Residual.Share_GP</f>
        <v>0</v>
      </c>
      <c r="BD73" s="651"/>
      <c r="BE73" s="660">
        <f t="shared" si="62"/>
        <v>0</v>
      </c>
      <c r="BF73" s="660">
        <f t="shared" si="62"/>
        <v>0</v>
      </c>
      <c r="BG73" s="660">
        <f t="shared" si="32"/>
        <v>0</v>
      </c>
      <c r="BI73" s="660">
        <v>0</v>
      </c>
      <c r="BJ73" s="660">
        <v>0</v>
      </c>
      <c r="BK73" s="660">
        <v>0</v>
      </c>
      <c r="BL73" s="660">
        <f t="shared" si="33"/>
        <v>0</v>
      </c>
      <c r="BM73" s="660">
        <f t="shared" si="33"/>
        <v>0</v>
      </c>
      <c r="BN73" s="660">
        <f t="shared" si="34"/>
        <v>0</v>
      </c>
      <c r="BO73" s="660">
        <f t="shared" si="34"/>
        <v>0</v>
      </c>
      <c r="BP73" s="660">
        <f t="shared" si="35"/>
        <v>0</v>
      </c>
      <c r="BQ73" s="660">
        <f t="shared" si="35"/>
        <v>0</v>
      </c>
      <c r="BR73" s="660">
        <v>0</v>
      </c>
      <c r="BS73" s="660">
        <v>0</v>
      </c>
      <c r="BT73" s="660">
        <f t="shared" si="36"/>
        <v>0</v>
      </c>
      <c r="BU73" s="660">
        <f t="shared" si="36"/>
        <v>0</v>
      </c>
      <c r="BX73" s="660">
        <v>0</v>
      </c>
      <c r="BY73" s="660">
        <f t="shared" si="63"/>
        <v>0</v>
      </c>
      <c r="BZ73" s="660">
        <f t="shared" si="37"/>
        <v>0</v>
      </c>
      <c r="CA73" s="660">
        <f t="shared" si="38"/>
        <v>0</v>
      </c>
      <c r="CB73" s="660">
        <f t="shared" si="39"/>
        <v>0</v>
      </c>
      <c r="CC73" s="660">
        <f t="shared" si="40"/>
        <v>0</v>
      </c>
      <c r="CD73" s="660">
        <f t="shared" si="41"/>
        <v>0</v>
      </c>
    </row>
    <row r="74" spans="4:82" ht="16" thickTop="1" thickBot="1">
      <c r="D74" s="653">
        <v>18</v>
      </c>
      <c r="E74" s="654">
        <v>46234</v>
      </c>
      <c r="F74" s="655">
        <f t="shared" si="42"/>
        <v>2</v>
      </c>
      <c r="G74" s="656">
        <v>0</v>
      </c>
      <c r="I74" s="658">
        <f t="shared" si="43"/>
        <v>22840659.735183198</v>
      </c>
      <c r="J74" s="658">
        <f t="shared" ref="J74" si="198">IF($G74=0,0,-MIN(0,G74*c_EquityShare.LP))</f>
        <v>0</v>
      </c>
      <c r="K74" s="658">
        <f t="shared" ref="K74" si="199">I74*c_Rate.Pref_MO</f>
        <v>0</v>
      </c>
      <c r="L74" s="658">
        <f t="shared" si="15"/>
        <v>0</v>
      </c>
      <c r="M74" s="658">
        <f t="shared" si="46"/>
        <v>22840659.735183198</v>
      </c>
      <c r="N74" s="658">
        <f t="shared" si="66"/>
        <v>0</v>
      </c>
      <c r="O74" s="658" cm="1">
        <f t="array" ref="O74">IF(I74=0,0,IF(G74&lt;0,N74/c_EquityShare.LP*i_EquityShare.GP,L74/c_EquityShare.LP*i_EquityShare.GP))</f>
        <v>0</v>
      </c>
      <c r="P74" s="658">
        <f t="shared" si="47"/>
        <v>0</v>
      </c>
      <c r="Q74" s="658">
        <f t="shared" si="16"/>
        <v>0</v>
      </c>
      <c r="R74" s="521"/>
      <c r="S74" s="660">
        <f t="shared" si="48"/>
        <v>26078285.576542914</v>
      </c>
      <c r="T74" s="663" cm="1">
        <f t="array" ref="T74">IF($G74=0,0,-MIN(0,$G74*c_EquityShare.LP))</f>
        <v>0</v>
      </c>
      <c r="U74" s="663" cm="1">
        <f t="array" ref="U74">IF($D74=0,0,S74*c_Rate.Hurdle1.MO)</f>
        <v>207951.91133240875</v>
      </c>
      <c r="V74" s="660">
        <f t="shared" si="67"/>
        <v>0</v>
      </c>
      <c r="W74" s="660">
        <f t="shared" si="17"/>
        <v>0</v>
      </c>
      <c r="X74" s="663">
        <f t="shared" si="68"/>
        <v>26286237.487875324</v>
      </c>
      <c r="Y74" s="663">
        <f t="shared" si="49"/>
        <v>0</v>
      </c>
      <c r="Z74" s="663">
        <f t="shared" ref="Z74" si="200">IF(S74=0,0,O74+W74/$J$17*c_Hurdle1.Share_GP)</f>
        <v>0</v>
      </c>
      <c r="AA74" s="663">
        <f t="shared" si="19"/>
        <v>0</v>
      </c>
      <c r="AB74" s="660">
        <f t="shared" si="70"/>
        <v>0</v>
      </c>
      <c r="AC74" s="521"/>
      <c r="AD74" s="663">
        <f t="shared" si="51"/>
        <v>29419997.625886243</v>
      </c>
      <c r="AE74" s="663">
        <f t="shared" ref="AE74" si="201">IF($G74=0,0,-MIN(0,$G74*c_EquityShare.LP))</f>
        <v>0</v>
      </c>
      <c r="AF74" s="663" cm="1">
        <f t="array" ref="AF74">IF($D74=0,0,AD74*(c_Rate.Hurdle2.MO))</f>
        <v>450404.58575566718</v>
      </c>
      <c r="AG74" s="663">
        <f t="shared" si="21"/>
        <v>0</v>
      </c>
      <c r="AH74" s="663">
        <f t="shared" si="53"/>
        <v>0</v>
      </c>
      <c r="AI74" s="663">
        <f t="shared" si="22"/>
        <v>29870402.211641911</v>
      </c>
      <c r="AJ74" s="664">
        <f t="shared" si="23"/>
        <v>0</v>
      </c>
      <c r="AK74" s="660">
        <f t="shared" si="24"/>
        <v>0</v>
      </c>
      <c r="AL74" s="663">
        <f t="shared" ref="AL74" si="202">IF(AD74=0,0,Z74+AH74/$J$18*c_Hurdle2.Share_GP)</f>
        <v>0</v>
      </c>
      <c r="AM74" s="663">
        <f t="shared" si="25"/>
        <v>0</v>
      </c>
      <c r="AN74" s="660">
        <f t="shared" si="73"/>
        <v>0</v>
      </c>
      <c r="AO74" s="521"/>
      <c r="AP74" s="663">
        <f t="shared" si="55"/>
        <v>32860659.839085583</v>
      </c>
      <c r="AQ74" s="663">
        <f t="shared" ref="AQ74" si="203">IF($G74=0,0,-MIN(0,$G74*c_EquityShare.LP))</f>
        <v>0</v>
      </c>
      <c r="AR74" s="663" cm="1">
        <f t="array" ref="AR74">IF($D74=0,0,AP74*(c_Rate.Hurdle3.MO))</f>
        <v>726366.83188668464</v>
      </c>
      <c r="AS74" s="663">
        <f t="shared" si="27"/>
        <v>0</v>
      </c>
      <c r="AT74" s="663">
        <f t="shared" si="57"/>
        <v>0</v>
      </c>
      <c r="AU74" s="663">
        <f t="shared" si="28"/>
        <v>33587026.670972265</v>
      </c>
      <c r="AV74" s="664">
        <f t="shared" si="29"/>
        <v>0</v>
      </c>
      <c r="AW74" s="660">
        <f t="shared" si="58"/>
        <v>0</v>
      </c>
      <c r="AX74" s="663">
        <f t="shared" ref="AX74" si="204">IF(AP74=0,0,AL74+AT74/$J$19*c_Hurdle3.Share_GP)</f>
        <v>0</v>
      </c>
      <c r="AY74" s="663">
        <f t="shared" si="60"/>
        <v>0</v>
      </c>
      <c r="AZ74" s="660">
        <f t="shared" si="76"/>
        <v>0</v>
      </c>
      <c r="BA74" s="521"/>
      <c r="BB74" s="660">
        <f t="shared" si="30"/>
        <v>0</v>
      </c>
      <c r="BC74" s="660">
        <f t="shared" ref="BC74" si="205">$AZ74*c_Residual.Share_GP</f>
        <v>0</v>
      </c>
      <c r="BD74" s="651"/>
      <c r="BE74" s="660">
        <f t="shared" si="62"/>
        <v>0</v>
      </c>
      <c r="BF74" s="660">
        <f t="shared" si="62"/>
        <v>0</v>
      </c>
      <c r="BG74" s="660">
        <f t="shared" si="32"/>
        <v>0</v>
      </c>
      <c r="BI74" s="660">
        <v>0</v>
      </c>
      <c r="BJ74" s="660">
        <v>0</v>
      </c>
      <c r="BK74" s="660">
        <v>0</v>
      </c>
      <c r="BL74" s="660">
        <f t="shared" si="33"/>
        <v>0</v>
      </c>
      <c r="BM74" s="660">
        <f t="shared" si="33"/>
        <v>0</v>
      </c>
      <c r="BN74" s="660">
        <f t="shared" si="34"/>
        <v>0</v>
      </c>
      <c r="BO74" s="660">
        <f t="shared" si="34"/>
        <v>0</v>
      </c>
      <c r="BP74" s="660">
        <f t="shared" si="35"/>
        <v>0</v>
      </c>
      <c r="BQ74" s="660">
        <f t="shared" si="35"/>
        <v>0</v>
      </c>
      <c r="BR74" s="660">
        <v>0</v>
      </c>
      <c r="BS74" s="660">
        <v>0</v>
      </c>
      <c r="BT74" s="660">
        <f t="shared" si="36"/>
        <v>0</v>
      </c>
      <c r="BU74" s="660">
        <f t="shared" si="36"/>
        <v>0</v>
      </c>
      <c r="BX74" s="660">
        <v>0</v>
      </c>
      <c r="BY74" s="660">
        <f t="shared" si="63"/>
        <v>0</v>
      </c>
      <c r="BZ74" s="660">
        <f t="shared" si="37"/>
        <v>0</v>
      </c>
      <c r="CA74" s="660">
        <f t="shared" si="38"/>
        <v>0</v>
      </c>
      <c r="CB74" s="660">
        <f t="shared" si="39"/>
        <v>0</v>
      </c>
      <c r="CC74" s="660">
        <f t="shared" si="40"/>
        <v>0</v>
      </c>
      <c r="CD74" s="660">
        <f t="shared" si="41"/>
        <v>0</v>
      </c>
    </row>
    <row r="75" spans="4:82" ht="16" thickTop="1" thickBot="1">
      <c r="D75" s="653">
        <v>19</v>
      </c>
      <c r="E75" s="654">
        <v>46265</v>
      </c>
      <c r="F75" s="655">
        <f t="shared" si="42"/>
        <v>2</v>
      </c>
      <c r="G75" s="656">
        <v>757086.56089615193</v>
      </c>
      <c r="I75" s="658">
        <f t="shared" si="43"/>
        <v>22840659.735183198</v>
      </c>
      <c r="J75" s="658">
        <f t="shared" ref="J75" si="206">IF($G75=0,0,-MIN(0,G75*c_EquityShare.LP))</f>
        <v>0</v>
      </c>
      <c r="K75" s="658">
        <f t="shared" ref="K75" si="207">I75*c_Rate.Pref_MO</f>
        <v>0</v>
      </c>
      <c r="L75" s="658">
        <f t="shared" si="15"/>
        <v>757086.56089615193</v>
      </c>
      <c r="M75" s="658">
        <f t="shared" si="46"/>
        <v>22083573.174287047</v>
      </c>
      <c r="N75" s="658">
        <f t="shared" si="66"/>
        <v>757086.56089615193</v>
      </c>
      <c r="O75" s="658" cm="1">
        <f t="array" ref="O75">IF(I75=0,0,IF(G75&lt;0,N75/c_EquityShare.LP*i_EquityShare.GP,L75/c_EquityShare.LP*i_EquityShare.GP))</f>
        <v>0</v>
      </c>
      <c r="P75" s="658">
        <f t="shared" si="47"/>
        <v>757086.56089615193</v>
      </c>
      <c r="Q75" s="658">
        <f t="shared" si="16"/>
        <v>0</v>
      </c>
      <c r="R75" s="521"/>
      <c r="S75" s="660">
        <f t="shared" si="48"/>
        <v>26286237.487875324</v>
      </c>
      <c r="T75" s="663" cm="1">
        <f t="array" ref="T75">IF($G75=0,0,-MIN(0,$G75*c_EquityShare.LP))</f>
        <v>0</v>
      </c>
      <c r="U75" s="663" cm="1">
        <f t="array" ref="U75">IF($D75=0,0,S75*c_Rate.Hurdle1.MO)</f>
        <v>209610.14907583233</v>
      </c>
      <c r="V75" s="660">
        <f t="shared" si="67"/>
        <v>757086.56089615193</v>
      </c>
      <c r="W75" s="660">
        <f t="shared" si="17"/>
        <v>0</v>
      </c>
      <c r="X75" s="663">
        <f t="shared" si="68"/>
        <v>25738761.076055005</v>
      </c>
      <c r="Y75" s="663">
        <f t="shared" si="49"/>
        <v>757086.56089615193</v>
      </c>
      <c r="Z75" s="663">
        <f t="shared" ref="Z75" si="208">IF(S75=0,0,O75+W75/$J$17*c_Hurdle1.Share_GP)</f>
        <v>0</v>
      </c>
      <c r="AA75" s="663">
        <f t="shared" si="19"/>
        <v>757086.56089615193</v>
      </c>
      <c r="AB75" s="660">
        <f t="shared" si="70"/>
        <v>0</v>
      </c>
      <c r="AC75" s="521"/>
      <c r="AD75" s="663">
        <f t="shared" si="51"/>
        <v>29870402.211641911</v>
      </c>
      <c r="AE75" s="663">
        <f t="shared" ref="AE75" si="209">IF($G75=0,0,-MIN(0,$G75*c_EquityShare.LP))</f>
        <v>0</v>
      </c>
      <c r="AF75" s="663" cm="1">
        <f t="array" ref="AF75">IF($D75=0,0,AD75*(c_Rate.Hurdle2.MO))</f>
        <v>457300.04147423722</v>
      </c>
      <c r="AG75" s="663">
        <f t="shared" si="21"/>
        <v>757086.56089615193</v>
      </c>
      <c r="AH75" s="663">
        <f t="shared" si="53"/>
        <v>0</v>
      </c>
      <c r="AI75" s="663">
        <f t="shared" si="22"/>
        <v>29570615.692219999</v>
      </c>
      <c r="AJ75" s="664">
        <f t="shared" si="23"/>
        <v>757086.56089615193</v>
      </c>
      <c r="AK75" s="660">
        <f t="shared" si="24"/>
        <v>757086.56089615193</v>
      </c>
      <c r="AL75" s="663">
        <f t="shared" ref="AL75" si="210">IF(AD75=0,0,Z75+AH75/$J$18*c_Hurdle2.Share_GP)</f>
        <v>0</v>
      </c>
      <c r="AM75" s="663">
        <f t="shared" si="25"/>
        <v>757086.56089615193</v>
      </c>
      <c r="AN75" s="660">
        <f t="shared" si="73"/>
        <v>0</v>
      </c>
      <c r="AO75" s="521"/>
      <c r="AP75" s="663">
        <f t="shared" si="55"/>
        <v>33587026.670972265</v>
      </c>
      <c r="AQ75" s="663">
        <f t="shared" ref="AQ75" si="211">IF($G75=0,0,-MIN(0,$G75*c_EquityShare.LP))</f>
        <v>0</v>
      </c>
      <c r="AR75" s="663" cm="1">
        <f t="array" ref="AR75">IF($D75=0,0,AP75*(c_Rate.Hurdle3.MO))</f>
        <v>742422.7716349652</v>
      </c>
      <c r="AS75" s="663">
        <f t="shared" si="27"/>
        <v>757086.56089615193</v>
      </c>
      <c r="AT75" s="663">
        <f t="shared" si="57"/>
        <v>0</v>
      </c>
      <c r="AU75" s="663">
        <f t="shared" si="28"/>
        <v>33572362.881711081</v>
      </c>
      <c r="AV75" s="664">
        <f t="shared" si="29"/>
        <v>757086.56089615193</v>
      </c>
      <c r="AW75" s="660">
        <f t="shared" si="58"/>
        <v>757086.56089615193</v>
      </c>
      <c r="AX75" s="663">
        <f t="shared" ref="AX75" si="212">IF(AP75=0,0,AL75+AT75/$J$19*c_Hurdle3.Share_GP)</f>
        <v>0</v>
      </c>
      <c r="AY75" s="663">
        <f t="shared" si="60"/>
        <v>757086.56089615193</v>
      </c>
      <c r="AZ75" s="660">
        <f t="shared" si="76"/>
        <v>0</v>
      </c>
      <c r="BA75" s="521"/>
      <c r="BB75" s="660">
        <f t="shared" si="30"/>
        <v>0</v>
      </c>
      <c r="BC75" s="660">
        <f t="shared" ref="BC75" si="213">$AZ75*c_Residual.Share_GP</f>
        <v>0</v>
      </c>
      <c r="BD75" s="651"/>
      <c r="BE75" s="660">
        <f t="shared" si="62"/>
        <v>757086.56089615193</v>
      </c>
      <c r="BF75" s="660">
        <f t="shared" si="62"/>
        <v>0</v>
      </c>
      <c r="BG75" s="660">
        <f t="shared" si="32"/>
        <v>757086.56089615193</v>
      </c>
      <c r="BI75" s="660">
        <v>757086.56089615193</v>
      </c>
      <c r="BJ75" s="660">
        <v>757086.56089615193</v>
      </c>
      <c r="BK75" s="660">
        <v>0</v>
      </c>
      <c r="BL75" s="660">
        <f t="shared" si="33"/>
        <v>0</v>
      </c>
      <c r="BM75" s="660">
        <f t="shared" si="33"/>
        <v>0</v>
      </c>
      <c r="BN75" s="660">
        <f t="shared" si="34"/>
        <v>0</v>
      </c>
      <c r="BO75" s="660">
        <f t="shared" si="34"/>
        <v>0</v>
      </c>
      <c r="BP75" s="660">
        <f t="shared" si="35"/>
        <v>0</v>
      </c>
      <c r="BQ75" s="660">
        <f t="shared" si="35"/>
        <v>0</v>
      </c>
      <c r="BR75" s="660">
        <v>0</v>
      </c>
      <c r="BS75" s="660">
        <v>0</v>
      </c>
      <c r="BT75" s="660">
        <f t="shared" si="36"/>
        <v>757086.56089615193</v>
      </c>
      <c r="BU75" s="660">
        <f t="shared" si="36"/>
        <v>0</v>
      </c>
      <c r="BX75" s="660">
        <v>757086.56089615193</v>
      </c>
      <c r="BY75" s="660">
        <f t="shared" si="63"/>
        <v>757086.56089615193</v>
      </c>
      <c r="BZ75" s="660">
        <f t="shared" si="37"/>
        <v>0</v>
      </c>
      <c r="CA75" s="660">
        <f t="shared" si="38"/>
        <v>0</v>
      </c>
      <c r="CB75" s="660">
        <f t="shared" si="39"/>
        <v>0</v>
      </c>
      <c r="CC75" s="660">
        <f t="shared" si="40"/>
        <v>0</v>
      </c>
      <c r="CD75" s="660">
        <f t="shared" si="41"/>
        <v>757086.56089615193</v>
      </c>
    </row>
    <row r="76" spans="4:82" ht="16" thickTop="1" thickBot="1">
      <c r="D76" s="653">
        <v>20</v>
      </c>
      <c r="E76" s="654">
        <v>46295</v>
      </c>
      <c r="F76" s="655">
        <f t="shared" si="42"/>
        <v>2</v>
      </c>
      <c r="G76" s="656">
        <v>0</v>
      </c>
      <c r="I76" s="658">
        <f t="shared" si="43"/>
        <v>22083573.174287047</v>
      </c>
      <c r="J76" s="658">
        <f t="shared" ref="J76" si="214">IF($G76=0,0,-MIN(0,G76*c_EquityShare.LP))</f>
        <v>0</v>
      </c>
      <c r="K76" s="658">
        <f t="shared" ref="K76" si="215">I76*c_Rate.Pref_MO</f>
        <v>0</v>
      </c>
      <c r="L76" s="658">
        <f t="shared" si="15"/>
        <v>0</v>
      </c>
      <c r="M76" s="658">
        <f t="shared" si="46"/>
        <v>22083573.174287047</v>
      </c>
      <c r="N76" s="658">
        <f t="shared" si="66"/>
        <v>0</v>
      </c>
      <c r="O76" s="658" cm="1">
        <f t="array" ref="O76">IF(I76=0,0,IF(G76&lt;0,N76/c_EquityShare.LP*i_EquityShare.GP,L76/c_EquityShare.LP*i_EquityShare.GP))</f>
        <v>0</v>
      </c>
      <c r="P76" s="658">
        <f t="shared" si="47"/>
        <v>0</v>
      </c>
      <c r="Q76" s="658">
        <f t="shared" si="16"/>
        <v>0</v>
      </c>
      <c r="R76" s="521"/>
      <c r="S76" s="660">
        <f t="shared" si="48"/>
        <v>25738761.076055005</v>
      </c>
      <c r="T76" s="663" cm="1">
        <f t="array" ref="T76">IF($G76=0,0,-MIN(0,$G76*c_EquityShare.LP))</f>
        <v>0</v>
      </c>
      <c r="U76" s="663" cm="1">
        <f t="array" ref="U76">IF($D76=0,0,S76*c_Rate.Hurdle1.MO)</f>
        <v>205244.49528646478</v>
      </c>
      <c r="V76" s="660">
        <f t="shared" si="67"/>
        <v>0</v>
      </c>
      <c r="W76" s="660">
        <f t="shared" si="17"/>
        <v>0</v>
      </c>
      <c r="X76" s="663">
        <f t="shared" si="68"/>
        <v>25944005.57134147</v>
      </c>
      <c r="Y76" s="663">
        <f t="shared" si="49"/>
        <v>0</v>
      </c>
      <c r="Z76" s="663">
        <f t="shared" ref="Z76" si="216">IF(S76=0,0,O76+W76/$J$17*c_Hurdle1.Share_GP)</f>
        <v>0</v>
      </c>
      <c r="AA76" s="663">
        <f t="shared" si="19"/>
        <v>0</v>
      </c>
      <c r="AB76" s="660">
        <f t="shared" si="70"/>
        <v>0</v>
      </c>
      <c r="AC76" s="521"/>
      <c r="AD76" s="663">
        <f t="shared" si="51"/>
        <v>29570615.692219999</v>
      </c>
      <c r="AE76" s="663">
        <f t="shared" ref="AE76" si="217">IF($G76=0,0,-MIN(0,$G76*c_EquityShare.LP))</f>
        <v>0</v>
      </c>
      <c r="AF76" s="663" cm="1">
        <f t="array" ref="AF76">IF($D76=0,0,AD76*(c_Rate.Hurdle2.MO))</f>
        <v>452710.46859893034</v>
      </c>
      <c r="AG76" s="663">
        <f t="shared" si="21"/>
        <v>0</v>
      </c>
      <c r="AH76" s="663">
        <f t="shared" si="53"/>
        <v>0</v>
      </c>
      <c r="AI76" s="663">
        <f t="shared" si="22"/>
        <v>30023326.160818931</v>
      </c>
      <c r="AJ76" s="664">
        <f t="shared" si="23"/>
        <v>0</v>
      </c>
      <c r="AK76" s="660">
        <f t="shared" si="24"/>
        <v>0</v>
      </c>
      <c r="AL76" s="663">
        <f t="shared" ref="AL76" si="218">IF(AD76=0,0,Z76+AH76/$J$18*c_Hurdle2.Share_GP)</f>
        <v>0</v>
      </c>
      <c r="AM76" s="663">
        <f t="shared" si="25"/>
        <v>0</v>
      </c>
      <c r="AN76" s="660">
        <f t="shared" si="73"/>
        <v>0</v>
      </c>
      <c r="AO76" s="521"/>
      <c r="AP76" s="663">
        <f t="shared" si="55"/>
        <v>33572362.881711081</v>
      </c>
      <c r="AQ76" s="663">
        <f t="shared" ref="AQ76" si="219">IF($G76=0,0,-MIN(0,$G76*c_EquityShare.LP))</f>
        <v>0</v>
      </c>
      <c r="AR76" s="663" cm="1">
        <f t="array" ref="AR76">IF($D76=0,0,AP76*(c_Rate.Hurdle3.MO))</f>
        <v>742098.63662972616</v>
      </c>
      <c r="AS76" s="663">
        <f t="shared" si="27"/>
        <v>0</v>
      </c>
      <c r="AT76" s="663">
        <f t="shared" si="57"/>
        <v>0</v>
      </c>
      <c r="AU76" s="663">
        <f t="shared" si="28"/>
        <v>34314461.518340804</v>
      </c>
      <c r="AV76" s="664">
        <f t="shared" si="29"/>
        <v>0</v>
      </c>
      <c r="AW76" s="660">
        <f t="shared" si="58"/>
        <v>0</v>
      </c>
      <c r="AX76" s="663">
        <f t="shared" ref="AX76" si="220">IF(AP76=0,0,AL76+AT76/$J$19*c_Hurdle3.Share_GP)</f>
        <v>0</v>
      </c>
      <c r="AY76" s="663">
        <f t="shared" si="60"/>
        <v>0</v>
      </c>
      <c r="AZ76" s="660">
        <f t="shared" si="76"/>
        <v>0</v>
      </c>
      <c r="BA76" s="521"/>
      <c r="BB76" s="660">
        <f t="shared" si="30"/>
        <v>0</v>
      </c>
      <c r="BC76" s="660">
        <f t="shared" ref="BC76" si="221">$AZ76*c_Residual.Share_GP</f>
        <v>0</v>
      </c>
      <c r="BD76" s="651"/>
      <c r="BE76" s="660">
        <f t="shared" si="62"/>
        <v>0</v>
      </c>
      <c r="BF76" s="660">
        <f t="shared" si="62"/>
        <v>0</v>
      </c>
      <c r="BG76" s="660">
        <f t="shared" si="32"/>
        <v>0</v>
      </c>
      <c r="BI76" s="660">
        <v>0</v>
      </c>
      <c r="BJ76" s="660">
        <v>0</v>
      </c>
      <c r="BK76" s="660">
        <v>0</v>
      </c>
      <c r="BL76" s="660">
        <f t="shared" si="33"/>
        <v>0</v>
      </c>
      <c r="BM76" s="660">
        <f t="shared" si="33"/>
        <v>0</v>
      </c>
      <c r="BN76" s="660">
        <f t="shared" si="34"/>
        <v>0</v>
      </c>
      <c r="BO76" s="660">
        <f t="shared" si="34"/>
        <v>0</v>
      </c>
      <c r="BP76" s="660">
        <f t="shared" si="35"/>
        <v>0</v>
      </c>
      <c r="BQ76" s="660">
        <f t="shared" si="35"/>
        <v>0</v>
      </c>
      <c r="BR76" s="660">
        <v>0</v>
      </c>
      <c r="BS76" s="660">
        <v>0</v>
      </c>
      <c r="BT76" s="660">
        <f t="shared" si="36"/>
        <v>0</v>
      </c>
      <c r="BU76" s="660">
        <f t="shared" si="36"/>
        <v>0</v>
      </c>
      <c r="BX76" s="660">
        <v>0</v>
      </c>
      <c r="BY76" s="660">
        <f t="shared" si="63"/>
        <v>0</v>
      </c>
      <c r="BZ76" s="660">
        <f t="shared" si="37"/>
        <v>0</v>
      </c>
      <c r="CA76" s="660">
        <f t="shared" si="38"/>
        <v>0</v>
      </c>
      <c r="CB76" s="660">
        <f t="shared" si="39"/>
        <v>0</v>
      </c>
      <c r="CC76" s="660">
        <f t="shared" si="40"/>
        <v>0</v>
      </c>
      <c r="CD76" s="660">
        <f t="shared" si="41"/>
        <v>0</v>
      </c>
    </row>
    <row r="77" spans="4:82" ht="16" thickTop="1" thickBot="1">
      <c r="D77" s="653">
        <v>21</v>
      </c>
      <c r="E77" s="654">
        <v>46326</v>
      </c>
      <c r="F77" s="655">
        <f t="shared" si="42"/>
        <v>2</v>
      </c>
      <c r="G77" s="656">
        <v>1182947.7514002374</v>
      </c>
      <c r="I77" s="658">
        <f t="shared" si="43"/>
        <v>22083573.174287047</v>
      </c>
      <c r="J77" s="658">
        <f t="shared" ref="J77" si="222">IF($G77=0,0,-MIN(0,G77*c_EquityShare.LP))</f>
        <v>0</v>
      </c>
      <c r="K77" s="658">
        <f t="shared" ref="K77" si="223">I77*c_Rate.Pref_MO</f>
        <v>0</v>
      </c>
      <c r="L77" s="658">
        <f t="shared" si="15"/>
        <v>1182947.7514002374</v>
      </c>
      <c r="M77" s="658">
        <f t="shared" si="46"/>
        <v>20900625.422886811</v>
      </c>
      <c r="N77" s="658">
        <f t="shared" si="66"/>
        <v>1182947.7514002374</v>
      </c>
      <c r="O77" s="658" cm="1">
        <f t="array" ref="O77">IF(I77=0,0,IF(G77&lt;0,N77/c_EquityShare.LP*i_EquityShare.GP,L77/c_EquityShare.LP*i_EquityShare.GP))</f>
        <v>0</v>
      </c>
      <c r="P77" s="658">
        <f t="shared" si="47"/>
        <v>1182947.7514002374</v>
      </c>
      <c r="Q77" s="658">
        <f t="shared" si="16"/>
        <v>0</v>
      </c>
      <c r="R77" s="521"/>
      <c r="S77" s="660">
        <f t="shared" si="48"/>
        <v>25944005.57134147</v>
      </c>
      <c r="T77" s="663" cm="1">
        <f t="array" ref="T77">IF($G77=0,0,-MIN(0,$G77*c_EquityShare.LP))</f>
        <v>0</v>
      </c>
      <c r="U77" s="663" cm="1">
        <f t="array" ref="U77">IF($D77=0,0,S77*c_Rate.Hurdle1.MO)</f>
        <v>206881.14371413851</v>
      </c>
      <c r="V77" s="660">
        <f t="shared" si="67"/>
        <v>1182947.7514002374</v>
      </c>
      <c r="W77" s="660">
        <f t="shared" si="17"/>
        <v>0</v>
      </c>
      <c r="X77" s="663">
        <f t="shared" si="68"/>
        <v>24967938.963655371</v>
      </c>
      <c r="Y77" s="663">
        <f t="shared" si="49"/>
        <v>1182947.7514002374</v>
      </c>
      <c r="Z77" s="663">
        <f t="shared" ref="Z77" si="224">IF(S77=0,0,O77+W77/$J$17*c_Hurdle1.Share_GP)</f>
        <v>0</v>
      </c>
      <c r="AA77" s="663">
        <f t="shared" si="19"/>
        <v>1182947.7514002374</v>
      </c>
      <c r="AB77" s="660">
        <f t="shared" si="70"/>
        <v>0</v>
      </c>
      <c r="AC77" s="521"/>
      <c r="AD77" s="663">
        <f t="shared" si="51"/>
        <v>30023326.160818931</v>
      </c>
      <c r="AE77" s="663">
        <f t="shared" ref="AE77" si="225">IF($G77=0,0,-MIN(0,$G77*c_EquityShare.LP))</f>
        <v>0</v>
      </c>
      <c r="AF77" s="663" cm="1">
        <f t="array" ref="AF77">IF($D77=0,0,AD77*(c_Rate.Hurdle2.MO))</f>
        <v>459641.22616286518</v>
      </c>
      <c r="AG77" s="663">
        <f t="shared" si="21"/>
        <v>1182947.7514002374</v>
      </c>
      <c r="AH77" s="663">
        <f t="shared" si="53"/>
        <v>0</v>
      </c>
      <c r="AI77" s="663">
        <f t="shared" si="22"/>
        <v>29300019.63558156</v>
      </c>
      <c r="AJ77" s="664">
        <f t="shared" si="23"/>
        <v>1182947.7514002374</v>
      </c>
      <c r="AK77" s="660">
        <f t="shared" si="24"/>
        <v>1182947.7514002374</v>
      </c>
      <c r="AL77" s="663">
        <f t="shared" ref="AL77" si="226">IF(AD77=0,0,Z77+AH77/$J$18*c_Hurdle2.Share_GP)</f>
        <v>0</v>
      </c>
      <c r="AM77" s="663">
        <f t="shared" si="25"/>
        <v>1182947.7514002374</v>
      </c>
      <c r="AN77" s="660">
        <f t="shared" si="73"/>
        <v>0</v>
      </c>
      <c r="AO77" s="521"/>
      <c r="AP77" s="663">
        <f t="shared" si="55"/>
        <v>34314461.518340804</v>
      </c>
      <c r="AQ77" s="663">
        <f t="shared" ref="AQ77" si="227">IF($G77=0,0,-MIN(0,$G77*c_EquityShare.LP))</f>
        <v>0</v>
      </c>
      <c r="AR77" s="663" cm="1">
        <f t="array" ref="AR77">IF($D77=0,0,AP77*(c_Rate.Hurdle3.MO))</f>
        <v>758502.31927869748</v>
      </c>
      <c r="AS77" s="663">
        <f t="shared" si="27"/>
        <v>1182947.7514002374</v>
      </c>
      <c r="AT77" s="663">
        <f t="shared" si="57"/>
        <v>0</v>
      </c>
      <c r="AU77" s="663">
        <f t="shared" si="28"/>
        <v>33890016.086219259</v>
      </c>
      <c r="AV77" s="664">
        <f t="shared" si="29"/>
        <v>1182947.7514002374</v>
      </c>
      <c r="AW77" s="660">
        <f t="shared" si="58"/>
        <v>1182947.7514002374</v>
      </c>
      <c r="AX77" s="663">
        <f t="shared" ref="AX77" si="228">IF(AP77=0,0,AL77+AT77/$J$19*c_Hurdle3.Share_GP)</f>
        <v>0</v>
      </c>
      <c r="AY77" s="663">
        <f t="shared" si="60"/>
        <v>1182947.7514002374</v>
      </c>
      <c r="AZ77" s="660">
        <f t="shared" si="76"/>
        <v>0</v>
      </c>
      <c r="BA77" s="521"/>
      <c r="BB77" s="660">
        <f t="shared" si="30"/>
        <v>0</v>
      </c>
      <c r="BC77" s="660">
        <f t="shared" ref="BC77" si="229">$AZ77*c_Residual.Share_GP</f>
        <v>0</v>
      </c>
      <c r="BD77" s="651"/>
      <c r="BE77" s="660">
        <f t="shared" si="62"/>
        <v>1182947.7514002374</v>
      </c>
      <c r="BF77" s="660">
        <f t="shared" si="62"/>
        <v>0</v>
      </c>
      <c r="BG77" s="660">
        <f t="shared" si="32"/>
        <v>1182947.7514002374</v>
      </c>
      <c r="BI77" s="660">
        <v>1182947.7514002374</v>
      </c>
      <c r="BJ77" s="660">
        <v>1182947.7514002374</v>
      </c>
      <c r="BK77" s="660">
        <v>0</v>
      </c>
      <c r="BL77" s="660">
        <f t="shared" si="33"/>
        <v>0</v>
      </c>
      <c r="BM77" s="660">
        <f t="shared" si="33"/>
        <v>0</v>
      </c>
      <c r="BN77" s="660">
        <f t="shared" si="34"/>
        <v>0</v>
      </c>
      <c r="BO77" s="660">
        <f t="shared" si="34"/>
        <v>0</v>
      </c>
      <c r="BP77" s="660">
        <f t="shared" si="35"/>
        <v>0</v>
      </c>
      <c r="BQ77" s="660">
        <f t="shared" si="35"/>
        <v>0</v>
      </c>
      <c r="BR77" s="660">
        <v>0</v>
      </c>
      <c r="BS77" s="660">
        <v>0</v>
      </c>
      <c r="BT77" s="660">
        <f t="shared" si="36"/>
        <v>1182947.7514002374</v>
      </c>
      <c r="BU77" s="660">
        <f t="shared" si="36"/>
        <v>0</v>
      </c>
      <c r="BX77" s="660">
        <v>1182947.7514002374</v>
      </c>
      <c r="BY77" s="660">
        <f t="shared" si="63"/>
        <v>1182947.7514002374</v>
      </c>
      <c r="BZ77" s="660">
        <f t="shared" si="37"/>
        <v>0</v>
      </c>
      <c r="CA77" s="660">
        <f t="shared" si="38"/>
        <v>0</v>
      </c>
      <c r="CB77" s="660">
        <f t="shared" si="39"/>
        <v>0</v>
      </c>
      <c r="CC77" s="660">
        <f t="shared" si="40"/>
        <v>0</v>
      </c>
      <c r="CD77" s="660">
        <f t="shared" si="41"/>
        <v>1182947.7514002374</v>
      </c>
    </row>
    <row r="78" spans="4:82" ht="16" thickTop="1" thickBot="1">
      <c r="D78" s="653">
        <v>22</v>
      </c>
      <c r="E78" s="654">
        <v>46356</v>
      </c>
      <c r="F78" s="655">
        <f t="shared" si="42"/>
        <v>2</v>
      </c>
      <c r="G78" s="656">
        <v>0</v>
      </c>
      <c r="I78" s="658">
        <f t="shared" si="43"/>
        <v>20900625.422886811</v>
      </c>
      <c r="J78" s="658">
        <f t="shared" ref="J78" si="230">IF($G78=0,0,-MIN(0,G78*c_EquityShare.LP))</f>
        <v>0</v>
      </c>
      <c r="K78" s="658">
        <f t="shared" ref="K78" si="231">I78*c_Rate.Pref_MO</f>
        <v>0</v>
      </c>
      <c r="L78" s="658">
        <f t="shared" si="15"/>
        <v>0</v>
      </c>
      <c r="M78" s="658">
        <f t="shared" si="46"/>
        <v>20900625.422886811</v>
      </c>
      <c r="N78" s="658">
        <f t="shared" si="66"/>
        <v>0</v>
      </c>
      <c r="O78" s="658" cm="1">
        <f t="array" ref="O78">IF(I78=0,0,IF(G78&lt;0,N78/c_EquityShare.LP*i_EquityShare.GP,L78/c_EquityShare.LP*i_EquityShare.GP))</f>
        <v>0</v>
      </c>
      <c r="P78" s="658">
        <f t="shared" si="47"/>
        <v>0</v>
      </c>
      <c r="Q78" s="658">
        <f t="shared" si="16"/>
        <v>0</v>
      </c>
      <c r="R78" s="521"/>
      <c r="S78" s="660">
        <f t="shared" si="48"/>
        <v>24967938.963655371</v>
      </c>
      <c r="T78" s="663" cm="1">
        <f t="array" ref="T78">IF($G78=0,0,-MIN(0,$G78*c_EquityShare.LP))</f>
        <v>0</v>
      </c>
      <c r="U78" s="663" cm="1">
        <f t="array" ref="U78">IF($D78=0,0,S78*c_Rate.Hurdle1.MO)</f>
        <v>199097.85151648585</v>
      </c>
      <c r="V78" s="660">
        <f t="shared" si="67"/>
        <v>0</v>
      </c>
      <c r="W78" s="660">
        <f t="shared" si="17"/>
        <v>0</v>
      </c>
      <c r="X78" s="663">
        <f t="shared" si="68"/>
        <v>25167036.815171856</v>
      </c>
      <c r="Y78" s="663">
        <f t="shared" si="49"/>
        <v>0</v>
      </c>
      <c r="Z78" s="663">
        <f t="shared" ref="Z78" si="232">IF(S78=0,0,O78+W78/$J$17*c_Hurdle1.Share_GP)</f>
        <v>0</v>
      </c>
      <c r="AA78" s="663">
        <f t="shared" si="19"/>
        <v>0</v>
      </c>
      <c r="AB78" s="660">
        <f t="shared" si="70"/>
        <v>0</v>
      </c>
      <c r="AC78" s="521"/>
      <c r="AD78" s="663">
        <f t="shared" si="51"/>
        <v>29300019.63558156</v>
      </c>
      <c r="AE78" s="663">
        <f t="shared" ref="AE78" si="233">IF($G78=0,0,-MIN(0,$G78*c_EquityShare.LP))</f>
        <v>0</v>
      </c>
      <c r="AF78" s="663" cm="1">
        <f t="array" ref="AF78">IF($D78=0,0,AD78*(c_Rate.Hurdle2.MO))</f>
        <v>448567.78625248058</v>
      </c>
      <c r="AG78" s="663">
        <f t="shared" si="21"/>
        <v>0</v>
      </c>
      <c r="AH78" s="663">
        <f t="shared" si="53"/>
        <v>0</v>
      </c>
      <c r="AI78" s="663">
        <f t="shared" si="22"/>
        <v>29748587.42183404</v>
      </c>
      <c r="AJ78" s="664">
        <f t="shared" si="23"/>
        <v>0</v>
      </c>
      <c r="AK78" s="660">
        <f t="shared" si="24"/>
        <v>0</v>
      </c>
      <c r="AL78" s="663">
        <f t="shared" ref="AL78" si="234">IF(AD78=0,0,Z78+AH78/$J$18*c_Hurdle2.Share_GP)</f>
        <v>0</v>
      </c>
      <c r="AM78" s="663">
        <f t="shared" si="25"/>
        <v>0</v>
      </c>
      <c r="AN78" s="660">
        <f t="shared" si="73"/>
        <v>0</v>
      </c>
      <c r="AO78" s="521"/>
      <c r="AP78" s="663">
        <f t="shared" si="55"/>
        <v>33890016.086219259</v>
      </c>
      <c r="AQ78" s="663">
        <f t="shared" ref="AQ78" si="235">IF($G78=0,0,-MIN(0,$G78*c_EquityShare.LP))</f>
        <v>0</v>
      </c>
      <c r="AR78" s="663" cm="1">
        <f t="array" ref="AR78">IF($D78=0,0,AP78*(c_Rate.Hurdle3.MO))</f>
        <v>749120.18619468086</v>
      </c>
      <c r="AS78" s="663">
        <f t="shared" si="27"/>
        <v>0</v>
      </c>
      <c r="AT78" s="663">
        <f t="shared" si="57"/>
        <v>0</v>
      </c>
      <c r="AU78" s="663">
        <f t="shared" si="28"/>
        <v>34639136.272413939</v>
      </c>
      <c r="AV78" s="664">
        <f t="shared" si="29"/>
        <v>0</v>
      </c>
      <c r="AW78" s="660">
        <f t="shared" si="58"/>
        <v>0</v>
      </c>
      <c r="AX78" s="663">
        <f t="shared" ref="AX78" si="236">IF(AP78=0,0,AL78+AT78/$J$19*c_Hurdle3.Share_GP)</f>
        <v>0</v>
      </c>
      <c r="AY78" s="663">
        <f t="shared" si="60"/>
        <v>0</v>
      </c>
      <c r="AZ78" s="660">
        <f t="shared" si="76"/>
        <v>0</v>
      </c>
      <c r="BA78" s="521"/>
      <c r="BB78" s="660">
        <f t="shared" si="30"/>
        <v>0</v>
      </c>
      <c r="BC78" s="660">
        <f t="shared" ref="BC78" si="237">$AZ78*c_Residual.Share_GP</f>
        <v>0</v>
      </c>
      <c r="BD78" s="651"/>
      <c r="BE78" s="660">
        <f t="shared" si="62"/>
        <v>0</v>
      </c>
      <c r="BF78" s="660">
        <f t="shared" si="62"/>
        <v>0</v>
      </c>
      <c r="BG78" s="660">
        <f t="shared" si="32"/>
        <v>0</v>
      </c>
      <c r="BI78" s="660">
        <v>0</v>
      </c>
      <c r="BJ78" s="660">
        <v>0</v>
      </c>
      <c r="BK78" s="660">
        <v>0</v>
      </c>
      <c r="BL78" s="660">
        <f t="shared" si="33"/>
        <v>0</v>
      </c>
      <c r="BM78" s="660">
        <f t="shared" si="33"/>
        <v>0</v>
      </c>
      <c r="BN78" s="660">
        <f t="shared" si="34"/>
        <v>0</v>
      </c>
      <c r="BO78" s="660">
        <f t="shared" si="34"/>
        <v>0</v>
      </c>
      <c r="BP78" s="660">
        <f t="shared" si="35"/>
        <v>0</v>
      </c>
      <c r="BQ78" s="660">
        <f t="shared" si="35"/>
        <v>0</v>
      </c>
      <c r="BR78" s="660">
        <v>0</v>
      </c>
      <c r="BS78" s="660">
        <v>0</v>
      </c>
      <c r="BT78" s="660">
        <f t="shared" si="36"/>
        <v>0</v>
      </c>
      <c r="BU78" s="660">
        <f t="shared" si="36"/>
        <v>0</v>
      </c>
      <c r="BX78" s="660">
        <v>0</v>
      </c>
      <c r="BY78" s="660">
        <f t="shared" si="63"/>
        <v>0</v>
      </c>
      <c r="BZ78" s="660">
        <f t="shared" si="37"/>
        <v>0</v>
      </c>
      <c r="CA78" s="660">
        <f t="shared" si="38"/>
        <v>0</v>
      </c>
      <c r="CB78" s="660">
        <f t="shared" si="39"/>
        <v>0</v>
      </c>
      <c r="CC78" s="660">
        <f t="shared" si="40"/>
        <v>0</v>
      </c>
      <c r="CD78" s="660">
        <f t="shared" si="41"/>
        <v>0</v>
      </c>
    </row>
    <row r="79" spans="4:82" ht="16" thickTop="1" thickBot="1">
      <c r="D79" s="653">
        <v>23</v>
      </c>
      <c r="E79" s="654">
        <v>46387</v>
      </c>
      <c r="F79" s="655">
        <f t="shared" si="42"/>
        <v>2</v>
      </c>
      <c r="G79" s="656">
        <v>0</v>
      </c>
      <c r="I79" s="658">
        <f t="shared" si="43"/>
        <v>20900625.422886811</v>
      </c>
      <c r="J79" s="658">
        <f t="shared" ref="J79" si="238">IF($G79=0,0,-MIN(0,G79*c_EquityShare.LP))</f>
        <v>0</v>
      </c>
      <c r="K79" s="658">
        <f t="shared" ref="K79" si="239">I79*c_Rate.Pref_MO</f>
        <v>0</v>
      </c>
      <c r="L79" s="658">
        <f t="shared" si="15"/>
        <v>0</v>
      </c>
      <c r="M79" s="658">
        <f t="shared" si="46"/>
        <v>20900625.422886811</v>
      </c>
      <c r="N79" s="658">
        <f t="shared" si="66"/>
        <v>0</v>
      </c>
      <c r="O79" s="658" cm="1">
        <f t="array" ref="O79">IF(I79=0,0,IF(G79&lt;0,N79/c_EquityShare.LP*i_EquityShare.GP,L79/c_EquityShare.LP*i_EquityShare.GP))</f>
        <v>0</v>
      </c>
      <c r="P79" s="658">
        <f t="shared" si="47"/>
        <v>0</v>
      </c>
      <c r="Q79" s="658">
        <f t="shared" si="16"/>
        <v>0</v>
      </c>
      <c r="R79" s="521"/>
      <c r="S79" s="660">
        <f t="shared" si="48"/>
        <v>25167036.815171856</v>
      </c>
      <c r="T79" s="663" cm="1">
        <f t="array" ref="T79">IF($G79=0,0,-MIN(0,$G79*c_EquityShare.LP))</f>
        <v>0</v>
      </c>
      <c r="U79" s="663" cm="1">
        <f t="array" ref="U79">IF($D79=0,0,S79*c_Rate.Hurdle1.MO)</f>
        <v>200685.48574357133</v>
      </c>
      <c r="V79" s="660">
        <f t="shared" si="67"/>
        <v>0</v>
      </c>
      <c r="W79" s="660">
        <f t="shared" si="17"/>
        <v>0</v>
      </c>
      <c r="X79" s="663">
        <f t="shared" si="68"/>
        <v>25367722.300915428</v>
      </c>
      <c r="Y79" s="663">
        <f t="shared" si="49"/>
        <v>0</v>
      </c>
      <c r="Z79" s="663">
        <f t="shared" ref="Z79" si="240">IF(S79=0,0,O79+W79/$J$17*c_Hurdle1.Share_GP)</f>
        <v>0</v>
      </c>
      <c r="AA79" s="663">
        <f t="shared" si="19"/>
        <v>0</v>
      </c>
      <c r="AB79" s="660">
        <f t="shared" si="70"/>
        <v>0</v>
      </c>
      <c r="AC79" s="521"/>
      <c r="AD79" s="663">
        <f t="shared" si="51"/>
        <v>29748587.42183404</v>
      </c>
      <c r="AE79" s="663">
        <f t="shared" ref="AE79" si="241">IF($G79=0,0,-MIN(0,$G79*c_EquityShare.LP))</f>
        <v>0</v>
      </c>
      <c r="AF79" s="663" cm="1">
        <f t="array" ref="AF79">IF($D79=0,0,AD79*(c_Rate.Hurdle2.MO))</f>
        <v>455435.12154324265</v>
      </c>
      <c r="AG79" s="663">
        <f t="shared" si="21"/>
        <v>0</v>
      </c>
      <c r="AH79" s="663">
        <f t="shared" si="53"/>
        <v>0</v>
      </c>
      <c r="AI79" s="663">
        <f t="shared" si="22"/>
        <v>30204022.543377284</v>
      </c>
      <c r="AJ79" s="664">
        <f t="shared" si="23"/>
        <v>0</v>
      </c>
      <c r="AK79" s="660">
        <f t="shared" si="24"/>
        <v>0</v>
      </c>
      <c r="AL79" s="663">
        <f t="shared" ref="AL79" si="242">IF(AD79=0,0,Z79+AH79/$J$18*c_Hurdle2.Share_GP)</f>
        <v>0</v>
      </c>
      <c r="AM79" s="663">
        <f t="shared" si="25"/>
        <v>0</v>
      </c>
      <c r="AN79" s="660">
        <f t="shared" si="73"/>
        <v>0</v>
      </c>
      <c r="AO79" s="521"/>
      <c r="AP79" s="663">
        <f t="shared" si="55"/>
        <v>34639136.272413939</v>
      </c>
      <c r="AQ79" s="663">
        <f t="shared" ref="AQ79" si="243">IF($G79=0,0,-MIN(0,$G79*c_EquityShare.LP))</f>
        <v>0</v>
      </c>
      <c r="AR79" s="663" cm="1">
        <f t="array" ref="AR79">IF($D79=0,0,AP79*(c_Rate.Hurdle3.MO))</f>
        <v>765679.07633910154</v>
      </c>
      <c r="AS79" s="663">
        <f t="shared" si="27"/>
        <v>0</v>
      </c>
      <c r="AT79" s="663">
        <f t="shared" si="57"/>
        <v>0</v>
      </c>
      <c r="AU79" s="663">
        <f t="shared" si="28"/>
        <v>35404815.348753043</v>
      </c>
      <c r="AV79" s="664">
        <f t="shared" si="29"/>
        <v>0</v>
      </c>
      <c r="AW79" s="660">
        <f t="shared" si="58"/>
        <v>0</v>
      </c>
      <c r="AX79" s="663">
        <f t="shared" ref="AX79" si="244">IF(AP79=0,0,AL79+AT79/$J$19*c_Hurdle3.Share_GP)</f>
        <v>0</v>
      </c>
      <c r="AY79" s="663">
        <f t="shared" si="60"/>
        <v>0</v>
      </c>
      <c r="AZ79" s="660">
        <f t="shared" si="76"/>
        <v>0</v>
      </c>
      <c r="BA79" s="521"/>
      <c r="BB79" s="660">
        <f t="shared" si="30"/>
        <v>0</v>
      </c>
      <c r="BC79" s="660">
        <f t="shared" ref="BC79" si="245">$AZ79*c_Residual.Share_GP</f>
        <v>0</v>
      </c>
      <c r="BD79" s="651"/>
      <c r="BE79" s="660">
        <f t="shared" si="62"/>
        <v>0</v>
      </c>
      <c r="BF79" s="660">
        <f t="shared" si="62"/>
        <v>0</v>
      </c>
      <c r="BG79" s="660">
        <f t="shared" si="32"/>
        <v>0</v>
      </c>
      <c r="BI79" s="660">
        <v>0</v>
      </c>
      <c r="BJ79" s="660">
        <v>0</v>
      </c>
      <c r="BK79" s="660">
        <v>0</v>
      </c>
      <c r="BL79" s="660">
        <f t="shared" si="33"/>
        <v>0</v>
      </c>
      <c r="BM79" s="660">
        <f t="shared" si="33"/>
        <v>0</v>
      </c>
      <c r="BN79" s="660">
        <f t="shared" si="34"/>
        <v>0</v>
      </c>
      <c r="BO79" s="660">
        <f t="shared" si="34"/>
        <v>0</v>
      </c>
      <c r="BP79" s="660">
        <f t="shared" si="35"/>
        <v>0</v>
      </c>
      <c r="BQ79" s="660">
        <f t="shared" si="35"/>
        <v>0</v>
      </c>
      <c r="BR79" s="660">
        <v>0</v>
      </c>
      <c r="BS79" s="660">
        <v>0</v>
      </c>
      <c r="BT79" s="660">
        <f t="shared" si="36"/>
        <v>0</v>
      </c>
      <c r="BU79" s="660">
        <f t="shared" si="36"/>
        <v>0</v>
      </c>
      <c r="BX79" s="660">
        <v>0</v>
      </c>
      <c r="BY79" s="660">
        <f t="shared" si="63"/>
        <v>0</v>
      </c>
      <c r="BZ79" s="660">
        <f t="shared" si="37"/>
        <v>0</v>
      </c>
      <c r="CA79" s="660">
        <f t="shared" si="38"/>
        <v>0</v>
      </c>
      <c r="CB79" s="660">
        <f t="shared" si="39"/>
        <v>0</v>
      </c>
      <c r="CC79" s="660">
        <f t="shared" si="40"/>
        <v>0</v>
      </c>
      <c r="CD79" s="660">
        <f t="shared" si="41"/>
        <v>0</v>
      </c>
    </row>
    <row r="80" spans="4:82" ht="16" thickTop="1" thickBot="1">
      <c r="D80" s="653">
        <v>24</v>
      </c>
      <c r="E80" s="654">
        <v>46418</v>
      </c>
      <c r="F80" s="655">
        <f t="shared" si="42"/>
        <v>3</v>
      </c>
      <c r="G80" s="656">
        <v>0</v>
      </c>
      <c r="I80" s="658">
        <f t="shared" si="43"/>
        <v>20900625.422886811</v>
      </c>
      <c r="J80" s="658">
        <f t="shared" ref="J80" si="246">IF($G80=0,0,-MIN(0,G80*c_EquityShare.LP))</f>
        <v>0</v>
      </c>
      <c r="K80" s="658">
        <f t="shared" ref="K80" si="247">I80*c_Rate.Pref_MO</f>
        <v>0</v>
      </c>
      <c r="L80" s="658">
        <f t="shared" si="15"/>
        <v>0</v>
      </c>
      <c r="M80" s="658">
        <f t="shared" si="46"/>
        <v>20900625.422886811</v>
      </c>
      <c r="N80" s="658">
        <f t="shared" si="66"/>
        <v>0</v>
      </c>
      <c r="O80" s="658" cm="1">
        <f t="array" ref="O80">IF(I80=0,0,IF(G80&lt;0,N80/c_EquityShare.LP*i_EquityShare.GP,L80/c_EquityShare.LP*i_EquityShare.GP))</f>
        <v>0</v>
      </c>
      <c r="P80" s="658">
        <f t="shared" si="47"/>
        <v>0</v>
      </c>
      <c r="Q80" s="658">
        <f t="shared" si="16"/>
        <v>0</v>
      </c>
      <c r="R80" s="521"/>
      <c r="S80" s="660">
        <f t="shared" si="48"/>
        <v>25367722.300915428</v>
      </c>
      <c r="T80" s="663" cm="1">
        <f t="array" ref="T80">IF($G80=0,0,-MIN(0,$G80*c_EquityShare.LP))</f>
        <v>0</v>
      </c>
      <c r="U80" s="663" cm="1">
        <f t="array" ref="U80">IF($D80=0,0,S80*c_Rate.Hurdle1.MO)</f>
        <v>202285.77998893333</v>
      </c>
      <c r="V80" s="660">
        <f t="shared" si="67"/>
        <v>0</v>
      </c>
      <c r="W80" s="660">
        <f t="shared" si="17"/>
        <v>0</v>
      </c>
      <c r="X80" s="663">
        <f t="shared" si="68"/>
        <v>25570008.080904361</v>
      </c>
      <c r="Y80" s="663">
        <f t="shared" si="49"/>
        <v>0</v>
      </c>
      <c r="Z80" s="663">
        <f t="shared" ref="Z80" si="248">IF(S80=0,0,O80+W80/$J$17*c_Hurdle1.Share_GP)</f>
        <v>0</v>
      </c>
      <c r="AA80" s="663">
        <f t="shared" si="19"/>
        <v>0</v>
      </c>
      <c r="AB80" s="660">
        <f t="shared" si="70"/>
        <v>0</v>
      </c>
      <c r="AC80" s="521"/>
      <c r="AD80" s="663">
        <f t="shared" si="51"/>
        <v>30204022.543377284</v>
      </c>
      <c r="AE80" s="663">
        <f t="shared" ref="AE80" si="249">IF($G80=0,0,-MIN(0,$G80*c_EquityShare.LP))</f>
        <v>0</v>
      </c>
      <c r="AF80" s="663" cm="1">
        <f t="array" ref="AF80">IF($D80=0,0,AD80*(c_Rate.Hurdle2.MO))</f>
        <v>462407.59210105042</v>
      </c>
      <c r="AG80" s="663">
        <f t="shared" si="21"/>
        <v>0</v>
      </c>
      <c r="AH80" s="663">
        <f t="shared" si="53"/>
        <v>0</v>
      </c>
      <c r="AI80" s="663">
        <f t="shared" si="22"/>
        <v>30666430.135478333</v>
      </c>
      <c r="AJ80" s="664">
        <f t="shared" si="23"/>
        <v>0</v>
      </c>
      <c r="AK80" s="660">
        <f t="shared" si="24"/>
        <v>0</v>
      </c>
      <c r="AL80" s="663">
        <f t="shared" ref="AL80" si="250">IF(AD80=0,0,Z80+AH80/$J$18*c_Hurdle2.Share_GP)</f>
        <v>0</v>
      </c>
      <c r="AM80" s="663">
        <f t="shared" si="25"/>
        <v>0</v>
      </c>
      <c r="AN80" s="660">
        <f t="shared" si="73"/>
        <v>0</v>
      </c>
      <c r="AO80" s="521"/>
      <c r="AP80" s="663">
        <f t="shared" si="55"/>
        <v>35404815.348753043</v>
      </c>
      <c r="AQ80" s="663">
        <f t="shared" ref="AQ80" si="251">IF($G80=0,0,-MIN(0,$G80*c_EquityShare.LP))</f>
        <v>0</v>
      </c>
      <c r="AR80" s="663" cm="1">
        <f t="array" ref="AR80">IF($D80=0,0,AP80*(c_Rate.Hurdle3.MO))</f>
        <v>782603.99165260466</v>
      </c>
      <c r="AS80" s="663">
        <f t="shared" si="27"/>
        <v>0</v>
      </c>
      <c r="AT80" s="663">
        <f t="shared" si="57"/>
        <v>0</v>
      </c>
      <c r="AU80" s="663">
        <f t="shared" si="28"/>
        <v>36187419.34040565</v>
      </c>
      <c r="AV80" s="664">
        <f t="shared" si="29"/>
        <v>0</v>
      </c>
      <c r="AW80" s="660">
        <f t="shared" si="58"/>
        <v>0</v>
      </c>
      <c r="AX80" s="663">
        <f t="shared" ref="AX80" si="252">IF(AP80=0,0,AL80+AT80/$J$19*c_Hurdle3.Share_GP)</f>
        <v>0</v>
      </c>
      <c r="AY80" s="663">
        <f t="shared" si="60"/>
        <v>0</v>
      </c>
      <c r="AZ80" s="660">
        <f t="shared" si="76"/>
        <v>0</v>
      </c>
      <c r="BA80" s="521"/>
      <c r="BB80" s="660">
        <f t="shared" si="30"/>
        <v>0</v>
      </c>
      <c r="BC80" s="660">
        <f t="shared" ref="BC80" si="253">$AZ80*c_Residual.Share_GP</f>
        <v>0</v>
      </c>
      <c r="BD80" s="651"/>
      <c r="BE80" s="660">
        <f t="shared" si="62"/>
        <v>0</v>
      </c>
      <c r="BF80" s="660">
        <f t="shared" si="62"/>
        <v>0</v>
      </c>
      <c r="BG80" s="660">
        <f t="shared" si="32"/>
        <v>0</v>
      </c>
      <c r="BI80" s="660">
        <v>0</v>
      </c>
      <c r="BJ80" s="660">
        <v>0</v>
      </c>
      <c r="BK80" s="660">
        <v>0</v>
      </c>
      <c r="BL80" s="660">
        <f t="shared" si="33"/>
        <v>0</v>
      </c>
      <c r="BM80" s="660">
        <f t="shared" si="33"/>
        <v>0</v>
      </c>
      <c r="BN80" s="660">
        <f t="shared" si="34"/>
        <v>0</v>
      </c>
      <c r="BO80" s="660">
        <f t="shared" si="34"/>
        <v>0</v>
      </c>
      <c r="BP80" s="660">
        <f t="shared" si="35"/>
        <v>0</v>
      </c>
      <c r="BQ80" s="660">
        <f t="shared" si="35"/>
        <v>0</v>
      </c>
      <c r="BR80" s="660">
        <v>0</v>
      </c>
      <c r="BS80" s="660">
        <v>0</v>
      </c>
      <c r="BT80" s="660">
        <f t="shared" si="36"/>
        <v>0</v>
      </c>
      <c r="BU80" s="660">
        <f t="shared" si="36"/>
        <v>0</v>
      </c>
      <c r="BX80" s="660">
        <v>0</v>
      </c>
      <c r="BY80" s="660">
        <f t="shared" si="63"/>
        <v>0</v>
      </c>
      <c r="BZ80" s="660">
        <f t="shared" si="37"/>
        <v>0</v>
      </c>
      <c r="CA80" s="660">
        <f t="shared" si="38"/>
        <v>0</v>
      </c>
      <c r="CB80" s="660">
        <f t="shared" si="39"/>
        <v>0</v>
      </c>
      <c r="CC80" s="660">
        <f t="shared" si="40"/>
        <v>0</v>
      </c>
      <c r="CD80" s="660">
        <f t="shared" si="41"/>
        <v>0</v>
      </c>
    </row>
    <row r="81" spans="4:82" ht="16" thickTop="1" thickBot="1">
      <c r="D81" s="653">
        <v>25</v>
      </c>
      <c r="E81" s="654">
        <v>46446</v>
      </c>
      <c r="F81" s="655">
        <f t="shared" si="42"/>
        <v>3</v>
      </c>
      <c r="G81" s="656">
        <v>4578007.7979189195</v>
      </c>
      <c r="I81" s="658">
        <f t="shared" si="43"/>
        <v>20900625.422886811</v>
      </c>
      <c r="J81" s="658">
        <f t="shared" ref="J81" si="254">IF($G81=0,0,-MIN(0,G81*c_EquityShare.LP))</f>
        <v>0</v>
      </c>
      <c r="K81" s="658">
        <f t="shared" ref="K81" si="255">I81*c_Rate.Pref_MO</f>
        <v>0</v>
      </c>
      <c r="L81" s="658">
        <f t="shared" si="15"/>
        <v>4578007.7979189195</v>
      </c>
      <c r="M81" s="658">
        <f t="shared" si="46"/>
        <v>16322617.624967892</v>
      </c>
      <c r="N81" s="658">
        <f t="shared" si="66"/>
        <v>4578007.7979189195</v>
      </c>
      <c r="O81" s="658" cm="1">
        <f t="array" ref="O81">IF(I81=0,0,IF(G81&lt;0,N81/c_EquityShare.LP*i_EquityShare.GP,L81/c_EquityShare.LP*i_EquityShare.GP))</f>
        <v>0</v>
      </c>
      <c r="P81" s="658">
        <f t="shared" si="47"/>
        <v>4578007.7979189195</v>
      </c>
      <c r="Q81" s="658">
        <f t="shared" si="16"/>
        <v>0</v>
      </c>
      <c r="R81" s="521"/>
      <c r="S81" s="660">
        <f t="shared" si="48"/>
        <v>25570008.080904361</v>
      </c>
      <c r="T81" s="663" cm="1">
        <f t="array" ref="T81">IF($G81=0,0,-MIN(0,$G81*c_EquityShare.LP))</f>
        <v>0</v>
      </c>
      <c r="U81" s="663" cm="1">
        <f t="array" ref="U81">IF($D81=0,0,S81*c_Rate.Hurdle1.MO)</f>
        <v>203898.83520533543</v>
      </c>
      <c r="V81" s="660">
        <f t="shared" si="67"/>
        <v>4578007.7979189195</v>
      </c>
      <c r="W81" s="660">
        <f t="shared" si="17"/>
        <v>0</v>
      </c>
      <c r="X81" s="663">
        <f t="shared" si="68"/>
        <v>21195899.118190777</v>
      </c>
      <c r="Y81" s="663">
        <f t="shared" si="49"/>
        <v>4578007.7979189195</v>
      </c>
      <c r="Z81" s="663">
        <f t="shared" ref="Z81" si="256">IF(S81=0,0,O81+W81/$J$17*c_Hurdle1.Share_GP)</f>
        <v>0</v>
      </c>
      <c r="AA81" s="663">
        <f t="shared" si="19"/>
        <v>4578007.7979189195</v>
      </c>
      <c r="AB81" s="660">
        <f t="shared" si="70"/>
        <v>0</v>
      </c>
      <c r="AC81" s="521"/>
      <c r="AD81" s="663">
        <f t="shared" si="51"/>
        <v>30666430.135478333</v>
      </c>
      <c r="AE81" s="663">
        <f t="shared" ref="AE81" si="257">IF($G81=0,0,-MIN(0,$G81*c_EquityShare.LP))</f>
        <v>0</v>
      </c>
      <c r="AF81" s="663" cm="1">
        <f t="array" ref="AF81">IF($D81=0,0,AD81*(c_Rate.Hurdle2.MO))</f>
        <v>469486.80749117315</v>
      </c>
      <c r="AG81" s="663">
        <f t="shared" si="21"/>
        <v>4578007.7979189195</v>
      </c>
      <c r="AH81" s="663">
        <f t="shared" si="53"/>
        <v>0</v>
      </c>
      <c r="AI81" s="663">
        <f t="shared" si="22"/>
        <v>26557909.145050585</v>
      </c>
      <c r="AJ81" s="664">
        <f t="shared" si="23"/>
        <v>4578007.7979189195</v>
      </c>
      <c r="AK81" s="660">
        <f t="shared" si="24"/>
        <v>4578007.7979189195</v>
      </c>
      <c r="AL81" s="663">
        <f t="shared" ref="AL81" si="258">IF(AD81=0,0,Z81+AH81/$J$18*c_Hurdle2.Share_GP)</f>
        <v>0</v>
      </c>
      <c r="AM81" s="663">
        <f t="shared" si="25"/>
        <v>4578007.7979189195</v>
      </c>
      <c r="AN81" s="660">
        <f t="shared" si="73"/>
        <v>0</v>
      </c>
      <c r="AO81" s="521"/>
      <c r="AP81" s="663">
        <f t="shared" si="55"/>
        <v>36187419.34040565</v>
      </c>
      <c r="AQ81" s="663">
        <f t="shared" ref="AQ81" si="259">IF($G81=0,0,-MIN(0,$G81*c_EquityShare.LP))</f>
        <v>0</v>
      </c>
      <c r="AR81" s="663" cm="1">
        <f t="array" ref="AR81">IF($D81=0,0,AP81*(c_Rate.Hurdle3.MO))</f>
        <v>799903.02292045637</v>
      </c>
      <c r="AS81" s="663">
        <f t="shared" si="27"/>
        <v>4578007.7979189195</v>
      </c>
      <c r="AT81" s="663">
        <f t="shared" si="57"/>
        <v>0</v>
      </c>
      <c r="AU81" s="663">
        <f t="shared" si="28"/>
        <v>32409314.56540719</v>
      </c>
      <c r="AV81" s="664">
        <f t="shared" si="29"/>
        <v>4578007.7979189195</v>
      </c>
      <c r="AW81" s="660">
        <f t="shared" si="58"/>
        <v>4578007.7979189195</v>
      </c>
      <c r="AX81" s="663">
        <f t="shared" ref="AX81" si="260">IF(AP81=0,0,AL81+AT81/$J$19*c_Hurdle3.Share_GP)</f>
        <v>0</v>
      </c>
      <c r="AY81" s="663">
        <f t="shared" si="60"/>
        <v>4578007.7979189195</v>
      </c>
      <c r="AZ81" s="660">
        <f t="shared" si="76"/>
        <v>0</v>
      </c>
      <c r="BA81" s="521"/>
      <c r="BB81" s="660">
        <f t="shared" si="30"/>
        <v>0</v>
      </c>
      <c r="BC81" s="660">
        <f t="shared" ref="BC81" si="261">$AZ81*c_Residual.Share_GP</f>
        <v>0</v>
      </c>
      <c r="BD81" s="651"/>
      <c r="BE81" s="660">
        <f t="shared" si="62"/>
        <v>4578007.7979189195</v>
      </c>
      <c r="BF81" s="660">
        <f t="shared" si="62"/>
        <v>0</v>
      </c>
      <c r="BG81" s="660">
        <f t="shared" si="32"/>
        <v>4578007.7979189195</v>
      </c>
      <c r="BI81" s="660">
        <v>4578007.7979189195</v>
      </c>
      <c r="BJ81" s="660">
        <v>4578007.7979189195</v>
      </c>
      <c r="BK81" s="660">
        <v>0</v>
      </c>
      <c r="BL81" s="660">
        <f t="shared" si="33"/>
        <v>0</v>
      </c>
      <c r="BM81" s="660">
        <f t="shared" si="33"/>
        <v>0</v>
      </c>
      <c r="BN81" s="660">
        <f t="shared" si="34"/>
        <v>0</v>
      </c>
      <c r="BO81" s="660">
        <f t="shared" si="34"/>
        <v>0</v>
      </c>
      <c r="BP81" s="660">
        <f t="shared" si="35"/>
        <v>0</v>
      </c>
      <c r="BQ81" s="660">
        <f t="shared" si="35"/>
        <v>0</v>
      </c>
      <c r="BR81" s="660">
        <v>0</v>
      </c>
      <c r="BS81" s="660">
        <v>0</v>
      </c>
      <c r="BT81" s="660">
        <f t="shared" si="36"/>
        <v>4578007.7979189195</v>
      </c>
      <c r="BU81" s="660">
        <f t="shared" si="36"/>
        <v>0</v>
      </c>
      <c r="BX81" s="660">
        <v>4578007.7979189195</v>
      </c>
      <c r="BY81" s="660">
        <f t="shared" si="63"/>
        <v>4578007.7979189195</v>
      </c>
      <c r="BZ81" s="660">
        <f t="shared" si="37"/>
        <v>0</v>
      </c>
      <c r="CA81" s="660">
        <f t="shared" si="38"/>
        <v>0</v>
      </c>
      <c r="CB81" s="660">
        <f t="shared" si="39"/>
        <v>0</v>
      </c>
      <c r="CC81" s="660">
        <f t="shared" si="40"/>
        <v>0</v>
      </c>
      <c r="CD81" s="660">
        <f t="shared" si="41"/>
        <v>4578007.7979189195</v>
      </c>
    </row>
    <row r="82" spans="4:82" ht="16" thickTop="1" thickBot="1">
      <c r="D82" s="653">
        <v>26</v>
      </c>
      <c r="E82" s="654">
        <v>46477</v>
      </c>
      <c r="F82" s="655">
        <f t="shared" si="42"/>
        <v>3</v>
      </c>
      <c r="G82" s="656">
        <v>0</v>
      </c>
      <c r="I82" s="658">
        <f t="shared" si="43"/>
        <v>16322617.624967892</v>
      </c>
      <c r="J82" s="658">
        <f t="shared" ref="J82" si="262">IF($G82=0,0,-MIN(0,G82*c_EquityShare.LP))</f>
        <v>0</v>
      </c>
      <c r="K82" s="658">
        <f t="shared" ref="K82" si="263">I82*c_Rate.Pref_MO</f>
        <v>0</v>
      </c>
      <c r="L82" s="658">
        <f t="shared" si="15"/>
        <v>0</v>
      </c>
      <c r="M82" s="658">
        <f t="shared" si="46"/>
        <v>16322617.624967892</v>
      </c>
      <c r="N82" s="658">
        <f t="shared" si="66"/>
        <v>0</v>
      </c>
      <c r="O82" s="658" cm="1">
        <f t="array" ref="O82">IF(I82=0,0,IF(G82&lt;0,N82/c_EquityShare.LP*i_EquityShare.GP,L82/c_EquityShare.LP*i_EquityShare.GP))</f>
        <v>0</v>
      </c>
      <c r="P82" s="658">
        <f t="shared" si="47"/>
        <v>0</v>
      </c>
      <c r="Q82" s="658">
        <f t="shared" si="16"/>
        <v>0</v>
      </c>
      <c r="R82" s="521"/>
      <c r="S82" s="660">
        <f t="shared" si="48"/>
        <v>21195899.118190777</v>
      </c>
      <c r="T82" s="663" cm="1">
        <f t="array" ref="T82">IF($G82=0,0,-MIN(0,$G82*c_EquityShare.LP))</f>
        <v>0</v>
      </c>
      <c r="U82" s="663" cm="1">
        <f t="array" ref="U82">IF($D82=0,0,S82*c_Rate.Hurdle1.MO)</f>
        <v>169019.07608533071</v>
      </c>
      <c r="V82" s="660">
        <f t="shared" si="67"/>
        <v>0</v>
      </c>
      <c r="W82" s="660">
        <f t="shared" si="17"/>
        <v>0</v>
      </c>
      <c r="X82" s="663">
        <f t="shared" si="68"/>
        <v>21364918.194276106</v>
      </c>
      <c r="Y82" s="663">
        <f t="shared" si="49"/>
        <v>0</v>
      </c>
      <c r="Z82" s="663">
        <f t="shared" ref="Z82" si="264">IF(S82=0,0,O82+W82/$J$17*c_Hurdle1.Share_GP)</f>
        <v>0</v>
      </c>
      <c r="AA82" s="663">
        <f t="shared" si="19"/>
        <v>0</v>
      </c>
      <c r="AB82" s="660">
        <f t="shared" si="70"/>
        <v>0</v>
      </c>
      <c r="AC82" s="521"/>
      <c r="AD82" s="663">
        <f t="shared" si="51"/>
        <v>26557909.145050585</v>
      </c>
      <c r="AE82" s="663">
        <f t="shared" ref="AE82" si="265">IF($G82=0,0,-MIN(0,$G82*c_EquityShare.LP))</f>
        <v>0</v>
      </c>
      <c r="AF82" s="663" cm="1">
        <f t="array" ref="AF82">IF($D82=0,0,AD82*(c_Rate.Hurdle2.MO))</f>
        <v>406587.52659069322</v>
      </c>
      <c r="AG82" s="663">
        <f t="shared" si="21"/>
        <v>0</v>
      </c>
      <c r="AH82" s="663">
        <f t="shared" si="53"/>
        <v>0</v>
      </c>
      <c r="AI82" s="663">
        <f t="shared" si="22"/>
        <v>26964496.671641279</v>
      </c>
      <c r="AJ82" s="664">
        <f t="shared" si="23"/>
        <v>0</v>
      </c>
      <c r="AK82" s="660">
        <f t="shared" si="24"/>
        <v>0</v>
      </c>
      <c r="AL82" s="663">
        <f t="shared" ref="AL82" si="266">IF(AD82=0,0,Z82+AH82/$J$18*c_Hurdle2.Share_GP)</f>
        <v>0</v>
      </c>
      <c r="AM82" s="663">
        <f t="shared" si="25"/>
        <v>0</v>
      </c>
      <c r="AN82" s="660">
        <f t="shared" si="73"/>
        <v>0</v>
      </c>
      <c r="AO82" s="521"/>
      <c r="AP82" s="663">
        <f t="shared" si="55"/>
        <v>32409314.56540719</v>
      </c>
      <c r="AQ82" s="663">
        <f t="shared" ref="AQ82" si="267">IF($G82=0,0,-MIN(0,$G82*c_EquityShare.LP))</f>
        <v>0</v>
      </c>
      <c r="AR82" s="663" cm="1">
        <f t="array" ref="AR82">IF($D82=0,0,AP82*(c_Rate.Hurdle3.MO))</f>
        <v>716390.09258399869</v>
      </c>
      <c r="AS82" s="663">
        <f t="shared" si="27"/>
        <v>0</v>
      </c>
      <c r="AT82" s="663">
        <f t="shared" si="57"/>
        <v>0</v>
      </c>
      <c r="AU82" s="663">
        <f t="shared" si="28"/>
        <v>33125704.65799119</v>
      </c>
      <c r="AV82" s="664">
        <f t="shared" si="29"/>
        <v>0</v>
      </c>
      <c r="AW82" s="660">
        <f t="shared" si="58"/>
        <v>0</v>
      </c>
      <c r="AX82" s="663">
        <f t="shared" ref="AX82" si="268">IF(AP82=0,0,AL82+AT82/$J$19*c_Hurdle3.Share_GP)</f>
        <v>0</v>
      </c>
      <c r="AY82" s="663">
        <f t="shared" si="60"/>
        <v>0</v>
      </c>
      <c r="AZ82" s="660">
        <f t="shared" si="76"/>
        <v>0</v>
      </c>
      <c r="BA82" s="521"/>
      <c r="BB82" s="660">
        <f t="shared" si="30"/>
        <v>0</v>
      </c>
      <c r="BC82" s="660">
        <f t="shared" ref="BC82" si="269">$AZ82*c_Residual.Share_GP</f>
        <v>0</v>
      </c>
      <c r="BD82" s="651"/>
      <c r="BE82" s="660">
        <f t="shared" si="62"/>
        <v>0</v>
      </c>
      <c r="BF82" s="660">
        <f t="shared" si="62"/>
        <v>0</v>
      </c>
      <c r="BG82" s="660">
        <f t="shared" si="32"/>
        <v>0</v>
      </c>
      <c r="BI82" s="660">
        <v>0</v>
      </c>
      <c r="BJ82" s="660">
        <v>0</v>
      </c>
      <c r="BK82" s="660">
        <v>0</v>
      </c>
      <c r="BL82" s="660">
        <f t="shared" si="33"/>
        <v>0</v>
      </c>
      <c r="BM82" s="660">
        <f t="shared" si="33"/>
        <v>0</v>
      </c>
      <c r="BN82" s="660">
        <f t="shared" si="34"/>
        <v>0</v>
      </c>
      <c r="BO82" s="660">
        <f t="shared" si="34"/>
        <v>0</v>
      </c>
      <c r="BP82" s="660">
        <f t="shared" si="35"/>
        <v>0</v>
      </c>
      <c r="BQ82" s="660">
        <f t="shared" si="35"/>
        <v>0</v>
      </c>
      <c r="BR82" s="660">
        <v>0</v>
      </c>
      <c r="BS82" s="660">
        <v>0</v>
      </c>
      <c r="BT82" s="660">
        <f t="shared" si="36"/>
        <v>0</v>
      </c>
      <c r="BU82" s="660">
        <f t="shared" si="36"/>
        <v>0</v>
      </c>
      <c r="BX82" s="660">
        <v>0</v>
      </c>
      <c r="BY82" s="660">
        <f t="shared" si="63"/>
        <v>0</v>
      </c>
      <c r="BZ82" s="660">
        <f t="shared" si="37"/>
        <v>0</v>
      </c>
      <c r="CA82" s="660">
        <f t="shared" si="38"/>
        <v>0</v>
      </c>
      <c r="CB82" s="660">
        <f t="shared" si="39"/>
        <v>0</v>
      </c>
      <c r="CC82" s="660">
        <f t="shared" si="40"/>
        <v>0</v>
      </c>
      <c r="CD82" s="660">
        <f t="shared" si="41"/>
        <v>0</v>
      </c>
    </row>
    <row r="83" spans="4:82" ht="16" thickTop="1" thickBot="1">
      <c r="D83" s="653">
        <v>27</v>
      </c>
      <c r="E83" s="654">
        <v>46507</v>
      </c>
      <c r="F83" s="655">
        <f t="shared" si="42"/>
        <v>3</v>
      </c>
      <c r="G83" s="656">
        <v>0</v>
      </c>
      <c r="I83" s="658">
        <f t="shared" si="43"/>
        <v>16322617.624967892</v>
      </c>
      <c r="J83" s="658">
        <f t="shared" ref="J83" si="270">IF($G83=0,0,-MIN(0,G83*c_EquityShare.LP))</f>
        <v>0</v>
      </c>
      <c r="K83" s="658">
        <f t="shared" ref="K83" si="271">I83*c_Rate.Pref_MO</f>
        <v>0</v>
      </c>
      <c r="L83" s="658">
        <f t="shared" si="15"/>
        <v>0</v>
      </c>
      <c r="M83" s="658">
        <f t="shared" si="46"/>
        <v>16322617.624967892</v>
      </c>
      <c r="N83" s="658">
        <f t="shared" si="66"/>
        <v>0</v>
      </c>
      <c r="O83" s="658" cm="1">
        <f t="array" ref="O83">IF(I83=0,0,IF(G83&lt;0,N83/c_EquityShare.LP*i_EquityShare.GP,L83/c_EquityShare.LP*i_EquityShare.GP))</f>
        <v>0</v>
      </c>
      <c r="P83" s="658">
        <f t="shared" si="47"/>
        <v>0</v>
      </c>
      <c r="Q83" s="658">
        <f t="shared" si="16"/>
        <v>0</v>
      </c>
      <c r="R83" s="521"/>
      <c r="S83" s="660">
        <f t="shared" si="48"/>
        <v>21364918.194276106</v>
      </c>
      <c r="T83" s="663" cm="1">
        <f t="array" ref="T83">IF($G83=0,0,-MIN(0,$G83*c_EquityShare.LP))</f>
        <v>0</v>
      </c>
      <c r="U83" s="663" cm="1">
        <f t="array" ref="U83">IF($D83=0,0,S83*c_Rate.Hurdle1.MO)</f>
        <v>170366.85793319871</v>
      </c>
      <c r="V83" s="660">
        <f t="shared" si="67"/>
        <v>0</v>
      </c>
      <c r="W83" s="660">
        <f t="shared" si="17"/>
        <v>0</v>
      </c>
      <c r="X83" s="663">
        <f t="shared" si="68"/>
        <v>21535285.052209303</v>
      </c>
      <c r="Y83" s="663">
        <f t="shared" si="49"/>
        <v>0</v>
      </c>
      <c r="Z83" s="663">
        <f t="shared" ref="Z83" si="272">IF(S83=0,0,O83+W83/$J$17*c_Hurdle1.Share_GP)</f>
        <v>0</v>
      </c>
      <c r="AA83" s="663">
        <f t="shared" si="19"/>
        <v>0</v>
      </c>
      <c r="AB83" s="660">
        <f t="shared" si="70"/>
        <v>0</v>
      </c>
      <c r="AC83" s="521"/>
      <c r="AD83" s="663">
        <f t="shared" si="51"/>
        <v>26964496.671641279</v>
      </c>
      <c r="AE83" s="663">
        <f t="shared" ref="AE83" si="273">IF($G83=0,0,-MIN(0,$G83*c_EquityShare.LP))</f>
        <v>0</v>
      </c>
      <c r="AF83" s="663" cm="1">
        <f t="array" ref="AF83">IF($D83=0,0,AD83*(c_Rate.Hurdle2.MO))</f>
        <v>412812.1663345921</v>
      </c>
      <c r="AG83" s="663">
        <f t="shared" si="21"/>
        <v>0</v>
      </c>
      <c r="AH83" s="663">
        <f t="shared" si="53"/>
        <v>0</v>
      </c>
      <c r="AI83" s="663">
        <f t="shared" si="22"/>
        <v>27377308.837975871</v>
      </c>
      <c r="AJ83" s="664">
        <f t="shared" si="23"/>
        <v>0</v>
      </c>
      <c r="AK83" s="660">
        <f t="shared" si="24"/>
        <v>0</v>
      </c>
      <c r="AL83" s="663">
        <f t="shared" ref="AL83" si="274">IF(AD83=0,0,Z83+AH83/$J$18*c_Hurdle2.Share_GP)</f>
        <v>0</v>
      </c>
      <c r="AM83" s="663">
        <f t="shared" si="25"/>
        <v>0</v>
      </c>
      <c r="AN83" s="660">
        <f t="shared" si="73"/>
        <v>0</v>
      </c>
      <c r="AO83" s="521"/>
      <c r="AP83" s="663">
        <f t="shared" si="55"/>
        <v>33125704.65799119</v>
      </c>
      <c r="AQ83" s="663">
        <f t="shared" ref="AQ83" si="275">IF($G83=0,0,-MIN(0,$G83*c_EquityShare.LP))</f>
        <v>0</v>
      </c>
      <c r="AR83" s="663" cm="1">
        <f t="array" ref="AR83">IF($D83=0,0,AP83*(c_Rate.Hurdle3.MO))</f>
        <v>732225.50199127756</v>
      </c>
      <c r="AS83" s="663">
        <f t="shared" si="27"/>
        <v>0</v>
      </c>
      <c r="AT83" s="663">
        <f t="shared" si="57"/>
        <v>0</v>
      </c>
      <c r="AU83" s="663">
        <f t="shared" si="28"/>
        <v>33857930.159982465</v>
      </c>
      <c r="AV83" s="664">
        <f t="shared" si="29"/>
        <v>0</v>
      </c>
      <c r="AW83" s="660">
        <f t="shared" si="58"/>
        <v>0</v>
      </c>
      <c r="AX83" s="663">
        <f t="shared" ref="AX83" si="276">IF(AP83=0,0,AL83+AT83/$J$19*c_Hurdle3.Share_GP)</f>
        <v>0</v>
      </c>
      <c r="AY83" s="663">
        <f t="shared" si="60"/>
        <v>0</v>
      </c>
      <c r="AZ83" s="660">
        <f t="shared" si="76"/>
        <v>0</v>
      </c>
      <c r="BA83" s="521"/>
      <c r="BB83" s="660">
        <f t="shared" si="30"/>
        <v>0</v>
      </c>
      <c r="BC83" s="660">
        <f t="shared" ref="BC83" si="277">$AZ83*c_Residual.Share_GP</f>
        <v>0</v>
      </c>
      <c r="BD83" s="651"/>
      <c r="BE83" s="660">
        <f t="shared" si="62"/>
        <v>0</v>
      </c>
      <c r="BF83" s="660">
        <f t="shared" si="62"/>
        <v>0</v>
      </c>
      <c r="BG83" s="660">
        <f t="shared" si="32"/>
        <v>0</v>
      </c>
      <c r="BI83" s="660">
        <v>0</v>
      </c>
      <c r="BJ83" s="660">
        <v>0</v>
      </c>
      <c r="BK83" s="660">
        <v>0</v>
      </c>
      <c r="BL83" s="660">
        <f t="shared" si="33"/>
        <v>0</v>
      </c>
      <c r="BM83" s="660">
        <f t="shared" si="33"/>
        <v>0</v>
      </c>
      <c r="BN83" s="660">
        <f t="shared" si="34"/>
        <v>0</v>
      </c>
      <c r="BO83" s="660">
        <f t="shared" si="34"/>
        <v>0</v>
      </c>
      <c r="BP83" s="660">
        <f t="shared" si="35"/>
        <v>0</v>
      </c>
      <c r="BQ83" s="660">
        <f t="shared" si="35"/>
        <v>0</v>
      </c>
      <c r="BR83" s="660">
        <v>0</v>
      </c>
      <c r="BS83" s="660">
        <v>0</v>
      </c>
      <c r="BT83" s="660">
        <f t="shared" si="36"/>
        <v>0</v>
      </c>
      <c r="BU83" s="660">
        <f t="shared" si="36"/>
        <v>0</v>
      </c>
      <c r="BX83" s="660">
        <v>0</v>
      </c>
      <c r="BY83" s="660">
        <f t="shared" si="63"/>
        <v>0</v>
      </c>
      <c r="BZ83" s="660">
        <f t="shared" si="37"/>
        <v>0</v>
      </c>
      <c r="CA83" s="660">
        <f t="shared" si="38"/>
        <v>0</v>
      </c>
      <c r="CB83" s="660">
        <f t="shared" si="39"/>
        <v>0</v>
      </c>
      <c r="CC83" s="660">
        <f t="shared" si="40"/>
        <v>0</v>
      </c>
      <c r="CD83" s="660">
        <f t="shared" si="41"/>
        <v>0</v>
      </c>
    </row>
    <row r="84" spans="4:82" ht="16" thickTop="1" thickBot="1">
      <c r="D84" s="653">
        <v>28</v>
      </c>
      <c r="E84" s="654">
        <v>46538</v>
      </c>
      <c r="F84" s="655">
        <f t="shared" si="42"/>
        <v>3</v>
      </c>
      <c r="G84" s="656">
        <v>3992448.6609758018</v>
      </c>
      <c r="I84" s="658">
        <f t="shared" si="43"/>
        <v>16322617.624967892</v>
      </c>
      <c r="J84" s="658">
        <f t="shared" ref="J84" si="278">IF($G84=0,0,-MIN(0,G84*c_EquityShare.LP))</f>
        <v>0</v>
      </c>
      <c r="K84" s="658">
        <f t="shared" ref="K84" si="279">I84*c_Rate.Pref_MO</f>
        <v>0</v>
      </c>
      <c r="L84" s="658">
        <f t="shared" si="15"/>
        <v>3992448.6609758018</v>
      </c>
      <c r="M84" s="658">
        <f t="shared" si="46"/>
        <v>12330168.963992089</v>
      </c>
      <c r="N84" s="658">
        <f t="shared" si="66"/>
        <v>3992448.6609758018</v>
      </c>
      <c r="O84" s="658" cm="1">
        <f t="array" ref="O84">IF(I84=0,0,IF(G84&lt;0,N84/c_EquityShare.LP*i_EquityShare.GP,L84/c_EquityShare.LP*i_EquityShare.GP))</f>
        <v>0</v>
      </c>
      <c r="P84" s="658">
        <f t="shared" si="47"/>
        <v>3992448.6609758018</v>
      </c>
      <c r="Q84" s="658">
        <f t="shared" si="16"/>
        <v>0</v>
      </c>
      <c r="R84" s="521"/>
      <c r="S84" s="660">
        <f t="shared" si="48"/>
        <v>21535285.052209303</v>
      </c>
      <c r="T84" s="663" cm="1">
        <f t="array" ref="T84">IF($G84=0,0,-MIN(0,$G84*c_EquityShare.LP))</f>
        <v>0</v>
      </c>
      <c r="U84" s="663" cm="1">
        <f t="array" ref="U84">IF($D84=0,0,S84*c_Rate.Hurdle1.MO)</f>
        <v>171725.38718278913</v>
      </c>
      <c r="V84" s="660">
        <f t="shared" si="67"/>
        <v>3992448.6609758018</v>
      </c>
      <c r="W84" s="660">
        <f t="shared" si="17"/>
        <v>0</v>
      </c>
      <c r="X84" s="663">
        <f t="shared" si="68"/>
        <v>17714561.778416291</v>
      </c>
      <c r="Y84" s="663">
        <f t="shared" si="49"/>
        <v>3992448.6609758018</v>
      </c>
      <c r="Z84" s="663">
        <f t="shared" ref="Z84" si="280">IF(S84=0,0,O84+W84/$J$17*c_Hurdle1.Share_GP)</f>
        <v>0</v>
      </c>
      <c r="AA84" s="663">
        <f t="shared" si="19"/>
        <v>3992448.6609758018</v>
      </c>
      <c r="AB84" s="660">
        <f t="shared" si="70"/>
        <v>0</v>
      </c>
      <c r="AC84" s="521"/>
      <c r="AD84" s="663">
        <f t="shared" si="51"/>
        <v>27377308.837975871</v>
      </c>
      <c r="AE84" s="663">
        <f t="shared" ref="AE84" si="281">IF($G84=0,0,-MIN(0,$G84*c_EquityShare.LP))</f>
        <v>0</v>
      </c>
      <c r="AF84" s="663" cm="1">
        <f t="array" ref="AF84">IF($D84=0,0,AD84*(c_Rate.Hurdle2.MO))</f>
        <v>419132.10201702162</v>
      </c>
      <c r="AG84" s="663">
        <f t="shared" si="21"/>
        <v>3992448.6609758018</v>
      </c>
      <c r="AH84" s="663">
        <f t="shared" si="53"/>
        <v>0</v>
      </c>
      <c r="AI84" s="663">
        <f t="shared" si="22"/>
        <v>23803992.279017091</v>
      </c>
      <c r="AJ84" s="664">
        <f t="shared" si="23"/>
        <v>3992448.6609758018</v>
      </c>
      <c r="AK84" s="660">
        <f t="shared" si="24"/>
        <v>3992448.6609758018</v>
      </c>
      <c r="AL84" s="663">
        <f t="shared" ref="AL84" si="282">IF(AD84=0,0,Z84+AH84/$J$18*c_Hurdle2.Share_GP)</f>
        <v>0</v>
      </c>
      <c r="AM84" s="663">
        <f t="shared" si="25"/>
        <v>3992448.6609758018</v>
      </c>
      <c r="AN84" s="660">
        <f t="shared" si="73"/>
        <v>0</v>
      </c>
      <c r="AO84" s="521"/>
      <c r="AP84" s="663">
        <f t="shared" si="55"/>
        <v>33857930.159982465</v>
      </c>
      <c r="AQ84" s="663">
        <f t="shared" ref="AQ84" si="283">IF($G84=0,0,-MIN(0,$G84*c_EquityShare.LP))</f>
        <v>0</v>
      </c>
      <c r="AR84" s="663" cm="1">
        <f t="array" ref="AR84">IF($D84=0,0,AP84*(c_Rate.Hurdle3.MO))</f>
        <v>748410.94442342932</v>
      </c>
      <c r="AS84" s="663">
        <f t="shared" si="27"/>
        <v>3992448.6609758018</v>
      </c>
      <c r="AT84" s="663">
        <f t="shared" si="57"/>
        <v>0</v>
      </c>
      <c r="AU84" s="663">
        <f t="shared" si="28"/>
        <v>30613892.443430092</v>
      </c>
      <c r="AV84" s="664">
        <f t="shared" si="29"/>
        <v>3992448.6609758018</v>
      </c>
      <c r="AW84" s="660">
        <f t="shared" si="58"/>
        <v>3992448.6609758018</v>
      </c>
      <c r="AX84" s="663">
        <f t="shared" ref="AX84" si="284">IF(AP84=0,0,AL84+AT84/$J$19*c_Hurdle3.Share_GP)</f>
        <v>0</v>
      </c>
      <c r="AY84" s="663">
        <f t="shared" si="60"/>
        <v>3992448.6609758018</v>
      </c>
      <c r="AZ84" s="660">
        <f t="shared" si="76"/>
        <v>0</v>
      </c>
      <c r="BA84" s="521"/>
      <c r="BB84" s="660">
        <f t="shared" si="30"/>
        <v>0</v>
      </c>
      <c r="BC84" s="660">
        <f t="shared" ref="BC84" si="285">$AZ84*c_Residual.Share_GP</f>
        <v>0</v>
      </c>
      <c r="BD84" s="651"/>
      <c r="BE84" s="660">
        <f t="shared" si="62"/>
        <v>3992448.6609758018</v>
      </c>
      <c r="BF84" s="660">
        <f t="shared" si="62"/>
        <v>0</v>
      </c>
      <c r="BG84" s="660">
        <f t="shared" si="32"/>
        <v>3992448.6609758018</v>
      </c>
      <c r="BI84" s="660">
        <v>3992448.6609758018</v>
      </c>
      <c r="BJ84" s="660">
        <v>3992448.6609758018</v>
      </c>
      <c r="BK84" s="660">
        <v>0</v>
      </c>
      <c r="BL84" s="660">
        <f t="shared" si="33"/>
        <v>0</v>
      </c>
      <c r="BM84" s="660">
        <f t="shared" si="33"/>
        <v>0</v>
      </c>
      <c r="BN84" s="660">
        <f t="shared" si="34"/>
        <v>0</v>
      </c>
      <c r="BO84" s="660">
        <f t="shared" si="34"/>
        <v>0</v>
      </c>
      <c r="BP84" s="660">
        <f t="shared" si="35"/>
        <v>0</v>
      </c>
      <c r="BQ84" s="660">
        <f t="shared" si="35"/>
        <v>0</v>
      </c>
      <c r="BR84" s="660">
        <v>0</v>
      </c>
      <c r="BS84" s="660">
        <v>0</v>
      </c>
      <c r="BT84" s="660">
        <f t="shared" si="36"/>
        <v>3992448.6609758018</v>
      </c>
      <c r="BU84" s="660">
        <f t="shared" si="36"/>
        <v>0</v>
      </c>
      <c r="BX84" s="660">
        <v>3992448.6609758018</v>
      </c>
      <c r="BY84" s="660">
        <f t="shared" si="63"/>
        <v>3992448.6609758018</v>
      </c>
      <c r="BZ84" s="660">
        <f t="shared" si="37"/>
        <v>0</v>
      </c>
      <c r="CA84" s="660">
        <f t="shared" si="38"/>
        <v>0</v>
      </c>
      <c r="CB84" s="660">
        <f t="shared" si="39"/>
        <v>0</v>
      </c>
      <c r="CC84" s="660">
        <f t="shared" si="40"/>
        <v>0</v>
      </c>
      <c r="CD84" s="660">
        <f t="shared" si="41"/>
        <v>3992448.6609758018</v>
      </c>
    </row>
    <row r="85" spans="4:82" ht="16" thickTop="1" thickBot="1">
      <c r="D85" s="653">
        <v>29</v>
      </c>
      <c r="E85" s="654">
        <v>46568</v>
      </c>
      <c r="F85" s="655">
        <f t="shared" si="42"/>
        <v>3</v>
      </c>
      <c r="G85" s="656">
        <v>0</v>
      </c>
      <c r="I85" s="658">
        <f t="shared" si="43"/>
        <v>12330168.963992089</v>
      </c>
      <c r="J85" s="658">
        <f t="shared" ref="J85" si="286">IF($G85=0,0,-MIN(0,G85*c_EquityShare.LP))</f>
        <v>0</v>
      </c>
      <c r="K85" s="658">
        <f t="shared" ref="K85" si="287">I85*c_Rate.Pref_MO</f>
        <v>0</v>
      </c>
      <c r="L85" s="658">
        <f t="shared" si="15"/>
        <v>0</v>
      </c>
      <c r="M85" s="658">
        <f t="shared" si="46"/>
        <v>12330168.963992089</v>
      </c>
      <c r="N85" s="658">
        <f t="shared" si="66"/>
        <v>0</v>
      </c>
      <c r="O85" s="658" cm="1">
        <f t="array" ref="O85">IF(I85=0,0,IF(G85&lt;0,N85/c_EquityShare.LP*i_EquityShare.GP,L85/c_EquityShare.LP*i_EquityShare.GP))</f>
        <v>0</v>
      </c>
      <c r="P85" s="658">
        <f t="shared" si="47"/>
        <v>0</v>
      </c>
      <c r="Q85" s="658">
        <f t="shared" si="16"/>
        <v>0</v>
      </c>
      <c r="R85" s="521"/>
      <c r="S85" s="660">
        <f t="shared" si="48"/>
        <v>17714561.778416291</v>
      </c>
      <c r="T85" s="663" cm="1">
        <f t="array" ref="T85">IF($G85=0,0,-MIN(0,$G85*c_EquityShare.LP))</f>
        <v>0</v>
      </c>
      <c r="U85" s="663" cm="1">
        <f t="array" ref="U85">IF($D85=0,0,S85*c_Rate.Hurdle1.MO)</f>
        <v>141258.40325758272</v>
      </c>
      <c r="V85" s="660">
        <f t="shared" si="67"/>
        <v>0</v>
      </c>
      <c r="W85" s="660">
        <f t="shared" si="17"/>
        <v>0</v>
      </c>
      <c r="X85" s="663">
        <f t="shared" si="68"/>
        <v>17855820.181673873</v>
      </c>
      <c r="Y85" s="663">
        <f t="shared" si="49"/>
        <v>0</v>
      </c>
      <c r="Z85" s="663">
        <f t="shared" ref="Z85" si="288">IF(S85=0,0,O85+W85/$J$17*c_Hurdle1.Share_GP)</f>
        <v>0</v>
      </c>
      <c r="AA85" s="663">
        <f t="shared" si="19"/>
        <v>0</v>
      </c>
      <c r="AB85" s="660">
        <f t="shared" si="70"/>
        <v>0</v>
      </c>
      <c r="AC85" s="521"/>
      <c r="AD85" s="663">
        <f t="shared" si="51"/>
        <v>23803992.279017091</v>
      </c>
      <c r="AE85" s="663">
        <f t="shared" ref="AE85" si="289">IF($G85=0,0,-MIN(0,$G85*c_EquityShare.LP))</f>
        <v>0</v>
      </c>
      <c r="AF85" s="663" cm="1">
        <f t="array" ref="AF85">IF($D85=0,0,AD85*(c_Rate.Hurdle2.MO))</f>
        <v>364426.51757144125</v>
      </c>
      <c r="AG85" s="663">
        <f t="shared" si="21"/>
        <v>0</v>
      </c>
      <c r="AH85" s="663">
        <f t="shared" si="53"/>
        <v>0</v>
      </c>
      <c r="AI85" s="663">
        <f t="shared" si="22"/>
        <v>24168418.796588533</v>
      </c>
      <c r="AJ85" s="664">
        <f t="shared" si="23"/>
        <v>0</v>
      </c>
      <c r="AK85" s="660">
        <f t="shared" si="24"/>
        <v>0</v>
      </c>
      <c r="AL85" s="663">
        <f t="shared" ref="AL85" si="290">IF(AD85=0,0,Z85+AH85/$J$18*c_Hurdle2.Share_GP)</f>
        <v>0</v>
      </c>
      <c r="AM85" s="663">
        <f t="shared" si="25"/>
        <v>0</v>
      </c>
      <c r="AN85" s="660">
        <f t="shared" si="73"/>
        <v>0</v>
      </c>
      <c r="AO85" s="521"/>
      <c r="AP85" s="663">
        <f t="shared" si="55"/>
        <v>30613892.443430092</v>
      </c>
      <c r="AQ85" s="663">
        <f t="shared" ref="AQ85" si="291">IF($G85=0,0,-MIN(0,$G85*c_EquityShare.LP))</f>
        <v>0</v>
      </c>
      <c r="AR85" s="663" cm="1">
        <f t="array" ref="AR85">IF($D85=0,0,AP85*(c_Rate.Hurdle3.MO))</f>
        <v>676703.2729940709</v>
      </c>
      <c r="AS85" s="663">
        <f t="shared" si="27"/>
        <v>0</v>
      </c>
      <c r="AT85" s="663">
        <f t="shared" si="57"/>
        <v>0</v>
      </c>
      <c r="AU85" s="663">
        <f t="shared" si="28"/>
        <v>31290595.716424163</v>
      </c>
      <c r="AV85" s="664">
        <f t="shared" si="29"/>
        <v>0</v>
      </c>
      <c r="AW85" s="660">
        <f t="shared" si="58"/>
        <v>0</v>
      </c>
      <c r="AX85" s="663">
        <f t="shared" ref="AX85" si="292">IF(AP85=0,0,AL85+AT85/$J$19*c_Hurdle3.Share_GP)</f>
        <v>0</v>
      </c>
      <c r="AY85" s="663">
        <f t="shared" si="60"/>
        <v>0</v>
      </c>
      <c r="AZ85" s="660">
        <f t="shared" si="76"/>
        <v>0</v>
      </c>
      <c r="BA85" s="521"/>
      <c r="BB85" s="660">
        <f t="shared" si="30"/>
        <v>0</v>
      </c>
      <c r="BC85" s="660">
        <f t="shared" ref="BC85" si="293">$AZ85*c_Residual.Share_GP</f>
        <v>0</v>
      </c>
      <c r="BD85" s="651"/>
      <c r="BE85" s="660">
        <f t="shared" si="62"/>
        <v>0</v>
      </c>
      <c r="BF85" s="660">
        <f t="shared" si="62"/>
        <v>0</v>
      </c>
      <c r="BG85" s="660">
        <f t="shared" si="32"/>
        <v>0</v>
      </c>
      <c r="BI85" s="660">
        <v>0</v>
      </c>
      <c r="BJ85" s="660">
        <v>0</v>
      </c>
      <c r="BK85" s="660">
        <v>0</v>
      </c>
      <c r="BL85" s="660">
        <f t="shared" si="33"/>
        <v>0</v>
      </c>
      <c r="BM85" s="660">
        <f t="shared" si="33"/>
        <v>0</v>
      </c>
      <c r="BN85" s="660">
        <f t="shared" si="34"/>
        <v>0</v>
      </c>
      <c r="BO85" s="660">
        <f t="shared" si="34"/>
        <v>0</v>
      </c>
      <c r="BP85" s="660">
        <f t="shared" si="35"/>
        <v>0</v>
      </c>
      <c r="BQ85" s="660">
        <f t="shared" si="35"/>
        <v>0</v>
      </c>
      <c r="BR85" s="660">
        <v>0</v>
      </c>
      <c r="BS85" s="660">
        <v>0</v>
      </c>
      <c r="BT85" s="660">
        <f t="shared" si="36"/>
        <v>0</v>
      </c>
      <c r="BU85" s="660">
        <f t="shared" si="36"/>
        <v>0</v>
      </c>
      <c r="BX85" s="660">
        <v>0</v>
      </c>
      <c r="BY85" s="660">
        <f t="shared" si="63"/>
        <v>0</v>
      </c>
      <c r="BZ85" s="660">
        <f t="shared" si="37"/>
        <v>0</v>
      </c>
      <c r="CA85" s="660">
        <f t="shared" si="38"/>
        <v>0</v>
      </c>
      <c r="CB85" s="660">
        <f t="shared" si="39"/>
        <v>0</v>
      </c>
      <c r="CC85" s="660">
        <f t="shared" si="40"/>
        <v>0</v>
      </c>
      <c r="CD85" s="660">
        <f t="shared" si="41"/>
        <v>0</v>
      </c>
    </row>
    <row r="86" spans="4:82" ht="16" thickTop="1" thickBot="1">
      <c r="D86" s="653">
        <v>30</v>
      </c>
      <c r="E86" s="654">
        <v>46599</v>
      </c>
      <c r="F86" s="655">
        <f t="shared" si="42"/>
        <v>3</v>
      </c>
      <c r="G86" s="656">
        <v>0</v>
      </c>
      <c r="I86" s="658">
        <f t="shared" si="43"/>
        <v>12330168.963992089</v>
      </c>
      <c r="J86" s="658">
        <f t="shared" ref="J86" si="294">IF($G86=0,0,-MIN(0,G86*c_EquityShare.LP))</f>
        <v>0</v>
      </c>
      <c r="K86" s="658">
        <f t="shared" ref="K86" si="295">I86*c_Rate.Pref_MO</f>
        <v>0</v>
      </c>
      <c r="L86" s="658">
        <f t="shared" si="15"/>
        <v>0</v>
      </c>
      <c r="M86" s="658">
        <f t="shared" si="46"/>
        <v>12330168.963992089</v>
      </c>
      <c r="N86" s="658">
        <f t="shared" si="66"/>
        <v>0</v>
      </c>
      <c r="O86" s="658" cm="1">
        <f t="array" ref="O86">IF(I86=0,0,IF(G86&lt;0,N86/c_EquityShare.LP*i_EquityShare.GP,L86/c_EquityShare.LP*i_EquityShare.GP))</f>
        <v>0</v>
      </c>
      <c r="P86" s="658">
        <f t="shared" si="47"/>
        <v>0</v>
      </c>
      <c r="Q86" s="658">
        <f t="shared" si="16"/>
        <v>0</v>
      </c>
      <c r="R86" s="665"/>
      <c r="S86" s="660">
        <f t="shared" si="48"/>
        <v>17855820.181673873</v>
      </c>
      <c r="T86" s="663" cm="1">
        <f t="array" ref="T86">IF($G86=0,0,-MIN(0,$G86*c_EquityShare.LP))</f>
        <v>0</v>
      </c>
      <c r="U86" s="663" cm="1">
        <f t="array" ref="U86">IF($D86=0,0,S86*c_Rate.Hurdle1.MO)</f>
        <v>142384.81760192139</v>
      </c>
      <c r="V86" s="660">
        <f t="shared" si="67"/>
        <v>0</v>
      </c>
      <c r="W86" s="660">
        <f t="shared" si="17"/>
        <v>0</v>
      </c>
      <c r="X86" s="663">
        <f t="shared" si="68"/>
        <v>17998204.999275796</v>
      </c>
      <c r="Y86" s="663">
        <f t="shared" si="49"/>
        <v>0</v>
      </c>
      <c r="Z86" s="663">
        <f t="shared" ref="Z86" si="296">IF(S86=0,0,O86+W86/$J$17*c_Hurdle1.Share_GP)</f>
        <v>0</v>
      </c>
      <c r="AA86" s="663">
        <f t="shared" si="19"/>
        <v>0</v>
      </c>
      <c r="AB86" s="660">
        <f t="shared" si="70"/>
        <v>0</v>
      </c>
      <c r="AC86" s="521"/>
      <c r="AD86" s="663">
        <f t="shared" si="51"/>
        <v>24168418.796588533</v>
      </c>
      <c r="AE86" s="663">
        <f t="shared" ref="AE86" si="297">IF($G86=0,0,-MIN(0,$G86*c_EquityShare.LP))</f>
        <v>0</v>
      </c>
      <c r="AF86" s="663" cm="1">
        <f t="array" ref="AF86">IF($D86=0,0,AD86*(c_Rate.Hurdle2.MO))</f>
        <v>370005.69459152099</v>
      </c>
      <c r="AG86" s="663">
        <f t="shared" si="21"/>
        <v>0</v>
      </c>
      <c r="AH86" s="663">
        <f t="shared" si="53"/>
        <v>0</v>
      </c>
      <c r="AI86" s="663">
        <f t="shared" si="22"/>
        <v>24538424.491180055</v>
      </c>
      <c r="AJ86" s="664">
        <f t="shared" si="23"/>
        <v>0</v>
      </c>
      <c r="AK86" s="660">
        <f t="shared" si="24"/>
        <v>0</v>
      </c>
      <c r="AL86" s="663">
        <f t="shared" ref="AL86" si="298">IF(AD86=0,0,Z86+AH86/$J$18*c_Hurdle2.Share_GP)</f>
        <v>0</v>
      </c>
      <c r="AM86" s="663">
        <f t="shared" si="25"/>
        <v>0</v>
      </c>
      <c r="AN86" s="660">
        <f t="shared" si="73"/>
        <v>0</v>
      </c>
      <c r="AO86" s="521"/>
      <c r="AP86" s="663">
        <f t="shared" si="55"/>
        <v>31290595.716424163</v>
      </c>
      <c r="AQ86" s="663">
        <f t="shared" ref="AQ86" si="299">IF($G86=0,0,-MIN(0,$G86*c_EquityShare.LP))</f>
        <v>0</v>
      </c>
      <c r="AR86" s="663" cm="1">
        <f t="array" ref="AR86">IF($D86=0,0,AP86*(c_Rate.Hurdle3.MO))</f>
        <v>691661.42705850652</v>
      </c>
      <c r="AS86" s="663">
        <f t="shared" si="27"/>
        <v>0</v>
      </c>
      <c r="AT86" s="663">
        <f t="shared" si="57"/>
        <v>0</v>
      </c>
      <c r="AU86" s="663">
        <f t="shared" si="28"/>
        <v>31982257.14348267</v>
      </c>
      <c r="AV86" s="664">
        <f t="shared" si="29"/>
        <v>0</v>
      </c>
      <c r="AW86" s="660">
        <f t="shared" si="58"/>
        <v>0</v>
      </c>
      <c r="AX86" s="663">
        <f t="shared" ref="AX86" si="300">IF(AP86=0,0,AL86+AT86/$J$19*c_Hurdle3.Share_GP)</f>
        <v>0</v>
      </c>
      <c r="AY86" s="663">
        <f t="shared" si="60"/>
        <v>0</v>
      </c>
      <c r="AZ86" s="660">
        <f t="shared" si="76"/>
        <v>0</v>
      </c>
      <c r="BA86" s="521"/>
      <c r="BB86" s="660">
        <f t="shared" si="30"/>
        <v>0</v>
      </c>
      <c r="BC86" s="660">
        <f t="shared" ref="BC86" si="301">$AZ86*c_Residual.Share_GP</f>
        <v>0</v>
      </c>
      <c r="BD86" s="651"/>
      <c r="BE86" s="660">
        <f t="shared" si="62"/>
        <v>0</v>
      </c>
      <c r="BF86" s="660">
        <f t="shared" si="62"/>
        <v>0</v>
      </c>
      <c r="BG86" s="660">
        <f t="shared" si="32"/>
        <v>0</v>
      </c>
      <c r="BI86" s="660">
        <v>0</v>
      </c>
      <c r="BJ86" s="660">
        <v>0</v>
      </c>
      <c r="BK86" s="660">
        <v>0</v>
      </c>
      <c r="BL86" s="660">
        <f t="shared" si="33"/>
        <v>0</v>
      </c>
      <c r="BM86" s="660">
        <f t="shared" si="33"/>
        <v>0</v>
      </c>
      <c r="BN86" s="660">
        <f t="shared" si="34"/>
        <v>0</v>
      </c>
      <c r="BO86" s="660">
        <f t="shared" si="34"/>
        <v>0</v>
      </c>
      <c r="BP86" s="660">
        <f t="shared" si="35"/>
        <v>0</v>
      </c>
      <c r="BQ86" s="660">
        <f t="shared" si="35"/>
        <v>0</v>
      </c>
      <c r="BR86" s="660">
        <v>0</v>
      </c>
      <c r="BS86" s="660">
        <v>0</v>
      </c>
      <c r="BT86" s="660">
        <f t="shared" si="36"/>
        <v>0</v>
      </c>
      <c r="BU86" s="660">
        <f t="shared" si="36"/>
        <v>0</v>
      </c>
      <c r="BX86" s="660">
        <v>0</v>
      </c>
      <c r="BY86" s="660">
        <f t="shared" si="63"/>
        <v>0</v>
      </c>
      <c r="BZ86" s="660">
        <f t="shared" si="37"/>
        <v>0</v>
      </c>
      <c r="CA86" s="660">
        <f t="shared" si="38"/>
        <v>0</v>
      </c>
      <c r="CB86" s="660">
        <f t="shared" si="39"/>
        <v>0</v>
      </c>
      <c r="CC86" s="660">
        <f t="shared" si="40"/>
        <v>0</v>
      </c>
      <c r="CD86" s="660">
        <f t="shared" si="41"/>
        <v>0</v>
      </c>
    </row>
    <row r="87" spans="4:82" ht="16" thickTop="1" thickBot="1">
      <c r="D87" s="653">
        <v>31</v>
      </c>
      <c r="E87" s="654">
        <v>46630</v>
      </c>
      <c r="F87" s="655">
        <f t="shared" si="42"/>
        <v>3</v>
      </c>
      <c r="G87" s="656">
        <v>0</v>
      </c>
      <c r="I87" s="658">
        <f t="shared" si="43"/>
        <v>12330168.963992089</v>
      </c>
      <c r="J87" s="658">
        <f t="shared" ref="J87" si="302">IF($G87=0,0,-MIN(0,G87*c_EquityShare.LP))</f>
        <v>0</v>
      </c>
      <c r="K87" s="658">
        <f t="shared" ref="K87" si="303">I87*c_Rate.Pref_MO</f>
        <v>0</v>
      </c>
      <c r="L87" s="658">
        <f t="shared" si="15"/>
        <v>0</v>
      </c>
      <c r="M87" s="658">
        <f t="shared" si="46"/>
        <v>12330168.963992089</v>
      </c>
      <c r="N87" s="658">
        <f t="shared" si="66"/>
        <v>0</v>
      </c>
      <c r="O87" s="658" cm="1">
        <f t="array" ref="O87">IF(I87=0,0,IF(G87&lt;0,N87/c_EquityShare.LP*i_EquityShare.GP,L87/c_EquityShare.LP*i_EquityShare.GP))</f>
        <v>0</v>
      </c>
      <c r="P87" s="658">
        <f t="shared" si="47"/>
        <v>0</v>
      </c>
      <c r="Q87" s="658">
        <f t="shared" si="16"/>
        <v>0</v>
      </c>
      <c r="R87" s="521"/>
      <c r="S87" s="660">
        <f t="shared" si="48"/>
        <v>17998204.999275796</v>
      </c>
      <c r="T87" s="663" cm="1">
        <f t="array" ref="T87">IF($G87=0,0,-MIN(0,$G87*c_EquityShare.LP))</f>
        <v>0</v>
      </c>
      <c r="U87" s="663" cm="1">
        <f t="array" ref="U87">IF($D87=0,0,S87*c_Rate.Hurdle1.MO)</f>
        <v>143520.21413242296</v>
      </c>
      <c r="V87" s="660">
        <f t="shared" si="67"/>
        <v>0</v>
      </c>
      <c r="W87" s="660">
        <f t="shared" si="17"/>
        <v>0</v>
      </c>
      <c r="X87" s="663">
        <f t="shared" si="68"/>
        <v>18141725.213408221</v>
      </c>
      <c r="Y87" s="663">
        <f t="shared" si="49"/>
        <v>0</v>
      </c>
      <c r="Z87" s="663">
        <f t="shared" ref="Z87" si="304">IF(S87=0,0,O87+W87/$J$17*c_Hurdle1.Share_GP)</f>
        <v>0</v>
      </c>
      <c r="AA87" s="663">
        <f t="shared" si="19"/>
        <v>0</v>
      </c>
      <c r="AB87" s="660">
        <f t="shared" si="70"/>
        <v>0</v>
      </c>
      <c r="AC87" s="521"/>
      <c r="AD87" s="663">
        <f t="shared" si="51"/>
        <v>24538424.491180055</v>
      </c>
      <c r="AE87" s="663">
        <f t="shared" ref="AE87" si="305">IF($G87=0,0,-MIN(0,$G87*c_EquityShare.LP))</f>
        <v>0</v>
      </c>
      <c r="AF87" s="663" cm="1">
        <f t="array" ref="AF87">IF($D87=0,0,AD87*(c_Rate.Hurdle2.MO))</f>
        <v>375670.28585760243</v>
      </c>
      <c r="AG87" s="663">
        <f t="shared" si="21"/>
        <v>0</v>
      </c>
      <c r="AH87" s="663">
        <f t="shared" si="53"/>
        <v>0</v>
      </c>
      <c r="AI87" s="663">
        <f t="shared" si="22"/>
        <v>24914094.777037658</v>
      </c>
      <c r="AJ87" s="664">
        <f t="shared" si="23"/>
        <v>0</v>
      </c>
      <c r="AK87" s="660">
        <f t="shared" si="24"/>
        <v>0</v>
      </c>
      <c r="AL87" s="663">
        <f t="shared" ref="AL87" si="306">IF(AD87=0,0,Z87+AH87/$J$18*c_Hurdle2.Share_GP)</f>
        <v>0</v>
      </c>
      <c r="AM87" s="663">
        <f t="shared" si="25"/>
        <v>0</v>
      </c>
      <c r="AN87" s="660">
        <f t="shared" si="73"/>
        <v>0</v>
      </c>
      <c r="AO87" s="521"/>
      <c r="AP87" s="663">
        <f t="shared" si="55"/>
        <v>31982257.14348267</v>
      </c>
      <c r="AQ87" s="663">
        <f t="shared" ref="AQ87" si="307">IF($G87=0,0,-MIN(0,$G87*c_EquityShare.LP))</f>
        <v>0</v>
      </c>
      <c r="AR87" s="663" cm="1">
        <f t="array" ref="AR87">IF($D87=0,0,AP87*(c_Rate.Hurdle3.MO))</f>
        <v>706950.22290043114</v>
      </c>
      <c r="AS87" s="663">
        <f t="shared" si="27"/>
        <v>0</v>
      </c>
      <c r="AT87" s="663">
        <f t="shared" si="57"/>
        <v>0</v>
      </c>
      <c r="AU87" s="663">
        <f t="shared" si="28"/>
        <v>32689207.366383102</v>
      </c>
      <c r="AV87" s="664">
        <f t="shared" si="29"/>
        <v>0</v>
      </c>
      <c r="AW87" s="660">
        <f t="shared" si="58"/>
        <v>0</v>
      </c>
      <c r="AX87" s="663">
        <f t="shared" ref="AX87" si="308">IF(AP87=0,0,AL87+AT87/$J$19*c_Hurdle3.Share_GP)</f>
        <v>0</v>
      </c>
      <c r="AY87" s="663">
        <f t="shared" si="60"/>
        <v>0</v>
      </c>
      <c r="AZ87" s="660">
        <f t="shared" si="76"/>
        <v>0</v>
      </c>
      <c r="BA87" s="521"/>
      <c r="BB87" s="660">
        <f t="shared" si="30"/>
        <v>0</v>
      </c>
      <c r="BC87" s="660">
        <f t="shared" ref="BC87" si="309">$AZ87*c_Residual.Share_GP</f>
        <v>0</v>
      </c>
      <c r="BD87" s="651"/>
      <c r="BE87" s="660">
        <f t="shared" si="62"/>
        <v>0</v>
      </c>
      <c r="BF87" s="660">
        <f t="shared" si="62"/>
        <v>0</v>
      </c>
      <c r="BG87" s="660">
        <f t="shared" si="32"/>
        <v>0</v>
      </c>
      <c r="BI87" s="660">
        <v>0</v>
      </c>
      <c r="BJ87" s="660">
        <v>0</v>
      </c>
      <c r="BK87" s="660">
        <v>0</v>
      </c>
      <c r="BL87" s="660">
        <f t="shared" si="33"/>
        <v>0</v>
      </c>
      <c r="BM87" s="660">
        <f t="shared" si="33"/>
        <v>0</v>
      </c>
      <c r="BN87" s="660">
        <f t="shared" si="34"/>
        <v>0</v>
      </c>
      <c r="BO87" s="660">
        <f t="shared" si="34"/>
        <v>0</v>
      </c>
      <c r="BP87" s="660">
        <f t="shared" si="35"/>
        <v>0</v>
      </c>
      <c r="BQ87" s="660">
        <f t="shared" si="35"/>
        <v>0</v>
      </c>
      <c r="BR87" s="660">
        <v>0</v>
      </c>
      <c r="BS87" s="660">
        <v>0</v>
      </c>
      <c r="BT87" s="660">
        <f t="shared" si="36"/>
        <v>0</v>
      </c>
      <c r="BU87" s="660">
        <f t="shared" si="36"/>
        <v>0</v>
      </c>
      <c r="BX87" s="660">
        <v>0</v>
      </c>
      <c r="BY87" s="660">
        <f t="shared" si="63"/>
        <v>0</v>
      </c>
      <c r="BZ87" s="660">
        <f t="shared" si="37"/>
        <v>0</v>
      </c>
      <c r="CA87" s="660">
        <f t="shared" si="38"/>
        <v>0</v>
      </c>
      <c r="CB87" s="660">
        <f t="shared" si="39"/>
        <v>0</v>
      </c>
      <c r="CC87" s="660">
        <f t="shared" si="40"/>
        <v>0</v>
      </c>
      <c r="CD87" s="660">
        <f t="shared" si="41"/>
        <v>0</v>
      </c>
    </row>
    <row r="88" spans="4:82" ht="16" thickTop="1" thickBot="1">
      <c r="D88" s="653">
        <v>32</v>
      </c>
      <c r="E88" s="654">
        <v>46660</v>
      </c>
      <c r="F88" s="655">
        <f t="shared" si="42"/>
        <v>3</v>
      </c>
      <c r="G88" s="656">
        <v>3691982.2980156438</v>
      </c>
      <c r="I88" s="658">
        <f t="shared" si="43"/>
        <v>12330168.963992089</v>
      </c>
      <c r="J88" s="658">
        <f t="shared" ref="J88" si="310">IF($G88=0,0,-MIN(0,G88*c_EquityShare.LP))</f>
        <v>0</v>
      </c>
      <c r="K88" s="658">
        <f t="shared" ref="K88" si="311">I88*c_Rate.Pref_MO</f>
        <v>0</v>
      </c>
      <c r="L88" s="658">
        <f t="shared" si="15"/>
        <v>3691982.2980156438</v>
      </c>
      <c r="M88" s="658">
        <f t="shared" si="46"/>
        <v>8638186.6659764461</v>
      </c>
      <c r="N88" s="658">
        <f t="shared" si="66"/>
        <v>3691982.2980156438</v>
      </c>
      <c r="O88" s="658" cm="1">
        <f t="array" ref="O88">IF(I88=0,0,IF(G88&lt;0,N88/c_EquityShare.LP*i_EquityShare.GP,L88/c_EquityShare.LP*i_EquityShare.GP))</f>
        <v>0</v>
      </c>
      <c r="P88" s="658">
        <f t="shared" si="47"/>
        <v>3691982.2980156438</v>
      </c>
      <c r="Q88" s="658">
        <f t="shared" si="16"/>
        <v>0</v>
      </c>
      <c r="R88" s="521"/>
      <c r="S88" s="660">
        <f t="shared" si="48"/>
        <v>18141725.213408221</v>
      </c>
      <c r="T88" s="663" cm="1">
        <f t="array" ref="T88">IF($G88=0,0,-MIN(0,$G88*c_EquityShare.LP))</f>
        <v>0</v>
      </c>
      <c r="U88" s="663" cm="1">
        <f t="array" ref="U88">IF($D88=0,0,S88*c_Rate.Hurdle1.MO)</f>
        <v>144664.66447430127</v>
      </c>
      <c r="V88" s="660">
        <f t="shared" si="67"/>
        <v>3691982.2980156438</v>
      </c>
      <c r="W88" s="660">
        <f t="shared" si="17"/>
        <v>0</v>
      </c>
      <c r="X88" s="663">
        <f t="shared" si="68"/>
        <v>14594407.579866879</v>
      </c>
      <c r="Y88" s="663">
        <f t="shared" si="49"/>
        <v>3691982.2980156438</v>
      </c>
      <c r="Z88" s="663">
        <f t="shared" ref="Z88" si="312">IF(S88=0,0,O88+W88/$J$17*c_Hurdle1.Share_GP)</f>
        <v>0</v>
      </c>
      <c r="AA88" s="663">
        <f t="shared" si="19"/>
        <v>3691982.2980156438</v>
      </c>
      <c r="AB88" s="660">
        <f t="shared" si="70"/>
        <v>0</v>
      </c>
      <c r="AC88" s="521"/>
      <c r="AD88" s="663">
        <f t="shared" si="51"/>
        <v>24914094.777037658</v>
      </c>
      <c r="AE88" s="663">
        <f t="shared" ref="AE88" si="313">IF($G88=0,0,-MIN(0,$G88*c_EquityShare.LP))</f>
        <v>0</v>
      </c>
      <c r="AF88" s="663" cm="1">
        <f t="array" ref="AF88">IF($D88=0,0,AD88*(c_Rate.Hurdle2.MO))</f>
        <v>381421.59901656501</v>
      </c>
      <c r="AG88" s="663">
        <f t="shared" si="21"/>
        <v>3691982.2980156438</v>
      </c>
      <c r="AH88" s="663">
        <f t="shared" si="53"/>
        <v>0</v>
      </c>
      <c r="AI88" s="663">
        <f t="shared" si="22"/>
        <v>21603534.078038581</v>
      </c>
      <c r="AJ88" s="664">
        <f t="shared" si="23"/>
        <v>3691982.2980156438</v>
      </c>
      <c r="AK88" s="660">
        <f t="shared" si="24"/>
        <v>3691982.2980156438</v>
      </c>
      <c r="AL88" s="663">
        <f t="shared" ref="AL88" si="314">IF(AD88=0,0,Z88+AH88/$J$18*c_Hurdle2.Share_GP)</f>
        <v>0</v>
      </c>
      <c r="AM88" s="663">
        <f t="shared" si="25"/>
        <v>3691982.2980156438</v>
      </c>
      <c r="AN88" s="660">
        <f t="shared" si="73"/>
        <v>0</v>
      </c>
      <c r="AO88" s="521"/>
      <c r="AP88" s="663">
        <f t="shared" si="55"/>
        <v>32689207.366383102</v>
      </c>
      <c r="AQ88" s="663">
        <f t="shared" ref="AQ88" si="315">IF($G88=0,0,-MIN(0,$G88*c_EquityShare.LP))</f>
        <v>0</v>
      </c>
      <c r="AR88" s="663" cm="1">
        <f t="array" ref="AR88">IF($D88=0,0,AP88*(c_Rate.Hurdle3.MO))</f>
        <v>722576.96917467949</v>
      </c>
      <c r="AS88" s="663">
        <f t="shared" si="27"/>
        <v>3691982.2980156438</v>
      </c>
      <c r="AT88" s="663">
        <f t="shared" si="57"/>
        <v>0</v>
      </c>
      <c r="AU88" s="663">
        <f t="shared" si="28"/>
        <v>29719802.037542138</v>
      </c>
      <c r="AV88" s="664">
        <f t="shared" si="29"/>
        <v>3691982.2980156438</v>
      </c>
      <c r="AW88" s="660">
        <f t="shared" si="58"/>
        <v>3691982.2980156438</v>
      </c>
      <c r="AX88" s="663">
        <f t="shared" ref="AX88" si="316">IF(AP88=0,0,AL88+AT88/$J$19*c_Hurdle3.Share_GP)</f>
        <v>0</v>
      </c>
      <c r="AY88" s="663">
        <f t="shared" si="60"/>
        <v>3691982.2980156438</v>
      </c>
      <c r="AZ88" s="660">
        <f t="shared" si="76"/>
        <v>0</v>
      </c>
      <c r="BA88" s="521"/>
      <c r="BB88" s="660">
        <f t="shared" si="30"/>
        <v>0</v>
      </c>
      <c r="BC88" s="660">
        <f t="shared" ref="BC88" si="317">$AZ88*c_Residual.Share_GP</f>
        <v>0</v>
      </c>
      <c r="BD88" s="651"/>
      <c r="BE88" s="660">
        <f t="shared" si="62"/>
        <v>3691982.2980156438</v>
      </c>
      <c r="BF88" s="660">
        <f t="shared" si="62"/>
        <v>0</v>
      </c>
      <c r="BG88" s="660">
        <f t="shared" si="32"/>
        <v>3691982.2980156438</v>
      </c>
      <c r="BI88" s="660">
        <v>3691982.2980156438</v>
      </c>
      <c r="BJ88" s="660">
        <v>3691982.2980156438</v>
      </c>
      <c r="BK88" s="660">
        <v>0</v>
      </c>
      <c r="BL88" s="660">
        <f t="shared" si="33"/>
        <v>0</v>
      </c>
      <c r="BM88" s="660">
        <f t="shared" si="33"/>
        <v>0</v>
      </c>
      <c r="BN88" s="660">
        <f t="shared" si="34"/>
        <v>0</v>
      </c>
      <c r="BO88" s="660">
        <f t="shared" si="34"/>
        <v>0</v>
      </c>
      <c r="BP88" s="660">
        <f t="shared" si="35"/>
        <v>0</v>
      </c>
      <c r="BQ88" s="660">
        <f t="shared" si="35"/>
        <v>0</v>
      </c>
      <c r="BR88" s="660">
        <v>0</v>
      </c>
      <c r="BS88" s="660">
        <v>0</v>
      </c>
      <c r="BT88" s="660">
        <f t="shared" si="36"/>
        <v>3691982.2980156438</v>
      </c>
      <c r="BU88" s="660">
        <f t="shared" si="36"/>
        <v>0</v>
      </c>
      <c r="BX88" s="660">
        <v>3691982.2980156438</v>
      </c>
      <c r="BY88" s="660">
        <f t="shared" si="63"/>
        <v>3691982.2980156438</v>
      </c>
      <c r="BZ88" s="660">
        <f t="shared" si="37"/>
        <v>0</v>
      </c>
      <c r="CA88" s="660">
        <f t="shared" si="38"/>
        <v>0</v>
      </c>
      <c r="CB88" s="660">
        <f t="shared" si="39"/>
        <v>0</v>
      </c>
      <c r="CC88" s="660">
        <f t="shared" si="40"/>
        <v>0</v>
      </c>
      <c r="CD88" s="660">
        <f t="shared" si="41"/>
        <v>3691982.2980156438</v>
      </c>
    </row>
    <row r="89" spans="4:82" ht="16" thickTop="1" thickBot="1">
      <c r="D89" s="653">
        <v>33</v>
      </c>
      <c r="E89" s="654">
        <v>46691</v>
      </c>
      <c r="F89" s="655">
        <f t="shared" si="42"/>
        <v>3</v>
      </c>
      <c r="G89" s="656">
        <v>0</v>
      </c>
      <c r="I89" s="658">
        <f t="shared" si="43"/>
        <v>8638186.6659764461</v>
      </c>
      <c r="J89" s="658">
        <f t="shared" ref="J89" si="318">IF($G89=0,0,-MIN(0,G89*c_EquityShare.LP))</f>
        <v>0</v>
      </c>
      <c r="K89" s="658">
        <f t="shared" ref="K89" si="319">I89*c_Rate.Pref_MO</f>
        <v>0</v>
      </c>
      <c r="L89" s="658">
        <f t="shared" si="15"/>
        <v>0</v>
      </c>
      <c r="M89" s="658">
        <f t="shared" si="46"/>
        <v>8638186.6659764461</v>
      </c>
      <c r="N89" s="658">
        <f t="shared" si="66"/>
        <v>0</v>
      </c>
      <c r="O89" s="658" cm="1">
        <f t="array" ref="O89">IF(I89=0,0,IF(G89&lt;0,N89/c_EquityShare.LP*i_EquityShare.GP,L89/c_EquityShare.LP*i_EquityShare.GP))</f>
        <v>0</v>
      </c>
      <c r="P89" s="658">
        <f t="shared" si="47"/>
        <v>0</v>
      </c>
      <c r="Q89" s="658">
        <f t="shared" si="16"/>
        <v>0</v>
      </c>
      <c r="R89" s="521"/>
      <c r="S89" s="660">
        <f t="shared" si="48"/>
        <v>14594407.579866879</v>
      </c>
      <c r="T89" s="663" cm="1">
        <f t="array" ref="T89">IF($G89=0,0,-MIN(0,$G89*c_EquityShare.LP))</f>
        <v>0</v>
      </c>
      <c r="U89" s="663" cm="1">
        <f t="array" ref="U89">IF($D89=0,0,S89*c_Rate.Hurdle1.MO)</f>
        <v>116377.85551851602</v>
      </c>
      <c r="V89" s="660">
        <f t="shared" si="67"/>
        <v>0</v>
      </c>
      <c r="W89" s="660">
        <f t="shared" si="17"/>
        <v>0</v>
      </c>
      <c r="X89" s="663">
        <f t="shared" si="68"/>
        <v>14710785.435385395</v>
      </c>
      <c r="Y89" s="663">
        <f t="shared" si="49"/>
        <v>0</v>
      </c>
      <c r="Z89" s="663">
        <f t="shared" ref="Z89" si="320">IF(S89=0,0,O89+W89/$J$17*c_Hurdle1.Share_GP)</f>
        <v>0</v>
      </c>
      <c r="AA89" s="663">
        <f t="shared" si="19"/>
        <v>0</v>
      </c>
      <c r="AB89" s="660">
        <f t="shared" si="70"/>
        <v>0</v>
      </c>
      <c r="AC89" s="521"/>
      <c r="AD89" s="663">
        <f t="shared" si="51"/>
        <v>21603534.078038581</v>
      </c>
      <c r="AE89" s="663">
        <f t="shared" ref="AE89" si="321">IF($G89=0,0,-MIN(0,$G89*c_EquityShare.LP))</f>
        <v>0</v>
      </c>
      <c r="AF89" s="663" cm="1">
        <f t="array" ref="AF89">IF($D89=0,0,AD89*(c_Rate.Hurdle2.MO))</f>
        <v>330738.66765766917</v>
      </c>
      <c r="AG89" s="663">
        <f t="shared" si="21"/>
        <v>0</v>
      </c>
      <c r="AH89" s="663">
        <f t="shared" si="53"/>
        <v>0</v>
      </c>
      <c r="AI89" s="663">
        <f t="shared" si="22"/>
        <v>21934272.74569625</v>
      </c>
      <c r="AJ89" s="664">
        <f t="shared" si="23"/>
        <v>0</v>
      </c>
      <c r="AK89" s="660">
        <f t="shared" si="24"/>
        <v>0</v>
      </c>
      <c r="AL89" s="663">
        <f t="shared" ref="AL89" si="322">IF(AD89=0,0,Z89+AH89/$J$18*c_Hurdle2.Share_GP)</f>
        <v>0</v>
      </c>
      <c r="AM89" s="663">
        <f t="shared" si="25"/>
        <v>0</v>
      </c>
      <c r="AN89" s="660">
        <f t="shared" si="73"/>
        <v>0</v>
      </c>
      <c r="AO89" s="521"/>
      <c r="AP89" s="663">
        <f t="shared" si="55"/>
        <v>29719802.037542138</v>
      </c>
      <c r="AQ89" s="663">
        <f t="shared" ref="AQ89" si="323">IF($G89=0,0,-MIN(0,$G89*c_EquityShare.LP))</f>
        <v>0</v>
      </c>
      <c r="AR89" s="663" cm="1">
        <f t="array" ref="AR89">IF($D89=0,0,AP89*(c_Rate.Hurdle3.MO))</f>
        <v>656939.89579089463</v>
      </c>
      <c r="AS89" s="663">
        <f t="shared" si="27"/>
        <v>0</v>
      </c>
      <c r="AT89" s="663">
        <f t="shared" si="57"/>
        <v>0</v>
      </c>
      <c r="AU89" s="663">
        <f t="shared" si="28"/>
        <v>30376741.933333032</v>
      </c>
      <c r="AV89" s="664">
        <f t="shared" si="29"/>
        <v>0</v>
      </c>
      <c r="AW89" s="660">
        <f t="shared" si="58"/>
        <v>0</v>
      </c>
      <c r="AX89" s="663">
        <f t="shared" ref="AX89" si="324">IF(AP89=0,0,AL89+AT89/$J$19*c_Hurdle3.Share_GP)</f>
        <v>0</v>
      </c>
      <c r="AY89" s="663">
        <f t="shared" si="60"/>
        <v>0</v>
      </c>
      <c r="AZ89" s="660">
        <f t="shared" si="76"/>
        <v>0</v>
      </c>
      <c r="BA89" s="521"/>
      <c r="BB89" s="660">
        <f t="shared" si="30"/>
        <v>0</v>
      </c>
      <c r="BC89" s="660">
        <f t="shared" ref="BC89" si="325">$AZ89*c_Residual.Share_GP</f>
        <v>0</v>
      </c>
      <c r="BD89" s="651"/>
      <c r="BE89" s="660">
        <f t="shared" si="62"/>
        <v>0</v>
      </c>
      <c r="BF89" s="660">
        <f t="shared" si="62"/>
        <v>0</v>
      </c>
      <c r="BG89" s="660">
        <f t="shared" si="32"/>
        <v>0</v>
      </c>
      <c r="BI89" s="660">
        <v>0</v>
      </c>
      <c r="BJ89" s="660">
        <v>0</v>
      </c>
      <c r="BK89" s="660">
        <v>0</v>
      </c>
      <c r="BL89" s="660">
        <f t="shared" si="33"/>
        <v>0</v>
      </c>
      <c r="BM89" s="660">
        <f t="shared" si="33"/>
        <v>0</v>
      </c>
      <c r="BN89" s="660">
        <f t="shared" si="34"/>
        <v>0</v>
      </c>
      <c r="BO89" s="660">
        <f t="shared" si="34"/>
        <v>0</v>
      </c>
      <c r="BP89" s="660">
        <f t="shared" si="35"/>
        <v>0</v>
      </c>
      <c r="BQ89" s="660">
        <f t="shared" si="35"/>
        <v>0</v>
      </c>
      <c r="BR89" s="660">
        <v>0</v>
      </c>
      <c r="BS89" s="660">
        <v>0</v>
      </c>
      <c r="BT89" s="660">
        <f t="shared" si="36"/>
        <v>0</v>
      </c>
      <c r="BU89" s="660">
        <f t="shared" si="36"/>
        <v>0</v>
      </c>
      <c r="BX89" s="660">
        <v>0</v>
      </c>
      <c r="BY89" s="660">
        <f t="shared" si="63"/>
        <v>0</v>
      </c>
      <c r="BZ89" s="660">
        <f t="shared" si="37"/>
        <v>0</v>
      </c>
      <c r="CA89" s="660">
        <f t="shared" si="38"/>
        <v>0</v>
      </c>
      <c r="CB89" s="660">
        <f t="shared" si="39"/>
        <v>0</v>
      </c>
      <c r="CC89" s="660">
        <f t="shared" si="40"/>
        <v>0</v>
      </c>
      <c r="CD89" s="660">
        <f t="shared" si="41"/>
        <v>0</v>
      </c>
    </row>
    <row r="90" spans="4:82" ht="16" thickTop="1" thickBot="1">
      <c r="D90" s="653">
        <v>34</v>
      </c>
      <c r="E90" s="654">
        <v>46721</v>
      </c>
      <c r="F90" s="655">
        <f t="shared" si="42"/>
        <v>3</v>
      </c>
      <c r="G90" s="656">
        <v>0</v>
      </c>
      <c r="I90" s="658">
        <f t="shared" si="43"/>
        <v>8638186.6659764461</v>
      </c>
      <c r="J90" s="658">
        <f t="shared" ref="J90" si="326">IF($G90=0,0,-MIN(0,G90*c_EquityShare.LP))</f>
        <v>0</v>
      </c>
      <c r="K90" s="658">
        <f t="shared" ref="K90" si="327">I90*c_Rate.Pref_MO</f>
        <v>0</v>
      </c>
      <c r="L90" s="658">
        <f t="shared" si="15"/>
        <v>0</v>
      </c>
      <c r="M90" s="658">
        <f t="shared" si="46"/>
        <v>8638186.6659764461</v>
      </c>
      <c r="N90" s="658">
        <f t="shared" si="66"/>
        <v>0</v>
      </c>
      <c r="O90" s="658" cm="1">
        <f t="array" ref="O90">IF(I90=0,0,IF(G90&lt;0,N90/c_EquityShare.LP*i_EquityShare.GP,L90/c_EquityShare.LP*i_EquityShare.GP))</f>
        <v>0</v>
      </c>
      <c r="P90" s="658">
        <f t="shared" si="47"/>
        <v>0</v>
      </c>
      <c r="Q90" s="658">
        <f t="shared" si="16"/>
        <v>0</v>
      </c>
      <c r="R90" s="521"/>
      <c r="S90" s="660">
        <f t="shared" si="48"/>
        <v>14710785.435385395</v>
      </c>
      <c r="T90" s="663" cm="1">
        <f t="array" ref="T90">IF($G90=0,0,-MIN(0,$G90*c_EquityShare.LP))</f>
        <v>0</v>
      </c>
      <c r="U90" s="663" cm="1">
        <f t="array" ref="U90">IF($D90=0,0,S90*c_Rate.Hurdle1.MO)</f>
        <v>117305.86888123534</v>
      </c>
      <c r="V90" s="660">
        <f t="shared" si="67"/>
        <v>0</v>
      </c>
      <c r="W90" s="660">
        <f t="shared" si="17"/>
        <v>0</v>
      </c>
      <c r="X90" s="663">
        <f t="shared" si="68"/>
        <v>14828091.30426663</v>
      </c>
      <c r="Y90" s="663">
        <f t="shared" si="49"/>
        <v>0</v>
      </c>
      <c r="Z90" s="663">
        <f t="shared" ref="Z90" si="328">IF(S90=0,0,O90+W90/$J$17*c_Hurdle1.Share_GP)</f>
        <v>0</v>
      </c>
      <c r="AA90" s="663">
        <f t="shared" si="19"/>
        <v>0</v>
      </c>
      <c r="AB90" s="660">
        <f t="shared" si="70"/>
        <v>0</v>
      </c>
      <c r="AC90" s="521"/>
      <c r="AD90" s="663">
        <f t="shared" si="51"/>
        <v>21934272.74569625</v>
      </c>
      <c r="AE90" s="663">
        <f t="shared" ref="AE90" si="329">IF($G90=0,0,-MIN(0,$G90*c_EquityShare.LP))</f>
        <v>0</v>
      </c>
      <c r="AF90" s="663" cm="1">
        <f t="array" ref="AF90">IF($D90=0,0,AD90*(c_Rate.Hurdle2.MO))</f>
        <v>335802.10153329466</v>
      </c>
      <c r="AG90" s="663">
        <f t="shared" si="21"/>
        <v>0</v>
      </c>
      <c r="AH90" s="663">
        <f t="shared" si="53"/>
        <v>0</v>
      </c>
      <c r="AI90" s="663">
        <f t="shared" si="22"/>
        <v>22270074.847229544</v>
      </c>
      <c r="AJ90" s="664">
        <f t="shared" si="23"/>
        <v>0</v>
      </c>
      <c r="AK90" s="660">
        <f t="shared" si="24"/>
        <v>0</v>
      </c>
      <c r="AL90" s="663">
        <f t="shared" ref="AL90" si="330">IF(AD90=0,0,Z90+AH90/$J$18*c_Hurdle2.Share_GP)</f>
        <v>0</v>
      </c>
      <c r="AM90" s="663">
        <f t="shared" si="25"/>
        <v>0</v>
      </c>
      <c r="AN90" s="660">
        <f t="shared" si="73"/>
        <v>0</v>
      </c>
      <c r="AO90" s="521"/>
      <c r="AP90" s="663">
        <f t="shared" si="55"/>
        <v>30376741.933333032</v>
      </c>
      <c r="AQ90" s="663">
        <f t="shared" ref="AQ90" si="331">IF($G90=0,0,-MIN(0,$G90*c_EquityShare.LP))</f>
        <v>0</v>
      </c>
      <c r="AR90" s="663" cm="1">
        <f t="array" ref="AR90">IF($D90=0,0,AP90*(c_Rate.Hurdle3.MO))</f>
        <v>671461.19126037962</v>
      </c>
      <c r="AS90" s="663">
        <f t="shared" si="27"/>
        <v>0</v>
      </c>
      <c r="AT90" s="663">
        <f t="shared" si="57"/>
        <v>0</v>
      </c>
      <c r="AU90" s="663">
        <f t="shared" si="28"/>
        <v>31048203.124593411</v>
      </c>
      <c r="AV90" s="664">
        <f t="shared" si="29"/>
        <v>0</v>
      </c>
      <c r="AW90" s="660">
        <f t="shared" si="58"/>
        <v>0</v>
      </c>
      <c r="AX90" s="663">
        <f t="shared" ref="AX90" si="332">IF(AP90=0,0,AL90+AT90/$J$19*c_Hurdle3.Share_GP)</f>
        <v>0</v>
      </c>
      <c r="AY90" s="663">
        <f t="shared" si="60"/>
        <v>0</v>
      </c>
      <c r="AZ90" s="660">
        <f t="shared" si="76"/>
        <v>0</v>
      </c>
      <c r="BA90" s="521"/>
      <c r="BB90" s="660">
        <f t="shared" si="30"/>
        <v>0</v>
      </c>
      <c r="BC90" s="660">
        <f t="shared" ref="BC90" si="333">$AZ90*c_Residual.Share_GP</f>
        <v>0</v>
      </c>
      <c r="BD90" s="651"/>
      <c r="BE90" s="660">
        <f t="shared" si="62"/>
        <v>0</v>
      </c>
      <c r="BF90" s="660">
        <f t="shared" si="62"/>
        <v>0</v>
      </c>
      <c r="BG90" s="660">
        <f t="shared" si="32"/>
        <v>0</v>
      </c>
      <c r="BI90" s="660">
        <v>0</v>
      </c>
      <c r="BJ90" s="660">
        <v>0</v>
      </c>
      <c r="BK90" s="660">
        <v>0</v>
      </c>
      <c r="BL90" s="660">
        <f t="shared" si="33"/>
        <v>0</v>
      </c>
      <c r="BM90" s="660">
        <f t="shared" si="33"/>
        <v>0</v>
      </c>
      <c r="BN90" s="660">
        <f t="shared" si="34"/>
        <v>0</v>
      </c>
      <c r="BO90" s="660">
        <f t="shared" si="34"/>
        <v>0</v>
      </c>
      <c r="BP90" s="660">
        <f t="shared" si="35"/>
        <v>0</v>
      </c>
      <c r="BQ90" s="660">
        <f t="shared" si="35"/>
        <v>0</v>
      </c>
      <c r="BR90" s="660">
        <v>0</v>
      </c>
      <c r="BS90" s="660">
        <v>0</v>
      </c>
      <c r="BT90" s="660">
        <f t="shared" si="36"/>
        <v>0</v>
      </c>
      <c r="BU90" s="660">
        <f t="shared" si="36"/>
        <v>0</v>
      </c>
      <c r="BX90" s="660">
        <v>0</v>
      </c>
      <c r="BY90" s="660">
        <f t="shared" si="63"/>
        <v>0</v>
      </c>
      <c r="BZ90" s="660">
        <f t="shared" si="37"/>
        <v>0</v>
      </c>
      <c r="CA90" s="660">
        <f t="shared" si="38"/>
        <v>0</v>
      </c>
      <c r="CB90" s="660">
        <f t="shared" si="39"/>
        <v>0</v>
      </c>
      <c r="CC90" s="660">
        <f t="shared" si="40"/>
        <v>0</v>
      </c>
      <c r="CD90" s="660">
        <f t="shared" si="41"/>
        <v>0</v>
      </c>
    </row>
    <row r="91" spans="4:82" ht="16" thickTop="1" thickBot="1">
      <c r="D91" s="653">
        <v>35</v>
      </c>
      <c r="E91" s="654">
        <v>46752</v>
      </c>
      <c r="F91" s="655">
        <f t="shared" si="42"/>
        <v>3</v>
      </c>
      <c r="G91" s="656">
        <v>0</v>
      </c>
      <c r="I91" s="658">
        <f t="shared" si="43"/>
        <v>8638186.6659764461</v>
      </c>
      <c r="J91" s="658">
        <f t="shared" ref="J91" si="334">IF($G91=0,0,-MIN(0,G91*c_EquityShare.LP))</f>
        <v>0</v>
      </c>
      <c r="K91" s="658">
        <f t="shared" ref="K91" si="335">I91*c_Rate.Pref_MO</f>
        <v>0</v>
      </c>
      <c r="L91" s="658">
        <f t="shared" si="15"/>
        <v>0</v>
      </c>
      <c r="M91" s="658">
        <f t="shared" si="46"/>
        <v>8638186.6659764461</v>
      </c>
      <c r="N91" s="658">
        <f t="shared" si="66"/>
        <v>0</v>
      </c>
      <c r="O91" s="658" cm="1">
        <f t="array" ref="O91">IF(I91=0,0,IF(G91&lt;0,N91/c_EquityShare.LP*i_EquityShare.GP,L91/c_EquityShare.LP*i_EquityShare.GP))</f>
        <v>0</v>
      </c>
      <c r="P91" s="658">
        <f t="shared" si="47"/>
        <v>0</v>
      </c>
      <c r="Q91" s="658">
        <f t="shared" si="16"/>
        <v>0</v>
      </c>
      <c r="R91" s="521"/>
      <c r="S91" s="660">
        <f t="shared" si="48"/>
        <v>14828091.30426663</v>
      </c>
      <c r="T91" s="663" cm="1">
        <f t="array" ref="T91">IF($G91=0,0,-MIN(0,$G91*c_EquityShare.LP))</f>
        <v>0</v>
      </c>
      <c r="U91" s="663" cm="1">
        <f t="array" ref="U91">IF($D91=0,0,S91*c_Rate.Hurdle1.MO)</f>
        <v>118241.28235282889</v>
      </c>
      <c r="V91" s="660">
        <f t="shared" si="67"/>
        <v>0</v>
      </c>
      <c r="W91" s="660">
        <f t="shared" si="17"/>
        <v>0</v>
      </c>
      <c r="X91" s="663">
        <f t="shared" si="68"/>
        <v>14946332.586619459</v>
      </c>
      <c r="Y91" s="663">
        <f t="shared" si="49"/>
        <v>0</v>
      </c>
      <c r="Z91" s="663">
        <f t="shared" ref="Z91" si="336">IF(S91=0,0,O91+W91/$J$17*c_Hurdle1.Share_GP)</f>
        <v>0</v>
      </c>
      <c r="AA91" s="663">
        <f t="shared" si="19"/>
        <v>0</v>
      </c>
      <c r="AB91" s="660">
        <f t="shared" si="70"/>
        <v>0</v>
      </c>
      <c r="AC91" s="521"/>
      <c r="AD91" s="663">
        <f t="shared" si="51"/>
        <v>22270074.847229544</v>
      </c>
      <c r="AE91" s="663">
        <f t="shared" ref="AE91" si="337">IF($G91=0,0,-MIN(0,$G91*c_EquityShare.LP))</f>
        <v>0</v>
      </c>
      <c r="AF91" s="663" cm="1">
        <f t="array" ref="AF91">IF($D91=0,0,AD91*(c_Rate.Hurdle2.MO))</f>
        <v>340943.05390046636</v>
      </c>
      <c r="AG91" s="663">
        <f t="shared" si="21"/>
        <v>0</v>
      </c>
      <c r="AH91" s="663">
        <f t="shared" si="53"/>
        <v>0</v>
      </c>
      <c r="AI91" s="663">
        <f t="shared" si="22"/>
        <v>22611017.901130009</v>
      </c>
      <c r="AJ91" s="664">
        <f t="shared" si="23"/>
        <v>0</v>
      </c>
      <c r="AK91" s="660">
        <f t="shared" si="24"/>
        <v>0</v>
      </c>
      <c r="AL91" s="663">
        <f t="shared" ref="AL91" si="338">IF(AD91=0,0,Z91+AH91/$J$18*c_Hurdle2.Share_GP)</f>
        <v>0</v>
      </c>
      <c r="AM91" s="663">
        <f t="shared" si="25"/>
        <v>0</v>
      </c>
      <c r="AN91" s="660">
        <f t="shared" si="73"/>
        <v>0</v>
      </c>
      <c r="AO91" s="521"/>
      <c r="AP91" s="663">
        <f t="shared" si="55"/>
        <v>31048203.124593411</v>
      </c>
      <c r="AQ91" s="663">
        <f t="shared" ref="AQ91" si="339">IF($G91=0,0,-MIN(0,$G91*c_EquityShare.LP))</f>
        <v>0</v>
      </c>
      <c r="AR91" s="663" cm="1">
        <f t="array" ref="AR91">IF($D91=0,0,AP91*(c_Rate.Hurdle3.MO))</f>
        <v>686303.47198812512</v>
      </c>
      <c r="AS91" s="663">
        <f t="shared" si="27"/>
        <v>0</v>
      </c>
      <c r="AT91" s="663">
        <f t="shared" si="57"/>
        <v>0</v>
      </c>
      <c r="AU91" s="663">
        <f t="shared" si="28"/>
        <v>31734506.596581537</v>
      </c>
      <c r="AV91" s="664">
        <f t="shared" si="29"/>
        <v>0</v>
      </c>
      <c r="AW91" s="660">
        <f t="shared" si="58"/>
        <v>0</v>
      </c>
      <c r="AX91" s="663">
        <f t="shared" ref="AX91" si="340">IF(AP91=0,0,AL91+AT91/$J$19*c_Hurdle3.Share_GP)</f>
        <v>0</v>
      </c>
      <c r="AY91" s="663">
        <f t="shared" si="60"/>
        <v>0</v>
      </c>
      <c r="AZ91" s="660">
        <f t="shared" si="76"/>
        <v>0</v>
      </c>
      <c r="BA91" s="521"/>
      <c r="BB91" s="660">
        <f t="shared" si="30"/>
        <v>0</v>
      </c>
      <c r="BC91" s="660">
        <f t="shared" ref="BC91" si="341">$AZ91*c_Residual.Share_GP</f>
        <v>0</v>
      </c>
      <c r="BD91" s="651"/>
      <c r="BE91" s="660">
        <f t="shared" si="62"/>
        <v>0</v>
      </c>
      <c r="BF91" s="660">
        <f t="shared" si="62"/>
        <v>0</v>
      </c>
      <c r="BG91" s="660">
        <f t="shared" si="32"/>
        <v>0</v>
      </c>
      <c r="BI91" s="660">
        <v>0</v>
      </c>
      <c r="BJ91" s="660">
        <v>0</v>
      </c>
      <c r="BK91" s="660">
        <v>0</v>
      </c>
      <c r="BL91" s="660">
        <f t="shared" si="33"/>
        <v>0</v>
      </c>
      <c r="BM91" s="660">
        <f t="shared" si="33"/>
        <v>0</v>
      </c>
      <c r="BN91" s="660">
        <f t="shared" si="34"/>
        <v>0</v>
      </c>
      <c r="BO91" s="660">
        <f t="shared" si="34"/>
        <v>0</v>
      </c>
      <c r="BP91" s="660">
        <f t="shared" si="35"/>
        <v>0</v>
      </c>
      <c r="BQ91" s="660">
        <f t="shared" si="35"/>
        <v>0</v>
      </c>
      <c r="BR91" s="660">
        <v>0</v>
      </c>
      <c r="BS91" s="660">
        <v>0</v>
      </c>
      <c r="BT91" s="660">
        <f t="shared" si="36"/>
        <v>0</v>
      </c>
      <c r="BU91" s="660">
        <f t="shared" si="36"/>
        <v>0</v>
      </c>
      <c r="BX91" s="660">
        <v>0</v>
      </c>
      <c r="BY91" s="660">
        <f t="shared" si="63"/>
        <v>0</v>
      </c>
      <c r="BZ91" s="660">
        <f t="shared" si="37"/>
        <v>0</v>
      </c>
      <c r="CA91" s="660">
        <f t="shared" si="38"/>
        <v>0</v>
      </c>
      <c r="CB91" s="660">
        <f t="shared" si="39"/>
        <v>0</v>
      </c>
      <c r="CC91" s="660">
        <f t="shared" si="40"/>
        <v>0</v>
      </c>
      <c r="CD91" s="660">
        <f t="shared" si="41"/>
        <v>0</v>
      </c>
    </row>
    <row r="92" spans="4:82" ht="16" thickTop="1" thickBot="1">
      <c r="D92" s="653">
        <v>36</v>
      </c>
      <c r="E92" s="654">
        <v>46783</v>
      </c>
      <c r="F92" s="655">
        <f t="shared" si="42"/>
        <v>4</v>
      </c>
      <c r="G92" s="656">
        <v>0</v>
      </c>
      <c r="I92" s="658">
        <f t="shared" si="43"/>
        <v>8638186.6659764461</v>
      </c>
      <c r="J92" s="658">
        <f t="shared" ref="J92" si="342">IF($G92=0,0,-MIN(0,G92*c_EquityShare.LP))</f>
        <v>0</v>
      </c>
      <c r="K92" s="658">
        <f t="shared" ref="K92" si="343">I92*c_Rate.Pref_MO</f>
        <v>0</v>
      </c>
      <c r="L92" s="658">
        <f t="shared" si="15"/>
        <v>0</v>
      </c>
      <c r="M92" s="658">
        <f t="shared" si="46"/>
        <v>8638186.6659764461</v>
      </c>
      <c r="N92" s="658">
        <f t="shared" si="66"/>
        <v>0</v>
      </c>
      <c r="O92" s="658" cm="1">
        <f t="array" ref="O92">IF(I92=0,0,IF(G92&lt;0,N92/c_EquityShare.LP*i_EquityShare.GP,L92/c_EquityShare.LP*i_EquityShare.GP))</f>
        <v>0</v>
      </c>
      <c r="P92" s="658">
        <f t="shared" si="47"/>
        <v>0</v>
      </c>
      <c r="Q92" s="658">
        <f t="shared" si="16"/>
        <v>0</v>
      </c>
      <c r="R92" s="521"/>
      <c r="S92" s="660">
        <f t="shared" si="48"/>
        <v>14946332.586619459</v>
      </c>
      <c r="T92" s="663" cm="1">
        <f t="array" ref="T92">IF($G92=0,0,-MIN(0,$G92*c_EquityShare.LP))</f>
        <v>0</v>
      </c>
      <c r="U92" s="663" cm="1">
        <f t="array" ref="U92">IF($D92=0,0,S92*c_Rate.Hurdle1.MO)</f>
        <v>119184.154942804</v>
      </c>
      <c r="V92" s="660">
        <f t="shared" si="67"/>
        <v>0</v>
      </c>
      <c r="W92" s="660">
        <f t="shared" si="17"/>
        <v>0</v>
      </c>
      <c r="X92" s="663">
        <f t="shared" si="68"/>
        <v>15065516.741562262</v>
      </c>
      <c r="Y92" s="663">
        <f t="shared" si="49"/>
        <v>0</v>
      </c>
      <c r="Z92" s="663">
        <f t="shared" ref="Z92" si="344">IF(S92=0,0,O92+W92/$J$17*c_Hurdle1.Share_GP)</f>
        <v>0</v>
      </c>
      <c r="AA92" s="663">
        <f t="shared" si="19"/>
        <v>0</v>
      </c>
      <c r="AB92" s="660">
        <f t="shared" si="70"/>
        <v>0</v>
      </c>
      <c r="AC92" s="521"/>
      <c r="AD92" s="663">
        <f t="shared" si="51"/>
        <v>22611017.901130009</v>
      </c>
      <c r="AE92" s="663">
        <f t="shared" ref="AE92" si="345">IF($G92=0,0,-MIN(0,$G92*c_EquityShare.LP))</f>
        <v>0</v>
      </c>
      <c r="AF92" s="663" cm="1">
        <f t="array" ref="AF92">IF($D92=0,0,AD92*(c_Rate.Hurdle2.MO))</f>
        <v>346162.71152624377</v>
      </c>
      <c r="AG92" s="663">
        <f t="shared" si="21"/>
        <v>0</v>
      </c>
      <c r="AH92" s="663">
        <f t="shared" si="53"/>
        <v>0</v>
      </c>
      <c r="AI92" s="663">
        <f t="shared" si="22"/>
        <v>22957180.612656254</v>
      </c>
      <c r="AJ92" s="664">
        <f t="shared" si="23"/>
        <v>0</v>
      </c>
      <c r="AK92" s="660">
        <f t="shared" si="24"/>
        <v>0</v>
      </c>
      <c r="AL92" s="663">
        <f t="shared" ref="AL92" si="346">IF(AD92=0,0,Z92+AH92/$J$18*c_Hurdle2.Share_GP)</f>
        <v>0</v>
      </c>
      <c r="AM92" s="663">
        <f t="shared" si="25"/>
        <v>0</v>
      </c>
      <c r="AN92" s="660">
        <f t="shared" si="73"/>
        <v>0</v>
      </c>
      <c r="AO92" s="521"/>
      <c r="AP92" s="663">
        <f t="shared" si="55"/>
        <v>31734506.596581537</v>
      </c>
      <c r="AQ92" s="663">
        <f t="shared" ref="AQ92" si="347">IF($G92=0,0,-MIN(0,$G92*c_EquityShare.LP))</f>
        <v>0</v>
      </c>
      <c r="AR92" s="663" cm="1">
        <f t="array" ref="AR92">IF($D92=0,0,AP92*(c_Rate.Hurdle3.MO))</f>
        <v>701473.83317691367</v>
      </c>
      <c r="AS92" s="663">
        <f t="shared" si="27"/>
        <v>0</v>
      </c>
      <c r="AT92" s="663">
        <f t="shared" si="57"/>
        <v>0</v>
      </c>
      <c r="AU92" s="663">
        <f t="shared" si="28"/>
        <v>32435980.429758452</v>
      </c>
      <c r="AV92" s="664">
        <f t="shared" si="29"/>
        <v>0</v>
      </c>
      <c r="AW92" s="660">
        <f t="shared" si="58"/>
        <v>0</v>
      </c>
      <c r="AX92" s="663">
        <f t="shared" ref="AX92" si="348">IF(AP92=0,0,AL92+AT92/$J$19*c_Hurdle3.Share_GP)</f>
        <v>0</v>
      </c>
      <c r="AY92" s="663">
        <f t="shared" si="60"/>
        <v>0</v>
      </c>
      <c r="AZ92" s="660">
        <f t="shared" si="76"/>
        <v>0</v>
      </c>
      <c r="BA92" s="521"/>
      <c r="BB92" s="660">
        <f t="shared" si="30"/>
        <v>0</v>
      </c>
      <c r="BC92" s="660">
        <f t="shared" ref="BC92" si="349">$AZ92*c_Residual.Share_GP</f>
        <v>0</v>
      </c>
      <c r="BD92" s="651"/>
      <c r="BE92" s="660">
        <f t="shared" si="62"/>
        <v>0</v>
      </c>
      <c r="BF92" s="660">
        <f t="shared" si="62"/>
        <v>0</v>
      </c>
      <c r="BG92" s="660">
        <f t="shared" si="32"/>
        <v>0</v>
      </c>
      <c r="BI92" s="660">
        <v>0</v>
      </c>
      <c r="BJ92" s="660">
        <v>0</v>
      </c>
      <c r="BK92" s="660">
        <v>0</v>
      </c>
      <c r="BL92" s="660">
        <f t="shared" si="33"/>
        <v>0</v>
      </c>
      <c r="BM92" s="660">
        <f t="shared" si="33"/>
        <v>0</v>
      </c>
      <c r="BN92" s="660">
        <f t="shared" si="34"/>
        <v>0</v>
      </c>
      <c r="BO92" s="660">
        <f t="shared" si="34"/>
        <v>0</v>
      </c>
      <c r="BP92" s="660">
        <f t="shared" si="35"/>
        <v>0</v>
      </c>
      <c r="BQ92" s="660">
        <f t="shared" si="35"/>
        <v>0</v>
      </c>
      <c r="BR92" s="660">
        <v>0</v>
      </c>
      <c r="BS92" s="660">
        <v>0</v>
      </c>
      <c r="BT92" s="660">
        <f t="shared" si="36"/>
        <v>0</v>
      </c>
      <c r="BU92" s="660">
        <f t="shared" si="36"/>
        <v>0</v>
      </c>
      <c r="BX92" s="660">
        <v>0</v>
      </c>
      <c r="BY92" s="660">
        <f t="shared" si="63"/>
        <v>0</v>
      </c>
      <c r="BZ92" s="660">
        <f t="shared" si="37"/>
        <v>0</v>
      </c>
      <c r="CA92" s="660">
        <f t="shared" si="38"/>
        <v>0</v>
      </c>
      <c r="CB92" s="660">
        <f t="shared" si="39"/>
        <v>0</v>
      </c>
      <c r="CC92" s="660">
        <f t="shared" si="40"/>
        <v>0</v>
      </c>
      <c r="CD92" s="660">
        <f t="shared" si="41"/>
        <v>0</v>
      </c>
    </row>
    <row r="93" spans="4:82" ht="16" thickTop="1" thickBot="1">
      <c r="D93" s="653">
        <v>37</v>
      </c>
      <c r="E93" s="654">
        <v>46812</v>
      </c>
      <c r="F93" s="655">
        <f t="shared" si="42"/>
        <v>4</v>
      </c>
      <c r="G93" s="656">
        <v>5086675.3310210221</v>
      </c>
      <c r="I93" s="658">
        <f t="shared" si="43"/>
        <v>8638186.6659764461</v>
      </c>
      <c r="J93" s="658">
        <f t="shared" ref="J93" si="350">IF($G93=0,0,-MIN(0,G93*c_EquityShare.LP))</f>
        <v>0</v>
      </c>
      <c r="K93" s="658">
        <f t="shared" ref="K93" si="351">I93*c_Rate.Pref_MO</f>
        <v>0</v>
      </c>
      <c r="L93" s="658">
        <f t="shared" si="15"/>
        <v>5086675.3310210221</v>
      </c>
      <c r="M93" s="658">
        <f t="shared" si="46"/>
        <v>3551511.3349554241</v>
      </c>
      <c r="N93" s="658">
        <f t="shared" si="66"/>
        <v>5086675.3310210221</v>
      </c>
      <c r="O93" s="658" cm="1">
        <f t="array" ref="O93">IF(I93=0,0,IF(G93&lt;0,N93/c_EquityShare.LP*i_EquityShare.GP,L93/c_EquityShare.LP*i_EquityShare.GP))</f>
        <v>0</v>
      </c>
      <c r="P93" s="658">
        <f t="shared" si="47"/>
        <v>5086675.3310210221</v>
      </c>
      <c r="Q93" s="658">
        <f t="shared" si="16"/>
        <v>0</v>
      </c>
      <c r="R93" s="521"/>
      <c r="S93" s="660">
        <f t="shared" si="48"/>
        <v>15065516.741562262</v>
      </c>
      <c r="T93" s="663" cm="1">
        <f t="array" ref="T93">IF($G93=0,0,-MIN(0,$G93*c_EquityShare.LP))</f>
        <v>0</v>
      </c>
      <c r="U93" s="663" cm="1">
        <f t="array" ref="U93">IF($D93=0,0,S93*c_Rate.Hurdle1.MO)</f>
        <v>120134.54613121814</v>
      </c>
      <c r="V93" s="660">
        <f t="shared" si="67"/>
        <v>5086675.3310210221</v>
      </c>
      <c r="W93" s="660">
        <f t="shared" si="17"/>
        <v>0</v>
      </c>
      <c r="X93" s="663">
        <f t="shared" si="68"/>
        <v>10098975.956672458</v>
      </c>
      <c r="Y93" s="663">
        <f t="shared" si="49"/>
        <v>5086675.3310210221</v>
      </c>
      <c r="Z93" s="663">
        <f t="shared" ref="Z93" si="352">IF(S93=0,0,O93+W93/$J$17*c_Hurdle1.Share_GP)</f>
        <v>0</v>
      </c>
      <c r="AA93" s="663">
        <f t="shared" si="19"/>
        <v>5086675.3310210221</v>
      </c>
      <c r="AB93" s="660">
        <f t="shared" si="70"/>
        <v>0</v>
      </c>
      <c r="AC93" s="521"/>
      <c r="AD93" s="663">
        <f t="shared" si="51"/>
        <v>22957180.612656254</v>
      </c>
      <c r="AE93" s="663">
        <f t="shared" ref="AE93" si="353">IF($G93=0,0,-MIN(0,$G93*c_EquityShare.LP))</f>
        <v>0</v>
      </c>
      <c r="AF93" s="663" cm="1">
        <f t="array" ref="AF93">IF($D93=0,0,AD93*(c_Rate.Hurdle2.MO))</f>
        <v>351462.27934646182</v>
      </c>
      <c r="AG93" s="663">
        <f t="shared" si="21"/>
        <v>5086675.3310210221</v>
      </c>
      <c r="AH93" s="663">
        <f t="shared" si="53"/>
        <v>0</v>
      </c>
      <c r="AI93" s="663">
        <f t="shared" si="22"/>
        <v>18221967.560981695</v>
      </c>
      <c r="AJ93" s="664">
        <f t="shared" si="23"/>
        <v>5086675.3310210221</v>
      </c>
      <c r="AK93" s="660">
        <f t="shared" si="24"/>
        <v>5086675.3310210221</v>
      </c>
      <c r="AL93" s="663">
        <f t="shared" ref="AL93" si="354">IF(AD93=0,0,Z93+AH93/$J$18*c_Hurdle2.Share_GP)</f>
        <v>0</v>
      </c>
      <c r="AM93" s="663">
        <f t="shared" si="25"/>
        <v>5086675.3310210221</v>
      </c>
      <c r="AN93" s="660">
        <f t="shared" si="73"/>
        <v>0</v>
      </c>
      <c r="AO93" s="521"/>
      <c r="AP93" s="663">
        <f t="shared" si="55"/>
        <v>32435980.429758452</v>
      </c>
      <c r="AQ93" s="663">
        <f t="shared" ref="AQ93" si="355">IF($G93=0,0,-MIN(0,$G93*c_EquityShare.LP))</f>
        <v>0</v>
      </c>
      <c r="AR93" s="663" cm="1">
        <f t="array" ref="AR93">IF($D93=0,0,AP93*(c_Rate.Hurdle3.MO))</f>
        <v>716979.52686508722</v>
      </c>
      <c r="AS93" s="663">
        <f t="shared" si="27"/>
        <v>5086675.3310210221</v>
      </c>
      <c r="AT93" s="663">
        <f t="shared" si="57"/>
        <v>0</v>
      </c>
      <c r="AU93" s="663">
        <f t="shared" si="28"/>
        <v>28066284.625602517</v>
      </c>
      <c r="AV93" s="664">
        <f t="shared" si="29"/>
        <v>5086675.3310210221</v>
      </c>
      <c r="AW93" s="660">
        <f t="shared" si="58"/>
        <v>5086675.3310210221</v>
      </c>
      <c r="AX93" s="663">
        <f t="shared" ref="AX93" si="356">IF(AP93=0,0,AL93+AT93/$J$19*c_Hurdle3.Share_GP)</f>
        <v>0</v>
      </c>
      <c r="AY93" s="663">
        <f t="shared" si="60"/>
        <v>5086675.3310210221</v>
      </c>
      <c r="AZ93" s="660">
        <f t="shared" si="76"/>
        <v>0</v>
      </c>
      <c r="BA93" s="521"/>
      <c r="BB93" s="660">
        <f t="shared" si="30"/>
        <v>0</v>
      </c>
      <c r="BC93" s="660">
        <f t="shared" ref="BC93" si="357">$AZ93*c_Residual.Share_GP</f>
        <v>0</v>
      </c>
      <c r="BD93" s="651"/>
      <c r="BE93" s="660">
        <f t="shared" si="62"/>
        <v>5086675.3310210221</v>
      </c>
      <c r="BF93" s="660">
        <f t="shared" si="62"/>
        <v>0</v>
      </c>
      <c r="BG93" s="660">
        <f t="shared" si="32"/>
        <v>5086675.3310210221</v>
      </c>
      <c r="BI93" s="660">
        <v>5086675.3310210221</v>
      </c>
      <c r="BJ93" s="660">
        <v>5086675.3310210221</v>
      </c>
      <c r="BK93" s="660">
        <v>0</v>
      </c>
      <c r="BL93" s="660">
        <f t="shared" si="33"/>
        <v>0</v>
      </c>
      <c r="BM93" s="660">
        <f t="shared" si="33"/>
        <v>0</v>
      </c>
      <c r="BN93" s="660">
        <f t="shared" si="34"/>
        <v>0</v>
      </c>
      <c r="BO93" s="660">
        <f t="shared" si="34"/>
        <v>0</v>
      </c>
      <c r="BP93" s="660">
        <f t="shared" si="35"/>
        <v>0</v>
      </c>
      <c r="BQ93" s="660">
        <f t="shared" si="35"/>
        <v>0</v>
      </c>
      <c r="BR93" s="660">
        <v>0</v>
      </c>
      <c r="BS93" s="660">
        <v>0</v>
      </c>
      <c r="BT93" s="660">
        <f t="shared" si="36"/>
        <v>5086675.3310210221</v>
      </c>
      <c r="BU93" s="660">
        <f t="shared" si="36"/>
        <v>0</v>
      </c>
      <c r="BX93" s="660">
        <v>5086675.3310210221</v>
      </c>
      <c r="BY93" s="660">
        <f t="shared" si="63"/>
        <v>5086675.3310210221</v>
      </c>
      <c r="BZ93" s="660">
        <f t="shared" si="37"/>
        <v>0</v>
      </c>
      <c r="CA93" s="660">
        <f t="shared" si="38"/>
        <v>0</v>
      </c>
      <c r="CB93" s="660">
        <f t="shared" si="39"/>
        <v>0</v>
      </c>
      <c r="CC93" s="660">
        <f t="shared" si="40"/>
        <v>0</v>
      </c>
      <c r="CD93" s="660">
        <f t="shared" si="41"/>
        <v>5086675.3310210221</v>
      </c>
    </row>
    <row r="94" spans="4:82" ht="16" thickTop="1" thickBot="1">
      <c r="D94" s="653">
        <v>38</v>
      </c>
      <c r="E94" s="654">
        <v>46843</v>
      </c>
      <c r="F94" s="655">
        <f t="shared" si="42"/>
        <v>4</v>
      </c>
      <c r="G94" s="656">
        <v>0</v>
      </c>
      <c r="I94" s="658">
        <f t="shared" si="43"/>
        <v>3551511.3349554241</v>
      </c>
      <c r="J94" s="658">
        <f t="shared" ref="J94" si="358">IF($G94=0,0,-MIN(0,G94*c_EquityShare.LP))</f>
        <v>0</v>
      </c>
      <c r="K94" s="658">
        <f t="shared" ref="K94" si="359">I94*c_Rate.Pref_MO</f>
        <v>0</v>
      </c>
      <c r="L94" s="658">
        <f t="shared" si="15"/>
        <v>0</v>
      </c>
      <c r="M94" s="658">
        <f t="shared" si="46"/>
        <v>3551511.3349554241</v>
      </c>
      <c r="N94" s="658">
        <f t="shared" si="66"/>
        <v>0</v>
      </c>
      <c r="O94" s="658" cm="1">
        <f t="array" ref="O94">IF(I94=0,0,IF(G94&lt;0,N94/c_EquityShare.LP*i_EquityShare.GP,L94/c_EquityShare.LP*i_EquityShare.GP))</f>
        <v>0</v>
      </c>
      <c r="P94" s="658">
        <f t="shared" si="47"/>
        <v>0</v>
      </c>
      <c r="Q94" s="658">
        <f t="shared" si="16"/>
        <v>0</v>
      </c>
      <c r="R94" s="521"/>
      <c r="S94" s="660">
        <f t="shared" si="48"/>
        <v>10098975.956672458</v>
      </c>
      <c r="T94" s="663" cm="1">
        <f t="array" ref="T94">IF($G94=0,0,-MIN(0,$G94*c_EquityShare.LP))</f>
        <v>0</v>
      </c>
      <c r="U94" s="663" cm="1">
        <f t="array" ref="U94">IF($D94=0,0,S94*c_Rate.Hurdle1.MO)</f>
        <v>80530.652466628919</v>
      </c>
      <c r="V94" s="660">
        <f t="shared" si="67"/>
        <v>0</v>
      </c>
      <c r="W94" s="660">
        <f t="shared" si="17"/>
        <v>0</v>
      </c>
      <c r="X94" s="663">
        <f t="shared" si="68"/>
        <v>10179506.609139087</v>
      </c>
      <c r="Y94" s="663">
        <f t="shared" si="49"/>
        <v>0</v>
      </c>
      <c r="Z94" s="663">
        <f t="shared" ref="Z94" si="360">IF(S94=0,0,O94+W94/$J$17*c_Hurdle1.Share_GP)</f>
        <v>0</v>
      </c>
      <c r="AA94" s="663">
        <f t="shared" si="19"/>
        <v>0</v>
      </c>
      <c r="AB94" s="660">
        <f t="shared" si="70"/>
        <v>0</v>
      </c>
      <c r="AC94" s="521"/>
      <c r="AD94" s="663">
        <f t="shared" si="51"/>
        <v>18221967.560981695</v>
      </c>
      <c r="AE94" s="663">
        <f t="shared" ref="AE94" si="361">IF($G94=0,0,-MIN(0,$G94*c_EquityShare.LP))</f>
        <v>0</v>
      </c>
      <c r="AF94" s="663" cm="1">
        <f t="array" ref="AF94">IF($D94=0,0,AD94*(c_Rate.Hurdle2.MO))</f>
        <v>278968.674821908</v>
      </c>
      <c r="AG94" s="663">
        <f t="shared" si="21"/>
        <v>0</v>
      </c>
      <c r="AH94" s="663">
        <f t="shared" si="53"/>
        <v>0</v>
      </c>
      <c r="AI94" s="663">
        <f t="shared" si="22"/>
        <v>18500936.235803604</v>
      </c>
      <c r="AJ94" s="664">
        <f t="shared" si="23"/>
        <v>0</v>
      </c>
      <c r="AK94" s="660">
        <f t="shared" si="24"/>
        <v>0</v>
      </c>
      <c r="AL94" s="663">
        <f t="shared" ref="AL94" si="362">IF(AD94=0,0,Z94+AH94/$J$18*c_Hurdle2.Share_GP)</f>
        <v>0</v>
      </c>
      <c r="AM94" s="663">
        <f t="shared" si="25"/>
        <v>0</v>
      </c>
      <c r="AN94" s="660">
        <f t="shared" si="73"/>
        <v>0</v>
      </c>
      <c r="AO94" s="521"/>
      <c r="AP94" s="663">
        <f t="shared" si="55"/>
        <v>28066284.625602517</v>
      </c>
      <c r="AQ94" s="663">
        <f t="shared" ref="AQ94" si="363">IF($G94=0,0,-MIN(0,$G94*c_EquityShare.LP))</f>
        <v>0</v>
      </c>
      <c r="AR94" s="663" cm="1">
        <f t="array" ref="AR94">IF($D94=0,0,AP94*(c_Rate.Hurdle3.MO))</f>
        <v>620389.80185299169</v>
      </c>
      <c r="AS94" s="663">
        <f t="shared" si="27"/>
        <v>0</v>
      </c>
      <c r="AT94" s="663">
        <f t="shared" si="57"/>
        <v>0</v>
      </c>
      <c r="AU94" s="663">
        <f t="shared" si="28"/>
        <v>28686674.427455507</v>
      </c>
      <c r="AV94" s="664">
        <f t="shared" si="29"/>
        <v>0</v>
      </c>
      <c r="AW94" s="660">
        <f t="shared" si="58"/>
        <v>0</v>
      </c>
      <c r="AX94" s="663">
        <f t="shared" ref="AX94" si="364">IF(AP94=0,0,AL94+AT94/$J$19*c_Hurdle3.Share_GP)</f>
        <v>0</v>
      </c>
      <c r="AY94" s="663">
        <f t="shared" si="60"/>
        <v>0</v>
      </c>
      <c r="AZ94" s="660">
        <f t="shared" si="76"/>
        <v>0</v>
      </c>
      <c r="BA94" s="521"/>
      <c r="BB94" s="660">
        <f t="shared" si="30"/>
        <v>0</v>
      </c>
      <c r="BC94" s="660">
        <f t="shared" ref="BC94" si="365">$AZ94*c_Residual.Share_GP</f>
        <v>0</v>
      </c>
      <c r="BD94" s="651"/>
      <c r="BE94" s="660">
        <f t="shared" si="62"/>
        <v>0</v>
      </c>
      <c r="BF94" s="660">
        <f t="shared" si="62"/>
        <v>0</v>
      </c>
      <c r="BG94" s="660">
        <f t="shared" si="32"/>
        <v>0</v>
      </c>
      <c r="BI94" s="660">
        <v>0</v>
      </c>
      <c r="BJ94" s="660">
        <v>0</v>
      </c>
      <c r="BK94" s="660">
        <v>0</v>
      </c>
      <c r="BL94" s="660">
        <f t="shared" si="33"/>
        <v>0</v>
      </c>
      <c r="BM94" s="660">
        <f t="shared" si="33"/>
        <v>0</v>
      </c>
      <c r="BN94" s="660">
        <f t="shared" si="34"/>
        <v>0</v>
      </c>
      <c r="BO94" s="660">
        <f t="shared" si="34"/>
        <v>0</v>
      </c>
      <c r="BP94" s="660">
        <f t="shared" si="35"/>
        <v>0</v>
      </c>
      <c r="BQ94" s="660">
        <f t="shared" si="35"/>
        <v>0</v>
      </c>
      <c r="BR94" s="660">
        <v>0</v>
      </c>
      <c r="BS94" s="660">
        <v>0</v>
      </c>
      <c r="BT94" s="660">
        <f t="shared" si="36"/>
        <v>0</v>
      </c>
      <c r="BU94" s="660">
        <f t="shared" si="36"/>
        <v>0</v>
      </c>
      <c r="BX94" s="660">
        <v>0</v>
      </c>
      <c r="BY94" s="660">
        <f t="shared" si="63"/>
        <v>0</v>
      </c>
      <c r="BZ94" s="660">
        <f t="shared" si="37"/>
        <v>0</v>
      </c>
      <c r="CA94" s="660">
        <f t="shared" si="38"/>
        <v>0</v>
      </c>
      <c r="CB94" s="660">
        <f t="shared" si="39"/>
        <v>0</v>
      </c>
      <c r="CC94" s="660">
        <f t="shared" si="40"/>
        <v>0</v>
      </c>
      <c r="CD94" s="660">
        <f t="shared" si="41"/>
        <v>0</v>
      </c>
    </row>
    <row r="95" spans="4:82" ht="16" thickTop="1" thickBot="1">
      <c r="D95" s="653">
        <v>39</v>
      </c>
      <c r="E95" s="654">
        <v>46873</v>
      </c>
      <c r="F95" s="655">
        <f t="shared" si="42"/>
        <v>4</v>
      </c>
      <c r="G95" s="656">
        <v>8524321.4965901114</v>
      </c>
      <c r="I95" s="658">
        <f t="shared" si="43"/>
        <v>3551511.3349554241</v>
      </c>
      <c r="J95" s="658">
        <f t="shared" ref="J95" si="366">IF($G95=0,0,-MIN(0,G95*c_EquityShare.LP))</f>
        <v>0</v>
      </c>
      <c r="K95" s="658">
        <f t="shared" ref="K95" si="367">I95*c_Rate.Pref_MO</f>
        <v>0</v>
      </c>
      <c r="L95" s="658">
        <f t="shared" si="15"/>
        <v>3551511.3349554241</v>
      </c>
      <c r="M95" s="658">
        <f t="shared" si="46"/>
        <v>0</v>
      </c>
      <c r="N95" s="658">
        <f t="shared" si="66"/>
        <v>3551511.3349554241</v>
      </c>
      <c r="O95" s="658" cm="1">
        <f t="array" ref="O95">IF(I95=0,0,IF(G95&lt;0,N95/c_EquityShare.LP*i_EquityShare.GP,L95/c_EquityShare.LP*i_EquityShare.GP))</f>
        <v>0</v>
      </c>
      <c r="P95" s="658">
        <f t="shared" si="47"/>
        <v>3551511.3349554241</v>
      </c>
      <c r="Q95" s="658">
        <f t="shared" si="16"/>
        <v>4972810.1616346873</v>
      </c>
      <c r="R95" s="521"/>
      <c r="S95" s="660">
        <f t="shared" si="48"/>
        <v>10179506.609139087</v>
      </c>
      <c r="T95" s="663" cm="1">
        <f t="array" ref="T95">IF($G95=0,0,-MIN(0,$G95*c_EquityShare.LP))</f>
        <v>0</v>
      </c>
      <c r="U95" s="663" cm="1">
        <f t="array" ref="U95">IF($D95=0,0,S95*c_Rate.Hurdle1.MO)</f>
        <v>81172.815198229058</v>
      </c>
      <c r="V95" s="660">
        <f t="shared" si="67"/>
        <v>3551511.3349554241</v>
      </c>
      <c r="W95" s="660">
        <f t="shared" si="17"/>
        <v>4475529.145471219</v>
      </c>
      <c r="X95" s="663">
        <f t="shared" si="68"/>
        <v>2233638.9439106733</v>
      </c>
      <c r="Y95" s="663">
        <f t="shared" si="49"/>
        <v>8027040.480426643</v>
      </c>
      <c r="Z95" s="663">
        <f t="shared" ref="Z95" si="368">IF(S95=0,0,O95+W95/$J$17*c_Hurdle1.Share_GP)</f>
        <v>497281.01616346865</v>
      </c>
      <c r="AA95" s="663">
        <f t="shared" si="19"/>
        <v>8524321.4965901114</v>
      </c>
      <c r="AB95" s="660">
        <f t="shared" si="70"/>
        <v>0</v>
      </c>
      <c r="AC95" s="521"/>
      <c r="AD95" s="663">
        <f t="shared" si="51"/>
        <v>18500936.235803604</v>
      </c>
      <c r="AE95" s="663">
        <f t="shared" ref="AE95" si="369">IF($G95=0,0,-MIN(0,$G95*c_EquityShare.LP))</f>
        <v>0</v>
      </c>
      <c r="AF95" s="663" cm="1">
        <f t="array" ref="AF95">IF($D95=0,0,AD95*(c_Rate.Hurdle2.MO))</f>
        <v>283239.53751944314</v>
      </c>
      <c r="AG95" s="663">
        <f t="shared" si="21"/>
        <v>8027040.480426643</v>
      </c>
      <c r="AH95" s="663">
        <f t="shared" si="53"/>
        <v>0</v>
      </c>
      <c r="AI95" s="663">
        <f t="shared" si="22"/>
        <v>10757135.292896405</v>
      </c>
      <c r="AJ95" s="664">
        <f t="shared" si="23"/>
        <v>8027040.480426643</v>
      </c>
      <c r="AK95" s="660">
        <f t="shared" si="24"/>
        <v>8027040.480426643</v>
      </c>
      <c r="AL95" s="663">
        <f t="shared" ref="AL95" si="370">IF(AD95=0,0,Z95+AH95/$J$18*c_Hurdle2.Share_GP)</f>
        <v>497281.01616346865</v>
      </c>
      <c r="AM95" s="663">
        <f t="shared" si="25"/>
        <v>8524321.4965901114</v>
      </c>
      <c r="AN95" s="660">
        <f t="shared" si="73"/>
        <v>0</v>
      </c>
      <c r="AO95" s="521"/>
      <c r="AP95" s="663">
        <f t="shared" si="55"/>
        <v>28686674.427455507</v>
      </c>
      <c r="AQ95" s="663">
        <f t="shared" ref="AQ95" si="371">IF($G95=0,0,-MIN(0,$G95*c_EquityShare.LP))</f>
        <v>0</v>
      </c>
      <c r="AR95" s="663" cm="1">
        <f t="array" ref="AR95">IF($D95=0,0,AP95*(c_Rate.Hurdle3.MO))</f>
        <v>634103.17757683422</v>
      </c>
      <c r="AS95" s="663">
        <f t="shared" si="27"/>
        <v>8027040.480426643</v>
      </c>
      <c r="AT95" s="663">
        <f t="shared" si="57"/>
        <v>0</v>
      </c>
      <c r="AU95" s="663">
        <f t="shared" si="28"/>
        <v>21293737.124605697</v>
      </c>
      <c r="AV95" s="664">
        <f t="shared" si="29"/>
        <v>8027040.480426643</v>
      </c>
      <c r="AW95" s="660">
        <f t="shared" si="58"/>
        <v>8027040.480426643</v>
      </c>
      <c r="AX95" s="663">
        <f t="shared" ref="AX95" si="372">IF(AP95=0,0,AL95+AT95/$J$19*c_Hurdle3.Share_GP)</f>
        <v>497281.01616346865</v>
      </c>
      <c r="AY95" s="663">
        <f t="shared" si="60"/>
        <v>8524321.4965901114</v>
      </c>
      <c r="AZ95" s="660">
        <f t="shared" si="76"/>
        <v>0</v>
      </c>
      <c r="BA95" s="521"/>
      <c r="BB95" s="660">
        <f t="shared" si="30"/>
        <v>0</v>
      </c>
      <c r="BC95" s="660">
        <f t="shared" ref="BC95" si="373">$AZ95*c_Residual.Share_GP</f>
        <v>0</v>
      </c>
      <c r="BD95" s="651"/>
      <c r="BE95" s="660">
        <f t="shared" ref="BE95:BF120" si="374">AW95+BB95</f>
        <v>8027040.480426643</v>
      </c>
      <c r="BF95" s="660">
        <f t="shared" si="374"/>
        <v>497281.01616346865</v>
      </c>
      <c r="BG95" s="660">
        <f t="shared" si="32"/>
        <v>8524321.4965901114</v>
      </c>
      <c r="BI95" s="660">
        <v>8524321.4965901114</v>
      </c>
      <c r="BJ95" s="660">
        <v>3551511.3349554241</v>
      </c>
      <c r="BK95" s="660">
        <v>0</v>
      </c>
      <c r="BL95" s="660">
        <f t="shared" ref="BL95:BM120" si="375">Y95-N95</f>
        <v>4475529.145471219</v>
      </c>
      <c r="BM95" s="660">
        <f t="shared" si="375"/>
        <v>497281.01616346865</v>
      </c>
      <c r="BN95" s="660">
        <f t="shared" ref="BN95:BO120" si="376">AK95-Y95</f>
        <v>0</v>
      </c>
      <c r="BO95" s="660">
        <f t="shared" si="376"/>
        <v>0</v>
      </c>
      <c r="BP95" s="660">
        <f t="shared" ref="BP95:BQ120" si="377">AW95-AK95</f>
        <v>0</v>
      </c>
      <c r="BQ95" s="660">
        <f t="shared" si="377"/>
        <v>0</v>
      </c>
      <c r="BR95" s="660">
        <v>0</v>
      </c>
      <c r="BS95" s="660">
        <v>0</v>
      </c>
      <c r="BT95" s="660">
        <f t="shared" si="36"/>
        <v>8027040.480426643</v>
      </c>
      <c r="BU95" s="660">
        <f t="shared" si="36"/>
        <v>497281.01616346865</v>
      </c>
      <c r="BX95" s="660">
        <v>8524321.4965901114</v>
      </c>
      <c r="BY95" s="660">
        <f t="shared" si="63"/>
        <v>3551511.3349554241</v>
      </c>
      <c r="BZ95" s="660">
        <f t="shared" si="37"/>
        <v>4972810.1616346873</v>
      </c>
      <c r="CA95" s="660">
        <f t="shared" si="38"/>
        <v>0</v>
      </c>
      <c r="CB95" s="660">
        <f t="shared" si="39"/>
        <v>0</v>
      </c>
      <c r="CC95" s="660">
        <f t="shared" si="40"/>
        <v>0</v>
      </c>
      <c r="CD95" s="660">
        <f t="shared" ref="CD95:CD120" si="378">SUM(BY95:CC95)</f>
        <v>8524321.4965901114</v>
      </c>
    </row>
    <row r="96" spans="4:82" ht="16" thickTop="1" thickBot="1">
      <c r="D96" s="653">
        <v>40</v>
      </c>
      <c r="E96" s="654">
        <v>46904</v>
      </c>
      <c r="F96" s="655">
        <f t="shared" si="42"/>
        <v>4</v>
      </c>
      <c r="G96" s="656">
        <v>0</v>
      </c>
      <c r="I96" s="658">
        <f t="shared" si="43"/>
        <v>0</v>
      </c>
      <c r="J96" s="658">
        <f t="shared" ref="J96" si="379">IF($G96=0,0,-MIN(0,G96*c_EquityShare.LP))</f>
        <v>0</v>
      </c>
      <c r="K96" s="658">
        <f t="shared" ref="K96" si="380">I96*c_Rate.Pref_MO</f>
        <v>0</v>
      </c>
      <c r="L96" s="658">
        <f t="shared" si="15"/>
        <v>0</v>
      </c>
      <c r="M96" s="658">
        <f t="shared" si="46"/>
        <v>0</v>
      </c>
      <c r="N96" s="658">
        <f t="shared" si="66"/>
        <v>0</v>
      </c>
      <c r="O96" s="658" cm="1">
        <f t="array" ref="O96">IF(I96=0,0,IF(G96&lt;0,N96/c_EquityShare.LP*i_EquityShare.GP,L96/c_EquityShare.LP*i_EquityShare.GP))</f>
        <v>0</v>
      </c>
      <c r="P96" s="658">
        <f t="shared" si="47"/>
        <v>0</v>
      </c>
      <c r="Q96" s="658">
        <f t="shared" si="16"/>
        <v>0</v>
      </c>
      <c r="R96" s="521"/>
      <c r="S96" s="660">
        <f t="shared" si="48"/>
        <v>2233638.9439106733</v>
      </c>
      <c r="T96" s="663" cm="1">
        <f t="array" ref="T96">IF($G96=0,0,-MIN(0,$G96*c_EquityShare.LP))</f>
        <v>0</v>
      </c>
      <c r="U96" s="663" cm="1">
        <f t="array" ref="U96">IF($D96=0,0,S96*c_Rate.Hurdle1.MO)</f>
        <v>17811.350606212007</v>
      </c>
      <c r="V96" s="660">
        <f t="shared" si="67"/>
        <v>0</v>
      </c>
      <c r="W96" s="660">
        <f t="shared" si="17"/>
        <v>0</v>
      </c>
      <c r="X96" s="663">
        <f t="shared" si="68"/>
        <v>2251450.2945168852</v>
      </c>
      <c r="Y96" s="663">
        <f t="shared" si="49"/>
        <v>0</v>
      </c>
      <c r="Z96" s="663">
        <f t="shared" ref="Z96" si="381">IF(S96=0,0,O96+W96/$J$17*c_Hurdle1.Share_GP)</f>
        <v>0</v>
      </c>
      <c r="AA96" s="663">
        <f t="shared" si="19"/>
        <v>0</v>
      </c>
      <c r="AB96" s="660">
        <f t="shared" si="70"/>
        <v>0</v>
      </c>
      <c r="AC96" s="521"/>
      <c r="AD96" s="663">
        <f t="shared" si="51"/>
        <v>10757135.292896405</v>
      </c>
      <c r="AE96" s="663">
        <f t="shared" ref="AE96" si="382">IF($G96=0,0,-MIN(0,$G96*c_EquityShare.LP))</f>
        <v>0</v>
      </c>
      <c r="AF96" s="663" cm="1">
        <f t="array" ref="AF96">IF($D96=0,0,AD96*(c_Rate.Hurdle2.MO))</f>
        <v>164686.04542821477</v>
      </c>
      <c r="AG96" s="663">
        <f t="shared" si="21"/>
        <v>0</v>
      </c>
      <c r="AH96" s="663">
        <f t="shared" si="53"/>
        <v>0</v>
      </c>
      <c r="AI96" s="663">
        <f t="shared" si="22"/>
        <v>10921821.338324619</v>
      </c>
      <c r="AJ96" s="664">
        <f t="shared" si="23"/>
        <v>0</v>
      </c>
      <c r="AK96" s="660">
        <f t="shared" si="24"/>
        <v>0</v>
      </c>
      <c r="AL96" s="663">
        <f t="shared" ref="AL96" si="383">IF(AD96=0,0,Z96+AH96/$J$18*c_Hurdle2.Share_GP)</f>
        <v>0</v>
      </c>
      <c r="AM96" s="663">
        <f t="shared" si="25"/>
        <v>0</v>
      </c>
      <c r="AN96" s="660">
        <f t="shared" si="73"/>
        <v>0</v>
      </c>
      <c r="AO96" s="521"/>
      <c r="AP96" s="663">
        <f t="shared" si="55"/>
        <v>21293737.124605697</v>
      </c>
      <c r="AQ96" s="663">
        <f t="shared" ref="AQ96" si="384">IF($G96=0,0,-MIN(0,$G96*c_EquityShare.LP))</f>
        <v>0</v>
      </c>
      <c r="AR96" s="663" cm="1">
        <f t="array" ref="AR96">IF($D96=0,0,AP96*(c_Rate.Hurdle3.MO))</f>
        <v>470686.36022429081</v>
      </c>
      <c r="AS96" s="663">
        <f t="shared" si="27"/>
        <v>0</v>
      </c>
      <c r="AT96" s="663">
        <f t="shared" si="57"/>
        <v>0</v>
      </c>
      <c r="AU96" s="663">
        <f t="shared" si="28"/>
        <v>21764423.484829988</v>
      </c>
      <c r="AV96" s="664">
        <f t="shared" si="29"/>
        <v>0</v>
      </c>
      <c r="AW96" s="660">
        <f t="shared" si="58"/>
        <v>0</v>
      </c>
      <c r="AX96" s="663">
        <f t="shared" ref="AX96" si="385">IF(AP96=0,0,AL96+AT96/$J$19*c_Hurdle3.Share_GP)</f>
        <v>0</v>
      </c>
      <c r="AY96" s="663">
        <f t="shared" si="60"/>
        <v>0</v>
      </c>
      <c r="AZ96" s="660">
        <f t="shared" si="76"/>
        <v>0</v>
      </c>
      <c r="BA96" s="521"/>
      <c r="BB96" s="660">
        <f t="shared" si="30"/>
        <v>0</v>
      </c>
      <c r="BC96" s="660">
        <f t="shared" ref="BC96" si="386">$AZ96*c_Residual.Share_GP</f>
        <v>0</v>
      </c>
      <c r="BD96" s="651"/>
      <c r="BE96" s="660">
        <f t="shared" si="374"/>
        <v>0</v>
      </c>
      <c r="BF96" s="660">
        <f t="shared" si="374"/>
        <v>0</v>
      </c>
      <c r="BG96" s="660">
        <f t="shared" si="32"/>
        <v>0</v>
      </c>
      <c r="BI96" s="660">
        <v>0</v>
      </c>
      <c r="BJ96" s="660">
        <v>0</v>
      </c>
      <c r="BK96" s="660">
        <v>0</v>
      </c>
      <c r="BL96" s="660">
        <f t="shared" si="375"/>
        <v>0</v>
      </c>
      <c r="BM96" s="660">
        <f t="shared" si="375"/>
        <v>0</v>
      </c>
      <c r="BN96" s="660">
        <f t="shared" si="376"/>
        <v>0</v>
      </c>
      <c r="BO96" s="660">
        <f t="shared" si="376"/>
        <v>0</v>
      </c>
      <c r="BP96" s="660">
        <f t="shared" si="377"/>
        <v>0</v>
      </c>
      <c r="BQ96" s="660">
        <f t="shared" si="377"/>
        <v>0</v>
      </c>
      <c r="BR96" s="660">
        <v>0</v>
      </c>
      <c r="BS96" s="660">
        <v>0</v>
      </c>
      <c r="BT96" s="660">
        <f t="shared" si="36"/>
        <v>0</v>
      </c>
      <c r="BU96" s="660">
        <f t="shared" si="36"/>
        <v>0</v>
      </c>
      <c r="BX96" s="660">
        <v>0</v>
      </c>
      <c r="BY96" s="660">
        <f t="shared" si="63"/>
        <v>0</v>
      </c>
      <c r="BZ96" s="660">
        <f t="shared" si="37"/>
        <v>0</v>
      </c>
      <c r="CA96" s="660">
        <f t="shared" si="38"/>
        <v>0</v>
      </c>
      <c r="CB96" s="660">
        <f t="shared" si="39"/>
        <v>0</v>
      </c>
      <c r="CC96" s="660">
        <f t="shared" si="40"/>
        <v>0</v>
      </c>
      <c r="CD96" s="660">
        <f t="shared" si="378"/>
        <v>0</v>
      </c>
    </row>
    <row r="97" spans="4:82" ht="16" thickTop="1" thickBot="1">
      <c r="D97" s="653">
        <v>41</v>
      </c>
      <c r="E97" s="654">
        <v>46934</v>
      </c>
      <c r="F97" s="655">
        <f t="shared" si="42"/>
        <v>4</v>
      </c>
      <c r="G97" s="656">
        <v>0</v>
      </c>
      <c r="I97" s="658">
        <f t="shared" si="43"/>
        <v>0</v>
      </c>
      <c r="J97" s="658">
        <f t="shared" ref="J97" si="387">IF($G97=0,0,-MIN(0,G97*c_EquityShare.LP))</f>
        <v>0</v>
      </c>
      <c r="K97" s="658">
        <f t="shared" ref="K97" si="388">I97*c_Rate.Pref_MO</f>
        <v>0</v>
      </c>
      <c r="L97" s="658">
        <f t="shared" si="15"/>
        <v>0</v>
      </c>
      <c r="M97" s="658">
        <f t="shared" si="46"/>
        <v>0</v>
      </c>
      <c r="N97" s="658">
        <f t="shared" si="66"/>
        <v>0</v>
      </c>
      <c r="O97" s="658" cm="1">
        <f t="array" ref="O97">IF(I97=0,0,IF(G97&lt;0,N97/c_EquityShare.LP*i_EquityShare.GP,L97/c_EquityShare.LP*i_EquityShare.GP))</f>
        <v>0</v>
      </c>
      <c r="P97" s="658">
        <f t="shared" si="47"/>
        <v>0</v>
      </c>
      <c r="Q97" s="658">
        <f t="shared" si="16"/>
        <v>0</v>
      </c>
      <c r="R97" s="521"/>
      <c r="S97" s="660">
        <f t="shared" si="48"/>
        <v>2251450.2945168852</v>
      </c>
      <c r="T97" s="663" cm="1">
        <f t="array" ref="T97">IF($G97=0,0,-MIN(0,$G97*c_EquityShare.LP))</f>
        <v>0</v>
      </c>
      <c r="U97" s="663" cm="1">
        <f t="array" ref="U97">IF($D97=0,0,S97*c_Rate.Hurdle1.MO)</f>
        <v>17953.38081717438</v>
      </c>
      <c r="V97" s="660">
        <f t="shared" si="67"/>
        <v>0</v>
      </c>
      <c r="W97" s="660">
        <f t="shared" si="17"/>
        <v>0</v>
      </c>
      <c r="X97" s="663">
        <f t="shared" si="68"/>
        <v>2269403.6753340596</v>
      </c>
      <c r="Y97" s="663">
        <f t="shared" si="49"/>
        <v>0</v>
      </c>
      <c r="Z97" s="663">
        <f t="shared" ref="Z97" si="389">IF(S97=0,0,O97+W97/$J$17*c_Hurdle1.Share_GP)</f>
        <v>0</v>
      </c>
      <c r="AA97" s="663">
        <f t="shared" si="19"/>
        <v>0</v>
      </c>
      <c r="AB97" s="660">
        <f t="shared" si="70"/>
        <v>0</v>
      </c>
      <c r="AC97" s="521"/>
      <c r="AD97" s="663">
        <f t="shared" si="51"/>
        <v>10921821.338324619</v>
      </c>
      <c r="AE97" s="663">
        <f t="shared" ref="AE97" si="390">IF($G97=0,0,-MIN(0,$G97*c_EquityShare.LP))</f>
        <v>0</v>
      </c>
      <c r="AF97" s="663" cm="1">
        <f t="array" ref="AF97">IF($D97=0,0,AD97*(c_Rate.Hurdle2.MO))</f>
        <v>167207.30158241541</v>
      </c>
      <c r="AG97" s="663">
        <f t="shared" si="21"/>
        <v>0</v>
      </c>
      <c r="AH97" s="663">
        <f t="shared" si="53"/>
        <v>0</v>
      </c>
      <c r="AI97" s="663">
        <f t="shared" si="22"/>
        <v>11089028.639907034</v>
      </c>
      <c r="AJ97" s="664">
        <f t="shared" si="23"/>
        <v>0</v>
      </c>
      <c r="AK97" s="660">
        <f t="shared" si="24"/>
        <v>0</v>
      </c>
      <c r="AL97" s="663">
        <f t="shared" ref="AL97" si="391">IF(AD97=0,0,Z97+AH97/$J$18*c_Hurdle2.Share_GP)</f>
        <v>0</v>
      </c>
      <c r="AM97" s="663">
        <f t="shared" si="25"/>
        <v>0</v>
      </c>
      <c r="AN97" s="660">
        <f t="shared" si="73"/>
        <v>0</v>
      </c>
      <c r="AO97" s="521"/>
      <c r="AP97" s="663">
        <f t="shared" si="55"/>
        <v>21764423.484829988</v>
      </c>
      <c r="AQ97" s="663">
        <f t="shared" ref="AQ97" si="392">IF($G97=0,0,-MIN(0,$G97*c_EquityShare.LP))</f>
        <v>0</v>
      </c>
      <c r="AR97" s="663" cm="1">
        <f t="array" ref="AR97">IF($D97=0,0,AP97*(c_Rate.Hurdle3.MO))</f>
        <v>481090.62361895753</v>
      </c>
      <c r="AS97" s="663">
        <f t="shared" si="27"/>
        <v>0</v>
      </c>
      <c r="AT97" s="663">
        <f t="shared" si="57"/>
        <v>0</v>
      </c>
      <c r="AU97" s="663">
        <f t="shared" si="28"/>
        <v>22245514.108448945</v>
      </c>
      <c r="AV97" s="664">
        <f t="shared" si="29"/>
        <v>0</v>
      </c>
      <c r="AW97" s="660">
        <f t="shared" si="58"/>
        <v>0</v>
      </c>
      <c r="AX97" s="663">
        <f t="shared" ref="AX97" si="393">IF(AP97=0,0,AL97+AT97/$J$19*c_Hurdle3.Share_GP)</f>
        <v>0</v>
      </c>
      <c r="AY97" s="663">
        <f t="shared" si="60"/>
        <v>0</v>
      </c>
      <c r="AZ97" s="660">
        <f t="shared" si="76"/>
        <v>0</v>
      </c>
      <c r="BA97" s="521"/>
      <c r="BB97" s="660">
        <f t="shared" si="30"/>
        <v>0</v>
      </c>
      <c r="BC97" s="660">
        <f t="shared" ref="BC97" si="394">$AZ97*c_Residual.Share_GP</f>
        <v>0</v>
      </c>
      <c r="BD97" s="651"/>
      <c r="BE97" s="660">
        <f t="shared" si="374"/>
        <v>0</v>
      </c>
      <c r="BF97" s="660">
        <f t="shared" si="374"/>
        <v>0</v>
      </c>
      <c r="BG97" s="660">
        <f t="shared" si="32"/>
        <v>0</v>
      </c>
      <c r="BI97" s="660">
        <v>0</v>
      </c>
      <c r="BJ97" s="660">
        <v>0</v>
      </c>
      <c r="BK97" s="660">
        <v>0</v>
      </c>
      <c r="BL97" s="660">
        <f t="shared" si="375"/>
        <v>0</v>
      </c>
      <c r="BM97" s="660">
        <f t="shared" si="375"/>
        <v>0</v>
      </c>
      <c r="BN97" s="660">
        <f t="shared" si="376"/>
        <v>0</v>
      </c>
      <c r="BO97" s="660">
        <f t="shared" si="376"/>
        <v>0</v>
      </c>
      <c r="BP97" s="660">
        <f t="shared" si="377"/>
        <v>0</v>
      </c>
      <c r="BQ97" s="660">
        <f t="shared" si="377"/>
        <v>0</v>
      </c>
      <c r="BR97" s="660">
        <v>0</v>
      </c>
      <c r="BS97" s="660">
        <v>0</v>
      </c>
      <c r="BT97" s="660">
        <f t="shared" si="36"/>
        <v>0</v>
      </c>
      <c r="BU97" s="660">
        <f t="shared" si="36"/>
        <v>0</v>
      </c>
      <c r="BX97" s="660">
        <v>0</v>
      </c>
      <c r="BY97" s="660">
        <f t="shared" si="63"/>
        <v>0</v>
      </c>
      <c r="BZ97" s="660">
        <f t="shared" si="37"/>
        <v>0</v>
      </c>
      <c r="CA97" s="660">
        <f t="shared" si="38"/>
        <v>0</v>
      </c>
      <c r="CB97" s="660">
        <f t="shared" si="39"/>
        <v>0</v>
      </c>
      <c r="CC97" s="660">
        <f t="shared" si="40"/>
        <v>0</v>
      </c>
      <c r="CD97" s="660">
        <f t="shared" si="378"/>
        <v>0</v>
      </c>
    </row>
    <row r="98" spans="4:82" ht="16" thickTop="1" thickBot="1">
      <c r="D98" s="653">
        <v>42</v>
      </c>
      <c r="E98" s="654">
        <v>46965</v>
      </c>
      <c r="F98" s="655">
        <f t="shared" si="42"/>
        <v>4</v>
      </c>
      <c r="G98" s="656">
        <v>6033033.5321412114</v>
      </c>
      <c r="I98" s="658">
        <f t="shared" si="43"/>
        <v>0</v>
      </c>
      <c r="J98" s="658">
        <f t="shared" ref="J98" si="395">IF($G98=0,0,-MIN(0,G98*c_EquityShare.LP))</f>
        <v>0</v>
      </c>
      <c r="K98" s="658">
        <f t="shared" ref="K98" si="396">I98*c_Rate.Pref_MO</f>
        <v>0</v>
      </c>
      <c r="L98" s="658">
        <f t="shared" si="15"/>
        <v>0</v>
      </c>
      <c r="M98" s="658">
        <f t="shared" si="46"/>
        <v>0</v>
      </c>
      <c r="N98" s="658">
        <f t="shared" si="66"/>
        <v>0</v>
      </c>
      <c r="O98" s="658" cm="1">
        <f t="array" ref="O98">IF(I98=0,0,IF(G98&lt;0,N98/c_EquityShare.LP*i_EquityShare.GP,L98/c_EquityShare.LP*i_EquityShare.GP))</f>
        <v>0</v>
      </c>
      <c r="P98" s="658">
        <f t="shared" si="47"/>
        <v>0</v>
      </c>
      <c r="Q98" s="658">
        <f t="shared" si="16"/>
        <v>6033033.5321412114</v>
      </c>
      <c r="R98" s="521"/>
      <c r="S98" s="660">
        <f t="shared" si="48"/>
        <v>2269403.6753340596</v>
      </c>
      <c r="T98" s="663" cm="1">
        <f t="array" ref="T98">IF($G98=0,0,-MIN(0,$G98*c_EquityShare.LP))</f>
        <v>0</v>
      </c>
      <c r="U98" s="663" cm="1">
        <f t="array" ref="U98">IF($D98=0,0,S98*c_Rate.Hurdle1.MO)</f>
        <v>18096.543596984116</v>
      </c>
      <c r="V98" s="660">
        <f t="shared" si="67"/>
        <v>0</v>
      </c>
      <c r="W98" s="660">
        <f t="shared" si="17"/>
        <v>2287500.2189310435</v>
      </c>
      <c r="X98" s="663">
        <f t="shared" si="68"/>
        <v>0</v>
      </c>
      <c r="Y98" s="663">
        <f t="shared" si="49"/>
        <v>2287500.2189310435</v>
      </c>
      <c r="Z98" s="663">
        <f t="shared" ref="Z98" si="397">IF(S98=0,0,O98+W98/$J$17*c_Hurdle1.Share_GP)</f>
        <v>254166.69099233812</v>
      </c>
      <c r="AA98" s="663">
        <f t="shared" si="19"/>
        <v>2541666.9099233816</v>
      </c>
      <c r="AB98" s="660">
        <f t="shared" si="70"/>
        <v>3491366.6222178298</v>
      </c>
      <c r="AC98" s="521"/>
      <c r="AD98" s="663">
        <f t="shared" si="51"/>
        <v>11089028.639907034</v>
      </c>
      <c r="AE98" s="663">
        <f t="shared" ref="AE98" si="398">IF($G98=0,0,-MIN(0,$G98*c_EquityShare.LP))</f>
        <v>0</v>
      </c>
      <c r="AF98" s="663" cm="1">
        <f t="array" ref="AF98">IF($D98=0,0,AD98*(c_Rate.Hurdle2.MO))</f>
        <v>169767.15683333104</v>
      </c>
      <c r="AG98" s="663">
        <f t="shared" si="21"/>
        <v>2287500.2189310435</v>
      </c>
      <c r="AH98" s="663">
        <f t="shared" si="53"/>
        <v>2793093.2977742641</v>
      </c>
      <c r="AI98" s="663">
        <f t="shared" si="22"/>
        <v>6178202.2800350562</v>
      </c>
      <c r="AJ98" s="664">
        <f t="shared" si="23"/>
        <v>5080593.5167053081</v>
      </c>
      <c r="AK98" s="660">
        <f t="shared" si="24"/>
        <v>5080593.5167053081</v>
      </c>
      <c r="AL98" s="663">
        <f t="shared" ref="AL98" si="399">IF(AD98=0,0,Z98+AH98/$J$18*c_Hurdle2.Share_GP)</f>
        <v>952440.01543590392</v>
      </c>
      <c r="AM98" s="663">
        <f t="shared" si="25"/>
        <v>6033033.5321412124</v>
      </c>
      <c r="AN98" s="660">
        <f t="shared" si="73"/>
        <v>0</v>
      </c>
      <c r="AO98" s="521"/>
      <c r="AP98" s="663">
        <f t="shared" si="55"/>
        <v>22245514.108448945</v>
      </c>
      <c r="AQ98" s="663">
        <f t="shared" ref="AQ98" si="400">IF($G98=0,0,-MIN(0,$G98*c_EquityShare.LP))</f>
        <v>0</v>
      </c>
      <c r="AR98" s="663" cm="1">
        <f t="array" ref="AR98">IF($D98=0,0,AP98*(c_Rate.Hurdle3.MO))</f>
        <v>491724.86753979465</v>
      </c>
      <c r="AS98" s="663">
        <f t="shared" si="27"/>
        <v>5080593.5167053081</v>
      </c>
      <c r="AT98" s="663">
        <f t="shared" si="57"/>
        <v>0</v>
      </c>
      <c r="AU98" s="663">
        <f t="shared" si="28"/>
        <v>17656645.45928343</v>
      </c>
      <c r="AV98" s="664">
        <f t="shared" si="29"/>
        <v>5080593.5167053081</v>
      </c>
      <c r="AW98" s="660">
        <f t="shared" si="58"/>
        <v>5080593.5167053081</v>
      </c>
      <c r="AX98" s="663">
        <f t="shared" ref="AX98" si="401">IF(AP98=0,0,AL98+AT98/$J$19*c_Hurdle3.Share_GP)</f>
        <v>952440.01543590392</v>
      </c>
      <c r="AY98" s="663">
        <f t="shared" si="60"/>
        <v>6033033.5321412124</v>
      </c>
      <c r="AZ98" s="660">
        <f t="shared" si="76"/>
        <v>0</v>
      </c>
      <c r="BA98" s="521"/>
      <c r="BB98" s="660">
        <f t="shared" si="30"/>
        <v>0</v>
      </c>
      <c r="BC98" s="660">
        <f t="shared" ref="BC98" si="402">$AZ98*c_Residual.Share_GP</f>
        <v>0</v>
      </c>
      <c r="BD98" s="651"/>
      <c r="BE98" s="660">
        <f t="shared" si="374"/>
        <v>5080593.5167053081</v>
      </c>
      <c r="BF98" s="660">
        <f t="shared" si="374"/>
        <v>952440.01543590392</v>
      </c>
      <c r="BG98" s="660">
        <f t="shared" si="32"/>
        <v>6033033.5321412124</v>
      </c>
      <c r="BI98" s="660">
        <v>6033033.5321412114</v>
      </c>
      <c r="BJ98" s="660">
        <v>0</v>
      </c>
      <c r="BK98" s="660">
        <v>0</v>
      </c>
      <c r="BL98" s="660">
        <f t="shared" si="375"/>
        <v>2287500.2189310435</v>
      </c>
      <c r="BM98" s="660">
        <f t="shared" si="375"/>
        <v>254166.69099233812</v>
      </c>
      <c r="BN98" s="660">
        <f t="shared" si="376"/>
        <v>2793093.2977742646</v>
      </c>
      <c r="BO98" s="660">
        <f t="shared" si="376"/>
        <v>698273.3244435658</v>
      </c>
      <c r="BP98" s="660">
        <f t="shared" si="377"/>
        <v>0</v>
      </c>
      <c r="BQ98" s="660">
        <f t="shared" si="377"/>
        <v>0</v>
      </c>
      <c r="BR98" s="660">
        <v>0</v>
      </c>
      <c r="BS98" s="660">
        <v>0</v>
      </c>
      <c r="BT98" s="660">
        <f t="shared" si="36"/>
        <v>5080593.5167053081</v>
      </c>
      <c r="BU98" s="660">
        <f t="shared" si="36"/>
        <v>952440.01543590392</v>
      </c>
      <c r="BX98" s="660">
        <v>6033033.5321412114</v>
      </c>
      <c r="BY98" s="660">
        <f t="shared" si="63"/>
        <v>0</v>
      </c>
      <c r="BZ98" s="660">
        <f t="shared" si="37"/>
        <v>2541666.9099233816</v>
      </c>
      <c r="CA98" s="660">
        <f t="shared" si="38"/>
        <v>3491366.6222178303</v>
      </c>
      <c r="CB98" s="660">
        <f t="shared" si="39"/>
        <v>0</v>
      </c>
      <c r="CC98" s="660">
        <f t="shared" si="40"/>
        <v>0</v>
      </c>
      <c r="CD98" s="660">
        <f t="shared" si="378"/>
        <v>6033033.5321412124</v>
      </c>
    </row>
    <row r="99" spans="4:82" ht="16" thickTop="1" thickBot="1">
      <c r="D99" s="653">
        <v>43</v>
      </c>
      <c r="E99" s="654">
        <v>46996</v>
      </c>
      <c r="F99" s="655">
        <f t="shared" si="42"/>
        <v>4</v>
      </c>
      <c r="G99" s="656">
        <v>0</v>
      </c>
      <c r="I99" s="658">
        <f t="shared" si="43"/>
        <v>0</v>
      </c>
      <c r="J99" s="658">
        <f t="shared" ref="J99" si="403">IF($G99=0,0,-MIN(0,G99*c_EquityShare.LP))</f>
        <v>0</v>
      </c>
      <c r="K99" s="658">
        <f t="shared" ref="K99" si="404">I99*c_Rate.Pref_MO</f>
        <v>0</v>
      </c>
      <c r="L99" s="658">
        <f t="shared" si="15"/>
        <v>0</v>
      </c>
      <c r="M99" s="658">
        <f t="shared" si="46"/>
        <v>0</v>
      </c>
      <c r="N99" s="658">
        <f t="shared" si="66"/>
        <v>0</v>
      </c>
      <c r="O99" s="658" cm="1">
        <f t="array" ref="O99">IF(I99=0,0,IF(G99&lt;0,N99/c_EquityShare.LP*i_EquityShare.GP,L99/c_EquityShare.LP*i_EquityShare.GP))</f>
        <v>0</v>
      </c>
      <c r="P99" s="658">
        <f t="shared" si="47"/>
        <v>0</v>
      </c>
      <c r="Q99" s="658">
        <f t="shared" si="16"/>
        <v>0</v>
      </c>
      <c r="R99" s="521"/>
      <c r="S99" s="660">
        <f t="shared" si="48"/>
        <v>0</v>
      </c>
      <c r="T99" s="663" cm="1">
        <f t="array" ref="T99">IF($G99=0,0,-MIN(0,$G99*c_EquityShare.LP))</f>
        <v>0</v>
      </c>
      <c r="U99" s="663" cm="1">
        <f t="array" ref="U99">IF($D99=0,0,S99*c_Rate.Hurdle1.MO)</f>
        <v>0</v>
      </c>
      <c r="V99" s="660">
        <f t="shared" si="67"/>
        <v>0</v>
      </c>
      <c r="W99" s="660">
        <f t="shared" si="17"/>
        <v>0</v>
      </c>
      <c r="X99" s="663">
        <f t="shared" si="68"/>
        <v>0</v>
      </c>
      <c r="Y99" s="663">
        <f t="shared" si="49"/>
        <v>0</v>
      </c>
      <c r="Z99" s="663">
        <f t="shared" ref="Z99" si="405">IF(S99=0,0,O99+W99/$J$17*c_Hurdle1.Share_GP)</f>
        <v>0</v>
      </c>
      <c r="AA99" s="663">
        <f t="shared" si="19"/>
        <v>0</v>
      </c>
      <c r="AB99" s="660">
        <f t="shared" si="70"/>
        <v>0</v>
      </c>
      <c r="AC99" s="521"/>
      <c r="AD99" s="663">
        <f t="shared" si="51"/>
        <v>6178202.2800350562</v>
      </c>
      <c r="AE99" s="663">
        <f t="shared" ref="AE99" si="406">IF($G99=0,0,-MIN(0,$G99*c_EquityShare.LP))</f>
        <v>0</v>
      </c>
      <c r="AF99" s="663" cm="1">
        <f t="array" ref="AF99">IF($D99=0,0,AD99*(c_Rate.Hurdle2.MO))</f>
        <v>94585.005547568682</v>
      </c>
      <c r="AG99" s="663">
        <f t="shared" si="21"/>
        <v>0</v>
      </c>
      <c r="AH99" s="663">
        <f t="shared" si="53"/>
        <v>0</v>
      </c>
      <c r="AI99" s="663">
        <f t="shared" si="22"/>
        <v>6272787.2855826253</v>
      </c>
      <c r="AJ99" s="664">
        <f t="shared" si="23"/>
        <v>0</v>
      </c>
      <c r="AK99" s="660">
        <f t="shared" si="24"/>
        <v>0</v>
      </c>
      <c r="AL99" s="663">
        <f t="shared" ref="AL99" si="407">IF(AD99=0,0,Z99+AH99/$J$18*c_Hurdle2.Share_GP)</f>
        <v>0</v>
      </c>
      <c r="AM99" s="663">
        <f t="shared" si="25"/>
        <v>0</v>
      </c>
      <c r="AN99" s="660">
        <f t="shared" si="73"/>
        <v>0</v>
      </c>
      <c r="AO99" s="521"/>
      <c r="AP99" s="663">
        <f t="shared" si="55"/>
        <v>17656645.45928343</v>
      </c>
      <c r="AQ99" s="663">
        <f t="shared" ref="AQ99" si="408">IF($G99=0,0,-MIN(0,$G99*c_EquityShare.LP))</f>
        <v>0</v>
      </c>
      <c r="AR99" s="663" cm="1">
        <f t="array" ref="AR99">IF($D99=0,0,AP99*(c_Rate.Hurdle3.MO))</f>
        <v>390290.44720372267</v>
      </c>
      <c r="AS99" s="663">
        <f t="shared" si="27"/>
        <v>0</v>
      </c>
      <c r="AT99" s="663">
        <f t="shared" si="57"/>
        <v>0</v>
      </c>
      <c r="AU99" s="663">
        <f t="shared" si="28"/>
        <v>18046935.906487152</v>
      </c>
      <c r="AV99" s="664">
        <f t="shared" si="29"/>
        <v>0</v>
      </c>
      <c r="AW99" s="660">
        <f t="shared" si="58"/>
        <v>0</v>
      </c>
      <c r="AX99" s="663">
        <f t="shared" ref="AX99" si="409">IF(AP99=0,0,AL99+AT99/$J$19*c_Hurdle3.Share_GP)</f>
        <v>0</v>
      </c>
      <c r="AY99" s="663">
        <f t="shared" si="60"/>
        <v>0</v>
      </c>
      <c r="AZ99" s="660">
        <f t="shared" si="76"/>
        <v>0</v>
      </c>
      <c r="BA99" s="521"/>
      <c r="BB99" s="660">
        <f t="shared" si="30"/>
        <v>0</v>
      </c>
      <c r="BC99" s="660">
        <f t="shared" ref="BC99" si="410">$AZ99*c_Residual.Share_GP</f>
        <v>0</v>
      </c>
      <c r="BD99" s="651"/>
      <c r="BE99" s="660">
        <f t="shared" si="374"/>
        <v>0</v>
      </c>
      <c r="BF99" s="660">
        <f t="shared" si="374"/>
        <v>0</v>
      </c>
      <c r="BG99" s="660">
        <f t="shared" si="32"/>
        <v>0</v>
      </c>
      <c r="BI99" s="660">
        <v>0</v>
      </c>
      <c r="BJ99" s="660">
        <v>0</v>
      </c>
      <c r="BK99" s="660">
        <v>0</v>
      </c>
      <c r="BL99" s="660">
        <f t="shared" si="375"/>
        <v>0</v>
      </c>
      <c r="BM99" s="660">
        <f t="shared" si="375"/>
        <v>0</v>
      </c>
      <c r="BN99" s="660">
        <f t="shared" si="376"/>
        <v>0</v>
      </c>
      <c r="BO99" s="660">
        <f t="shared" si="376"/>
        <v>0</v>
      </c>
      <c r="BP99" s="660">
        <f t="shared" si="377"/>
        <v>0</v>
      </c>
      <c r="BQ99" s="660">
        <f t="shared" si="377"/>
        <v>0</v>
      </c>
      <c r="BR99" s="660">
        <v>0</v>
      </c>
      <c r="BS99" s="660">
        <v>0</v>
      </c>
      <c r="BT99" s="660">
        <f t="shared" si="36"/>
        <v>0</v>
      </c>
      <c r="BU99" s="660">
        <f t="shared" si="36"/>
        <v>0</v>
      </c>
      <c r="BX99" s="660">
        <v>0</v>
      </c>
      <c r="BY99" s="660">
        <f t="shared" si="63"/>
        <v>0</v>
      </c>
      <c r="BZ99" s="660">
        <f t="shared" si="37"/>
        <v>0</v>
      </c>
      <c r="CA99" s="660">
        <f t="shared" si="38"/>
        <v>0</v>
      </c>
      <c r="CB99" s="660">
        <f t="shared" si="39"/>
        <v>0</v>
      </c>
      <c r="CC99" s="660">
        <f t="shared" si="40"/>
        <v>0</v>
      </c>
      <c r="CD99" s="660">
        <f t="shared" si="378"/>
        <v>0</v>
      </c>
    </row>
    <row r="100" spans="4:82" ht="16" thickTop="1" thickBot="1">
      <c r="D100" s="653">
        <v>44</v>
      </c>
      <c r="E100" s="654">
        <v>47026</v>
      </c>
      <c r="F100" s="655">
        <f t="shared" si="42"/>
        <v>4</v>
      </c>
      <c r="G100" s="656">
        <v>0</v>
      </c>
      <c r="I100" s="658">
        <f t="shared" si="43"/>
        <v>0</v>
      </c>
      <c r="J100" s="658">
        <f t="shared" ref="J100" si="411">IF($G100=0,0,-MIN(0,G100*c_EquityShare.LP))</f>
        <v>0</v>
      </c>
      <c r="K100" s="658">
        <f t="shared" ref="K100" si="412">I100*c_Rate.Pref_MO</f>
        <v>0</v>
      </c>
      <c r="L100" s="658">
        <f t="shared" si="15"/>
        <v>0</v>
      </c>
      <c r="M100" s="658">
        <f t="shared" si="46"/>
        <v>0</v>
      </c>
      <c r="N100" s="658">
        <f t="shared" si="66"/>
        <v>0</v>
      </c>
      <c r="O100" s="658" cm="1">
        <f t="array" ref="O100">IF(I100=0,0,IF(G100&lt;0,N100/c_EquityShare.LP*i_EquityShare.GP,L100/c_EquityShare.LP*i_EquityShare.GP))</f>
        <v>0</v>
      </c>
      <c r="P100" s="658">
        <f t="shared" si="47"/>
        <v>0</v>
      </c>
      <c r="Q100" s="658">
        <f t="shared" si="16"/>
        <v>0</v>
      </c>
      <c r="R100" s="521"/>
      <c r="S100" s="660">
        <f t="shared" si="48"/>
        <v>0</v>
      </c>
      <c r="T100" s="663" cm="1">
        <f t="array" ref="T100">IF($G100=0,0,-MIN(0,$G100*c_EquityShare.LP))</f>
        <v>0</v>
      </c>
      <c r="U100" s="663" cm="1">
        <f t="array" ref="U100">IF($D100=0,0,S100*c_Rate.Hurdle1.MO)</f>
        <v>0</v>
      </c>
      <c r="V100" s="660">
        <f t="shared" si="67"/>
        <v>0</v>
      </c>
      <c r="W100" s="660">
        <f t="shared" si="17"/>
        <v>0</v>
      </c>
      <c r="X100" s="663">
        <f t="shared" si="68"/>
        <v>0</v>
      </c>
      <c r="Y100" s="663">
        <f t="shared" si="49"/>
        <v>0</v>
      </c>
      <c r="Z100" s="663">
        <f t="shared" ref="Z100" si="413">IF(S100=0,0,O100+W100/$J$17*c_Hurdle1.Share_GP)</f>
        <v>0</v>
      </c>
      <c r="AA100" s="663">
        <f t="shared" si="19"/>
        <v>0</v>
      </c>
      <c r="AB100" s="660">
        <f t="shared" si="70"/>
        <v>0</v>
      </c>
      <c r="AC100" s="521"/>
      <c r="AD100" s="663">
        <f t="shared" si="51"/>
        <v>6272787.2855826253</v>
      </c>
      <c r="AE100" s="663">
        <f t="shared" ref="AE100" si="414">IF($G100=0,0,-MIN(0,$G100*c_EquityShare.LP))</f>
        <v>0</v>
      </c>
      <c r="AF100" s="663" cm="1">
        <f t="array" ref="AF100">IF($D100=0,0,AD100*(c_Rate.Hurdle2.MO))</f>
        <v>96033.051899716113</v>
      </c>
      <c r="AG100" s="663">
        <f t="shared" si="21"/>
        <v>0</v>
      </c>
      <c r="AH100" s="663">
        <f t="shared" si="53"/>
        <v>0</v>
      </c>
      <c r="AI100" s="663">
        <f t="shared" si="22"/>
        <v>6368820.3374823416</v>
      </c>
      <c r="AJ100" s="664">
        <f t="shared" si="23"/>
        <v>0</v>
      </c>
      <c r="AK100" s="660">
        <f t="shared" si="24"/>
        <v>0</v>
      </c>
      <c r="AL100" s="663">
        <f t="shared" ref="AL100" si="415">IF(AD100=0,0,Z100+AH100/$J$18*c_Hurdle2.Share_GP)</f>
        <v>0</v>
      </c>
      <c r="AM100" s="663">
        <f t="shared" si="25"/>
        <v>0</v>
      </c>
      <c r="AN100" s="660">
        <f t="shared" si="73"/>
        <v>0</v>
      </c>
      <c r="AO100" s="521"/>
      <c r="AP100" s="663">
        <f t="shared" si="55"/>
        <v>18046935.906487152</v>
      </c>
      <c r="AQ100" s="663">
        <f t="shared" ref="AQ100" si="416">IF($G100=0,0,-MIN(0,$G100*c_EquityShare.LP))</f>
        <v>0</v>
      </c>
      <c r="AR100" s="663" cm="1">
        <f t="array" ref="AR100">IF($D100=0,0,AP100*(c_Rate.Hurdle3.MO))</f>
        <v>398917.60311109759</v>
      </c>
      <c r="AS100" s="663">
        <f t="shared" si="27"/>
        <v>0</v>
      </c>
      <c r="AT100" s="663">
        <f t="shared" si="57"/>
        <v>0</v>
      </c>
      <c r="AU100" s="663">
        <f t="shared" si="28"/>
        <v>18445853.509598248</v>
      </c>
      <c r="AV100" s="664">
        <f t="shared" si="29"/>
        <v>0</v>
      </c>
      <c r="AW100" s="660">
        <f t="shared" si="58"/>
        <v>0</v>
      </c>
      <c r="AX100" s="663">
        <f t="shared" ref="AX100" si="417">IF(AP100=0,0,AL100+AT100/$J$19*c_Hurdle3.Share_GP)</f>
        <v>0</v>
      </c>
      <c r="AY100" s="663">
        <f t="shared" si="60"/>
        <v>0</v>
      </c>
      <c r="AZ100" s="660">
        <f t="shared" si="76"/>
        <v>0</v>
      </c>
      <c r="BA100" s="521"/>
      <c r="BB100" s="660">
        <f t="shared" si="30"/>
        <v>0</v>
      </c>
      <c r="BC100" s="660">
        <f t="shared" ref="BC100" si="418">$AZ100*c_Residual.Share_GP</f>
        <v>0</v>
      </c>
      <c r="BD100" s="651"/>
      <c r="BE100" s="660">
        <f t="shared" si="374"/>
        <v>0</v>
      </c>
      <c r="BF100" s="660">
        <f t="shared" si="374"/>
        <v>0</v>
      </c>
      <c r="BG100" s="660">
        <f t="shared" si="32"/>
        <v>0</v>
      </c>
      <c r="BI100" s="660">
        <v>0</v>
      </c>
      <c r="BJ100" s="660">
        <v>0</v>
      </c>
      <c r="BK100" s="660">
        <v>0</v>
      </c>
      <c r="BL100" s="660">
        <f t="shared" si="375"/>
        <v>0</v>
      </c>
      <c r="BM100" s="660">
        <f t="shared" si="375"/>
        <v>0</v>
      </c>
      <c r="BN100" s="660">
        <f t="shared" si="376"/>
        <v>0</v>
      </c>
      <c r="BO100" s="660">
        <f t="shared" si="376"/>
        <v>0</v>
      </c>
      <c r="BP100" s="660">
        <f t="shared" si="377"/>
        <v>0</v>
      </c>
      <c r="BQ100" s="660">
        <f t="shared" si="377"/>
        <v>0</v>
      </c>
      <c r="BR100" s="660">
        <v>0</v>
      </c>
      <c r="BS100" s="660">
        <v>0</v>
      </c>
      <c r="BT100" s="660">
        <f t="shared" si="36"/>
        <v>0</v>
      </c>
      <c r="BU100" s="660">
        <f t="shared" si="36"/>
        <v>0</v>
      </c>
      <c r="BX100" s="660">
        <v>0</v>
      </c>
      <c r="BY100" s="660">
        <f t="shared" si="63"/>
        <v>0</v>
      </c>
      <c r="BZ100" s="660">
        <f t="shared" si="37"/>
        <v>0</v>
      </c>
      <c r="CA100" s="660">
        <f t="shared" si="38"/>
        <v>0</v>
      </c>
      <c r="CB100" s="660">
        <f t="shared" si="39"/>
        <v>0</v>
      </c>
      <c r="CC100" s="660">
        <f t="shared" si="40"/>
        <v>0</v>
      </c>
      <c r="CD100" s="660">
        <f t="shared" si="378"/>
        <v>0</v>
      </c>
    </row>
    <row r="101" spans="4:82" ht="16" thickTop="1" thickBot="1">
      <c r="D101" s="653">
        <v>45</v>
      </c>
      <c r="E101" s="654">
        <v>47057</v>
      </c>
      <c r="F101" s="655">
        <f t="shared" si="42"/>
        <v>4</v>
      </c>
      <c r="G101" s="656">
        <v>0</v>
      </c>
      <c r="I101" s="658">
        <f t="shared" si="43"/>
        <v>0</v>
      </c>
      <c r="J101" s="658">
        <f t="shared" ref="J101" si="419">IF($G101=0,0,-MIN(0,G101*c_EquityShare.LP))</f>
        <v>0</v>
      </c>
      <c r="K101" s="658">
        <f t="shared" ref="K101" si="420">I101*c_Rate.Pref_MO</f>
        <v>0</v>
      </c>
      <c r="L101" s="658">
        <f t="shared" si="15"/>
        <v>0</v>
      </c>
      <c r="M101" s="658">
        <f t="shared" si="46"/>
        <v>0</v>
      </c>
      <c r="N101" s="658">
        <f t="shared" si="66"/>
        <v>0</v>
      </c>
      <c r="O101" s="658" cm="1">
        <f t="array" ref="O101">IF(I101=0,0,IF(G101&lt;0,N101/c_EquityShare.LP*i_EquityShare.GP,L101/c_EquityShare.LP*i_EquityShare.GP))</f>
        <v>0</v>
      </c>
      <c r="P101" s="658">
        <f t="shared" si="47"/>
        <v>0</v>
      </c>
      <c r="Q101" s="658">
        <f t="shared" si="16"/>
        <v>0</v>
      </c>
      <c r="R101" s="521"/>
      <c r="S101" s="660">
        <f t="shared" si="48"/>
        <v>0</v>
      </c>
      <c r="T101" s="663" cm="1">
        <f t="array" ref="T101">IF($G101=0,0,-MIN(0,$G101*c_EquityShare.LP))</f>
        <v>0</v>
      </c>
      <c r="U101" s="663" cm="1">
        <f t="array" ref="U101">IF($D101=0,0,S101*c_Rate.Hurdle1.MO)</f>
        <v>0</v>
      </c>
      <c r="V101" s="660">
        <f t="shared" si="67"/>
        <v>0</v>
      </c>
      <c r="W101" s="660">
        <f t="shared" si="17"/>
        <v>0</v>
      </c>
      <c r="X101" s="663">
        <f t="shared" si="68"/>
        <v>0</v>
      </c>
      <c r="Y101" s="663">
        <f t="shared" si="49"/>
        <v>0</v>
      </c>
      <c r="Z101" s="663">
        <f t="shared" ref="Z101" si="421">IF(S101=0,0,O101+W101/$J$17*c_Hurdle1.Share_GP)</f>
        <v>0</v>
      </c>
      <c r="AA101" s="663">
        <f t="shared" si="19"/>
        <v>0</v>
      </c>
      <c r="AB101" s="660">
        <f t="shared" si="70"/>
        <v>0</v>
      </c>
      <c r="AC101" s="521"/>
      <c r="AD101" s="663">
        <f t="shared" si="51"/>
        <v>6368820.3374823416</v>
      </c>
      <c r="AE101" s="663">
        <f t="shared" ref="AE101" si="422">IF($G101=0,0,-MIN(0,$G101*c_EquityShare.LP))</f>
        <v>0</v>
      </c>
      <c r="AF101" s="663" cm="1">
        <f t="array" ref="AF101">IF($D101=0,0,AD101*(c_Rate.Hurdle2.MO))</f>
        <v>97503.267074773961</v>
      </c>
      <c r="AG101" s="663">
        <f t="shared" si="21"/>
        <v>0</v>
      </c>
      <c r="AH101" s="663">
        <f t="shared" si="53"/>
        <v>0</v>
      </c>
      <c r="AI101" s="663">
        <f t="shared" si="22"/>
        <v>6466323.6045571156</v>
      </c>
      <c r="AJ101" s="664">
        <f t="shared" si="23"/>
        <v>0</v>
      </c>
      <c r="AK101" s="660">
        <f t="shared" si="24"/>
        <v>0</v>
      </c>
      <c r="AL101" s="663">
        <f t="shared" ref="AL101" si="423">IF(AD101=0,0,Z101+AH101/$J$18*c_Hurdle2.Share_GP)</f>
        <v>0</v>
      </c>
      <c r="AM101" s="663">
        <f t="shared" si="25"/>
        <v>0</v>
      </c>
      <c r="AN101" s="660">
        <f t="shared" si="73"/>
        <v>0</v>
      </c>
      <c r="AO101" s="521"/>
      <c r="AP101" s="663">
        <f t="shared" si="55"/>
        <v>18445853.509598248</v>
      </c>
      <c r="AQ101" s="663">
        <f t="shared" ref="AQ101" si="424">IF($G101=0,0,-MIN(0,$G101*c_EquityShare.LP))</f>
        <v>0</v>
      </c>
      <c r="AR101" s="663" cm="1">
        <f t="array" ref="AR101">IF($D101=0,0,AP101*(c_Rate.Hurdle3.MO))</f>
        <v>407735.45755999046</v>
      </c>
      <c r="AS101" s="663">
        <f t="shared" si="27"/>
        <v>0</v>
      </c>
      <c r="AT101" s="663">
        <f t="shared" si="57"/>
        <v>0</v>
      </c>
      <c r="AU101" s="663">
        <f t="shared" si="28"/>
        <v>18853588.967158239</v>
      </c>
      <c r="AV101" s="664">
        <f t="shared" si="29"/>
        <v>0</v>
      </c>
      <c r="AW101" s="660">
        <f t="shared" si="58"/>
        <v>0</v>
      </c>
      <c r="AX101" s="663">
        <f t="shared" ref="AX101" si="425">IF(AP101=0,0,AL101+AT101/$J$19*c_Hurdle3.Share_GP)</f>
        <v>0</v>
      </c>
      <c r="AY101" s="663">
        <f t="shared" si="60"/>
        <v>0</v>
      </c>
      <c r="AZ101" s="660">
        <f t="shared" si="76"/>
        <v>0</v>
      </c>
      <c r="BA101" s="521"/>
      <c r="BB101" s="660">
        <f t="shared" si="30"/>
        <v>0</v>
      </c>
      <c r="BC101" s="660">
        <f t="shared" ref="BC101" si="426">$AZ101*c_Residual.Share_GP</f>
        <v>0</v>
      </c>
      <c r="BD101" s="651"/>
      <c r="BE101" s="660">
        <f t="shared" si="374"/>
        <v>0</v>
      </c>
      <c r="BF101" s="660">
        <f t="shared" si="374"/>
        <v>0</v>
      </c>
      <c r="BG101" s="660">
        <f t="shared" si="32"/>
        <v>0</v>
      </c>
      <c r="BI101" s="660">
        <v>0</v>
      </c>
      <c r="BJ101" s="660">
        <v>0</v>
      </c>
      <c r="BK101" s="660">
        <v>0</v>
      </c>
      <c r="BL101" s="660">
        <f t="shared" si="375"/>
        <v>0</v>
      </c>
      <c r="BM101" s="660">
        <f t="shared" si="375"/>
        <v>0</v>
      </c>
      <c r="BN101" s="660">
        <f t="shared" si="376"/>
        <v>0</v>
      </c>
      <c r="BO101" s="660">
        <f t="shared" si="376"/>
        <v>0</v>
      </c>
      <c r="BP101" s="660">
        <f t="shared" si="377"/>
        <v>0</v>
      </c>
      <c r="BQ101" s="660">
        <f t="shared" si="377"/>
        <v>0</v>
      </c>
      <c r="BR101" s="660">
        <v>0</v>
      </c>
      <c r="BS101" s="660">
        <v>0</v>
      </c>
      <c r="BT101" s="660">
        <f t="shared" si="36"/>
        <v>0</v>
      </c>
      <c r="BU101" s="660">
        <f t="shared" si="36"/>
        <v>0</v>
      </c>
      <c r="BX101" s="660">
        <v>0</v>
      </c>
      <c r="BY101" s="660">
        <f t="shared" si="63"/>
        <v>0</v>
      </c>
      <c r="BZ101" s="660">
        <f t="shared" si="37"/>
        <v>0</v>
      </c>
      <c r="CA101" s="660">
        <f t="shared" si="38"/>
        <v>0</v>
      </c>
      <c r="CB101" s="660">
        <f t="shared" si="39"/>
        <v>0</v>
      </c>
      <c r="CC101" s="660">
        <f t="shared" si="40"/>
        <v>0</v>
      </c>
      <c r="CD101" s="660">
        <f t="shared" si="378"/>
        <v>0</v>
      </c>
    </row>
    <row r="102" spans="4:82" ht="16" thickTop="1" thickBot="1">
      <c r="D102" s="653">
        <v>46</v>
      </c>
      <c r="E102" s="654">
        <v>47087</v>
      </c>
      <c r="F102" s="655">
        <f t="shared" si="42"/>
        <v>4</v>
      </c>
      <c r="G102" s="656">
        <v>0</v>
      </c>
      <c r="I102" s="658">
        <f t="shared" si="43"/>
        <v>0</v>
      </c>
      <c r="J102" s="658">
        <f t="shared" ref="J102" si="427">IF($G102=0,0,-MIN(0,G102*c_EquityShare.LP))</f>
        <v>0</v>
      </c>
      <c r="K102" s="658">
        <f t="shared" ref="K102" si="428">I102*c_Rate.Pref_MO</f>
        <v>0</v>
      </c>
      <c r="L102" s="658">
        <f t="shared" si="15"/>
        <v>0</v>
      </c>
      <c r="M102" s="658">
        <f t="shared" si="46"/>
        <v>0</v>
      </c>
      <c r="N102" s="658">
        <f t="shared" si="66"/>
        <v>0</v>
      </c>
      <c r="O102" s="658" cm="1">
        <f t="array" ref="O102">IF(I102=0,0,IF(G102&lt;0,N102/c_EquityShare.LP*i_EquityShare.GP,L102/c_EquityShare.LP*i_EquityShare.GP))</f>
        <v>0</v>
      </c>
      <c r="P102" s="658">
        <f t="shared" si="47"/>
        <v>0</v>
      </c>
      <c r="Q102" s="658">
        <f t="shared" si="16"/>
        <v>0</v>
      </c>
      <c r="R102" s="521"/>
      <c r="S102" s="660">
        <f t="shared" si="48"/>
        <v>0</v>
      </c>
      <c r="T102" s="663" cm="1">
        <f t="array" ref="T102">IF($G102=0,0,-MIN(0,$G102*c_EquityShare.LP))</f>
        <v>0</v>
      </c>
      <c r="U102" s="663" cm="1">
        <f t="array" ref="U102">IF($D102=0,0,S102*c_Rate.Hurdle1.MO)</f>
        <v>0</v>
      </c>
      <c r="V102" s="660">
        <f t="shared" si="67"/>
        <v>0</v>
      </c>
      <c r="W102" s="660">
        <f t="shared" si="17"/>
        <v>0</v>
      </c>
      <c r="X102" s="663">
        <f t="shared" si="68"/>
        <v>0</v>
      </c>
      <c r="Y102" s="663">
        <f t="shared" si="49"/>
        <v>0</v>
      </c>
      <c r="Z102" s="663">
        <f t="shared" ref="Z102" si="429">IF(S102=0,0,O102+W102/$J$17*c_Hurdle1.Share_GP)</f>
        <v>0</v>
      </c>
      <c r="AA102" s="663">
        <f t="shared" si="19"/>
        <v>0</v>
      </c>
      <c r="AB102" s="660">
        <f t="shared" si="70"/>
        <v>0</v>
      </c>
      <c r="AC102" s="521"/>
      <c r="AD102" s="663">
        <f t="shared" si="51"/>
        <v>6466323.6045571156</v>
      </c>
      <c r="AE102" s="663">
        <f t="shared" ref="AE102" si="430">IF($G102=0,0,-MIN(0,$G102*c_EquityShare.LP))</f>
        <v>0</v>
      </c>
      <c r="AF102" s="663" cm="1">
        <f t="array" ref="AF102">IF($D102=0,0,AD102*(c_Rate.Hurdle2.MO))</f>
        <v>98995.990465682626</v>
      </c>
      <c r="AG102" s="663">
        <f t="shared" si="21"/>
        <v>0</v>
      </c>
      <c r="AH102" s="663">
        <f t="shared" si="53"/>
        <v>0</v>
      </c>
      <c r="AI102" s="663">
        <f t="shared" si="22"/>
        <v>6565319.5950227985</v>
      </c>
      <c r="AJ102" s="664">
        <f t="shared" si="23"/>
        <v>0</v>
      </c>
      <c r="AK102" s="660">
        <f t="shared" si="24"/>
        <v>0</v>
      </c>
      <c r="AL102" s="663">
        <f t="shared" ref="AL102" si="431">IF(AD102=0,0,Z102+AH102/$J$18*c_Hurdle2.Share_GP)</f>
        <v>0</v>
      </c>
      <c r="AM102" s="663">
        <f t="shared" si="25"/>
        <v>0</v>
      </c>
      <c r="AN102" s="660">
        <f t="shared" si="73"/>
        <v>0</v>
      </c>
      <c r="AO102" s="521"/>
      <c r="AP102" s="663">
        <f t="shared" si="55"/>
        <v>18853588.967158239</v>
      </c>
      <c r="AQ102" s="663">
        <f t="shared" ref="AQ102" si="432">IF($G102=0,0,-MIN(0,$G102*c_EquityShare.LP))</f>
        <v>0</v>
      </c>
      <c r="AR102" s="663" cm="1">
        <f t="array" ref="AR102">IF($D102=0,0,AP102*(c_Rate.Hurdle3.MO))</f>
        <v>416748.22583689069</v>
      </c>
      <c r="AS102" s="663">
        <f t="shared" si="27"/>
        <v>0</v>
      </c>
      <c r="AT102" s="663">
        <f t="shared" si="57"/>
        <v>0</v>
      </c>
      <c r="AU102" s="663">
        <f t="shared" si="28"/>
        <v>19270337.192995131</v>
      </c>
      <c r="AV102" s="664">
        <f t="shared" si="29"/>
        <v>0</v>
      </c>
      <c r="AW102" s="660">
        <f t="shared" si="58"/>
        <v>0</v>
      </c>
      <c r="AX102" s="663">
        <f t="shared" ref="AX102" si="433">IF(AP102=0,0,AL102+AT102/$J$19*c_Hurdle3.Share_GP)</f>
        <v>0</v>
      </c>
      <c r="AY102" s="663">
        <f t="shared" si="60"/>
        <v>0</v>
      </c>
      <c r="AZ102" s="660">
        <f t="shared" si="76"/>
        <v>0</v>
      </c>
      <c r="BA102" s="521"/>
      <c r="BB102" s="660">
        <f t="shared" si="30"/>
        <v>0</v>
      </c>
      <c r="BC102" s="660">
        <f t="shared" ref="BC102" si="434">$AZ102*c_Residual.Share_GP</f>
        <v>0</v>
      </c>
      <c r="BD102" s="651"/>
      <c r="BE102" s="660">
        <f t="shared" si="374"/>
        <v>0</v>
      </c>
      <c r="BF102" s="660">
        <f t="shared" si="374"/>
        <v>0</v>
      </c>
      <c r="BG102" s="660">
        <f t="shared" si="32"/>
        <v>0</v>
      </c>
      <c r="BI102" s="660">
        <v>0</v>
      </c>
      <c r="BJ102" s="660">
        <v>0</v>
      </c>
      <c r="BK102" s="660">
        <v>0</v>
      </c>
      <c r="BL102" s="660">
        <f t="shared" si="375"/>
        <v>0</v>
      </c>
      <c r="BM102" s="660">
        <f t="shared" si="375"/>
        <v>0</v>
      </c>
      <c r="BN102" s="660">
        <f t="shared" si="376"/>
        <v>0</v>
      </c>
      <c r="BO102" s="660">
        <f t="shared" si="376"/>
        <v>0</v>
      </c>
      <c r="BP102" s="660">
        <f t="shared" si="377"/>
        <v>0</v>
      </c>
      <c r="BQ102" s="660">
        <f t="shared" si="377"/>
        <v>0</v>
      </c>
      <c r="BR102" s="660">
        <v>0</v>
      </c>
      <c r="BS102" s="660">
        <v>0</v>
      </c>
      <c r="BT102" s="660">
        <f t="shared" si="36"/>
        <v>0</v>
      </c>
      <c r="BU102" s="660">
        <f t="shared" si="36"/>
        <v>0</v>
      </c>
      <c r="BX102" s="660">
        <v>0</v>
      </c>
      <c r="BY102" s="660">
        <f t="shared" si="63"/>
        <v>0</v>
      </c>
      <c r="BZ102" s="660">
        <f t="shared" si="37"/>
        <v>0</v>
      </c>
      <c r="CA102" s="660">
        <f t="shared" si="38"/>
        <v>0</v>
      </c>
      <c r="CB102" s="660">
        <f t="shared" si="39"/>
        <v>0</v>
      </c>
      <c r="CC102" s="660">
        <f t="shared" si="40"/>
        <v>0</v>
      </c>
      <c r="CD102" s="660">
        <f t="shared" si="378"/>
        <v>0</v>
      </c>
    </row>
    <row r="103" spans="4:82" ht="16" thickTop="1" thickBot="1">
      <c r="D103" s="653">
        <v>47</v>
      </c>
      <c r="E103" s="654">
        <v>47118</v>
      </c>
      <c r="F103" s="655">
        <f t="shared" si="42"/>
        <v>4</v>
      </c>
      <c r="G103" s="656">
        <v>0</v>
      </c>
      <c r="I103" s="658">
        <f t="shared" si="43"/>
        <v>0</v>
      </c>
      <c r="J103" s="658">
        <f t="shared" ref="J103" si="435">IF($G103=0,0,-MIN(0,G103*c_EquityShare.LP))</f>
        <v>0</v>
      </c>
      <c r="K103" s="658">
        <f t="shared" ref="K103" si="436">I103*c_Rate.Pref_MO</f>
        <v>0</v>
      </c>
      <c r="L103" s="658">
        <f t="shared" si="15"/>
        <v>0</v>
      </c>
      <c r="M103" s="658">
        <f t="shared" si="46"/>
        <v>0</v>
      </c>
      <c r="N103" s="658">
        <f t="shared" si="66"/>
        <v>0</v>
      </c>
      <c r="O103" s="658" cm="1">
        <f t="array" ref="O103">IF(I103=0,0,IF(G103&lt;0,N103/c_EquityShare.LP*i_EquityShare.GP,L103/c_EquityShare.LP*i_EquityShare.GP))</f>
        <v>0</v>
      </c>
      <c r="P103" s="658">
        <f t="shared" si="47"/>
        <v>0</v>
      </c>
      <c r="Q103" s="658">
        <f t="shared" si="16"/>
        <v>0</v>
      </c>
      <c r="R103" s="521"/>
      <c r="S103" s="660">
        <f t="shared" si="48"/>
        <v>0</v>
      </c>
      <c r="T103" s="663" cm="1">
        <f t="array" ref="T103">IF($G103=0,0,-MIN(0,$G103*c_EquityShare.LP))</f>
        <v>0</v>
      </c>
      <c r="U103" s="663" cm="1">
        <f t="array" ref="U103">IF($D103=0,0,S103*c_Rate.Hurdle1.MO)</f>
        <v>0</v>
      </c>
      <c r="V103" s="660">
        <f t="shared" si="67"/>
        <v>0</v>
      </c>
      <c r="W103" s="660">
        <f t="shared" si="17"/>
        <v>0</v>
      </c>
      <c r="X103" s="663">
        <f t="shared" si="68"/>
        <v>0</v>
      </c>
      <c r="Y103" s="663">
        <f t="shared" si="49"/>
        <v>0</v>
      </c>
      <c r="Z103" s="663">
        <f t="shared" ref="Z103" si="437">IF(S103=0,0,O103+W103/$J$17*c_Hurdle1.Share_GP)</f>
        <v>0</v>
      </c>
      <c r="AA103" s="663">
        <f t="shared" si="19"/>
        <v>0</v>
      </c>
      <c r="AB103" s="660">
        <f t="shared" si="70"/>
        <v>0</v>
      </c>
      <c r="AC103" s="521"/>
      <c r="AD103" s="663">
        <f t="shared" si="51"/>
        <v>6565319.5950227985</v>
      </c>
      <c r="AE103" s="663">
        <f t="shared" ref="AE103" si="438">IF($G103=0,0,-MIN(0,$G103*c_EquityShare.LP))</f>
        <v>0</v>
      </c>
      <c r="AF103" s="663" cm="1">
        <f t="array" ref="AF103">IF($D103=0,0,AD103*(c_Rate.Hurdle2.MO))</f>
        <v>100511.56666130868</v>
      </c>
      <c r="AG103" s="663">
        <f t="shared" si="21"/>
        <v>0</v>
      </c>
      <c r="AH103" s="663">
        <f t="shared" si="53"/>
        <v>0</v>
      </c>
      <c r="AI103" s="663">
        <f t="shared" si="22"/>
        <v>6665831.161684107</v>
      </c>
      <c r="AJ103" s="664">
        <f t="shared" si="23"/>
        <v>0</v>
      </c>
      <c r="AK103" s="660">
        <f t="shared" si="24"/>
        <v>0</v>
      </c>
      <c r="AL103" s="663">
        <f t="shared" ref="AL103" si="439">IF(AD103=0,0,Z103+AH103/$J$18*c_Hurdle2.Share_GP)</f>
        <v>0</v>
      </c>
      <c r="AM103" s="663">
        <f t="shared" si="25"/>
        <v>0</v>
      </c>
      <c r="AN103" s="660">
        <f t="shared" si="73"/>
        <v>0</v>
      </c>
      <c r="AO103" s="521"/>
      <c r="AP103" s="663">
        <f t="shared" si="55"/>
        <v>19270337.192995131</v>
      </c>
      <c r="AQ103" s="663">
        <f t="shared" ref="AQ103" si="440">IF($G103=0,0,-MIN(0,$G103*c_EquityShare.LP))</f>
        <v>0</v>
      </c>
      <c r="AR103" s="663" cm="1">
        <f t="array" ref="AR103">IF($D103=0,0,AP103*(c_Rate.Hurdle3.MO))</f>
        <v>425960.21640487935</v>
      </c>
      <c r="AS103" s="663">
        <f t="shared" si="27"/>
        <v>0</v>
      </c>
      <c r="AT103" s="663">
        <f t="shared" si="57"/>
        <v>0</v>
      </c>
      <c r="AU103" s="663">
        <f t="shared" si="28"/>
        <v>19696297.409400009</v>
      </c>
      <c r="AV103" s="664">
        <f t="shared" si="29"/>
        <v>0</v>
      </c>
      <c r="AW103" s="660">
        <f t="shared" si="58"/>
        <v>0</v>
      </c>
      <c r="AX103" s="663">
        <f t="shared" ref="AX103" si="441">IF(AP103=0,0,AL103+AT103/$J$19*c_Hurdle3.Share_GP)</f>
        <v>0</v>
      </c>
      <c r="AY103" s="663">
        <f t="shared" si="60"/>
        <v>0</v>
      </c>
      <c r="AZ103" s="660">
        <f t="shared" si="76"/>
        <v>0</v>
      </c>
      <c r="BA103" s="521"/>
      <c r="BB103" s="660">
        <f t="shared" si="30"/>
        <v>0</v>
      </c>
      <c r="BC103" s="660">
        <f t="shared" ref="BC103" si="442">$AZ103*c_Residual.Share_GP</f>
        <v>0</v>
      </c>
      <c r="BD103" s="651"/>
      <c r="BE103" s="660">
        <f t="shared" si="374"/>
        <v>0</v>
      </c>
      <c r="BF103" s="660">
        <f t="shared" si="374"/>
        <v>0</v>
      </c>
      <c r="BG103" s="660">
        <f t="shared" si="32"/>
        <v>0</v>
      </c>
      <c r="BI103" s="660">
        <v>0</v>
      </c>
      <c r="BJ103" s="660">
        <v>0</v>
      </c>
      <c r="BK103" s="660">
        <v>0</v>
      </c>
      <c r="BL103" s="660">
        <f t="shared" si="375"/>
        <v>0</v>
      </c>
      <c r="BM103" s="660">
        <f t="shared" si="375"/>
        <v>0</v>
      </c>
      <c r="BN103" s="660">
        <f t="shared" si="376"/>
        <v>0</v>
      </c>
      <c r="BO103" s="660">
        <f t="shared" si="376"/>
        <v>0</v>
      </c>
      <c r="BP103" s="660">
        <f t="shared" si="377"/>
        <v>0</v>
      </c>
      <c r="BQ103" s="660">
        <f t="shared" si="377"/>
        <v>0</v>
      </c>
      <c r="BR103" s="660">
        <v>0</v>
      </c>
      <c r="BS103" s="660">
        <v>0</v>
      </c>
      <c r="BT103" s="660">
        <f t="shared" si="36"/>
        <v>0</v>
      </c>
      <c r="BU103" s="660">
        <f t="shared" si="36"/>
        <v>0</v>
      </c>
      <c r="BX103" s="660">
        <v>0</v>
      </c>
      <c r="BY103" s="660">
        <f t="shared" si="63"/>
        <v>0</v>
      </c>
      <c r="BZ103" s="660">
        <f t="shared" si="37"/>
        <v>0</v>
      </c>
      <c r="CA103" s="660">
        <f t="shared" si="38"/>
        <v>0</v>
      </c>
      <c r="CB103" s="660">
        <f t="shared" si="39"/>
        <v>0</v>
      </c>
      <c r="CC103" s="660">
        <f t="shared" si="40"/>
        <v>0</v>
      </c>
      <c r="CD103" s="660">
        <f t="shared" si="378"/>
        <v>0</v>
      </c>
    </row>
    <row r="104" spans="4:82" ht="16" thickTop="1" thickBot="1">
      <c r="D104" s="653">
        <v>48</v>
      </c>
      <c r="E104" s="654">
        <v>47149</v>
      </c>
      <c r="F104" s="655">
        <f t="shared" si="42"/>
        <v>5</v>
      </c>
      <c r="G104" s="656">
        <v>0</v>
      </c>
      <c r="I104" s="658">
        <f t="shared" si="43"/>
        <v>0</v>
      </c>
      <c r="J104" s="658">
        <f t="shared" ref="J104" si="443">IF($G104=0,0,-MIN(0,G104*c_EquityShare.LP))</f>
        <v>0</v>
      </c>
      <c r="K104" s="658">
        <f t="shared" ref="K104" si="444">I104*c_Rate.Pref_MO</f>
        <v>0</v>
      </c>
      <c r="L104" s="658">
        <f t="shared" si="15"/>
        <v>0</v>
      </c>
      <c r="M104" s="658">
        <f t="shared" si="46"/>
        <v>0</v>
      </c>
      <c r="N104" s="658">
        <f t="shared" si="66"/>
        <v>0</v>
      </c>
      <c r="O104" s="658" cm="1">
        <f t="array" ref="O104">IF(I104=0,0,IF(G104&lt;0,N104/c_EquityShare.LP*i_EquityShare.GP,L104/c_EquityShare.LP*i_EquityShare.GP))</f>
        <v>0</v>
      </c>
      <c r="P104" s="658">
        <f t="shared" si="47"/>
        <v>0</v>
      </c>
      <c r="Q104" s="658">
        <f t="shared" si="16"/>
        <v>0</v>
      </c>
      <c r="R104" s="521"/>
      <c r="S104" s="660">
        <f t="shared" si="48"/>
        <v>0</v>
      </c>
      <c r="T104" s="663" cm="1">
        <f t="array" ref="T104">IF($G104=0,0,-MIN(0,$G104*c_EquityShare.LP))</f>
        <v>0</v>
      </c>
      <c r="U104" s="663" cm="1">
        <f t="array" ref="U104">IF($D104=0,0,S104*c_Rate.Hurdle1.MO)</f>
        <v>0</v>
      </c>
      <c r="V104" s="660">
        <f t="shared" si="67"/>
        <v>0</v>
      </c>
      <c r="W104" s="660">
        <f t="shared" si="17"/>
        <v>0</v>
      </c>
      <c r="X104" s="663">
        <f t="shared" si="68"/>
        <v>0</v>
      </c>
      <c r="Y104" s="663">
        <f t="shared" si="49"/>
        <v>0</v>
      </c>
      <c r="Z104" s="663">
        <f t="shared" ref="Z104" si="445">IF(S104=0,0,O104+W104/$J$17*c_Hurdle1.Share_GP)</f>
        <v>0</v>
      </c>
      <c r="AA104" s="663">
        <f t="shared" si="19"/>
        <v>0</v>
      </c>
      <c r="AB104" s="660">
        <f t="shared" si="70"/>
        <v>0</v>
      </c>
      <c r="AC104" s="521"/>
      <c r="AD104" s="663">
        <f t="shared" si="51"/>
        <v>6665831.161684107</v>
      </c>
      <c r="AE104" s="663">
        <f t="shared" ref="AE104" si="446">IF($G104=0,0,-MIN(0,$G104*c_EquityShare.LP))</f>
        <v>0</v>
      </c>
      <c r="AF104" s="663" cm="1">
        <f t="array" ref="AF104">IF($D104=0,0,AD104*(c_Rate.Hurdle2.MO))</f>
        <v>102050.34552599174</v>
      </c>
      <c r="AG104" s="663">
        <f t="shared" si="21"/>
        <v>0</v>
      </c>
      <c r="AH104" s="663">
        <f t="shared" si="53"/>
        <v>0</v>
      </c>
      <c r="AI104" s="663">
        <f t="shared" si="22"/>
        <v>6767881.5072100991</v>
      </c>
      <c r="AJ104" s="664">
        <f t="shared" si="23"/>
        <v>0</v>
      </c>
      <c r="AK104" s="660">
        <f t="shared" si="24"/>
        <v>0</v>
      </c>
      <c r="AL104" s="663">
        <f t="shared" ref="AL104" si="447">IF(AD104=0,0,Z104+AH104/$J$18*c_Hurdle2.Share_GP)</f>
        <v>0</v>
      </c>
      <c r="AM104" s="663">
        <f t="shared" si="25"/>
        <v>0</v>
      </c>
      <c r="AN104" s="660">
        <f t="shared" si="73"/>
        <v>0</v>
      </c>
      <c r="AO104" s="521"/>
      <c r="AP104" s="663">
        <f t="shared" si="55"/>
        <v>19696297.409400009</v>
      </c>
      <c r="AQ104" s="663">
        <f t="shared" ref="AQ104" si="448">IF($G104=0,0,-MIN(0,$G104*c_EquityShare.LP))</f>
        <v>0</v>
      </c>
      <c r="AR104" s="663" cm="1">
        <f t="array" ref="AR104">IF($D104=0,0,AP104*(c_Rate.Hurdle3.MO))</f>
        <v>435375.83296324685</v>
      </c>
      <c r="AS104" s="663">
        <f t="shared" si="27"/>
        <v>0</v>
      </c>
      <c r="AT104" s="663">
        <f t="shared" si="57"/>
        <v>0</v>
      </c>
      <c r="AU104" s="663">
        <f t="shared" si="28"/>
        <v>20131673.242363255</v>
      </c>
      <c r="AV104" s="664">
        <f t="shared" si="29"/>
        <v>0</v>
      </c>
      <c r="AW104" s="660">
        <f t="shared" si="58"/>
        <v>0</v>
      </c>
      <c r="AX104" s="663">
        <f t="shared" ref="AX104" si="449">IF(AP104=0,0,AL104+AT104/$J$19*c_Hurdle3.Share_GP)</f>
        <v>0</v>
      </c>
      <c r="AY104" s="663">
        <f t="shared" si="60"/>
        <v>0</v>
      </c>
      <c r="AZ104" s="660">
        <f t="shared" si="76"/>
        <v>0</v>
      </c>
      <c r="BA104" s="521"/>
      <c r="BB104" s="660">
        <f t="shared" si="30"/>
        <v>0</v>
      </c>
      <c r="BC104" s="660">
        <f t="shared" ref="BC104" si="450">$AZ104*c_Residual.Share_GP</f>
        <v>0</v>
      </c>
      <c r="BD104" s="651"/>
      <c r="BE104" s="660">
        <f t="shared" si="374"/>
        <v>0</v>
      </c>
      <c r="BF104" s="660">
        <f t="shared" si="374"/>
        <v>0</v>
      </c>
      <c r="BG104" s="660">
        <f t="shared" si="32"/>
        <v>0</v>
      </c>
      <c r="BI104" s="660">
        <v>0</v>
      </c>
      <c r="BJ104" s="660">
        <v>0</v>
      </c>
      <c r="BK104" s="660">
        <v>0</v>
      </c>
      <c r="BL104" s="660">
        <f t="shared" si="375"/>
        <v>0</v>
      </c>
      <c r="BM104" s="660">
        <f t="shared" si="375"/>
        <v>0</v>
      </c>
      <c r="BN104" s="660">
        <f t="shared" si="376"/>
        <v>0</v>
      </c>
      <c r="BO104" s="660">
        <f t="shared" si="376"/>
        <v>0</v>
      </c>
      <c r="BP104" s="660">
        <f t="shared" si="377"/>
        <v>0</v>
      </c>
      <c r="BQ104" s="660">
        <f t="shared" si="377"/>
        <v>0</v>
      </c>
      <c r="BR104" s="660">
        <v>0</v>
      </c>
      <c r="BS104" s="660">
        <v>0</v>
      </c>
      <c r="BT104" s="660">
        <f t="shared" si="36"/>
        <v>0</v>
      </c>
      <c r="BU104" s="660">
        <f t="shared" si="36"/>
        <v>0</v>
      </c>
      <c r="BX104" s="660">
        <v>0</v>
      </c>
      <c r="BY104" s="660">
        <f t="shared" si="63"/>
        <v>0</v>
      </c>
      <c r="BZ104" s="660">
        <f t="shared" si="37"/>
        <v>0</v>
      </c>
      <c r="CA104" s="660">
        <f t="shared" si="38"/>
        <v>0</v>
      </c>
      <c r="CB104" s="660">
        <f t="shared" si="39"/>
        <v>0</v>
      </c>
      <c r="CC104" s="660">
        <f t="shared" si="40"/>
        <v>0</v>
      </c>
      <c r="CD104" s="660">
        <f t="shared" si="378"/>
        <v>0</v>
      </c>
    </row>
    <row r="105" spans="4:82" ht="16" thickTop="1" thickBot="1">
      <c r="D105" s="653">
        <v>49</v>
      </c>
      <c r="E105" s="654">
        <v>47177</v>
      </c>
      <c r="F105" s="655">
        <f t="shared" si="42"/>
        <v>5</v>
      </c>
      <c r="G105" s="656">
        <v>13186791.763959009</v>
      </c>
      <c r="I105" s="658">
        <f t="shared" si="43"/>
        <v>0</v>
      </c>
      <c r="J105" s="658">
        <f t="shared" ref="J105" si="451">IF($G105=0,0,-MIN(0,G105*c_EquityShare.LP))</f>
        <v>0</v>
      </c>
      <c r="K105" s="658">
        <f t="shared" ref="K105" si="452">I105*c_Rate.Pref_MO</f>
        <v>0</v>
      </c>
      <c r="L105" s="658">
        <f t="shared" si="15"/>
        <v>0</v>
      </c>
      <c r="M105" s="658">
        <f t="shared" si="46"/>
        <v>0</v>
      </c>
      <c r="N105" s="658">
        <f t="shared" si="66"/>
        <v>0</v>
      </c>
      <c r="O105" s="658" cm="1">
        <f t="array" ref="O105">IF(I105=0,0,IF(G105&lt;0,N105/c_EquityShare.LP*i_EquityShare.GP,L105/c_EquityShare.LP*i_EquityShare.GP))</f>
        <v>0</v>
      </c>
      <c r="P105" s="658">
        <f t="shared" si="47"/>
        <v>0</v>
      </c>
      <c r="Q105" s="658">
        <f t="shared" si="16"/>
        <v>13186791.763959009</v>
      </c>
      <c r="R105" s="521"/>
      <c r="S105" s="660">
        <f t="shared" si="48"/>
        <v>0</v>
      </c>
      <c r="T105" s="663" cm="1">
        <f t="array" ref="T105">IF($G105=0,0,-MIN(0,$G105*c_EquityShare.LP))</f>
        <v>0</v>
      </c>
      <c r="U105" s="663" cm="1">
        <f t="array" ref="U105">IF($D105=0,0,S105*c_Rate.Hurdle1.MO)</f>
        <v>0</v>
      </c>
      <c r="V105" s="660">
        <f t="shared" si="67"/>
        <v>0</v>
      </c>
      <c r="W105" s="660">
        <f t="shared" si="17"/>
        <v>0</v>
      </c>
      <c r="X105" s="663">
        <f t="shared" si="68"/>
        <v>0</v>
      </c>
      <c r="Y105" s="663">
        <f t="shared" si="49"/>
        <v>0</v>
      </c>
      <c r="Z105" s="663">
        <f t="shared" ref="Z105" si="453">IF(S105=0,0,O105+W105/$J$17*c_Hurdle1.Share_GP)</f>
        <v>0</v>
      </c>
      <c r="AA105" s="663">
        <f t="shared" si="19"/>
        <v>0</v>
      </c>
      <c r="AB105" s="660">
        <f t="shared" si="70"/>
        <v>13186791.763959009</v>
      </c>
      <c r="AC105" s="521"/>
      <c r="AD105" s="663">
        <f t="shared" si="51"/>
        <v>6767881.5072100991</v>
      </c>
      <c r="AE105" s="663">
        <f t="shared" ref="AE105" si="454">IF($G105=0,0,-MIN(0,$G105*c_EquityShare.LP))</f>
        <v>0</v>
      </c>
      <c r="AF105" s="663" cm="1">
        <f t="array" ref="AF105">IF($D105=0,0,AD105*(c_Rate.Hurdle2.MO))</f>
        <v>103612.68228030929</v>
      </c>
      <c r="AG105" s="663">
        <f t="shared" si="21"/>
        <v>0</v>
      </c>
      <c r="AH105" s="663">
        <f t="shared" si="53"/>
        <v>6871494.1894904086</v>
      </c>
      <c r="AI105" s="663">
        <f t="shared" si="22"/>
        <v>0</v>
      </c>
      <c r="AJ105" s="664">
        <f t="shared" si="23"/>
        <v>6871494.1894904086</v>
      </c>
      <c r="AK105" s="660">
        <f t="shared" si="24"/>
        <v>6871494.1894904086</v>
      </c>
      <c r="AL105" s="663">
        <f t="shared" ref="AL105" si="455">IF(AD105=0,0,Z105+AH105/$J$18*c_Hurdle2.Share_GP)</f>
        <v>1717873.5473726015</v>
      </c>
      <c r="AM105" s="663">
        <f t="shared" si="25"/>
        <v>8589367.7368630096</v>
      </c>
      <c r="AN105" s="660">
        <f t="shared" si="73"/>
        <v>4597424.0270959996</v>
      </c>
      <c r="AO105" s="521"/>
      <c r="AP105" s="663">
        <f t="shared" si="55"/>
        <v>20131673.242363255</v>
      </c>
      <c r="AQ105" s="663">
        <f t="shared" ref="AQ105" si="456">IF($G105=0,0,-MIN(0,$G105*c_EquityShare.LP))</f>
        <v>0</v>
      </c>
      <c r="AR105" s="663" cm="1">
        <f t="array" ref="AR105">IF($D105=0,0,AP105*(c_Rate.Hurdle3.MO))</f>
        <v>444999.57655263733</v>
      </c>
      <c r="AS105" s="663">
        <f t="shared" si="27"/>
        <v>6871494.1894904086</v>
      </c>
      <c r="AT105" s="663">
        <f t="shared" si="57"/>
        <v>3218196.8189671994</v>
      </c>
      <c r="AU105" s="663">
        <f t="shared" si="28"/>
        <v>10486981.810458286</v>
      </c>
      <c r="AV105" s="664">
        <f t="shared" si="29"/>
        <v>10089691.008457609</v>
      </c>
      <c r="AW105" s="660">
        <f t="shared" si="58"/>
        <v>10089691.008457609</v>
      </c>
      <c r="AX105" s="663">
        <f t="shared" ref="AX105" si="457">IF(AP105=0,0,AL105+AT105/$J$19*c_Hurdle3.Share_GP)</f>
        <v>3097100.7555014016</v>
      </c>
      <c r="AY105" s="663">
        <f t="shared" si="60"/>
        <v>13186791.763959009</v>
      </c>
      <c r="AZ105" s="660">
        <f t="shared" si="76"/>
        <v>0</v>
      </c>
      <c r="BA105" s="521"/>
      <c r="BB105" s="660">
        <f t="shared" si="30"/>
        <v>0</v>
      </c>
      <c r="BC105" s="660">
        <f t="shared" ref="BC105" si="458">$AZ105*c_Residual.Share_GP</f>
        <v>0</v>
      </c>
      <c r="BD105" s="651"/>
      <c r="BE105" s="660">
        <f t="shared" si="374"/>
        <v>10089691.008457609</v>
      </c>
      <c r="BF105" s="660">
        <f t="shared" si="374"/>
        <v>3097100.7555014016</v>
      </c>
      <c r="BG105" s="660">
        <f t="shared" si="32"/>
        <v>13186791.763959009</v>
      </c>
      <c r="BI105" s="660">
        <v>13186791.763959009</v>
      </c>
      <c r="BJ105" s="660">
        <v>0</v>
      </c>
      <c r="BK105" s="660">
        <v>0</v>
      </c>
      <c r="BL105" s="660">
        <f t="shared" si="375"/>
        <v>0</v>
      </c>
      <c r="BM105" s="660">
        <f t="shared" si="375"/>
        <v>0</v>
      </c>
      <c r="BN105" s="660">
        <f t="shared" si="376"/>
        <v>6871494.1894904086</v>
      </c>
      <c r="BO105" s="660">
        <f t="shared" si="376"/>
        <v>1717873.5473726015</v>
      </c>
      <c r="BP105" s="660">
        <f t="shared" si="377"/>
        <v>3218196.8189671999</v>
      </c>
      <c r="BQ105" s="660">
        <f t="shared" si="377"/>
        <v>1379227.2081288002</v>
      </c>
      <c r="BR105" s="660">
        <v>0</v>
      </c>
      <c r="BS105" s="660">
        <v>0</v>
      </c>
      <c r="BT105" s="660">
        <f t="shared" si="36"/>
        <v>10089691.008457609</v>
      </c>
      <c r="BU105" s="660">
        <f t="shared" si="36"/>
        <v>3097100.7555014016</v>
      </c>
      <c r="BX105" s="660">
        <v>13186791.763959009</v>
      </c>
      <c r="BY105" s="660">
        <f t="shared" si="63"/>
        <v>0</v>
      </c>
      <c r="BZ105" s="660">
        <f t="shared" si="37"/>
        <v>0</v>
      </c>
      <c r="CA105" s="660">
        <f t="shared" si="38"/>
        <v>8589367.7368630096</v>
      </c>
      <c r="CB105" s="660">
        <f t="shared" si="39"/>
        <v>4597424.0270959996</v>
      </c>
      <c r="CC105" s="660">
        <f t="shared" si="40"/>
        <v>0</v>
      </c>
      <c r="CD105" s="660">
        <f t="shared" si="378"/>
        <v>13186791.763959009</v>
      </c>
    </row>
    <row r="106" spans="4:82" ht="16" thickTop="1" thickBot="1">
      <c r="D106" s="653">
        <v>50</v>
      </c>
      <c r="E106" s="654">
        <v>47208</v>
      </c>
      <c r="F106" s="655">
        <f t="shared" si="42"/>
        <v>5</v>
      </c>
      <c r="G106" s="656">
        <v>0</v>
      </c>
      <c r="I106" s="658">
        <f t="shared" si="43"/>
        <v>0</v>
      </c>
      <c r="J106" s="658">
        <f t="shared" ref="J106" si="459">IF($G106=0,0,-MIN(0,G106*c_EquityShare.LP))</f>
        <v>0</v>
      </c>
      <c r="K106" s="658">
        <f t="shared" ref="K106" si="460">I106*c_Rate.Pref_MO</f>
        <v>0</v>
      </c>
      <c r="L106" s="658">
        <f t="shared" si="15"/>
        <v>0</v>
      </c>
      <c r="M106" s="658">
        <f t="shared" si="46"/>
        <v>0</v>
      </c>
      <c r="N106" s="658">
        <f t="shared" si="66"/>
        <v>0</v>
      </c>
      <c r="O106" s="658" cm="1">
        <f t="array" ref="O106">IF(I106=0,0,IF(G106&lt;0,N106/c_EquityShare.LP*i_EquityShare.GP,L106/c_EquityShare.LP*i_EquityShare.GP))</f>
        <v>0</v>
      </c>
      <c r="P106" s="658">
        <f t="shared" si="47"/>
        <v>0</v>
      </c>
      <c r="Q106" s="658">
        <f t="shared" si="16"/>
        <v>0</v>
      </c>
      <c r="R106" s="521"/>
      <c r="S106" s="660">
        <f t="shared" si="48"/>
        <v>0</v>
      </c>
      <c r="T106" s="663" cm="1">
        <f t="array" ref="T106">IF($G106=0,0,-MIN(0,$G106*c_EquityShare.LP))</f>
        <v>0</v>
      </c>
      <c r="U106" s="663" cm="1">
        <f t="array" ref="U106">IF($D106=0,0,S106*c_Rate.Hurdle1.MO)</f>
        <v>0</v>
      </c>
      <c r="V106" s="660">
        <f t="shared" si="67"/>
        <v>0</v>
      </c>
      <c r="W106" s="660">
        <f t="shared" si="17"/>
        <v>0</v>
      </c>
      <c r="X106" s="663">
        <f t="shared" si="68"/>
        <v>0</v>
      </c>
      <c r="Y106" s="663">
        <f t="shared" si="49"/>
        <v>0</v>
      </c>
      <c r="Z106" s="663">
        <f t="shared" ref="Z106" si="461">IF(S106=0,0,O106+W106/$J$17*c_Hurdle1.Share_GP)</f>
        <v>0</v>
      </c>
      <c r="AA106" s="663">
        <f t="shared" si="19"/>
        <v>0</v>
      </c>
      <c r="AB106" s="660">
        <f t="shared" si="70"/>
        <v>0</v>
      </c>
      <c r="AC106" s="521"/>
      <c r="AD106" s="663">
        <f t="shared" si="51"/>
        <v>0</v>
      </c>
      <c r="AE106" s="663">
        <f t="shared" ref="AE106" si="462">IF($G106=0,0,-MIN(0,$G106*c_EquityShare.LP))</f>
        <v>0</v>
      </c>
      <c r="AF106" s="663" cm="1">
        <f t="array" ref="AF106">IF($D106=0,0,AD106*(c_Rate.Hurdle2.MO))</f>
        <v>0</v>
      </c>
      <c r="AG106" s="663">
        <f t="shared" si="21"/>
        <v>0</v>
      </c>
      <c r="AH106" s="663">
        <f t="shared" si="53"/>
        <v>0</v>
      </c>
      <c r="AI106" s="663">
        <f t="shared" si="22"/>
        <v>0</v>
      </c>
      <c r="AJ106" s="664">
        <f t="shared" si="23"/>
        <v>0</v>
      </c>
      <c r="AK106" s="660">
        <f t="shared" si="24"/>
        <v>0</v>
      </c>
      <c r="AL106" s="663">
        <f t="shared" ref="AL106" si="463">IF(AD106=0,0,Z106+AH106/$J$18*c_Hurdle2.Share_GP)</f>
        <v>0</v>
      </c>
      <c r="AM106" s="663">
        <f t="shared" si="25"/>
        <v>0</v>
      </c>
      <c r="AN106" s="660">
        <f t="shared" si="73"/>
        <v>0</v>
      </c>
      <c r="AO106" s="521"/>
      <c r="AP106" s="663">
        <f t="shared" si="55"/>
        <v>10486981.810458286</v>
      </c>
      <c r="AQ106" s="663">
        <f t="shared" ref="AQ106" si="464">IF($G106=0,0,-MIN(0,$G106*c_EquityShare.LP))</f>
        <v>0</v>
      </c>
      <c r="AR106" s="663" cm="1">
        <f t="array" ref="AR106">IF($D106=0,0,AP106*(c_Rate.Hurdle3.MO))</f>
        <v>231808.97130542356</v>
      </c>
      <c r="AS106" s="663">
        <f t="shared" si="27"/>
        <v>0</v>
      </c>
      <c r="AT106" s="663">
        <f t="shared" si="57"/>
        <v>0</v>
      </c>
      <c r="AU106" s="663">
        <f t="shared" si="28"/>
        <v>10718790.78176371</v>
      </c>
      <c r="AV106" s="664">
        <f t="shared" si="29"/>
        <v>0</v>
      </c>
      <c r="AW106" s="660">
        <f t="shared" si="58"/>
        <v>0</v>
      </c>
      <c r="AX106" s="663">
        <f t="shared" ref="AX106" si="465">IF(AP106=0,0,AL106+AT106/$J$19*c_Hurdle3.Share_GP)</f>
        <v>0</v>
      </c>
      <c r="AY106" s="663">
        <f t="shared" si="60"/>
        <v>0</v>
      </c>
      <c r="AZ106" s="660">
        <f t="shared" si="76"/>
        <v>0</v>
      </c>
      <c r="BA106" s="521"/>
      <c r="BB106" s="660">
        <f t="shared" si="30"/>
        <v>0</v>
      </c>
      <c r="BC106" s="660">
        <f t="shared" ref="BC106" si="466">$AZ106*c_Residual.Share_GP</f>
        <v>0</v>
      </c>
      <c r="BD106" s="651"/>
      <c r="BE106" s="660">
        <f t="shared" si="374"/>
        <v>0</v>
      </c>
      <c r="BF106" s="660">
        <f t="shared" si="374"/>
        <v>0</v>
      </c>
      <c r="BG106" s="660">
        <f t="shared" si="32"/>
        <v>0</v>
      </c>
      <c r="BI106" s="660">
        <v>0</v>
      </c>
      <c r="BJ106" s="660">
        <v>0</v>
      </c>
      <c r="BK106" s="660">
        <v>0</v>
      </c>
      <c r="BL106" s="660">
        <f t="shared" si="375"/>
        <v>0</v>
      </c>
      <c r="BM106" s="660">
        <f t="shared" si="375"/>
        <v>0</v>
      </c>
      <c r="BN106" s="660">
        <f t="shared" si="376"/>
        <v>0</v>
      </c>
      <c r="BO106" s="660">
        <f t="shared" si="376"/>
        <v>0</v>
      </c>
      <c r="BP106" s="660">
        <f t="shared" si="377"/>
        <v>0</v>
      </c>
      <c r="BQ106" s="660">
        <f t="shared" si="377"/>
        <v>0</v>
      </c>
      <c r="BR106" s="660">
        <v>0</v>
      </c>
      <c r="BS106" s="660">
        <v>0</v>
      </c>
      <c r="BT106" s="660">
        <f t="shared" si="36"/>
        <v>0</v>
      </c>
      <c r="BU106" s="660">
        <f t="shared" si="36"/>
        <v>0</v>
      </c>
      <c r="BX106" s="660">
        <v>0</v>
      </c>
      <c r="BY106" s="660">
        <f t="shared" si="63"/>
        <v>0</v>
      </c>
      <c r="BZ106" s="660">
        <f t="shared" si="37"/>
        <v>0</v>
      </c>
      <c r="CA106" s="660">
        <f t="shared" si="38"/>
        <v>0</v>
      </c>
      <c r="CB106" s="660">
        <f t="shared" si="39"/>
        <v>0</v>
      </c>
      <c r="CC106" s="660">
        <f t="shared" si="40"/>
        <v>0</v>
      </c>
      <c r="CD106" s="660">
        <f t="shared" si="378"/>
        <v>0</v>
      </c>
    </row>
    <row r="107" spans="4:82" ht="16" thickTop="1" thickBot="1">
      <c r="D107" s="653">
        <v>51</v>
      </c>
      <c r="E107" s="654">
        <v>47238</v>
      </c>
      <c r="F107" s="655">
        <f t="shared" si="42"/>
        <v>5</v>
      </c>
      <c r="G107" s="656">
        <v>3253106.3163506528</v>
      </c>
      <c r="I107" s="658">
        <f t="shared" si="43"/>
        <v>0</v>
      </c>
      <c r="J107" s="658">
        <f t="shared" ref="J107" si="467">IF($G107=0,0,-MIN(0,G107*c_EquityShare.LP))</f>
        <v>0</v>
      </c>
      <c r="K107" s="658">
        <f t="shared" ref="K107" si="468">I107*c_Rate.Pref_MO</f>
        <v>0</v>
      </c>
      <c r="L107" s="658">
        <f t="shared" si="15"/>
        <v>0</v>
      </c>
      <c r="M107" s="658">
        <f t="shared" si="46"/>
        <v>0</v>
      </c>
      <c r="N107" s="658">
        <f t="shared" si="66"/>
        <v>0</v>
      </c>
      <c r="O107" s="658" cm="1">
        <f t="array" ref="O107">IF(I107=0,0,IF(G107&lt;0,N107/c_EquityShare.LP*i_EquityShare.GP,L107/c_EquityShare.LP*i_EquityShare.GP))</f>
        <v>0</v>
      </c>
      <c r="P107" s="658">
        <f t="shared" si="47"/>
        <v>0</v>
      </c>
      <c r="Q107" s="658">
        <f t="shared" si="16"/>
        <v>3253106.3163506528</v>
      </c>
      <c r="R107" s="521"/>
      <c r="S107" s="660">
        <f t="shared" si="48"/>
        <v>0</v>
      </c>
      <c r="T107" s="663" cm="1">
        <f t="array" ref="T107">IF($G107=0,0,-MIN(0,$G107*c_EquityShare.LP))</f>
        <v>0</v>
      </c>
      <c r="U107" s="663" cm="1">
        <f t="array" ref="U107">IF($D107=0,0,S107*c_Rate.Hurdle1.MO)</f>
        <v>0</v>
      </c>
      <c r="V107" s="660">
        <f t="shared" si="67"/>
        <v>0</v>
      </c>
      <c r="W107" s="660">
        <f t="shared" si="17"/>
        <v>0</v>
      </c>
      <c r="X107" s="663">
        <f t="shared" si="68"/>
        <v>0</v>
      </c>
      <c r="Y107" s="663">
        <f t="shared" si="49"/>
        <v>0</v>
      </c>
      <c r="Z107" s="663">
        <f t="shared" ref="Z107" si="469">IF(S107=0,0,O107+W107/$J$17*c_Hurdle1.Share_GP)</f>
        <v>0</v>
      </c>
      <c r="AA107" s="663">
        <f t="shared" si="19"/>
        <v>0</v>
      </c>
      <c r="AB107" s="660">
        <f t="shared" si="70"/>
        <v>3253106.3163506528</v>
      </c>
      <c r="AC107" s="521"/>
      <c r="AD107" s="663">
        <f t="shared" si="51"/>
        <v>0</v>
      </c>
      <c r="AE107" s="663">
        <f t="shared" ref="AE107" si="470">IF($G107=0,0,-MIN(0,$G107*c_EquityShare.LP))</f>
        <v>0</v>
      </c>
      <c r="AF107" s="663" cm="1">
        <f t="array" ref="AF107">IF($D107=0,0,AD107*(c_Rate.Hurdle2.MO))</f>
        <v>0</v>
      </c>
      <c r="AG107" s="663">
        <f t="shared" si="21"/>
        <v>0</v>
      </c>
      <c r="AH107" s="663">
        <f t="shared" si="53"/>
        <v>0</v>
      </c>
      <c r="AI107" s="663">
        <f t="shared" si="22"/>
        <v>0</v>
      </c>
      <c r="AJ107" s="664">
        <f t="shared" si="23"/>
        <v>0</v>
      </c>
      <c r="AK107" s="660">
        <f t="shared" si="24"/>
        <v>0</v>
      </c>
      <c r="AL107" s="663">
        <f t="shared" ref="AL107" si="471">IF(AD107=0,0,Z107+AH107/$J$18*c_Hurdle2.Share_GP)</f>
        <v>0</v>
      </c>
      <c r="AM107" s="663">
        <f t="shared" si="25"/>
        <v>0</v>
      </c>
      <c r="AN107" s="660">
        <f t="shared" si="73"/>
        <v>3253106.3163506528</v>
      </c>
      <c r="AO107" s="521"/>
      <c r="AP107" s="663">
        <f t="shared" si="55"/>
        <v>10718790.78176371</v>
      </c>
      <c r="AQ107" s="663">
        <f t="shared" ref="AQ107" si="472">IF($G107=0,0,-MIN(0,$G107*c_EquityShare.LP))</f>
        <v>0</v>
      </c>
      <c r="AR107" s="663" cm="1">
        <f t="array" ref="AR107">IF($D107=0,0,AP107*(c_Rate.Hurdle3.MO))</f>
        <v>236932.98125880121</v>
      </c>
      <c r="AS107" s="663">
        <f t="shared" si="27"/>
        <v>0</v>
      </c>
      <c r="AT107" s="663">
        <f t="shared" si="57"/>
        <v>2277174.4214454568</v>
      </c>
      <c r="AU107" s="663">
        <f t="shared" si="28"/>
        <v>8678549.3415770549</v>
      </c>
      <c r="AV107" s="664">
        <f t="shared" si="29"/>
        <v>2277174.4214454568</v>
      </c>
      <c r="AW107" s="660">
        <f t="shared" si="58"/>
        <v>2277174.4214454568</v>
      </c>
      <c r="AX107" s="663">
        <f t="shared" ref="AX107" si="473">IF(AP107=0,0,AL107+AT107/$J$19*c_Hurdle3.Share_GP)</f>
        <v>975931.89490519604</v>
      </c>
      <c r="AY107" s="663">
        <f t="shared" si="60"/>
        <v>3253106.3163506528</v>
      </c>
      <c r="AZ107" s="660">
        <f t="shared" si="76"/>
        <v>0</v>
      </c>
      <c r="BA107" s="521"/>
      <c r="BB107" s="660">
        <f t="shared" si="30"/>
        <v>0</v>
      </c>
      <c r="BC107" s="660">
        <f t="shared" ref="BC107" si="474">$AZ107*c_Residual.Share_GP</f>
        <v>0</v>
      </c>
      <c r="BD107" s="651"/>
      <c r="BE107" s="660">
        <f t="shared" si="374"/>
        <v>2277174.4214454568</v>
      </c>
      <c r="BF107" s="660">
        <f t="shared" si="374"/>
        <v>975931.89490519604</v>
      </c>
      <c r="BG107" s="660">
        <f t="shared" si="32"/>
        <v>3253106.3163506528</v>
      </c>
      <c r="BI107" s="660">
        <v>3253106.3163506528</v>
      </c>
      <c r="BJ107" s="660">
        <v>0</v>
      </c>
      <c r="BK107" s="660">
        <v>0</v>
      </c>
      <c r="BL107" s="660">
        <f t="shared" si="375"/>
        <v>0</v>
      </c>
      <c r="BM107" s="660">
        <f t="shared" si="375"/>
        <v>0</v>
      </c>
      <c r="BN107" s="660">
        <f t="shared" si="376"/>
        <v>0</v>
      </c>
      <c r="BO107" s="660">
        <f t="shared" si="376"/>
        <v>0</v>
      </c>
      <c r="BP107" s="660">
        <f t="shared" si="377"/>
        <v>2277174.4214454568</v>
      </c>
      <c r="BQ107" s="660">
        <f t="shared" si="377"/>
        <v>975931.89490519604</v>
      </c>
      <c r="BR107" s="660">
        <v>0</v>
      </c>
      <c r="BS107" s="660">
        <v>0</v>
      </c>
      <c r="BT107" s="660">
        <f t="shared" si="36"/>
        <v>2277174.4214454568</v>
      </c>
      <c r="BU107" s="660">
        <f t="shared" si="36"/>
        <v>975931.89490519604</v>
      </c>
      <c r="BX107" s="660">
        <v>3253106.3163506528</v>
      </c>
      <c r="BY107" s="660">
        <f t="shared" si="63"/>
        <v>0</v>
      </c>
      <c r="BZ107" s="660">
        <f t="shared" si="37"/>
        <v>0</v>
      </c>
      <c r="CA107" s="660">
        <f t="shared" si="38"/>
        <v>0</v>
      </c>
      <c r="CB107" s="660">
        <f t="shared" si="39"/>
        <v>3253106.3163506528</v>
      </c>
      <c r="CC107" s="660">
        <f t="shared" si="40"/>
        <v>0</v>
      </c>
      <c r="CD107" s="660">
        <f t="shared" si="378"/>
        <v>3253106.3163506528</v>
      </c>
    </row>
    <row r="108" spans="4:82" ht="16" thickTop="1" thickBot="1">
      <c r="D108" s="653">
        <v>52</v>
      </c>
      <c r="E108" s="654">
        <v>47269</v>
      </c>
      <c r="F108" s="655">
        <f t="shared" si="42"/>
        <v>5</v>
      </c>
      <c r="G108" s="656">
        <v>0</v>
      </c>
      <c r="I108" s="658">
        <f t="shared" si="43"/>
        <v>0</v>
      </c>
      <c r="J108" s="658">
        <f t="shared" ref="J108" si="475">IF($G108=0,0,-MIN(0,G108*c_EquityShare.LP))</f>
        <v>0</v>
      </c>
      <c r="K108" s="658">
        <f t="shared" ref="K108" si="476">I108*c_Rate.Pref_MO</f>
        <v>0</v>
      </c>
      <c r="L108" s="658">
        <f t="shared" si="15"/>
        <v>0</v>
      </c>
      <c r="M108" s="658">
        <f t="shared" si="46"/>
        <v>0</v>
      </c>
      <c r="N108" s="658">
        <f t="shared" si="66"/>
        <v>0</v>
      </c>
      <c r="O108" s="658" cm="1">
        <f t="array" ref="O108">IF(I108=0,0,IF(G108&lt;0,N108/c_EquityShare.LP*i_EquityShare.GP,L108/c_EquityShare.LP*i_EquityShare.GP))</f>
        <v>0</v>
      </c>
      <c r="P108" s="658">
        <f t="shared" si="47"/>
        <v>0</v>
      </c>
      <c r="Q108" s="658">
        <f t="shared" si="16"/>
        <v>0</v>
      </c>
      <c r="R108" s="521"/>
      <c r="S108" s="660">
        <f t="shared" si="48"/>
        <v>0</v>
      </c>
      <c r="T108" s="663" cm="1">
        <f t="array" ref="T108">IF($G108=0,0,-MIN(0,$G108*c_EquityShare.LP))</f>
        <v>0</v>
      </c>
      <c r="U108" s="663" cm="1">
        <f t="array" ref="U108">IF($D108=0,0,S108*c_Rate.Hurdle1.MO)</f>
        <v>0</v>
      </c>
      <c r="V108" s="660">
        <f t="shared" si="67"/>
        <v>0</v>
      </c>
      <c r="W108" s="660">
        <f t="shared" si="17"/>
        <v>0</v>
      </c>
      <c r="X108" s="663">
        <f t="shared" si="68"/>
        <v>0</v>
      </c>
      <c r="Y108" s="663">
        <f t="shared" si="49"/>
        <v>0</v>
      </c>
      <c r="Z108" s="663">
        <f t="shared" ref="Z108" si="477">IF(S108=0,0,O108+W108/$J$17*c_Hurdle1.Share_GP)</f>
        <v>0</v>
      </c>
      <c r="AA108" s="663">
        <f t="shared" si="19"/>
        <v>0</v>
      </c>
      <c r="AB108" s="660">
        <f t="shared" si="70"/>
        <v>0</v>
      </c>
      <c r="AC108" s="521"/>
      <c r="AD108" s="663">
        <f t="shared" si="51"/>
        <v>0</v>
      </c>
      <c r="AE108" s="663">
        <f t="shared" ref="AE108" si="478">IF($G108=0,0,-MIN(0,$G108*c_EquityShare.LP))</f>
        <v>0</v>
      </c>
      <c r="AF108" s="663" cm="1">
        <f t="array" ref="AF108">IF($D108=0,0,AD108*(c_Rate.Hurdle2.MO))</f>
        <v>0</v>
      </c>
      <c r="AG108" s="663">
        <f t="shared" si="21"/>
        <v>0</v>
      </c>
      <c r="AH108" s="663">
        <f t="shared" si="53"/>
        <v>0</v>
      </c>
      <c r="AI108" s="663">
        <f t="shared" si="22"/>
        <v>0</v>
      </c>
      <c r="AJ108" s="664">
        <f t="shared" si="23"/>
        <v>0</v>
      </c>
      <c r="AK108" s="660">
        <f t="shared" si="24"/>
        <v>0</v>
      </c>
      <c r="AL108" s="663">
        <f t="shared" ref="AL108" si="479">IF(AD108=0,0,Z108+AH108/$J$18*c_Hurdle2.Share_GP)</f>
        <v>0</v>
      </c>
      <c r="AM108" s="663">
        <f t="shared" si="25"/>
        <v>0</v>
      </c>
      <c r="AN108" s="660">
        <f t="shared" si="73"/>
        <v>0</v>
      </c>
      <c r="AO108" s="521"/>
      <c r="AP108" s="663">
        <f t="shared" si="55"/>
        <v>8678549.3415770549</v>
      </c>
      <c r="AQ108" s="663">
        <f t="shared" ref="AQ108" si="480">IF($G108=0,0,-MIN(0,$G108*c_EquityShare.LP))</f>
        <v>0</v>
      </c>
      <c r="AR108" s="663" cm="1">
        <f t="array" ref="AR108">IF($D108=0,0,AP108*(c_Rate.Hurdle3.MO))</f>
        <v>191834.56514514762</v>
      </c>
      <c r="AS108" s="663">
        <f t="shared" si="27"/>
        <v>0</v>
      </c>
      <c r="AT108" s="663">
        <f t="shared" si="57"/>
        <v>0</v>
      </c>
      <c r="AU108" s="663">
        <f t="shared" si="28"/>
        <v>8870383.9067222029</v>
      </c>
      <c r="AV108" s="664">
        <f t="shared" si="29"/>
        <v>0</v>
      </c>
      <c r="AW108" s="660">
        <f t="shared" si="58"/>
        <v>0</v>
      </c>
      <c r="AX108" s="663">
        <f t="shared" ref="AX108" si="481">IF(AP108=0,0,AL108+AT108/$J$19*c_Hurdle3.Share_GP)</f>
        <v>0</v>
      </c>
      <c r="AY108" s="663">
        <f t="shared" si="60"/>
        <v>0</v>
      </c>
      <c r="AZ108" s="660">
        <f t="shared" si="76"/>
        <v>0</v>
      </c>
      <c r="BA108" s="521"/>
      <c r="BB108" s="660">
        <f t="shared" si="30"/>
        <v>0</v>
      </c>
      <c r="BC108" s="660">
        <f t="shared" ref="BC108" si="482">$AZ108*c_Residual.Share_GP</f>
        <v>0</v>
      </c>
      <c r="BD108" s="651"/>
      <c r="BE108" s="660">
        <f t="shared" si="374"/>
        <v>0</v>
      </c>
      <c r="BF108" s="660">
        <f t="shared" si="374"/>
        <v>0</v>
      </c>
      <c r="BG108" s="660">
        <f t="shared" si="32"/>
        <v>0</v>
      </c>
      <c r="BI108" s="660">
        <v>0</v>
      </c>
      <c r="BJ108" s="660">
        <v>0</v>
      </c>
      <c r="BK108" s="660">
        <v>0</v>
      </c>
      <c r="BL108" s="660">
        <f t="shared" si="375"/>
        <v>0</v>
      </c>
      <c r="BM108" s="660">
        <f t="shared" si="375"/>
        <v>0</v>
      </c>
      <c r="BN108" s="660">
        <f t="shared" si="376"/>
        <v>0</v>
      </c>
      <c r="BO108" s="660">
        <f t="shared" si="376"/>
        <v>0</v>
      </c>
      <c r="BP108" s="660">
        <f t="shared" si="377"/>
        <v>0</v>
      </c>
      <c r="BQ108" s="660">
        <f t="shared" si="377"/>
        <v>0</v>
      </c>
      <c r="BR108" s="660">
        <v>0</v>
      </c>
      <c r="BS108" s="660">
        <v>0</v>
      </c>
      <c r="BT108" s="660">
        <f t="shared" si="36"/>
        <v>0</v>
      </c>
      <c r="BU108" s="660">
        <f t="shared" si="36"/>
        <v>0</v>
      </c>
      <c r="BX108" s="660">
        <v>0</v>
      </c>
      <c r="BY108" s="660">
        <f t="shared" si="63"/>
        <v>0</v>
      </c>
      <c r="BZ108" s="660">
        <f t="shared" si="37"/>
        <v>0</v>
      </c>
      <c r="CA108" s="660">
        <f t="shared" si="38"/>
        <v>0</v>
      </c>
      <c r="CB108" s="660">
        <f t="shared" si="39"/>
        <v>0</v>
      </c>
      <c r="CC108" s="660">
        <f t="shared" si="40"/>
        <v>0</v>
      </c>
      <c r="CD108" s="660">
        <f t="shared" si="378"/>
        <v>0</v>
      </c>
    </row>
    <row r="109" spans="4:82" ht="16" thickTop="1" thickBot="1">
      <c r="D109" s="653">
        <v>53</v>
      </c>
      <c r="E109" s="654">
        <v>47299</v>
      </c>
      <c r="F109" s="655">
        <f t="shared" si="42"/>
        <v>5</v>
      </c>
      <c r="G109" s="656">
        <v>0</v>
      </c>
      <c r="I109" s="658">
        <f t="shared" si="43"/>
        <v>0</v>
      </c>
      <c r="J109" s="658">
        <f t="shared" ref="J109" si="483">IF($G109=0,0,-MIN(0,G109*c_EquityShare.LP))</f>
        <v>0</v>
      </c>
      <c r="K109" s="658">
        <f t="shared" ref="K109" si="484">I109*c_Rate.Pref_MO</f>
        <v>0</v>
      </c>
      <c r="L109" s="658">
        <f t="shared" si="15"/>
        <v>0</v>
      </c>
      <c r="M109" s="658">
        <f t="shared" si="46"/>
        <v>0</v>
      </c>
      <c r="N109" s="658">
        <f t="shared" si="66"/>
        <v>0</v>
      </c>
      <c r="O109" s="658" cm="1">
        <f t="array" ref="O109">IF(I109=0,0,IF(G109&lt;0,N109/c_EquityShare.LP*i_EquityShare.GP,L109/c_EquityShare.LP*i_EquityShare.GP))</f>
        <v>0</v>
      </c>
      <c r="P109" s="658">
        <f t="shared" si="47"/>
        <v>0</v>
      </c>
      <c r="Q109" s="658">
        <f t="shared" si="16"/>
        <v>0</v>
      </c>
      <c r="R109" s="521"/>
      <c r="S109" s="660">
        <f t="shared" si="48"/>
        <v>0</v>
      </c>
      <c r="T109" s="663" cm="1">
        <f t="array" ref="T109">IF($G109=0,0,-MIN(0,$G109*c_EquityShare.LP))</f>
        <v>0</v>
      </c>
      <c r="U109" s="663" cm="1">
        <f t="array" ref="U109">IF($D109=0,0,S109*c_Rate.Hurdle1.MO)</f>
        <v>0</v>
      </c>
      <c r="V109" s="660">
        <f t="shared" si="67"/>
        <v>0</v>
      </c>
      <c r="W109" s="660">
        <f t="shared" si="17"/>
        <v>0</v>
      </c>
      <c r="X109" s="663">
        <f t="shared" si="68"/>
        <v>0</v>
      </c>
      <c r="Y109" s="663">
        <f t="shared" si="49"/>
        <v>0</v>
      </c>
      <c r="Z109" s="663">
        <f t="shared" ref="Z109" si="485">IF(S109=0,0,O109+W109/$J$17*c_Hurdle1.Share_GP)</f>
        <v>0</v>
      </c>
      <c r="AA109" s="663">
        <f t="shared" si="19"/>
        <v>0</v>
      </c>
      <c r="AB109" s="660">
        <f t="shared" si="70"/>
        <v>0</v>
      </c>
      <c r="AC109" s="521"/>
      <c r="AD109" s="663">
        <f t="shared" si="51"/>
        <v>0</v>
      </c>
      <c r="AE109" s="663">
        <f t="shared" ref="AE109" si="486">IF($G109=0,0,-MIN(0,$G109*c_EquityShare.LP))</f>
        <v>0</v>
      </c>
      <c r="AF109" s="663" cm="1">
        <f t="array" ref="AF109">IF($D109=0,0,AD109*(c_Rate.Hurdle2.MO))</f>
        <v>0</v>
      </c>
      <c r="AG109" s="663">
        <f t="shared" si="21"/>
        <v>0</v>
      </c>
      <c r="AH109" s="663">
        <f t="shared" si="53"/>
        <v>0</v>
      </c>
      <c r="AI109" s="663">
        <f t="shared" si="22"/>
        <v>0</v>
      </c>
      <c r="AJ109" s="664">
        <f t="shared" si="23"/>
        <v>0</v>
      </c>
      <c r="AK109" s="660">
        <f t="shared" si="24"/>
        <v>0</v>
      </c>
      <c r="AL109" s="663">
        <f t="shared" ref="AL109" si="487">IF(AD109=0,0,Z109+AH109/$J$18*c_Hurdle2.Share_GP)</f>
        <v>0</v>
      </c>
      <c r="AM109" s="663">
        <f t="shared" si="25"/>
        <v>0</v>
      </c>
      <c r="AN109" s="660">
        <f t="shared" si="73"/>
        <v>0</v>
      </c>
      <c r="AO109" s="521"/>
      <c r="AP109" s="663">
        <f t="shared" si="55"/>
        <v>8870383.9067222029</v>
      </c>
      <c r="AQ109" s="663">
        <f t="shared" ref="AQ109" si="488">IF($G109=0,0,-MIN(0,$G109*c_EquityShare.LP))</f>
        <v>0</v>
      </c>
      <c r="AR109" s="663" cm="1">
        <f t="array" ref="AR109">IF($D109=0,0,AP109*(c_Rate.Hurdle3.MO))</f>
        <v>196074.96281254632</v>
      </c>
      <c r="AS109" s="663">
        <f t="shared" si="27"/>
        <v>0</v>
      </c>
      <c r="AT109" s="663">
        <f t="shared" si="57"/>
        <v>0</v>
      </c>
      <c r="AU109" s="663">
        <f t="shared" si="28"/>
        <v>9066458.8695347495</v>
      </c>
      <c r="AV109" s="664">
        <f t="shared" si="29"/>
        <v>0</v>
      </c>
      <c r="AW109" s="660">
        <f t="shared" si="58"/>
        <v>0</v>
      </c>
      <c r="AX109" s="663">
        <f t="shared" ref="AX109" si="489">IF(AP109=0,0,AL109+AT109/$J$19*c_Hurdle3.Share_GP)</f>
        <v>0</v>
      </c>
      <c r="AY109" s="663">
        <f t="shared" si="60"/>
        <v>0</v>
      </c>
      <c r="AZ109" s="660">
        <f t="shared" si="76"/>
        <v>0</v>
      </c>
      <c r="BA109" s="521"/>
      <c r="BB109" s="660">
        <f t="shared" si="30"/>
        <v>0</v>
      </c>
      <c r="BC109" s="660">
        <f t="shared" ref="BC109" si="490">$AZ109*c_Residual.Share_GP</f>
        <v>0</v>
      </c>
      <c r="BD109" s="651"/>
      <c r="BE109" s="660">
        <f t="shared" si="374"/>
        <v>0</v>
      </c>
      <c r="BF109" s="660">
        <f t="shared" si="374"/>
        <v>0</v>
      </c>
      <c r="BG109" s="660">
        <f t="shared" si="32"/>
        <v>0</v>
      </c>
      <c r="BI109" s="660">
        <v>0</v>
      </c>
      <c r="BJ109" s="660">
        <v>0</v>
      </c>
      <c r="BK109" s="660">
        <v>0</v>
      </c>
      <c r="BL109" s="660">
        <f t="shared" si="375"/>
        <v>0</v>
      </c>
      <c r="BM109" s="660">
        <f t="shared" si="375"/>
        <v>0</v>
      </c>
      <c r="BN109" s="660">
        <f t="shared" si="376"/>
        <v>0</v>
      </c>
      <c r="BO109" s="660">
        <f t="shared" si="376"/>
        <v>0</v>
      </c>
      <c r="BP109" s="660">
        <f t="shared" si="377"/>
        <v>0</v>
      </c>
      <c r="BQ109" s="660">
        <f t="shared" si="377"/>
        <v>0</v>
      </c>
      <c r="BR109" s="660">
        <v>0</v>
      </c>
      <c r="BS109" s="660">
        <v>0</v>
      </c>
      <c r="BT109" s="660">
        <f t="shared" si="36"/>
        <v>0</v>
      </c>
      <c r="BU109" s="660">
        <f t="shared" si="36"/>
        <v>0</v>
      </c>
      <c r="BX109" s="660">
        <v>0</v>
      </c>
      <c r="BY109" s="660">
        <f t="shared" si="63"/>
        <v>0</v>
      </c>
      <c r="BZ109" s="660">
        <f t="shared" si="37"/>
        <v>0</v>
      </c>
      <c r="CA109" s="660">
        <f t="shared" si="38"/>
        <v>0</v>
      </c>
      <c r="CB109" s="660">
        <f t="shared" si="39"/>
        <v>0</v>
      </c>
      <c r="CC109" s="660">
        <f t="shared" si="40"/>
        <v>0</v>
      </c>
      <c r="CD109" s="660">
        <f t="shared" si="378"/>
        <v>0</v>
      </c>
    </row>
    <row r="110" spans="4:82" ht="16" thickTop="1" thickBot="1">
      <c r="D110" s="653">
        <v>54</v>
      </c>
      <c r="E110" s="654">
        <v>47330</v>
      </c>
      <c r="F110" s="655">
        <f t="shared" si="42"/>
        <v>5</v>
      </c>
      <c r="G110" s="656">
        <v>9637002.1515571736</v>
      </c>
      <c r="I110" s="658">
        <f t="shared" si="43"/>
        <v>0</v>
      </c>
      <c r="J110" s="658">
        <f t="shared" ref="J110" si="491">IF($G110=0,0,-MIN(0,G110*c_EquityShare.LP))</f>
        <v>0</v>
      </c>
      <c r="K110" s="658">
        <f t="shared" ref="K110" si="492">I110*c_Rate.Pref_MO</f>
        <v>0</v>
      </c>
      <c r="L110" s="658">
        <f t="shared" si="15"/>
        <v>0</v>
      </c>
      <c r="M110" s="658">
        <f t="shared" si="46"/>
        <v>0</v>
      </c>
      <c r="N110" s="658">
        <f t="shared" si="66"/>
        <v>0</v>
      </c>
      <c r="O110" s="658" cm="1">
        <f t="array" ref="O110">IF(I110=0,0,IF(G110&lt;0,N110/c_EquityShare.LP*i_EquityShare.GP,L110/c_EquityShare.LP*i_EquityShare.GP))</f>
        <v>0</v>
      </c>
      <c r="P110" s="658">
        <f t="shared" si="47"/>
        <v>0</v>
      </c>
      <c r="Q110" s="658">
        <f t="shared" si="16"/>
        <v>9637002.1515571736</v>
      </c>
      <c r="R110" s="521"/>
      <c r="S110" s="660">
        <f t="shared" si="48"/>
        <v>0</v>
      </c>
      <c r="T110" s="663" cm="1">
        <f t="array" ref="T110">IF($G110=0,0,-MIN(0,$G110*c_EquityShare.LP))</f>
        <v>0</v>
      </c>
      <c r="U110" s="663" cm="1">
        <f t="array" ref="U110">IF($D110=0,0,S110*c_Rate.Hurdle1.MO)</f>
        <v>0</v>
      </c>
      <c r="V110" s="660">
        <f t="shared" si="67"/>
        <v>0</v>
      </c>
      <c r="W110" s="660">
        <f t="shared" si="17"/>
        <v>0</v>
      </c>
      <c r="X110" s="663">
        <f t="shared" si="68"/>
        <v>0</v>
      </c>
      <c r="Y110" s="663">
        <f t="shared" si="49"/>
        <v>0</v>
      </c>
      <c r="Z110" s="663">
        <f t="shared" ref="Z110" si="493">IF(S110=0,0,O110+W110/$J$17*c_Hurdle1.Share_GP)</f>
        <v>0</v>
      </c>
      <c r="AA110" s="663">
        <f t="shared" si="19"/>
        <v>0</v>
      </c>
      <c r="AB110" s="660">
        <f t="shared" si="70"/>
        <v>9637002.1515571736</v>
      </c>
      <c r="AC110" s="521"/>
      <c r="AD110" s="663">
        <f t="shared" si="51"/>
        <v>0</v>
      </c>
      <c r="AE110" s="663">
        <f t="shared" ref="AE110" si="494">IF($G110=0,0,-MIN(0,$G110*c_EquityShare.LP))</f>
        <v>0</v>
      </c>
      <c r="AF110" s="663" cm="1">
        <f t="array" ref="AF110">IF($D110=0,0,AD110*(c_Rate.Hurdle2.MO))</f>
        <v>0</v>
      </c>
      <c r="AG110" s="663">
        <f t="shared" si="21"/>
        <v>0</v>
      </c>
      <c r="AH110" s="663">
        <f t="shared" si="53"/>
        <v>0</v>
      </c>
      <c r="AI110" s="663">
        <f t="shared" si="22"/>
        <v>0</v>
      </c>
      <c r="AJ110" s="664">
        <f t="shared" si="23"/>
        <v>0</v>
      </c>
      <c r="AK110" s="660">
        <f t="shared" si="24"/>
        <v>0</v>
      </c>
      <c r="AL110" s="663">
        <f t="shared" ref="AL110" si="495">IF(AD110=0,0,Z110+AH110/$J$18*c_Hurdle2.Share_GP)</f>
        <v>0</v>
      </c>
      <c r="AM110" s="663">
        <f t="shared" si="25"/>
        <v>0</v>
      </c>
      <c r="AN110" s="660">
        <f t="shared" si="73"/>
        <v>9637002.1515571736</v>
      </c>
      <c r="AO110" s="521"/>
      <c r="AP110" s="663">
        <f t="shared" si="55"/>
        <v>9066458.8695347495</v>
      </c>
      <c r="AQ110" s="663">
        <f t="shared" ref="AQ110" si="496">IF($G110=0,0,-MIN(0,$G110*c_EquityShare.LP))</f>
        <v>0</v>
      </c>
      <c r="AR110" s="663" cm="1">
        <f t="array" ref="AR110">IF($D110=0,0,AP110*(c_Rate.Hurdle3.MO))</f>
        <v>200409.09214068131</v>
      </c>
      <c r="AS110" s="663">
        <f t="shared" si="27"/>
        <v>0</v>
      </c>
      <c r="AT110" s="663">
        <f t="shared" si="57"/>
        <v>6745901.5060900208</v>
      </c>
      <c r="AU110" s="663">
        <f t="shared" si="28"/>
        <v>2520966.4555854108</v>
      </c>
      <c r="AV110" s="664">
        <f t="shared" si="29"/>
        <v>6745901.5060900208</v>
      </c>
      <c r="AW110" s="660">
        <f t="shared" si="58"/>
        <v>6745901.5060900208</v>
      </c>
      <c r="AX110" s="663">
        <f t="shared" ref="AX110" si="497">IF(AP110=0,0,AL110+AT110/$J$19*c_Hurdle3.Share_GP)</f>
        <v>2891100.6454671524</v>
      </c>
      <c r="AY110" s="663">
        <f t="shared" si="60"/>
        <v>9637002.1515571736</v>
      </c>
      <c r="AZ110" s="660">
        <f t="shared" si="76"/>
        <v>0</v>
      </c>
      <c r="BA110" s="521"/>
      <c r="BB110" s="660">
        <f t="shared" si="30"/>
        <v>0</v>
      </c>
      <c r="BC110" s="660">
        <f t="shared" ref="BC110" si="498">$AZ110*c_Residual.Share_GP</f>
        <v>0</v>
      </c>
      <c r="BD110" s="651"/>
      <c r="BE110" s="660">
        <f t="shared" si="374"/>
        <v>6745901.5060900208</v>
      </c>
      <c r="BF110" s="660">
        <f t="shared" si="374"/>
        <v>2891100.6454671524</v>
      </c>
      <c r="BG110" s="660">
        <f t="shared" si="32"/>
        <v>9637002.1515571736</v>
      </c>
      <c r="BI110" s="660">
        <v>9637002.1515571736</v>
      </c>
      <c r="BJ110" s="660">
        <v>0</v>
      </c>
      <c r="BK110" s="660">
        <v>0</v>
      </c>
      <c r="BL110" s="660">
        <f t="shared" si="375"/>
        <v>0</v>
      </c>
      <c r="BM110" s="660">
        <f t="shared" si="375"/>
        <v>0</v>
      </c>
      <c r="BN110" s="660">
        <f t="shared" si="376"/>
        <v>0</v>
      </c>
      <c r="BO110" s="660">
        <f t="shared" si="376"/>
        <v>0</v>
      </c>
      <c r="BP110" s="660">
        <f t="shared" si="377"/>
        <v>6745901.5060900208</v>
      </c>
      <c r="BQ110" s="660">
        <f t="shared" si="377"/>
        <v>2891100.6454671524</v>
      </c>
      <c r="BR110" s="660">
        <v>0</v>
      </c>
      <c r="BS110" s="660">
        <v>0</v>
      </c>
      <c r="BT110" s="660">
        <f t="shared" si="36"/>
        <v>6745901.5060900208</v>
      </c>
      <c r="BU110" s="660">
        <f t="shared" si="36"/>
        <v>2891100.6454671524</v>
      </c>
      <c r="BX110" s="660">
        <v>9637002.1515571736</v>
      </c>
      <c r="BY110" s="660">
        <f t="shared" si="63"/>
        <v>0</v>
      </c>
      <c r="BZ110" s="660">
        <f t="shared" si="37"/>
        <v>0</v>
      </c>
      <c r="CA110" s="660">
        <f t="shared" si="38"/>
        <v>0</v>
      </c>
      <c r="CB110" s="660">
        <f t="shared" si="39"/>
        <v>9637002.1515571736</v>
      </c>
      <c r="CC110" s="660">
        <f t="shared" si="40"/>
        <v>0</v>
      </c>
      <c r="CD110" s="660">
        <f t="shared" si="378"/>
        <v>9637002.1515571736</v>
      </c>
    </row>
    <row r="111" spans="4:82" ht="16" thickTop="1" thickBot="1">
      <c r="D111" s="653">
        <v>55</v>
      </c>
      <c r="E111" s="654">
        <v>47361</v>
      </c>
      <c r="F111" s="655">
        <f t="shared" si="42"/>
        <v>5</v>
      </c>
      <c r="G111" s="656">
        <v>0</v>
      </c>
      <c r="I111" s="658">
        <f t="shared" si="43"/>
        <v>0</v>
      </c>
      <c r="J111" s="658">
        <f t="shared" ref="J111" si="499">IF($G111=0,0,-MIN(0,G111*c_EquityShare.LP))</f>
        <v>0</v>
      </c>
      <c r="K111" s="658">
        <f t="shared" ref="K111" si="500">I111*c_Rate.Pref_MO</f>
        <v>0</v>
      </c>
      <c r="L111" s="658">
        <f t="shared" si="15"/>
        <v>0</v>
      </c>
      <c r="M111" s="658">
        <f t="shared" si="46"/>
        <v>0</v>
      </c>
      <c r="N111" s="658">
        <f t="shared" si="66"/>
        <v>0</v>
      </c>
      <c r="O111" s="658" cm="1">
        <f t="array" ref="O111">IF(I111=0,0,IF(G111&lt;0,N111/c_EquityShare.LP*i_EquityShare.GP,L111/c_EquityShare.LP*i_EquityShare.GP))</f>
        <v>0</v>
      </c>
      <c r="P111" s="658">
        <f t="shared" si="47"/>
        <v>0</v>
      </c>
      <c r="Q111" s="658">
        <f t="shared" si="16"/>
        <v>0</v>
      </c>
      <c r="R111" s="521"/>
      <c r="S111" s="660">
        <f t="shared" si="48"/>
        <v>0</v>
      </c>
      <c r="T111" s="663" cm="1">
        <f t="array" ref="T111">IF($G111=0,0,-MIN(0,$G111*c_EquityShare.LP))</f>
        <v>0</v>
      </c>
      <c r="U111" s="663" cm="1">
        <f t="array" ref="U111">IF($D111=0,0,S111*c_Rate.Hurdle1.MO)</f>
        <v>0</v>
      </c>
      <c r="V111" s="660">
        <f t="shared" si="67"/>
        <v>0</v>
      </c>
      <c r="W111" s="660">
        <f t="shared" si="17"/>
        <v>0</v>
      </c>
      <c r="X111" s="663">
        <f t="shared" si="68"/>
        <v>0</v>
      </c>
      <c r="Y111" s="663">
        <f t="shared" si="49"/>
        <v>0</v>
      </c>
      <c r="Z111" s="663">
        <f t="shared" ref="Z111" si="501">IF(S111=0,0,O111+W111/$J$17*c_Hurdle1.Share_GP)</f>
        <v>0</v>
      </c>
      <c r="AA111" s="663">
        <f t="shared" si="19"/>
        <v>0</v>
      </c>
      <c r="AB111" s="660">
        <f t="shared" si="70"/>
        <v>0</v>
      </c>
      <c r="AC111" s="521"/>
      <c r="AD111" s="663">
        <f t="shared" si="51"/>
        <v>0</v>
      </c>
      <c r="AE111" s="663">
        <f t="shared" ref="AE111" si="502">IF($G111=0,0,-MIN(0,$G111*c_EquityShare.LP))</f>
        <v>0</v>
      </c>
      <c r="AF111" s="663" cm="1">
        <f t="array" ref="AF111">IF($D111=0,0,AD111*(c_Rate.Hurdle2.MO))</f>
        <v>0</v>
      </c>
      <c r="AG111" s="663">
        <f t="shared" si="21"/>
        <v>0</v>
      </c>
      <c r="AH111" s="663">
        <f t="shared" si="53"/>
        <v>0</v>
      </c>
      <c r="AI111" s="663">
        <f t="shared" si="22"/>
        <v>0</v>
      </c>
      <c r="AJ111" s="664">
        <f t="shared" si="23"/>
        <v>0</v>
      </c>
      <c r="AK111" s="660">
        <f t="shared" si="24"/>
        <v>0</v>
      </c>
      <c r="AL111" s="663">
        <f t="shared" ref="AL111" si="503">IF(AD111=0,0,Z111+AH111/$J$18*c_Hurdle2.Share_GP)</f>
        <v>0</v>
      </c>
      <c r="AM111" s="663">
        <f t="shared" si="25"/>
        <v>0</v>
      </c>
      <c r="AN111" s="660">
        <f t="shared" si="73"/>
        <v>0</v>
      </c>
      <c r="AO111" s="521"/>
      <c r="AP111" s="663">
        <f t="shared" si="55"/>
        <v>2520966.4555854108</v>
      </c>
      <c r="AQ111" s="663">
        <f t="shared" ref="AQ111" si="504">IF($G111=0,0,-MIN(0,$G111*c_EquityShare.LP))</f>
        <v>0</v>
      </c>
      <c r="AR111" s="663" cm="1">
        <f t="array" ref="AR111">IF($D111=0,0,AP111*(c_Rate.Hurdle3.MO))</f>
        <v>55724.578465650644</v>
      </c>
      <c r="AS111" s="663">
        <f t="shared" si="27"/>
        <v>0</v>
      </c>
      <c r="AT111" s="663">
        <f t="shared" si="57"/>
        <v>0</v>
      </c>
      <c r="AU111" s="663">
        <f t="shared" si="28"/>
        <v>2576691.0340510616</v>
      </c>
      <c r="AV111" s="664">
        <f t="shared" si="29"/>
        <v>0</v>
      </c>
      <c r="AW111" s="660">
        <f t="shared" si="58"/>
        <v>0</v>
      </c>
      <c r="AX111" s="663">
        <f t="shared" ref="AX111" si="505">IF(AP111=0,0,AL111+AT111/$J$19*c_Hurdle3.Share_GP)</f>
        <v>0</v>
      </c>
      <c r="AY111" s="663">
        <f t="shared" si="60"/>
        <v>0</v>
      </c>
      <c r="AZ111" s="660">
        <f t="shared" si="76"/>
        <v>0</v>
      </c>
      <c r="BA111" s="521"/>
      <c r="BB111" s="660">
        <f t="shared" si="30"/>
        <v>0</v>
      </c>
      <c r="BC111" s="660">
        <f t="shared" ref="BC111" si="506">$AZ111*c_Residual.Share_GP</f>
        <v>0</v>
      </c>
      <c r="BD111" s="651"/>
      <c r="BE111" s="660">
        <f t="shared" si="374"/>
        <v>0</v>
      </c>
      <c r="BF111" s="660">
        <f t="shared" si="374"/>
        <v>0</v>
      </c>
      <c r="BG111" s="660">
        <f t="shared" si="32"/>
        <v>0</v>
      </c>
      <c r="BI111" s="660">
        <v>0</v>
      </c>
      <c r="BJ111" s="660">
        <v>0</v>
      </c>
      <c r="BK111" s="660">
        <v>0</v>
      </c>
      <c r="BL111" s="660">
        <f t="shared" si="375"/>
        <v>0</v>
      </c>
      <c r="BM111" s="660">
        <f t="shared" si="375"/>
        <v>0</v>
      </c>
      <c r="BN111" s="660">
        <f t="shared" si="376"/>
        <v>0</v>
      </c>
      <c r="BO111" s="660">
        <f t="shared" si="376"/>
        <v>0</v>
      </c>
      <c r="BP111" s="660">
        <f t="shared" si="377"/>
        <v>0</v>
      </c>
      <c r="BQ111" s="660">
        <f t="shared" si="377"/>
        <v>0</v>
      </c>
      <c r="BR111" s="660">
        <v>0</v>
      </c>
      <c r="BS111" s="660">
        <v>0</v>
      </c>
      <c r="BT111" s="660">
        <f t="shared" si="36"/>
        <v>0</v>
      </c>
      <c r="BU111" s="660">
        <f t="shared" si="36"/>
        <v>0</v>
      </c>
      <c r="BX111" s="660">
        <v>0</v>
      </c>
      <c r="BY111" s="660">
        <f t="shared" si="63"/>
        <v>0</v>
      </c>
      <c r="BZ111" s="660">
        <f t="shared" si="37"/>
        <v>0</v>
      </c>
      <c r="CA111" s="660">
        <f t="shared" si="38"/>
        <v>0</v>
      </c>
      <c r="CB111" s="660">
        <f t="shared" si="39"/>
        <v>0</v>
      </c>
      <c r="CC111" s="660">
        <f t="shared" si="40"/>
        <v>0</v>
      </c>
      <c r="CD111" s="660">
        <f t="shared" si="378"/>
        <v>0</v>
      </c>
    </row>
    <row r="112" spans="4:82" ht="16" thickTop="1" thickBot="1">
      <c r="D112" s="653">
        <v>56</v>
      </c>
      <c r="E112" s="654">
        <v>47391</v>
      </c>
      <c r="F112" s="655">
        <f t="shared" si="42"/>
        <v>5</v>
      </c>
      <c r="G112" s="656">
        <v>0</v>
      </c>
      <c r="I112" s="658">
        <f t="shared" si="43"/>
        <v>0</v>
      </c>
      <c r="J112" s="658">
        <f t="shared" ref="J112" si="507">IF($G112=0,0,-MIN(0,G112*c_EquityShare.LP))</f>
        <v>0</v>
      </c>
      <c r="K112" s="658">
        <f t="shared" ref="K112" si="508">I112*c_Rate.Pref_MO</f>
        <v>0</v>
      </c>
      <c r="L112" s="658">
        <f t="shared" si="15"/>
        <v>0</v>
      </c>
      <c r="M112" s="658">
        <f t="shared" si="46"/>
        <v>0</v>
      </c>
      <c r="N112" s="658">
        <f t="shared" si="66"/>
        <v>0</v>
      </c>
      <c r="O112" s="658" cm="1">
        <f t="array" ref="O112">IF(I112=0,0,IF(G112&lt;0,N112/c_EquityShare.LP*i_EquityShare.GP,L112/c_EquityShare.LP*i_EquityShare.GP))</f>
        <v>0</v>
      </c>
      <c r="P112" s="658">
        <f t="shared" si="47"/>
        <v>0</v>
      </c>
      <c r="Q112" s="658">
        <f t="shared" si="16"/>
        <v>0</v>
      </c>
      <c r="R112" s="521"/>
      <c r="S112" s="660">
        <f t="shared" si="48"/>
        <v>0</v>
      </c>
      <c r="T112" s="663" cm="1">
        <f t="array" ref="T112">IF($G112=0,0,-MIN(0,$G112*c_EquityShare.LP))</f>
        <v>0</v>
      </c>
      <c r="U112" s="663" cm="1">
        <f t="array" ref="U112">IF($D112=0,0,S112*c_Rate.Hurdle1.MO)</f>
        <v>0</v>
      </c>
      <c r="V112" s="660">
        <f t="shared" si="67"/>
        <v>0</v>
      </c>
      <c r="W112" s="660">
        <f t="shared" si="17"/>
        <v>0</v>
      </c>
      <c r="X112" s="663">
        <f t="shared" si="68"/>
        <v>0</v>
      </c>
      <c r="Y112" s="663">
        <f t="shared" si="49"/>
        <v>0</v>
      </c>
      <c r="Z112" s="663">
        <f t="shared" ref="Z112" si="509">IF(S112=0,0,O112+W112/$J$17*c_Hurdle1.Share_GP)</f>
        <v>0</v>
      </c>
      <c r="AA112" s="663">
        <f t="shared" si="19"/>
        <v>0</v>
      </c>
      <c r="AB112" s="660">
        <f t="shared" si="70"/>
        <v>0</v>
      </c>
      <c r="AC112" s="521"/>
      <c r="AD112" s="663">
        <f t="shared" si="51"/>
        <v>0</v>
      </c>
      <c r="AE112" s="663">
        <f t="shared" ref="AE112" si="510">IF($G112=0,0,-MIN(0,$G112*c_EquityShare.LP))</f>
        <v>0</v>
      </c>
      <c r="AF112" s="663" cm="1">
        <f t="array" ref="AF112">IF($D112=0,0,AD112*(c_Rate.Hurdle2.MO))</f>
        <v>0</v>
      </c>
      <c r="AG112" s="663">
        <f t="shared" si="21"/>
        <v>0</v>
      </c>
      <c r="AH112" s="663">
        <f t="shared" si="53"/>
        <v>0</v>
      </c>
      <c r="AI112" s="663">
        <f t="shared" si="22"/>
        <v>0</v>
      </c>
      <c r="AJ112" s="664">
        <f t="shared" si="23"/>
        <v>0</v>
      </c>
      <c r="AK112" s="660">
        <f t="shared" si="24"/>
        <v>0</v>
      </c>
      <c r="AL112" s="663">
        <f t="shared" ref="AL112" si="511">IF(AD112=0,0,Z112+AH112/$J$18*c_Hurdle2.Share_GP)</f>
        <v>0</v>
      </c>
      <c r="AM112" s="663">
        <f t="shared" si="25"/>
        <v>0</v>
      </c>
      <c r="AN112" s="660">
        <f t="shared" si="73"/>
        <v>0</v>
      </c>
      <c r="AO112" s="521"/>
      <c r="AP112" s="663">
        <f t="shared" si="55"/>
        <v>2576691.0340510616</v>
      </c>
      <c r="AQ112" s="663">
        <f t="shared" ref="AQ112" si="512">IF($G112=0,0,-MIN(0,$G112*c_EquityShare.LP))</f>
        <v>0</v>
      </c>
      <c r="AR112" s="663" cm="1">
        <f t="array" ref="AR112">IF($D112=0,0,AP112*(c_Rate.Hurdle3.MO))</f>
        <v>56956.339657194694</v>
      </c>
      <c r="AS112" s="663">
        <f t="shared" si="27"/>
        <v>0</v>
      </c>
      <c r="AT112" s="663">
        <f t="shared" si="57"/>
        <v>0</v>
      </c>
      <c r="AU112" s="663">
        <f t="shared" si="28"/>
        <v>2633647.3737082565</v>
      </c>
      <c r="AV112" s="664">
        <f t="shared" si="29"/>
        <v>0</v>
      </c>
      <c r="AW112" s="660">
        <f t="shared" si="58"/>
        <v>0</v>
      </c>
      <c r="AX112" s="663">
        <f t="shared" ref="AX112" si="513">IF(AP112=0,0,AL112+AT112/$J$19*c_Hurdle3.Share_GP)</f>
        <v>0</v>
      </c>
      <c r="AY112" s="663">
        <f t="shared" si="60"/>
        <v>0</v>
      </c>
      <c r="AZ112" s="660">
        <f t="shared" si="76"/>
        <v>0</v>
      </c>
      <c r="BA112" s="521"/>
      <c r="BB112" s="660">
        <f t="shared" si="30"/>
        <v>0</v>
      </c>
      <c r="BC112" s="660">
        <f t="shared" ref="BC112" si="514">$AZ112*c_Residual.Share_GP</f>
        <v>0</v>
      </c>
      <c r="BD112" s="651"/>
      <c r="BE112" s="660">
        <f t="shared" si="374"/>
        <v>0</v>
      </c>
      <c r="BF112" s="660">
        <f t="shared" si="374"/>
        <v>0</v>
      </c>
      <c r="BG112" s="660">
        <f t="shared" si="32"/>
        <v>0</v>
      </c>
      <c r="BI112" s="660">
        <v>0</v>
      </c>
      <c r="BJ112" s="660">
        <v>0</v>
      </c>
      <c r="BK112" s="660">
        <v>0</v>
      </c>
      <c r="BL112" s="660">
        <f t="shared" si="375"/>
        <v>0</v>
      </c>
      <c r="BM112" s="660">
        <f t="shared" si="375"/>
        <v>0</v>
      </c>
      <c r="BN112" s="660">
        <f t="shared" si="376"/>
        <v>0</v>
      </c>
      <c r="BO112" s="660">
        <f t="shared" si="376"/>
        <v>0</v>
      </c>
      <c r="BP112" s="660">
        <f t="shared" si="377"/>
        <v>0</v>
      </c>
      <c r="BQ112" s="660">
        <f t="shared" si="377"/>
        <v>0</v>
      </c>
      <c r="BR112" s="660">
        <v>0</v>
      </c>
      <c r="BS112" s="660">
        <v>0</v>
      </c>
      <c r="BT112" s="660">
        <f t="shared" si="36"/>
        <v>0</v>
      </c>
      <c r="BU112" s="660">
        <f t="shared" si="36"/>
        <v>0</v>
      </c>
      <c r="BX112" s="660">
        <v>0</v>
      </c>
      <c r="BY112" s="660">
        <f t="shared" si="63"/>
        <v>0</v>
      </c>
      <c r="BZ112" s="660">
        <f t="shared" si="37"/>
        <v>0</v>
      </c>
      <c r="CA112" s="660">
        <f t="shared" si="38"/>
        <v>0</v>
      </c>
      <c r="CB112" s="660">
        <f t="shared" si="39"/>
        <v>0</v>
      </c>
      <c r="CC112" s="660">
        <f t="shared" si="40"/>
        <v>0</v>
      </c>
      <c r="CD112" s="660">
        <f t="shared" si="378"/>
        <v>0</v>
      </c>
    </row>
    <row r="113" spans="4:82" ht="16" thickTop="1" thickBot="1">
      <c r="D113" s="653">
        <v>57</v>
      </c>
      <c r="E113" s="654">
        <v>47422</v>
      </c>
      <c r="F113" s="655">
        <f t="shared" si="42"/>
        <v>5</v>
      </c>
      <c r="G113" s="656">
        <v>0</v>
      </c>
      <c r="I113" s="658">
        <f t="shared" si="43"/>
        <v>0</v>
      </c>
      <c r="J113" s="658">
        <f t="shared" ref="J113" si="515">IF($G113=0,0,-MIN(0,G113*c_EquityShare.LP))</f>
        <v>0</v>
      </c>
      <c r="K113" s="658">
        <f t="shared" ref="K113" si="516">I113*c_Rate.Pref_MO</f>
        <v>0</v>
      </c>
      <c r="L113" s="658">
        <f t="shared" si="15"/>
        <v>0</v>
      </c>
      <c r="M113" s="658">
        <f t="shared" si="46"/>
        <v>0</v>
      </c>
      <c r="N113" s="658">
        <f t="shared" si="66"/>
        <v>0</v>
      </c>
      <c r="O113" s="658" cm="1">
        <f t="array" ref="O113">IF(I113=0,0,IF(G113&lt;0,N113/c_EquityShare.LP*i_EquityShare.GP,L113/c_EquityShare.LP*i_EquityShare.GP))</f>
        <v>0</v>
      </c>
      <c r="P113" s="658">
        <f t="shared" si="47"/>
        <v>0</v>
      </c>
      <c r="Q113" s="658">
        <f t="shared" si="16"/>
        <v>0</v>
      </c>
      <c r="R113" s="521"/>
      <c r="S113" s="660">
        <f t="shared" si="48"/>
        <v>0</v>
      </c>
      <c r="T113" s="663" cm="1">
        <f t="array" ref="T113">IF($G113=0,0,-MIN(0,$G113*c_EquityShare.LP))</f>
        <v>0</v>
      </c>
      <c r="U113" s="663" cm="1">
        <f t="array" ref="U113">IF($D113=0,0,S113*c_Rate.Hurdle1.MO)</f>
        <v>0</v>
      </c>
      <c r="V113" s="660">
        <f t="shared" si="67"/>
        <v>0</v>
      </c>
      <c r="W113" s="660">
        <f t="shared" si="17"/>
        <v>0</v>
      </c>
      <c r="X113" s="663">
        <f t="shared" si="68"/>
        <v>0</v>
      </c>
      <c r="Y113" s="663">
        <f t="shared" si="49"/>
        <v>0</v>
      </c>
      <c r="Z113" s="663">
        <f t="shared" ref="Z113" si="517">IF(S113=0,0,O113+W113/$J$17*c_Hurdle1.Share_GP)</f>
        <v>0</v>
      </c>
      <c r="AA113" s="663">
        <f t="shared" si="19"/>
        <v>0</v>
      </c>
      <c r="AB113" s="660">
        <f t="shared" si="70"/>
        <v>0</v>
      </c>
      <c r="AC113" s="521"/>
      <c r="AD113" s="663">
        <f t="shared" si="51"/>
        <v>0</v>
      </c>
      <c r="AE113" s="663">
        <f t="shared" ref="AE113" si="518">IF($G113=0,0,-MIN(0,$G113*c_EquityShare.LP))</f>
        <v>0</v>
      </c>
      <c r="AF113" s="663" cm="1">
        <f t="array" ref="AF113">IF($D113=0,0,AD113*(c_Rate.Hurdle2.MO))</f>
        <v>0</v>
      </c>
      <c r="AG113" s="663">
        <f t="shared" si="21"/>
        <v>0</v>
      </c>
      <c r="AH113" s="663">
        <f t="shared" si="53"/>
        <v>0</v>
      </c>
      <c r="AI113" s="663">
        <f t="shared" si="22"/>
        <v>0</v>
      </c>
      <c r="AJ113" s="664">
        <f t="shared" si="23"/>
        <v>0</v>
      </c>
      <c r="AK113" s="660">
        <f t="shared" si="24"/>
        <v>0</v>
      </c>
      <c r="AL113" s="663">
        <f t="shared" ref="AL113" si="519">IF(AD113=0,0,Z113+AH113/$J$18*c_Hurdle2.Share_GP)</f>
        <v>0</v>
      </c>
      <c r="AM113" s="663">
        <f t="shared" si="25"/>
        <v>0</v>
      </c>
      <c r="AN113" s="660">
        <f t="shared" si="73"/>
        <v>0</v>
      </c>
      <c r="AO113" s="521"/>
      <c r="AP113" s="663">
        <f t="shared" si="55"/>
        <v>2633647.3737082565</v>
      </c>
      <c r="AQ113" s="663">
        <f t="shared" ref="AQ113" si="520">IF($G113=0,0,-MIN(0,$G113*c_EquityShare.LP))</f>
        <v>0</v>
      </c>
      <c r="AR113" s="663" cm="1">
        <f t="array" ref="AR113">IF($D113=0,0,AP113*(c_Rate.Hurdle3.MO))</f>
        <v>58215.328253140367</v>
      </c>
      <c r="AS113" s="663">
        <f t="shared" si="27"/>
        <v>0</v>
      </c>
      <c r="AT113" s="663">
        <f t="shared" si="57"/>
        <v>0</v>
      </c>
      <c r="AU113" s="663">
        <f t="shared" si="28"/>
        <v>2691862.7019613967</v>
      </c>
      <c r="AV113" s="664">
        <f t="shared" si="29"/>
        <v>0</v>
      </c>
      <c r="AW113" s="660">
        <f t="shared" si="58"/>
        <v>0</v>
      </c>
      <c r="AX113" s="663">
        <f t="shared" ref="AX113" si="521">IF(AP113=0,0,AL113+AT113/$J$19*c_Hurdle3.Share_GP)</f>
        <v>0</v>
      </c>
      <c r="AY113" s="663">
        <f t="shared" si="60"/>
        <v>0</v>
      </c>
      <c r="AZ113" s="660">
        <f t="shared" si="76"/>
        <v>0</v>
      </c>
      <c r="BA113" s="521"/>
      <c r="BB113" s="660">
        <f t="shared" si="30"/>
        <v>0</v>
      </c>
      <c r="BC113" s="660">
        <f t="shared" ref="BC113" si="522">$AZ113*c_Residual.Share_GP</f>
        <v>0</v>
      </c>
      <c r="BD113" s="651"/>
      <c r="BE113" s="660">
        <f t="shared" si="374"/>
        <v>0</v>
      </c>
      <c r="BF113" s="660">
        <f t="shared" si="374"/>
        <v>0</v>
      </c>
      <c r="BG113" s="660">
        <f t="shared" si="32"/>
        <v>0</v>
      </c>
      <c r="BI113" s="660">
        <v>0</v>
      </c>
      <c r="BJ113" s="660">
        <v>0</v>
      </c>
      <c r="BK113" s="660">
        <v>0</v>
      </c>
      <c r="BL113" s="660">
        <f t="shared" si="375"/>
        <v>0</v>
      </c>
      <c r="BM113" s="660">
        <f t="shared" si="375"/>
        <v>0</v>
      </c>
      <c r="BN113" s="660">
        <f t="shared" si="376"/>
        <v>0</v>
      </c>
      <c r="BO113" s="660">
        <f t="shared" si="376"/>
        <v>0</v>
      </c>
      <c r="BP113" s="660">
        <f t="shared" si="377"/>
        <v>0</v>
      </c>
      <c r="BQ113" s="660">
        <f t="shared" si="377"/>
        <v>0</v>
      </c>
      <c r="BR113" s="660">
        <v>0</v>
      </c>
      <c r="BS113" s="660">
        <v>0</v>
      </c>
      <c r="BT113" s="660">
        <f t="shared" si="36"/>
        <v>0</v>
      </c>
      <c r="BU113" s="660">
        <f t="shared" si="36"/>
        <v>0</v>
      </c>
      <c r="BX113" s="660">
        <v>0</v>
      </c>
      <c r="BY113" s="660">
        <f t="shared" si="63"/>
        <v>0</v>
      </c>
      <c r="BZ113" s="660">
        <f t="shared" si="37"/>
        <v>0</v>
      </c>
      <c r="CA113" s="660">
        <f t="shared" si="38"/>
        <v>0</v>
      </c>
      <c r="CB113" s="660">
        <f t="shared" si="39"/>
        <v>0</v>
      </c>
      <c r="CC113" s="660">
        <f t="shared" si="40"/>
        <v>0</v>
      </c>
      <c r="CD113" s="660">
        <f t="shared" si="378"/>
        <v>0</v>
      </c>
    </row>
    <row r="114" spans="4:82" ht="16" thickTop="1" thickBot="1">
      <c r="D114" s="653">
        <v>58</v>
      </c>
      <c r="E114" s="654">
        <v>47452</v>
      </c>
      <c r="F114" s="655">
        <f t="shared" si="42"/>
        <v>5</v>
      </c>
      <c r="G114" s="656">
        <v>0</v>
      </c>
      <c r="I114" s="658">
        <f t="shared" si="43"/>
        <v>0</v>
      </c>
      <c r="J114" s="658">
        <f t="shared" ref="J114" si="523">IF($G114=0,0,-MIN(0,G114*c_EquityShare.LP))</f>
        <v>0</v>
      </c>
      <c r="K114" s="658">
        <f t="shared" ref="K114" si="524">I114*c_Rate.Pref_MO</f>
        <v>0</v>
      </c>
      <c r="L114" s="658">
        <f t="shared" si="15"/>
        <v>0</v>
      </c>
      <c r="M114" s="658">
        <f t="shared" si="46"/>
        <v>0</v>
      </c>
      <c r="N114" s="658">
        <f t="shared" si="66"/>
        <v>0</v>
      </c>
      <c r="O114" s="658" cm="1">
        <f t="array" ref="O114">IF(I114=0,0,IF(G114&lt;0,N114/c_EquityShare.LP*i_EquityShare.GP,L114/c_EquityShare.LP*i_EquityShare.GP))</f>
        <v>0</v>
      </c>
      <c r="P114" s="658">
        <f t="shared" si="47"/>
        <v>0</v>
      </c>
      <c r="Q114" s="658">
        <f t="shared" si="16"/>
        <v>0</v>
      </c>
      <c r="R114" s="521"/>
      <c r="S114" s="660">
        <f t="shared" si="48"/>
        <v>0</v>
      </c>
      <c r="T114" s="663" cm="1">
        <f t="array" ref="T114">IF($G114=0,0,-MIN(0,$G114*c_EquityShare.LP))</f>
        <v>0</v>
      </c>
      <c r="U114" s="663" cm="1">
        <f t="array" ref="U114">IF($D114=0,0,S114*c_Rate.Hurdle1.MO)</f>
        <v>0</v>
      </c>
      <c r="V114" s="660">
        <f t="shared" si="67"/>
        <v>0</v>
      </c>
      <c r="W114" s="660">
        <f t="shared" si="17"/>
        <v>0</v>
      </c>
      <c r="X114" s="663">
        <f t="shared" si="68"/>
        <v>0</v>
      </c>
      <c r="Y114" s="663">
        <f t="shared" si="49"/>
        <v>0</v>
      </c>
      <c r="Z114" s="663">
        <f t="shared" ref="Z114" si="525">IF(S114=0,0,O114+W114/$J$17*c_Hurdle1.Share_GP)</f>
        <v>0</v>
      </c>
      <c r="AA114" s="663">
        <f t="shared" si="19"/>
        <v>0</v>
      </c>
      <c r="AB114" s="660">
        <f t="shared" si="70"/>
        <v>0</v>
      </c>
      <c r="AC114" s="521"/>
      <c r="AD114" s="663">
        <f t="shared" si="51"/>
        <v>0</v>
      </c>
      <c r="AE114" s="663">
        <f t="shared" ref="AE114" si="526">IF($G114=0,0,-MIN(0,$G114*c_EquityShare.LP))</f>
        <v>0</v>
      </c>
      <c r="AF114" s="663" cm="1">
        <f t="array" ref="AF114">IF($D114=0,0,AD114*(c_Rate.Hurdle2.MO))</f>
        <v>0</v>
      </c>
      <c r="AG114" s="663">
        <f t="shared" si="21"/>
        <v>0</v>
      </c>
      <c r="AH114" s="663">
        <f t="shared" si="53"/>
        <v>0</v>
      </c>
      <c r="AI114" s="663">
        <f t="shared" si="22"/>
        <v>0</v>
      </c>
      <c r="AJ114" s="664">
        <f t="shared" si="23"/>
        <v>0</v>
      </c>
      <c r="AK114" s="660">
        <f t="shared" si="24"/>
        <v>0</v>
      </c>
      <c r="AL114" s="663">
        <f t="shared" ref="AL114" si="527">IF(AD114=0,0,Z114+AH114/$J$18*c_Hurdle2.Share_GP)</f>
        <v>0</v>
      </c>
      <c r="AM114" s="663">
        <f t="shared" si="25"/>
        <v>0</v>
      </c>
      <c r="AN114" s="660">
        <f t="shared" si="73"/>
        <v>0</v>
      </c>
      <c r="AO114" s="521"/>
      <c r="AP114" s="663">
        <f t="shared" si="55"/>
        <v>2691862.7019613967</v>
      </c>
      <c r="AQ114" s="663">
        <f t="shared" ref="AQ114" si="528">IF($G114=0,0,-MIN(0,$G114*c_EquityShare.LP))</f>
        <v>0</v>
      </c>
      <c r="AR114" s="663" cm="1">
        <f t="array" ref="AR114">IF($D114=0,0,AP114*(c_Rate.Hurdle3.MO))</f>
        <v>59502.146100303034</v>
      </c>
      <c r="AS114" s="663">
        <f t="shared" si="27"/>
        <v>0</v>
      </c>
      <c r="AT114" s="663">
        <f t="shared" si="57"/>
        <v>0</v>
      </c>
      <c r="AU114" s="663">
        <f t="shared" si="28"/>
        <v>2751364.8480616999</v>
      </c>
      <c r="AV114" s="664">
        <f t="shared" si="29"/>
        <v>0</v>
      </c>
      <c r="AW114" s="660">
        <f t="shared" si="58"/>
        <v>0</v>
      </c>
      <c r="AX114" s="663">
        <f t="shared" ref="AX114" si="529">IF(AP114=0,0,AL114+AT114/$J$19*c_Hurdle3.Share_GP)</f>
        <v>0</v>
      </c>
      <c r="AY114" s="663">
        <f t="shared" si="60"/>
        <v>0</v>
      </c>
      <c r="AZ114" s="660">
        <f t="shared" si="76"/>
        <v>0</v>
      </c>
      <c r="BA114" s="521"/>
      <c r="BB114" s="660">
        <f t="shared" si="30"/>
        <v>0</v>
      </c>
      <c r="BC114" s="660">
        <f t="shared" ref="BC114" si="530">$AZ114*c_Residual.Share_GP</f>
        <v>0</v>
      </c>
      <c r="BD114" s="651"/>
      <c r="BE114" s="660">
        <f t="shared" si="374"/>
        <v>0</v>
      </c>
      <c r="BF114" s="660">
        <f t="shared" si="374"/>
        <v>0</v>
      </c>
      <c r="BG114" s="660">
        <f t="shared" si="32"/>
        <v>0</v>
      </c>
      <c r="BI114" s="660">
        <v>0</v>
      </c>
      <c r="BJ114" s="660">
        <v>0</v>
      </c>
      <c r="BK114" s="660">
        <v>0</v>
      </c>
      <c r="BL114" s="660">
        <f t="shared" si="375"/>
        <v>0</v>
      </c>
      <c r="BM114" s="660">
        <f t="shared" si="375"/>
        <v>0</v>
      </c>
      <c r="BN114" s="660">
        <f t="shared" si="376"/>
        <v>0</v>
      </c>
      <c r="BO114" s="660">
        <f t="shared" si="376"/>
        <v>0</v>
      </c>
      <c r="BP114" s="660">
        <f t="shared" si="377"/>
        <v>0</v>
      </c>
      <c r="BQ114" s="660">
        <f t="shared" si="377"/>
        <v>0</v>
      </c>
      <c r="BR114" s="660">
        <v>0</v>
      </c>
      <c r="BS114" s="660">
        <v>0</v>
      </c>
      <c r="BT114" s="660">
        <f t="shared" si="36"/>
        <v>0</v>
      </c>
      <c r="BU114" s="660">
        <f t="shared" si="36"/>
        <v>0</v>
      </c>
      <c r="BX114" s="660">
        <v>0</v>
      </c>
      <c r="BY114" s="660">
        <f t="shared" si="63"/>
        <v>0</v>
      </c>
      <c r="BZ114" s="660">
        <f t="shared" si="37"/>
        <v>0</v>
      </c>
      <c r="CA114" s="660">
        <f t="shared" si="38"/>
        <v>0</v>
      </c>
      <c r="CB114" s="660">
        <f t="shared" si="39"/>
        <v>0</v>
      </c>
      <c r="CC114" s="660">
        <f t="shared" si="40"/>
        <v>0</v>
      </c>
      <c r="CD114" s="660">
        <f t="shared" si="378"/>
        <v>0</v>
      </c>
    </row>
    <row r="115" spans="4:82" ht="16" thickTop="1" thickBot="1">
      <c r="D115" s="653">
        <v>59</v>
      </c>
      <c r="E115" s="654">
        <v>47483</v>
      </c>
      <c r="F115" s="655">
        <f t="shared" si="42"/>
        <v>5</v>
      </c>
      <c r="G115" s="656">
        <v>0</v>
      </c>
      <c r="I115" s="658">
        <f t="shared" si="43"/>
        <v>0</v>
      </c>
      <c r="J115" s="658">
        <f t="shared" ref="J115" si="531">IF($G115=0,0,-MIN(0,G115*c_EquityShare.LP))</f>
        <v>0</v>
      </c>
      <c r="K115" s="658">
        <f t="shared" ref="K115" si="532">I115*c_Rate.Pref_MO</f>
        <v>0</v>
      </c>
      <c r="L115" s="658">
        <f t="shared" si="15"/>
        <v>0</v>
      </c>
      <c r="M115" s="658">
        <f t="shared" si="46"/>
        <v>0</v>
      </c>
      <c r="N115" s="658">
        <f t="shared" si="66"/>
        <v>0</v>
      </c>
      <c r="O115" s="658" cm="1">
        <f t="array" ref="O115">IF(I115=0,0,IF(G115&lt;0,N115/c_EquityShare.LP*i_EquityShare.GP,L115/c_EquityShare.LP*i_EquityShare.GP))</f>
        <v>0</v>
      </c>
      <c r="P115" s="658">
        <f t="shared" si="47"/>
        <v>0</v>
      </c>
      <c r="Q115" s="658">
        <f t="shared" si="16"/>
        <v>0</v>
      </c>
      <c r="R115" s="521"/>
      <c r="S115" s="660">
        <f t="shared" si="48"/>
        <v>0</v>
      </c>
      <c r="T115" s="663" cm="1">
        <f t="array" ref="T115">IF($G115=0,0,-MIN(0,$G115*c_EquityShare.LP))</f>
        <v>0</v>
      </c>
      <c r="U115" s="663" cm="1">
        <f t="array" ref="U115">IF($D115=0,0,S115*c_Rate.Hurdle1.MO)</f>
        <v>0</v>
      </c>
      <c r="V115" s="660">
        <f t="shared" si="67"/>
        <v>0</v>
      </c>
      <c r="W115" s="660">
        <f t="shared" si="17"/>
        <v>0</v>
      </c>
      <c r="X115" s="663">
        <f t="shared" si="68"/>
        <v>0</v>
      </c>
      <c r="Y115" s="663">
        <f t="shared" si="49"/>
        <v>0</v>
      </c>
      <c r="Z115" s="663">
        <f t="shared" ref="Z115" si="533">IF(S115=0,0,O115+W115/$J$17*c_Hurdle1.Share_GP)</f>
        <v>0</v>
      </c>
      <c r="AA115" s="663">
        <f t="shared" si="19"/>
        <v>0</v>
      </c>
      <c r="AB115" s="660">
        <f t="shared" si="70"/>
        <v>0</v>
      </c>
      <c r="AC115" s="521"/>
      <c r="AD115" s="663">
        <f t="shared" si="51"/>
        <v>0</v>
      </c>
      <c r="AE115" s="663">
        <f t="shared" ref="AE115" si="534">IF($G115=0,0,-MIN(0,$G115*c_EquityShare.LP))</f>
        <v>0</v>
      </c>
      <c r="AF115" s="663" cm="1">
        <f t="array" ref="AF115">IF($D115=0,0,AD115*(c_Rate.Hurdle2.MO))</f>
        <v>0</v>
      </c>
      <c r="AG115" s="663">
        <f t="shared" si="21"/>
        <v>0</v>
      </c>
      <c r="AH115" s="663">
        <f t="shared" si="53"/>
        <v>0</v>
      </c>
      <c r="AI115" s="663">
        <f t="shared" si="22"/>
        <v>0</v>
      </c>
      <c r="AJ115" s="664">
        <f t="shared" si="23"/>
        <v>0</v>
      </c>
      <c r="AK115" s="660">
        <f t="shared" si="24"/>
        <v>0</v>
      </c>
      <c r="AL115" s="663">
        <f t="shared" ref="AL115" si="535">IF(AD115=0,0,Z115+AH115/$J$18*c_Hurdle2.Share_GP)</f>
        <v>0</v>
      </c>
      <c r="AM115" s="663">
        <f t="shared" si="25"/>
        <v>0</v>
      </c>
      <c r="AN115" s="660">
        <f t="shared" si="73"/>
        <v>0</v>
      </c>
      <c r="AO115" s="521"/>
      <c r="AP115" s="663">
        <f t="shared" si="55"/>
        <v>2751364.8480616999</v>
      </c>
      <c r="AQ115" s="663">
        <f t="shared" ref="AQ115" si="536">IF($G115=0,0,-MIN(0,$G115*c_EquityShare.LP))</f>
        <v>0</v>
      </c>
      <c r="AR115" s="663" cm="1">
        <f t="array" ref="AR115">IF($D115=0,0,AP115*(c_Rate.Hurdle3.MO))</f>
        <v>60817.408348991295</v>
      </c>
      <c r="AS115" s="663">
        <f t="shared" si="27"/>
        <v>0</v>
      </c>
      <c r="AT115" s="663">
        <f t="shared" si="57"/>
        <v>0</v>
      </c>
      <c r="AU115" s="663">
        <f t="shared" si="28"/>
        <v>2812182.256410691</v>
      </c>
      <c r="AV115" s="664">
        <f t="shared" si="29"/>
        <v>0</v>
      </c>
      <c r="AW115" s="660">
        <f t="shared" si="58"/>
        <v>0</v>
      </c>
      <c r="AX115" s="663">
        <f t="shared" ref="AX115" si="537">IF(AP115=0,0,AL115+AT115/$J$19*c_Hurdle3.Share_GP)</f>
        <v>0</v>
      </c>
      <c r="AY115" s="663">
        <f t="shared" si="60"/>
        <v>0</v>
      </c>
      <c r="AZ115" s="660">
        <f t="shared" si="76"/>
        <v>0</v>
      </c>
      <c r="BA115" s="521"/>
      <c r="BB115" s="660">
        <f t="shared" si="30"/>
        <v>0</v>
      </c>
      <c r="BC115" s="660">
        <f t="shared" ref="BC115" si="538">$AZ115*c_Residual.Share_GP</f>
        <v>0</v>
      </c>
      <c r="BD115" s="651"/>
      <c r="BE115" s="660">
        <f t="shared" si="374"/>
        <v>0</v>
      </c>
      <c r="BF115" s="660">
        <f t="shared" si="374"/>
        <v>0</v>
      </c>
      <c r="BG115" s="660">
        <f t="shared" si="32"/>
        <v>0</v>
      </c>
      <c r="BI115" s="660">
        <v>0</v>
      </c>
      <c r="BJ115" s="660">
        <v>0</v>
      </c>
      <c r="BK115" s="660">
        <v>0</v>
      </c>
      <c r="BL115" s="660">
        <f t="shared" si="375"/>
        <v>0</v>
      </c>
      <c r="BM115" s="660">
        <f t="shared" si="375"/>
        <v>0</v>
      </c>
      <c r="BN115" s="660">
        <f t="shared" si="376"/>
        <v>0</v>
      </c>
      <c r="BO115" s="660">
        <f t="shared" si="376"/>
        <v>0</v>
      </c>
      <c r="BP115" s="660">
        <f t="shared" si="377"/>
        <v>0</v>
      </c>
      <c r="BQ115" s="660">
        <f t="shared" si="377"/>
        <v>0</v>
      </c>
      <c r="BR115" s="660">
        <v>0</v>
      </c>
      <c r="BS115" s="660">
        <v>0</v>
      </c>
      <c r="BT115" s="660">
        <f t="shared" si="36"/>
        <v>0</v>
      </c>
      <c r="BU115" s="660">
        <f t="shared" si="36"/>
        <v>0</v>
      </c>
      <c r="BX115" s="660">
        <v>0</v>
      </c>
      <c r="BY115" s="660">
        <f t="shared" si="63"/>
        <v>0</v>
      </c>
      <c r="BZ115" s="660">
        <f t="shared" si="37"/>
        <v>0</v>
      </c>
      <c r="CA115" s="660">
        <f t="shared" si="38"/>
        <v>0</v>
      </c>
      <c r="CB115" s="660">
        <f t="shared" si="39"/>
        <v>0</v>
      </c>
      <c r="CC115" s="660">
        <f t="shared" si="40"/>
        <v>0</v>
      </c>
      <c r="CD115" s="660">
        <f t="shared" si="378"/>
        <v>0</v>
      </c>
    </row>
    <row r="116" spans="4:82" ht="16" thickTop="1" thickBot="1">
      <c r="D116" s="653">
        <v>60</v>
      </c>
      <c r="E116" s="654">
        <v>47514</v>
      </c>
      <c r="F116" s="655">
        <f t="shared" si="42"/>
        <v>6</v>
      </c>
      <c r="G116" s="656">
        <v>1040994.0212322089</v>
      </c>
      <c r="I116" s="658">
        <f t="shared" si="43"/>
        <v>0</v>
      </c>
      <c r="J116" s="658">
        <f t="shared" ref="J116" si="539">IF($G116=0,0,-MIN(0,G116*c_EquityShare.LP))</f>
        <v>0</v>
      </c>
      <c r="K116" s="658">
        <f t="shared" ref="K116" si="540">I116*c_Rate.Pref_MO</f>
        <v>0</v>
      </c>
      <c r="L116" s="658">
        <f t="shared" si="15"/>
        <v>0</v>
      </c>
      <c r="M116" s="658">
        <f t="shared" si="46"/>
        <v>0</v>
      </c>
      <c r="N116" s="658">
        <f t="shared" si="66"/>
        <v>0</v>
      </c>
      <c r="O116" s="658" cm="1">
        <f t="array" ref="O116">IF(I116=0,0,IF(G116&lt;0,N116/c_EquityShare.LP*i_EquityShare.GP,L116/c_EquityShare.LP*i_EquityShare.GP))</f>
        <v>0</v>
      </c>
      <c r="P116" s="658">
        <f t="shared" si="47"/>
        <v>0</v>
      </c>
      <c r="Q116" s="658">
        <f t="shared" si="16"/>
        <v>1040994.0212322089</v>
      </c>
      <c r="R116" s="521"/>
      <c r="S116" s="660">
        <f t="shared" si="48"/>
        <v>0</v>
      </c>
      <c r="T116" s="663" cm="1">
        <f t="array" ref="T116">IF($G116=0,0,-MIN(0,$G116*c_EquityShare.LP))</f>
        <v>0</v>
      </c>
      <c r="U116" s="663" cm="1">
        <f t="array" ref="U116">IF($D116=0,0,S116*c_Rate.Hurdle1.MO)</f>
        <v>0</v>
      </c>
      <c r="V116" s="660">
        <f t="shared" si="67"/>
        <v>0</v>
      </c>
      <c r="W116" s="660">
        <f t="shared" si="17"/>
        <v>0</v>
      </c>
      <c r="X116" s="663">
        <f t="shared" si="68"/>
        <v>0</v>
      </c>
      <c r="Y116" s="663">
        <f t="shared" si="49"/>
        <v>0</v>
      </c>
      <c r="Z116" s="663">
        <f t="shared" ref="Z116" si="541">IF(S116=0,0,O116+W116/$J$17*c_Hurdle1.Share_GP)</f>
        <v>0</v>
      </c>
      <c r="AA116" s="663">
        <f t="shared" si="19"/>
        <v>0</v>
      </c>
      <c r="AB116" s="660">
        <f t="shared" si="70"/>
        <v>1040994.0212322089</v>
      </c>
      <c r="AC116" s="521"/>
      <c r="AD116" s="663">
        <f t="shared" si="51"/>
        <v>0</v>
      </c>
      <c r="AE116" s="663">
        <f t="shared" ref="AE116" si="542">IF($G116=0,0,-MIN(0,$G116*c_EquityShare.LP))</f>
        <v>0</v>
      </c>
      <c r="AF116" s="663" cm="1">
        <f t="array" ref="AF116">IF($D116=0,0,AD116*(c_Rate.Hurdle2.MO))</f>
        <v>0</v>
      </c>
      <c r="AG116" s="663">
        <f t="shared" si="21"/>
        <v>0</v>
      </c>
      <c r="AH116" s="663">
        <f t="shared" si="53"/>
        <v>0</v>
      </c>
      <c r="AI116" s="663">
        <f t="shared" si="22"/>
        <v>0</v>
      </c>
      <c r="AJ116" s="664">
        <f t="shared" si="23"/>
        <v>0</v>
      </c>
      <c r="AK116" s="660">
        <f t="shared" si="24"/>
        <v>0</v>
      </c>
      <c r="AL116" s="663">
        <f t="shared" ref="AL116" si="543">IF(AD116=0,0,Z116+AH116/$J$18*c_Hurdle2.Share_GP)</f>
        <v>0</v>
      </c>
      <c r="AM116" s="663">
        <f t="shared" si="25"/>
        <v>0</v>
      </c>
      <c r="AN116" s="660">
        <f t="shared" si="73"/>
        <v>1040994.0212322089</v>
      </c>
      <c r="AO116" s="521"/>
      <c r="AP116" s="663">
        <f t="shared" si="55"/>
        <v>2812182.256410691</v>
      </c>
      <c r="AQ116" s="663">
        <f t="shared" ref="AQ116" si="544">IF($G116=0,0,-MIN(0,$G116*c_EquityShare.LP))</f>
        <v>0</v>
      </c>
      <c r="AR116" s="663" cm="1">
        <f t="array" ref="AR116">IF($D116=0,0,AP116*(c_Rate.Hurdle3.MO))</f>
        <v>62161.743747073335</v>
      </c>
      <c r="AS116" s="663">
        <f t="shared" si="27"/>
        <v>0</v>
      </c>
      <c r="AT116" s="663">
        <f t="shared" si="57"/>
        <v>728695.81486254616</v>
      </c>
      <c r="AU116" s="663">
        <f t="shared" si="28"/>
        <v>2145648.1852952181</v>
      </c>
      <c r="AV116" s="664">
        <f t="shared" si="29"/>
        <v>728695.81486254616</v>
      </c>
      <c r="AW116" s="660">
        <f t="shared" si="58"/>
        <v>728695.81486254616</v>
      </c>
      <c r="AX116" s="663">
        <f t="shared" ref="AX116" si="545">IF(AP116=0,0,AL116+AT116/$J$19*c_Hurdle3.Share_GP)</f>
        <v>312298.20636966272</v>
      </c>
      <c r="AY116" s="663">
        <f t="shared" si="60"/>
        <v>1040994.0212322089</v>
      </c>
      <c r="AZ116" s="660">
        <f t="shared" si="76"/>
        <v>0</v>
      </c>
      <c r="BA116" s="521"/>
      <c r="BB116" s="660">
        <f t="shared" si="30"/>
        <v>0</v>
      </c>
      <c r="BC116" s="660">
        <f t="shared" ref="BC116" si="546">$AZ116*c_Residual.Share_GP</f>
        <v>0</v>
      </c>
      <c r="BD116" s="651"/>
      <c r="BE116" s="660">
        <f t="shared" si="374"/>
        <v>728695.81486254616</v>
      </c>
      <c r="BF116" s="660">
        <f t="shared" si="374"/>
        <v>312298.20636966272</v>
      </c>
      <c r="BG116" s="660">
        <f t="shared" si="32"/>
        <v>1040994.0212322089</v>
      </c>
      <c r="BI116" s="660">
        <v>1040994.0212322089</v>
      </c>
      <c r="BJ116" s="660">
        <v>0</v>
      </c>
      <c r="BK116" s="660">
        <v>0</v>
      </c>
      <c r="BL116" s="660">
        <f t="shared" si="375"/>
        <v>0</v>
      </c>
      <c r="BM116" s="660">
        <f t="shared" si="375"/>
        <v>0</v>
      </c>
      <c r="BN116" s="660">
        <f t="shared" si="376"/>
        <v>0</v>
      </c>
      <c r="BO116" s="660">
        <f t="shared" si="376"/>
        <v>0</v>
      </c>
      <c r="BP116" s="660">
        <f t="shared" si="377"/>
        <v>728695.81486254616</v>
      </c>
      <c r="BQ116" s="660">
        <f t="shared" si="377"/>
        <v>312298.20636966272</v>
      </c>
      <c r="BR116" s="660">
        <v>0</v>
      </c>
      <c r="BS116" s="660">
        <v>0</v>
      </c>
      <c r="BT116" s="660">
        <f t="shared" si="36"/>
        <v>728695.81486254616</v>
      </c>
      <c r="BU116" s="660">
        <f t="shared" si="36"/>
        <v>312298.20636966272</v>
      </c>
      <c r="BX116" s="660">
        <v>1040994.0212322089</v>
      </c>
      <c r="BY116" s="660">
        <f t="shared" si="63"/>
        <v>0</v>
      </c>
      <c r="BZ116" s="660">
        <f t="shared" si="37"/>
        <v>0</v>
      </c>
      <c r="CA116" s="660">
        <f t="shared" si="38"/>
        <v>0</v>
      </c>
      <c r="CB116" s="660">
        <f t="shared" si="39"/>
        <v>1040994.0212322089</v>
      </c>
      <c r="CC116" s="660">
        <f t="shared" si="40"/>
        <v>0</v>
      </c>
      <c r="CD116" s="660">
        <f t="shared" si="378"/>
        <v>1040994.0212322089</v>
      </c>
    </row>
    <row r="117" spans="4:82" ht="16" thickTop="1" thickBot="1">
      <c r="D117" s="653">
        <v>61</v>
      </c>
      <c r="E117" s="654">
        <v>47542</v>
      </c>
      <c r="F117" s="655">
        <f t="shared" si="42"/>
        <v>6</v>
      </c>
      <c r="G117" s="656">
        <v>4690721.2233249219</v>
      </c>
      <c r="I117" s="658">
        <f t="shared" si="43"/>
        <v>0</v>
      </c>
      <c r="J117" s="658">
        <f t="shared" ref="J117" si="547">IF($G117=0,0,-MIN(0,G117*c_EquityShare.LP))</f>
        <v>0</v>
      </c>
      <c r="K117" s="658">
        <f t="shared" ref="K117" si="548">I117*c_Rate.Pref_MO</f>
        <v>0</v>
      </c>
      <c r="L117" s="658">
        <f t="shared" si="15"/>
        <v>0</v>
      </c>
      <c r="M117" s="658">
        <f t="shared" si="46"/>
        <v>0</v>
      </c>
      <c r="N117" s="658">
        <f t="shared" si="66"/>
        <v>0</v>
      </c>
      <c r="O117" s="658" cm="1">
        <f t="array" ref="O117">IF(I117=0,0,IF(G117&lt;0,N117/c_EquityShare.LP*i_EquityShare.GP,L117/c_EquityShare.LP*i_EquityShare.GP))</f>
        <v>0</v>
      </c>
      <c r="P117" s="658">
        <f t="shared" si="47"/>
        <v>0</v>
      </c>
      <c r="Q117" s="658">
        <f t="shared" si="16"/>
        <v>4690721.2233249219</v>
      </c>
      <c r="R117" s="521"/>
      <c r="S117" s="660">
        <f t="shared" si="48"/>
        <v>0</v>
      </c>
      <c r="T117" s="663" cm="1">
        <f t="array" ref="T117">IF($G117=0,0,-MIN(0,$G117*c_EquityShare.LP))</f>
        <v>0</v>
      </c>
      <c r="U117" s="663" cm="1">
        <f t="array" ref="U117">IF($D117=0,0,S117*c_Rate.Hurdle1.MO)</f>
        <v>0</v>
      </c>
      <c r="V117" s="660">
        <f t="shared" si="67"/>
        <v>0</v>
      </c>
      <c r="W117" s="660">
        <f t="shared" si="17"/>
        <v>0</v>
      </c>
      <c r="X117" s="663">
        <f t="shared" si="68"/>
        <v>0</v>
      </c>
      <c r="Y117" s="663">
        <f t="shared" si="49"/>
        <v>0</v>
      </c>
      <c r="Z117" s="663">
        <f t="shared" ref="Z117" si="549">IF(S117=0,0,O117+W117/$J$17*c_Hurdle1.Share_GP)</f>
        <v>0</v>
      </c>
      <c r="AA117" s="663">
        <f t="shared" si="19"/>
        <v>0</v>
      </c>
      <c r="AB117" s="660">
        <f t="shared" si="70"/>
        <v>4690721.2233249219</v>
      </c>
      <c r="AC117" s="521"/>
      <c r="AD117" s="663">
        <f t="shared" si="51"/>
        <v>0</v>
      </c>
      <c r="AE117" s="663">
        <f t="shared" ref="AE117" si="550">IF($G117=0,0,-MIN(0,$G117*c_EquityShare.LP))</f>
        <v>0</v>
      </c>
      <c r="AF117" s="663" cm="1">
        <f t="array" ref="AF117">IF($D117=0,0,AD117*(c_Rate.Hurdle2.MO))</f>
        <v>0</v>
      </c>
      <c r="AG117" s="663">
        <f t="shared" si="21"/>
        <v>0</v>
      </c>
      <c r="AH117" s="663">
        <f t="shared" si="53"/>
        <v>0</v>
      </c>
      <c r="AI117" s="663">
        <f t="shared" si="22"/>
        <v>0</v>
      </c>
      <c r="AJ117" s="664">
        <f t="shared" si="23"/>
        <v>0</v>
      </c>
      <c r="AK117" s="660">
        <f t="shared" si="24"/>
        <v>0</v>
      </c>
      <c r="AL117" s="663">
        <f t="shared" ref="AL117" si="551">IF(AD117=0,0,Z117+AH117/$J$18*c_Hurdle2.Share_GP)</f>
        <v>0</v>
      </c>
      <c r="AM117" s="663">
        <f t="shared" si="25"/>
        <v>0</v>
      </c>
      <c r="AN117" s="660">
        <f t="shared" si="73"/>
        <v>4690721.2233249219</v>
      </c>
      <c r="AO117" s="521"/>
      <c r="AP117" s="663">
        <f t="shared" si="55"/>
        <v>2145648.1852952181</v>
      </c>
      <c r="AQ117" s="663">
        <f t="shared" ref="AQ117" si="552">IF($G117=0,0,-MIN(0,$G117*c_EquityShare.LP))</f>
        <v>0</v>
      </c>
      <c r="AR117" s="663" cm="1">
        <f t="array" ref="AR117">IF($D117=0,0,AP117*(c_Rate.Hurdle3.MO))</f>
        <v>47428.37430313971</v>
      </c>
      <c r="AS117" s="663">
        <f t="shared" si="27"/>
        <v>0</v>
      </c>
      <c r="AT117" s="663">
        <f t="shared" si="57"/>
        <v>2193076.5595983579</v>
      </c>
      <c r="AU117" s="663">
        <f t="shared" si="28"/>
        <v>0</v>
      </c>
      <c r="AV117" s="664">
        <f t="shared" si="29"/>
        <v>2193076.5595983579</v>
      </c>
      <c r="AW117" s="660">
        <f t="shared" si="58"/>
        <v>2193076.5595983579</v>
      </c>
      <c r="AX117" s="663">
        <f t="shared" ref="AX117" si="553">IF(AP117=0,0,AL117+AT117/$J$19*c_Hurdle3.Share_GP)</f>
        <v>939889.95411358215</v>
      </c>
      <c r="AY117" s="663">
        <f t="shared" si="60"/>
        <v>3132966.51371194</v>
      </c>
      <c r="AZ117" s="660">
        <f t="shared" si="76"/>
        <v>1557754.7096129819</v>
      </c>
      <c r="BA117" s="521"/>
      <c r="BB117" s="660">
        <f t="shared" si="30"/>
        <v>778877.35480649094</v>
      </c>
      <c r="BC117" s="660">
        <f t="shared" ref="BC117" si="554">$AZ117*c_Residual.Share_GP</f>
        <v>778877.35480649094</v>
      </c>
      <c r="BD117" s="651"/>
      <c r="BE117" s="660">
        <f t="shared" si="374"/>
        <v>2971953.9144048486</v>
      </c>
      <c r="BF117" s="660">
        <f t="shared" si="374"/>
        <v>1718767.3089200731</v>
      </c>
      <c r="BG117" s="660">
        <f t="shared" si="32"/>
        <v>4690721.2233249219</v>
      </c>
      <c r="BI117" s="660">
        <v>4690721.2233249219</v>
      </c>
      <c r="BJ117" s="660">
        <v>0</v>
      </c>
      <c r="BK117" s="660">
        <v>0</v>
      </c>
      <c r="BL117" s="660">
        <f t="shared" si="375"/>
        <v>0</v>
      </c>
      <c r="BM117" s="660">
        <f t="shared" si="375"/>
        <v>0</v>
      </c>
      <c r="BN117" s="660">
        <f t="shared" si="376"/>
        <v>0</v>
      </c>
      <c r="BO117" s="660">
        <f t="shared" si="376"/>
        <v>0</v>
      </c>
      <c r="BP117" s="660">
        <f t="shared" si="377"/>
        <v>2193076.5595983579</v>
      </c>
      <c r="BQ117" s="660">
        <f t="shared" si="377"/>
        <v>939889.95411358215</v>
      </c>
      <c r="BR117" s="660">
        <v>778877.35480649094</v>
      </c>
      <c r="BS117" s="660">
        <v>778877.35480649094</v>
      </c>
      <c r="BT117" s="660">
        <f t="shared" si="36"/>
        <v>2971953.9144048486</v>
      </c>
      <c r="BU117" s="660">
        <f t="shared" si="36"/>
        <v>1718767.3089200731</v>
      </c>
      <c r="BX117" s="660">
        <v>4690721.2233249219</v>
      </c>
      <c r="BY117" s="660">
        <f t="shared" si="63"/>
        <v>0</v>
      </c>
      <c r="BZ117" s="660">
        <f t="shared" si="37"/>
        <v>0</v>
      </c>
      <c r="CA117" s="660">
        <f t="shared" si="38"/>
        <v>0</v>
      </c>
      <c r="CB117" s="660">
        <f t="shared" si="39"/>
        <v>3132966.51371194</v>
      </c>
      <c r="CC117" s="660">
        <f t="shared" si="40"/>
        <v>1557754.7096129819</v>
      </c>
      <c r="CD117" s="660">
        <f t="shared" si="378"/>
        <v>4690721.2233249219</v>
      </c>
    </row>
    <row r="118" spans="4:82" ht="16" thickTop="1" thickBot="1">
      <c r="D118" s="653">
        <v>62</v>
      </c>
      <c r="E118" s="654">
        <v>47573</v>
      </c>
      <c r="F118" s="655">
        <f t="shared" si="42"/>
        <v>6</v>
      </c>
      <c r="G118" s="656">
        <v>0</v>
      </c>
      <c r="I118" s="658">
        <f t="shared" si="43"/>
        <v>0</v>
      </c>
      <c r="J118" s="658">
        <f t="shared" ref="J118" si="555">IF($G118=0,0,-MIN(0,G118*c_EquityShare.LP))</f>
        <v>0</v>
      </c>
      <c r="K118" s="658">
        <f t="shared" ref="K118" si="556">I118*c_Rate.Pref_MO</f>
        <v>0</v>
      </c>
      <c r="L118" s="658">
        <f t="shared" si="15"/>
        <v>0</v>
      </c>
      <c r="M118" s="658">
        <f t="shared" si="46"/>
        <v>0</v>
      </c>
      <c r="N118" s="658">
        <f t="shared" si="66"/>
        <v>0</v>
      </c>
      <c r="O118" s="658" cm="1">
        <f t="array" ref="O118">IF(I118=0,0,IF(G118&lt;0,N118/c_EquityShare.LP*i_EquityShare.GP,L118/c_EquityShare.LP*i_EquityShare.GP))</f>
        <v>0</v>
      </c>
      <c r="P118" s="658">
        <f t="shared" si="47"/>
        <v>0</v>
      </c>
      <c r="Q118" s="658">
        <f t="shared" si="16"/>
        <v>0</v>
      </c>
      <c r="R118" s="521"/>
      <c r="S118" s="660">
        <f t="shared" si="48"/>
        <v>0</v>
      </c>
      <c r="T118" s="663" cm="1">
        <f t="array" ref="T118">IF($G118=0,0,-MIN(0,$G118*c_EquityShare.LP))</f>
        <v>0</v>
      </c>
      <c r="U118" s="663" cm="1">
        <f t="array" ref="U118">IF($D118=0,0,S118*c_Rate.Hurdle1.MO)</f>
        <v>0</v>
      </c>
      <c r="V118" s="660">
        <f t="shared" si="67"/>
        <v>0</v>
      </c>
      <c r="W118" s="660">
        <f t="shared" si="17"/>
        <v>0</v>
      </c>
      <c r="X118" s="663">
        <f t="shared" si="68"/>
        <v>0</v>
      </c>
      <c r="Y118" s="663">
        <f t="shared" si="49"/>
        <v>0</v>
      </c>
      <c r="Z118" s="663">
        <f t="shared" ref="Z118" si="557">IF(S118=0,0,O118+W118/$J$17*c_Hurdle1.Share_GP)</f>
        <v>0</v>
      </c>
      <c r="AA118" s="663">
        <f t="shared" si="19"/>
        <v>0</v>
      </c>
      <c r="AB118" s="660">
        <f t="shared" si="70"/>
        <v>0</v>
      </c>
      <c r="AC118" s="521"/>
      <c r="AD118" s="663">
        <f t="shared" si="51"/>
        <v>0</v>
      </c>
      <c r="AE118" s="663">
        <f t="shared" ref="AE118" si="558">IF($G118=0,0,-MIN(0,$G118*c_EquityShare.LP))</f>
        <v>0</v>
      </c>
      <c r="AF118" s="663" cm="1">
        <f t="array" ref="AF118">IF($D118=0,0,AD118*(c_Rate.Hurdle2.MO))</f>
        <v>0</v>
      </c>
      <c r="AG118" s="663">
        <f t="shared" si="21"/>
        <v>0</v>
      </c>
      <c r="AH118" s="663">
        <f t="shared" si="53"/>
        <v>0</v>
      </c>
      <c r="AI118" s="663">
        <f t="shared" si="22"/>
        <v>0</v>
      </c>
      <c r="AJ118" s="664">
        <f t="shared" si="23"/>
        <v>0</v>
      </c>
      <c r="AK118" s="660">
        <f t="shared" si="24"/>
        <v>0</v>
      </c>
      <c r="AL118" s="663">
        <f t="shared" ref="AL118" si="559">IF(AD118=0,0,Z118+AH118/$J$18*c_Hurdle2.Share_GP)</f>
        <v>0</v>
      </c>
      <c r="AM118" s="663">
        <f t="shared" si="25"/>
        <v>0</v>
      </c>
      <c r="AN118" s="660">
        <f t="shared" si="73"/>
        <v>0</v>
      </c>
      <c r="AO118" s="521"/>
      <c r="AP118" s="663">
        <f t="shared" si="55"/>
        <v>0</v>
      </c>
      <c r="AQ118" s="663">
        <f t="shared" ref="AQ118" si="560">IF($G118=0,0,-MIN(0,$G118*c_EquityShare.LP))</f>
        <v>0</v>
      </c>
      <c r="AR118" s="663" cm="1">
        <f t="array" ref="AR118">IF($D118=0,0,AP118*(c_Rate.Hurdle3.MO))</f>
        <v>0</v>
      </c>
      <c r="AS118" s="663">
        <f t="shared" si="27"/>
        <v>0</v>
      </c>
      <c r="AT118" s="663">
        <f t="shared" si="57"/>
        <v>0</v>
      </c>
      <c r="AU118" s="663">
        <f t="shared" si="28"/>
        <v>0</v>
      </c>
      <c r="AV118" s="664">
        <f t="shared" si="29"/>
        <v>0</v>
      </c>
      <c r="AW118" s="660">
        <f t="shared" si="58"/>
        <v>0</v>
      </c>
      <c r="AX118" s="663">
        <f t="shared" ref="AX118" si="561">IF(AP118=0,0,AL118+AT118/$J$19*c_Hurdle3.Share_GP)</f>
        <v>0</v>
      </c>
      <c r="AY118" s="663">
        <f t="shared" si="60"/>
        <v>0</v>
      </c>
      <c r="AZ118" s="660">
        <f t="shared" si="76"/>
        <v>0</v>
      </c>
      <c r="BA118" s="521"/>
      <c r="BB118" s="660">
        <f t="shared" si="30"/>
        <v>0</v>
      </c>
      <c r="BC118" s="660">
        <f t="shared" ref="BC118" si="562">$AZ118*c_Residual.Share_GP</f>
        <v>0</v>
      </c>
      <c r="BD118" s="651"/>
      <c r="BE118" s="660">
        <f t="shared" si="374"/>
        <v>0</v>
      </c>
      <c r="BF118" s="660">
        <f t="shared" si="374"/>
        <v>0</v>
      </c>
      <c r="BG118" s="660">
        <f t="shared" si="32"/>
        <v>0</v>
      </c>
      <c r="BI118" s="660">
        <v>0</v>
      </c>
      <c r="BJ118" s="660">
        <v>0</v>
      </c>
      <c r="BK118" s="660">
        <v>0</v>
      </c>
      <c r="BL118" s="660">
        <f t="shared" si="375"/>
        <v>0</v>
      </c>
      <c r="BM118" s="660">
        <f t="shared" si="375"/>
        <v>0</v>
      </c>
      <c r="BN118" s="660">
        <f t="shared" si="376"/>
        <v>0</v>
      </c>
      <c r="BO118" s="660">
        <f t="shared" si="376"/>
        <v>0</v>
      </c>
      <c r="BP118" s="660">
        <f t="shared" si="377"/>
        <v>0</v>
      </c>
      <c r="BQ118" s="660">
        <f t="shared" si="377"/>
        <v>0</v>
      </c>
      <c r="BR118" s="660">
        <v>0</v>
      </c>
      <c r="BS118" s="660">
        <v>0</v>
      </c>
      <c r="BT118" s="660">
        <f t="shared" si="36"/>
        <v>0</v>
      </c>
      <c r="BU118" s="660">
        <f t="shared" si="36"/>
        <v>0</v>
      </c>
      <c r="BX118" s="660">
        <v>0</v>
      </c>
      <c r="BY118" s="660">
        <f t="shared" si="63"/>
        <v>0</v>
      </c>
      <c r="BZ118" s="660">
        <f t="shared" si="37"/>
        <v>0</v>
      </c>
      <c r="CA118" s="660">
        <f t="shared" si="38"/>
        <v>0</v>
      </c>
      <c r="CB118" s="660">
        <f t="shared" si="39"/>
        <v>0</v>
      </c>
      <c r="CC118" s="660">
        <f t="shared" si="40"/>
        <v>0</v>
      </c>
      <c r="CD118" s="660">
        <f t="shared" si="378"/>
        <v>0</v>
      </c>
    </row>
    <row r="119" spans="4:82" ht="16" thickTop="1" thickBot="1">
      <c r="D119" s="653">
        <v>63</v>
      </c>
      <c r="E119" s="654">
        <v>47603</v>
      </c>
      <c r="F119" s="655">
        <f t="shared" si="42"/>
        <v>6</v>
      </c>
      <c r="G119" s="656">
        <v>701712.92606542818</v>
      </c>
      <c r="I119" s="658">
        <f t="shared" si="43"/>
        <v>0</v>
      </c>
      <c r="J119" s="658">
        <f t="shared" ref="J119" si="563">IF($G119=0,0,-MIN(0,G119*c_EquityShare.LP))</f>
        <v>0</v>
      </c>
      <c r="K119" s="658">
        <f t="shared" ref="K119" si="564">I119*c_Rate.Pref_MO</f>
        <v>0</v>
      </c>
      <c r="L119" s="658">
        <f t="shared" si="15"/>
        <v>0</v>
      </c>
      <c r="M119" s="658">
        <f t="shared" si="46"/>
        <v>0</v>
      </c>
      <c r="N119" s="658">
        <f t="shared" si="66"/>
        <v>0</v>
      </c>
      <c r="O119" s="658" cm="1">
        <f t="array" ref="O119">IF(I119=0,0,IF(G119&lt;0,N119/c_EquityShare.LP*i_EquityShare.GP,L119/c_EquityShare.LP*i_EquityShare.GP))</f>
        <v>0</v>
      </c>
      <c r="P119" s="658">
        <f t="shared" si="47"/>
        <v>0</v>
      </c>
      <c r="Q119" s="658">
        <f t="shared" si="16"/>
        <v>701712.92606542818</v>
      </c>
      <c r="R119" s="521"/>
      <c r="S119" s="660">
        <f t="shared" si="48"/>
        <v>0</v>
      </c>
      <c r="T119" s="663" cm="1">
        <f t="array" ref="T119">IF($G119=0,0,-MIN(0,$G119*c_EquityShare.LP))</f>
        <v>0</v>
      </c>
      <c r="U119" s="663" cm="1">
        <f t="array" ref="U119">IF($D119=0,0,S119*c_Rate.Hurdle1.MO)</f>
        <v>0</v>
      </c>
      <c r="V119" s="660">
        <f t="shared" si="67"/>
        <v>0</v>
      </c>
      <c r="W119" s="660">
        <f t="shared" si="17"/>
        <v>0</v>
      </c>
      <c r="X119" s="663">
        <f t="shared" si="68"/>
        <v>0</v>
      </c>
      <c r="Y119" s="663">
        <f t="shared" si="49"/>
        <v>0</v>
      </c>
      <c r="Z119" s="663">
        <f t="shared" ref="Z119" si="565">IF(S119=0,0,O119+W119/$J$17*c_Hurdle1.Share_GP)</f>
        <v>0</v>
      </c>
      <c r="AA119" s="663">
        <f t="shared" si="19"/>
        <v>0</v>
      </c>
      <c r="AB119" s="660">
        <f t="shared" si="70"/>
        <v>701712.92606542818</v>
      </c>
      <c r="AC119" s="521"/>
      <c r="AD119" s="663">
        <f t="shared" si="51"/>
        <v>0</v>
      </c>
      <c r="AE119" s="663">
        <f t="shared" ref="AE119" si="566">IF($G119=0,0,-MIN(0,$G119*c_EquityShare.LP))</f>
        <v>0</v>
      </c>
      <c r="AF119" s="663" cm="1">
        <f t="array" ref="AF119">IF($D119=0,0,AD119*(c_Rate.Hurdle2.MO))</f>
        <v>0</v>
      </c>
      <c r="AG119" s="663">
        <f t="shared" si="21"/>
        <v>0</v>
      </c>
      <c r="AH119" s="663">
        <f t="shared" si="53"/>
        <v>0</v>
      </c>
      <c r="AI119" s="663">
        <f t="shared" si="22"/>
        <v>0</v>
      </c>
      <c r="AJ119" s="664">
        <f t="shared" si="23"/>
        <v>0</v>
      </c>
      <c r="AK119" s="660">
        <f t="shared" si="24"/>
        <v>0</v>
      </c>
      <c r="AL119" s="663">
        <f t="shared" ref="AL119" si="567">IF(AD119=0,0,Z119+AH119/$J$18*c_Hurdle2.Share_GP)</f>
        <v>0</v>
      </c>
      <c r="AM119" s="663">
        <f t="shared" si="25"/>
        <v>0</v>
      </c>
      <c r="AN119" s="660">
        <f t="shared" si="73"/>
        <v>701712.92606542818</v>
      </c>
      <c r="AO119" s="521"/>
      <c r="AP119" s="663">
        <f t="shared" si="55"/>
        <v>0</v>
      </c>
      <c r="AQ119" s="663">
        <f t="shared" ref="AQ119" si="568">IF($G119=0,0,-MIN(0,$G119*c_EquityShare.LP))</f>
        <v>0</v>
      </c>
      <c r="AR119" s="663" cm="1">
        <f t="array" ref="AR119">IF($D119=0,0,AP119*(c_Rate.Hurdle3.MO))</f>
        <v>0</v>
      </c>
      <c r="AS119" s="663">
        <f t="shared" si="27"/>
        <v>0</v>
      </c>
      <c r="AT119" s="663">
        <f t="shared" si="57"/>
        <v>0</v>
      </c>
      <c r="AU119" s="663">
        <f t="shared" si="28"/>
        <v>0</v>
      </c>
      <c r="AV119" s="664">
        <f t="shared" si="29"/>
        <v>0</v>
      </c>
      <c r="AW119" s="660">
        <f t="shared" si="58"/>
        <v>0</v>
      </c>
      <c r="AX119" s="663">
        <f t="shared" ref="AX119" si="569">IF(AP119=0,0,AL119+AT119/$J$19*c_Hurdle3.Share_GP)</f>
        <v>0</v>
      </c>
      <c r="AY119" s="663">
        <f t="shared" si="60"/>
        <v>0</v>
      </c>
      <c r="AZ119" s="660">
        <f t="shared" si="76"/>
        <v>701712.92606542818</v>
      </c>
      <c r="BA119" s="521"/>
      <c r="BB119" s="660">
        <f t="shared" si="30"/>
        <v>350856.46303271409</v>
      </c>
      <c r="BC119" s="660">
        <f t="shared" ref="BC119" si="570">$AZ119*c_Residual.Share_GP</f>
        <v>350856.46303271409</v>
      </c>
      <c r="BD119" s="651"/>
      <c r="BE119" s="660">
        <f t="shared" si="374"/>
        <v>350856.46303271409</v>
      </c>
      <c r="BF119" s="660">
        <f t="shared" si="374"/>
        <v>350856.46303271409</v>
      </c>
      <c r="BG119" s="660">
        <f t="shared" si="32"/>
        <v>701712.92606542818</v>
      </c>
      <c r="BI119" s="660">
        <v>701712.92606542818</v>
      </c>
      <c r="BJ119" s="660">
        <v>0</v>
      </c>
      <c r="BK119" s="660">
        <v>0</v>
      </c>
      <c r="BL119" s="660">
        <f t="shared" si="375"/>
        <v>0</v>
      </c>
      <c r="BM119" s="660">
        <f t="shared" si="375"/>
        <v>0</v>
      </c>
      <c r="BN119" s="660">
        <f t="shared" si="376"/>
        <v>0</v>
      </c>
      <c r="BO119" s="660">
        <f t="shared" si="376"/>
        <v>0</v>
      </c>
      <c r="BP119" s="660">
        <f t="shared" si="377"/>
        <v>0</v>
      </c>
      <c r="BQ119" s="660">
        <f t="shared" si="377"/>
        <v>0</v>
      </c>
      <c r="BR119" s="660">
        <v>350856.46303271409</v>
      </c>
      <c r="BS119" s="660">
        <v>350856.46303271409</v>
      </c>
      <c r="BT119" s="660">
        <f t="shared" si="36"/>
        <v>350856.46303271409</v>
      </c>
      <c r="BU119" s="660">
        <f t="shared" si="36"/>
        <v>350856.46303271409</v>
      </c>
      <c r="BX119" s="660">
        <v>701712.92606542818</v>
      </c>
      <c r="BY119" s="660">
        <f t="shared" si="63"/>
        <v>0</v>
      </c>
      <c r="BZ119" s="660">
        <f t="shared" si="37"/>
        <v>0</v>
      </c>
      <c r="CA119" s="660">
        <f t="shared" si="38"/>
        <v>0</v>
      </c>
      <c r="CB119" s="660">
        <f t="shared" si="39"/>
        <v>0</v>
      </c>
      <c r="CC119" s="660">
        <f t="shared" si="40"/>
        <v>701712.92606542818</v>
      </c>
      <c r="CD119" s="660">
        <f t="shared" si="378"/>
        <v>701712.92606542818</v>
      </c>
    </row>
    <row r="120" spans="4:82" ht="16" thickTop="1" thickBot="1">
      <c r="D120" s="653">
        <v>64</v>
      </c>
      <c r="E120" s="654">
        <v>47634</v>
      </c>
      <c r="F120" s="655">
        <f t="shared" si="42"/>
        <v>6</v>
      </c>
      <c r="G120" s="656">
        <v>7051123.1559349038</v>
      </c>
      <c r="I120" s="658">
        <f t="shared" si="43"/>
        <v>0</v>
      </c>
      <c r="J120" s="658">
        <f t="shared" ref="J120" si="571">IF($G120=0,0,-MIN(0,G120*c_EquityShare.LP))</f>
        <v>0</v>
      </c>
      <c r="K120" s="658">
        <f t="shared" ref="K120" si="572">I120*c_Rate.Pref_MO</f>
        <v>0</v>
      </c>
      <c r="L120" s="658">
        <f t="shared" ref="L120:L183" si="573">IF($G120=0,0,MAX(MIN($G120*$I$54,I120+K120-J120),0))</f>
        <v>0</v>
      </c>
      <c r="M120" s="658">
        <f t="shared" si="46"/>
        <v>0</v>
      </c>
      <c r="N120" s="658">
        <f t="shared" si="66"/>
        <v>0</v>
      </c>
      <c r="O120" s="658" cm="1">
        <f t="array" ref="O120">IF(I120=0,0,IF(G120&lt;0,N120/c_EquityShare.LP*i_EquityShare.GP,L120/c_EquityShare.LP*i_EquityShare.GP))</f>
        <v>0</v>
      </c>
      <c r="P120" s="658">
        <f t="shared" si="47"/>
        <v>0</v>
      </c>
      <c r="Q120" s="658">
        <f t="shared" ref="Q120:Q183" si="574">IF(E120=0,0,MAX(G120-P120,0))</f>
        <v>7051123.1559349038</v>
      </c>
      <c r="R120" s="521"/>
      <c r="S120" s="660">
        <f t="shared" si="48"/>
        <v>0</v>
      </c>
      <c r="T120" s="663" cm="1">
        <f t="array" ref="T120">IF($G120=0,0,-MIN(0,$G120*c_EquityShare.LP))</f>
        <v>0</v>
      </c>
      <c r="U120" s="663" cm="1">
        <f t="array" ref="U120">IF($D120=0,0,S120*c_Rate.Hurdle1.MO)</f>
        <v>0</v>
      </c>
      <c r="V120" s="660">
        <f t="shared" si="67"/>
        <v>0</v>
      </c>
      <c r="W120" s="660">
        <f t="shared" ref="W120:W184" si="575">MIN(S120+U120-V120,Q120*S$54)</f>
        <v>0</v>
      </c>
      <c r="X120" s="663">
        <f t="shared" si="68"/>
        <v>0</v>
      </c>
      <c r="Y120" s="663">
        <f t="shared" si="49"/>
        <v>0</v>
      </c>
      <c r="Z120" s="663">
        <f t="shared" ref="Z120" si="576">IF(S120=0,0,O120+W120/$J$17*c_Hurdle1.Share_GP)</f>
        <v>0</v>
      </c>
      <c r="AA120" s="663">
        <f t="shared" ref="AA120:AA183" si="577">Y120+Z120</f>
        <v>0</v>
      </c>
      <c r="AB120" s="660">
        <f t="shared" si="70"/>
        <v>7051123.1559349038</v>
      </c>
      <c r="AC120" s="521"/>
      <c r="AD120" s="663">
        <f t="shared" si="51"/>
        <v>0</v>
      </c>
      <c r="AE120" s="663">
        <f t="shared" ref="AE120" si="578">IF($G120=0,0,-MIN(0,$G120*c_EquityShare.LP))</f>
        <v>0</v>
      </c>
      <c r="AF120" s="663" cm="1">
        <f t="array" ref="AF120">IF($D120=0,0,AD120*(c_Rate.Hurdle2.MO))</f>
        <v>0</v>
      </c>
      <c r="AG120" s="663">
        <f t="shared" ref="AG120:AG183" si="579">V120+W120</f>
        <v>0</v>
      </c>
      <c r="AH120" s="663">
        <f t="shared" si="53"/>
        <v>0</v>
      </c>
      <c r="AI120" s="663">
        <f t="shared" ref="AI120:AI183" si="580">AD120+AF120+AE120-AG120-AH120</f>
        <v>0</v>
      </c>
      <c r="AJ120" s="664">
        <f t="shared" ref="AJ120:AJ183" si="581">-AE120+AG120+AH120</f>
        <v>0</v>
      </c>
      <c r="AK120" s="660">
        <f t="shared" ref="AK120:AK183" si="582">Y120+AH120</f>
        <v>0</v>
      </c>
      <c r="AL120" s="663">
        <f t="shared" ref="AL120" si="583">IF(AD120=0,0,Z120+AH120/$J$18*c_Hurdle2.Share_GP)</f>
        <v>0</v>
      </c>
      <c r="AM120" s="663">
        <f t="shared" ref="AM120:AM183" si="584">AK120+AL120</f>
        <v>0</v>
      </c>
      <c r="AN120" s="660">
        <f t="shared" si="73"/>
        <v>7051123.1559349038</v>
      </c>
      <c r="AO120" s="521"/>
      <c r="AP120" s="663">
        <f t="shared" si="55"/>
        <v>0</v>
      </c>
      <c r="AQ120" s="663">
        <f t="shared" ref="AQ120" si="585">IF($G120=0,0,-MIN(0,$G120*c_EquityShare.LP))</f>
        <v>0</v>
      </c>
      <c r="AR120" s="663" cm="1">
        <f t="array" ref="AR120">IF($D120=0,0,AP120*(c_Rate.Hurdle3.MO))</f>
        <v>0</v>
      </c>
      <c r="AS120" s="663">
        <f t="shared" ref="AS120:AS183" si="586">AG120+AH120</f>
        <v>0</v>
      </c>
      <c r="AT120" s="663">
        <f t="shared" si="57"/>
        <v>0</v>
      </c>
      <c r="AU120" s="663">
        <f t="shared" ref="AU120:AU183" si="587">AP120+AR120+AQ120-AS120-AT120</f>
        <v>0</v>
      </c>
      <c r="AV120" s="664">
        <f t="shared" ref="AV120:AV183" si="588">-AQ120+AS120+AT120</f>
        <v>0</v>
      </c>
      <c r="AW120" s="660">
        <f t="shared" si="58"/>
        <v>0</v>
      </c>
      <c r="AX120" s="663">
        <f t="shared" ref="AX120" si="589">IF(AP120=0,0,AL120+AT120/$J$19*c_Hurdle3.Share_GP)</f>
        <v>0</v>
      </c>
      <c r="AY120" s="663">
        <f t="shared" si="60"/>
        <v>0</v>
      </c>
      <c r="AZ120" s="660">
        <f t="shared" si="76"/>
        <v>7051123.1559349038</v>
      </c>
      <c r="BA120" s="521"/>
      <c r="BB120" s="660">
        <f t="shared" ref="BB120:BB273" si="590">$AZ120-BC120</f>
        <v>3525561.5779674519</v>
      </c>
      <c r="BC120" s="660">
        <f t="shared" ref="BC120" si="591">$AZ120*c_Residual.Share_GP</f>
        <v>3525561.5779674519</v>
      </c>
      <c r="BD120" s="651"/>
      <c r="BE120" s="660">
        <f t="shared" si="374"/>
        <v>3525561.5779674519</v>
      </c>
      <c r="BF120" s="660">
        <f t="shared" si="374"/>
        <v>3525561.5779674519</v>
      </c>
      <c r="BG120" s="660">
        <f t="shared" ref="BG120:BG183" si="592">SUM(BE120:BF120)</f>
        <v>7051123.1559349038</v>
      </c>
      <c r="BI120" s="660">
        <v>7051123.1559349038</v>
      </c>
      <c r="BJ120" s="660">
        <v>0</v>
      </c>
      <c r="BK120" s="660">
        <v>0</v>
      </c>
      <c r="BL120" s="660">
        <f t="shared" si="375"/>
        <v>0</v>
      </c>
      <c r="BM120" s="660">
        <f t="shared" si="375"/>
        <v>0</v>
      </c>
      <c r="BN120" s="660">
        <f t="shared" si="376"/>
        <v>0</v>
      </c>
      <c r="BO120" s="660">
        <f t="shared" si="376"/>
        <v>0</v>
      </c>
      <c r="BP120" s="660">
        <f t="shared" si="377"/>
        <v>0</v>
      </c>
      <c r="BQ120" s="660">
        <f t="shared" si="377"/>
        <v>0</v>
      </c>
      <c r="BR120" s="660">
        <v>3525561.5779674519</v>
      </c>
      <c r="BS120" s="660">
        <v>3525561.5779674519</v>
      </c>
      <c r="BT120" s="660">
        <f t="shared" ref="BT120:BU183" si="593">BJ120+BL120+BN120+BP120+BR120</f>
        <v>3525561.5779674519</v>
      </c>
      <c r="BU120" s="660">
        <f t="shared" si="593"/>
        <v>3525561.5779674519</v>
      </c>
      <c r="BX120" s="660">
        <v>7051123.1559349038</v>
      </c>
      <c r="BY120" s="660">
        <f t="shared" si="63"/>
        <v>0</v>
      </c>
      <c r="BZ120" s="660">
        <f t="shared" ref="BZ120:BZ183" si="594">BL120+BM120</f>
        <v>0</v>
      </c>
      <c r="CA120" s="660">
        <f t="shared" ref="CA120:CA183" si="595">BN120+BO120</f>
        <v>0</v>
      </c>
      <c r="CB120" s="660">
        <f t="shared" ref="CB120:CB183" si="596">BP120+BQ120</f>
        <v>0</v>
      </c>
      <c r="CC120" s="660">
        <f t="shared" ref="CC120:CC183" si="597">BR120+BS120</f>
        <v>7051123.1559349038</v>
      </c>
      <c r="CD120" s="660">
        <f t="shared" si="378"/>
        <v>7051123.1559349038</v>
      </c>
    </row>
    <row r="121" spans="4:82" ht="16" thickTop="1" thickBot="1">
      <c r="D121" s="653">
        <v>65</v>
      </c>
      <c r="E121" s="654">
        <v>47664</v>
      </c>
      <c r="F121" s="655">
        <f t="shared" ref="F121:F184" si="598">IF(D121=0,"",MIN(INT(YEARFRAC(E$56,EDATE(E121,12),3))))</f>
        <v>6</v>
      </c>
      <c r="G121" s="656">
        <v>0</v>
      </c>
      <c r="I121" s="658">
        <f t="shared" ref="I121:I184" si="599">IF(D121=0,0,M120)</f>
        <v>0</v>
      </c>
      <c r="J121" s="658">
        <f t="shared" ref="J121" si="600">IF($G121=0,0,-MIN(0,G121*c_EquityShare.LP))</f>
        <v>0</v>
      </c>
      <c r="K121" s="658">
        <f t="shared" ref="K121" si="601">I121*c_Rate.Pref_MO</f>
        <v>0</v>
      </c>
      <c r="L121" s="658">
        <f t="shared" si="573"/>
        <v>0</v>
      </c>
      <c r="M121" s="658">
        <f t="shared" ref="M121:M184" si="602">I121+K121+J121-L121</f>
        <v>0</v>
      </c>
      <c r="N121" s="658">
        <f t="shared" si="66"/>
        <v>0</v>
      </c>
      <c r="O121" s="658" cm="1">
        <f t="array" ref="O121">IF(I121=0,0,IF(G121&lt;0,N121/c_EquityShare.LP*i_EquityShare.GP,L121/c_EquityShare.LP*i_EquityShare.GP))</f>
        <v>0</v>
      </c>
      <c r="P121" s="658">
        <f t="shared" ref="P121:P184" si="603">N121+O121</f>
        <v>0</v>
      </c>
      <c r="Q121" s="658">
        <f t="shared" si="574"/>
        <v>0</v>
      </c>
      <c r="R121" s="521"/>
      <c r="S121" s="660">
        <f t="shared" ref="S121:S184" si="604">X120</f>
        <v>0</v>
      </c>
      <c r="T121" s="663" cm="1">
        <f t="array" ref="T121">IF($G121=0,0,-MIN(0,$G121*c_EquityShare.LP))</f>
        <v>0</v>
      </c>
      <c r="U121" s="663" cm="1">
        <f t="array" ref="U121">IF($D121=0,0,S121*c_Rate.Hurdle1.MO)</f>
        <v>0</v>
      </c>
      <c r="V121" s="660">
        <f t="shared" si="67"/>
        <v>0</v>
      </c>
      <c r="W121" s="660">
        <f t="shared" si="575"/>
        <v>0</v>
      </c>
      <c r="X121" s="663">
        <f t="shared" si="68"/>
        <v>0</v>
      </c>
      <c r="Y121" s="663">
        <f t="shared" ref="Y121:Y184" si="605">N121+W121</f>
        <v>0</v>
      </c>
      <c r="Z121" s="663">
        <f t="shared" ref="Z121" si="606">IF(S121=0,0,O121+W121/$J$17*c_Hurdle1.Share_GP)</f>
        <v>0</v>
      </c>
      <c r="AA121" s="663">
        <f t="shared" si="577"/>
        <v>0</v>
      </c>
      <c r="AB121" s="660">
        <f t="shared" si="70"/>
        <v>0</v>
      </c>
      <c r="AC121" s="521"/>
      <c r="AD121" s="663">
        <f t="shared" ref="AD121:AD137" si="607">AI120</f>
        <v>0</v>
      </c>
      <c r="AE121" s="663">
        <f t="shared" ref="AE121" si="608">IF($G121=0,0,-MIN(0,$G121*c_EquityShare.LP))</f>
        <v>0</v>
      </c>
      <c r="AF121" s="663" cm="1">
        <f t="array" ref="AF121">IF($D121=0,0,AD121*(c_Rate.Hurdle2.MO))</f>
        <v>0</v>
      </c>
      <c r="AG121" s="663">
        <f t="shared" si="579"/>
        <v>0</v>
      </c>
      <c r="AH121" s="663">
        <f t="shared" ref="AH121:AH184" si="609">IF(AB121=0,0,MIN(AD121+AE121+AF121-AG121,AB121*AD$54))</f>
        <v>0</v>
      </c>
      <c r="AI121" s="663">
        <f t="shared" si="580"/>
        <v>0</v>
      </c>
      <c r="AJ121" s="664">
        <f t="shared" si="581"/>
        <v>0</v>
      </c>
      <c r="AK121" s="660">
        <f t="shared" si="582"/>
        <v>0</v>
      </c>
      <c r="AL121" s="663">
        <f t="shared" ref="AL121" si="610">IF(AD121=0,0,Z121+AH121/$J$18*c_Hurdle2.Share_GP)</f>
        <v>0</v>
      </c>
      <c r="AM121" s="663">
        <f t="shared" si="584"/>
        <v>0</v>
      </c>
      <c r="AN121" s="660">
        <f t="shared" si="73"/>
        <v>0</v>
      </c>
      <c r="AO121" s="521"/>
      <c r="AP121" s="663">
        <f t="shared" ref="AP121:AP137" si="611">AU120</f>
        <v>0</v>
      </c>
      <c r="AQ121" s="663">
        <f t="shared" ref="AQ121" si="612">IF($G121=0,0,-MIN(0,$G121*c_EquityShare.LP))</f>
        <v>0</v>
      </c>
      <c r="AR121" s="663" cm="1">
        <f t="array" ref="AR121">IF($D121=0,0,AP121*(c_Rate.Hurdle3.MO))</f>
        <v>0</v>
      </c>
      <c r="AS121" s="663">
        <f t="shared" si="586"/>
        <v>0</v>
      </c>
      <c r="AT121" s="663">
        <f t="shared" ref="AT121:AT184" si="613">IF(AP121=0,0,MIN(AP121+AQ121+AR121-AS121,AN121*AP$54))</f>
        <v>0</v>
      </c>
      <c r="AU121" s="663">
        <f t="shared" si="587"/>
        <v>0</v>
      </c>
      <c r="AV121" s="664">
        <f t="shared" si="588"/>
        <v>0</v>
      </c>
      <c r="AW121" s="660">
        <f t="shared" ref="AW121:AW184" si="614">AK121+AT121</f>
        <v>0</v>
      </c>
      <c r="AX121" s="663">
        <f t="shared" ref="AX121" si="615">IF(AP121=0,0,AL121+AT121/$J$19*c_Hurdle3.Share_GP)</f>
        <v>0</v>
      </c>
      <c r="AY121" s="663">
        <f t="shared" ref="AY121:AY184" si="616">AW121+AX121</f>
        <v>0</v>
      </c>
      <c r="AZ121" s="660">
        <f t="shared" si="76"/>
        <v>0</v>
      </c>
      <c r="BA121" s="521"/>
      <c r="BB121" s="660">
        <f t="shared" si="590"/>
        <v>0</v>
      </c>
      <c r="BC121" s="660">
        <f t="shared" ref="BC121" si="617">$AZ121*c_Residual.Share_GP</f>
        <v>0</v>
      </c>
      <c r="BD121" s="651"/>
      <c r="BE121" s="660">
        <f t="shared" ref="BE121:BF184" si="618">AW121+BB121</f>
        <v>0</v>
      </c>
      <c r="BF121" s="660">
        <f t="shared" si="618"/>
        <v>0</v>
      </c>
      <c r="BG121" s="660">
        <f t="shared" si="592"/>
        <v>0</v>
      </c>
      <c r="BI121" s="660">
        <v>0</v>
      </c>
      <c r="BJ121" s="660">
        <v>0</v>
      </c>
      <c r="BK121" s="660">
        <v>0</v>
      </c>
      <c r="BL121" s="660">
        <f t="shared" ref="BL121:BM184" si="619">Y121-N121</f>
        <v>0</v>
      </c>
      <c r="BM121" s="660">
        <f t="shared" si="619"/>
        <v>0</v>
      </c>
      <c r="BN121" s="660">
        <f t="shared" ref="BN121:BO184" si="620">AK121-Y121</f>
        <v>0</v>
      </c>
      <c r="BO121" s="660">
        <f t="shared" si="620"/>
        <v>0</v>
      </c>
      <c r="BP121" s="660">
        <f t="shared" ref="BP121:BQ184" si="621">AW121-AK121</f>
        <v>0</v>
      </c>
      <c r="BQ121" s="660">
        <f t="shared" si="621"/>
        <v>0</v>
      </c>
      <c r="BR121" s="660">
        <v>0</v>
      </c>
      <c r="BS121" s="660">
        <v>0</v>
      </c>
      <c r="BT121" s="660">
        <f t="shared" si="593"/>
        <v>0</v>
      </c>
      <c r="BU121" s="660">
        <f t="shared" si="593"/>
        <v>0</v>
      </c>
      <c r="BX121" s="660">
        <v>0</v>
      </c>
      <c r="BY121" s="660">
        <f t="shared" ref="BY121:BY184" si="622">BJ121+BK121</f>
        <v>0</v>
      </c>
      <c r="BZ121" s="660">
        <f t="shared" si="594"/>
        <v>0</v>
      </c>
      <c r="CA121" s="660">
        <f t="shared" si="595"/>
        <v>0</v>
      </c>
      <c r="CB121" s="660">
        <f t="shared" si="596"/>
        <v>0</v>
      </c>
      <c r="CC121" s="660">
        <f t="shared" si="597"/>
        <v>0</v>
      </c>
      <c r="CD121" s="660">
        <f t="shared" ref="CD121:CD184" si="623">SUM(BY121:CC121)</f>
        <v>0</v>
      </c>
    </row>
    <row r="122" spans="4:82" ht="16" thickTop="1" thickBot="1">
      <c r="D122" s="653">
        <v>66</v>
      </c>
      <c r="E122" s="654">
        <v>47695</v>
      </c>
      <c r="F122" s="655">
        <f t="shared" si="598"/>
        <v>6</v>
      </c>
      <c r="G122" s="656">
        <v>0</v>
      </c>
      <c r="I122" s="658">
        <f t="shared" si="599"/>
        <v>0</v>
      </c>
      <c r="J122" s="658">
        <f t="shared" ref="J122" si="624">IF($G122=0,0,-MIN(0,G122*c_EquityShare.LP))</f>
        <v>0</v>
      </c>
      <c r="K122" s="658">
        <f t="shared" ref="K122" si="625">I122*c_Rate.Pref_MO</f>
        <v>0</v>
      </c>
      <c r="L122" s="658">
        <f t="shared" si="573"/>
        <v>0</v>
      </c>
      <c r="M122" s="658">
        <f t="shared" si="602"/>
        <v>0</v>
      </c>
      <c r="N122" s="658">
        <f t="shared" ref="N122:N185" si="626">L122-J122</f>
        <v>0</v>
      </c>
      <c r="O122" s="658" cm="1">
        <f t="array" ref="O122">IF(I122=0,0,IF(G122&lt;0,N122/c_EquityShare.LP*i_EquityShare.GP,L122/c_EquityShare.LP*i_EquityShare.GP))</f>
        <v>0</v>
      </c>
      <c r="P122" s="658">
        <f t="shared" si="603"/>
        <v>0</v>
      </c>
      <c r="Q122" s="658">
        <f t="shared" si="574"/>
        <v>0</v>
      </c>
      <c r="R122" s="521"/>
      <c r="S122" s="660">
        <f t="shared" si="604"/>
        <v>0</v>
      </c>
      <c r="T122" s="663" cm="1">
        <f t="array" ref="T122">IF($G122=0,0,-MIN(0,$G122*c_EquityShare.LP))</f>
        <v>0</v>
      </c>
      <c r="U122" s="663" cm="1">
        <f t="array" ref="U122">IF($D122=0,0,S122*c_Rate.Hurdle1.MO)</f>
        <v>0</v>
      </c>
      <c r="V122" s="660">
        <f t="shared" ref="V122:V185" si="627">L122</f>
        <v>0</v>
      </c>
      <c r="W122" s="660">
        <f t="shared" si="575"/>
        <v>0</v>
      </c>
      <c r="X122" s="663">
        <f t="shared" ref="X122:X185" si="628">S122+T122+U122-V122-W122</f>
        <v>0</v>
      </c>
      <c r="Y122" s="663">
        <f t="shared" si="605"/>
        <v>0</v>
      </c>
      <c r="Z122" s="663">
        <f t="shared" ref="Z122" si="629">IF(S122=0,0,O122+W122/$J$17*c_Hurdle1.Share_GP)</f>
        <v>0</v>
      </c>
      <c r="AA122" s="663">
        <f t="shared" si="577"/>
        <v>0</v>
      </c>
      <c r="AB122" s="660">
        <f t="shared" ref="AB122:AB185" si="630">IF(AA122&lt;0,0,MAX($G122-P122-AA122,0))</f>
        <v>0</v>
      </c>
      <c r="AC122" s="521"/>
      <c r="AD122" s="663">
        <f t="shared" si="607"/>
        <v>0</v>
      </c>
      <c r="AE122" s="663">
        <f t="shared" ref="AE122" si="631">IF($G122=0,0,-MIN(0,$G122*c_EquityShare.LP))</f>
        <v>0</v>
      </c>
      <c r="AF122" s="663" cm="1">
        <f t="array" ref="AF122">IF($D122=0,0,AD122*(c_Rate.Hurdle2.MO))</f>
        <v>0</v>
      </c>
      <c r="AG122" s="663">
        <f t="shared" si="579"/>
        <v>0</v>
      </c>
      <c r="AH122" s="663">
        <f t="shared" si="609"/>
        <v>0</v>
      </c>
      <c r="AI122" s="663">
        <f t="shared" si="580"/>
        <v>0</v>
      </c>
      <c r="AJ122" s="664">
        <f t="shared" si="581"/>
        <v>0</v>
      </c>
      <c r="AK122" s="660">
        <f t="shared" si="582"/>
        <v>0</v>
      </c>
      <c r="AL122" s="663">
        <f t="shared" ref="AL122" si="632">IF(AD122=0,0,Z122+AH122/$J$18*c_Hurdle2.Share_GP)</f>
        <v>0</v>
      </c>
      <c r="AM122" s="663">
        <f t="shared" si="584"/>
        <v>0</v>
      </c>
      <c r="AN122" s="660">
        <f t="shared" ref="AN122:AN185" si="633">IF(AM122&lt;0,0,MAX($G122-AA122-AM122,0))</f>
        <v>0</v>
      </c>
      <c r="AO122" s="521"/>
      <c r="AP122" s="663">
        <f t="shared" si="611"/>
        <v>0</v>
      </c>
      <c r="AQ122" s="663">
        <f t="shared" ref="AQ122" si="634">IF($G122=0,0,-MIN(0,$G122*c_EquityShare.LP))</f>
        <v>0</v>
      </c>
      <c r="AR122" s="663" cm="1">
        <f t="array" ref="AR122">IF($D122=0,0,AP122*(c_Rate.Hurdle3.MO))</f>
        <v>0</v>
      </c>
      <c r="AS122" s="663">
        <f t="shared" si="586"/>
        <v>0</v>
      </c>
      <c r="AT122" s="663">
        <f t="shared" si="613"/>
        <v>0</v>
      </c>
      <c r="AU122" s="663">
        <f t="shared" si="587"/>
        <v>0</v>
      </c>
      <c r="AV122" s="664">
        <f t="shared" si="588"/>
        <v>0</v>
      </c>
      <c r="AW122" s="660">
        <f t="shared" si="614"/>
        <v>0</v>
      </c>
      <c r="AX122" s="663">
        <f t="shared" ref="AX122" si="635">IF(AP122=0,0,AL122+AT122/$J$19*c_Hurdle3.Share_GP)</f>
        <v>0</v>
      </c>
      <c r="AY122" s="663">
        <f t="shared" si="616"/>
        <v>0</v>
      </c>
      <c r="AZ122" s="660">
        <f t="shared" ref="AZ122:AZ185" si="636">IF(AY122&lt;0,0,MAX($G122-AM122-AY122,0))</f>
        <v>0</v>
      </c>
      <c r="BA122" s="521"/>
      <c r="BB122" s="660">
        <f t="shared" si="590"/>
        <v>0</v>
      </c>
      <c r="BC122" s="660">
        <f t="shared" ref="BC122" si="637">$AZ122*c_Residual.Share_GP</f>
        <v>0</v>
      </c>
      <c r="BD122" s="651"/>
      <c r="BE122" s="660">
        <f t="shared" si="618"/>
        <v>0</v>
      </c>
      <c r="BF122" s="660">
        <f t="shared" si="618"/>
        <v>0</v>
      </c>
      <c r="BG122" s="660">
        <f t="shared" si="592"/>
        <v>0</v>
      </c>
      <c r="BI122" s="660">
        <v>0</v>
      </c>
      <c r="BJ122" s="660">
        <v>0</v>
      </c>
      <c r="BK122" s="660">
        <v>0</v>
      </c>
      <c r="BL122" s="660">
        <f t="shared" si="619"/>
        <v>0</v>
      </c>
      <c r="BM122" s="660">
        <f t="shared" si="619"/>
        <v>0</v>
      </c>
      <c r="BN122" s="660">
        <f t="shared" si="620"/>
        <v>0</v>
      </c>
      <c r="BO122" s="660">
        <f t="shared" si="620"/>
        <v>0</v>
      </c>
      <c r="BP122" s="660">
        <f t="shared" si="621"/>
        <v>0</v>
      </c>
      <c r="BQ122" s="660">
        <f t="shared" si="621"/>
        <v>0</v>
      </c>
      <c r="BR122" s="660">
        <v>0</v>
      </c>
      <c r="BS122" s="660">
        <v>0</v>
      </c>
      <c r="BT122" s="660">
        <f t="shared" si="593"/>
        <v>0</v>
      </c>
      <c r="BU122" s="660">
        <f t="shared" si="593"/>
        <v>0</v>
      </c>
      <c r="BX122" s="660">
        <v>0</v>
      </c>
      <c r="BY122" s="660">
        <f t="shared" si="622"/>
        <v>0</v>
      </c>
      <c r="BZ122" s="660">
        <f t="shared" si="594"/>
        <v>0</v>
      </c>
      <c r="CA122" s="660">
        <f t="shared" si="595"/>
        <v>0</v>
      </c>
      <c r="CB122" s="660">
        <f t="shared" si="596"/>
        <v>0</v>
      </c>
      <c r="CC122" s="660">
        <f t="shared" si="597"/>
        <v>0</v>
      </c>
      <c r="CD122" s="660">
        <f t="shared" si="623"/>
        <v>0</v>
      </c>
    </row>
    <row r="123" spans="4:82" ht="16" thickTop="1" thickBot="1">
      <c r="D123" s="653">
        <v>67</v>
      </c>
      <c r="E123" s="654">
        <v>47726</v>
      </c>
      <c r="F123" s="655">
        <f t="shared" si="598"/>
        <v>6</v>
      </c>
      <c r="G123" s="656"/>
      <c r="I123" s="658">
        <f t="shared" si="599"/>
        <v>0</v>
      </c>
      <c r="J123" s="658">
        <f t="shared" ref="J123" si="638">IF($G123=0,0,-MIN(0,G123*c_EquityShare.LP))</f>
        <v>0</v>
      </c>
      <c r="K123" s="658">
        <f t="shared" ref="K123" si="639">I123*c_Rate.Pref_MO</f>
        <v>0</v>
      </c>
      <c r="L123" s="658">
        <f t="shared" si="573"/>
        <v>0</v>
      </c>
      <c r="M123" s="658">
        <f t="shared" si="602"/>
        <v>0</v>
      </c>
      <c r="N123" s="658">
        <f t="shared" si="626"/>
        <v>0</v>
      </c>
      <c r="O123" s="658" cm="1">
        <f t="array" ref="O123">IF(I123=0,0,IF(G123&lt;0,N123/c_EquityShare.LP*i_EquityShare.GP,L123/c_EquityShare.LP*i_EquityShare.GP))</f>
        <v>0</v>
      </c>
      <c r="P123" s="658">
        <f t="shared" si="603"/>
        <v>0</v>
      </c>
      <c r="Q123" s="658">
        <f t="shared" si="574"/>
        <v>0</v>
      </c>
      <c r="R123" s="521"/>
      <c r="S123" s="660">
        <f t="shared" si="604"/>
        <v>0</v>
      </c>
      <c r="T123" s="663" cm="1">
        <f t="array" ref="T123">IF($G123=0,0,-MIN(0,$G123*c_EquityShare.LP))</f>
        <v>0</v>
      </c>
      <c r="U123" s="663" cm="1">
        <f t="array" ref="U123">IF($D123=0,0,S123*c_Rate.Hurdle1.MO)</f>
        <v>0</v>
      </c>
      <c r="V123" s="660">
        <f t="shared" si="627"/>
        <v>0</v>
      </c>
      <c r="W123" s="660">
        <f t="shared" si="575"/>
        <v>0</v>
      </c>
      <c r="X123" s="663">
        <f t="shared" si="628"/>
        <v>0</v>
      </c>
      <c r="Y123" s="663">
        <f t="shared" si="605"/>
        <v>0</v>
      </c>
      <c r="Z123" s="663">
        <f t="shared" ref="Z123" si="640">IF(S123=0,0,O123+W123/$J$17*c_Hurdle1.Share_GP)</f>
        <v>0</v>
      </c>
      <c r="AA123" s="663">
        <f t="shared" si="577"/>
        <v>0</v>
      </c>
      <c r="AB123" s="660">
        <f t="shared" si="630"/>
        <v>0</v>
      </c>
      <c r="AC123" s="521"/>
      <c r="AD123" s="663">
        <f t="shared" si="607"/>
        <v>0</v>
      </c>
      <c r="AE123" s="663">
        <f t="shared" ref="AE123" si="641">IF($G123=0,0,-MIN(0,$G123*c_EquityShare.LP))</f>
        <v>0</v>
      </c>
      <c r="AF123" s="663" cm="1">
        <f t="array" ref="AF123">IF($D123=0,0,AD123*(c_Rate.Hurdle2.MO))</f>
        <v>0</v>
      </c>
      <c r="AG123" s="663">
        <f t="shared" si="579"/>
        <v>0</v>
      </c>
      <c r="AH123" s="663">
        <f t="shared" si="609"/>
        <v>0</v>
      </c>
      <c r="AI123" s="663">
        <f t="shared" si="580"/>
        <v>0</v>
      </c>
      <c r="AJ123" s="664">
        <f t="shared" si="581"/>
        <v>0</v>
      </c>
      <c r="AK123" s="660">
        <f t="shared" si="582"/>
        <v>0</v>
      </c>
      <c r="AL123" s="663">
        <f t="shared" ref="AL123" si="642">IF(AD123=0,0,Z123+AH123/$J$18*c_Hurdle2.Share_GP)</f>
        <v>0</v>
      </c>
      <c r="AM123" s="663">
        <f t="shared" si="584"/>
        <v>0</v>
      </c>
      <c r="AN123" s="660">
        <f t="shared" si="633"/>
        <v>0</v>
      </c>
      <c r="AO123" s="521"/>
      <c r="AP123" s="663">
        <f t="shared" si="611"/>
        <v>0</v>
      </c>
      <c r="AQ123" s="663">
        <f t="shared" ref="AQ123" si="643">IF($G123=0,0,-MIN(0,$G123*c_EquityShare.LP))</f>
        <v>0</v>
      </c>
      <c r="AR123" s="663" cm="1">
        <f t="array" ref="AR123">IF($D123=0,0,AP123*(c_Rate.Hurdle3.MO))</f>
        <v>0</v>
      </c>
      <c r="AS123" s="663">
        <f t="shared" si="586"/>
        <v>0</v>
      </c>
      <c r="AT123" s="663">
        <f t="shared" si="613"/>
        <v>0</v>
      </c>
      <c r="AU123" s="663">
        <f t="shared" si="587"/>
        <v>0</v>
      </c>
      <c r="AV123" s="664">
        <f t="shared" si="588"/>
        <v>0</v>
      </c>
      <c r="AW123" s="660">
        <f t="shared" si="614"/>
        <v>0</v>
      </c>
      <c r="AX123" s="663">
        <f t="shared" ref="AX123" si="644">IF(AP123=0,0,AL123+AT123/$J$19*c_Hurdle3.Share_GP)</f>
        <v>0</v>
      </c>
      <c r="AY123" s="663">
        <f t="shared" si="616"/>
        <v>0</v>
      </c>
      <c r="AZ123" s="660">
        <f t="shared" si="636"/>
        <v>0</v>
      </c>
      <c r="BA123" s="521"/>
      <c r="BB123" s="660">
        <f t="shared" si="590"/>
        <v>0</v>
      </c>
      <c r="BC123" s="660">
        <f t="shared" ref="BC123" si="645">$AZ123*c_Residual.Share_GP</f>
        <v>0</v>
      </c>
      <c r="BD123" s="651"/>
      <c r="BE123" s="660">
        <f t="shared" si="618"/>
        <v>0</v>
      </c>
      <c r="BF123" s="660">
        <f t="shared" si="618"/>
        <v>0</v>
      </c>
      <c r="BG123" s="660">
        <f t="shared" si="592"/>
        <v>0</v>
      </c>
      <c r="BI123" s="660">
        <v>0</v>
      </c>
      <c r="BJ123" s="660">
        <v>0</v>
      </c>
      <c r="BK123" s="660">
        <v>0</v>
      </c>
      <c r="BL123" s="660">
        <f t="shared" si="619"/>
        <v>0</v>
      </c>
      <c r="BM123" s="660">
        <f t="shared" si="619"/>
        <v>0</v>
      </c>
      <c r="BN123" s="660">
        <f t="shared" si="620"/>
        <v>0</v>
      </c>
      <c r="BO123" s="660">
        <f t="shared" si="620"/>
        <v>0</v>
      </c>
      <c r="BP123" s="660">
        <f t="shared" si="621"/>
        <v>0</v>
      </c>
      <c r="BQ123" s="660">
        <f t="shared" si="621"/>
        <v>0</v>
      </c>
      <c r="BR123" s="660">
        <v>0</v>
      </c>
      <c r="BS123" s="660">
        <v>0</v>
      </c>
      <c r="BT123" s="660">
        <f t="shared" si="593"/>
        <v>0</v>
      </c>
      <c r="BU123" s="660">
        <f t="shared" si="593"/>
        <v>0</v>
      </c>
      <c r="BX123" s="660">
        <v>0</v>
      </c>
      <c r="BY123" s="660">
        <f t="shared" si="622"/>
        <v>0</v>
      </c>
      <c r="BZ123" s="660">
        <f t="shared" si="594"/>
        <v>0</v>
      </c>
      <c r="CA123" s="660">
        <f t="shared" si="595"/>
        <v>0</v>
      </c>
      <c r="CB123" s="660">
        <f t="shared" si="596"/>
        <v>0</v>
      </c>
      <c r="CC123" s="660">
        <f t="shared" si="597"/>
        <v>0</v>
      </c>
      <c r="CD123" s="660">
        <f t="shared" si="623"/>
        <v>0</v>
      </c>
    </row>
    <row r="124" spans="4:82" ht="16" thickTop="1" thickBot="1">
      <c r="D124" s="653">
        <v>68</v>
      </c>
      <c r="E124" s="654">
        <v>47756</v>
      </c>
      <c r="F124" s="655">
        <f t="shared" si="598"/>
        <v>6</v>
      </c>
      <c r="G124" s="656"/>
      <c r="I124" s="658">
        <f t="shared" si="599"/>
        <v>0</v>
      </c>
      <c r="J124" s="658">
        <f t="shared" ref="J124" si="646">IF($G124=0,0,-MIN(0,G124*c_EquityShare.LP))</f>
        <v>0</v>
      </c>
      <c r="K124" s="658">
        <f t="shared" ref="K124" si="647">I124*c_Rate.Pref_MO</f>
        <v>0</v>
      </c>
      <c r="L124" s="658">
        <f t="shared" si="573"/>
        <v>0</v>
      </c>
      <c r="M124" s="658">
        <f t="shared" si="602"/>
        <v>0</v>
      </c>
      <c r="N124" s="658">
        <f t="shared" si="626"/>
        <v>0</v>
      </c>
      <c r="O124" s="658" cm="1">
        <f t="array" ref="O124">IF(I124=0,0,IF(G124&lt;0,N124/c_EquityShare.LP*i_EquityShare.GP,L124/c_EquityShare.LP*i_EquityShare.GP))</f>
        <v>0</v>
      </c>
      <c r="P124" s="658">
        <f t="shared" si="603"/>
        <v>0</v>
      </c>
      <c r="Q124" s="658">
        <f t="shared" si="574"/>
        <v>0</v>
      </c>
      <c r="R124" s="521"/>
      <c r="S124" s="660">
        <f t="shared" si="604"/>
        <v>0</v>
      </c>
      <c r="T124" s="663" cm="1">
        <f t="array" ref="T124">IF($G124=0,0,-MIN(0,$G124*c_EquityShare.LP))</f>
        <v>0</v>
      </c>
      <c r="U124" s="663" cm="1">
        <f t="array" ref="U124">IF($D124=0,0,S124*c_Rate.Hurdle1.MO)</f>
        <v>0</v>
      </c>
      <c r="V124" s="660">
        <f t="shared" si="627"/>
        <v>0</v>
      </c>
      <c r="W124" s="660">
        <f t="shared" si="575"/>
        <v>0</v>
      </c>
      <c r="X124" s="663">
        <f t="shared" si="628"/>
        <v>0</v>
      </c>
      <c r="Y124" s="663">
        <f t="shared" si="605"/>
        <v>0</v>
      </c>
      <c r="Z124" s="663">
        <f t="shared" ref="Z124" si="648">IF(S124=0,0,O124+W124/$J$17*c_Hurdle1.Share_GP)</f>
        <v>0</v>
      </c>
      <c r="AA124" s="663">
        <f t="shared" si="577"/>
        <v>0</v>
      </c>
      <c r="AB124" s="660">
        <f t="shared" si="630"/>
        <v>0</v>
      </c>
      <c r="AC124" s="521"/>
      <c r="AD124" s="663">
        <f t="shared" si="607"/>
        <v>0</v>
      </c>
      <c r="AE124" s="663">
        <f t="shared" ref="AE124" si="649">IF($G124=0,0,-MIN(0,$G124*c_EquityShare.LP))</f>
        <v>0</v>
      </c>
      <c r="AF124" s="663" cm="1">
        <f t="array" ref="AF124">IF($D124=0,0,AD124*(c_Rate.Hurdle2.MO))</f>
        <v>0</v>
      </c>
      <c r="AG124" s="663">
        <f t="shared" si="579"/>
        <v>0</v>
      </c>
      <c r="AH124" s="663">
        <f t="shared" si="609"/>
        <v>0</v>
      </c>
      <c r="AI124" s="663">
        <f t="shared" si="580"/>
        <v>0</v>
      </c>
      <c r="AJ124" s="664">
        <f t="shared" si="581"/>
        <v>0</v>
      </c>
      <c r="AK124" s="660">
        <f t="shared" si="582"/>
        <v>0</v>
      </c>
      <c r="AL124" s="663">
        <f t="shared" ref="AL124" si="650">IF(AD124=0,0,Z124+AH124/$J$18*c_Hurdle2.Share_GP)</f>
        <v>0</v>
      </c>
      <c r="AM124" s="663">
        <f t="shared" si="584"/>
        <v>0</v>
      </c>
      <c r="AN124" s="660">
        <f t="shared" si="633"/>
        <v>0</v>
      </c>
      <c r="AO124" s="521"/>
      <c r="AP124" s="663">
        <f t="shared" si="611"/>
        <v>0</v>
      </c>
      <c r="AQ124" s="663">
        <f t="shared" ref="AQ124" si="651">IF($G124=0,0,-MIN(0,$G124*c_EquityShare.LP))</f>
        <v>0</v>
      </c>
      <c r="AR124" s="663" cm="1">
        <f t="array" ref="AR124">IF($D124=0,0,AP124*(c_Rate.Hurdle3.MO))</f>
        <v>0</v>
      </c>
      <c r="AS124" s="663">
        <f t="shared" si="586"/>
        <v>0</v>
      </c>
      <c r="AT124" s="663">
        <f t="shared" si="613"/>
        <v>0</v>
      </c>
      <c r="AU124" s="663">
        <f t="shared" si="587"/>
        <v>0</v>
      </c>
      <c r="AV124" s="664">
        <f t="shared" si="588"/>
        <v>0</v>
      </c>
      <c r="AW124" s="660">
        <f t="shared" si="614"/>
        <v>0</v>
      </c>
      <c r="AX124" s="663">
        <f t="shared" ref="AX124" si="652">IF(AP124=0,0,AL124+AT124/$J$19*c_Hurdle3.Share_GP)</f>
        <v>0</v>
      </c>
      <c r="AY124" s="663">
        <f t="shared" si="616"/>
        <v>0</v>
      </c>
      <c r="AZ124" s="660">
        <f t="shared" si="636"/>
        <v>0</v>
      </c>
      <c r="BA124" s="521"/>
      <c r="BB124" s="660">
        <f t="shared" si="590"/>
        <v>0</v>
      </c>
      <c r="BC124" s="660">
        <f t="shared" ref="BC124" si="653">$AZ124*c_Residual.Share_GP</f>
        <v>0</v>
      </c>
      <c r="BD124" s="651"/>
      <c r="BE124" s="660">
        <f t="shared" si="618"/>
        <v>0</v>
      </c>
      <c r="BF124" s="660">
        <f t="shared" si="618"/>
        <v>0</v>
      </c>
      <c r="BG124" s="660">
        <f t="shared" si="592"/>
        <v>0</v>
      </c>
      <c r="BI124" s="660">
        <v>0</v>
      </c>
      <c r="BJ124" s="660">
        <v>0</v>
      </c>
      <c r="BK124" s="660">
        <v>0</v>
      </c>
      <c r="BL124" s="660">
        <f t="shared" si="619"/>
        <v>0</v>
      </c>
      <c r="BM124" s="660">
        <f t="shared" si="619"/>
        <v>0</v>
      </c>
      <c r="BN124" s="660">
        <f t="shared" si="620"/>
        <v>0</v>
      </c>
      <c r="BO124" s="660">
        <f t="shared" si="620"/>
        <v>0</v>
      </c>
      <c r="BP124" s="660">
        <f t="shared" si="621"/>
        <v>0</v>
      </c>
      <c r="BQ124" s="660">
        <f t="shared" si="621"/>
        <v>0</v>
      </c>
      <c r="BR124" s="660">
        <v>0</v>
      </c>
      <c r="BS124" s="660">
        <v>0</v>
      </c>
      <c r="BT124" s="660">
        <f t="shared" si="593"/>
        <v>0</v>
      </c>
      <c r="BU124" s="660">
        <f t="shared" si="593"/>
        <v>0</v>
      </c>
      <c r="BX124" s="660">
        <v>0</v>
      </c>
      <c r="BY124" s="660">
        <f t="shared" si="622"/>
        <v>0</v>
      </c>
      <c r="BZ124" s="660">
        <f t="shared" si="594"/>
        <v>0</v>
      </c>
      <c r="CA124" s="660">
        <f t="shared" si="595"/>
        <v>0</v>
      </c>
      <c r="CB124" s="660">
        <f t="shared" si="596"/>
        <v>0</v>
      </c>
      <c r="CC124" s="660">
        <f t="shared" si="597"/>
        <v>0</v>
      </c>
      <c r="CD124" s="660">
        <f t="shared" si="623"/>
        <v>0</v>
      </c>
    </row>
    <row r="125" spans="4:82" ht="16" thickTop="1" thickBot="1">
      <c r="D125" s="653">
        <v>69</v>
      </c>
      <c r="E125" s="654">
        <v>47787</v>
      </c>
      <c r="F125" s="655">
        <f t="shared" si="598"/>
        <v>6</v>
      </c>
      <c r="G125" s="656"/>
      <c r="I125" s="658">
        <f t="shared" si="599"/>
        <v>0</v>
      </c>
      <c r="J125" s="658">
        <f t="shared" ref="J125" si="654">IF($G125=0,0,-MIN(0,G125*c_EquityShare.LP))</f>
        <v>0</v>
      </c>
      <c r="K125" s="658">
        <f t="shared" ref="K125" si="655">I125*c_Rate.Pref_MO</f>
        <v>0</v>
      </c>
      <c r="L125" s="658">
        <f t="shared" si="573"/>
        <v>0</v>
      </c>
      <c r="M125" s="658">
        <f t="shared" si="602"/>
        <v>0</v>
      </c>
      <c r="N125" s="658">
        <f t="shared" si="626"/>
        <v>0</v>
      </c>
      <c r="O125" s="658" cm="1">
        <f t="array" ref="O125">IF(I125=0,0,IF(G125&lt;0,N125/c_EquityShare.LP*i_EquityShare.GP,L125/c_EquityShare.LP*i_EquityShare.GP))</f>
        <v>0</v>
      </c>
      <c r="P125" s="658">
        <f t="shared" si="603"/>
        <v>0</v>
      </c>
      <c r="Q125" s="658">
        <f t="shared" si="574"/>
        <v>0</v>
      </c>
      <c r="R125" s="521"/>
      <c r="S125" s="660">
        <f t="shared" si="604"/>
        <v>0</v>
      </c>
      <c r="T125" s="663" cm="1">
        <f t="array" ref="T125">IF($G125=0,0,-MIN(0,$G125*c_EquityShare.LP))</f>
        <v>0</v>
      </c>
      <c r="U125" s="663" cm="1">
        <f t="array" ref="U125">IF($D125=0,0,S125*c_Rate.Hurdle1.MO)</f>
        <v>0</v>
      </c>
      <c r="V125" s="660">
        <f t="shared" si="627"/>
        <v>0</v>
      </c>
      <c r="W125" s="660">
        <f t="shared" si="575"/>
        <v>0</v>
      </c>
      <c r="X125" s="663">
        <f t="shared" si="628"/>
        <v>0</v>
      </c>
      <c r="Y125" s="663">
        <f t="shared" si="605"/>
        <v>0</v>
      </c>
      <c r="Z125" s="663">
        <f t="shared" ref="Z125" si="656">IF(S125=0,0,O125+W125/$J$17*c_Hurdle1.Share_GP)</f>
        <v>0</v>
      </c>
      <c r="AA125" s="663">
        <f t="shared" si="577"/>
        <v>0</v>
      </c>
      <c r="AB125" s="660">
        <f t="shared" si="630"/>
        <v>0</v>
      </c>
      <c r="AC125" s="521"/>
      <c r="AD125" s="663">
        <f t="shared" si="607"/>
        <v>0</v>
      </c>
      <c r="AE125" s="663">
        <f t="shared" ref="AE125" si="657">IF($G125=0,0,-MIN(0,$G125*c_EquityShare.LP))</f>
        <v>0</v>
      </c>
      <c r="AF125" s="663" cm="1">
        <f t="array" ref="AF125">IF($D125=0,0,AD125*(c_Rate.Hurdle2.MO))</f>
        <v>0</v>
      </c>
      <c r="AG125" s="663">
        <f t="shared" si="579"/>
        <v>0</v>
      </c>
      <c r="AH125" s="663">
        <f t="shared" si="609"/>
        <v>0</v>
      </c>
      <c r="AI125" s="663">
        <f t="shared" si="580"/>
        <v>0</v>
      </c>
      <c r="AJ125" s="664">
        <f t="shared" si="581"/>
        <v>0</v>
      </c>
      <c r="AK125" s="660">
        <f t="shared" si="582"/>
        <v>0</v>
      </c>
      <c r="AL125" s="663">
        <f t="shared" ref="AL125" si="658">IF(AD125=0,0,Z125+AH125/$J$18*c_Hurdle2.Share_GP)</f>
        <v>0</v>
      </c>
      <c r="AM125" s="663">
        <f t="shared" si="584"/>
        <v>0</v>
      </c>
      <c r="AN125" s="660">
        <f t="shared" si="633"/>
        <v>0</v>
      </c>
      <c r="AO125" s="521"/>
      <c r="AP125" s="663">
        <f t="shared" si="611"/>
        <v>0</v>
      </c>
      <c r="AQ125" s="663">
        <f t="shared" ref="AQ125" si="659">IF($G125=0,0,-MIN(0,$G125*c_EquityShare.LP))</f>
        <v>0</v>
      </c>
      <c r="AR125" s="663" cm="1">
        <f t="array" ref="AR125">IF($D125=0,0,AP125*(c_Rate.Hurdle3.MO))</f>
        <v>0</v>
      </c>
      <c r="AS125" s="663">
        <f t="shared" si="586"/>
        <v>0</v>
      </c>
      <c r="AT125" s="663">
        <f t="shared" si="613"/>
        <v>0</v>
      </c>
      <c r="AU125" s="663">
        <f t="shared" si="587"/>
        <v>0</v>
      </c>
      <c r="AV125" s="664">
        <f t="shared" si="588"/>
        <v>0</v>
      </c>
      <c r="AW125" s="660">
        <f t="shared" si="614"/>
        <v>0</v>
      </c>
      <c r="AX125" s="663">
        <f t="shared" ref="AX125" si="660">IF(AP125=0,0,AL125+AT125/$J$19*c_Hurdle3.Share_GP)</f>
        <v>0</v>
      </c>
      <c r="AY125" s="663">
        <f t="shared" si="616"/>
        <v>0</v>
      </c>
      <c r="AZ125" s="660">
        <f t="shared" si="636"/>
        <v>0</v>
      </c>
      <c r="BA125" s="521"/>
      <c r="BB125" s="660">
        <f t="shared" si="590"/>
        <v>0</v>
      </c>
      <c r="BC125" s="660">
        <f t="shared" ref="BC125" si="661">$AZ125*c_Residual.Share_GP</f>
        <v>0</v>
      </c>
      <c r="BD125" s="651"/>
      <c r="BE125" s="660">
        <f t="shared" si="618"/>
        <v>0</v>
      </c>
      <c r="BF125" s="660">
        <f t="shared" si="618"/>
        <v>0</v>
      </c>
      <c r="BG125" s="660">
        <f t="shared" si="592"/>
        <v>0</v>
      </c>
      <c r="BI125" s="660">
        <v>0</v>
      </c>
      <c r="BJ125" s="660">
        <v>0</v>
      </c>
      <c r="BK125" s="660">
        <v>0</v>
      </c>
      <c r="BL125" s="660">
        <f t="shared" si="619"/>
        <v>0</v>
      </c>
      <c r="BM125" s="660">
        <f t="shared" si="619"/>
        <v>0</v>
      </c>
      <c r="BN125" s="660">
        <f t="shared" si="620"/>
        <v>0</v>
      </c>
      <c r="BO125" s="660">
        <f t="shared" si="620"/>
        <v>0</v>
      </c>
      <c r="BP125" s="660">
        <f t="shared" si="621"/>
        <v>0</v>
      </c>
      <c r="BQ125" s="660">
        <f t="shared" si="621"/>
        <v>0</v>
      </c>
      <c r="BR125" s="660">
        <v>0</v>
      </c>
      <c r="BS125" s="660">
        <v>0</v>
      </c>
      <c r="BT125" s="660">
        <f t="shared" si="593"/>
        <v>0</v>
      </c>
      <c r="BU125" s="660">
        <f t="shared" si="593"/>
        <v>0</v>
      </c>
      <c r="BX125" s="660">
        <v>0</v>
      </c>
      <c r="BY125" s="660">
        <f t="shared" si="622"/>
        <v>0</v>
      </c>
      <c r="BZ125" s="660">
        <f t="shared" si="594"/>
        <v>0</v>
      </c>
      <c r="CA125" s="660">
        <f t="shared" si="595"/>
        <v>0</v>
      </c>
      <c r="CB125" s="660">
        <f t="shared" si="596"/>
        <v>0</v>
      </c>
      <c r="CC125" s="660">
        <f t="shared" si="597"/>
        <v>0</v>
      </c>
      <c r="CD125" s="660">
        <f t="shared" si="623"/>
        <v>0</v>
      </c>
    </row>
    <row r="126" spans="4:82" ht="16" thickTop="1" thickBot="1">
      <c r="D126" s="653">
        <v>70</v>
      </c>
      <c r="E126" s="654">
        <v>47817</v>
      </c>
      <c r="F126" s="655">
        <f t="shared" si="598"/>
        <v>6</v>
      </c>
      <c r="G126" s="656"/>
      <c r="I126" s="658">
        <f t="shared" si="599"/>
        <v>0</v>
      </c>
      <c r="J126" s="658">
        <f t="shared" ref="J126" si="662">IF($G126=0,0,-MIN(0,G126*c_EquityShare.LP))</f>
        <v>0</v>
      </c>
      <c r="K126" s="658">
        <f t="shared" ref="K126" si="663">I126*c_Rate.Pref_MO</f>
        <v>0</v>
      </c>
      <c r="L126" s="658">
        <f t="shared" si="573"/>
        <v>0</v>
      </c>
      <c r="M126" s="658">
        <f t="shared" si="602"/>
        <v>0</v>
      </c>
      <c r="N126" s="658">
        <f t="shared" si="626"/>
        <v>0</v>
      </c>
      <c r="O126" s="658" cm="1">
        <f t="array" ref="O126">IF(I126=0,0,IF(G126&lt;0,N126/c_EquityShare.LP*i_EquityShare.GP,L126/c_EquityShare.LP*i_EquityShare.GP))</f>
        <v>0</v>
      </c>
      <c r="P126" s="658">
        <f t="shared" si="603"/>
        <v>0</v>
      </c>
      <c r="Q126" s="658">
        <f t="shared" si="574"/>
        <v>0</v>
      </c>
      <c r="R126" s="521"/>
      <c r="S126" s="660">
        <f t="shared" si="604"/>
        <v>0</v>
      </c>
      <c r="T126" s="663" cm="1">
        <f t="array" ref="T126">IF($G126=0,0,-MIN(0,$G126*c_EquityShare.LP))</f>
        <v>0</v>
      </c>
      <c r="U126" s="663" cm="1">
        <f t="array" ref="U126">IF($D126=0,0,S126*c_Rate.Hurdle1.MO)</f>
        <v>0</v>
      </c>
      <c r="V126" s="660">
        <f t="shared" si="627"/>
        <v>0</v>
      </c>
      <c r="W126" s="660">
        <f t="shared" si="575"/>
        <v>0</v>
      </c>
      <c r="X126" s="663">
        <f t="shared" si="628"/>
        <v>0</v>
      </c>
      <c r="Y126" s="663">
        <f t="shared" si="605"/>
        <v>0</v>
      </c>
      <c r="Z126" s="663">
        <f t="shared" ref="Z126" si="664">IF(S126=0,0,O126+W126/$J$17*c_Hurdle1.Share_GP)</f>
        <v>0</v>
      </c>
      <c r="AA126" s="663">
        <f t="shared" si="577"/>
        <v>0</v>
      </c>
      <c r="AB126" s="660">
        <f t="shared" si="630"/>
        <v>0</v>
      </c>
      <c r="AC126" s="521"/>
      <c r="AD126" s="663">
        <f t="shared" si="607"/>
        <v>0</v>
      </c>
      <c r="AE126" s="663">
        <f t="shared" ref="AE126" si="665">IF($G126=0,0,-MIN(0,$G126*c_EquityShare.LP))</f>
        <v>0</v>
      </c>
      <c r="AF126" s="663" cm="1">
        <f t="array" ref="AF126">IF($D126=0,0,AD126*(c_Rate.Hurdle2.MO))</f>
        <v>0</v>
      </c>
      <c r="AG126" s="663">
        <f t="shared" si="579"/>
        <v>0</v>
      </c>
      <c r="AH126" s="663">
        <f t="shared" si="609"/>
        <v>0</v>
      </c>
      <c r="AI126" s="663">
        <f t="shared" si="580"/>
        <v>0</v>
      </c>
      <c r="AJ126" s="664">
        <f t="shared" si="581"/>
        <v>0</v>
      </c>
      <c r="AK126" s="660">
        <f t="shared" si="582"/>
        <v>0</v>
      </c>
      <c r="AL126" s="663">
        <f t="shared" ref="AL126" si="666">IF(AD126=0,0,Z126+AH126/$J$18*c_Hurdle2.Share_GP)</f>
        <v>0</v>
      </c>
      <c r="AM126" s="663">
        <f t="shared" si="584"/>
        <v>0</v>
      </c>
      <c r="AN126" s="660">
        <f t="shared" si="633"/>
        <v>0</v>
      </c>
      <c r="AO126" s="521"/>
      <c r="AP126" s="663">
        <f t="shared" si="611"/>
        <v>0</v>
      </c>
      <c r="AQ126" s="663">
        <f t="shared" ref="AQ126" si="667">IF($G126=0,0,-MIN(0,$G126*c_EquityShare.LP))</f>
        <v>0</v>
      </c>
      <c r="AR126" s="663" cm="1">
        <f t="array" ref="AR126">IF($D126=0,0,AP126*(c_Rate.Hurdle3.MO))</f>
        <v>0</v>
      </c>
      <c r="AS126" s="663">
        <f t="shared" si="586"/>
        <v>0</v>
      </c>
      <c r="AT126" s="663">
        <f t="shared" si="613"/>
        <v>0</v>
      </c>
      <c r="AU126" s="663">
        <f t="shared" si="587"/>
        <v>0</v>
      </c>
      <c r="AV126" s="664">
        <f t="shared" si="588"/>
        <v>0</v>
      </c>
      <c r="AW126" s="660">
        <f t="shared" si="614"/>
        <v>0</v>
      </c>
      <c r="AX126" s="663">
        <f t="shared" ref="AX126" si="668">IF(AP126=0,0,AL126+AT126/$J$19*c_Hurdle3.Share_GP)</f>
        <v>0</v>
      </c>
      <c r="AY126" s="663">
        <f t="shared" si="616"/>
        <v>0</v>
      </c>
      <c r="AZ126" s="660">
        <f t="shared" si="636"/>
        <v>0</v>
      </c>
      <c r="BA126" s="521"/>
      <c r="BB126" s="660">
        <f t="shared" si="590"/>
        <v>0</v>
      </c>
      <c r="BC126" s="660">
        <f t="shared" ref="BC126" si="669">$AZ126*c_Residual.Share_GP</f>
        <v>0</v>
      </c>
      <c r="BD126" s="651"/>
      <c r="BE126" s="660">
        <f t="shared" si="618"/>
        <v>0</v>
      </c>
      <c r="BF126" s="660">
        <f t="shared" si="618"/>
        <v>0</v>
      </c>
      <c r="BG126" s="660">
        <f t="shared" si="592"/>
        <v>0</v>
      </c>
      <c r="BI126" s="660">
        <v>0</v>
      </c>
      <c r="BJ126" s="660">
        <v>0</v>
      </c>
      <c r="BK126" s="660">
        <v>0</v>
      </c>
      <c r="BL126" s="660">
        <f t="shared" si="619"/>
        <v>0</v>
      </c>
      <c r="BM126" s="660">
        <f t="shared" si="619"/>
        <v>0</v>
      </c>
      <c r="BN126" s="660">
        <f t="shared" si="620"/>
        <v>0</v>
      </c>
      <c r="BO126" s="660">
        <f t="shared" si="620"/>
        <v>0</v>
      </c>
      <c r="BP126" s="660">
        <f t="shared" si="621"/>
        <v>0</v>
      </c>
      <c r="BQ126" s="660">
        <f t="shared" si="621"/>
        <v>0</v>
      </c>
      <c r="BR126" s="660">
        <v>0</v>
      </c>
      <c r="BS126" s="660">
        <v>0</v>
      </c>
      <c r="BT126" s="660">
        <f t="shared" si="593"/>
        <v>0</v>
      </c>
      <c r="BU126" s="660">
        <f t="shared" si="593"/>
        <v>0</v>
      </c>
      <c r="BX126" s="660">
        <v>0</v>
      </c>
      <c r="BY126" s="660">
        <f t="shared" si="622"/>
        <v>0</v>
      </c>
      <c r="BZ126" s="660">
        <f t="shared" si="594"/>
        <v>0</v>
      </c>
      <c r="CA126" s="660">
        <f t="shared" si="595"/>
        <v>0</v>
      </c>
      <c r="CB126" s="660">
        <f t="shared" si="596"/>
        <v>0</v>
      </c>
      <c r="CC126" s="660">
        <f t="shared" si="597"/>
        <v>0</v>
      </c>
      <c r="CD126" s="660">
        <f t="shared" si="623"/>
        <v>0</v>
      </c>
    </row>
    <row r="127" spans="4:82" ht="16" thickTop="1" thickBot="1">
      <c r="D127" s="653">
        <v>71</v>
      </c>
      <c r="E127" s="654">
        <v>47848</v>
      </c>
      <c r="F127" s="655">
        <f t="shared" si="598"/>
        <v>6</v>
      </c>
      <c r="G127" s="656"/>
      <c r="I127" s="658">
        <f t="shared" si="599"/>
        <v>0</v>
      </c>
      <c r="J127" s="658">
        <f t="shared" ref="J127" si="670">IF($G127=0,0,-MIN(0,G127*c_EquityShare.LP))</f>
        <v>0</v>
      </c>
      <c r="K127" s="658">
        <f t="shared" ref="K127" si="671">I127*c_Rate.Pref_MO</f>
        <v>0</v>
      </c>
      <c r="L127" s="658">
        <f t="shared" si="573"/>
        <v>0</v>
      </c>
      <c r="M127" s="658">
        <f t="shared" si="602"/>
        <v>0</v>
      </c>
      <c r="N127" s="658">
        <f t="shared" si="626"/>
        <v>0</v>
      </c>
      <c r="O127" s="658" cm="1">
        <f t="array" ref="O127">IF(I127=0,0,IF(G127&lt;0,N127/c_EquityShare.LP*i_EquityShare.GP,L127/c_EquityShare.LP*i_EquityShare.GP))</f>
        <v>0</v>
      </c>
      <c r="P127" s="658">
        <f t="shared" si="603"/>
        <v>0</v>
      </c>
      <c r="Q127" s="658">
        <f t="shared" si="574"/>
        <v>0</v>
      </c>
      <c r="R127" s="521"/>
      <c r="S127" s="660">
        <f t="shared" si="604"/>
        <v>0</v>
      </c>
      <c r="T127" s="663" cm="1">
        <f t="array" ref="T127">IF($G127=0,0,-MIN(0,$G127*c_EquityShare.LP))</f>
        <v>0</v>
      </c>
      <c r="U127" s="663" cm="1">
        <f t="array" ref="U127">IF($D127=0,0,S127*c_Rate.Hurdle1.MO)</f>
        <v>0</v>
      </c>
      <c r="V127" s="660">
        <f t="shared" si="627"/>
        <v>0</v>
      </c>
      <c r="W127" s="660">
        <f t="shared" si="575"/>
        <v>0</v>
      </c>
      <c r="X127" s="663">
        <f t="shared" si="628"/>
        <v>0</v>
      </c>
      <c r="Y127" s="663">
        <f t="shared" si="605"/>
        <v>0</v>
      </c>
      <c r="Z127" s="663">
        <f t="shared" ref="Z127" si="672">IF(S127=0,0,O127+W127/$J$17*c_Hurdle1.Share_GP)</f>
        <v>0</v>
      </c>
      <c r="AA127" s="663">
        <f t="shared" si="577"/>
        <v>0</v>
      </c>
      <c r="AB127" s="660">
        <f t="shared" si="630"/>
        <v>0</v>
      </c>
      <c r="AC127" s="521"/>
      <c r="AD127" s="663">
        <f t="shared" si="607"/>
        <v>0</v>
      </c>
      <c r="AE127" s="663">
        <f t="shared" ref="AE127" si="673">IF($G127=0,0,-MIN(0,$G127*c_EquityShare.LP))</f>
        <v>0</v>
      </c>
      <c r="AF127" s="663" cm="1">
        <f t="array" ref="AF127">IF($D127=0,0,AD127*(c_Rate.Hurdle2.MO))</f>
        <v>0</v>
      </c>
      <c r="AG127" s="663">
        <f t="shared" si="579"/>
        <v>0</v>
      </c>
      <c r="AH127" s="663">
        <f t="shared" si="609"/>
        <v>0</v>
      </c>
      <c r="AI127" s="663">
        <f t="shared" si="580"/>
        <v>0</v>
      </c>
      <c r="AJ127" s="664">
        <f t="shared" si="581"/>
        <v>0</v>
      </c>
      <c r="AK127" s="660">
        <f t="shared" si="582"/>
        <v>0</v>
      </c>
      <c r="AL127" s="663">
        <f t="shared" ref="AL127" si="674">IF(AD127=0,0,Z127+AH127/$J$18*c_Hurdle2.Share_GP)</f>
        <v>0</v>
      </c>
      <c r="AM127" s="663">
        <f t="shared" si="584"/>
        <v>0</v>
      </c>
      <c r="AN127" s="660">
        <f t="shared" si="633"/>
        <v>0</v>
      </c>
      <c r="AO127" s="521"/>
      <c r="AP127" s="663">
        <f t="shared" si="611"/>
        <v>0</v>
      </c>
      <c r="AQ127" s="663">
        <f t="shared" ref="AQ127" si="675">IF($G127=0,0,-MIN(0,$G127*c_EquityShare.LP))</f>
        <v>0</v>
      </c>
      <c r="AR127" s="663" cm="1">
        <f t="array" ref="AR127">IF($D127=0,0,AP127*(c_Rate.Hurdle3.MO))</f>
        <v>0</v>
      </c>
      <c r="AS127" s="663">
        <f t="shared" si="586"/>
        <v>0</v>
      </c>
      <c r="AT127" s="663">
        <f t="shared" si="613"/>
        <v>0</v>
      </c>
      <c r="AU127" s="663">
        <f t="shared" si="587"/>
        <v>0</v>
      </c>
      <c r="AV127" s="664">
        <f t="shared" si="588"/>
        <v>0</v>
      </c>
      <c r="AW127" s="660">
        <f t="shared" si="614"/>
        <v>0</v>
      </c>
      <c r="AX127" s="663">
        <f t="shared" ref="AX127" si="676">IF(AP127=0,0,AL127+AT127/$J$19*c_Hurdle3.Share_GP)</f>
        <v>0</v>
      </c>
      <c r="AY127" s="663">
        <f t="shared" si="616"/>
        <v>0</v>
      </c>
      <c r="AZ127" s="660">
        <f t="shared" si="636"/>
        <v>0</v>
      </c>
      <c r="BA127" s="521"/>
      <c r="BB127" s="660">
        <f t="shared" si="590"/>
        <v>0</v>
      </c>
      <c r="BC127" s="660">
        <f t="shared" ref="BC127" si="677">$AZ127*c_Residual.Share_GP</f>
        <v>0</v>
      </c>
      <c r="BD127" s="651"/>
      <c r="BE127" s="660">
        <f t="shared" si="618"/>
        <v>0</v>
      </c>
      <c r="BF127" s="660">
        <f t="shared" si="618"/>
        <v>0</v>
      </c>
      <c r="BG127" s="660">
        <f t="shared" si="592"/>
        <v>0</v>
      </c>
      <c r="BI127" s="660">
        <v>0</v>
      </c>
      <c r="BJ127" s="660">
        <v>0</v>
      </c>
      <c r="BK127" s="660">
        <v>0</v>
      </c>
      <c r="BL127" s="660">
        <f t="shared" si="619"/>
        <v>0</v>
      </c>
      <c r="BM127" s="660">
        <f t="shared" si="619"/>
        <v>0</v>
      </c>
      <c r="BN127" s="660">
        <f t="shared" si="620"/>
        <v>0</v>
      </c>
      <c r="BO127" s="660">
        <f t="shared" si="620"/>
        <v>0</v>
      </c>
      <c r="BP127" s="660">
        <f t="shared" si="621"/>
        <v>0</v>
      </c>
      <c r="BQ127" s="660">
        <f t="shared" si="621"/>
        <v>0</v>
      </c>
      <c r="BR127" s="660">
        <v>0</v>
      </c>
      <c r="BS127" s="660">
        <v>0</v>
      </c>
      <c r="BT127" s="660">
        <f t="shared" si="593"/>
        <v>0</v>
      </c>
      <c r="BU127" s="660">
        <f t="shared" si="593"/>
        <v>0</v>
      </c>
      <c r="BX127" s="660">
        <v>0</v>
      </c>
      <c r="BY127" s="660">
        <f t="shared" si="622"/>
        <v>0</v>
      </c>
      <c r="BZ127" s="660">
        <f t="shared" si="594"/>
        <v>0</v>
      </c>
      <c r="CA127" s="660">
        <f t="shared" si="595"/>
        <v>0</v>
      </c>
      <c r="CB127" s="660">
        <f t="shared" si="596"/>
        <v>0</v>
      </c>
      <c r="CC127" s="660">
        <f t="shared" si="597"/>
        <v>0</v>
      </c>
      <c r="CD127" s="660">
        <f t="shared" si="623"/>
        <v>0</v>
      </c>
    </row>
    <row r="128" spans="4:82" ht="16" thickTop="1" thickBot="1">
      <c r="D128" s="653">
        <v>72</v>
      </c>
      <c r="E128" s="654">
        <v>47879</v>
      </c>
      <c r="F128" s="655">
        <f t="shared" si="598"/>
        <v>7</v>
      </c>
      <c r="G128" s="656"/>
      <c r="I128" s="658">
        <f t="shared" si="599"/>
        <v>0</v>
      </c>
      <c r="J128" s="658">
        <f t="shared" ref="J128" si="678">IF($G128=0,0,-MIN(0,G128*c_EquityShare.LP))</f>
        <v>0</v>
      </c>
      <c r="K128" s="658">
        <f t="shared" ref="K128" si="679">I128*c_Rate.Pref_MO</f>
        <v>0</v>
      </c>
      <c r="L128" s="658">
        <f t="shared" si="573"/>
        <v>0</v>
      </c>
      <c r="M128" s="658">
        <f t="shared" si="602"/>
        <v>0</v>
      </c>
      <c r="N128" s="658">
        <f t="shared" si="626"/>
        <v>0</v>
      </c>
      <c r="O128" s="658" cm="1">
        <f t="array" ref="O128">IF(I128=0,0,IF(G128&lt;0,N128/c_EquityShare.LP*i_EquityShare.GP,L128/c_EquityShare.LP*i_EquityShare.GP))</f>
        <v>0</v>
      </c>
      <c r="P128" s="658">
        <f t="shared" si="603"/>
        <v>0</v>
      </c>
      <c r="Q128" s="658">
        <f t="shared" si="574"/>
        <v>0</v>
      </c>
      <c r="R128" s="521"/>
      <c r="S128" s="660">
        <f t="shared" si="604"/>
        <v>0</v>
      </c>
      <c r="T128" s="663" cm="1">
        <f t="array" ref="T128">IF($G128=0,0,-MIN(0,$G128*c_EquityShare.LP))</f>
        <v>0</v>
      </c>
      <c r="U128" s="663" cm="1">
        <f t="array" ref="U128">IF($D128=0,0,S128*c_Rate.Hurdle1.MO)</f>
        <v>0</v>
      </c>
      <c r="V128" s="660">
        <f t="shared" si="627"/>
        <v>0</v>
      </c>
      <c r="W128" s="660">
        <f t="shared" si="575"/>
        <v>0</v>
      </c>
      <c r="X128" s="663">
        <f t="shared" si="628"/>
        <v>0</v>
      </c>
      <c r="Y128" s="663">
        <f t="shared" si="605"/>
        <v>0</v>
      </c>
      <c r="Z128" s="663">
        <f t="shared" ref="Z128" si="680">IF(S128=0,0,O128+W128/$J$17*c_Hurdle1.Share_GP)</f>
        <v>0</v>
      </c>
      <c r="AA128" s="663">
        <f t="shared" si="577"/>
        <v>0</v>
      </c>
      <c r="AB128" s="660">
        <f t="shared" si="630"/>
        <v>0</v>
      </c>
      <c r="AC128" s="521"/>
      <c r="AD128" s="663">
        <f t="shared" si="607"/>
        <v>0</v>
      </c>
      <c r="AE128" s="663">
        <f t="shared" ref="AE128" si="681">IF($G128=0,0,-MIN(0,$G128*c_EquityShare.LP))</f>
        <v>0</v>
      </c>
      <c r="AF128" s="663" cm="1">
        <f t="array" ref="AF128">IF($D128=0,0,AD128*(c_Rate.Hurdle2.MO))</f>
        <v>0</v>
      </c>
      <c r="AG128" s="663">
        <f t="shared" si="579"/>
        <v>0</v>
      </c>
      <c r="AH128" s="663">
        <f t="shared" si="609"/>
        <v>0</v>
      </c>
      <c r="AI128" s="663">
        <f t="shared" si="580"/>
        <v>0</v>
      </c>
      <c r="AJ128" s="664">
        <f t="shared" si="581"/>
        <v>0</v>
      </c>
      <c r="AK128" s="660">
        <f t="shared" si="582"/>
        <v>0</v>
      </c>
      <c r="AL128" s="663">
        <f t="shared" ref="AL128" si="682">IF(AD128=0,0,Z128+AH128/$J$18*c_Hurdle2.Share_GP)</f>
        <v>0</v>
      </c>
      <c r="AM128" s="663">
        <f t="shared" si="584"/>
        <v>0</v>
      </c>
      <c r="AN128" s="660">
        <f t="shared" si="633"/>
        <v>0</v>
      </c>
      <c r="AO128" s="521"/>
      <c r="AP128" s="663">
        <f t="shared" si="611"/>
        <v>0</v>
      </c>
      <c r="AQ128" s="663">
        <f t="shared" ref="AQ128" si="683">IF($G128=0,0,-MIN(0,$G128*c_EquityShare.LP))</f>
        <v>0</v>
      </c>
      <c r="AR128" s="663" cm="1">
        <f t="array" ref="AR128">IF($D128=0,0,AP128*(c_Rate.Hurdle3.MO))</f>
        <v>0</v>
      </c>
      <c r="AS128" s="663">
        <f t="shared" si="586"/>
        <v>0</v>
      </c>
      <c r="AT128" s="663">
        <f t="shared" si="613"/>
        <v>0</v>
      </c>
      <c r="AU128" s="663">
        <f t="shared" si="587"/>
        <v>0</v>
      </c>
      <c r="AV128" s="664">
        <f t="shared" si="588"/>
        <v>0</v>
      </c>
      <c r="AW128" s="660">
        <f t="shared" si="614"/>
        <v>0</v>
      </c>
      <c r="AX128" s="663">
        <f t="shared" ref="AX128" si="684">IF(AP128=0,0,AL128+AT128/$J$19*c_Hurdle3.Share_GP)</f>
        <v>0</v>
      </c>
      <c r="AY128" s="663">
        <f t="shared" si="616"/>
        <v>0</v>
      </c>
      <c r="AZ128" s="660">
        <f t="shared" si="636"/>
        <v>0</v>
      </c>
      <c r="BA128" s="521"/>
      <c r="BB128" s="660">
        <f t="shared" si="590"/>
        <v>0</v>
      </c>
      <c r="BC128" s="660">
        <f t="shared" ref="BC128" si="685">$AZ128*c_Residual.Share_GP</f>
        <v>0</v>
      </c>
      <c r="BD128" s="651"/>
      <c r="BE128" s="660">
        <f t="shared" si="618"/>
        <v>0</v>
      </c>
      <c r="BF128" s="660">
        <f t="shared" si="618"/>
        <v>0</v>
      </c>
      <c r="BG128" s="660">
        <f t="shared" si="592"/>
        <v>0</v>
      </c>
      <c r="BI128" s="660">
        <v>0</v>
      </c>
      <c r="BJ128" s="660">
        <v>0</v>
      </c>
      <c r="BK128" s="660">
        <v>0</v>
      </c>
      <c r="BL128" s="660">
        <f t="shared" si="619"/>
        <v>0</v>
      </c>
      <c r="BM128" s="660">
        <f t="shared" si="619"/>
        <v>0</v>
      </c>
      <c r="BN128" s="660">
        <f t="shared" si="620"/>
        <v>0</v>
      </c>
      <c r="BO128" s="660">
        <f t="shared" si="620"/>
        <v>0</v>
      </c>
      <c r="BP128" s="660">
        <f t="shared" si="621"/>
        <v>0</v>
      </c>
      <c r="BQ128" s="660">
        <f t="shared" si="621"/>
        <v>0</v>
      </c>
      <c r="BR128" s="660">
        <v>0</v>
      </c>
      <c r="BS128" s="660">
        <v>0</v>
      </c>
      <c r="BT128" s="660">
        <f t="shared" si="593"/>
        <v>0</v>
      </c>
      <c r="BU128" s="660">
        <f t="shared" si="593"/>
        <v>0</v>
      </c>
      <c r="BX128" s="660">
        <v>0</v>
      </c>
      <c r="BY128" s="660">
        <f t="shared" si="622"/>
        <v>0</v>
      </c>
      <c r="BZ128" s="660">
        <f t="shared" si="594"/>
        <v>0</v>
      </c>
      <c r="CA128" s="660">
        <f t="shared" si="595"/>
        <v>0</v>
      </c>
      <c r="CB128" s="660">
        <f t="shared" si="596"/>
        <v>0</v>
      </c>
      <c r="CC128" s="660">
        <f t="shared" si="597"/>
        <v>0</v>
      </c>
      <c r="CD128" s="660">
        <f t="shared" si="623"/>
        <v>0</v>
      </c>
    </row>
    <row r="129" spans="4:82" ht="16" thickTop="1" thickBot="1">
      <c r="D129" s="653"/>
      <c r="E129" s="654"/>
      <c r="F129" s="655" t="str">
        <f t="shared" si="598"/>
        <v/>
      </c>
      <c r="G129" s="656"/>
      <c r="I129" s="658">
        <f t="shared" si="599"/>
        <v>0</v>
      </c>
      <c r="J129" s="658">
        <f t="shared" ref="J129" si="686">IF($G129=0,0,-MIN(0,G129*c_EquityShare.LP))</f>
        <v>0</v>
      </c>
      <c r="K129" s="658">
        <f t="shared" ref="K129" si="687">I129*c_Rate.Pref_MO</f>
        <v>0</v>
      </c>
      <c r="L129" s="658">
        <f t="shared" si="573"/>
        <v>0</v>
      </c>
      <c r="M129" s="658">
        <f t="shared" si="602"/>
        <v>0</v>
      </c>
      <c r="N129" s="658">
        <f t="shared" si="626"/>
        <v>0</v>
      </c>
      <c r="O129" s="658" cm="1">
        <f t="array" ref="O129">IF(I129=0,0,IF(G129&lt;0,N129/c_EquityShare.LP*i_EquityShare.GP,L129/c_EquityShare.LP*i_EquityShare.GP))</f>
        <v>0</v>
      </c>
      <c r="P129" s="658">
        <f t="shared" si="603"/>
        <v>0</v>
      </c>
      <c r="Q129" s="658">
        <f t="shared" si="574"/>
        <v>0</v>
      </c>
      <c r="R129" s="521"/>
      <c r="S129" s="660">
        <f t="shared" si="604"/>
        <v>0</v>
      </c>
      <c r="T129" s="663" cm="1">
        <f t="array" ref="T129">IF($G129=0,0,-MIN(0,$G129*c_EquityShare.LP))</f>
        <v>0</v>
      </c>
      <c r="U129" s="663" cm="1">
        <f t="array" ref="U129">IF($D129=0,0,S129*c_Rate.Hurdle1.MO)</f>
        <v>0</v>
      </c>
      <c r="V129" s="660">
        <f t="shared" si="627"/>
        <v>0</v>
      </c>
      <c r="W129" s="660">
        <f t="shared" si="575"/>
        <v>0</v>
      </c>
      <c r="X129" s="663">
        <f t="shared" si="628"/>
        <v>0</v>
      </c>
      <c r="Y129" s="663">
        <f t="shared" si="605"/>
        <v>0</v>
      </c>
      <c r="Z129" s="663">
        <f t="shared" ref="Z129" si="688">IF(S129=0,0,O129+W129/$J$17*c_Hurdle1.Share_GP)</f>
        <v>0</v>
      </c>
      <c r="AA129" s="663">
        <f t="shared" si="577"/>
        <v>0</v>
      </c>
      <c r="AB129" s="660">
        <f t="shared" si="630"/>
        <v>0</v>
      </c>
      <c r="AC129" s="521"/>
      <c r="AD129" s="663">
        <f t="shared" si="607"/>
        <v>0</v>
      </c>
      <c r="AE129" s="663">
        <f t="shared" ref="AE129" si="689">IF($G129=0,0,-MIN(0,$G129*c_EquityShare.LP))</f>
        <v>0</v>
      </c>
      <c r="AF129" s="663" cm="1">
        <f t="array" ref="AF129">IF($D129=0,0,AD129*(c_Rate.Hurdle2.MO))</f>
        <v>0</v>
      </c>
      <c r="AG129" s="663">
        <f t="shared" si="579"/>
        <v>0</v>
      </c>
      <c r="AH129" s="663">
        <f t="shared" si="609"/>
        <v>0</v>
      </c>
      <c r="AI129" s="663">
        <f t="shared" si="580"/>
        <v>0</v>
      </c>
      <c r="AJ129" s="664">
        <f t="shared" si="581"/>
        <v>0</v>
      </c>
      <c r="AK129" s="660">
        <f t="shared" si="582"/>
        <v>0</v>
      </c>
      <c r="AL129" s="663">
        <f t="shared" ref="AL129" si="690">IF(AD129=0,0,Z129+AH129/$J$18*c_Hurdle2.Share_GP)</f>
        <v>0</v>
      </c>
      <c r="AM129" s="663">
        <f t="shared" si="584"/>
        <v>0</v>
      </c>
      <c r="AN129" s="660">
        <f t="shared" si="633"/>
        <v>0</v>
      </c>
      <c r="AO129" s="521"/>
      <c r="AP129" s="663">
        <f t="shared" si="611"/>
        <v>0</v>
      </c>
      <c r="AQ129" s="663">
        <f t="shared" ref="AQ129" si="691">IF($G129=0,0,-MIN(0,$G129*c_EquityShare.LP))</f>
        <v>0</v>
      </c>
      <c r="AR129" s="663" cm="1">
        <f t="array" ref="AR129">IF($D129=0,0,AP129*(c_Rate.Hurdle3.MO))</f>
        <v>0</v>
      </c>
      <c r="AS129" s="663">
        <f t="shared" si="586"/>
        <v>0</v>
      </c>
      <c r="AT129" s="663">
        <f t="shared" si="613"/>
        <v>0</v>
      </c>
      <c r="AU129" s="663">
        <f t="shared" si="587"/>
        <v>0</v>
      </c>
      <c r="AV129" s="664">
        <f t="shared" si="588"/>
        <v>0</v>
      </c>
      <c r="AW129" s="660">
        <f t="shared" si="614"/>
        <v>0</v>
      </c>
      <c r="AX129" s="663">
        <f t="shared" ref="AX129" si="692">IF(AP129=0,0,AL129+AT129/$J$19*c_Hurdle3.Share_GP)</f>
        <v>0</v>
      </c>
      <c r="AY129" s="663">
        <f t="shared" si="616"/>
        <v>0</v>
      </c>
      <c r="AZ129" s="660">
        <f t="shared" si="636"/>
        <v>0</v>
      </c>
      <c r="BA129" s="521"/>
      <c r="BB129" s="660">
        <f t="shared" si="590"/>
        <v>0</v>
      </c>
      <c r="BC129" s="660">
        <f t="shared" ref="BC129" si="693">$AZ129*c_Residual.Share_GP</f>
        <v>0</v>
      </c>
      <c r="BD129" s="651"/>
      <c r="BE129" s="660">
        <f t="shared" si="618"/>
        <v>0</v>
      </c>
      <c r="BF129" s="660">
        <f t="shared" si="618"/>
        <v>0</v>
      </c>
      <c r="BG129" s="660">
        <f t="shared" si="592"/>
        <v>0</v>
      </c>
      <c r="BI129" s="660">
        <v>0</v>
      </c>
      <c r="BJ129" s="660">
        <v>0</v>
      </c>
      <c r="BK129" s="660">
        <v>0</v>
      </c>
      <c r="BL129" s="660">
        <f t="shared" si="619"/>
        <v>0</v>
      </c>
      <c r="BM129" s="660">
        <f t="shared" si="619"/>
        <v>0</v>
      </c>
      <c r="BN129" s="660">
        <f t="shared" si="620"/>
        <v>0</v>
      </c>
      <c r="BO129" s="660">
        <f t="shared" si="620"/>
        <v>0</v>
      </c>
      <c r="BP129" s="660">
        <f t="shared" si="621"/>
        <v>0</v>
      </c>
      <c r="BQ129" s="660">
        <f t="shared" si="621"/>
        <v>0</v>
      </c>
      <c r="BR129" s="660">
        <v>0</v>
      </c>
      <c r="BS129" s="660">
        <v>0</v>
      </c>
      <c r="BT129" s="660">
        <f t="shared" si="593"/>
        <v>0</v>
      </c>
      <c r="BU129" s="660">
        <f t="shared" si="593"/>
        <v>0</v>
      </c>
      <c r="BX129" s="660">
        <v>0</v>
      </c>
      <c r="BY129" s="660">
        <f t="shared" si="622"/>
        <v>0</v>
      </c>
      <c r="BZ129" s="660">
        <f t="shared" si="594"/>
        <v>0</v>
      </c>
      <c r="CA129" s="660">
        <f t="shared" si="595"/>
        <v>0</v>
      </c>
      <c r="CB129" s="660">
        <f t="shared" si="596"/>
        <v>0</v>
      </c>
      <c r="CC129" s="660">
        <f t="shared" si="597"/>
        <v>0</v>
      </c>
      <c r="CD129" s="660">
        <f t="shared" si="623"/>
        <v>0</v>
      </c>
    </row>
    <row r="130" spans="4:82" ht="16" thickTop="1" thickBot="1">
      <c r="D130" s="653"/>
      <c r="E130" s="654"/>
      <c r="F130" s="655" t="str">
        <f t="shared" si="598"/>
        <v/>
      </c>
      <c r="G130" s="656"/>
      <c r="I130" s="658">
        <f t="shared" si="599"/>
        <v>0</v>
      </c>
      <c r="J130" s="658">
        <f t="shared" ref="J130" si="694">IF($G130=0,0,-MIN(0,G130*c_EquityShare.LP))</f>
        <v>0</v>
      </c>
      <c r="K130" s="658">
        <f t="shared" ref="K130" si="695">I130*c_Rate.Pref_MO</f>
        <v>0</v>
      </c>
      <c r="L130" s="658">
        <f t="shared" si="573"/>
        <v>0</v>
      </c>
      <c r="M130" s="658">
        <f t="shared" si="602"/>
        <v>0</v>
      </c>
      <c r="N130" s="658">
        <f t="shared" si="626"/>
        <v>0</v>
      </c>
      <c r="O130" s="658" cm="1">
        <f t="array" ref="O130">IF(I130=0,0,IF(G130&lt;0,N130/c_EquityShare.LP*i_EquityShare.GP,L130/c_EquityShare.LP*i_EquityShare.GP))</f>
        <v>0</v>
      </c>
      <c r="P130" s="658">
        <f t="shared" si="603"/>
        <v>0</v>
      </c>
      <c r="Q130" s="658">
        <f t="shared" si="574"/>
        <v>0</v>
      </c>
      <c r="R130" s="521"/>
      <c r="S130" s="660">
        <f t="shared" si="604"/>
        <v>0</v>
      </c>
      <c r="T130" s="663" cm="1">
        <f t="array" ref="T130">IF($G130=0,0,-MIN(0,$G130*c_EquityShare.LP))</f>
        <v>0</v>
      </c>
      <c r="U130" s="663" cm="1">
        <f t="array" ref="U130">IF($D130=0,0,S130*c_Rate.Hurdle1.MO)</f>
        <v>0</v>
      </c>
      <c r="V130" s="660">
        <f t="shared" si="627"/>
        <v>0</v>
      </c>
      <c r="W130" s="660">
        <f t="shared" si="575"/>
        <v>0</v>
      </c>
      <c r="X130" s="663">
        <f t="shared" si="628"/>
        <v>0</v>
      </c>
      <c r="Y130" s="663">
        <f t="shared" si="605"/>
        <v>0</v>
      </c>
      <c r="Z130" s="663">
        <f t="shared" ref="Z130" si="696">IF(S130=0,0,O130+W130/$J$17*c_Hurdle1.Share_GP)</f>
        <v>0</v>
      </c>
      <c r="AA130" s="663">
        <f t="shared" si="577"/>
        <v>0</v>
      </c>
      <c r="AB130" s="660">
        <f t="shared" si="630"/>
        <v>0</v>
      </c>
      <c r="AC130" s="521"/>
      <c r="AD130" s="663">
        <f t="shared" si="607"/>
        <v>0</v>
      </c>
      <c r="AE130" s="663">
        <f t="shared" ref="AE130" si="697">IF($G130=0,0,-MIN(0,$G130*c_EquityShare.LP))</f>
        <v>0</v>
      </c>
      <c r="AF130" s="663" cm="1">
        <f t="array" ref="AF130">IF($D130=0,0,AD130*(c_Rate.Hurdle2.MO))</f>
        <v>0</v>
      </c>
      <c r="AG130" s="663">
        <f t="shared" si="579"/>
        <v>0</v>
      </c>
      <c r="AH130" s="663">
        <f t="shared" si="609"/>
        <v>0</v>
      </c>
      <c r="AI130" s="663">
        <f t="shared" si="580"/>
        <v>0</v>
      </c>
      <c r="AJ130" s="664">
        <f t="shared" si="581"/>
        <v>0</v>
      </c>
      <c r="AK130" s="660">
        <f t="shared" si="582"/>
        <v>0</v>
      </c>
      <c r="AL130" s="663">
        <f t="shared" ref="AL130" si="698">IF(AD130=0,0,Z130+AH130/$J$18*c_Hurdle2.Share_GP)</f>
        <v>0</v>
      </c>
      <c r="AM130" s="663">
        <f t="shared" si="584"/>
        <v>0</v>
      </c>
      <c r="AN130" s="660">
        <f t="shared" si="633"/>
        <v>0</v>
      </c>
      <c r="AO130" s="521"/>
      <c r="AP130" s="663">
        <f t="shared" si="611"/>
        <v>0</v>
      </c>
      <c r="AQ130" s="663">
        <f t="shared" ref="AQ130" si="699">IF($G130=0,0,-MIN(0,$G130*c_EquityShare.LP))</f>
        <v>0</v>
      </c>
      <c r="AR130" s="663" cm="1">
        <f t="array" ref="AR130">IF($D130=0,0,AP130*(c_Rate.Hurdle3.MO))</f>
        <v>0</v>
      </c>
      <c r="AS130" s="663">
        <f t="shared" si="586"/>
        <v>0</v>
      </c>
      <c r="AT130" s="663">
        <f t="shared" si="613"/>
        <v>0</v>
      </c>
      <c r="AU130" s="663">
        <f t="shared" si="587"/>
        <v>0</v>
      </c>
      <c r="AV130" s="664">
        <f t="shared" si="588"/>
        <v>0</v>
      </c>
      <c r="AW130" s="660">
        <f t="shared" si="614"/>
        <v>0</v>
      </c>
      <c r="AX130" s="663">
        <f t="shared" ref="AX130" si="700">IF(AP130=0,0,AL130+AT130/$J$19*c_Hurdle3.Share_GP)</f>
        <v>0</v>
      </c>
      <c r="AY130" s="663">
        <f t="shared" si="616"/>
        <v>0</v>
      </c>
      <c r="AZ130" s="660">
        <f t="shared" si="636"/>
        <v>0</v>
      </c>
      <c r="BA130" s="521"/>
      <c r="BB130" s="660">
        <f t="shared" si="590"/>
        <v>0</v>
      </c>
      <c r="BC130" s="660">
        <f t="shared" ref="BC130" si="701">$AZ130*c_Residual.Share_GP</f>
        <v>0</v>
      </c>
      <c r="BD130" s="651"/>
      <c r="BE130" s="660">
        <f t="shared" si="618"/>
        <v>0</v>
      </c>
      <c r="BF130" s="660">
        <f t="shared" si="618"/>
        <v>0</v>
      </c>
      <c r="BG130" s="660">
        <f t="shared" si="592"/>
        <v>0</v>
      </c>
      <c r="BI130" s="660">
        <v>0</v>
      </c>
      <c r="BJ130" s="660">
        <v>0</v>
      </c>
      <c r="BK130" s="660">
        <v>0</v>
      </c>
      <c r="BL130" s="660">
        <f t="shared" si="619"/>
        <v>0</v>
      </c>
      <c r="BM130" s="660">
        <f t="shared" si="619"/>
        <v>0</v>
      </c>
      <c r="BN130" s="660">
        <f t="shared" si="620"/>
        <v>0</v>
      </c>
      <c r="BO130" s="660">
        <f t="shared" si="620"/>
        <v>0</v>
      </c>
      <c r="BP130" s="660">
        <f t="shared" si="621"/>
        <v>0</v>
      </c>
      <c r="BQ130" s="660">
        <f t="shared" si="621"/>
        <v>0</v>
      </c>
      <c r="BR130" s="660">
        <v>0</v>
      </c>
      <c r="BS130" s="660">
        <v>0</v>
      </c>
      <c r="BT130" s="660">
        <f t="shared" si="593"/>
        <v>0</v>
      </c>
      <c r="BU130" s="660">
        <f t="shared" si="593"/>
        <v>0</v>
      </c>
      <c r="BX130" s="660">
        <v>0</v>
      </c>
      <c r="BY130" s="660">
        <f t="shared" si="622"/>
        <v>0</v>
      </c>
      <c r="BZ130" s="660">
        <f t="shared" si="594"/>
        <v>0</v>
      </c>
      <c r="CA130" s="660">
        <f t="shared" si="595"/>
        <v>0</v>
      </c>
      <c r="CB130" s="660">
        <f t="shared" si="596"/>
        <v>0</v>
      </c>
      <c r="CC130" s="660">
        <f t="shared" si="597"/>
        <v>0</v>
      </c>
      <c r="CD130" s="660">
        <f t="shared" si="623"/>
        <v>0</v>
      </c>
    </row>
    <row r="131" spans="4:82" ht="16" thickTop="1" thickBot="1">
      <c r="D131" s="653"/>
      <c r="E131" s="654"/>
      <c r="F131" s="655" t="str">
        <f t="shared" si="598"/>
        <v/>
      </c>
      <c r="G131" s="656"/>
      <c r="I131" s="658">
        <f t="shared" si="599"/>
        <v>0</v>
      </c>
      <c r="J131" s="658">
        <f t="shared" ref="J131" si="702">IF($G131=0,0,-MIN(0,G131*c_EquityShare.LP))</f>
        <v>0</v>
      </c>
      <c r="K131" s="658">
        <f t="shared" ref="K131" si="703">I131*c_Rate.Pref_MO</f>
        <v>0</v>
      </c>
      <c r="L131" s="658">
        <f t="shared" si="573"/>
        <v>0</v>
      </c>
      <c r="M131" s="658">
        <f t="shared" si="602"/>
        <v>0</v>
      </c>
      <c r="N131" s="658">
        <f t="shared" si="626"/>
        <v>0</v>
      </c>
      <c r="O131" s="658" cm="1">
        <f t="array" ref="O131">IF(I131=0,0,IF(G131&lt;0,N131/c_EquityShare.LP*i_EquityShare.GP,L131/c_EquityShare.LP*i_EquityShare.GP))</f>
        <v>0</v>
      </c>
      <c r="P131" s="658">
        <f t="shared" si="603"/>
        <v>0</v>
      </c>
      <c r="Q131" s="658">
        <f t="shared" si="574"/>
        <v>0</v>
      </c>
      <c r="R131" s="521"/>
      <c r="S131" s="660">
        <f t="shared" si="604"/>
        <v>0</v>
      </c>
      <c r="T131" s="663" cm="1">
        <f t="array" ref="T131">IF($G131=0,0,-MIN(0,$G131*c_EquityShare.LP))</f>
        <v>0</v>
      </c>
      <c r="U131" s="663" cm="1">
        <f t="array" ref="U131">IF($D131=0,0,S131*c_Rate.Hurdle1.MO)</f>
        <v>0</v>
      </c>
      <c r="V131" s="660">
        <f t="shared" si="627"/>
        <v>0</v>
      </c>
      <c r="W131" s="660">
        <f t="shared" si="575"/>
        <v>0</v>
      </c>
      <c r="X131" s="663">
        <f t="shared" si="628"/>
        <v>0</v>
      </c>
      <c r="Y131" s="663">
        <f t="shared" si="605"/>
        <v>0</v>
      </c>
      <c r="Z131" s="663">
        <f t="shared" ref="Z131" si="704">IF(S131=0,0,O131+W131/$J$17*c_Hurdle1.Share_GP)</f>
        <v>0</v>
      </c>
      <c r="AA131" s="663">
        <f t="shared" si="577"/>
        <v>0</v>
      </c>
      <c r="AB131" s="660">
        <f t="shared" si="630"/>
        <v>0</v>
      </c>
      <c r="AC131" s="521"/>
      <c r="AD131" s="663">
        <f t="shared" si="607"/>
        <v>0</v>
      </c>
      <c r="AE131" s="663">
        <f t="shared" ref="AE131" si="705">IF($G131=0,0,-MIN(0,$G131*c_EquityShare.LP))</f>
        <v>0</v>
      </c>
      <c r="AF131" s="663" cm="1">
        <f t="array" ref="AF131">IF($D131=0,0,AD131*(c_Rate.Hurdle2.MO))</f>
        <v>0</v>
      </c>
      <c r="AG131" s="663">
        <f t="shared" si="579"/>
        <v>0</v>
      </c>
      <c r="AH131" s="663">
        <f t="shared" si="609"/>
        <v>0</v>
      </c>
      <c r="AI131" s="663">
        <f t="shared" si="580"/>
        <v>0</v>
      </c>
      <c r="AJ131" s="664">
        <f t="shared" si="581"/>
        <v>0</v>
      </c>
      <c r="AK131" s="660">
        <f t="shared" si="582"/>
        <v>0</v>
      </c>
      <c r="AL131" s="663">
        <f t="shared" ref="AL131" si="706">IF(AD131=0,0,Z131+AH131/$J$18*c_Hurdle2.Share_GP)</f>
        <v>0</v>
      </c>
      <c r="AM131" s="663">
        <f t="shared" si="584"/>
        <v>0</v>
      </c>
      <c r="AN131" s="660">
        <f t="shared" si="633"/>
        <v>0</v>
      </c>
      <c r="AO131" s="521"/>
      <c r="AP131" s="663">
        <f t="shared" si="611"/>
        <v>0</v>
      </c>
      <c r="AQ131" s="663">
        <f t="shared" ref="AQ131" si="707">IF($G131=0,0,-MIN(0,$G131*c_EquityShare.LP))</f>
        <v>0</v>
      </c>
      <c r="AR131" s="663" cm="1">
        <f t="array" ref="AR131">IF($D131=0,0,AP131*(c_Rate.Hurdle3.MO))</f>
        <v>0</v>
      </c>
      <c r="AS131" s="663">
        <f t="shared" si="586"/>
        <v>0</v>
      </c>
      <c r="AT131" s="663">
        <f t="shared" si="613"/>
        <v>0</v>
      </c>
      <c r="AU131" s="663">
        <f t="shared" si="587"/>
        <v>0</v>
      </c>
      <c r="AV131" s="664">
        <f t="shared" si="588"/>
        <v>0</v>
      </c>
      <c r="AW131" s="660">
        <f t="shared" si="614"/>
        <v>0</v>
      </c>
      <c r="AX131" s="663">
        <f t="shared" ref="AX131" si="708">IF(AP131=0,0,AL131+AT131/$J$19*c_Hurdle3.Share_GP)</f>
        <v>0</v>
      </c>
      <c r="AY131" s="663">
        <f t="shared" si="616"/>
        <v>0</v>
      </c>
      <c r="AZ131" s="660">
        <f t="shared" si="636"/>
        <v>0</v>
      </c>
      <c r="BA131" s="521"/>
      <c r="BB131" s="660">
        <f t="shared" si="590"/>
        <v>0</v>
      </c>
      <c r="BC131" s="660">
        <f t="shared" ref="BC131" si="709">$AZ131*c_Residual.Share_GP</f>
        <v>0</v>
      </c>
      <c r="BD131" s="651"/>
      <c r="BE131" s="660">
        <f t="shared" si="618"/>
        <v>0</v>
      </c>
      <c r="BF131" s="660">
        <f t="shared" si="618"/>
        <v>0</v>
      </c>
      <c r="BG131" s="660">
        <f t="shared" si="592"/>
        <v>0</v>
      </c>
      <c r="BI131" s="660">
        <v>0</v>
      </c>
      <c r="BJ131" s="660">
        <v>0</v>
      </c>
      <c r="BK131" s="660">
        <v>0</v>
      </c>
      <c r="BL131" s="660">
        <f t="shared" si="619"/>
        <v>0</v>
      </c>
      <c r="BM131" s="660">
        <f t="shared" si="619"/>
        <v>0</v>
      </c>
      <c r="BN131" s="660">
        <f t="shared" si="620"/>
        <v>0</v>
      </c>
      <c r="BO131" s="660">
        <f t="shared" si="620"/>
        <v>0</v>
      </c>
      <c r="BP131" s="660">
        <f t="shared" si="621"/>
        <v>0</v>
      </c>
      <c r="BQ131" s="660">
        <f t="shared" si="621"/>
        <v>0</v>
      </c>
      <c r="BR131" s="660">
        <v>0</v>
      </c>
      <c r="BS131" s="660">
        <v>0</v>
      </c>
      <c r="BT131" s="660">
        <f t="shared" si="593"/>
        <v>0</v>
      </c>
      <c r="BU131" s="660">
        <f t="shared" si="593"/>
        <v>0</v>
      </c>
      <c r="BX131" s="660">
        <v>0</v>
      </c>
      <c r="BY131" s="660">
        <f t="shared" si="622"/>
        <v>0</v>
      </c>
      <c r="BZ131" s="660">
        <f t="shared" si="594"/>
        <v>0</v>
      </c>
      <c r="CA131" s="660">
        <f t="shared" si="595"/>
        <v>0</v>
      </c>
      <c r="CB131" s="660">
        <f t="shared" si="596"/>
        <v>0</v>
      </c>
      <c r="CC131" s="660">
        <f t="shared" si="597"/>
        <v>0</v>
      </c>
      <c r="CD131" s="660">
        <f t="shared" si="623"/>
        <v>0</v>
      </c>
    </row>
    <row r="132" spans="4:82" ht="16" thickTop="1" thickBot="1">
      <c r="D132" s="653"/>
      <c r="E132" s="654"/>
      <c r="F132" s="655" t="str">
        <f t="shared" si="598"/>
        <v/>
      </c>
      <c r="G132" s="656"/>
      <c r="I132" s="658">
        <f t="shared" si="599"/>
        <v>0</v>
      </c>
      <c r="J132" s="658">
        <f t="shared" ref="J132" si="710">IF($G132=0,0,-MIN(0,G132*c_EquityShare.LP))</f>
        <v>0</v>
      </c>
      <c r="K132" s="658">
        <f t="shared" ref="K132" si="711">I132*c_Rate.Pref_MO</f>
        <v>0</v>
      </c>
      <c r="L132" s="658">
        <f t="shared" si="573"/>
        <v>0</v>
      </c>
      <c r="M132" s="658">
        <f t="shared" si="602"/>
        <v>0</v>
      </c>
      <c r="N132" s="658">
        <f t="shared" si="626"/>
        <v>0</v>
      </c>
      <c r="O132" s="658" cm="1">
        <f t="array" ref="O132">IF(I132=0,0,IF(G132&lt;0,N132/c_EquityShare.LP*i_EquityShare.GP,L132/c_EquityShare.LP*i_EquityShare.GP))</f>
        <v>0</v>
      </c>
      <c r="P132" s="658">
        <f t="shared" si="603"/>
        <v>0</v>
      </c>
      <c r="Q132" s="658">
        <f t="shared" si="574"/>
        <v>0</v>
      </c>
      <c r="R132" s="521"/>
      <c r="S132" s="660">
        <f t="shared" si="604"/>
        <v>0</v>
      </c>
      <c r="T132" s="663" cm="1">
        <f t="array" ref="T132">IF($G132=0,0,-MIN(0,$G132*c_EquityShare.LP))</f>
        <v>0</v>
      </c>
      <c r="U132" s="663" cm="1">
        <f t="array" ref="U132">IF($D132=0,0,S132*c_Rate.Hurdle1.MO)</f>
        <v>0</v>
      </c>
      <c r="V132" s="660">
        <f t="shared" si="627"/>
        <v>0</v>
      </c>
      <c r="W132" s="660">
        <f t="shared" si="575"/>
        <v>0</v>
      </c>
      <c r="X132" s="663">
        <f t="shared" si="628"/>
        <v>0</v>
      </c>
      <c r="Y132" s="663">
        <f t="shared" si="605"/>
        <v>0</v>
      </c>
      <c r="Z132" s="663">
        <f t="shared" ref="Z132" si="712">IF(S132=0,0,O132+W132/$J$17*c_Hurdle1.Share_GP)</f>
        <v>0</v>
      </c>
      <c r="AA132" s="663">
        <f t="shared" si="577"/>
        <v>0</v>
      </c>
      <c r="AB132" s="660">
        <f t="shared" si="630"/>
        <v>0</v>
      </c>
      <c r="AC132" s="521"/>
      <c r="AD132" s="663">
        <f t="shared" si="607"/>
        <v>0</v>
      </c>
      <c r="AE132" s="663">
        <f t="shared" ref="AE132" si="713">IF($G132=0,0,-MIN(0,$G132*c_EquityShare.LP))</f>
        <v>0</v>
      </c>
      <c r="AF132" s="663" cm="1">
        <f t="array" ref="AF132">IF($D132=0,0,AD132*(c_Rate.Hurdle2.MO))</f>
        <v>0</v>
      </c>
      <c r="AG132" s="663">
        <f t="shared" si="579"/>
        <v>0</v>
      </c>
      <c r="AH132" s="663">
        <f t="shared" si="609"/>
        <v>0</v>
      </c>
      <c r="AI132" s="663">
        <f t="shared" si="580"/>
        <v>0</v>
      </c>
      <c r="AJ132" s="664">
        <f t="shared" si="581"/>
        <v>0</v>
      </c>
      <c r="AK132" s="660">
        <f t="shared" si="582"/>
        <v>0</v>
      </c>
      <c r="AL132" s="663">
        <f t="shared" ref="AL132" si="714">IF(AD132=0,0,Z132+AH132/$J$18*c_Hurdle2.Share_GP)</f>
        <v>0</v>
      </c>
      <c r="AM132" s="663">
        <f t="shared" si="584"/>
        <v>0</v>
      </c>
      <c r="AN132" s="660">
        <f t="shared" si="633"/>
        <v>0</v>
      </c>
      <c r="AO132" s="521"/>
      <c r="AP132" s="663">
        <f t="shared" si="611"/>
        <v>0</v>
      </c>
      <c r="AQ132" s="663">
        <f t="shared" ref="AQ132" si="715">IF($G132=0,0,-MIN(0,$G132*c_EquityShare.LP))</f>
        <v>0</v>
      </c>
      <c r="AR132" s="663" cm="1">
        <f t="array" ref="AR132">IF($D132=0,0,AP132*(c_Rate.Hurdle3.MO))</f>
        <v>0</v>
      </c>
      <c r="AS132" s="663">
        <f t="shared" si="586"/>
        <v>0</v>
      </c>
      <c r="AT132" s="663">
        <f t="shared" si="613"/>
        <v>0</v>
      </c>
      <c r="AU132" s="663">
        <f t="shared" si="587"/>
        <v>0</v>
      </c>
      <c r="AV132" s="664">
        <f t="shared" si="588"/>
        <v>0</v>
      </c>
      <c r="AW132" s="660">
        <f t="shared" si="614"/>
        <v>0</v>
      </c>
      <c r="AX132" s="663">
        <f t="shared" ref="AX132" si="716">IF(AP132=0,0,AL132+AT132/$J$19*c_Hurdle3.Share_GP)</f>
        <v>0</v>
      </c>
      <c r="AY132" s="663">
        <f t="shared" si="616"/>
        <v>0</v>
      </c>
      <c r="AZ132" s="660">
        <f t="shared" si="636"/>
        <v>0</v>
      </c>
      <c r="BA132" s="521"/>
      <c r="BB132" s="660">
        <f t="shared" si="590"/>
        <v>0</v>
      </c>
      <c r="BC132" s="660">
        <f t="shared" ref="BC132" si="717">$AZ132*c_Residual.Share_GP</f>
        <v>0</v>
      </c>
      <c r="BD132" s="651"/>
      <c r="BE132" s="660">
        <f t="shared" si="618"/>
        <v>0</v>
      </c>
      <c r="BF132" s="660">
        <f t="shared" si="618"/>
        <v>0</v>
      </c>
      <c r="BG132" s="660">
        <f t="shared" si="592"/>
        <v>0</v>
      </c>
      <c r="BI132" s="660">
        <v>0</v>
      </c>
      <c r="BJ132" s="660">
        <v>0</v>
      </c>
      <c r="BK132" s="660">
        <v>0</v>
      </c>
      <c r="BL132" s="660">
        <f t="shared" si="619"/>
        <v>0</v>
      </c>
      <c r="BM132" s="660">
        <f t="shared" si="619"/>
        <v>0</v>
      </c>
      <c r="BN132" s="660">
        <f t="shared" si="620"/>
        <v>0</v>
      </c>
      <c r="BO132" s="660">
        <f t="shared" si="620"/>
        <v>0</v>
      </c>
      <c r="BP132" s="660">
        <f t="shared" si="621"/>
        <v>0</v>
      </c>
      <c r="BQ132" s="660">
        <f t="shared" si="621"/>
        <v>0</v>
      </c>
      <c r="BR132" s="660">
        <v>0</v>
      </c>
      <c r="BS132" s="660">
        <v>0</v>
      </c>
      <c r="BT132" s="660">
        <f t="shared" si="593"/>
        <v>0</v>
      </c>
      <c r="BU132" s="660">
        <f t="shared" si="593"/>
        <v>0</v>
      </c>
      <c r="BX132" s="660">
        <v>0</v>
      </c>
      <c r="BY132" s="660">
        <f t="shared" si="622"/>
        <v>0</v>
      </c>
      <c r="BZ132" s="660">
        <f t="shared" si="594"/>
        <v>0</v>
      </c>
      <c r="CA132" s="660">
        <f t="shared" si="595"/>
        <v>0</v>
      </c>
      <c r="CB132" s="660">
        <f t="shared" si="596"/>
        <v>0</v>
      </c>
      <c r="CC132" s="660">
        <f t="shared" si="597"/>
        <v>0</v>
      </c>
      <c r="CD132" s="660">
        <f t="shared" si="623"/>
        <v>0</v>
      </c>
    </row>
    <row r="133" spans="4:82" ht="16" thickTop="1" thickBot="1">
      <c r="D133" s="653"/>
      <c r="E133" s="654"/>
      <c r="F133" s="655" t="str">
        <f t="shared" si="598"/>
        <v/>
      </c>
      <c r="G133" s="656"/>
      <c r="I133" s="658">
        <f t="shared" si="599"/>
        <v>0</v>
      </c>
      <c r="J133" s="658">
        <f t="shared" ref="J133" si="718">IF($G133=0,0,-MIN(0,G133*c_EquityShare.LP))</f>
        <v>0</v>
      </c>
      <c r="K133" s="658">
        <f t="shared" ref="K133" si="719">I133*c_Rate.Pref_MO</f>
        <v>0</v>
      </c>
      <c r="L133" s="658">
        <f t="shared" si="573"/>
        <v>0</v>
      </c>
      <c r="M133" s="658">
        <f t="shared" si="602"/>
        <v>0</v>
      </c>
      <c r="N133" s="658">
        <f t="shared" si="626"/>
        <v>0</v>
      </c>
      <c r="O133" s="658" cm="1">
        <f t="array" ref="O133">IF(I133=0,0,IF(G133&lt;0,N133/c_EquityShare.LP*i_EquityShare.GP,L133/c_EquityShare.LP*i_EquityShare.GP))</f>
        <v>0</v>
      </c>
      <c r="P133" s="658">
        <f t="shared" si="603"/>
        <v>0</v>
      </c>
      <c r="Q133" s="658">
        <f t="shared" si="574"/>
        <v>0</v>
      </c>
      <c r="R133" s="521"/>
      <c r="S133" s="660">
        <f t="shared" si="604"/>
        <v>0</v>
      </c>
      <c r="T133" s="663" cm="1">
        <f t="array" ref="T133">IF($G133=0,0,-MIN(0,$G133*c_EquityShare.LP))</f>
        <v>0</v>
      </c>
      <c r="U133" s="663" cm="1">
        <f t="array" ref="U133">IF($D133=0,0,S133*c_Rate.Hurdle1.MO)</f>
        <v>0</v>
      </c>
      <c r="V133" s="660">
        <f t="shared" si="627"/>
        <v>0</v>
      </c>
      <c r="W133" s="660">
        <f t="shared" si="575"/>
        <v>0</v>
      </c>
      <c r="X133" s="663">
        <f t="shared" si="628"/>
        <v>0</v>
      </c>
      <c r="Y133" s="663">
        <f t="shared" si="605"/>
        <v>0</v>
      </c>
      <c r="Z133" s="663">
        <f t="shared" ref="Z133" si="720">IF(S133=0,0,O133+W133/$J$17*c_Hurdle1.Share_GP)</f>
        <v>0</v>
      </c>
      <c r="AA133" s="663">
        <f t="shared" si="577"/>
        <v>0</v>
      </c>
      <c r="AB133" s="660">
        <f t="shared" si="630"/>
        <v>0</v>
      </c>
      <c r="AC133" s="521"/>
      <c r="AD133" s="663">
        <f t="shared" si="607"/>
        <v>0</v>
      </c>
      <c r="AE133" s="663">
        <f t="shared" ref="AE133" si="721">IF($G133=0,0,-MIN(0,$G133*c_EquityShare.LP))</f>
        <v>0</v>
      </c>
      <c r="AF133" s="663" cm="1">
        <f t="array" ref="AF133">IF($D133=0,0,AD133*(c_Rate.Hurdle2.MO))</f>
        <v>0</v>
      </c>
      <c r="AG133" s="663">
        <f t="shared" si="579"/>
        <v>0</v>
      </c>
      <c r="AH133" s="663">
        <f t="shared" si="609"/>
        <v>0</v>
      </c>
      <c r="AI133" s="663">
        <f t="shared" si="580"/>
        <v>0</v>
      </c>
      <c r="AJ133" s="664">
        <f t="shared" si="581"/>
        <v>0</v>
      </c>
      <c r="AK133" s="660">
        <f t="shared" si="582"/>
        <v>0</v>
      </c>
      <c r="AL133" s="663">
        <f t="shared" ref="AL133" si="722">IF(AD133=0,0,Z133+AH133/$J$18*c_Hurdle2.Share_GP)</f>
        <v>0</v>
      </c>
      <c r="AM133" s="663">
        <f t="shared" si="584"/>
        <v>0</v>
      </c>
      <c r="AN133" s="660">
        <f t="shared" si="633"/>
        <v>0</v>
      </c>
      <c r="AO133" s="521"/>
      <c r="AP133" s="663">
        <f t="shared" si="611"/>
        <v>0</v>
      </c>
      <c r="AQ133" s="663">
        <f t="shared" ref="AQ133" si="723">IF($G133=0,0,-MIN(0,$G133*c_EquityShare.LP))</f>
        <v>0</v>
      </c>
      <c r="AR133" s="663" cm="1">
        <f t="array" ref="AR133">IF($D133=0,0,AP133*(c_Rate.Hurdle3.MO))</f>
        <v>0</v>
      </c>
      <c r="AS133" s="663">
        <f t="shared" si="586"/>
        <v>0</v>
      </c>
      <c r="AT133" s="663">
        <f t="shared" si="613"/>
        <v>0</v>
      </c>
      <c r="AU133" s="663">
        <f t="shared" si="587"/>
        <v>0</v>
      </c>
      <c r="AV133" s="664">
        <f t="shared" si="588"/>
        <v>0</v>
      </c>
      <c r="AW133" s="660">
        <f t="shared" si="614"/>
        <v>0</v>
      </c>
      <c r="AX133" s="663">
        <f t="shared" ref="AX133" si="724">IF(AP133=0,0,AL133+AT133/$J$19*c_Hurdle3.Share_GP)</f>
        <v>0</v>
      </c>
      <c r="AY133" s="663">
        <f t="shared" si="616"/>
        <v>0</v>
      </c>
      <c r="AZ133" s="660">
        <f t="shared" si="636"/>
        <v>0</v>
      </c>
      <c r="BA133" s="521"/>
      <c r="BB133" s="660">
        <f t="shared" si="590"/>
        <v>0</v>
      </c>
      <c r="BC133" s="660">
        <f t="shared" ref="BC133" si="725">$AZ133*c_Residual.Share_GP</f>
        <v>0</v>
      </c>
      <c r="BD133" s="651"/>
      <c r="BE133" s="660">
        <f t="shared" si="618"/>
        <v>0</v>
      </c>
      <c r="BF133" s="660">
        <f t="shared" si="618"/>
        <v>0</v>
      </c>
      <c r="BG133" s="660">
        <f t="shared" si="592"/>
        <v>0</v>
      </c>
      <c r="BI133" s="660">
        <v>0</v>
      </c>
      <c r="BJ133" s="660">
        <v>0</v>
      </c>
      <c r="BK133" s="660">
        <v>0</v>
      </c>
      <c r="BL133" s="660">
        <f t="shared" si="619"/>
        <v>0</v>
      </c>
      <c r="BM133" s="660">
        <f t="shared" si="619"/>
        <v>0</v>
      </c>
      <c r="BN133" s="660">
        <f t="shared" si="620"/>
        <v>0</v>
      </c>
      <c r="BO133" s="660">
        <f t="shared" si="620"/>
        <v>0</v>
      </c>
      <c r="BP133" s="660">
        <f t="shared" si="621"/>
        <v>0</v>
      </c>
      <c r="BQ133" s="660">
        <f t="shared" si="621"/>
        <v>0</v>
      </c>
      <c r="BR133" s="660">
        <v>0</v>
      </c>
      <c r="BS133" s="660">
        <v>0</v>
      </c>
      <c r="BT133" s="660">
        <f t="shared" si="593"/>
        <v>0</v>
      </c>
      <c r="BU133" s="660">
        <f t="shared" si="593"/>
        <v>0</v>
      </c>
      <c r="BX133" s="660">
        <v>0</v>
      </c>
      <c r="BY133" s="660">
        <f t="shared" si="622"/>
        <v>0</v>
      </c>
      <c r="BZ133" s="660">
        <f t="shared" si="594"/>
        <v>0</v>
      </c>
      <c r="CA133" s="660">
        <f t="shared" si="595"/>
        <v>0</v>
      </c>
      <c r="CB133" s="660">
        <f t="shared" si="596"/>
        <v>0</v>
      </c>
      <c r="CC133" s="660">
        <f t="shared" si="597"/>
        <v>0</v>
      </c>
      <c r="CD133" s="660">
        <f t="shared" si="623"/>
        <v>0</v>
      </c>
    </row>
    <row r="134" spans="4:82" ht="16" thickTop="1" thickBot="1">
      <c r="D134" s="653"/>
      <c r="E134" s="654"/>
      <c r="F134" s="655" t="str">
        <f t="shared" si="598"/>
        <v/>
      </c>
      <c r="G134" s="656"/>
      <c r="I134" s="658">
        <f t="shared" si="599"/>
        <v>0</v>
      </c>
      <c r="J134" s="658">
        <f t="shared" ref="J134" si="726">IF($G134=0,0,-MIN(0,G134*c_EquityShare.LP))</f>
        <v>0</v>
      </c>
      <c r="K134" s="658">
        <f t="shared" ref="K134" si="727">I134*c_Rate.Pref_MO</f>
        <v>0</v>
      </c>
      <c r="L134" s="658">
        <f t="shared" si="573"/>
        <v>0</v>
      </c>
      <c r="M134" s="658">
        <f t="shared" si="602"/>
        <v>0</v>
      </c>
      <c r="N134" s="658">
        <f t="shared" si="626"/>
        <v>0</v>
      </c>
      <c r="O134" s="658" cm="1">
        <f t="array" ref="O134">IF(I134=0,0,IF(G134&lt;0,N134/c_EquityShare.LP*i_EquityShare.GP,L134/c_EquityShare.LP*i_EquityShare.GP))</f>
        <v>0</v>
      </c>
      <c r="P134" s="658">
        <f t="shared" si="603"/>
        <v>0</v>
      </c>
      <c r="Q134" s="658">
        <f t="shared" si="574"/>
        <v>0</v>
      </c>
      <c r="R134" s="521"/>
      <c r="S134" s="660">
        <f t="shared" si="604"/>
        <v>0</v>
      </c>
      <c r="T134" s="663" cm="1">
        <f t="array" ref="T134">IF($G134=0,0,-MIN(0,$G134*c_EquityShare.LP))</f>
        <v>0</v>
      </c>
      <c r="U134" s="663" cm="1">
        <f t="array" ref="U134">IF($D134=0,0,S134*c_Rate.Hurdle1.MO)</f>
        <v>0</v>
      </c>
      <c r="V134" s="660">
        <f t="shared" si="627"/>
        <v>0</v>
      </c>
      <c r="W134" s="660">
        <f t="shared" si="575"/>
        <v>0</v>
      </c>
      <c r="X134" s="663">
        <f t="shared" si="628"/>
        <v>0</v>
      </c>
      <c r="Y134" s="663">
        <f t="shared" si="605"/>
        <v>0</v>
      </c>
      <c r="Z134" s="663">
        <f t="shared" ref="Z134" si="728">IF(S134=0,0,O134+W134/$J$17*c_Hurdle1.Share_GP)</f>
        <v>0</v>
      </c>
      <c r="AA134" s="663">
        <f t="shared" si="577"/>
        <v>0</v>
      </c>
      <c r="AB134" s="660">
        <f t="shared" si="630"/>
        <v>0</v>
      </c>
      <c r="AC134" s="521"/>
      <c r="AD134" s="663">
        <f t="shared" si="607"/>
        <v>0</v>
      </c>
      <c r="AE134" s="663">
        <f t="shared" ref="AE134" si="729">IF($G134=0,0,-MIN(0,$G134*c_EquityShare.LP))</f>
        <v>0</v>
      </c>
      <c r="AF134" s="663" cm="1">
        <f t="array" ref="AF134">IF($D134=0,0,AD134*(c_Rate.Hurdle2.MO))</f>
        <v>0</v>
      </c>
      <c r="AG134" s="663">
        <f t="shared" si="579"/>
        <v>0</v>
      </c>
      <c r="AH134" s="663">
        <f t="shared" si="609"/>
        <v>0</v>
      </c>
      <c r="AI134" s="663">
        <f t="shared" si="580"/>
        <v>0</v>
      </c>
      <c r="AJ134" s="664">
        <f t="shared" si="581"/>
        <v>0</v>
      </c>
      <c r="AK134" s="660">
        <f t="shared" si="582"/>
        <v>0</v>
      </c>
      <c r="AL134" s="663">
        <f t="shared" ref="AL134" si="730">IF(AD134=0,0,Z134+AH134/$J$18*c_Hurdle2.Share_GP)</f>
        <v>0</v>
      </c>
      <c r="AM134" s="663">
        <f t="shared" si="584"/>
        <v>0</v>
      </c>
      <c r="AN134" s="660">
        <f t="shared" si="633"/>
        <v>0</v>
      </c>
      <c r="AO134" s="521"/>
      <c r="AP134" s="663">
        <f t="shared" si="611"/>
        <v>0</v>
      </c>
      <c r="AQ134" s="663">
        <f t="shared" ref="AQ134" si="731">IF($G134=0,0,-MIN(0,$G134*c_EquityShare.LP))</f>
        <v>0</v>
      </c>
      <c r="AR134" s="663" cm="1">
        <f t="array" ref="AR134">IF($D134=0,0,AP134*(c_Rate.Hurdle3.MO))</f>
        <v>0</v>
      </c>
      <c r="AS134" s="663">
        <f t="shared" si="586"/>
        <v>0</v>
      </c>
      <c r="AT134" s="663">
        <f t="shared" si="613"/>
        <v>0</v>
      </c>
      <c r="AU134" s="663">
        <f t="shared" si="587"/>
        <v>0</v>
      </c>
      <c r="AV134" s="664">
        <f t="shared" si="588"/>
        <v>0</v>
      </c>
      <c r="AW134" s="660">
        <f t="shared" si="614"/>
        <v>0</v>
      </c>
      <c r="AX134" s="663">
        <f t="shared" ref="AX134" si="732">IF(AP134=0,0,AL134+AT134/$J$19*c_Hurdle3.Share_GP)</f>
        <v>0</v>
      </c>
      <c r="AY134" s="663">
        <f t="shared" si="616"/>
        <v>0</v>
      </c>
      <c r="AZ134" s="660">
        <f t="shared" si="636"/>
        <v>0</v>
      </c>
      <c r="BA134" s="521"/>
      <c r="BB134" s="660">
        <f t="shared" si="590"/>
        <v>0</v>
      </c>
      <c r="BC134" s="660">
        <f t="shared" ref="BC134" si="733">$AZ134*c_Residual.Share_GP</f>
        <v>0</v>
      </c>
      <c r="BD134" s="651"/>
      <c r="BE134" s="660">
        <f t="shared" si="618"/>
        <v>0</v>
      </c>
      <c r="BF134" s="660">
        <f t="shared" si="618"/>
        <v>0</v>
      </c>
      <c r="BG134" s="660">
        <f t="shared" si="592"/>
        <v>0</v>
      </c>
      <c r="BI134" s="660">
        <v>0</v>
      </c>
      <c r="BJ134" s="660">
        <v>0</v>
      </c>
      <c r="BK134" s="660">
        <v>0</v>
      </c>
      <c r="BL134" s="660">
        <f t="shared" si="619"/>
        <v>0</v>
      </c>
      <c r="BM134" s="660">
        <f t="shared" si="619"/>
        <v>0</v>
      </c>
      <c r="BN134" s="660">
        <f t="shared" si="620"/>
        <v>0</v>
      </c>
      <c r="BO134" s="660">
        <f t="shared" si="620"/>
        <v>0</v>
      </c>
      <c r="BP134" s="660">
        <f t="shared" si="621"/>
        <v>0</v>
      </c>
      <c r="BQ134" s="660">
        <f t="shared" si="621"/>
        <v>0</v>
      </c>
      <c r="BR134" s="660">
        <v>0</v>
      </c>
      <c r="BS134" s="660">
        <v>0</v>
      </c>
      <c r="BT134" s="660">
        <f t="shared" si="593"/>
        <v>0</v>
      </c>
      <c r="BU134" s="660">
        <f t="shared" si="593"/>
        <v>0</v>
      </c>
      <c r="BX134" s="660">
        <v>0</v>
      </c>
      <c r="BY134" s="660">
        <f t="shared" si="622"/>
        <v>0</v>
      </c>
      <c r="BZ134" s="660">
        <f t="shared" si="594"/>
        <v>0</v>
      </c>
      <c r="CA134" s="660">
        <f t="shared" si="595"/>
        <v>0</v>
      </c>
      <c r="CB134" s="660">
        <f t="shared" si="596"/>
        <v>0</v>
      </c>
      <c r="CC134" s="660">
        <f t="shared" si="597"/>
        <v>0</v>
      </c>
      <c r="CD134" s="660">
        <f t="shared" si="623"/>
        <v>0</v>
      </c>
    </row>
    <row r="135" spans="4:82" ht="16" thickTop="1" thickBot="1">
      <c r="D135" s="653"/>
      <c r="E135" s="654"/>
      <c r="F135" s="655" t="str">
        <f t="shared" si="598"/>
        <v/>
      </c>
      <c r="G135" s="656"/>
      <c r="I135" s="658">
        <f t="shared" si="599"/>
        <v>0</v>
      </c>
      <c r="J135" s="658">
        <f t="shared" ref="J135" si="734">IF($G135=0,0,-MIN(0,G135*c_EquityShare.LP))</f>
        <v>0</v>
      </c>
      <c r="K135" s="658">
        <f t="shared" ref="K135" si="735">I135*c_Rate.Pref_MO</f>
        <v>0</v>
      </c>
      <c r="L135" s="658">
        <f t="shared" si="573"/>
        <v>0</v>
      </c>
      <c r="M135" s="658">
        <f t="shared" si="602"/>
        <v>0</v>
      </c>
      <c r="N135" s="658">
        <f t="shared" si="626"/>
        <v>0</v>
      </c>
      <c r="O135" s="658" cm="1">
        <f t="array" ref="O135">IF(I135=0,0,IF(G135&lt;0,N135/c_EquityShare.LP*i_EquityShare.GP,L135/c_EquityShare.LP*i_EquityShare.GP))</f>
        <v>0</v>
      </c>
      <c r="P135" s="658">
        <f t="shared" si="603"/>
        <v>0</v>
      </c>
      <c r="Q135" s="658">
        <f t="shared" si="574"/>
        <v>0</v>
      </c>
      <c r="R135" s="521"/>
      <c r="S135" s="660">
        <f t="shared" si="604"/>
        <v>0</v>
      </c>
      <c r="T135" s="663" cm="1">
        <f t="array" ref="T135">IF($G135=0,0,-MIN(0,$G135*c_EquityShare.LP))</f>
        <v>0</v>
      </c>
      <c r="U135" s="663" cm="1">
        <f t="array" ref="U135">IF($D135=0,0,S135*c_Rate.Hurdle1.MO)</f>
        <v>0</v>
      </c>
      <c r="V135" s="660">
        <f t="shared" si="627"/>
        <v>0</v>
      </c>
      <c r="W135" s="660">
        <f t="shared" si="575"/>
        <v>0</v>
      </c>
      <c r="X135" s="663">
        <f t="shared" si="628"/>
        <v>0</v>
      </c>
      <c r="Y135" s="663">
        <f t="shared" si="605"/>
        <v>0</v>
      </c>
      <c r="Z135" s="663">
        <f t="shared" ref="Z135" si="736">IF(S135=0,0,O135+W135/$J$17*c_Hurdle1.Share_GP)</f>
        <v>0</v>
      </c>
      <c r="AA135" s="663">
        <f t="shared" si="577"/>
        <v>0</v>
      </c>
      <c r="AB135" s="660">
        <f t="shared" si="630"/>
        <v>0</v>
      </c>
      <c r="AC135" s="521"/>
      <c r="AD135" s="663">
        <f t="shared" si="607"/>
        <v>0</v>
      </c>
      <c r="AE135" s="663">
        <f t="shared" ref="AE135" si="737">IF($G135=0,0,-MIN(0,$G135*c_EquityShare.LP))</f>
        <v>0</v>
      </c>
      <c r="AF135" s="663" cm="1">
        <f t="array" ref="AF135">IF($D135=0,0,AD135*(c_Rate.Hurdle2.MO))</f>
        <v>0</v>
      </c>
      <c r="AG135" s="663">
        <f t="shared" si="579"/>
        <v>0</v>
      </c>
      <c r="AH135" s="663">
        <f t="shared" si="609"/>
        <v>0</v>
      </c>
      <c r="AI135" s="663">
        <f t="shared" si="580"/>
        <v>0</v>
      </c>
      <c r="AJ135" s="664">
        <f t="shared" si="581"/>
        <v>0</v>
      </c>
      <c r="AK135" s="660">
        <f t="shared" si="582"/>
        <v>0</v>
      </c>
      <c r="AL135" s="663">
        <f t="shared" ref="AL135" si="738">IF(AD135=0,0,Z135+AH135/$J$18*c_Hurdle2.Share_GP)</f>
        <v>0</v>
      </c>
      <c r="AM135" s="663">
        <f t="shared" si="584"/>
        <v>0</v>
      </c>
      <c r="AN135" s="660">
        <f t="shared" si="633"/>
        <v>0</v>
      </c>
      <c r="AO135" s="521"/>
      <c r="AP135" s="663">
        <f t="shared" si="611"/>
        <v>0</v>
      </c>
      <c r="AQ135" s="663">
        <f t="shared" ref="AQ135" si="739">IF($G135=0,0,-MIN(0,$G135*c_EquityShare.LP))</f>
        <v>0</v>
      </c>
      <c r="AR135" s="663" cm="1">
        <f t="array" ref="AR135">IF($D135=0,0,AP135*(c_Rate.Hurdle3.MO))</f>
        <v>0</v>
      </c>
      <c r="AS135" s="663">
        <f t="shared" si="586"/>
        <v>0</v>
      </c>
      <c r="AT135" s="663">
        <f t="shared" si="613"/>
        <v>0</v>
      </c>
      <c r="AU135" s="663">
        <f t="shared" si="587"/>
        <v>0</v>
      </c>
      <c r="AV135" s="664">
        <f t="shared" si="588"/>
        <v>0</v>
      </c>
      <c r="AW135" s="660">
        <f t="shared" si="614"/>
        <v>0</v>
      </c>
      <c r="AX135" s="663">
        <f t="shared" ref="AX135" si="740">IF(AP135=0,0,AL135+AT135/$J$19*c_Hurdle3.Share_GP)</f>
        <v>0</v>
      </c>
      <c r="AY135" s="663">
        <f t="shared" si="616"/>
        <v>0</v>
      </c>
      <c r="AZ135" s="660">
        <f t="shared" si="636"/>
        <v>0</v>
      </c>
      <c r="BA135" s="521"/>
      <c r="BB135" s="660">
        <f t="shared" si="590"/>
        <v>0</v>
      </c>
      <c r="BC135" s="660">
        <f t="shared" ref="BC135" si="741">$AZ135*c_Residual.Share_GP</f>
        <v>0</v>
      </c>
      <c r="BD135" s="651"/>
      <c r="BE135" s="660">
        <f t="shared" si="618"/>
        <v>0</v>
      </c>
      <c r="BF135" s="660">
        <f t="shared" si="618"/>
        <v>0</v>
      </c>
      <c r="BG135" s="660">
        <f t="shared" si="592"/>
        <v>0</v>
      </c>
      <c r="BI135" s="660">
        <v>0</v>
      </c>
      <c r="BJ135" s="660">
        <v>0</v>
      </c>
      <c r="BK135" s="660">
        <v>0</v>
      </c>
      <c r="BL135" s="660">
        <f t="shared" si="619"/>
        <v>0</v>
      </c>
      <c r="BM135" s="660">
        <f t="shared" si="619"/>
        <v>0</v>
      </c>
      <c r="BN135" s="660">
        <f t="shared" si="620"/>
        <v>0</v>
      </c>
      <c r="BO135" s="660">
        <f t="shared" si="620"/>
        <v>0</v>
      </c>
      <c r="BP135" s="660">
        <f t="shared" si="621"/>
        <v>0</v>
      </c>
      <c r="BQ135" s="660">
        <f t="shared" si="621"/>
        <v>0</v>
      </c>
      <c r="BR135" s="660">
        <v>0</v>
      </c>
      <c r="BS135" s="660">
        <v>0</v>
      </c>
      <c r="BT135" s="660">
        <f t="shared" si="593"/>
        <v>0</v>
      </c>
      <c r="BU135" s="660">
        <f t="shared" si="593"/>
        <v>0</v>
      </c>
      <c r="BX135" s="660">
        <v>0</v>
      </c>
      <c r="BY135" s="660">
        <f t="shared" si="622"/>
        <v>0</v>
      </c>
      <c r="BZ135" s="660">
        <f t="shared" si="594"/>
        <v>0</v>
      </c>
      <c r="CA135" s="660">
        <f t="shared" si="595"/>
        <v>0</v>
      </c>
      <c r="CB135" s="660">
        <f t="shared" si="596"/>
        <v>0</v>
      </c>
      <c r="CC135" s="660">
        <f t="shared" si="597"/>
        <v>0</v>
      </c>
      <c r="CD135" s="660">
        <f t="shared" si="623"/>
        <v>0</v>
      </c>
    </row>
    <row r="136" spans="4:82" ht="16" thickTop="1" thickBot="1">
      <c r="D136" s="653"/>
      <c r="E136" s="654"/>
      <c r="F136" s="655" t="str">
        <f t="shared" si="598"/>
        <v/>
      </c>
      <c r="G136" s="656"/>
      <c r="I136" s="658">
        <f t="shared" si="599"/>
        <v>0</v>
      </c>
      <c r="J136" s="658">
        <f t="shared" ref="J136" si="742">IF($G136=0,0,-MIN(0,G136*c_EquityShare.LP))</f>
        <v>0</v>
      </c>
      <c r="K136" s="658">
        <f t="shared" ref="K136" si="743">I136*c_Rate.Pref_MO</f>
        <v>0</v>
      </c>
      <c r="L136" s="658">
        <f t="shared" si="573"/>
        <v>0</v>
      </c>
      <c r="M136" s="658">
        <f t="shared" si="602"/>
        <v>0</v>
      </c>
      <c r="N136" s="658">
        <f t="shared" si="626"/>
        <v>0</v>
      </c>
      <c r="O136" s="658" cm="1">
        <f t="array" ref="O136">IF(I136=0,0,IF(G136&lt;0,N136/c_EquityShare.LP*i_EquityShare.GP,L136/c_EquityShare.LP*i_EquityShare.GP))</f>
        <v>0</v>
      </c>
      <c r="P136" s="658">
        <f t="shared" si="603"/>
        <v>0</v>
      </c>
      <c r="Q136" s="658">
        <f t="shared" si="574"/>
        <v>0</v>
      </c>
      <c r="R136" s="521"/>
      <c r="S136" s="660">
        <f t="shared" si="604"/>
        <v>0</v>
      </c>
      <c r="T136" s="663" cm="1">
        <f t="array" ref="T136">IF($G136=0,0,-MIN(0,$G136*c_EquityShare.LP))</f>
        <v>0</v>
      </c>
      <c r="U136" s="663" cm="1">
        <f t="array" ref="U136">IF($D136=0,0,S136*c_Rate.Hurdle1.MO)</f>
        <v>0</v>
      </c>
      <c r="V136" s="660">
        <f t="shared" si="627"/>
        <v>0</v>
      </c>
      <c r="W136" s="660">
        <f t="shared" si="575"/>
        <v>0</v>
      </c>
      <c r="X136" s="663">
        <f t="shared" si="628"/>
        <v>0</v>
      </c>
      <c r="Y136" s="663">
        <f t="shared" si="605"/>
        <v>0</v>
      </c>
      <c r="Z136" s="663">
        <f t="shared" ref="Z136" si="744">IF(S136=0,0,O136+W136/$J$17*c_Hurdle1.Share_GP)</f>
        <v>0</v>
      </c>
      <c r="AA136" s="663">
        <f t="shared" si="577"/>
        <v>0</v>
      </c>
      <c r="AB136" s="660">
        <f t="shared" si="630"/>
        <v>0</v>
      </c>
      <c r="AC136" s="521"/>
      <c r="AD136" s="663">
        <f t="shared" si="607"/>
        <v>0</v>
      </c>
      <c r="AE136" s="663">
        <f t="shared" ref="AE136" si="745">IF($G136=0,0,-MIN(0,$G136*c_EquityShare.LP))</f>
        <v>0</v>
      </c>
      <c r="AF136" s="663" cm="1">
        <f t="array" ref="AF136">IF($D136=0,0,AD136*(c_Rate.Hurdle2.MO))</f>
        <v>0</v>
      </c>
      <c r="AG136" s="663">
        <f t="shared" si="579"/>
        <v>0</v>
      </c>
      <c r="AH136" s="663">
        <f t="shared" si="609"/>
        <v>0</v>
      </c>
      <c r="AI136" s="663">
        <f t="shared" si="580"/>
        <v>0</v>
      </c>
      <c r="AJ136" s="664">
        <f t="shared" si="581"/>
        <v>0</v>
      </c>
      <c r="AK136" s="660">
        <f t="shared" si="582"/>
        <v>0</v>
      </c>
      <c r="AL136" s="663">
        <f t="shared" ref="AL136" si="746">IF(AD136=0,0,Z136+AH136/$J$18*c_Hurdle2.Share_GP)</f>
        <v>0</v>
      </c>
      <c r="AM136" s="663">
        <f t="shared" si="584"/>
        <v>0</v>
      </c>
      <c r="AN136" s="660">
        <f t="shared" si="633"/>
        <v>0</v>
      </c>
      <c r="AO136" s="521"/>
      <c r="AP136" s="663">
        <f t="shared" si="611"/>
        <v>0</v>
      </c>
      <c r="AQ136" s="663">
        <f t="shared" ref="AQ136" si="747">IF($G136=0,0,-MIN(0,$G136*c_EquityShare.LP))</f>
        <v>0</v>
      </c>
      <c r="AR136" s="663" cm="1">
        <f t="array" ref="AR136">IF($D136=0,0,AP136*(c_Rate.Hurdle3.MO))</f>
        <v>0</v>
      </c>
      <c r="AS136" s="663">
        <f t="shared" si="586"/>
        <v>0</v>
      </c>
      <c r="AT136" s="663">
        <f t="shared" si="613"/>
        <v>0</v>
      </c>
      <c r="AU136" s="663">
        <f t="shared" si="587"/>
        <v>0</v>
      </c>
      <c r="AV136" s="664">
        <f t="shared" si="588"/>
        <v>0</v>
      </c>
      <c r="AW136" s="660">
        <f t="shared" si="614"/>
        <v>0</v>
      </c>
      <c r="AX136" s="663">
        <f t="shared" ref="AX136" si="748">IF(AP136=0,0,AL136+AT136/$J$19*c_Hurdle3.Share_GP)</f>
        <v>0</v>
      </c>
      <c r="AY136" s="663">
        <f t="shared" si="616"/>
        <v>0</v>
      </c>
      <c r="AZ136" s="660">
        <f t="shared" si="636"/>
        <v>0</v>
      </c>
      <c r="BA136" s="521"/>
      <c r="BB136" s="660">
        <f t="shared" si="590"/>
        <v>0</v>
      </c>
      <c r="BC136" s="660">
        <f t="shared" ref="BC136" si="749">$AZ136*c_Residual.Share_GP</f>
        <v>0</v>
      </c>
      <c r="BD136" s="651"/>
      <c r="BE136" s="660">
        <f t="shared" si="618"/>
        <v>0</v>
      </c>
      <c r="BF136" s="660">
        <f t="shared" si="618"/>
        <v>0</v>
      </c>
      <c r="BG136" s="660">
        <f t="shared" si="592"/>
        <v>0</v>
      </c>
      <c r="BI136" s="660">
        <v>0</v>
      </c>
      <c r="BJ136" s="660">
        <v>0</v>
      </c>
      <c r="BK136" s="660">
        <v>0</v>
      </c>
      <c r="BL136" s="660">
        <f t="shared" si="619"/>
        <v>0</v>
      </c>
      <c r="BM136" s="660">
        <f t="shared" si="619"/>
        <v>0</v>
      </c>
      <c r="BN136" s="660">
        <f t="shared" si="620"/>
        <v>0</v>
      </c>
      <c r="BO136" s="660">
        <f t="shared" si="620"/>
        <v>0</v>
      </c>
      <c r="BP136" s="660">
        <f t="shared" si="621"/>
        <v>0</v>
      </c>
      <c r="BQ136" s="660">
        <f t="shared" si="621"/>
        <v>0</v>
      </c>
      <c r="BR136" s="660">
        <v>0</v>
      </c>
      <c r="BS136" s="660">
        <v>0</v>
      </c>
      <c r="BT136" s="660">
        <f t="shared" si="593"/>
        <v>0</v>
      </c>
      <c r="BU136" s="660">
        <f t="shared" si="593"/>
        <v>0</v>
      </c>
      <c r="BX136" s="660">
        <v>0</v>
      </c>
      <c r="BY136" s="660">
        <f t="shared" si="622"/>
        <v>0</v>
      </c>
      <c r="BZ136" s="660">
        <f t="shared" si="594"/>
        <v>0</v>
      </c>
      <c r="CA136" s="660">
        <f t="shared" si="595"/>
        <v>0</v>
      </c>
      <c r="CB136" s="660">
        <f t="shared" si="596"/>
        <v>0</v>
      </c>
      <c r="CC136" s="660">
        <f t="shared" si="597"/>
        <v>0</v>
      </c>
      <c r="CD136" s="660">
        <f t="shared" si="623"/>
        <v>0</v>
      </c>
    </row>
    <row r="137" spans="4:82" ht="16" thickTop="1" thickBot="1">
      <c r="D137" s="653"/>
      <c r="E137" s="654"/>
      <c r="F137" s="655" t="str">
        <f t="shared" si="598"/>
        <v/>
      </c>
      <c r="G137" s="656"/>
      <c r="I137" s="658">
        <f t="shared" si="599"/>
        <v>0</v>
      </c>
      <c r="J137" s="658">
        <f t="shared" ref="J137" si="750">IF($G137=0,0,-MIN(0,G137*c_EquityShare.LP))</f>
        <v>0</v>
      </c>
      <c r="K137" s="658">
        <f t="shared" ref="K137" si="751">I137*c_Rate.Pref_MO</f>
        <v>0</v>
      </c>
      <c r="L137" s="658">
        <f t="shared" si="573"/>
        <v>0</v>
      </c>
      <c r="M137" s="658">
        <f t="shared" si="602"/>
        <v>0</v>
      </c>
      <c r="N137" s="658">
        <f t="shared" si="626"/>
        <v>0</v>
      </c>
      <c r="O137" s="658" cm="1">
        <f t="array" ref="O137">IF(I137=0,0,IF(G137&lt;0,N137/c_EquityShare.LP*i_EquityShare.GP,L137/c_EquityShare.LP*i_EquityShare.GP))</f>
        <v>0</v>
      </c>
      <c r="P137" s="658">
        <f t="shared" si="603"/>
        <v>0</v>
      </c>
      <c r="Q137" s="658">
        <f t="shared" si="574"/>
        <v>0</v>
      </c>
      <c r="R137" s="521"/>
      <c r="S137" s="660">
        <f t="shared" si="604"/>
        <v>0</v>
      </c>
      <c r="T137" s="663" cm="1">
        <f t="array" ref="T137">IF($G137=0,0,-MIN(0,$G137*c_EquityShare.LP))</f>
        <v>0</v>
      </c>
      <c r="U137" s="663" cm="1">
        <f t="array" ref="U137">IF($D137=0,0,S137*c_Rate.Hurdle1.MO)</f>
        <v>0</v>
      </c>
      <c r="V137" s="660">
        <f t="shared" si="627"/>
        <v>0</v>
      </c>
      <c r="W137" s="660">
        <f t="shared" si="575"/>
        <v>0</v>
      </c>
      <c r="X137" s="663">
        <f t="shared" si="628"/>
        <v>0</v>
      </c>
      <c r="Y137" s="663">
        <f t="shared" si="605"/>
        <v>0</v>
      </c>
      <c r="Z137" s="663">
        <f t="shared" ref="Z137" si="752">IF(S137=0,0,O137+W137/$J$17*c_Hurdle1.Share_GP)</f>
        <v>0</v>
      </c>
      <c r="AA137" s="663">
        <f t="shared" si="577"/>
        <v>0</v>
      </c>
      <c r="AB137" s="660">
        <f t="shared" si="630"/>
        <v>0</v>
      </c>
      <c r="AC137" s="521"/>
      <c r="AD137" s="663">
        <f t="shared" si="607"/>
        <v>0</v>
      </c>
      <c r="AE137" s="663">
        <f t="shared" ref="AE137" si="753">IF($G137=0,0,-MIN(0,$G137*c_EquityShare.LP))</f>
        <v>0</v>
      </c>
      <c r="AF137" s="663" cm="1">
        <f t="array" ref="AF137">IF($D137=0,0,AD137*(c_Rate.Hurdle2.MO))</f>
        <v>0</v>
      </c>
      <c r="AG137" s="663">
        <f t="shared" si="579"/>
        <v>0</v>
      </c>
      <c r="AH137" s="663">
        <f t="shared" si="609"/>
        <v>0</v>
      </c>
      <c r="AI137" s="663">
        <f t="shared" si="580"/>
        <v>0</v>
      </c>
      <c r="AJ137" s="664">
        <f t="shared" si="581"/>
        <v>0</v>
      </c>
      <c r="AK137" s="660">
        <f t="shared" si="582"/>
        <v>0</v>
      </c>
      <c r="AL137" s="663">
        <f t="shared" ref="AL137" si="754">IF(AD137=0,0,Z137+AH137/$J$18*c_Hurdle2.Share_GP)</f>
        <v>0</v>
      </c>
      <c r="AM137" s="663">
        <f t="shared" si="584"/>
        <v>0</v>
      </c>
      <c r="AN137" s="660">
        <f t="shared" si="633"/>
        <v>0</v>
      </c>
      <c r="AO137" s="521"/>
      <c r="AP137" s="663">
        <f t="shared" si="611"/>
        <v>0</v>
      </c>
      <c r="AQ137" s="663">
        <f t="shared" ref="AQ137" si="755">IF($G137=0,0,-MIN(0,$G137*c_EquityShare.LP))</f>
        <v>0</v>
      </c>
      <c r="AR137" s="663" cm="1">
        <f t="array" ref="AR137">IF($D137=0,0,AP137*(c_Rate.Hurdle3.MO))</f>
        <v>0</v>
      </c>
      <c r="AS137" s="663">
        <f t="shared" si="586"/>
        <v>0</v>
      </c>
      <c r="AT137" s="663">
        <f t="shared" si="613"/>
        <v>0</v>
      </c>
      <c r="AU137" s="663">
        <f t="shared" si="587"/>
        <v>0</v>
      </c>
      <c r="AV137" s="664">
        <f t="shared" si="588"/>
        <v>0</v>
      </c>
      <c r="AW137" s="660">
        <f t="shared" si="614"/>
        <v>0</v>
      </c>
      <c r="AX137" s="663">
        <f t="shared" ref="AX137" si="756">IF(AP137=0,0,AL137+AT137/$J$19*c_Hurdle3.Share_GP)</f>
        <v>0</v>
      </c>
      <c r="AY137" s="663">
        <f t="shared" si="616"/>
        <v>0</v>
      </c>
      <c r="AZ137" s="660">
        <f t="shared" si="636"/>
        <v>0</v>
      </c>
      <c r="BA137" s="521"/>
      <c r="BB137" s="660">
        <f t="shared" si="590"/>
        <v>0</v>
      </c>
      <c r="BC137" s="660">
        <f t="shared" ref="BC137" si="757">$AZ137*c_Residual.Share_GP</f>
        <v>0</v>
      </c>
      <c r="BD137" s="651"/>
      <c r="BE137" s="660">
        <f t="shared" si="618"/>
        <v>0</v>
      </c>
      <c r="BF137" s="660">
        <f t="shared" si="618"/>
        <v>0</v>
      </c>
      <c r="BG137" s="660">
        <f t="shared" si="592"/>
        <v>0</v>
      </c>
      <c r="BI137" s="660">
        <v>0</v>
      </c>
      <c r="BJ137" s="660">
        <v>0</v>
      </c>
      <c r="BK137" s="660">
        <v>0</v>
      </c>
      <c r="BL137" s="660">
        <f t="shared" si="619"/>
        <v>0</v>
      </c>
      <c r="BM137" s="660">
        <f t="shared" si="619"/>
        <v>0</v>
      </c>
      <c r="BN137" s="660">
        <f t="shared" si="620"/>
        <v>0</v>
      </c>
      <c r="BO137" s="660">
        <f t="shared" si="620"/>
        <v>0</v>
      </c>
      <c r="BP137" s="660">
        <f t="shared" si="621"/>
        <v>0</v>
      </c>
      <c r="BQ137" s="660">
        <f t="shared" si="621"/>
        <v>0</v>
      </c>
      <c r="BR137" s="660">
        <v>0</v>
      </c>
      <c r="BS137" s="660">
        <v>0</v>
      </c>
      <c r="BT137" s="660">
        <f t="shared" si="593"/>
        <v>0</v>
      </c>
      <c r="BU137" s="660">
        <f t="shared" si="593"/>
        <v>0</v>
      </c>
      <c r="BX137" s="660">
        <v>0</v>
      </c>
      <c r="BY137" s="660">
        <f t="shared" si="622"/>
        <v>0</v>
      </c>
      <c r="BZ137" s="660">
        <f t="shared" si="594"/>
        <v>0</v>
      </c>
      <c r="CA137" s="660">
        <f t="shared" si="595"/>
        <v>0</v>
      </c>
      <c r="CB137" s="660">
        <f t="shared" si="596"/>
        <v>0</v>
      </c>
      <c r="CC137" s="660">
        <f t="shared" si="597"/>
        <v>0</v>
      </c>
      <c r="CD137" s="660">
        <f t="shared" si="623"/>
        <v>0</v>
      </c>
    </row>
    <row r="138" spans="4:82" ht="16" thickTop="1" thickBot="1">
      <c r="D138" s="653"/>
      <c r="E138" s="654"/>
      <c r="F138" s="655" t="str">
        <f t="shared" si="598"/>
        <v/>
      </c>
      <c r="G138" s="656"/>
      <c r="I138" s="658">
        <f t="shared" si="599"/>
        <v>0</v>
      </c>
      <c r="J138" s="658">
        <f t="shared" ref="J138" si="758">IF($G138=0,0,-MIN(0,G138*c_EquityShare.LP))</f>
        <v>0</v>
      </c>
      <c r="K138" s="658">
        <f t="shared" ref="K138" si="759">I138*c_Rate.Pref_MO</f>
        <v>0</v>
      </c>
      <c r="L138" s="658">
        <f t="shared" si="573"/>
        <v>0</v>
      </c>
      <c r="M138" s="658">
        <f t="shared" si="602"/>
        <v>0</v>
      </c>
      <c r="N138" s="658">
        <f t="shared" si="626"/>
        <v>0</v>
      </c>
      <c r="O138" s="658" cm="1">
        <f t="array" ref="O138">IF(I138=0,0,IF(G138&lt;0,N138/c_EquityShare.LP*i_EquityShare.GP,L138/c_EquityShare.LP*i_EquityShare.GP))</f>
        <v>0</v>
      </c>
      <c r="P138" s="658">
        <f t="shared" si="603"/>
        <v>0</v>
      </c>
      <c r="Q138" s="658">
        <f t="shared" si="574"/>
        <v>0</v>
      </c>
      <c r="R138" s="521"/>
      <c r="S138" s="660">
        <f t="shared" si="604"/>
        <v>0</v>
      </c>
      <c r="T138" s="663" cm="1">
        <f t="array" ref="T138">IF($G138=0,0,-MIN(0,$G138*c_EquityShare.LP))</f>
        <v>0</v>
      </c>
      <c r="U138" s="663" cm="1">
        <f t="array" ref="U138">IF($D138=0,0,S138*c_Rate.Hurdle1.MO)</f>
        <v>0</v>
      </c>
      <c r="V138" s="660">
        <f t="shared" si="627"/>
        <v>0</v>
      </c>
      <c r="W138" s="660">
        <f t="shared" si="575"/>
        <v>0</v>
      </c>
      <c r="X138" s="663">
        <f t="shared" si="628"/>
        <v>0</v>
      </c>
      <c r="Y138" s="663">
        <f t="shared" si="605"/>
        <v>0</v>
      </c>
      <c r="Z138" s="663">
        <f t="shared" ref="Z138" si="760">IF(S138=0,0,O138+W138/$J$17*c_Hurdle1.Share_GP)</f>
        <v>0</v>
      </c>
      <c r="AA138" s="663">
        <f t="shared" si="577"/>
        <v>0</v>
      </c>
      <c r="AB138" s="660">
        <f t="shared" si="630"/>
        <v>0</v>
      </c>
      <c r="AC138" s="521"/>
      <c r="AD138" s="663">
        <f>AI137</f>
        <v>0</v>
      </c>
      <c r="AE138" s="663">
        <f t="shared" ref="AE138" si="761">IF($G138=0,0,-MIN(0,$G138*c_EquityShare.LP))</f>
        <v>0</v>
      </c>
      <c r="AF138" s="663" cm="1">
        <f t="array" ref="AF138">IF($D138=0,0,AD138*(c_Rate.Hurdle2.MO))</f>
        <v>0</v>
      </c>
      <c r="AG138" s="663">
        <f t="shared" si="579"/>
        <v>0</v>
      </c>
      <c r="AH138" s="663">
        <f t="shared" si="609"/>
        <v>0</v>
      </c>
      <c r="AI138" s="663">
        <f t="shared" si="580"/>
        <v>0</v>
      </c>
      <c r="AJ138" s="664">
        <f t="shared" si="581"/>
        <v>0</v>
      </c>
      <c r="AK138" s="660">
        <f t="shared" si="582"/>
        <v>0</v>
      </c>
      <c r="AL138" s="663">
        <f t="shared" ref="AL138" si="762">IF(AD138=0,0,Z138+AH138/$J$18*c_Hurdle2.Share_GP)</f>
        <v>0</v>
      </c>
      <c r="AM138" s="663">
        <f t="shared" si="584"/>
        <v>0</v>
      </c>
      <c r="AN138" s="660">
        <f t="shared" si="633"/>
        <v>0</v>
      </c>
      <c r="AO138" s="521"/>
      <c r="AP138" s="663">
        <f>AU137</f>
        <v>0</v>
      </c>
      <c r="AQ138" s="663">
        <f t="shared" ref="AQ138" si="763">IF($G138=0,0,-MIN(0,$G138*c_EquityShare.LP))</f>
        <v>0</v>
      </c>
      <c r="AR138" s="663" cm="1">
        <f t="array" ref="AR138">IF($D138=0,0,AP138*(c_Rate.Hurdle3.MO))</f>
        <v>0</v>
      </c>
      <c r="AS138" s="663">
        <f t="shared" si="586"/>
        <v>0</v>
      </c>
      <c r="AT138" s="663">
        <f t="shared" si="613"/>
        <v>0</v>
      </c>
      <c r="AU138" s="663">
        <f t="shared" si="587"/>
        <v>0</v>
      </c>
      <c r="AV138" s="664">
        <f t="shared" si="588"/>
        <v>0</v>
      </c>
      <c r="AW138" s="660">
        <f t="shared" si="614"/>
        <v>0</v>
      </c>
      <c r="AX138" s="663">
        <f t="shared" ref="AX138" si="764">IF(AP138=0,0,AL138+AT138/$J$19*c_Hurdle3.Share_GP)</f>
        <v>0</v>
      </c>
      <c r="AY138" s="663">
        <f t="shared" si="616"/>
        <v>0</v>
      </c>
      <c r="AZ138" s="660">
        <f t="shared" si="636"/>
        <v>0</v>
      </c>
      <c r="BA138" s="521"/>
      <c r="BB138" s="660">
        <f t="shared" si="590"/>
        <v>0</v>
      </c>
      <c r="BC138" s="660">
        <f t="shared" ref="BC138" si="765">$AZ138*c_Residual.Share_GP</f>
        <v>0</v>
      </c>
      <c r="BD138" s="651"/>
      <c r="BE138" s="660">
        <f t="shared" si="618"/>
        <v>0</v>
      </c>
      <c r="BF138" s="660">
        <f t="shared" si="618"/>
        <v>0</v>
      </c>
      <c r="BG138" s="660">
        <f t="shared" si="592"/>
        <v>0</v>
      </c>
      <c r="BI138" s="660">
        <v>0</v>
      </c>
      <c r="BJ138" s="660">
        <v>0</v>
      </c>
      <c r="BK138" s="660">
        <v>0</v>
      </c>
      <c r="BL138" s="660">
        <f t="shared" si="619"/>
        <v>0</v>
      </c>
      <c r="BM138" s="660">
        <f t="shared" si="619"/>
        <v>0</v>
      </c>
      <c r="BN138" s="660">
        <f t="shared" si="620"/>
        <v>0</v>
      </c>
      <c r="BO138" s="660">
        <f t="shared" si="620"/>
        <v>0</v>
      </c>
      <c r="BP138" s="660">
        <f t="shared" si="621"/>
        <v>0</v>
      </c>
      <c r="BQ138" s="660">
        <f t="shared" si="621"/>
        <v>0</v>
      </c>
      <c r="BR138" s="660">
        <v>0</v>
      </c>
      <c r="BS138" s="660">
        <v>0</v>
      </c>
      <c r="BT138" s="660">
        <f t="shared" si="593"/>
        <v>0</v>
      </c>
      <c r="BU138" s="660">
        <f t="shared" si="593"/>
        <v>0</v>
      </c>
      <c r="BX138" s="660">
        <v>0</v>
      </c>
      <c r="BY138" s="660">
        <f t="shared" si="622"/>
        <v>0</v>
      </c>
      <c r="BZ138" s="660">
        <f t="shared" si="594"/>
        <v>0</v>
      </c>
      <c r="CA138" s="660">
        <f t="shared" si="595"/>
        <v>0</v>
      </c>
      <c r="CB138" s="660">
        <f t="shared" si="596"/>
        <v>0</v>
      </c>
      <c r="CC138" s="660">
        <f t="shared" si="597"/>
        <v>0</v>
      </c>
      <c r="CD138" s="660">
        <f t="shared" si="623"/>
        <v>0</v>
      </c>
    </row>
    <row r="139" spans="4:82" ht="16" thickTop="1" thickBot="1">
      <c r="D139" s="653"/>
      <c r="E139" s="654"/>
      <c r="F139" s="655" t="str">
        <f t="shared" si="598"/>
        <v/>
      </c>
      <c r="G139" s="656"/>
      <c r="I139" s="658">
        <f t="shared" si="599"/>
        <v>0</v>
      </c>
      <c r="J139" s="658">
        <f t="shared" ref="J139" si="766">IF($G139=0,0,-MIN(0,G139*c_EquityShare.LP))</f>
        <v>0</v>
      </c>
      <c r="K139" s="658">
        <f t="shared" ref="K139" si="767">I139*c_Rate.Pref_MO</f>
        <v>0</v>
      </c>
      <c r="L139" s="658">
        <f t="shared" si="573"/>
        <v>0</v>
      </c>
      <c r="M139" s="658">
        <f t="shared" si="602"/>
        <v>0</v>
      </c>
      <c r="N139" s="658">
        <f t="shared" si="626"/>
        <v>0</v>
      </c>
      <c r="O139" s="658" cm="1">
        <f t="array" ref="O139">IF(I139=0,0,IF(G139&lt;0,N139/c_EquityShare.LP*i_EquityShare.GP,L139/c_EquityShare.LP*i_EquityShare.GP))</f>
        <v>0</v>
      </c>
      <c r="P139" s="658">
        <f t="shared" si="603"/>
        <v>0</v>
      </c>
      <c r="Q139" s="658">
        <f t="shared" si="574"/>
        <v>0</v>
      </c>
      <c r="R139" s="521"/>
      <c r="S139" s="660">
        <f t="shared" si="604"/>
        <v>0</v>
      </c>
      <c r="T139" s="663" cm="1">
        <f t="array" ref="T139">IF($G139=0,0,-MIN(0,$G139*c_EquityShare.LP))</f>
        <v>0</v>
      </c>
      <c r="U139" s="663" cm="1">
        <f t="array" ref="U139">IF($D139=0,0,S139*c_Rate.Hurdle1.MO)</f>
        <v>0</v>
      </c>
      <c r="V139" s="660">
        <f t="shared" si="627"/>
        <v>0</v>
      </c>
      <c r="W139" s="660">
        <f t="shared" si="575"/>
        <v>0</v>
      </c>
      <c r="X139" s="663">
        <f t="shared" si="628"/>
        <v>0</v>
      </c>
      <c r="Y139" s="663">
        <f t="shared" si="605"/>
        <v>0</v>
      </c>
      <c r="Z139" s="663">
        <f t="shared" ref="Z139" si="768">IF(S139=0,0,O139+W139/$J$17*c_Hurdle1.Share_GP)</f>
        <v>0</v>
      </c>
      <c r="AA139" s="663">
        <f t="shared" si="577"/>
        <v>0</v>
      </c>
      <c r="AB139" s="660">
        <f t="shared" si="630"/>
        <v>0</v>
      </c>
      <c r="AC139" s="521"/>
      <c r="AD139" s="663">
        <f t="shared" ref="AD139:AD202" si="769">AI138</f>
        <v>0</v>
      </c>
      <c r="AE139" s="663">
        <f t="shared" ref="AE139" si="770">IF($G139=0,0,-MIN(0,$G139*c_EquityShare.LP))</f>
        <v>0</v>
      </c>
      <c r="AF139" s="663" cm="1">
        <f t="array" ref="AF139">IF($D139=0,0,AD139*(c_Rate.Hurdle2.MO))</f>
        <v>0</v>
      </c>
      <c r="AG139" s="663">
        <f t="shared" si="579"/>
        <v>0</v>
      </c>
      <c r="AH139" s="663">
        <f t="shared" si="609"/>
        <v>0</v>
      </c>
      <c r="AI139" s="663">
        <f t="shared" si="580"/>
        <v>0</v>
      </c>
      <c r="AJ139" s="664">
        <f t="shared" si="581"/>
        <v>0</v>
      </c>
      <c r="AK139" s="660">
        <f t="shared" si="582"/>
        <v>0</v>
      </c>
      <c r="AL139" s="663">
        <f t="shared" ref="AL139" si="771">IF(AD139=0,0,Z139+AH139/$J$18*c_Hurdle2.Share_GP)</f>
        <v>0</v>
      </c>
      <c r="AM139" s="663">
        <f t="shared" si="584"/>
        <v>0</v>
      </c>
      <c r="AN139" s="660">
        <f t="shared" si="633"/>
        <v>0</v>
      </c>
      <c r="AO139" s="521"/>
      <c r="AP139" s="663">
        <f t="shared" ref="AP139:AP202" si="772">AU138</f>
        <v>0</v>
      </c>
      <c r="AQ139" s="663">
        <f t="shared" ref="AQ139" si="773">IF($G139=0,0,-MIN(0,$G139*c_EquityShare.LP))</f>
        <v>0</v>
      </c>
      <c r="AR139" s="663" cm="1">
        <f t="array" ref="AR139">IF($D139=0,0,AP139*(c_Rate.Hurdle3.MO))</f>
        <v>0</v>
      </c>
      <c r="AS139" s="663">
        <f t="shared" si="586"/>
        <v>0</v>
      </c>
      <c r="AT139" s="663">
        <f t="shared" si="613"/>
        <v>0</v>
      </c>
      <c r="AU139" s="663">
        <f t="shared" si="587"/>
        <v>0</v>
      </c>
      <c r="AV139" s="664">
        <f t="shared" si="588"/>
        <v>0</v>
      </c>
      <c r="AW139" s="660">
        <f t="shared" si="614"/>
        <v>0</v>
      </c>
      <c r="AX139" s="663">
        <f t="shared" ref="AX139" si="774">IF(AP139=0,0,AL139+AT139/$J$19*c_Hurdle3.Share_GP)</f>
        <v>0</v>
      </c>
      <c r="AY139" s="663">
        <f t="shared" si="616"/>
        <v>0</v>
      </c>
      <c r="AZ139" s="660">
        <f t="shared" si="636"/>
        <v>0</v>
      </c>
      <c r="BA139" s="521"/>
      <c r="BB139" s="660">
        <f t="shared" si="590"/>
        <v>0</v>
      </c>
      <c r="BC139" s="660">
        <f t="shared" ref="BC139" si="775">$AZ139*c_Residual.Share_GP</f>
        <v>0</v>
      </c>
      <c r="BD139" s="651"/>
      <c r="BE139" s="660">
        <f t="shared" si="618"/>
        <v>0</v>
      </c>
      <c r="BF139" s="660">
        <f t="shared" si="618"/>
        <v>0</v>
      </c>
      <c r="BG139" s="660">
        <f t="shared" si="592"/>
        <v>0</v>
      </c>
      <c r="BI139" s="660">
        <v>0</v>
      </c>
      <c r="BJ139" s="660">
        <v>0</v>
      </c>
      <c r="BK139" s="660">
        <v>0</v>
      </c>
      <c r="BL139" s="660">
        <f t="shared" si="619"/>
        <v>0</v>
      </c>
      <c r="BM139" s="660">
        <f t="shared" si="619"/>
        <v>0</v>
      </c>
      <c r="BN139" s="660">
        <f t="shared" si="620"/>
        <v>0</v>
      </c>
      <c r="BO139" s="660">
        <f t="shared" si="620"/>
        <v>0</v>
      </c>
      <c r="BP139" s="660">
        <f t="shared" si="621"/>
        <v>0</v>
      </c>
      <c r="BQ139" s="660">
        <f t="shared" si="621"/>
        <v>0</v>
      </c>
      <c r="BR139" s="660">
        <v>0</v>
      </c>
      <c r="BS139" s="660">
        <v>0</v>
      </c>
      <c r="BT139" s="660">
        <f t="shared" si="593"/>
        <v>0</v>
      </c>
      <c r="BU139" s="660">
        <f t="shared" si="593"/>
        <v>0</v>
      </c>
      <c r="BX139" s="660">
        <v>0</v>
      </c>
      <c r="BY139" s="660">
        <f t="shared" si="622"/>
        <v>0</v>
      </c>
      <c r="BZ139" s="660">
        <f t="shared" si="594"/>
        <v>0</v>
      </c>
      <c r="CA139" s="660">
        <f t="shared" si="595"/>
        <v>0</v>
      </c>
      <c r="CB139" s="660">
        <f t="shared" si="596"/>
        <v>0</v>
      </c>
      <c r="CC139" s="660">
        <f t="shared" si="597"/>
        <v>0</v>
      </c>
      <c r="CD139" s="660">
        <f t="shared" si="623"/>
        <v>0</v>
      </c>
    </row>
    <row r="140" spans="4:82" ht="16" thickTop="1" thickBot="1">
      <c r="D140" s="653"/>
      <c r="E140" s="654"/>
      <c r="F140" s="655" t="str">
        <f t="shared" si="598"/>
        <v/>
      </c>
      <c r="G140" s="656"/>
      <c r="I140" s="658">
        <f t="shared" si="599"/>
        <v>0</v>
      </c>
      <c r="J140" s="658">
        <f t="shared" ref="J140" si="776">IF($G140=0,0,-MIN(0,G140*c_EquityShare.LP))</f>
        <v>0</v>
      </c>
      <c r="K140" s="658">
        <f t="shared" ref="K140" si="777">I140*c_Rate.Pref_MO</f>
        <v>0</v>
      </c>
      <c r="L140" s="658">
        <f t="shared" si="573"/>
        <v>0</v>
      </c>
      <c r="M140" s="658">
        <f t="shared" si="602"/>
        <v>0</v>
      </c>
      <c r="N140" s="658">
        <f t="shared" si="626"/>
        <v>0</v>
      </c>
      <c r="O140" s="658" cm="1">
        <f t="array" ref="O140">IF(I140=0,0,IF(G140&lt;0,N140/c_EquityShare.LP*i_EquityShare.GP,L140/c_EquityShare.LP*i_EquityShare.GP))</f>
        <v>0</v>
      </c>
      <c r="P140" s="658">
        <f t="shared" si="603"/>
        <v>0</v>
      </c>
      <c r="Q140" s="658">
        <f t="shared" si="574"/>
        <v>0</v>
      </c>
      <c r="R140" s="521"/>
      <c r="S140" s="660">
        <f t="shared" si="604"/>
        <v>0</v>
      </c>
      <c r="T140" s="663" cm="1">
        <f t="array" ref="T140">IF($G140=0,0,-MIN(0,$G140*c_EquityShare.LP))</f>
        <v>0</v>
      </c>
      <c r="U140" s="663" cm="1">
        <f t="array" ref="U140">IF($D140=0,0,S140*c_Rate.Hurdle1.MO)</f>
        <v>0</v>
      </c>
      <c r="V140" s="660">
        <f t="shared" si="627"/>
        <v>0</v>
      </c>
      <c r="W140" s="660">
        <f t="shared" si="575"/>
        <v>0</v>
      </c>
      <c r="X140" s="663">
        <f t="shared" si="628"/>
        <v>0</v>
      </c>
      <c r="Y140" s="663">
        <f t="shared" si="605"/>
        <v>0</v>
      </c>
      <c r="Z140" s="663">
        <f t="shared" ref="Z140" si="778">IF(S140=0,0,O140+W140/$J$17*c_Hurdle1.Share_GP)</f>
        <v>0</v>
      </c>
      <c r="AA140" s="663">
        <f t="shared" si="577"/>
        <v>0</v>
      </c>
      <c r="AB140" s="660">
        <f t="shared" si="630"/>
        <v>0</v>
      </c>
      <c r="AC140" s="521"/>
      <c r="AD140" s="663">
        <f t="shared" si="769"/>
        <v>0</v>
      </c>
      <c r="AE140" s="663">
        <f t="shared" ref="AE140" si="779">IF($G140=0,0,-MIN(0,$G140*c_EquityShare.LP))</f>
        <v>0</v>
      </c>
      <c r="AF140" s="663" cm="1">
        <f t="array" ref="AF140">IF($D140=0,0,AD140*(c_Rate.Hurdle2.MO))</f>
        <v>0</v>
      </c>
      <c r="AG140" s="663">
        <f t="shared" si="579"/>
        <v>0</v>
      </c>
      <c r="AH140" s="663">
        <f t="shared" si="609"/>
        <v>0</v>
      </c>
      <c r="AI140" s="663">
        <f t="shared" si="580"/>
        <v>0</v>
      </c>
      <c r="AJ140" s="664">
        <f t="shared" si="581"/>
        <v>0</v>
      </c>
      <c r="AK140" s="660">
        <f t="shared" si="582"/>
        <v>0</v>
      </c>
      <c r="AL140" s="663">
        <f t="shared" ref="AL140" si="780">IF(AD140=0,0,Z140+AH140/$J$18*c_Hurdle2.Share_GP)</f>
        <v>0</v>
      </c>
      <c r="AM140" s="663">
        <f t="shared" si="584"/>
        <v>0</v>
      </c>
      <c r="AN140" s="660">
        <f t="shared" si="633"/>
        <v>0</v>
      </c>
      <c r="AO140" s="521"/>
      <c r="AP140" s="663">
        <f t="shared" si="772"/>
        <v>0</v>
      </c>
      <c r="AQ140" s="663">
        <f t="shared" ref="AQ140" si="781">IF($G140=0,0,-MIN(0,$G140*c_EquityShare.LP))</f>
        <v>0</v>
      </c>
      <c r="AR140" s="663" cm="1">
        <f t="array" ref="AR140">IF($D140=0,0,AP140*(c_Rate.Hurdle3.MO))</f>
        <v>0</v>
      </c>
      <c r="AS140" s="663">
        <f t="shared" si="586"/>
        <v>0</v>
      </c>
      <c r="AT140" s="663">
        <f t="shared" si="613"/>
        <v>0</v>
      </c>
      <c r="AU140" s="663">
        <f t="shared" si="587"/>
        <v>0</v>
      </c>
      <c r="AV140" s="664">
        <f t="shared" si="588"/>
        <v>0</v>
      </c>
      <c r="AW140" s="660">
        <f t="shared" si="614"/>
        <v>0</v>
      </c>
      <c r="AX140" s="663">
        <f t="shared" ref="AX140" si="782">IF(AP140=0,0,AL140+AT140/$J$19*c_Hurdle3.Share_GP)</f>
        <v>0</v>
      </c>
      <c r="AY140" s="663">
        <f t="shared" si="616"/>
        <v>0</v>
      </c>
      <c r="AZ140" s="660">
        <f t="shared" si="636"/>
        <v>0</v>
      </c>
      <c r="BA140" s="521"/>
      <c r="BB140" s="660">
        <f t="shared" si="590"/>
        <v>0</v>
      </c>
      <c r="BC140" s="660">
        <f t="shared" ref="BC140" si="783">$AZ140*c_Residual.Share_GP</f>
        <v>0</v>
      </c>
      <c r="BD140" s="651"/>
      <c r="BE140" s="660">
        <f t="shared" si="618"/>
        <v>0</v>
      </c>
      <c r="BF140" s="660">
        <f t="shared" si="618"/>
        <v>0</v>
      </c>
      <c r="BG140" s="660">
        <f t="shared" si="592"/>
        <v>0</v>
      </c>
      <c r="BI140" s="660">
        <v>0</v>
      </c>
      <c r="BJ140" s="660">
        <v>0</v>
      </c>
      <c r="BK140" s="660">
        <v>0</v>
      </c>
      <c r="BL140" s="660">
        <f t="shared" si="619"/>
        <v>0</v>
      </c>
      <c r="BM140" s="660">
        <f t="shared" si="619"/>
        <v>0</v>
      </c>
      <c r="BN140" s="660">
        <f t="shared" si="620"/>
        <v>0</v>
      </c>
      <c r="BO140" s="660">
        <f t="shared" si="620"/>
        <v>0</v>
      </c>
      <c r="BP140" s="660">
        <f t="shared" si="621"/>
        <v>0</v>
      </c>
      <c r="BQ140" s="660">
        <f t="shared" si="621"/>
        <v>0</v>
      </c>
      <c r="BR140" s="660">
        <v>0</v>
      </c>
      <c r="BS140" s="660">
        <v>0</v>
      </c>
      <c r="BT140" s="660">
        <f t="shared" si="593"/>
        <v>0</v>
      </c>
      <c r="BU140" s="660">
        <f t="shared" si="593"/>
        <v>0</v>
      </c>
      <c r="BX140" s="660">
        <v>0</v>
      </c>
      <c r="BY140" s="660">
        <f t="shared" si="622"/>
        <v>0</v>
      </c>
      <c r="BZ140" s="660">
        <f t="shared" si="594"/>
        <v>0</v>
      </c>
      <c r="CA140" s="660">
        <f t="shared" si="595"/>
        <v>0</v>
      </c>
      <c r="CB140" s="660">
        <f t="shared" si="596"/>
        <v>0</v>
      </c>
      <c r="CC140" s="660">
        <f t="shared" si="597"/>
        <v>0</v>
      </c>
      <c r="CD140" s="660">
        <f t="shared" si="623"/>
        <v>0</v>
      </c>
    </row>
    <row r="141" spans="4:82" ht="16" thickTop="1" thickBot="1">
      <c r="D141" s="653"/>
      <c r="E141" s="654"/>
      <c r="F141" s="655" t="str">
        <f t="shared" si="598"/>
        <v/>
      </c>
      <c r="G141" s="656"/>
      <c r="I141" s="658">
        <f t="shared" si="599"/>
        <v>0</v>
      </c>
      <c r="J141" s="658">
        <f t="shared" ref="J141" si="784">IF($G141=0,0,-MIN(0,G141*c_EquityShare.LP))</f>
        <v>0</v>
      </c>
      <c r="K141" s="658">
        <f t="shared" ref="K141" si="785">I141*c_Rate.Pref_MO</f>
        <v>0</v>
      </c>
      <c r="L141" s="658">
        <f t="shared" si="573"/>
        <v>0</v>
      </c>
      <c r="M141" s="658">
        <f t="shared" si="602"/>
        <v>0</v>
      </c>
      <c r="N141" s="658">
        <f t="shared" si="626"/>
        <v>0</v>
      </c>
      <c r="O141" s="658" cm="1">
        <f t="array" ref="O141">IF(I141=0,0,IF(G141&lt;0,N141/c_EquityShare.LP*i_EquityShare.GP,L141/c_EquityShare.LP*i_EquityShare.GP))</f>
        <v>0</v>
      </c>
      <c r="P141" s="658">
        <f t="shared" si="603"/>
        <v>0</v>
      </c>
      <c r="Q141" s="658">
        <f t="shared" si="574"/>
        <v>0</v>
      </c>
      <c r="R141" s="521"/>
      <c r="S141" s="660">
        <f t="shared" si="604"/>
        <v>0</v>
      </c>
      <c r="T141" s="663" cm="1">
        <f t="array" ref="T141">IF($G141=0,0,-MIN(0,$G141*c_EquityShare.LP))</f>
        <v>0</v>
      </c>
      <c r="U141" s="663" cm="1">
        <f t="array" ref="U141">IF($D141=0,0,S141*c_Rate.Hurdle1.MO)</f>
        <v>0</v>
      </c>
      <c r="V141" s="660">
        <f t="shared" si="627"/>
        <v>0</v>
      </c>
      <c r="W141" s="660">
        <f t="shared" si="575"/>
        <v>0</v>
      </c>
      <c r="X141" s="663">
        <f t="shared" si="628"/>
        <v>0</v>
      </c>
      <c r="Y141" s="663">
        <f t="shared" si="605"/>
        <v>0</v>
      </c>
      <c r="Z141" s="663">
        <f t="shared" ref="Z141" si="786">IF(S141=0,0,O141+W141/$J$17*c_Hurdle1.Share_GP)</f>
        <v>0</v>
      </c>
      <c r="AA141" s="663">
        <f t="shared" si="577"/>
        <v>0</v>
      </c>
      <c r="AB141" s="660">
        <f t="shared" si="630"/>
        <v>0</v>
      </c>
      <c r="AC141" s="521"/>
      <c r="AD141" s="663">
        <f t="shared" si="769"/>
        <v>0</v>
      </c>
      <c r="AE141" s="663">
        <f t="shared" ref="AE141" si="787">IF($G141=0,0,-MIN(0,$G141*c_EquityShare.LP))</f>
        <v>0</v>
      </c>
      <c r="AF141" s="663" cm="1">
        <f t="array" ref="AF141">IF($D141=0,0,AD141*(c_Rate.Hurdle2.MO))</f>
        <v>0</v>
      </c>
      <c r="AG141" s="663">
        <f t="shared" si="579"/>
        <v>0</v>
      </c>
      <c r="AH141" s="663">
        <f t="shared" si="609"/>
        <v>0</v>
      </c>
      <c r="AI141" s="663">
        <f t="shared" si="580"/>
        <v>0</v>
      </c>
      <c r="AJ141" s="664">
        <f t="shared" si="581"/>
        <v>0</v>
      </c>
      <c r="AK141" s="660">
        <f t="shared" si="582"/>
        <v>0</v>
      </c>
      <c r="AL141" s="663">
        <f t="shared" ref="AL141" si="788">IF(AD141=0,0,Z141+AH141/$J$18*c_Hurdle2.Share_GP)</f>
        <v>0</v>
      </c>
      <c r="AM141" s="663">
        <f t="shared" si="584"/>
        <v>0</v>
      </c>
      <c r="AN141" s="660">
        <f t="shared" si="633"/>
        <v>0</v>
      </c>
      <c r="AO141" s="521"/>
      <c r="AP141" s="663">
        <f t="shared" si="772"/>
        <v>0</v>
      </c>
      <c r="AQ141" s="663">
        <f t="shared" ref="AQ141" si="789">IF($G141=0,0,-MIN(0,$G141*c_EquityShare.LP))</f>
        <v>0</v>
      </c>
      <c r="AR141" s="663" cm="1">
        <f t="array" ref="AR141">IF($D141=0,0,AP141*(c_Rate.Hurdle3.MO))</f>
        <v>0</v>
      </c>
      <c r="AS141" s="663">
        <f t="shared" si="586"/>
        <v>0</v>
      </c>
      <c r="AT141" s="663">
        <f t="shared" si="613"/>
        <v>0</v>
      </c>
      <c r="AU141" s="663">
        <f t="shared" si="587"/>
        <v>0</v>
      </c>
      <c r="AV141" s="664">
        <f t="shared" si="588"/>
        <v>0</v>
      </c>
      <c r="AW141" s="660">
        <f t="shared" si="614"/>
        <v>0</v>
      </c>
      <c r="AX141" s="663">
        <f t="shared" ref="AX141" si="790">IF(AP141=0,0,AL141+AT141/$J$19*c_Hurdle3.Share_GP)</f>
        <v>0</v>
      </c>
      <c r="AY141" s="663">
        <f t="shared" si="616"/>
        <v>0</v>
      </c>
      <c r="AZ141" s="660">
        <f t="shared" si="636"/>
        <v>0</v>
      </c>
      <c r="BA141" s="521"/>
      <c r="BB141" s="660">
        <f t="shared" si="590"/>
        <v>0</v>
      </c>
      <c r="BC141" s="660">
        <f t="shared" ref="BC141" si="791">$AZ141*c_Residual.Share_GP</f>
        <v>0</v>
      </c>
      <c r="BD141" s="651"/>
      <c r="BE141" s="660">
        <f t="shared" si="618"/>
        <v>0</v>
      </c>
      <c r="BF141" s="660">
        <f t="shared" si="618"/>
        <v>0</v>
      </c>
      <c r="BG141" s="660">
        <f t="shared" si="592"/>
        <v>0</v>
      </c>
      <c r="BI141" s="660">
        <v>0</v>
      </c>
      <c r="BJ141" s="660">
        <v>0</v>
      </c>
      <c r="BK141" s="660">
        <v>0</v>
      </c>
      <c r="BL141" s="660">
        <f t="shared" si="619"/>
        <v>0</v>
      </c>
      <c r="BM141" s="660">
        <f t="shared" si="619"/>
        <v>0</v>
      </c>
      <c r="BN141" s="660">
        <f t="shared" si="620"/>
        <v>0</v>
      </c>
      <c r="BO141" s="660">
        <f t="shared" si="620"/>
        <v>0</v>
      </c>
      <c r="BP141" s="660">
        <f t="shared" si="621"/>
        <v>0</v>
      </c>
      <c r="BQ141" s="660">
        <f t="shared" si="621"/>
        <v>0</v>
      </c>
      <c r="BR141" s="660">
        <v>0</v>
      </c>
      <c r="BS141" s="660">
        <v>0</v>
      </c>
      <c r="BT141" s="660">
        <f t="shared" si="593"/>
        <v>0</v>
      </c>
      <c r="BU141" s="660">
        <f t="shared" si="593"/>
        <v>0</v>
      </c>
      <c r="BX141" s="660">
        <v>0</v>
      </c>
      <c r="BY141" s="660">
        <f t="shared" si="622"/>
        <v>0</v>
      </c>
      <c r="BZ141" s="660">
        <f t="shared" si="594"/>
        <v>0</v>
      </c>
      <c r="CA141" s="660">
        <f t="shared" si="595"/>
        <v>0</v>
      </c>
      <c r="CB141" s="660">
        <f t="shared" si="596"/>
        <v>0</v>
      </c>
      <c r="CC141" s="660">
        <f t="shared" si="597"/>
        <v>0</v>
      </c>
      <c r="CD141" s="660">
        <f t="shared" si="623"/>
        <v>0</v>
      </c>
    </row>
    <row r="142" spans="4:82" ht="16" thickTop="1" thickBot="1">
      <c r="D142" s="653"/>
      <c r="E142" s="654"/>
      <c r="F142" s="655" t="str">
        <f t="shared" si="598"/>
        <v/>
      </c>
      <c r="G142" s="656"/>
      <c r="I142" s="658">
        <f t="shared" si="599"/>
        <v>0</v>
      </c>
      <c r="J142" s="658">
        <f t="shared" ref="J142" si="792">IF($G142=0,0,-MIN(0,G142*c_EquityShare.LP))</f>
        <v>0</v>
      </c>
      <c r="K142" s="658">
        <f t="shared" ref="K142" si="793">I142*c_Rate.Pref_MO</f>
        <v>0</v>
      </c>
      <c r="L142" s="658">
        <f t="shared" si="573"/>
        <v>0</v>
      </c>
      <c r="M142" s="658">
        <f t="shared" si="602"/>
        <v>0</v>
      </c>
      <c r="N142" s="658">
        <f t="shared" si="626"/>
        <v>0</v>
      </c>
      <c r="O142" s="658" cm="1">
        <f t="array" ref="O142">IF(I142=0,0,IF(G142&lt;0,N142/c_EquityShare.LP*i_EquityShare.GP,L142/c_EquityShare.LP*i_EquityShare.GP))</f>
        <v>0</v>
      </c>
      <c r="P142" s="658">
        <f t="shared" si="603"/>
        <v>0</v>
      </c>
      <c r="Q142" s="658">
        <f t="shared" si="574"/>
        <v>0</v>
      </c>
      <c r="R142" s="521"/>
      <c r="S142" s="660">
        <f t="shared" si="604"/>
        <v>0</v>
      </c>
      <c r="T142" s="663" cm="1">
        <f t="array" ref="T142">IF($G142=0,0,-MIN(0,$G142*c_EquityShare.LP))</f>
        <v>0</v>
      </c>
      <c r="U142" s="663" cm="1">
        <f t="array" ref="U142">IF($D142=0,0,S142*c_Rate.Hurdle1.MO)</f>
        <v>0</v>
      </c>
      <c r="V142" s="660">
        <f t="shared" si="627"/>
        <v>0</v>
      </c>
      <c r="W142" s="660">
        <f t="shared" si="575"/>
        <v>0</v>
      </c>
      <c r="X142" s="663">
        <f t="shared" si="628"/>
        <v>0</v>
      </c>
      <c r="Y142" s="663">
        <f t="shared" si="605"/>
        <v>0</v>
      </c>
      <c r="Z142" s="663">
        <f t="shared" ref="Z142" si="794">IF(S142=0,0,O142+W142/$J$17*c_Hurdle1.Share_GP)</f>
        <v>0</v>
      </c>
      <c r="AA142" s="663">
        <f t="shared" si="577"/>
        <v>0</v>
      </c>
      <c r="AB142" s="660">
        <f t="shared" si="630"/>
        <v>0</v>
      </c>
      <c r="AC142" s="521"/>
      <c r="AD142" s="663">
        <f t="shared" si="769"/>
        <v>0</v>
      </c>
      <c r="AE142" s="663">
        <f t="shared" ref="AE142" si="795">IF($G142=0,0,-MIN(0,$G142*c_EquityShare.LP))</f>
        <v>0</v>
      </c>
      <c r="AF142" s="663" cm="1">
        <f t="array" ref="AF142">IF($D142=0,0,AD142*(c_Rate.Hurdle2.MO))</f>
        <v>0</v>
      </c>
      <c r="AG142" s="663">
        <f t="shared" si="579"/>
        <v>0</v>
      </c>
      <c r="AH142" s="663">
        <f t="shared" si="609"/>
        <v>0</v>
      </c>
      <c r="AI142" s="663">
        <f t="shared" si="580"/>
        <v>0</v>
      </c>
      <c r="AJ142" s="664">
        <f t="shared" si="581"/>
        <v>0</v>
      </c>
      <c r="AK142" s="660">
        <f t="shared" si="582"/>
        <v>0</v>
      </c>
      <c r="AL142" s="663">
        <f t="shared" ref="AL142" si="796">IF(AD142=0,0,Z142+AH142/$J$18*c_Hurdle2.Share_GP)</f>
        <v>0</v>
      </c>
      <c r="AM142" s="663">
        <f t="shared" si="584"/>
        <v>0</v>
      </c>
      <c r="AN142" s="660">
        <f t="shared" si="633"/>
        <v>0</v>
      </c>
      <c r="AO142" s="521"/>
      <c r="AP142" s="663">
        <f t="shared" si="772"/>
        <v>0</v>
      </c>
      <c r="AQ142" s="663">
        <f t="shared" ref="AQ142" si="797">IF($G142=0,0,-MIN(0,$G142*c_EquityShare.LP))</f>
        <v>0</v>
      </c>
      <c r="AR142" s="663" cm="1">
        <f t="array" ref="AR142">IF($D142=0,0,AP142*(c_Rate.Hurdle3.MO))</f>
        <v>0</v>
      </c>
      <c r="AS142" s="663">
        <f t="shared" si="586"/>
        <v>0</v>
      </c>
      <c r="AT142" s="663">
        <f t="shared" si="613"/>
        <v>0</v>
      </c>
      <c r="AU142" s="663">
        <f t="shared" si="587"/>
        <v>0</v>
      </c>
      <c r="AV142" s="664">
        <f t="shared" si="588"/>
        <v>0</v>
      </c>
      <c r="AW142" s="660">
        <f t="shared" si="614"/>
        <v>0</v>
      </c>
      <c r="AX142" s="663">
        <f t="shared" ref="AX142" si="798">IF(AP142=0,0,AL142+AT142/$J$19*c_Hurdle3.Share_GP)</f>
        <v>0</v>
      </c>
      <c r="AY142" s="663">
        <f t="shared" si="616"/>
        <v>0</v>
      </c>
      <c r="AZ142" s="660">
        <f t="shared" si="636"/>
        <v>0</v>
      </c>
      <c r="BA142" s="521"/>
      <c r="BB142" s="660">
        <f t="shared" si="590"/>
        <v>0</v>
      </c>
      <c r="BC142" s="660">
        <f t="shared" ref="BC142" si="799">$AZ142*c_Residual.Share_GP</f>
        <v>0</v>
      </c>
      <c r="BD142" s="651"/>
      <c r="BE142" s="660">
        <f t="shared" si="618"/>
        <v>0</v>
      </c>
      <c r="BF142" s="660">
        <f t="shared" si="618"/>
        <v>0</v>
      </c>
      <c r="BG142" s="660">
        <f t="shared" si="592"/>
        <v>0</v>
      </c>
      <c r="BI142" s="660">
        <v>0</v>
      </c>
      <c r="BJ142" s="660">
        <v>0</v>
      </c>
      <c r="BK142" s="660">
        <v>0</v>
      </c>
      <c r="BL142" s="660">
        <f t="shared" si="619"/>
        <v>0</v>
      </c>
      <c r="BM142" s="660">
        <f t="shared" si="619"/>
        <v>0</v>
      </c>
      <c r="BN142" s="660">
        <f t="shared" si="620"/>
        <v>0</v>
      </c>
      <c r="BO142" s="660">
        <f t="shared" si="620"/>
        <v>0</v>
      </c>
      <c r="BP142" s="660">
        <f t="shared" si="621"/>
        <v>0</v>
      </c>
      <c r="BQ142" s="660">
        <f t="shared" si="621"/>
        <v>0</v>
      </c>
      <c r="BR142" s="660">
        <v>0</v>
      </c>
      <c r="BS142" s="660">
        <v>0</v>
      </c>
      <c r="BT142" s="660">
        <f t="shared" si="593"/>
        <v>0</v>
      </c>
      <c r="BU142" s="660">
        <f t="shared" si="593"/>
        <v>0</v>
      </c>
      <c r="BX142" s="660">
        <v>0</v>
      </c>
      <c r="BY142" s="660">
        <f t="shared" si="622"/>
        <v>0</v>
      </c>
      <c r="BZ142" s="660">
        <f t="shared" si="594"/>
        <v>0</v>
      </c>
      <c r="CA142" s="660">
        <f t="shared" si="595"/>
        <v>0</v>
      </c>
      <c r="CB142" s="660">
        <f t="shared" si="596"/>
        <v>0</v>
      </c>
      <c r="CC142" s="660">
        <f t="shared" si="597"/>
        <v>0</v>
      </c>
      <c r="CD142" s="660">
        <f t="shared" si="623"/>
        <v>0</v>
      </c>
    </row>
    <row r="143" spans="4:82" ht="16" thickTop="1" thickBot="1">
      <c r="D143" s="653"/>
      <c r="E143" s="654"/>
      <c r="F143" s="655" t="str">
        <f t="shared" si="598"/>
        <v/>
      </c>
      <c r="G143" s="656"/>
      <c r="I143" s="658">
        <f t="shared" si="599"/>
        <v>0</v>
      </c>
      <c r="J143" s="658">
        <f t="shared" ref="J143" si="800">IF($G143=0,0,-MIN(0,G143*c_EquityShare.LP))</f>
        <v>0</v>
      </c>
      <c r="K143" s="658">
        <f t="shared" ref="K143" si="801">I143*c_Rate.Pref_MO</f>
        <v>0</v>
      </c>
      <c r="L143" s="658">
        <f t="shared" si="573"/>
        <v>0</v>
      </c>
      <c r="M143" s="658">
        <f t="shared" si="602"/>
        <v>0</v>
      </c>
      <c r="N143" s="658">
        <f t="shared" si="626"/>
        <v>0</v>
      </c>
      <c r="O143" s="658" cm="1">
        <f t="array" ref="O143">IF(I143=0,0,IF(G143&lt;0,N143/c_EquityShare.LP*i_EquityShare.GP,L143/c_EquityShare.LP*i_EquityShare.GP))</f>
        <v>0</v>
      </c>
      <c r="P143" s="658">
        <f t="shared" si="603"/>
        <v>0</v>
      </c>
      <c r="Q143" s="658">
        <f t="shared" si="574"/>
        <v>0</v>
      </c>
      <c r="R143" s="521"/>
      <c r="S143" s="660">
        <f t="shared" si="604"/>
        <v>0</v>
      </c>
      <c r="T143" s="663" cm="1">
        <f t="array" ref="T143">IF($G143=0,0,-MIN(0,$G143*c_EquityShare.LP))</f>
        <v>0</v>
      </c>
      <c r="U143" s="663" cm="1">
        <f t="array" ref="U143">IF($D143=0,0,S143*c_Rate.Hurdle1.MO)</f>
        <v>0</v>
      </c>
      <c r="V143" s="660">
        <f t="shared" si="627"/>
        <v>0</v>
      </c>
      <c r="W143" s="660">
        <f t="shared" si="575"/>
        <v>0</v>
      </c>
      <c r="X143" s="663">
        <f t="shared" si="628"/>
        <v>0</v>
      </c>
      <c r="Y143" s="663">
        <f t="shared" si="605"/>
        <v>0</v>
      </c>
      <c r="Z143" s="663">
        <f t="shared" ref="Z143" si="802">IF(S143=0,0,O143+W143/$J$17*c_Hurdle1.Share_GP)</f>
        <v>0</v>
      </c>
      <c r="AA143" s="663">
        <f t="shared" si="577"/>
        <v>0</v>
      </c>
      <c r="AB143" s="660">
        <f t="shared" si="630"/>
        <v>0</v>
      </c>
      <c r="AC143" s="521"/>
      <c r="AD143" s="663">
        <f t="shared" si="769"/>
        <v>0</v>
      </c>
      <c r="AE143" s="663">
        <f t="shared" ref="AE143" si="803">IF($G143=0,0,-MIN(0,$G143*c_EquityShare.LP))</f>
        <v>0</v>
      </c>
      <c r="AF143" s="663" cm="1">
        <f t="array" ref="AF143">IF($D143=0,0,AD143*(c_Rate.Hurdle2.MO))</f>
        <v>0</v>
      </c>
      <c r="AG143" s="663">
        <f t="shared" si="579"/>
        <v>0</v>
      </c>
      <c r="AH143" s="663">
        <f t="shared" si="609"/>
        <v>0</v>
      </c>
      <c r="AI143" s="663">
        <f t="shared" si="580"/>
        <v>0</v>
      </c>
      <c r="AJ143" s="664">
        <f t="shared" si="581"/>
        <v>0</v>
      </c>
      <c r="AK143" s="660">
        <f t="shared" si="582"/>
        <v>0</v>
      </c>
      <c r="AL143" s="663">
        <f t="shared" ref="AL143" si="804">IF(AD143=0,0,Z143+AH143/$J$18*c_Hurdle2.Share_GP)</f>
        <v>0</v>
      </c>
      <c r="AM143" s="663">
        <f t="shared" si="584"/>
        <v>0</v>
      </c>
      <c r="AN143" s="660">
        <f t="shared" si="633"/>
        <v>0</v>
      </c>
      <c r="AO143" s="521"/>
      <c r="AP143" s="663">
        <f t="shared" si="772"/>
        <v>0</v>
      </c>
      <c r="AQ143" s="663">
        <f t="shared" ref="AQ143" si="805">IF($G143=0,0,-MIN(0,$G143*c_EquityShare.LP))</f>
        <v>0</v>
      </c>
      <c r="AR143" s="663" cm="1">
        <f t="array" ref="AR143">IF($D143=0,0,AP143*(c_Rate.Hurdle3.MO))</f>
        <v>0</v>
      </c>
      <c r="AS143" s="663">
        <f t="shared" si="586"/>
        <v>0</v>
      </c>
      <c r="AT143" s="663">
        <f t="shared" si="613"/>
        <v>0</v>
      </c>
      <c r="AU143" s="663">
        <f t="shared" si="587"/>
        <v>0</v>
      </c>
      <c r="AV143" s="664">
        <f t="shared" si="588"/>
        <v>0</v>
      </c>
      <c r="AW143" s="660">
        <f t="shared" si="614"/>
        <v>0</v>
      </c>
      <c r="AX143" s="663">
        <f t="shared" ref="AX143" si="806">IF(AP143=0,0,AL143+AT143/$J$19*c_Hurdle3.Share_GP)</f>
        <v>0</v>
      </c>
      <c r="AY143" s="663">
        <f t="shared" si="616"/>
        <v>0</v>
      </c>
      <c r="AZ143" s="660">
        <f t="shared" si="636"/>
        <v>0</v>
      </c>
      <c r="BA143" s="521"/>
      <c r="BB143" s="660">
        <f t="shared" si="590"/>
        <v>0</v>
      </c>
      <c r="BC143" s="660">
        <f t="shared" ref="BC143" si="807">$AZ143*c_Residual.Share_GP</f>
        <v>0</v>
      </c>
      <c r="BD143" s="651"/>
      <c r="BE143" s="660">
        <f t="shared" si="618"/>
        <v>0</v>
      </c>
      <c r="BF143" s="660">
        <f t="shared" si="618"/>
        <v>0</v>
      </c>
      <c r="BG143" s="660">
        <f t="shared" si="592"/>
        <v>0</v>
      </c>
      <c r="BI143" s="660">
        <v>0</v>
      </c>
      <c r="BJ143" s="660">
        <v>0</v>
      </c>
      <c r="BK143" s="660">
        <v>0</v>
      </c>
      <c r="BL143" s="660">
        <f t="shared" si="619"/>
        <v>0</v>
      </c>
      <c r="BM143" s="660">
        <f t="shared" si="619"/>
        <v>0</v>
      </c>
      <c r="BN143" s="660">
        <f t="shared" si="620"/>
        <v>0</v>
      </c>
      <c r="BO143" s="660">
        <f t="shared" si="620"/>
        <v>0</v>
      </c>
      <c r="BP143" s="660">
        <f t="shared" si="621"/>
        <v>0</v>
      </c>
      <c r="BQ143" s="660">
        <f t="shared" si="621"/>
        <v>0</v>
      </c>
      <c r="BR143" s="660">
        <v>0</v>
      </c>
      <c r="BS143" s="660">
        <v>0</v>
      </c>
      <c r="BT143" s="660">
        <f t="shared" si="593"/>
        <v>0</v>
      </c>
      <c r="BU143" s="660">
        <f t="shared" si="593"/>
        <v>0</v>
      </c>
      <c r="BX143" s="660">
        <v>0</v>
      </c>
      <c r="BY143" s="660">
        <f t="shared" si="622"/>
        <v>0</v>
      </c>
      <c r="BZ143" s="660">
        <f t="shared" si="594"/>
        <v>0</v>
      </c>
      <c r="CA143" s="660">
        <f t="shared" si="595"/>
        <v>0</v>
      </c>
      <c r="CB143" s="660">
        <f t="shared" si="596"/>
        <v>0</v>
      </c>
      <c r="CC143" s="660">
        <f t="shared" si="597"/>
        <v>0</v>
      </c>
      <c r="CD143" s="660">
        <f t="shared" si="623"/>
        <v>0</v>
      </c>
    </row>
    <row r="144" spans="4:82" ht="16" thickTop="1" thickBot="1">
      <c r="D144" s="653"/>
      <c r="E144" s="654"/>
      <c r="F144" s="655" t="str">
        <f t="shared" si="598"/>
        <v/>
      </c>
      <c r="G144" s="656"/>
      <c r="I144" s="658">
        <f t="shared" si="599"/>
        <v>0</v>
      </c>
      <c r="J144" s="658">
        <f t="shared" ref="J144" si="808">IF($G144=0,0,-MIN(0,G144*c_EquityShare.LP))</f>
        <v>0</v>
      </c>
      <c r="K144" s="658">
        <f t="shared" ref="K144" si="809">I144*c_Rate.Pref_MO</f>
        <v>0</v>
      </c>
      <c r="L144" s="658">
        <f t="shared" si="573"/>
        <v>0</v>
      </c>
      <c r="M144" s="658">
        <f t="shared" si="602"/>
        <v>0</v>
      </c>
      <c r="N144" s="658">
        <f t="shared" si="626"/>
        <v>0</v>
      </c>
      <c r="O144" s="658" cm="1">
        <f t="array" ref="O144">IF(I144=0,0,IF(G144&lt;0,N144/c_EquityShare.LP*i_EquityShare.GP,L144/c_EquityShare.LP*i_EquityShare.GP))</f>
        <v>0</v>
      </c>
      <c r="P144" s="658">
        <f t="shared" si="603"/>
        <v>0</v>
      </c>
      <c r="Q144" s="658">
        <f t="shared" si="574"/>
        <v>0</v>
      </c>
      <c r="R144" s="521"/>
      <c r="S144" s="660">
        <f t="shared" si="604"/>
        <v>0</v>
      </c>
      <c r="T144" s="663" cm="1">
        <f t="array" ref="T144">IF($G144=0,0,-MIN(0,$G144*c_EquityShare.LP))</f>
        <v>0</v>
      </c>
      <c r="U144" s="663" cm="1">
        <f t="array" ref="U144">IF($D144=0,0,S144*c_Rate.Hurdle1.MO)</f>
        <v>0</v>
      </c>
      <c r="V144" s="660">
        <f t="shared" si="627"/>
        <v>0</v>
      </c>
      <c r="W144" s="660">
        <f t="shared" si="575"/>
        <v>0</v>
      </c>
      <c r="X144" s="663">
        <f t="shared" si="628"/>
        <v>0</v>
      </c>
      <c r="Y144" s="663">
        <f t="shared" si="605"/>
        <v>0</v>
      </c>
      <c r="Z144" s="663">
        <f t="shared" ref="Z144" si="810">IF(S144=0,0,O144+W144/$J$17*c_Hurdle1.Share_GP)</f>
        <v>0</v>
      </c>
      <c r="AA144" s="663">
        <f t="shared" si="577"/>
        <v>0</v>
      </c>
      <c r="AB144" s="660">
        <f t="shared" si="630"/>
        <v>0</v>
      </c>
      <c r="AC144" s="521"/>
      <c r="AD144" s="663">
        <f t="shared" si="769"/>
        <v>0</v>
      </c>
      <c r="AE144" s="663">
        <f t="shared" ref="AE144" si="811">IF($G144=0,0,-MIN(0,$G144*c_EquityShare.LP))</f>
        <v>0</v>
      </c>
      <c r="AF144" s="663" cm="1">
        <f t="array" ref="AF144">IF($D144=0,0,AD144*(c_Rate.Hurdle2.MO))</f>
        <v>0</v>
      </c>
      <c r="AG144" s="663">
        <f t="shared" si="579"/>
        <v>0</v>
      </c>
      <c r="AH144" s="663">
        <f t="shared" si="609"/>
        <v>0</v>
      </c>
      <c r="AI144" s="663">
        <f t="shared" si="580"/>
        <v>0</v>
      </c>
      <c r="AJ144" s="664">
        <f t="shared" si="581"/>
        <v>0</v>
      </c>
      <c r="AK144" s="660">
        <f t="shared" si="582"/>
        <v>0</v>
      </c>
      <c r="AL144" s="663">
        <f t="shared" ref="AL144" si="812">IF(AD144=0,0,Z144+AH144/$J$18*c_Hurdle2.Share_GP)</f>
        <v>0</v>
      </c>
      <c r="AM144" s="663">
        <f t="shared" si="584"/>
        <v>0</v>
      </c>
      <c r="AN144" s="660">
        <f t="shared" si="633"/>
        <v>0</v>
      </c>
      <c r="AO144" s="521"/>
      <c r="AP144" s="663">
        <f t="shared" si="772"/>
        <v>0</v>
      </c>
      <c r="AQ144" s="663">
        <f t="shared" ref="AQ144" si="813">IF($G144=0,0,-MIN(0,$G144*c_EquityShare.LP))</f>
        <v>0</v>
      </c>
      <c r="AR144" s="663" cm="1">
        <f t="array" ref="AR144">IF($D144=0,0,AP144*(c_Rate.Hurdle3.MO))</f>
        <v>0</v>
      </c>
      <c r="AS144" s="663">
        <f t="shared" si="586"/>
        <v>0</v>
      </c>
      <c r="AT144" s="663">
        <f t="shared" si="613"/>
        <v>0</v>
      </c>
      <c r="AU144" s="663">
        <f t="shared" si="587"/>
        <v>0</v>
      </c>
      <c r="AV144" s="664">
        <f t="shared" si="588"/>
        <v>0</v>
      </c>
      <c r="AW144" s="660">
        <f t="shared" si="614"/>
        <v>0</v>
      </c>
      <c r="AX144" s="663">
        <f t="shared" ref="AX144" si="814">IF(AP144=0,0,AL144+AT144/$J$19*c_Hurdle3.Share_GP)</f>
        <v>0</v>
      </c>
      <c r="AY144" s="663">
        <f t="shared" si="616"/>
        <v>0</v>
      </c>
      <c r="AZ144" s="660">
        <f t="shared" si="636"/>
        <v>0</v>
      </c>
      <c r="BA144" s="521"/>
      <c r="BB144" s="660">
        <f t="shared" si="590"/>
        <v>0</v>
      </c>
      <c r="BC144" s="660">
        <f t="shared" ref="BC144" si="815">$AZ144*c_Residual.Share_GP</f>
        <v>0</v>
      </c>
      <c r="BD144" s="651"/>
      <c r="BE144" s="660">
        <f t="shared" si="618"/>
        <v>0</v>
      </c>
      <c r="BF144" s="660">
        <f t="shared" si="618"/>
        <v>0</v>
      </c>
      <c r="BG144" s="660">
        <f t="shared" si="592"/>
        <v>0</v>
      </c>
      <c r="BI144" s="660">
        <v>0</v>
      </c>
      <c r="BJ144" s="660">
        <v>0</v>
      </c>
      <c r="BK144" s="660">
        <v>0</v>
      </c>
      <c r="BL144" s="660">
        <f t="shared" si="619"/>
        <v>0</v>
      </c>
      <c r="BM144" s="660">
        <f t="shared" si="619"/>
        <v>0</v>
      </c>
      <c r="BN144" s="660">
        <f t="shared" si="620"/>
        <v>0</v>
      </c>
      <c r="BO144" s="660">
        <f t="shared" si="620"/>
        <v>0</v>
      </c>
      <c r="BP144" s="660">
        <f t="shared" si="621"/>
        <v>0</v>
      </c>
      <c r="BQ144" s="660">
        <f t="shared" si="621"/>
        <v>0</v>
      </c>
      <c r="BR144" s="660">
        <v>0</v>
      </c>
      <c r="BS144" s="660">
        <v>0</v>
      </c>
      <c r="BT144" s="660">
        <f t="shared" si="593"/>
        <v>0</v>
      </c>
      <c r="BU144" s="660">
        <f t="shared" si="593"/>
        <v>0</v>
      </c>
      <c r="BX144" s="660">
        <v>0</v>
      </c>
      <c r="BY144" s="660">
        <f t="shared" si="622"/>
        <v>0</v>
      </c>
      <c r="BZ144" s="660">
        <f t="shared" si="594"/>
        <v>0</v>
      </c>
      <c r="CA144" s="660">
        <f t="shared" si="595"/>
        <v>0</v>
      </c>
      <c r="CB144" s="660">
        <f t="shared" si="596"/>
        <v>0</v>
      </c>
      <c r="CC144" s="660">
        <f t="shared" si="597"/>
        <v>0</v>
      </c>
      <c r="CD144" s="660">
        <f t="shared" si="623"/>
        <v>0</v>
      </c>
    </row>
    <row r="145" spans="4:82" ht="16" thickTop="1" thickBot="1">
      <c r="D145" s="653"/>
      <c r="E145" s="654"/>
      <c r="F145" s="655" t="str">
        <f t="shared" si="598"/>
        <v/>
      </c>
      <c r="G145" s="656"/>
      <c r="I145" s="658">
        <f t="shared" si="599"/>
        <v>0</v>
      </c>
      <c r="J145" s="658">
        <f t="shared" ref="J145" si="816">IF($G145=0,0,-MIN(0,G145*c_EquityShare.LP))</f>
        <v>0</v>
      </c>
      <c r="K145" s="658">
        <f t="shared" ref="K145" si="817">I145*c_Rate.Pref_MO</f>
        <v>0</v>
      </c>
      <c r="L145" s="658">
        <f t="shared" si="573"/>
        <v>0</v>
      </c>
      <c r="M145" s="658">
        <f t="shared" si="602"/>
        <v>0</v>
      </c>
      <c r="N145" s="658">
        <f t="shared" si="626"/>
        <v>0</v>
      </c>
      <c r="O145" s="658" cm="1">
        <f t="array" ref="O145">IF(I145=0,0,IF(G145&lt;0,N145/c_EquityShare.LP*i_EquityShare.GP,L145/c_EquityShare.LP*i_EquityShare.GP))</f>
        <v>0</v>
      </c>
      <c r="P145" s="658">
        <f t="shared" si="603"/>
        <v>0</v>
      </c>
      <c r="Q145" s="658">
        <f t="shared" si="574"/>
        <v>0</v>
      </c>
      <c r="R145" s="521"/>
      <c r="S145" s="660">
        <f t="shared" si="604"/>
        <v>0</v>
      </c>
      <c r="T145" s="663" cm="1">
        <f t="array" ref="T145">IF($G145=0,0,-MIN(0,$G145*c_EquityShare.LP))</f>
        <v>0</v>
      </c>
      <c r="U145" s="663" cm="1">
        <f t="array" ref="U145">IF($D145=0,0,S145*c_Rate.Hurdle1.MO)</f>
        <v>0</v>
      </c>
      <c r="V145" s="660">
        <f t="shared" si="627"/>
        <v>0</v>
      </c>
      <c r="W145" s="660">
        <f t="shared" si="575"/>
        <v>0</v>
      </c>
      <c r="X145" s="663">
        <f t="shared" si="628"/>
        <v>0</v>
      </c>
      <c r="Y145" s="663">
        <f t="shared" si="605"/>
        <v>0</v>
      </c>
      <c r="Z145" s="663">
        <f t="shared" ref="Z145" si="818">IF(S145=0,0,O145+W145/$J$17*c_Hurdle1.Share_GP)</f>
        <v>0</v>
      </c>
      <c r="AA145" s="663">
        <f t="shared" si="577"/>
        <v>0</v>
      </c>
      <c r="AB145" s="660">
        <f t="shared" si="630"/>
        <v>0</v>
      </c>
      <c r="AC145" s="521"/>
      <c r="AD145" s="663">
        <f t="shared" si="769"/>
        <v>0</v>
      </c>
      <c r="AE145" s="663">
        <f t="shared" ref="AE145" si="819">IF($G145=0,0,-MIN(0,$G145*c_EquityShare.LP))</f>
        <v>0</v>
      </c>
      <c r="AF145" s="663" cm="1">
        <f t="array" ref="AF145">IF($D145=0,0,AD145*(c_Rate.Hurdle2.MO))</f>
        <v>0</v>
      </c>
      <c r="AG145" s="663">
        <f t="shared" si="579"/>
        <v>0</v>
      </c>
      <c r="AH145" s="663">
        <f t="shared" si="609"/>
        <v>0</v>
      </c>
      <c r="AI145" s="663">
        <f t="shared" si="580"/>
        <v>0</v>
      </c>
      <c r="AJ145" s="664">
        <f t="shared" si="581"/>
        <v>0</v>
      </c>
      <c r="AK145" s="660">
        <f t="shared" si="582"/>
        <v>0</v>
      </c>
      <c r="AL145" s="663">
        <f t="shared" ref="AL145" si="820">IF(AD145=0,0,Z145+AH145/$J$18*c_Hurdle2.Share_GP)</f>
        <v>0</v>
      </c>
      <c r="AM145" s="663">
        <f t="shared" si="584"/>
        <v>0</v>
      </c>
      <c r="AN145" s="660">
        <f t="shared" si="633"/>
        <v>0</v>
      </c>
      <c r="AO145" s="521"/>
      <c r="AP145" s="663">
        <f t="shared" si="772"/>
        <v>0</v>
      </c>
      <c r="AQ145" s="663">
        <f t="shared" ref="AQ145" si="821">IF($G145=0,0,-MIN(0,$G145*c_EquityShare.LP))</f>
        <v>0</v>
      </c>
      <c r="AR145" s="663" cm="1">
        <f t="array" ref="AR145">IF($D145=0,0,AP145*(c_Rate.Hurdle3.MO))</f>
        <v>0</v>
      </c>
      <c r="AS145" s="663">
        <f t="shared" si="586"/>
        <v>0</v>
      </c>
      <c r="AT145" s="663">
        <f t="shared" si="613"/>
        <v>0</v>
      </c>
      <c r="AU145" s="663">
        <f t="shared" si="587"/>
        <v>0</v>
      </c>
      <c r="AV145" s="664">
        <f t="shared" si="588"/>
        <v>0</v>
      </c>
      <c r="AW145" s="660">
        <f t="shared" si="614"/>
        <v>0</v>
      </c>
      <c r="AX145" s="663">
        <f t="shared" ref="AX145" si="822">IF(AP145=0,0,AL145+AT145/$J$19*c_Hurdle3.Share_GP)</f>
        <v>0</v>
      </c>
      <c r="AY145" s="663">
        <f t="shared" si="616"/>
        <v>0</v>
      </c>
      <c r="AZ145" s="660">
        <f t="shared" si="636"/>
        <v>0</v>
      </c>
      <c r="BA145" s="521"/>
      <c r="BB145" s="660">
        <f t="shared" si="590"/>
        <v>0</v>
      </c>
      <c r="BC145" s="660">
        <f t="shared" ref="BC145" si="823">$AZ145*c_Residual.Share_GP</f>
        <v>0</v>
      </c>
      <c r="BD145" s="651"/>
      <c r="BE145" s="660">
        <f t="shared" si="618"/>
        <v>0</v>
      </c>
      <c r="BF145" s="660">
        <f t="shared" si="618"/>
        <v>0</v>
      </c>
      <c r="BG145" s="660">
        <f t="shared" si="592"/>
        <v>0</v>
      </c>
      <c r="BI145" s="660">
        <v>0</v>
      </c>
      <c r="BJ145" s="660">
        <v>0</v>
      </c>
      <c r="BK145" s="660">
        <v>0</v>
      </c>
      <c r="BL145" s="660">
        <f t="shared" si="619"/>
        <v>0</v>
      </c>
      <c r="BM145" s="660">
        <f t="shared" si="619"/>
        <v>0</v>
      </c>
      <c r="BN145" s="660">
        <f t="shared" si="620"/>
        <v>0</v>
      </c>
      <c r="BO145" s="660">
        <f t="shared" si="620"/>
        <v>0</v>
      </c>
      <c r="BP145" s="660">
        <f t="shared" si="621"/>
        <v>0</v>
      </c>
      <c r="BQ145" s="660">
        <f t="shared" si="621"/>
        <v>0</v>
      </c>
      <c r="BR145" s="660">
        <v>0</v>
      </c>
      <c r="BS145" s="660">
        <v>0</v>
      </c>
      <c r="BT145" s="660">
        <f t="shared" si="593"/>
        <v>0</v>
      </c>
      <c r="BU145" s="660">
        <f t="shared" si="593"/>
        <v>0</v>
      </c>
      <c r="BX145" s="660">
        <v>0</v>
      </c>
      <c r="BY145" s="660">
        <f t="shared" si="622"/>
        <v>0</v>
      </c>
      <c r="BZ145" s="660">
        <f t="shared" si="594"/>
        <v>0</v>
      </c>
      <c r="CA145" s="660">
        <f t="shared" si="595"/>
        <v>0</v>
      </c>
      <c r="CB145" s="660">
        <f t="shared" si="596"/>
        <v>0</v>
      </c>
      <c r="CC145" s="660">
        <f t="shared" si="597"/>
        <v>0</v>
      </c>
      <c r="CD145" s="660">
        <f t="shared" si="623"/>
        <v>0</v>
      </c>
    </row>
    <row r="146" spans="4:82" ht="16" thickTop="1" thickBot="1">
      <c r="D146" s="653"/>
      <c r="E146" s="654"/>
      <c r="F146" s="655" t="str">
        <f t="shared" si="598"/>
        <v/>
      </c>
      <c r="G146" s="656"/>
      <c r="I146" s="658">
        <f t="shared" si="599"/>
        <v>0</v>
      </c>
      <c r="J146" s="658">
        <f t="shared" ref="J146" si="824">IF($G146=0,0,-MIN(0,G146*c_EquityShare.LP))</f>
        <v>0</v>
      </c>
      <c r="K146" s="658">
        <f t="shared" ref="K146" si="825">I146*c_Rate.Pref_MO</f>
        <v>0</v>
      </c>
      <c r="L146" s="658">
        <f t="shared" si="573"/>
        <v>0</v>
      </c>
      <c r="M146" s="658">
        <f t="shared" si="602"/>
        <v>0</v>
      </c>
      <c r="N146" s="658">
        <f t="shared" si="626"/>
        <v>0</v>
      </c>
      <c r="O146" s="658" cm="1">
        <f t="array" ref="O146">IF(I146=0,0,IF(G146&lt;0,N146/c_EquityShare.LP*i_EquityShare.GP,L146/c_EquityShare.LP*i_EquityShare.GP))</f>
        <v>0</v>
      </c>
      <c r="P146" s="658">
        <f t="shared" si="603"/>
        <v>0</v>
      </c>
      <c r="Q146" s="658">
        <f t="shared" si="574"/>
        <v>0</v>
      </c>
      <c r="R146" s="521"/>
      <c r="S146" s="660">
        <f t="shared" si="604"/>
        <v>0</v>
      </c>
      <c r="T146" s="663" cm="1">
        <f t="array" ref="T146">IF($G146=0,0,-MIN(0,$G146*c_EquityShare.LP))</f>
        <v>0</v>
      </c>
      <c r="U146" s="663" cm="1">
        <f t="array" ref="U146">IF($D146=0,0,S146*c_Rate.Hurdle1.MO)</f>
        <v>0</v>
      </c>
      <c r="V146" s="660">
        <f t="shared" si="627"/>
        <v>0</v>
      </c>
      <c r="W146" s="660">
        <f t="shared" si="575"/>
        <v>0</v>
      </c>
      <c r="X146" s="663">
        <f t="shared" si="628"/>
        <v>0</v>
      </c>
      <c r="Y146" s="663">
        <f t="shared" si="605"/>
        <v>0</v>
      </c>
      <c r="Z146" s="663">
        <f t="shared" ref="Z146" si="826">IF(S146=0,0,O146+W146/$J$17*c_Hurdle1.Share_GP)</f>
        <v>0</v>
      </c>
      <c r="AA146" s="663">
        <f t="shared" si="577"/>
        <v>0</v>
      </c>
      <c r="AB146" s="660">
        <f t="shared" si="630"/>
        <v>0</v>
      </c>
      <c r="AC146" s="521"/>
      <c r="AD146" s="663">
        <f t="shared" si="769"/>
        <v>0</v>
      </c>
      <c r="AE146" s="663">
        <f t="shared" ref="AE146" si="827">IF($G146=0,0,-MIN(0,$G146*c_EquityShare.LP))</f>
        <v>0</v>
      </c>
      <c r="AF146" s="663" cm="1">
        <f t="array" ref="AF146">IF($D146=0,0,AD146*(c_Rate.Hurdle2.MO))</f>
        <v>0</v>
      </c>
      <c r="AG146" s="663">
        <f t="shared" si="579"/>
        <v>0</v>
      </c>
      <c r="AH146" s="663">
        <f t="shared" si="609"/>
        <v>0</v>
      </c>
      <c r="AI146" s="663">
        <f t="shared" si="580"/>
        <v>0</v>
      </c>
      <c r="AJ146" s="664">
        <f t="shared" si="581"/>
        <v>0</v>
      </c>
      <c r="AK146" s="660">
        <f t="shared" si="582"/>
        <v>0</v>
      </c>
      <c r="AL146" s="663">
        <f t="shared" ref="AL146" si="828">IF(AD146=0,0,Z146+AH146/$J$18*c_Hurdle2.Share_GP)</f>
        <v>0</v>
      </c>
      <c r="AM146" s="663">
        <f t="shared" si="584"/>
        <v>0</v>
      </c>
      <c r="AN146" s="660">
        <f t="shared" si="633"/>
        <v>0</v>
      </c>
      <c r="AO146" s="521"/>
      <c r="AP146" s="663">
        <f t="shared" si="772"/>
        <v>0</v>
      </c>
      <c r="AQ146" s="663">
        <f t="shared" ref="AQ146" si="829">IF($G146=0,0,-MIN(0,$G146*c_EquityShare.LP))</f>
        <v>0</v>
      </c>
      <c r="AR146" s="663" cm="1">
        <f t="array" ref="AR146">IF($D146=0,0,AP146*(c_Rate.Hurdle3.MO))</f>
        <v>0</v>
      </c>
      <c r="AS146" s="663">
        <f t="shared" si="586"/>
        <v>0</v>
      </c>
      <c r="AT146" s="663">
        <f t="shared" si="613"/>
        <v>0</v>
      </c>
      <c r="AU146" s="663">
        <f t="shared" si="587"/>
        <v>0</v>
      </c>
      <c r="AV146" s="664">
        <f t="shared" si="588"/>
        <v>0</v>
      </c>
      <c r="AW146" s="660">
        <f t="shared" si="614"/>
        <v>0</v>
      </c>
      <c r="AX146" s="663">
        <f t="shared" ref="AX146" si="830">IF(AP146=0,0,AL146+AT146/$J$19*c_Hurdle3.Share_GP)</f>
        <v>0</v>
      </c>
      <c r="AY146" s="663">
        <f t="shared" si="616"/>
        <v>0</v>
      </c>
      <c r="AZ146" s="660">
        <f t="shared" si="636"/>
        <v>0</v>
      </c>
      <c r="BA146" s="521"/>
      <c r="BB146" s="660">
        <f t="shared" si="590"/>
        <v>0</v>
      </c>
      <c r="BC146" s="660">
        <f t="shared" ref="BC146" si="831">$AZ146*c_Residual.Share_GP</f>
        <v>0</v>
      </c>
      <c r="BD146" s="651"/>
      <c r="BE146" s="660">
        <f t="shared" si="618"/>
        <v>0</v>
      </c>
      <c r="BF146" s="660">
        <f t="shared" si="618"/>
        <v>0</v>
      </c>
      <c r="BG146" s="660">
        <f t="shared" si="592"/>
        <v>0</v>
      </c>
      <c r="BI146" s="660">
        <v>0</v>
      </c>
      <c r="BJ146" s="660">
        <v>0</v>
      </c>
      <c r="BK146" s="660">
        <v>0</v>
      </c>
      <c r="BL146" s="660">
        <f t="shared" si="619"/>
        <v>0</v>
      </c>
      <c r="BM146" s="660">
        <f t="shared" si="619"/>
        <v>0</v>
      </c>
      <c r="BN146" s="660">
        <f t="shared" si="620"/>
        <v>0</v>
      </c>
      <c r="BO146" s="660">
        <f t="shared" si="620"/>
        <v>0</v>
      </c>
      <c r="BP146" s="660">
        <f t="shared" si="621"/>
        <v>0</v>
      </c>
      <c r="BQ146" s="660">
        <f t="shared" si="621"/>
        <v>0</v>
      </c>
      <c r="BR146" s="660">
        <v>0</v>
      </c>
      <c r="BS146" s="660">
        <v>0</v>
      </c>
      <c r="BT146" s="660">
        <f t="shared" si="593"/>
        <v>0</v>
      </c>
      <c r="BU146" s="660">
        <f t="shared" si="593"/>
        <v>0</v>
      </c>
      <c r="BX146" s="660">
        <v>0</v>
      </c>
      <c r="BY146" s="660">
        <f t="shared" si="622"/>
        <v>0</v>
      </c>
      <c r="BZ146" s="660">
        <f t="shared" si="594"/>
        <v>0</v>
      </c>
      <c r="CA146" s="660">
        <f t="shared" si="595"/>
        <v>0</v>
      </c>
      <c r="CB146" s="660">
        <f t="shared" si="596"/>
        <v>0</v>
      </c>
      <c r="CC146" s="660">
        <f t="shared" si="597"/>
        <v>0</v>
      </c>
      <c r="CD146" s="660">
        <f t="shared" si="623"/>
        <v>0</v>
      </c>
    </row>
    <row r="147" spans="4:82" ht="16" thickTop="1" thickBot="1">
      <c r="D147" s="653"/>
      <c r="E147" s="654"/>
      <c r="F147" s="655" t="str">
        <f t="shared" si="598"/>
        <v/>
      </c>
      <c r="G147" s="656"/>
      <c r="I147" s="658">
        <f t="shared" si="599"/>
        <v>0</v>
      </c>
      <c r="J147" s="658">
        <f t="shared" ref="J147" si="832">IF($G147=0,0,-MIN(0,G147*c_EquityShare.LP))</f>
        <v>0</v>
      </c>
      <c r="K147" s="658">
        <f t="shared" ref="K147" si="833">I147*c_Rate.Pref_MO</f>
        <v>0</v>
      </c>
      <c r="L147" s="658">
        <f t="shared" si="573"/>
        <v>0</v>
      </c>
      <c r="M147" s="658">
        <f t="shared" si="602"/>
        <v>0</v>
      </c>
      <c r="N147" s="658">
        <f t="shared" si="626"/>
        <v>0</v>
      </c>
      <c r="O147" s="658" cm="1">
        <f t="array" ref="O147">IF(I147=0,0,IF(G147&lt;0,N147/c_EquityShare.LP*i_EquityShare.GP,L147/c_EquityShare.LP*i_EquityShare.GP))</f>
        <v>0</v>
      </c>
      <c r="P147" s="658">
        <f t="shared" si="603"/>
        <v>0</v>
      </c>
      <c r="Q147" s="658">
        <f t="shared" si="574"/>
        <v>0</v>
      </c>
      <c r="R147" s="521"/>
      <c r="S147" s="660">
        <f t="shared" si="604"/>
        <v>0</v>
      </c>
      <c r="T147" s="663" cm="1">
        <f t="array" ref="T147">IF($G147=0,0,-MIN(0,$G147*c_EquityShare.LP))</f>
        <v>0</v>
      </c>
      <c r="U147" s="663" cm="1">
        <f t="array" ref="U147">IF($D147=0,0,S147*c_Rate.Hurdle1.MO)</f>
        <v>0</v>
      </c>
      <c r="V147" s="660">
        <f t="shared" si="627"/>
        <v>0</v>
      </c>
      <c r="W147" s="660">
        <f t="shared" si="575"/>
        <v>0</v>
      </c>
      <c r="X147" s="663">
        <f t="shared" si="628"/>
        <v>0</v>
      </c>
      <c r="Y147" s="663">
        <f t="shared" si="605"/>
        <v>0</v>
      </c>
      <c r="Z147" s="663">
        <f t="shared" ref="Z147" si="834">IF(S147=0,0,O147+W147/$J$17*c_Hurdle1.Share_GP)</f>
        <v>0</v>
      </c>
      <c r="AA147" s="663">
        <f t="shared" si="577"/>
        <v>0</v>
      </c>
      <c r="AB147" s="660">
        <f t="shared" si="630"/>
        <v>0</v>
      </c>
      <c r="AC147" s="521"/>
      <c r="AD147" s="663">
        <f t="shared" si="769"/>
        <v>0</v>
      </c>
      <c r="AE147" s="663">
        <f t="shared" ref="AE147" si="835">IF($G147=0,0,-MIN(0,$G147*c_EquityShare.LP))</f>
        <v>0</v>
      </c>
      <c r="AF147" s="663" cm="1">
        <f t="array" ref="AF147">IF($D147=0,0,AD147*(c_Rate.Hurdle2.MO))</f>
        <v>0</v>
      </c>
      <c r="AG147" s="663">
        <f t="shared" si="579"/>
        <v>0</v>
      </c>
      <c r="AH147" s="663">
        <f t="shared" si="609"/>
        <v>0</v>
      </c>
      <c r="AI147" s="663">
        <f t="shared" si="580"/>
        <v>0</v>
      </c>
      <c r="AJ147" s="664">
        <f t="shared" si="581"/>
        <v>0</v>
      </c>
      <c r="AK147" s="660">
        <f t="shared" si="582"/>
        <v>0</v>
      </c>
      <c r="AL147" s="663">
        <f t="shared" ref="AL147" si="836">IF(AD147=0,0,Z147+AH147/$J$18*c_Hurdle2.Share_GP)</f>
        <v>0</v>
      </c>
      <c r="AM147" s="663">
        <f t="shared" si="584"/>
        <v>0</v>
      </c>
      <c r="AN147" s="660">
        <f t="shared" si="633"/>
        <v>0</v>
      </c>
      <c r="AO147" s="521"/>
      <c r="AP147" s="663">
        <f t="shared" si="772"/>
        <v>0</v>
      </c>
      <c r="AQ147" s="663">
        <f t="shared" ref="AQ147" si="837">IF($G147=0,0,-MIN(0,$G147*c_EquityShare.LP))</f>
        <v>0</v>
      </c>
      <c r="AR147" s="663" cm="1">
        <f t="array" ref="AR147">IF($D147=0,0,AP147*(c_Rate.Hurdle3.MO))</f>
        <v>0</v>
      </c>
      <c r="AS147" s="663">
        <f t="shared" si="586"/>
        <v>0</v>
      </c>
      <c r="AT147" s="663">
        <f t="shared" si="613"/>
        <v>0</v>
      </c>
      <c r="AU147" s="663">
        <f t="shared" si="587"/>
        <v>0</v>
      </c>
      <c r="AV147" s="664">
        <f t="shared" si="588"/>
        <v>0</v>
      </c>
      <c r="AW147" s="660">
        <f t="shared" si="614"/>
        <v>0</v>
      </c>
      <c r="AX147" s="663">
        <f t="shared" ref="AX147" si="838">IF(AP147=0,0,AL147+AT147/$J$19*c_Hurdle3.Share_GP)</f>
        <v>0</v>
      </c>
      <c r="AY147" s="663">
        <f t="shared" si="616"/>
        <v>0</v>
      </c>
      <c r="AZ147" s="660">
        <f t="shared" si="636"/>
        <v>0</v>
      </c>
      <c r="BA147" s="521"/>
      <c r="BB147" s="660">
        <f t="shared" si="590"/>
        <v>0</v>
      </c>
      <c r="BC147" s="660">
        <f t="shared" ref="BC147" si="839">$AZ147*c_Residual.Share_GP</f>
        <v>0</v>
      </c>
      <c r="BD147" s="651"/>
      <c r="BE147" s="660">
        <f t="shared" si="618"/>
        <v>0</v>
      </c>
      <c r="BF147" s="660">
        <f t="shared" si="618"/>
        <v>0</v>
      </c>
      <c r="BG147" s="660">
        <f t="shared" si="592"/>
        <v>0</v>
      </c>
      <c r="BI147" s="660">
        <v>0</v>
      </c>
      <c r="BJ147" s="660">
        <v>0</v>
      </c>
      <c r="BK147" s="660">
        <v>0</v>
      </c>
      <c r="BL147" s="660">
        <f t="shared" si="619"/>
        <v>0</v>
      </c>
      <c r="BM147" s="660">
        <f t="shared" si="619"/>
        <v>0</v>
      </c>
      <c r="BN147" s="660">
        <f t="shared" si="620"/>
        <v>0</v>
      </c>
      <c r="BO147" s="660">
        <f t="shared" si="620"/>
        <v>0</v>
      </c>
      <c r="BP147" s="660">
        <f t="shared" si="621"/>
        <v>0</v>
      </c>
      <c r="BQ147" s="660">
        <f t="shared" si="621"/>
        <v>0</v>
      </c>
      <c r="BR147" s="660">
        <v>0</v>
      </c>
      <c r="BS147" s="660">
        <v>0</v>
      </c>
      <c r="BT147" s="660">
        <f t="shared" si="593"/>
        <v>0</v>
      </c>
      <c r="BU147" s="660">
        <f t="shared" si="593"/>
        <v>0</v>
      </c>
      <c r="BX147" s="660">
        <v>0</v>
      </c>
      <c r="BY147" s="660">
        <f t="shared" si="622"/>
        <v>0</v>
      </c>
      <c r="BZ147" s="660">
        <f t="shared" si="594"/>
        <v>0</v>
      </c>
      <c r="CA147" s="660">
        <f t="shared" si="595"/>
        <v>0</v>
      </c>
      <c r="CB147" s="660">
        <f t="shared" si="596"/>
        <v>0</v>
      </c>
      <c r="CC147" s="660">
        <f t="shared" si="597"/>
        <v>0</v>
      </c>
      <c r="CD147" s="660">
        <f t="shared" si="623"/>
        <v>0</v>
      </c>
    </row>
    <row r="148" spans="4:82" ht="16" thickTop="1" thickBot="1">
      <c r="D148" s="653"/>
      <c r="E148" s="654"/>
      <c r="F148" s="655" t="str">
        <f t="shared" si="598"/>
        <v/>
      </c>
      <c r="G148" s="656"/>
      <c r="I148" s="658">
        <f t="shared" si="599"/>
        <v>0</v>
      </c>
      <c r="J148" s="658">
        <f t="shared" ref="J148" si="840">IF($G148=0,0,-MIN(0,G148*c_EquityShare.LP))</f>
        <v>0</v>
      </c>
      <c r="K148" s="658">
        <f t="shared" ref="K148" si="841">I148*c_Rate.Pref_MO</f>
        <v>0</v>
      </c>
      <c r="L148" s="658">
        <f t="shared" si="573"/>
        <v>0</v>
      </c>
      <c r="M148" s="658">
        <f t="shared" si="602"/>
        <v>0</v>
      </c>
      <c r="N148" s="658">
        <f t="shared" si="626"/>
        <v>0</v>
      </c>
      <c r="O148" s="658" cm="1">
        <f t="array" ref="O148">IF(I148=0,0,IF(G148&lt;0,N148/c_EquityShare.LP*i_EquityShare.GP,L148/c_EquityShare.LP*i_EquityShare.GP))</f>
        <v>0</v>
      </c>
      <c r="P148" s="658">
        <f t="shared" si="603"/>
        <v>0</v>
      </c>
      <c r="Q148" s="658">
        <f t="shared" si="574"/>
        <v>0</v>
      </c>
      <c r="R148" s="521"/>
      <c r="S148" s="660">
        <f t="shared" si="604"/>
        <v>0</v>
      </c>
      <c r="T148" s="663" cm="1">
        <f t="array" ref="T148">IF($G148=0,0,-MIN(0,$G148*c_EquityShare.LP))</f>
        <v>0</v>
      </c>
      <c r="U148" s="663" cm="1">
        <f t="array" ref="U148">IF($D148=0,0,S148*c_Rate.Hurdle1.MO)</f>
        <v>0</v>
      </c>
      <c r="V148" s="660">
        <f t="shared" si="627"/>
        <v>0</v>
      </c>
      <c r="W148" s="660">
        <f t="shared" si="575"/>
        <v>0</v>
      </c>
      <c r="X148" s="663">
        <f t="shared" si="628"/>
        <v>0</v>
      </c>
      <c r="Y148" s="663">
        <f t="shared" si="605"/>
        <v>0</v>
      </c>
      <c r="Z148" s="663">
        <f t="shared" ref="Z148" si="842">IF(S148=0,0,O148+W148/$J$17*c_Hurdle1.Share_GP)</f>
        <v>0</v>
      </c>
      <c r="AA148" s="663">
        <f t="shared" si="577"/>
        <v>0</v>
      </c>
      <c r="AB148" s="660">
        <f t="shared" si="630"/>
        <v>0</v>
      </c>
      <c r="AC148" s="521"/>
      <c r="AD148" s="663">
        <f t="shared" si="769"/>
        <v>0</v>
      </c>
      <c r="AE148" s="663">
        <f t="shared" ref="AE148" si="843">IF($G148=0,0,-MIN(0,$G148*c_EquityShare.LP))</f>
        <v>0</v>
      </c>
      <c r="AF148" s="663" cm="1">
        <f t="array" ref="AF148">IF($D148=0,0,AD148*(c_Rate.Hurdle2.MO))</f>
        <v>0</v>
      </c>
      <c r="AG148" s="663">
        <f t="shared" si="579"/>
        <v>0</v>
      </c>
      <c r="AH148" s="663">
        <f t="shared" si="609"/>
        <v>0</v>
      </c>
      <c r="AI148" s="663">
        <f t="shared" si="580"/>
        <v>0</v>
      </c>
      <c r="AJ148" s="664">
        <f t="shared" si="581"/>
        <v>0</v>
      </c>
      <c r="AK148" s="660">
        <f t="shared" si="582"/>
        <v>0</v>
      </c>
      <c r="AL148" s="663">
        <f t="shared" ref="AL148" si="844">IF(AD148=0,0,Z148+AH148/$J$18*c_Hurdle2.Share_GP)</f>
        <v>0</v>
      </c>
      <c r="AM148" s="663">
        <f t="shared" si="584"/>
        <v>0</v>
      </c>
      <c r="AN148" s="660">
        <f t="shared" si="633"/>
        <v>0</v>
      </c>
      <c r="AO148" s="521"/>
      <c r="AP148" s="663">
        <f t="shared" si="772"/>
        <v>0</v>
      </c>
      <c r="AQ148" s="663">
        <f t="shared" ref="AQ148" si="845">IF($G148=0,0,-MIN(0,$G148*c_EquityShare.LP))</f>
        <v>0</v>
      </c>
      <c r="AR148" s="663" cm="1">
        <f t="array" ref="AR148">IF($D148=0,0,AP148*(c_Rate.Hurdle3.MO))</f>
        <v>0</v>
      </c>
      <c r="AS148" s="663">
        <f t="shared" si="586"/>
        <v>0</v>
      </c>
      <c r="AT148" s="663">
        <f t="shared" si="613"/>
        <v>0</v>
      </c>
      <c r="AU148" s="663">
        <f t="shared" si="587"/>
        <v>0</v>
      </c>
      <c r="AV148" s="664">
        <f t="shared" si="588"/>
        <v>0</v>
      </c>
      <c r="AW148" s="660">
        <f t="shared" si="614"/>
        <v>0</v>
      </c>
      <c r="AX148" s="663">
        <f t="shared" ref="AX148" si="846">IF(AP148=0,0,AL148+AT148/$J$19*c_Hurdle3.Share_GP)</f>
        <v>0</v>
      </c>
      <c r="AY148" s="663">
        <f t="shared" si="616"/>
        <v>0</v>
      </c>
      <c r="AZ148" s="660">
        <f t="shared" si="636"/>
        <v>0</v>
      </c>
      <c r="BA148" s="521"/>
      <c r="BB148" s="660">
        <f t="shared" si="590"/>
        <v>0</v>
      </c>
      <c r="BC148" s="660">
        <f t="shared" ref="BC148" si="847">$AZ148*c_Residual.Share_GP</f>
        <v>0</v>
      </c>
      <c r="BD148" s="651"/>
      <c r="BE148" s="660">
        <f t="shared" si="618"/>
        <v>0</v>
      </c>
      <c r="BF148" s="660">
        <f t="shared" si="618"/>
        <v>0</v>
      </c>
      <c r="BG148" s="660">
        <f t="shared" si="592"/>
        <v>0</v>
      </c>
      <c r="BI148" s="660">
        <v>0</v>
      </c>
      <c r="BJ148" s="660">
        <v>0</v>
      </c>
      <c r="BK148" s="660">
        <v>0</v>
      </c>
      <c r="BL148" s="660">
        <f t="shared" si="619"/>
        <v>0</v>
      </c>
      <c r="BM148" s="660">
        <f t="shared" si="619"/>
        <v>0</v>
      </c>
      <c r="BN148" s="660">
        <f t="shared" si="620"/>
        <v>0</v>
      </c>
      <c r="BO148" s="660">
        <f t="shared" si="620"/>
        <v>0</v>
      </c>
      <c r="BP148" s="660">
        <f t="shared" si="621"/>
        <v>0</v>
      </c>
      <c r="BQ148" s="660">
        <f t="shared" si="621"/>
        <v>0</v>
      </c>
      <c r="BR148" s="660">
        <v>0</v>
      </c>
      <c r="BS148" s="660">
        <v>0</v>
      </c>
      <c r="BT148" s="660">
        <f t="shared" si="593"/>
        <v>0</v>
      </c>
      <c r="BU148" s="660">
        <f t="shared" si="593"/>
        <v>0</v>
      </c>
      <c r="BX148" s="660">
        <v>0</v>
      </c>
      <c r="BY148" s="660">
        <f t="shared" si="622"/>
        <v>0</v>
      </c>
      <c r="BZ148" s="660">
        <f t="shared" si="594"/>
        <v>0</v>
      </c>
      <c r="CA148" s="660">
        <f t="shared" si="595"/>
        <v>0</v>
      </c>
      <c r="CB148" s="660">
        <f t="shared" si="596"/>
        <v>0</v>
      </c>
      <c r="CC148" s="660">
        <f t="shared" si="597"/>
        <v>0</v>
      </c>
      <c r="CD148" s="660">
        <f t="shared" si="623"/>
        <v>0</v>
      </c>
    </row>
    <row r="149" spans="4:82" ht="16" thickTop="1" thickBot="1">
      <c r="D149" s="653"/>
      <c r="E149" s="654"/>
      <c r="F149" s="655" t="str">
        <f t="shared" si="598"/>
        <v/>
      </c>
      <c r="G149" s="656"/>
      <c r="I149" s="658">
        <f t="shared" si="599"/>
        <v>0</v>
      </c>
      <c r="J149" s="658">
        <f t="shared" ref="J149" si="848">IF($G149=0,0,-MIN(0,G149*c_EquityShare.LP))</f>
        <v>0</v>
      </c>
      <c r="K149" s="658">
        <f t="shared" ref="K149" si="849">I149*c_Rate.Pref_MO</f>
        <v>0</v>
      </c>
      <c r="L149" s="658">
        <f t="shared" si="573"/>
        <v>0</v>
      </c>
      <c r="M149" s="658">
        <f t="shared" si="602"/>
        <v>0</v>
      </c>
      <c r="N149" s="658">
        <f t="shared" si="626"/>
        <v>0</v>
      </c>
      <c r="O149" s="658" cm="1">
        <f t="array" ref="O149">IF(I149=0,0,IF(G149&lt;0,N149/c_EquityShare.LP*i_EquityShare.GP,L149/c_EquityShare.LP*i_EquityShare.GP))</f>
        <v>0</v>
      </c>
      <c r="P149" s="658">
        <f t="shared" si="603"/>
        <v>0</v>
      </c>
      <c r="Q149" s="658">
        <f t="shared" si="574"/>
        <v>0</v>
      </c>
      <c r="R149" s="521"/>
      <c r="S149" s="660">
        <f t="shared" si="604"/>
        <v>0</v>
      </c>
      <c r="T149" s="663" cm="1">
        <f t="array" ref="T149">IF($G149=0,0,-MIN(0,$G149*c_EquityShare.LP))</f>
        <v>0</v>
      </c>
      <c r="U149" s="663" cm="1">
        <f t="array" ref="U149">IF($D149=0,0,S149*c_Rate.Hurdle1.MO)</f>
        <v>0</v>
      </c>
      <c r="V149" s="660">
        <f t="shared" si="627"/>
        <v>0</v>
      </c>
      <c r="W149" s="660">
        <f t="shared" si="575"/>
        <v>0</v>
      </c>
      <c r="X149" s="663">
        <f t="shared" si="628"/>
        <v>0</v>
      </c>
      <c r="Y149" s="663">
        <f t="shared" si="605"/>
        <v>0</v>
      </c>
      <c r="Z149" s="663">
        <f t="shared" ref="Z149" si="850">IF(S149=0,0,O149+W149/$J$17*c_Hurdle1.Share_GP)</f>
        <v>0</v>
      </c>
      <c r="AA149" s="663">
        <f t="shared" si="577"/>
        <v>0</v>
      </c>
      <c r="AB149" s="660">
        <f t="shared" si="630"/>
        <v>0</v>
      </c>
      <c r="AC149" s="521"/>
      <c r="AD149" s="663">
        <f t="shared" si="769"/>
        <v>0</v>
      </c>
      <c r="AE149" s="663">
        <f t="shared" ref="AE149" si="851">IF($G149=0,0,-MIN(0,$G149*c_EquityShare.LP))</f>
        <v>0</v>
      </c>
      <c r="AF149" s="663" cm="1">
        <f t="array" ref="AF149">IF($D149=0,0,AD149*(c_Rate.Hurdle2.MO))</f>
        <v>0</v>
      </c>
      <c r="AG149" s="663">
        <f t="shared" si="579"/>
        <v>0</v>
      </c>
      <c r="AH149" s="663">
        <f t="shared" si="609"/>
        <v>0</v>
      </c>
      <c r="AI149" s="663">
        <f t="shared" si="580"/>
        <v>0</v>
      </c>
      <c r="AJ149" s="664">
        <f t="shared" si="581"/>
        <v>0</v>
      </c>
      <c r="AK149" s="660">
        <f t="shared" si="582"/>
        <v>0</v>
      </c>
      <c r="AL149" s="663">
        <f t="shared" ref="AL149" si="852">IF(AD149=0,0,Z149+AH149/$J$18*c_Hurdle2.Share_GP)</f>
        <v>0</v>
      </c>
      <c r="AM149" s="663">
        <f t="shared" si="584"/>
        <v>0</v>
      </c>
      <c r="AN149" s="660">
        <f t="shared" si="633"/>
        <v>0</v>
      </c>
      <c r="AO149" s="521"/>
      <c r="AP149" s="663">
        <f t="shared" si="772"/>
        <v>0</v>
      </c>
      <c r="AQ149" s="663">
        <f t="shared" ref="AQ149" si="853">IF($G149=0,0,-MIN(0,$G149*c_EquityShare.LP))</f>
        <v>0</v>
      </c>
      <c r="AR149" s="663" cm="1">
        <f t="array" ref="AR149">IF($D149=0,0,AP149*(c_Rate.Hurdle3.MO))</f>
        <v>0</v>
      </c>
      <c r="AS149" s="663">
        <f t="shared" si="586"/>
        <v>0</v>
      </c>
      <c r="AT149" s="663">
        <f t="shared" si="613"/>
        <v>0</v>
      </c>
      <c r="AU149" s="663">
        <f t="shared" si="587"/>
        <v>0</v>
      </c>
      <c r="AV149" s="664">
        <f t="shared" si="588"/>
        <v>0</v>
      </c>
      <c r="AW149" s="660">
        <f t="shared" si="614"/>
        <v>0</v>
      </c>
      <c r="AX149" s="663">
        <f t="shared" ref="AX149" si="854">IF(AP149=0,0,AL149+AT149/$J$19*c_Hurdle3.Share_GP)</f>
        <v>0</v>
      </c>
      <c r="AY149" s="663">
        <f t="shared" si="616"/>
        <v>0</v>
      </c>
      <c r="AZ149" s="660">
        <f t="shared" si="636"/>
        <v>0</v>
      </c>
      <c r="BA149" s="521"/>
      <c r="BB149" s="660">
        <f t="shared" si="590"/>
        <v>0</v>
      </c>
      <c r="BC149" s="660">
        <f t="shared" ref="BC149" si="855">$AZ149*c_Residual.Share_GP</f>
        <v>0</v>
      </c>
      <c r="BD149" s="651"/>
      <c r="BE149" s="660">
        <f t="shared" si="618"/>
        <v>0</v>
      </c>
      <c r="BF149" s="660">
        <f t="shared" si="618"/>
        <v>0</v>
      </c>
      <c r="BG149" s="660">
        <f t="shared" si="592"/>
        <v>0</v>
      </c>
      <c r="BI149" s="660">
        <v>0</v>
      </c>
      <c r="BJ149" s="660">
        <v>0</v>
      </c>
      <c r="BK149" s="660">
        <v>0</v>
      </c>
      <c r="BL149" s="660">
        <f t="shared" si="619"/>
        <v>0</v>
      </c>
      <c r="BM149" s="660">
        <f t="shared" si="619"/>
        <v>0</v>
      </c>
      <c r="BN149" s="660">
        <f t="shared" si="620"/>
        <v>0</v>
      </c>
      <c r="BO149" s="660">
        <f t="shared" si="620"/>
        <v>0</v>
      </c>
      <c r="BP149" s="660">
        <f t="shared" si="621"/>
        <v>0</v>
      </c>
      <c r="BQ149" s="660">
        <f t="shared" si="621"/>
        <v>0</v>
      </c>
      <c r="BR149" s="660">
        <v>0</v>
      </c>
      <c r="BS149" s="660">
        <v>0</v>
      </c>
      <c r="BT149" s="660">
        <f t="shared" si="593"/>
        <v>0</v>
      </c>
      <c r="BU149" s="660">
        <f t="shared" si="593"/>
        <v>0</v>
      </c>
      <c r="BX149" s="660">
        <v>0</v>
      </c>
      <c r="BY149" s="660">
        <f t="shared" si="622"/>
        <v>0</v>
      </c>
      <c r="BZ149" s="660">
        <f t="shared" si="594"/>
        <v>0</v>
      </c>
      <c r="CA149" s="660">
        <f t="shared" si="595"/>
        <v>0</v>
      </c>
      <c r="CB149" s="660">
        <f t="shared" si="596"/>
        <v>0</v>
      </c>
      <c r="CC149" s="660">
        <f t="shared" si="597"/>
        <v>0</v>
      </c>
      <c r="CD149" s="660">
        <f t="shared" si="623"/>
        <v>0</v>
      </c>
    </row>
    <row r="150" spans="4:82" ht="16" thickTop="1" thickBot="1">
      <c r="D150" s="653"/>
      <c r="E150" s="654"/>
      <c r="F150" s="655" t="str">
        <f t="shared" si="598"/>
        <v/>
      </c>
      <c r="G150" s="656"/>
      <c r="I150" s="658">
        <f t="shared" si="599"/>
        <v>0</v>
      </c>
      <c r="J150" s="658">
        <f t="shared" ref="J150" si="856">IF($G150=0,0,-MIN(0,G150*c_EquityShare.LP))</f>
        <v>0</v>
      </c>
      <c r="K150" s="658">
        <f t="shared" ref="K150" si="857">I150*c_Rate.Pref_MO</f>
        <v>0</v>
      </c>
      <c r="L150" s="658">
        <f t="shared" si="573"/>
        <v>0</v>
      </c>
      <c r="M150" s="658">
        <f t="shared" si="602"/>
        <v>0</v>
      </c>
      <c r="N150" s="658">
        <f t="shared" si="626"/>
        <v>0</v>
      </c>
      <c r="O150" s="658" cm="1">
        <f t="array" ref="O150">IF(I150=0,0,IF(G150&lt;0,N150/c_EquityShare.LP*i_EquityShare.GP,L150/c_EquityShare.LP*i_EquityShare.GP))</f>
        <v>0</v>
      </c>
      <c r="P150" s="658">
        <f t="shared" si="603"/>
        <v>0</v>
      </c>
      <c r="Q150" s="658">
        <f t="shared" si="574"/>
        <v>0</v>
      </c>
      <c r="R150" s="521"/>
      <c r="S150" s="660">
        <f t="shared" si="604"/>
        <v>0</v>
      </c>
      <c r="T150" s="663" cm="1">
        <f t="array" ref="T150">IF($G150=0,0,-MIN(0,$G150*c_EquityShare.LP))</f>
        <v>0</v>
      </c>
      <c r="U150" s="663" cm="1">
        <f t="array" ref="U150">IF($D150=0,0,S150*c_Rate.Hurdle1.MO)</f>
        <v>0</v>
      </c>
      <c r="V150" s="660">
        <f t="shared" si="627"/>
        <v>0</v>
      </c>
      <c r="W150" s="660">
        <f t="shared" si="575"/>
        <v>0</v>
      </c>
      <c r="X150" s="663">
        <f t="shared" si="628"/>
        <v>0</v>
      </c>
      <c r="Y150" s="663">
        <f t="shared" si="605"/>
        <v>0</v>
      </c>
      <c r="Z150" s="663">
        <f t="shared" ref="Z150" si="858">IF(S150=0,0,O150+W150/$J$17*c_Hurdle1.Share_GP)</f>
        <v>0</v>
      </c>
      <c r="AA150" s="663">
        <f t="shared" si="577"/>
        <v>0</v>
      </c>
      <c r="AB150" s="660">
        <f t="shared" si="630"/>
        <v>0</v>
      </c>
      <c r="AC150" s="521"/>
      <c r="AD150" s="663">
        <f t="shared" si="769"/>
        <v>0</v>
      </c>
      <c r="AE150" s="663">
        <f t="shared" ref="AE150" si="859">IF($G150=0,0,-MIN(0,$G150*c_EquityShare.LP))</f>
        <v>0</v>
      </c>
      <c r="AF150" s="663" cm="1">
        <f t="array" ref="AF150">IF($D150=0,0,AD150*(c_Rate.Hurdle2.MO))</f>
        <v>0</v>
      </c>
      <c r="AG150" s="663">
        <f t="shared" si="579"/>
        <v>0</v>
      </c>
      <c r="AH150" s="663">
        <f t="shared" si="609"/>
        <v>0</v>
      </c>
      <c r="AI150" s="663">
        <f t="shared" si="580"/>
        <v>0</v>
      </c>
      <c r="AJ150" s="664">
        <f t="shared" si="581"/>
        <v>0</v>
      </c>
      <c r="AK150" s="660">
        <f t="shared" si="582"/>
        <v>0</v>
      </c>
      <c r="AL150" s="663">
        <f t="shared" ref="AL150" si="860">IF(AD150=0,0,Z150+AH150/$J$18*c_Hurdle2.Share_GP)</f>
        <v>0</v>
      </c>
      <c r="AM150" s="663">
        <f t="shared" si="584"/>
        <v>0</v>
      </c>
      <c r="AN150" s="660">
        <f t="shared" si="633"/>
        <v>0</v>
      </c>
      <c r="AO150" s="521"/>
      <c r="AP150" s="663">
        <f t="shared" si="772"/>
        <v>0</v>
      </c>
      <c r="AQ150" s="663">
        <f t="shared" ref="AQ150" si="861">IF($G150=0,0,-MIN(0,$G150*c_EquityShare.LP))</f>
        <v>0</v>
      </c>
      <c r="AR150" s="663" cm="1">
        <f t="array" ref="AR150">IF($D150=0,0,AP150*(c_Rate.Hurdle3.MO))</f>
        <v>0</v>
      </c>
      <c r="AS150" s="663">
        <f t="shared" si="586"/>
        <v>0</v>
      </c>
      <c r="AT150" s="663">
        <f t="shared" si="613"/>
        <v>0</v>
      </c>
      <c r="AU150" s="663">
        <f t="shared" si="587"/>
        <v>0</v>
      </c>
      <c r="AV150" s="664">
        <f t="shared" si="588"/>
        <v>0</v>
      </c>
      <c r="AW150" s="660">
        <f t="shared" si="614"/>
        <v>0</v>
      </c>
      <c r="AX150" s="663">
        <f t="shared" ref="AX150" si="862">IF(AP150=0,0,AL150+AT150/$J$19*c_Hurdle3.Share_GP)</f>
        <v>0</v>
      </c>
      <c r="AY150" s="663">
        <f t="shared" si="616"/>
        <v>0</v>
      </c>
      <c r="AZ150" s="660">
        <f t="shared" si="636"/>
        <v>0</v>
      </c>
      <c r="BA150" s="521"/>
      <c r="BB150" s="660">
        <f t="shared" si="590"/>
        <v>0</v>
      </c>
      <c r="BC150" s="660">
        <f t="shared" ref="BC150" si="863">$AZ150*c_Residual.Share_GP</f>
        <v>0</v>
      </c>
      <c r="BD150" s="651"/>
      <c r="BE150" s="660">
        <f t="shared" si="618"/>
        <v>0</v>
      </c>
      <c r="BF150" s="660">
        <f t="shared" si="618"/>
        <v>0</v>
      </c>
      <c r="BG150" s="660">
        <f t="shared" si="592"/>
        <v>0</v>
      </c>
      <c r="BI150" s="660">
        <v>0</v>
      </c>
      <c r="BJ150" s="660">
        <v>0</v>
      </c>
      <c r="BK150" s="660">
        <v>0</v>
      </c>
      <c r="BL150" s="660">
        <f t="shared" si="619"/>
        <v>0</v>
      </c>
      <c r="BM150" s="660">
        <f t="shared" si="619"/>
        <v>0</v>
      </c>
      <c r="BN150" s="660">
        <f t="shared" si="620"/>
        <v>0</v>
      </c>
      <c r="BO150" s="660">
        <f t="shared" si="620"/>
        <v>0</v>
      </c>
      <c r="BP150" s="660">
        <f t="shared" si="621"/>
        <v>0</v>
      </c>
      <c r="BQ150" s="660">
        <f t="shared" si="621"/>
        <v>0</v>
      </c>
      <c r="BR150" s="660">
        <v>0</v>
      </c>
      <c r="BS150" s="660">
        <v>0</v>
      </c>
      <c r="BT150" s="660">
        <f t="shared" si="593"/>
        <v>0</v>
      </c>
      <c r="BU150" s="660">
        <f t="shared" si="593"/>
        <v>0</v>
      </c>
      <c r="BX150" s="660">
        <v>0</v>
      </c>
      <c r="BY150" s="660">
        <f t="shared" si="622"/>
        <v>0</v>
      </c>
      <c r="BZ150" s="660">
        <f t="shared" si="594"/>
        <v>0</v>
      </c>
      <c r="CA150" s="660">
        <f t="shared" si="595"/>
        <v>0</v>
      </c>
      <c r="CB150" s="660">
        <f t="shared" si="596"/>
        <v>0</v>
      </c>
      <c r="CC150" s="660">
        <f t="shared" si="597"/>
        <v>0</v>
      </c>
      <c r="CD150" s="660">
        <f t="shared" si="623"/>
        <v>0</v>
      </c>
    </row>
    <row r="151" spans="4:82" ht="16" thickTop="1" thickBot="1">
      <c r="D151" s="653"/>
      <c r="E151" s="654"/>
      <c r="F151" s="655" t="str">
        <f t="shared" si="598"/>
        <v/>
      </c>
      <c r="G151" s="656"/>
      <c r="I151" s="658">
        <f t="shared" si="599"/>
        <v>0</v>
      </c>
      <c r="J151" s="658">
        <f t="shared" ref="J151" si="864">IF($G151=0,0,-MIN(0,G151*c_EquityShare.LP))</f>
        <v>0</v>
      </c>
      <c r="K151" s="658">
        <f t="shared" ref="K151" si="865">I151*c_Rate.Pref_MO</f>
        <v>0</v>
      </c>
      <c r="L151" s="658">
        <f t="shared" si="573"/>
        <v>0</v>
      </c>
      <c r="M151" s="658">
        <f t="shared" si="602"/>
        <v>0</v>
      </c>
      <c r="N151" s="658">
        <f t="shared" si="626"/>
        <v>0</v>
      </c>
      <c r="O151" s="658" cm="1">
        <f t="array" ref="O151">IF(I151=0,0,IF(G151&lt;0,N151/c_EquityShare.LP*i_EquityShare.GP,L151/c_EquityShare.LP*i_EquityShare.GP))</f>
        <v>0</v>
      </c>
      <c r="P151" s="658">
        <f t="shared" si="603"/>
        <v>0</v>
      </c>
      <c r="Q151" s="658">
        <f t="shared" si="574"/>
        <v>0</v>
      </c>
      <c r="R151" s="521"/>
      <c r="S151" s="660">
        <f t="shared" si="604"/>
        <v>0</v>
      </c>
      <c r="T151" s="663" cm="1">
        <f t="array" ref="T151">IF($G151=0,0,-MIN(0,$G151*c_EquityShare.LP))</f>
        <v>0</v>
      </c>
      <c r="U151" s="663" cm="1">
        <f t="array" ref="U151">IF($D151=0,0,S151*c_Rate.Hurdle1.MO)</f>
        <v>0</v>
      </c>
      <c r="V151" s="660">
        <f t="shared" si="627"/>
        <v>0</v>
      </c>
      <c r="W151" s="660">
        <f t="shared" si="575"/>
        <v>0</v>
      </c>
      <c r="X151" s="663">
        <f t="shared" si="628"/>
        <v>0</v>
      </c>
      <c r="Y151" s="663">
        <f t="shared" si="605"/>
        <v>0</v>
      </c>
      <c r="Z151" s="663">
        <f t="shared" ref="Z151" si="866">IF(S151=0,0,O151+W151/$J$17*c_Hurdle1.Share_GP)</f>
        <v>0</v>
      </c>
      <c r="AA151" s="663">
        <f t="shared" si="577"/>
        <v>0</v>
      </c>
      <c r="AB151" s="660">
        <f t="shared" si="630"/>
        <v>0</v>
      </c>
      <c r="AC151" s="521"/>
      <c r="AD151" s="663">
        <f t="shared" si="769"/>
        <v>0</v>
      </c>
      <c r="AE151" s="663">
        <f t="shared" ref="AE151" si="867">IF($G151=0,0,-MIN(0,$G151*c_EquityShare.LP))</f>
        <v>0</v>
      </c>
      <c r="AF151" s="663" cm="1">
        <f t="array" ref="AF151">IF($D151=0,0,AD151*(c_Rate.Hurdle2.MO))</f>
        <v>0</v>
      </c>
      <c r="AG151" s="663">
        <f t="shared" si="579"/>
        <v>0</v>
      </c>
      <c r="AH151" s="663">
        <f t="shared" si="609"/>
        <v>0</v>
      </c>
      <c r="AI151" s="663">
        <f t="shared" si="580"/>
        <v>0</v>
      </c>
      <c r="AJ151" s="664">
        <f t="shared" si="581"/>
        <v>0</v>
      </c>
      <c r="AK151" s="660">
        <f t="shared" si="582"/>
        <v>0</v>
      </c>
      <c r="AL151" s="663">
        <f t="shared" ref="AL151" si="868">IF(AD151=0,0,Z151+AH151/$J$18*c_Hurdle2.Share_GP)</f>
        <v>0</v>
      </c>
      <c r="AM151" s="663">
        <f t="shared" si="584"/>
        <v>0</v>
      </c>
      <c r="AN151" s="660">
        <f t="shared" si="633"/>
        <v>0</v>
      </c>
      <c r="AO151" s="521"/>
      <c r="AP151" s="663">
        <f t="shared" si="772"/>
        <v>0</v>
      </c>
      <c r="AQ151" s="663">
        <f t="shared" ref="AQ151" si="869">IF($G151=0,0,-MIN(0,$G151*c_EquityShare.LP))</f>
        <v>0</v>
      </c>
      <c r="AR151" s="663" cm="1">
        <f t="array" ref="AR151">IF($D151=0,0,AP151*(c_Rate.Hurdle3.MO))</f>
        <v>0</v>
      </c>
      <c r="AS151" s="663">
        <f t="shared" si="586"/>
        <v>0</v>
      </c>
      <c r="AT151" s="663">
        <f t="shared" si="613"/>
        <v>0</v>
      </c>
      <c r="AU151" s="663">
        <f t="shared" si="587"/>
        <v>0</v>
      </c>
      <c r="AV151" s="664">
        <f t="shared" si="588"/>
        <v>0</v>
      </c>
      <c r="AW151" s="660">
        <f t="shared" si="614"/>
        <v>0</v>
      </c>
      <c r="AX151" s="663">
        <f t="shared" ref="AX151" si="870">IF(AP151=0,0,AL151+AT151/$J$19*c_Hurdle3.Share_GP)</f>
        <v>0</v>
      </c>
      <c r="AY151" s="663">
        <f t="shared" si="616"/>
        <v>0</v>
      </c>
      <c r="AZ151" s="660">
        <f t="shared" si="636"/>
        <v>0</v>
      </c>
      <c r="BA151" s="521"/>
      <c r="BB151" s="660">
        <f t="shared" si="590"/>
        <v>0</v>
      </c>
      <c r="BC151" s="660">
        <f t="shared" ref="BC151" si="871">$AZ151*c_Residual.Share_GP</f>
        <v>0</v>
      </c>
      <c r="BD151" s="651"/>
      <c r="BE151" s="660">
        <f t="shared" si="618"/>
        <v>0</v>
      </c>
      <c r="BF151" s="660">
        <f t="shared" si="618"/>
        <v>0</v>
      </c>
      <c r="BG151" s="660">
        <f t="shared" si="592"/>
        <v>0</v>
      </c>
      <c r="BI151" s="660">
        <v>0</v>
      </c>
      <c r="BJ151" s="660">
        <v>0</v>
      </c>
      <c r="BK151" s="660">
        <v>0</v>
      </c>
      <c r="BL151" s="660">
        <f t="shared" si="619"/>
        <v>0</v>
      </c>
      <c r="BM151" s="660">
        <f t="shared" si="619"/>
        <v>0</v>
      </c>
      <c r="BN151" s="660">
        <f t="shared" si="620"/>
        <v>0</v>
      </c>
      <c r="BO151" s="660">
        <f t="shared" si="620"/>
        <v>0</v>
      </c>
      <c r="BP151" s="660">
        <f t="shared" si="621"/>
        <v>0</v>
      </c>
      <c r="BQ151" s="660">
        <f t="shared" si="621"/>
        <v>0</v>
      </c>
      <c r="BR151" s="660">
        <v>0</v>
      </c>
      <c r="BS151" s="660">
        <v>0</v>
      </c>
      <c r="BT151" s="660">
        <f t="shared" si="593"/>
        <v>0</v>
      </c>
      <c r="BU151" s="660">
        <f t="shared" si="593"/>
        <v>0</v>
      </c>
      <c r="BX151" s="660">
        <v>0</v>
      </c>
      <c r="BY151" s="660">
        <f t="shared" si="622"/>
        <v>0</v>
      </c>
      <c r="BZ151" s="660">
        <f t="shared" si="594"/>
        <v>0</v>
      </c>
      <c r="CA151" s="660">
        <f t="shared" si="595"/>
        <v>0</v>
      </c>
      <c r="CB151" s="660">
        <f t="shared" si="596"/>
        <v>0</v>
      </c>
      <c r="CC151" s="660">
        <f t="shared" si="597"/>
        <v>0</v>
      </c>
      <c r="CD151" s="660">
        <f t="shared" si="623"/>
        <v>0</v>
      </c>
    </row>
    <row r="152" spans="4:82" ht="16" thickTop="1" thickBot="1">
      <c r="D152" s="653"/>
      <c r="E152" s="654"/>
      <c r="F152" s="655" t="str">
        <f t="shared" si="598"/>
        <v/>
      </c>
      <c r="G152" s="656"/>
      <c r="I152" s="658">
        <f t="shared" si="599"/>
        <v>0</v>
      </c>
      <c r="J152" s="658">
        <f t="shared" ref="J152" si="872">IF($G152=0,0,-MIN(0,G152*c_EquityShare.LP))</f>
        <v>0</v>
      </c>
      <c r="K152" s="658">
        <f t="shared" ref="K152" si="873">I152*c_Rate.Pref_MO</f>
        <v>0</v>
      </c>
      <c r="L152" s="658">
        <f t="shared" si="573"/>
        <v>0</v>
      </c>
      <c r="M152" s="658">
        <f t="shared" si="602"/>
        <v>0</v>
      </c>
      <c r="N152" s="658">
        <f t="shared" si="626"/>
        <v>0</v>
      </c>
      <c r="O152" s="658" cm="1">
        <f t="array" ref="O152">IF(I152=0,0,IF(G152&lt;0,N152/c_EquityShare.LP*i_EquityShare.GP,L152/c_EquityShare.LP*i_EquityShare.GP))</f>
        <v>0</v>
      </c>
      <c r="P152" s="658">
        <f t="shared" si="603"/>
        <v>0</v>
      </c>
      <c r="Q152" s="658">
        <f t="shared" si="574"/>
        <v>0</v>
      </c>
      <c r="R152" s="521"/>
      <c r="S152" s="660">
        <f t="shared" si="604"/>
        <v>0</v>
      </c>
      <c r="T152" s="663" cm="1">
        <f t="array" ref="T152">IF($G152=0,0,-MIN(0,$G152*c_EquityShare.LP))</f>
        <v>0</v>
      </c>
      <c r="U152" s="663" cm="1">
        <f t="array" ref="U152">IF($D152=0,0,S152*c_Rate.Hurdle1.MO)</f>
        <v>0</v>
      </c>
      <c r="V152" s="660">
        <f t="shared" si="627"/>
        <v>0</v>
      </c>
      <c r="W152" s="660">
        <f t="shared" si="575"/>
        <v>0</v>
      </c>
      <c r="X152" s="663">
        <f t="shared" si="628"/>
        <v>0</v>
      </c>
      <c r="Y152" s="663">
        <f t="shared" si="605"/>
        <v>0</v>
      </c>
      <c r="Z152" s="663">
        <f t="shared" ref="Z152" si="874">IF(S152=0,0,O152+W152/$J$17*c_Hurdle1.Share_GP)</f>
        <v>0</v>
      </c>
      <c r="AA152" s="663">
        <f t="shared" si="577"/>
        <v>0</v>
      </c>
      <c r="AB152" s="660">
        <f t="shared" si="630"/>
        <v>0</v>
      </c>
      <c r="AC152" s="521"/>
      <c r="AD152" s="663">
        <f t="shared" si="769"/>
        <v>0</v>
      </c>
      <c r="AE152" s="663">
        <f t="shared" ref="AE152" si="875">IF($G152=0,0,-MIN(0,$G152*c_EquityShare.LP))</f>
        <v>0</v>
      </c>
      <c r="AF152" s="663" cm="1">
        <f t="array" ref="AF152">IF($D152=0,0,AD152*(c_Rate.Hurdle2.MO))</f>
        <v>0</v>
      </c>
      <c r="AG152" s="663">
        <f t="shared" si="579"/>
        <v>0</v>
      </c>
      <c r="AH152" s="663">
        <f t="shared" si="609"/>
        <v>0</v>
      </c>
      <c r="AI152" s="663">
        <f t="shared" si="580"/>
        <v>0</v>
      </c>
      <c r="AJ152" s="664">
        <f t="shared" si="581"/>
        <v>0</v>
      </c>
      <c r="AK152" s="660">
        <f t="shared" si="582"/>
        <v>0</v>
      </c>
      <c r="AL152" s="663">
        <f t="shared" ref="AL152" si="876">IF(AD152=0,0,Z152+AH152/$J$18*c_Hurdle2.Share_GP)</f>
        <v>0</v>
      </c>
      <c r="AM152" s="663">
        <f t="shared" si="584"/>
        <v>0</v>
      </c>
      <c r="AN152" s="660">
        <f t="shared" si="633"/>
        <v>0</v>
      </c>
      <c r="AO152" s="521"/>
      <c r="AP152" s="663">
        <f t="shared" si="772"/>
        <v>0</v>
      </c>
      <c r="AQ152" s="663">
        <f t="shared" ref="AQ152" si="877">IF($G152=0,0,-MIN(0,$G152*c_EquityShare.LP))</f>
        <v>0</v>
      </c>
      <c r="AR152" s="663" cm="1">
        <f t="array" ref="AR152">IF($D152=0,0,AP152*(c_Rate.Hurdle3.MO))</f>
        <v>0</v>
      </c>
      <c r="AS152" s="663">
        <f t="shared" si="586"/>
        <v>0</v>
      </c>
      <c r="AT152" s="663">
        <f t="shared" si="613"/>
        <v>0</v>
      </c>
      <c r="AU152" s="663">
        <f t="shared" si="587"/>
        <v>0</v>
      </c>
      <c r="AV152" s="664">
        <f t="shared" si="588"/>
        <v>0</v>
      </c>
      <c r="AW152" s="660">
        <f t="shared" si="614"/>
        <v>0</v>
      </c>
      <c r="AX152" s="663">
        <f t="shared" ref="AX152" si="878">IF(AP152=0,0,AL152+AT152/$J$19*c_Hurdle3.Share_GP)</f>
        <v>0</v>
      </c>
      <c r="AY152" s="663">
        <f t="shared" si="616"/>
        <v>0</v>
      </c>
      <c r="AZ152" s="660">
        <f t="shared" si="636"/>
        <v>0</v>
      </c>
      <c r="BA152" s="521"/>
      <c r="BB152" s="660">
        <f t="shared" si="590"/>
        <v>0</v>
      </c>
      <c r="BC152" s="660">
        <f t="shared" ref="BC152" si="879">$AZ152*c_Residual.Share_GP</f>
        <v>0</v>
      </c>
      <c r="BD152" s="651"/>
      <c r="BE152" s="660">
        <f t="shared" si="618"/>
        <v>0</v>
      </c>
      <c r="BF152" s="660">
        <f t="shared" si="618"/>
        <v>0</v>
      </c>
      <c r="BG152" s="660">
        <f t="shared" si="592"/>
        <v>0</v>
      </c>
      <c r="BI152" s="660">
        <v>0</v>
      </c>
      <c r="BJ152" s="660">
        <v>0</v>
      </c>
      <c r="BK152" s="660">
        <v>0</v>
      </c>
      <c r="BL152" s="660">
        <f t="shared" si="619"/>
        <v>0</v>
      </c>
      <c r="BM152" s="660">
        <f t="shared" si="619"/>
        <v>0</v>
      </c>
      <c r="BN152" s="660">
        <f t="shared" si="620"/>
        <v>0</v>
      </c>
      <c r="BO152" s="660">
        <f t="shared" si="620"/>
        <v>0</v>
      </c>
      <c r="BP152" s="660">
        <f t="shared" si="621"/>
        <v>0</v>
      </c>
      <c r="BQ152" s="660">
        <f t="shared" si="621"/>
        <v>0</v>
      </c>
      <c r="BR152" s="660">
        <v>0</v>
      </c>
      <c r="BS152" s="660">
        <v>0</v>
      </c>
      <c r="BT152" s="660">
        <f t="shared" si="593"/>
        <v>0</v>
      </c>
      <c r="BU152" s="660">
        <f t="shared" si="593"/>
        <v>0</v>
      </c>
      <c r="BX152" s="660">
        <v>0</v>
      </c>
      <c r="BY152" s="660">
        <f t="shared" si="622"/>
        <v>0</v>
      </c>
      <c r="BZ152" s="660">
        <f t="shared" si="594"/>
        <v>0</v>
      </c>
      <c r="CA152" s="660">
        <f t="shared" si="595"/>
        <v>0</v>
      </c>
      <c r="CB152" s="660">
        <f t="shared" si="596"/>
        <v>0</v>
      </c>
      <c r="CC152" s="660">
        <f t="shared" si="597"/>
        <v>0</v>
      </c>
      <c r="CD152" s="660">
        <f t="shared" si="623"/>
        <v>0</v>
      </c>
    </row>
    <row r="153" spans="4:82" ht="16" thickTop="1" thickBot="1">
      <c r="D153" s="653"/>
      <c r="E153" s="654"/>
      <c r="F153" s="655" t="str">
        <f t="shared" si="598"/>
        <v/>
      </c>
      <c r="G153" s="656"/>
      <c r="I153" s="658">
        <f t="shared" si="599"/>
        <v>0</v>
      </c>
      <c r="J153" s="658">
        <f t="shared" ref="J153" si="880">IF($G153=0,0,-MIN(0,G153*c_EquityShare.LP))</f>
        <v>0</v>
      </c>
      <c r="K153" s="658">
        <f t="shared" ref="K153" si="881">I153*c_Rate.Pref_MO</f>
        <v>0</v>
      </c>
      <c r="L153" s="658">
        <f t="shared" si="573"/>
        <v>0</v>
      </c>
      <c r="M153" s="658">
        <f t="shared" si="602"/>
        <v>0</v>
      </c>
      <c r="N153" s="658">
        <f t="shared" si="626"/>
        <v>0</v>
      </c>
      <c r="O153" s="658" cm="1">
        <f t="array" ref="O153">IF(I153=0,0,IF(G153&lt;0,N153/c_EquityShare.LP*i_EquityShare.GP,L153/c_EquityShare.LP*i_EquityShare.GP))</f>
        <v>0</v>
      </c>
      <c r="P153" s="658">
        <f t="shared" si="603"/>
        <v>0</v>
      </c>
      <c r="Q153" s="658">
        <f t="shared" si="574"/>
        <v>0</v>
      </c>
      <c r="R153" s="521"/>
      <c r="S153" s="660">
        <f t="shared" si="604"/>
        <v>0</v>
      </c>
      <c r="T153" s="663" cm="1">
        <f t="array" ref="T153">IF($G153=0,0,-MIN(0,$G153*c_EquityShare.LP))</f>
        <v>0</v>
      </c>
      <c r="U153" s="663" cm="1">
        <f t="array" ref="U153">IF($D153=0,0,S153*c_Rate.Hurdle1.MO)</f>
        <v>0</v>
      </c>
      <c r="V153" s="660">
        <f t="shared" si="627"/>
        <v>0</v>
      </c>
      <c r="W153" s="660">
        <f t="shared" si="575"/>
        <v>0</v>
      </c>
      <c r="X153" s="663">
        <f t="shared" si="628"/>
        <v>0</v>
      </c>
      <c r="Y153" s="663">
        <f t="shared" si="605"/>
        <v>0</v>
      </c>
      <c r="Z153" s="663">
        <f t="shared" ref="Z153" si="882">IF(S153=0,0,O153+W153/$J$17*c_Hurdle1.Share_GP)</f>
        <v>0</v>
      </c>
      <c r="AA153" s="663">
        <f t="shared" si="577"/>
        <v>0</v>
      </c>
      <c r="AB153" s="660">
        <f t="shared" si="630"/>
        <v>0</v>
      </c>
      <c r="AC153" s="521"/>
      <c r="AD153" s="663">
        <f t="shared" si="769"/>
        <v>0</v>
      </c>
      <c r="AE153" s="663">
        <f t="shared" ref="AE153" si="883">IF($G153=0,0,-MIN(0,$G153*c_EquityShare.LP))</f>
        <v>0</v>
      </c>
      <c r="AF153" s="663" cm="1">
        <f t="array" ref="AF153">IF($D153=0,0,AD153*(c_Rate.Hurdle2.MO))</f>
        <v>0</v>
      </c>
      <c r="AG153" s="663">
        <f t="shared" si="579"/>
        <v>0</v>
      </c>
      <c r="AH153" s="663">
        <f t="shared" si="609"/>
        <v>0</v>
      </c>
      <c r="AI153" s="663">
        <f t="shared" si="580"/>
        <v>0</v>
      </c>
      <c r="AJ153" s="664">
        <f t="shared" si="581"/>
        <v>0</v>
      </c>
      <c r="AK153" s="660">
        <f t="shared" si="582"/>
        <v>0</v>
      </c>
      <c r="AL153" s="663">
        <f t="shared" ref="AL153" si="884">IF(AD153=0,0,Z153+AH153/$J$18*c_Hurdle2.Share_GP)</f>
        <v>0</v>
      </c>
      <c r="AM153" s="663">
        <f t="shared" si="584"/>
        <v>0</v>
      </c>
      <c r="AN153" s="660">
        <f t="shared" si="633"/>
        <v>0</v>
      </c>
      <c r="AO153" s="521"/>
      <c r="AP153" s="663">
        <f t="shared" si="772"/>
        <v>0</v>
      </c>
      <c r="AQ153" s="663">
        <f t="shared" ref="AQ153" si="885">IF($G153=0,0,-MIN(0,$G153*c_EquityShare.LP))</f>
        <v>0</v>
      </c>
      <c r="AR153" s="663" cm="1">
        <f t="array" ref="AR153">IF($D153=0,0,AP153*(c_Rate.Hurdle3.MO))</f>
        <v>0</v>
      </c>
      <c r="AS153" s="663">
        <f t="shared" si="586"/>
        <v>0</v>
      </c>
      <c r="AT153" s="663">
        <f t="shared" si="613"/>
        <v>0</v>
      </c>
      <c r="AU153" s="663">
        <f t="shared" si="587"/>
        <v>0</v>
      </c>
      <c r="AV153" s="664">
        <f t="shared" si="588"/>
        <v>0</v>
      </c>
      <c r="AW153" s="660">
        <f t="shared" si="614"/>
        <v>0</v>
      </c>
      <c r="AX153" s="663">
        <f t="shared" ref="AX153" si="886">IF(AP153=0,0,AL153+AT153/$J$19*c_Hurdle3.Share_GP)</f>
        <v>0</v>
      </c>
      <c r="AY153" s="663">
        <f t="shared" si="616"/>
        <v>0</v>
      </c>
      <c r="AZ153" s="660">
        <f t="shared" si="636"/>
        <v>0</v>
      </c>
      <c r="BA153" s="521"/>
      <c r="BB153" s="660">
        <f t="shared" si="590"/>
        <v>0</v>
      </c>
      <c r="BC153" s="660">
        <f t="shared" ref="BC153" si="887">$AZ153*c_Residual.Share_GP</f>
        <v>0</v>
      </c>
      <c r="BD153" s="651"/>
      <c r="BE153" s="660">
        <f t="shared" si="618"/>
        <v>0</v>
      </c>
      <c r="BF153" s="660">
        <f t="shared" si="618"/>
        <v>0</v>
      </c>
      <c r="BG153" s="660">
        <f t="shared" si="592"/>
        <v>0</v>
      </c>
      <c r="BI153" s="660">
        <v>0</v>
      </c>
      <c r="BJ153" s="660">
        <v>0</v>
      </c>
      <c r="BK153" s="660">
        <v>0</v>
      </c>
      <c r="BL153" s="660">
        <f t="shared" si="619"/>
        <v>0</v>
      </c>
      <c r="BM153" s="660">
        <f t="shared" si="619"/>
        <v>0</v>
      </c>
      <c r="BN153" s="660">
        <f t="shared" si="620"/>
        <v>0</v>
      </c>
      <c r="BO153" s="660">
        <f t="shared" si="620"/>
        <v>0</v>
      </c>
      <c r="BP153" s="660">
        <f t="shared" si="621"/>
        <v>0</v>
      </c>
      <c r="BQ153" s="660">
        <f t="shared" si="621"/>
        <v>0</v>
      </c>
      <c r="BR153" s="660">
        <v>0</v>
      </c>
      <c r="BS153" s="660">
        <v>0</v>
      </c>
      <c r="BT153" s="660">
        <f t="shared" si="593"/>
        <v>0</v>
      </c>
      <c r="BU153" s="660">
        <f t="shared" si="593"/>
        <v>0</v>
      </c>
      <c r="BX153" s="660">
        <v>0</v>
      </c>
      <c r="BY153" s="660">
        <f t="shared" si="622"/>
        <v>0</v>
      </c>
      <c r="BZ153" s="660">
        <f t="shared" si="594"/>
        <v>0</v>
      </c>
      <c r="CA153" s="660">
        <f t="shared" si="595"/>
        <v>0</v>
      </c>
      <c r="CB153" s="660">
        <f t="shared" si="596"/>
        <v>0</v>
      </c>
      <c r="CC153" s="660">
        <f t="shared" si="597"/>
        <v>0</v>
      </c>
      <c r="CD153" s="660">
        <f t="shared" si="623"/>
        <v>0</v>
      </c>
    </row>
    <row r="154" spans="4:82" ht="16" hidden="1" thickTop="1" thickBot="1">
      <c r="D154" s="653"/>
      <c r="E154" s="654"/>
      <c r="F154" s="655" t="str">
        <f t="shared" si="598"/>
        <v/>
      </c>
      <c r="G154" s="656"/>
      <c r="I154" s="658">
        <f t="shared" si="599"/>
        <v>0</v>
      </c>
      <c r="J154" s="658">
        <f t="shared" ref="J154" si="888">IF($G154=0,0,-MIN(0,G154*c_EquityShare.LP))</f>
        <v>0</v>
      </c>
      <c r="K154" s="658">
        <f t="shared" ref="K154" si="889">I154*c_Rate.Pref_MO</f>
        <v>0</v>
      </c>
      <c r="L154" s="658">
        <f t="shared" si="573"/>
        <v>0</v>
      </c>
      <c r="M154" s="658">
        <f t="shared" si="602"/>
        <v>0</v>
      </c>
      <c r="N154" s="658">
        <f t="shared" si="626"/>
        <v>0</v>
      </c>
      <c r="O154" s="658" cm="1">
        <f t="array" ref="O154">IF(I154=0,0,IF(G154&lt;0,N154/c_EquityShare.LP*i_EquityShare.GP,L154/c_EquityShare.LP*i_EquityShare.GP))</f>
        <v>0</v>
      </c>
      <c r="P154" s="658">
        <f t="shared" si="603"/>
        <v>0</v>
      </c>
      <c r="Q154" s="658">
        <f t="shared" si="574"/>
        <v>0</v>
      </c>
      <c r="R154" s="521"/>
      <c r="S154" s="660">
        <f t="shared" si="604"/>
        <v>0</v>
      </c>
      <c r="T154" s="663" cm="1">
        <f t="array" ref="T154">IF($G154=0,0,-MIN(0,$G154*c_EquityShare.LP))</f>
        <v>0</v>
      </c>
      <c r="U154" s="663" cm="1">
        <f t="array" ref="U154">IF($D154=0,0,S154*c_Rate.Hurdle1.MO)</f>
        <v>0</v>
      </c>
      <c r="V154" s="660">
        <f t="shared" si="627"/>
        <v>0</v>
      </c>
      <c r="W154" s="660">
        <f t="shared" si="575"/>
        <v>0</v>
      </c>
      <c r="X154" s="663">
        <f t="shared" si="628"/>
        <v>0</v>
      </c>
      <c r="Y154" s="663">
        <f t="shared" si="605"/>
        <v>0</v>
      </c>
      <c r="Z154" s="663">
        <f t="shared" ref="Z154" si="890">IF(S154=0,0,O154+W154/$J$17*c_Hurdle1.Share_GP)</f>
        <v>0</v>
      </c>
      <c r="AA154" s="663">
        <f t="shared" si="577"/>
        <v>0</v>
      </c>
      <c r="AB154" s="660">
        <f t="shared" si="630"/>
        <v>0</v>
      </c>
      <c r="AC154" s="521"/>
      <c r="AD154" s="663">
        <f t="shared" si="769"/>
        <v>0</v>
      </c>
      <c r="AE154" s="663">
        <f t="shared" ref="AE154" si="891">IF($G154=0,0,-MIN(0,$G154*c_EquityShare.LP))</f>
        <v>0</v>
      </c>
      <c r="AF154" s="663" cm="1">
        <f t="array" ref="AF154">IF($D154=0,0,AD154*(c_Rate.Hurdle2.MO))</f>
        <v>0</v>
      </c>
      <c r="AG154" s="663">
        <f t="shared" si="579"/>
        <v>0</v>
      </c>
      <c r="AH154" s="663">
        <f t="shared" si="609"/>
        <v>0</v>
      </c>
      <c r="AI154" s="663">
        <f t="shared" si="580"/>
        <v>0</v>
      </c>
      <c r="AJ154" s="664">
        <f t="shared" si="581"/>
        <v>0</v>
      </c>
      <c r="AK154" s="660">
        <f t="shared" si="582"/>
        <v>0</v>
      </c>
      <c r="AL154" s="663">
        <f t="shared" ref="AL154" si="892">IF(AD154=0,0,Z154+AH154/$J$18*c_Hurdle2.Share_GP)</f>
        <v>0</v>
      </c>
      <c r="AM154" s="663">
        <f t="shared" si="584"/>
        <v>0</v>
      </c>
      <c r="AN154" s="660">
        <f t="shared" si="633"/>
        <v>0</v>
      </c>
      <c r="AO154" s="521"/>
      <c r="AP154" s="663">
        <f t="shared" si="772"/>
        <v>0</v>
      </c>
      <c r="AQ154" s="663">
        <f t="shared" ref="AQ154" si="893">IF($G154=0,0,-MIN(0,$G154*c_EquityShare.LP))</f>
        <v>0</v>
      </c>
      <c r="AR154" s="663" cm="1">
        <f t="array" ref="AR154">IF($D154=0,0,AP154*(c_Rate.Hurdle3.MO))</f>
        <v>0</v>
      </c>
      <c r="AS154" s="663">
        <f t="shared" si="586"/>
        <v>0</v>
      </c>
      <c r="AT154" s="663">
        <f t="shared" si="613"/>
        <v>0</v>
      </c>
      <c r="AU154" s="663">
        <f t="shared" si="587"/>
        <v>0</v>
      </c>
      <c r="AV154" s="664">
        <f t="shared" si="588"/>
        <v>0</v>
      </c>
      <c r="AW154" s="660">
        <f t="shared" si="614"/>
        <v>0</v>
      </c>
      <c r="AX154" s="663">
        <f t="shared" ref="AX154" si="894">IF(AP154=0,0,AL154+AT154/$J$19*c_Hurdle3.Share_GP)</f>
        <v>0</v>
      </c>
      <c r="AY154" s="663">
        <f t="shared" si="616"/>
        <v>0</v>
      </c>
      <c r="AZ154" s="660">
        <f t="shared" si="636"/>
        <v>0</v>
      </c>
      <c r="BA154" s="521"/>
      <c r="BB154" s="660">
        <f t="shared" si="590"/>
        <v>0</v>
      </c>
      <c r="BC154" s="660">
        <f t="shared" ref="BC154" si="895">$AZ154*c_Residual.Share_GP</f>
        <v>0</v>
      </c>
      <c r="BD154" s="651"/>
      <c r="BE154" s="660">
        <f t="shared" si="618"/>
        <v>0</v>
      </c>
      <c r="BF154" s="660">
        <f t="shared" si="618"/>
        <v>0</v>
      </c>
      <c r="BG154" s="660">
        <f t="shared" si="592"/>
        <v>0</v>
      </c>
      <c r="BI154" s="660">
        <v>0</v>
      </c>
      <c r="BJ154" s="660">
        <v>0</v>
      </c>
      <c r="BK154" s="660">
        <v>0</v>
      </c>
      <c r="BL154" s="660">
        <f t="shared" si="619"/>
        <v>0</v>
      </c>
      <c r="BM154" s="660">
        <f t="shared" si="619"/>
        <v>0</v>
      </c>
      <c r="BN154" s="660">
        <f t="shared" si="620"/>
        <v>0</v>
      </c>
      <c r="BO154" s="660">
        <f t="shared" si="620"/>
        <v>0</v>
      </c>
      <c r="BP154" s="660">
        <f t="shared" si="621"/>
        <v>0</v>
      </c>
      <c r="BQ154" s="660">
        <f t="shared" si="621"/>
        <v>0</v>
      </c>
      <c r="BR154" s="660">
        <v>0</v>
      </c>
      <c r="BS154" s="660">
        <v>0</v>
      </c>
      <c r="BT154" s="660">
        <f t="shared" si="593"/>
        <v>0</v>
      </c>
      <c r="BU154" s="660">
        <f t="shared" si="593"/>
        <v>0</v>
      </c>
      <c r="BX154" s="660">
        <v>0</v>
      </c>
      <c r="BY154" s="660">
        <f t="shared" si="622"/>
        <v>0</v>
      </c>
      <c r="BZ154" s="660">
        <f t="shared" si="594"/>
        <v>0</v>
      </c>
      <c r="CA154" s="660">
        <f t="shared" si="595"/>
        <v>0</v>
      </c>
      <c r="CB154" s="660">
        <f t="shared" si="596"/>
        <v>0</v>
      </c>
      <c r="CC154" s="660">
        <f t="shared" si="597"/>
        <v>0</v>
      </c>
      <c r="CD154" s="660">
        <f t="shared" si="623"/>
        <v>0</v>
      </c>
    </row>
    <row r="155" spans="4:82" ht="16" hidden="1" thickTop="1" thickBot="1">
      <c r="D155" s="653"/>
      <c r="E155" s="654"/>
      <c r="F155" s="655" t="str">
        <f t="shared" si="598"/>
        <v/>
      </c>
      <c r="G155" s="656"/>
      <c r="I155" s="658">
        <f t="shared" si="599"/>
        <v>0</v>
      </c>
      <c r="J155" s="658">
        <f t="shared" ref="J155" si="896">IF($G155=0,0,-MIN(0,G155*c_EquityShare.LP))</f>
        <v>0</v>
      </c>
      <c r="K155" s="658">
        <f t="shared" ref="K155" si="897">I155*c_Rate.Pref_MO</f>
        <v>0</v>
      </c>
      <c r="L155" s="658">
        <f t="shared" si="573"/>
        <v>0</v>
      </c>
      <c r="M155" s="658">
        <f t="shared" si="602"/>
        <v>0</v>
      </c>
      <c r="N155" s="658">
        <f t="shared" si="626"/>
        <v>0</v>
      </c>
      <c r="O155" s="658" cm="1">
        <f t="array" ref="O155">IF(I155=0,0,IF(G155&lt;0,N155/c_EquityShare.LP*i_EquityShare.GP,L155/c_EquityShare.LP*i_EquityShare.GP))</f>
        <v>0</v>
      </c>
      <c r="P155" s="658">
        <f t="shared" si="603"/>
        <v>0</v>
      </c>
      <c r="Q155" s="658">
        <f t="shared" si="574"/>
        <v>0</v>
      </c>
      <c r="R155" s="521"/>
      <c r="S155" s="660">
        <f t="shared" si="604"/>
        <v>0</v>
      </c>
      <c r="T155" s="663" cm="1">
        <f t="array" ref="T155">IF($G155=0,0,-MIN(0,$G155*c_EquityShare.LP))</f>
        <v>0</v>
      </c>
      <c r="U155" s="663" cm="1">
        <f t="array" ref="U155">IF($D155=0,0,S155*c_Rate.Hurdle1.MO)</f>
        <v>0</v>
      </c>
      <c r="V155" s="660">
        <f t="shared" si="627"/>
        <v>0</v>
      </c>
      <c r="W155" s="660">
        <f t="shared" si="575"/>
        <v>0</v>
      </c>
      <c r="X155" s="663">
        <f t="shared" si="628"/>
        <v>0</v>
      </c>
      <c r="Y155" s="663">
        <f t="shared" si="605"/>
        <v>0</v>
      </c>
      <c r="Z155" s="663">
        <f t="shared" ref="Z155" si="898">IF(S155=0,0,O155+W155/$J$17*c_Hurdle1.Share_GP)</f>
        <v>0</v>
      </c>
      <c r="AA155" s="663">
        <f t="shared" si="577"/>
        <v>0</v>
      </c>
      <c r="AB155" s="660">
        <f t="shared" si="630"/>
        <v>0</v>
      </c>
      <c r="AC155" s="521"/>
      <c r="AD155" s="663">
        <f t="shared" si="769"/>
        <v>0</v>
      </c>
      <c r="AE155" s="663">
        <f t="shared" ref="AE155" si="899">IF($G155=0,0,-MIN(0,$G155*c_EquityShare.LP))</f>
        <v>0</v>
      </c>
      <c r="AF155" s="663" cm="1">
        <f t="array" ref="AF155">IF($D155=0,0,AD155*(c_Rate.Hurdle2.MO))</f>
        <v>0</v>
      </c>
      <c r="AG155" s="663">
        <f t="shared" si="579"/>
        <v>0</v>
      </c>
      <c r="AH155" s="663">
        <f t="shared" si="609"/>
        <v>0</v>
      </c>
      <c r="AI155" s="663">
        <f t="shared" si="580"/>
        <v>0</v>
      </c>
      <c r="AJ155" s="664">
        <f t="shared" si="581"/>
        <v>0</v>
      </c>
      <c r="AK155" s="660">
        <f t="shared" si="582"/>
        <v>0</v>
      </c>
      <c r="AL155" s="663">
        <f t="shared" ref="AL155" si="900">IF(AD155=0,0,Z155+AH155/$J$18*c_Hurdle2.Share_GP)</f>
        <v>0</v>
      </c>
      <c r="AM155" s="663">
        <f t="shared" si="584"/>
        <v>0</v>
      </c>
      <c r="AN155" s="660">
        <f t="shared" si="633"/>
        <v>0</v>
      </c>
      <c r="AO155" s="521"/>
      <c r="AP155" s="663">
        <f t="shared" si="772"/>
        <v>0</v>
      </c>
      <c r="AQ155" s="663">
        <f t="shared" ref="AQ155" si="901">IF($G155=0,0,-MIN(0,$G155*c_EquityShare.LP))</f>
        <v>0</v>
      </c>
      <c r="AR155" s="663" cm="1">
        <f t="array" ref="AR155">IF($D155=0,0,AP155*(c_Rate.Hurdle3.MO))</f>
        <v>0</v>
      </c>
      <c r="AS155" s="663">
        <f t="shared" si="586"/>
        <v>0</v>
      </c>
      <c r="AT155" s="663">
        <f t="shared" si="613"/>
        <v>0</v>
      </c>
      <c r="AU155" s="663">
        <f t="shared" si="587"/>
        <v>0</v>
      </c>
      <c r="AV155" s="664">
        <f t="shared" si="588"/>
        <v>0</v>
      </c>
      <c r="AW155" s="660">
        <f t="shared" si="614"/>
        <v>0</v>
      </c>
      <c r="AX155" s="663">
        <f t="shared" ref="AX155" si="902">IF(AP155=0,0,AL155+AT155/$J$19*c_Hurdle3.Share_GP)</f>
        <v>0</v>
      </c>
      <c r="AY155" s="663">
        <f t="shared" si="616"/>
        <v>0</v>
      </c>
      <c r="AZ155" s="660">
        <f t="shared" si="636"/>
        <v>0</v>
      </c>
      <c r="BA155" s="521"/>
      <c r="BB155" s="660">
        <f t="shared" si="590"/>
        <v>0</v>
      </c>
      <c r="BC155" s="660">
        <f t="shared" ref="BC155" si="903">$AZ155*c_Residual.Share_GP</f>
        <v>0</v>
      </c>
      <c r="BD155" s="651"/>
      <c r="BE155" s="660">
        <f t="shared" si="618"/>
        <v>0</v>
      </c>
      <c r="BF155" s="660">
        <f t="shared" si="618"/>
        <v>0</v>
      </c>
      <c r="BG155" s="660">
        <f t="shared" si="592"/>
        <v>0</v>
      </c>
      <c r="BI155" s="660">
        <v>0</v>
      </c>
      <c r="BJ155" s="660">
        <v>0</v>
      </c>
      <c r="BK155" s="660">
        <v>0</v>
      </c>
      <c r="BL155" s="660">
        <f t="shared" si="619"/>
        <v>0</v>
      </c>
      <c r="BM155" s="660">
        <f t="shared" si="619"/>
        <v>0</v>
      </c>
      <c r="BN155" s="660">
        <f t="shared" si="620"/>
        <v>0</v>
      </c>
      <c r="BO155" s="660">
        <f t="shared" si="620"/>
        <v>0</v>
      </c>
      <c r="BP155" s="660">
        <f t="shared" si="621"/>
        <v>0</v>
      </c>
      <c r="BQ155" s="660">
        <f t="shared" si="621"/>
        <v>0</v>
      </c>
      <c r="BR155" s="660">
        <v>0</v>
      </c>
      <c r="BS155" s="660">
        <v>0</v>
      </c>
      <c r="BT155" s="660">
        <f t="shared" si="593"/>
        <v>0</v>
      </c>
      <c r="BU155" s="660">
        <f t="shared" si="593"/>
        <v>0</v>
      </c>
      <c r="BX155" s="660">
        <v>0</v>
      </c>
      <c r="BY155" s="660">
        <f t="shared" si="622"/>
        <v>0</v>
      </c>
      <c r="BZ155" s="660">
        <f t="shared" si="594"/>
        <v>0</v>
      </c>
      <c r="CA155" s="660">
        <f t="shared" si="595"/>
        <v>0</v>
      </c>
      <c r="CB155" s="660">
        <f t="shared" si="596"/>
        <v>0</v>
      </c>
      <c r="CC155" s="660">
        <f t="shared" si="597"/>
        <v>0</v>
      </c>
      <c r="CD155" s="660">
        <f t="shared" si="623"/>
        <v>0</v>
      </c>
    </row>
    <row r="156" spans="4:82" ht="16" hidden="1" thickTop="1" thickBot="1">
      <c r="D156" s="653"/>
      <c r="E156" s="654"/>
      <c r="F156" s="655" t="str">
        <f t="shared" si="598"/>
        <v/>
      </c>
      <c r="G156" s="656"/>
      <c r="I156" s="658">
        <f t="shared" si="599"/>
        <v>0</v>
      </c>
      <c r="J156" s="658">
        <f t="shared" ref="J156" si="904">IF($G156=0,0,-MIN(0,G156*c_EquityShare.LP))</f>
        <v>0</v>
      </c>
      <c r="K156" s="658">
        <f t="shared" ref="K156" si="905">I156*c_Rate.Pref_MO</f>
        <v>0</v>
      </c>
      <c r="L156" s="658">
        <f t="shared" si="573"/>
        <v>0</v>
      </c>
      <c r="M156" s="658">
        <f t="shared" si="602"/>
        <v>0</v>
      </c>
      <c r="N156" s="658">
        <f t="shared" si="626"/>
        <v>0</v>
      </c>
      <c r="O156" s="658" cm="1">
        <f t="array" ref="O156">IF(I156=0,0,IF(G156&lt;0,N156/c_EquityShare.LP*i_EquityShare.GP,L156/c_EquityShare.LP*i_EquityShare.GP))</f>
        <v>0</v>
      </c>
      <c r="P156" s="658">
        <f t="shared" si="603"/>
        <v>0</v>
      </c>
      <c r="Q156" s="658">
        <f t="shared" si="574"/>
        <v>0</v>
      </c>
      <c r="R156" s="521"/>
      <c r="S156" s="660">
        <f t="shared" si="604"/>
        <v>0</v>
      </c>
      <c r="T156" s="663" cm="1">
        <f t="array" ref="T156">IF($G156=0,0,-MIN(0,$G156*c_EquityShare.LP))</f>
        <v>0</v>
      </c>
      <c r="U156" s="663" cm="1">
        <f t="array" ref="U156">IF($D156=0,0,S156*c_Rate.Hurdle1.MO)</f>
        <v>0</v>
      </c>
      <c r="V156" s="660">
        <f t="shared" si="627"/>
        <v>0</v>
      </c>
      <c r="W156" s="660">
        <f t="shared" si="575"/>
        <v>0</v>
      </c>
      <c r="X156" s="663">
        <f t="shared" si="628"/>
        <v>0</v>
      </c>
      <c r="Y156" s="663">
        <f t="shared" si="605"/>
        <v>0</v>
      </c>
      <c r="Z156" s="663">
        <f t="shared" ref="Z156" si="906">IF(S156=0,0,O156+W156/$J$17*c_Hurdle1.Share_GP)</f>
        <v>0</v>
      </c>
      <c r="AA156" s="663">
        <f t="shared" si="577"/>
        <v>0</v>
      </c>
      <c r="AB156" s="660">
        <f t="shared" si="630"/>
        <v>0</v>
      </c>
      <c r="AC156" s="521"/>
      <c r="AD156" s="663">
        <f t="shared" si="769"/>
        <v>0</v>
      </c>
      <c r="AE156" s="663">
        <f t="shared" ref="AE156" si="907">IF($G156=0,0,-MIN(0,$G156*c_EquityShare.LP))</f>
        <v>0</v>
      </c>
      <c r="AF156" s="663" cm="1">
        <f t="array" ref="AF156">IF($D156=0,0,AD156*(c_Rate.Hurdle2.MO))</f>
        <v>0</v>
      </c>
      <c r="AG156" s="663">
        <f t="shared" si="579"/>
        <v>0</v>
      </c>
      <c r="AH156" s="663">
        <f t="shared" si="609"/>
        <v>0</v>
      </c>
      <c r="AI156" s="663">
        <f t="shared" si="580"/>
        <v>0</v>
      </c>
      <c r="AJ156" s="664">
        <f t="shared" si="581"/>
        <v>0</v>
      </c>
      <c r="AK156" s="660">
        <f t="shared" si="582"/>
        <v>0</v>
      </c>
      <c r="AL156" s="663">
        <f t="shared" ref="AL156" si="908">IF(AD156=0,0,Z156+AH156/$J$18*c_Hurdle2.Share_GP)</f>
        <v>0</v>
      </c>
      <c r="AM156" s="663">
        <f t="shared" si="584"/>
        <v>0</v>
      </c>
      <c r="AN156" s="660">
        <f t="shared" si="633"/>
        <v>0</v>
      </c>
      <c r="AO156" s="521"/>
      <c r="AP156" s="663">
        <f t="shared" si="772"/>
        <v>0</v>
      </c>
      <c r="AQ156" s="663">
        <f t="shared" ref="AQ156" si="909">IF($G156=0,0,-MIN(0,$G156*c_EquityShare.LP))</f>
        <v>0</v>
      </c>
      <c r="AR156" s="663" cm="1">
        <f t="array" ref="AR156">IF($D156=0,0,AP156*(c_Rate.Hurdle3.MO))</f>
        <v>0</v>
      </c>
      <c r="AS156" s="663">
        <f t="shared" si="586"/>
        <v>0</v>
      </c>
      <c r="AT156" s="663">
        <f t="shared" si="613"/>
        <v>0</v>
      </c>
      <c r="AU156" s="663">
        <f t="shared" si="587"/>
        <v>0</v>
      </c>
      <c r="AV156" s="664">
        <f t="shared" si="588"/>
        <v>0</v>
      </c>
      <c r="AW156" s="660">
        <f t="shared" si="614"/>
        <v>0</v>
      </c>
      <c r="AX156" s="663">
        <f t="shared" ref="AX156" si="910">IF(AP156=0,0,AL156+AT156/$J$19*c_Hurdle3.Share_GP)</f>
        <v>0</v>
      </c>
      <c r="AY156" s="663">
        <f t="shared" si="616"/>
        <v>0</v>
      </c>
      <c r="AZ156" s="660">
        <f t="shared" si="636"/>
        <v>0</v>
      </c>
      <c r="BA156" s="521"/>
      <c r="BB156" s="660">
        <f t="shared" si="590"/>
        <v>0</v>
      </c>
      <c r="BC156" s="660">
        <f t="shared" ref="BC156" si="911">$AZ156*c_Residual.Share_GP</f>
        <v>0</v>
      </c>
      <c r="BD156" s="651"/>
      <c r="BE156" s="660">
        <f t="shared" si="618"/>
        <v>0</v>
      </c>
      <c r="BF156" s="660">
        <f t="shared" si="618"/>
        <v>0</v>
      </c>
      <c r="BG156" s="660">
        <f t="shared" si="592"/>
        <v>0</v>
      </c>
      <c r="BI156" s="660">
        <v>0</v>
      </c>
      <c r="BJ156" s="660">
        <v>0</v>
      </c>
      <c r="BK156" s="660">
        <v>0</v>
      </c>
      <c r="BL156" s="660">
        <f t="shared" si="619"/>
        <v>0</v>
      </c>
      <c r="BM156" s="660">
        <f t="shared" si="619"/>
        <v>0</v>
      </c>
      <c r="BN156" s="660">
        <f t="shared" si="620"/>
        <v>0</v>
      </c>
      <c r="BO156" s="660">
        <f t="shared" si="620"/>
        <v>0</v>
      </c>
      <c r="BP156" s="660">
        <f t="shared" si="621"/>
        <v>0</v>
      </c>
      <c r="BQ156" s="660">
        <f t="shared" si="621"/>
        <v>0</v>
      </c>
      <c r="BR156" s="660">
        <v>0</v>
      </c>
      <c r="BS156" s="660">
        <v>0</v>
      </c>
      <c r="BT156" s="660">
        <f t="shared" si="593"/>
        <v>0</v>
      </c>
      <c r="BU156" s="660">
        <f t="shared" si="593"/>
        <v>0</v>
      </c>
      <c r="BX156" s="660">
        <v>0</v>
      </c>
      <c r="BY156" s="660">
        <f t="shared" si="622"/>
        <v>0</v>
      </c>
      <c r="BZ156" s="660">
        <f t="shared" si="594"/>
        <v>0</v>
      </c>
      <c r="CA156" s="660">
        <f t="shared" si="595"/>
        <v>0</v>
      </c>
      <c r="CB156" s="660">
        <f t="shared" si="596"/>
        <v>0</v>
      </c>
      <c r="CC156" s="660">
        <f t="shared" si="597"/>
        <v>0</v>
      </c>
      <c r="CD156" s="660">
        <f t="shared" si="623"/>
        <v>0</v>
      </c>
    </row>
    <row r="157" spans="4:82" ht="16" hidden="1" thickTop="1" thickBot="1">
      <c r="D157" s="653"/>
      <c r="E157" s="654"/>
      <c r="F157" s="655" t="str">
        <f t="shared" si="598"/>
        <v/>
      </c>
      <c r="G157" s="656"/>
      <c r="I157" s="658">
        <f t="shared" si="599"/>
        <v>0</v>
      </c>
      <c r="J157" s="658">
        <f t="shared" ref="J157" si="912">IF($G157=0,0,-MIN(0,G157*c_EquityShare.LP))</f>
        <v>0</v>
      </c>
      <c r="K157" s="658">
        <f t="shared" ref="K157" si="913">I157*c_Rate.Pref_MO</f>
        <v>0</v>
      </c>
      <c r="L157" s="658">
        <f t="shared" si="573"/>
        <v>0</v>
      </c>
      <c r="M157" s="658">
        <f t="shared" si="602"/>
        <v>0</v>
      </c>
      <c r="N157" s="658">
        <f t="shared" si="626"/>
        <v>0</v>
      </c>
      <c r="O157" s="658" cm="1">
        <f t="array" ref="O157">IF(I157=0,0,IF(G157&lt;0,N157/c_EquityShare.LP*i_EquityShare.GP,L157/c_EquityShare.LP*i_EquityShare.GP))</f>
        <v>0</v>
      </c>
      <c r="P157" s="658">
        <f t="shared" si="603"/>
        <v>0</v>
      </c>
      <c r="Q157" s="658">
        <f t="shared" si="574"/>
        <v>0</v>
      </c>
      <c r="R157" s="521"/>
      <c r="S157" s="660">
        <f t="shared" si="604"/>
        <v>0</v>
      </c>
      <c r="T157" s="663" cm="1">
        <f t="array" ref="T157">IF($G157=0,0,-MIN(0,$G157*c_EquityShare.LP))</f>
        <v>0</v>
      </c>
      <c r="U157" s="663" cm="1">
        <f t="array" ref="U157">IF($D157=0,0,S157*c_Rate.Hurdle1.MO)</f>
        <v>0</v>
      </c>
      <c r="V157" s="660">
        <f t="shared" si="627"/>
        <v>0</v>
      </c>
      <c r="W157" s="660">
        <f t="shared" si="575"/>
        <v>0</v>
      </c>
      <c r="X157" s="663">
        <f t="shared" si="628"/>
        <v>0</v>
      </c>
      <c r="Y157" s="663">
        <f t="shared" si="605"/>
        <v>0</v>
      </c>
      <c r="Z157" s="663">
        <f t="shared" ref="Z157" si="914">IF(S157=0,0,O157+W157/$J$17*c_Hurdle1.Share_GP)</f>
        <v>0</v>
      </c>
      <c r="AA157" s="663">
        <f t="shared" si="577"/>
        <v>0</v>
      </c>
      <c r="AB157" s="660">
        <f t="shared" si="630"/>
        <v>0</v>
      </c>
      <c r="AC157" s="521"/>
      <c r="AD157" s="663">
        <f t="shared" si="769"/>
        <v>0</v>
      </c>
      <c r="AE157" s="663">
        <f t="shared" ref="AE157" si="915">IF($G157=0,0,-MIN(0,$G157*c_EquityShare.LP))</f>
        <v>0</v>
      </c>
      <c r="AF157" s="663" cm="1">
        <f t="array" ref="AF157">IF($D157=0,0,AD157*(c_Rate.Hurdle2.MO))</f>
        <v>0</v>
      </c>
      <c r="AG157" s="663">
        <f t="shared" si="579"/>
        <v>0</v>
      </c>
      <c r="AH157" s="663">
        <f t="shared" si="609"/>
        <v>0</v>
      </c>
      <c r="AI157" s="663">
        <f t="shared" si="580"/>
        <v>0</v>
      </c>
      <c r="AJ157" s="664">
        <f t="shared" si="581"/>
        <v>0</v>
      </c>
      <c r="AK157" s="660">
        <f t="shared" si="582"/>
        <v>0</v>
      </c>
      <c r="AL157" s="663">
        <f t="shared" ref="AL157" si="916">IF(AD157=0,0,Z157+AH157/$J$18*c_Hurdle2.Share_GP)</f>
        <v>0</v>
      </c>
      <c r="AM157" s="663">
        <f t="shared" si="584"/>
        <v>0</v>
      </c>
      <c r="AN157" s="660">
        <f t="shared" si="633"/>
        <v>0</v>
      </c>
      <c r="AO157" s="521"/>
      <c r="AP157" s="663">
        <f t="shared" si="772"/>
        <v>0</v>
      </c>
      <c r="AQ157" s="663">
        <f t="shared" ref="AQ157" si="917">IF($G157=0,0,-MIN(0,$G157*c_EquityShare.LP))</f>
        <v>0</v>
      </c>
      <c r="AR157" s="663" cm="1">
        <f t="array" ref="AR157">IF($D157=0,0,AP157*(c_Rate.Hurdle3.MO))</f>
        <v>0</v>
      </c>
      <c r="AS157" s="663">
        <f t="shared" si="586"/>
        <v>0</v>
      </c>
      <c r="AT157" s="663">
        <f t="shared" si="613"/>
        <v>0</v>
      </c>
      <c r="AU157" s="663">
        <f t="shared" si="587"/>
        <v>0</v>
      </c>
      <c r="AV157" s="664">
        <f t="shared" si="588"/>
        <v>0</v>
      </c>
      <c r="AW157" s="660">
        <f t="shared" si="614"/>
        <v>0</v>
      </c>
      <c r="AX157" s="663">
        <f t="shared" ref="AX157" si="918">IF(AP157=0,0,AL157+AT157/$J$19*c_Hurdle3.Share_GP)</f>
        <v>0</v>
      </c>
      <c r="AY157" s="663">
        <f t="shared" si="616"/>
        <v>0</v>
      </c>
      <c r="AZ157" s="660">
        <f t="shared" si="636"/>
        <v>0</v>
      </c>
      <c r="BA157" s="521"/>
      <c r="BB157" s="660">
        <f t="shared" si="590"/>
        <v>0</v>
      </c>
      <c r="BC157" s="660">
        <f t="shared" ref="BC157" si="919">$AZ157*c_Residual.Share_GP</f>
        <v>0</v>
      </c>
      <c r="BD157" s="651"/>
      <c r="BE157" s="660">
        <f t="shared" si="618"/>
        <v>0</v>
      </c>
      <c r="BF157" s="660">
        <f t="shared" si="618"/>
        <v>0</v>
      </c>
      <c r="BG157" s="660">
        <f t="shared" si="592"/>
        <v>0</v>
      </c>
      <c r="BI157" s="660">
        <v>0</v>
      </c>
      <c r="BJ157" s="660">
        <v>0</v>
      </c>
      <c r="BK157" s="660">
        <v>0</v>
      </c>
      <c r="BL157" s="660">
        <f t="shared" si="619"/>
        <v>0</v>
      </c>
      <c r="BM157" s="660">
        <f t="shared" si="619"/>
        <v>0</v>
      </c>
      <c r="BN157" s="660">
        <f t="shared" si="620"/>
        <v>0</v>
      </c>
      <c r="BO157" s="660">
        <f t="shared" si="620"/>
        <v>0</v>
      </c>
      <c r="BP157" s="660">
        <f t="shared" si="621"/>
        <v>0</v>
      </c>
      <c r="BQ157" s="660">
        <f t="shared" si="621"/>
        <v>0</v>
      </c>
      <c r="BR157" s="660">
        <v>0</v>
      </c>
      <c r="BS157" s="660">
        <v>0</v>
      </c>
      <c r="BT157" s="660">
        <f t="shared" si="593"/>
        <v>0</v>
      </c>
      <c r="BU157" s="660">
        <f t="shared" si="593"/>
        <v>0</v>
      </c>
      <c r="BX157" s="660">
        <v>0</v>
      </c>
      <c r="BY157" s="660">
        <f t="shared" si="622"/>
        <v>0</v>
      </c>
      <c r="BZ157" s="660">
        <f t="shared" si="594"/>
        <v>0</v>
      </c>
      <c r="CA157" s="660">
        <f t="shared" si="595"/>
        <v>0</v>
      </c>
      <c r="CB157" s="660">
        <f t="shared" si="596"/>
        <v>0</v>
      </c>
      <c r="CC157" s="660">
        <f t="shared" si="597"/>
        <v>0</v>
      </c>
      <c r="CD157" s="660">
        <f t="shared" si="623"/>
        <v>0</v>
      </c>
    </row>
    <row r="158" spans="4:82" ht="16" hidden="1" thickTop="1" thickBot="1">
      <c r="D158" s="653"/>
      <c r="E158" s="654"/>
      <c r="F158" s="655" t="str">
        <f t="shared" si="598"/>
        <v/>
      </c>
      <c r="G158" s="656"/>
      <c r="I158" s="658">
        <f t="shared" si="599"/>
        <v>0</v>
      </c>
      <c r="J158" s="658">
        <f t="shared" ref="J158" si="920">IF($G158=0,0,-MIN(0,G158*c_EquityShare.LP))</f>
        <v>0</v>
      </c>
      <c r="K158" s="658">
        <f t="shared" ref="K158" si="921">I158*c_Rate.Pref_MO</f>
        <v>0</v>
      </c>
      <c r="L158" s="658">
        <f t="shared" si="573"/>
        <v>0</v>
      </c>
      <c r="M158" s="658">
        <f t="shared" si="602"/>
        <v>0</v>
      </c>
      <c r="N158" s="658">
        <f t="shared" si="626"/>
        <v>0</v>
      </c>
      <c r="O158" s="658" cm="1">
        <f t="array" ref="O158">IF(I158=0,0,IF(G158&lt;0,N158/c_EquityShare.LP*i_EquityShare.GP,L158/c_EquityShare.LP*i_EquityShare.GP))</f>
        <v>0</v>
      </c>
      <c r="P158" s="658">
        <f t="shared" si="603"/>
        <v>0</v>
      </c>
      <c r="Q158" s="658">
        <f t="shared" si="574"/>
        <v>0</v>
      </c>
      <c r="R158" s="521"/>
      <c r="S158" s="660">
        <f t="shared" si="604"/>
        <v>0</v>
      </c>
      <c r="T158" s="663" cm="1">
        <f t="array" ref="T158">IF($G158=0,0,-MIN(0,$G158*c_EquityShare.LP))</f>
        <v>0</v>
      </c>
      <c r="U158" s="663" cm="1">
        <f t="array" ref="U158">IF($D158=0,0,S158*c_Rate.Hurdle1.MO)</f>
        <v>0</v>
      </c>
      <c r="V158" s="660">
        <f t="shared" si="627"/>
        <v>0</v>
      </c>
      <c r="W158" s="660">
        <f t="shared" si="575"/>
        <v>0</v>
      </c>
      <c r="X158" s="663">
        <f t="shared" si="628"/>
        <v>0</v>
      </c>
      <c r="Y158" s="663">
        <f t="shared" si="605"/>
        <v>0</v>
      </c>
      <c r="Z158" s="663">
        <f t="shared" ref="Z158" si="922">IF(S158=0,0,O158+W158/$J$17*c_Hurdle1.Share_GP)</f>
        <v>0</v>
      </c>
      <c r="AA158" s="663">
        <f t="shared" si="577"/>
        <v>0</v>
      </c>
      <c r="AB158" s="660">
        <f t="shared" si="630"/>
        <v>0</v>
      </c>
      <c r="AC158" s="521"/>
      <c r="AD158" s="663">
        <f t="shared" si="769"/>
        <v>0</v>
      </c>
      <c r="AE158" s="663">
        <f t="shared" ref="AE158" si="923">IF($G158=0,0,-MIN(0,$G158*c_EquityShare.LP))</f>
        <v>0</v>
      </c>
      <c r="AF158" s="663" cm="1">
        <f t="array" ref="AF158">IF($D158=0,0,AD158*(c_Rate.Hurdle2.MO))</f>
        <v>0</v>
      </c>
      <c r="AG158" s="663">
        <f t="shared" si="579"/>
        <v>0</v>
      </c>
      <c r="AH158" s="663">
        <f t="shared" si="609"/>
        <v>0</v>
      </c>
      <c r="AI158" s="663">
        <f t="shared" si="580"/>
        <v>0</v>
      </c>
      <c r="AJ158" s="664">
        <f t="shared" si="581"/>
        <v>0</v>
      </c>
      <c r="AK158" s="660">
        <f t="shared" si="582"/>
        <v>0</v>
      </c>
      <c r="AL158" s="663">
        <f t="shared" ref="AL158" si="924">IF(AD158=0,0,Z158+AH158/$J$18*c_Hurdle2.Share_GP)</f>
        <v>0</v>
      </c>
      <c r="AM158" s="663">
        <f t="shared" si="584"/>
        <v>0</v>
      </c>
      <c r="AN158" s="660">
        <f t="shared" si="633"/>
        <v>0</v>
      </c>
      <c r="AO158" s="521"/>
      <c r="AP158" s="663">
        <f t="shared" si="772"/>
        <v>0</v>
      </c>
      <c r="AQ158" s="663">
        <f t="shared" ref="AQ158" si="925">IF($G158=0,0,-MIN(0,$G158*c_EquityShare.LP))</f>
        <v>0</v>
      </c>
      <c r="AR158" s="663" cm="1">
        <f t="array" ref="AR158">IF($D158=0,0,AP158*(c_Rate.Hurdle3.MO))</f>
        <v>0</v>
      </c>
      <c r="AS158" s="663">
        <f t="shared" si="586"/>
        <v>0</v>
      </c>
      <c r="AT158" s="663">
        <f t="shared" si="613"/>
        <v>0</v>
      </c>
      <c r="AU158" s="663">
        <f t="shared" si="587"/>
        <v>0</v>
      </c>
      <c r="AV158" s="664">
        <f t="shared" si="588"/>
        <v>0</v>
      </c>
      <c r="AW158" s="660">
        <f t="shared" si="614"/>
        <v>0</v>
      </c>
      <c r="AX158" s="663">
        <f t="shared" ref="AX158" si="926">IF(AP158=0,0,AL158+AT158/$J$19*c_Hurdle3.Share_GP)</f>
        <v>0</v>
      </c>
      <c r="AY158" s="663">
        <f t="shared" si="616"/>
        <v>0</v>
      </c>
      <c r="AZ158" s="660">
        <f t="shared" si="636"/>
        <v>0</v>
      </c>
      <c r="BA158" s="521"/>
      <c r="BB158" s="660">
        <f t="shared" si="590"/>
        <v>0</v>
      </c>
      <c r="BC158" s="660">
        <f t="shared" ref="BC158" si="927">$AZ158*c_Residual.Share_GP</f>
        <v>0</v>
      </c>
      <c r="BD158" s="651"/>
      <c r="BE158" s="660">
        <f t="shared" si="618"/>
        <v>0</v>
      </c>
      <c r="BF158" s="660">
        <f t="shared" si="618"/>
        <v>0</v>
      </c>
      <c r="BG158" s="660">
        <f t="shared" si="592"/>
        <v>0</v>
      </c>
      <c r="BI158" s="660">
        <v>0</v>
      </c>
      <c r="BJ158" s="660">
        <v>0</v>
      </c>
      <c r="BK158" s="660">
        <v>0</v>
      </c>
      <c r="BL158" s="660">
        <f t="shared" si="619"/>
        <v>0</v>
      </c>
      <c r="BM158" s="660">
        <f t="shared" si="619"/>
        <v>0</v>
      </c>
      <c r="BN158" s="660">
        <f t="shared" si="620"/>
        <v>0</v>
      </c>
      <c r="BO158" s="660">
        <f t="shared" si="620"/>
        <v>0</v>
      </c>
      <c r="BP158" s="660">
        <f t="shared" si="621"/>
        <v>0</v>
      </c>
      <c r="BQ158" s="660">
        <f t="shared" si="621"/>
        <v>0</v>
      </c>
      <c r="BR158" s="660">
        <v>0</v>
      </c>
      <c r="BS158" s="660">
        <v>0</v>
      </c>
      <c r="BT158" s="660">
        <f t="shared" si="593"/>
        <v>0</v>
      </c>
      <c r="BU158" s="660">
        <f t="shared" si="593"/>
        <v>0</v>
      </c>
      <c r="BX158" s="660">
        <v>0</v>
      </c>
      <c r="BY158" s="660">
        <f t="shared" si="622"/>
        <v>0</v>
      </c>
      <c r="BZ158" s="660">
        <f t="shared" si="594"/>
        <v>0</v>
      </c>
      <c r="CA158" s="660">
        <f t="shared" si="595"/>
        <v>0</v>
      </c>
      <c r="CB158" s="660">
        <f t="shared" si="596"/>
        <v>0</v>
      </c>
      <c r="CC158" s="660">
        <f t="shared" si="597"/>
        <v>0</v>
      </c>
      <c r="CD158" s="660">
        <f t="shared" si="623"/>
        <v>0</v>
      </c>
    </row>
    <row r="159" spans="4:82" ht="16" hidden="1" thickTop="1" thickBot="1">
      <c r="D159" s="653"/>
      <c r="E159" s="654"/>
      <c r="F159" s="655" t="str">
        <f t="shared" si="598"/>
        <v/>
      </c>
      <c r="G159" s="656"/>
      <c r="I159" s="658">
        <f t="shared" si="599"/>
        <v>0</v>
      </c>
      <c r="J159" s="658">
        <f t="shared" ref="J159" si="928">IF($G159=0,0,-MIN(0,G159*c_EquityShare.LP))</f>
        <v>0</v>
      </c>
      <c r="K159" s="658">
        <f t="shared" ref="K159" si="929">I159*c_Rate.Pref_MO</f>
        <v>0</v>
      </c>
      <c r="L159" s="658">
        <f t="shared" si="573"/>
        <v>0</v>
      </c>
      <c r="M159" s="658">
        <f t="shared" si="602"/>
        <v>0</v>
      </c>
      <c r="N159" s="658">
        <f t="shared" si="626"/>
        <v>0</v>
      </c>
      <c r="O159" s="658" cm="1">
        <f t="array" ref="O159">IF(I159=0,0,IF(G159&lt;0,N159/c_EquityShare.LP*i_EquityShare.GP,L159/c_EquityShare.LP*i_EquityShare.GP))</f>
        <v>0</v>
      </c>
      <c r="P159" s="658">
        <f t="shared" si="603"/>
        <v>0</v>
      </c>
      <c r="Q159" s="658">
        <f t="shared" si="574"/>
        <v>0</v>
      </c>
      <c r="R159" s="521"/>
      <c r="S159" s="660">
        <f t="shared" si="604"/>
        <v>0</v>
      </c>
      <c r="T159" s="663" cm="1">
        <f t="array" ref="T159">IF($G159=0,0,-MIN(0,$G159*c_EquityShare.LP))</f>
        <v>0</v>
      </c>
      <c r="U159" s="663" cm="1">
        <f t="array" ref="U159">IF($D159=0,0,S159*c_Rate.Hurdle1.MO)</f>
        <v>0</v>
      </c>
      <c r="V159" s="660">
        <f t="shared" si="627"/>
        <v>0</v>
      </c>
      <c r="W159" s="660">
        <f t="shared" si="575"/>
        <v>0</v>
      </c>
      <c r="X159" s="663">
        <f t="shared" si="628"/>
        <v>0</v>
      </c>
      <c r="Y159" s="663">
        <f t="shared" si="605"/>
        <v>0</v>
      </c>
      <c r="Z159" s="663">
        <f t="shared" ref="Z159" si="930">IF(S159=0,0,O159+W159/$J$17*c_Hurdle1.Share_GP)</f>
        <v>0</v>
      </c>
      <c r="AA159" s="663">
        <f t="shared" si="577"/>
        <v>0</v>
      </c>
      <c r="AB159" s="660">
        <f t="shared" si="630"/>
        <v>0</v>
      </c>
      <c r="AC159" s="521"/>
      <c r="AD159" s="663">
        <f t="shared" si="769"/>
        <v>0</v>
      </c>
      <c r="AE159" s="663">
        <f t="shared" ref="AE159" si="931">IF($G159=0,0,-MIN(0,$G159*c_EquityShare.LP))</f>
        <v>0</v>
      </c>
      <c r="AF159" s="663" cm="1">
        <f t="array" ref="AF159">IF($D159=0,0,AD159*(c_Rate.Hurdle2.MO))</f>
        <v>0</v>
      </c>
      <c r="AG159" s="663">
        <f t="shared" si="579"/>
        <v>0</v>
      </c>
      <c r="AH159" s="663">
        <f t="shared" si="609"/>
        <v>0</v>
      </c>
      <c r="AI159" s="663">
        <f t="shared" si="580"/>
        <v>0</v>
      </c>
      <c r="AJ159" s="664">
        <f t="shared" si="581"/>
        <v>0</v>
      </c>
      <c r="AK159" s="660">
        <f t="shared" si="582"/>
        <v>0</v>
      </c>
      <c r="AL159" s="663">
        <f t="shared" ref="AL159" si="932">IF(AD159=0,0,Z159+AH159/$J$18*c_Hurdle2.Share_GP)</f>
        <v>0</v>
      </c>
      <c r="AM159" s="663">
        <f t="shared" si="584"/>
        <v>0</v>
      </c>
      <c r="AN159" s="660">
        <f t="shared" si="633"/>
        <v>0</v>
      </c>
      <c r="AO159" s="521"/>
      <c r="AP159" s="663">
        <f t="shared" si="772"/>
        <v>0</v>
      </c>
      <c r="AQ159" s="663">
        <f t="shared" ref="AQ159" si="933">IF($G159=0,0,-MIN(0,$G159*c_EquityShare.LP))</f>
        <v>0</v>
      </c>
      <c r="AR159" s="663" cm="1">
        <f t="array" ref="AR159">IF($D159=0,0,AP159*(c_Rate.Hurdle3.MO))</f>
        <v>0</v>
      </c>
      <c r="AS159" s="663">
        <f t="shared" si="586"/>
        <v>0</v>
      </c>
      <c r="AT159" s="663">
        <f t="shared" si="613"/>
        <v>0</v>
      </c>
      <c r="AU159" s="663">
        <f t="shared" si="587"/>
        <v>0</v>
      </c>
      <c r="AV159" s="664">
        <f t="shared" si="588"/>
        <v>0</v>
      </c>
      <c r="AW159" s="660">
        <f t="shared" si="614"/>
        <v>0</v>
      </c>
      <c r="AX159" s="663">
        <f t="shared" ref="AX159" si="934">IF(AP159=0,0,AL159+AT159/$J$19*c_Hurdle3.Share_GP)</f>
        <v>0</v>
      </c>
      <c r="AY159" s="663">
        <f t="shared" si="616"/>
        <v>0</v>
      </c>
      <c r="AZ159" s="660">
        <f t="shared" si="636"/>
        <v>0</v>
      </c>
      <c r="BA159" s="521"/>
      <c r="BB159" s="660">
        <f t="shared" si="590"/>
        <v>0</v>
      </c>
      <c r="BC159" s="660">
        <f t="shared" ref="BC159" si="935">$AZ159*c_Residual.Share_GP</f>
        <v>0</v>
      </c>
      <c r="BD159" s="651"/>
      <c r="BE159" s="660">
        <f t="shared" si="618"/>
        <v>0</v>
      </c>
      <c r="BF159" s="660">
        <f t="shared" si="618"/>
        <v>0</v>
      </c>
      <c r="BG159" s="660">
        <f t="shared" si="592"/>
        <v>0</v>
      </c>
      <c r="BI159" s="660">
        <v>0</v>
      </c>
      <c r="BJ159" s="660">
        <v>0</v>
      </c>
      <c r="BK159" s="660">
        <v>0</v>
      </c>
      <c r="BL159" s="660">
        <f t="shared" si="619"/>
        <v>0</v>
      </c>
      <c r="BM159" s="660">
        <f t="shared" si="619"/>
        <v>0</v>
      </c>
      <c r="BN159" s="660">
        <f t="shared" si="620"/>
        <v>0</v>
      </c>
      <c r="BO159" s="660">
        <f t="shared" si="620"/>
        <v>0</v>
      </c>
      <c r="BP159" s="660">
        <f t="shared" si="621"/>
        <v>0</v>
      </c>
      <c r="BQ159" s="660">
        <f t="shared" si="621"/>
        <v>0</v>
      </c>
      <c r="BR159" s="660">
        <v>0</v>
      </c>
      <c r="BS159" s="660">
        <v>0</v>
      </c>
      <c r="BT159" s="660">
        <f t="shared" si="593"/>
        <v>0</v>
      </c>
      <c r="BU159" s="660">
        <f t="shared" si="593"/>
        <v>0</v>
      </c>
      <c r="BX159" s="660">
        <v>0</v>
      </c>
      <c r="BY159" s="660">
        <f t="shared" si="622"/>
        <v>0</v>
      </c>
      <c r="BZ159" s="660">
        <f t="shared" si="594"/>
        <v>0</v>
      </c>
      <c r="CA159" s="660">
        <f t="shared" si="595"/>
        <v>0</v>
      </c>
      <c r="CB159" s="660">
        <f t="shared" si="596"/>
        <v>0</v>
      </c>
      <c r="CC159" s="660">
        <f t="shared" si="597"/>
        <v>0</v>
      </c>
      <c r="CD159" s="660">
        <f t="shared" si="623"/>
        <v>0</v>
      </c>
    </row>
    <row r="160" spans="4:82" ht="16" hidden="1" thickTop="1" thickBot="1">
      <c r="D160" s="653"/>
      <c r="E160" s="654"/>
      <c r="F160" s="655" t="str">
        <f t="shared" si="598"/>
        <v/>
      </c>
      <c r="G160" s="656"/>
      <c r="I160" s="658">
        <f t="shared" si="599"/>
        <v>0</v>
      </c>
      <c r="J160" s="658">
        <f t="shared" ref="J160" si="936">IF($G160=0,0,-MIN(0,G160*c_EquityShare.LP))</f>
        <v>0</v>
      </c>
      <c r="K160" s="658">
        <f t="shared" ref="K160" si="937">I160*c_Rate.Pref_MO</f>
        <v>0</v>
      </c>
      <c r="L160" s="658">
        <f t="shared" si="573"/>
        <v>0</v>
      </c>
      <c r="M160" s="658">
        <f t="shared" si="602"/>
        <v>0</v>
      </c>
      <c r="N160" s="658">
        <f t="shared" si="626"/>
        <v>0</v>
      </c>
      <c r="O160" s="658" cm="1">
        <f t="array" ref="O160">IF(I160=0,0,IF(G160&lt;0,N160/c_EquityShare.LP*i_EquityShare.GP,L160/c_EquityShare.LP*i_EquityShare.GP))</f>
        <v>0</v>
      </c>
      <c r="P160" s="658">
        <f t="shared" si="603"/>
        <v>0</v>
      </c>
      <c r="Q160" s="658">
        <f t="shared" si="574"/>
        <v>0</v>
      </c>
      <c r="R160" s="521"/>
      <c r="S160" s="660">
        <f t="shared" si="604"/>
        <v>0</v>
      </c>
      <c r="T160" s="663" cm="1">
        <f t="array" ref="T160">IF($G160=0,0,-MIN(0,$G160*c_EquityShare.LP))</f>
        <v>0</v>
      </c>
      <c r="U160" s="663" cm="1">
        <f t="array" ref="U160">IF($D160=0,0,S160*c_Rate.Hurdle1.MO)</f>
        <v>0</v>
      </c>
      <c r="V160" s="660">
        <f t="shared" si="627"/>
        <v>0</v>
      </c>
      <c r="W160" s="660">
        <f t="shared" si="575"/>
        <v>0</v>
      </c>
      <c r="X160" s="663">
        <f t="shared" si="628"/>
        <v>0</v>
      </c>
      <c r="Y160" s="663">
        <f t="shared" si="605"/>
        <v>0</v>
      </c>
      <c r="Z160" s="663">
        <f t="shared" ref="Z160" si="938">IF(S160=0,0,O160+W160/$J$17*c_Hurdle1.Share_GP)</f>
        <v>0</v>
      </c>
      <c r="AA160" s="663">
        <f t="shared" si="577"/>
        <v>0</v>
      </c>
      <c r="AB160" s="660">
        <f t="shared" si="630"/>
        <v>0</v>
      </c>
      <c r="AC160" s="521"/>
      <c r="AD160" s="663">
        <f t="shared" si="769"/>
        <v>0</v>
      </c>
      <c r="AE160" s="663">
        <f t="shared" ref="AE160" si="939">IF($G160=0,0,-MIN(0,$G160*c_EquityShare.LP))</f>
        <v>0</v>
      </c>
      <c r="AF160" s="663" cm="1">
        <f t="array" ref="AF160">IF($D160=0,0,AD160*(c_Rate.Hurdle2.MO))</f>
        <v>0</v>
      </c>
      <c r="AG160" s="663">
        <f t="shared" si="579"/>
        <v>0</v>
      </c>
      <c r="AH160" s="663">
        <f t="shared" si="609"/>
        <v>0</v>
      </c>
      <c r="AI160" s="663">
        <f t="shared" si="580"/>
        <v>0</v>
      </c>
      <c r="AJ160" s="664">
        <f t="shared" si="581"/>
        <v>0</v>
      </c>
      <c r="AK160" s="660">
        <f t="shared" si="582"/>
        <v>0</v>
      </c>
      <c r="AL160" s="663">
        <f t="shared" ref="AL160" si="940">IF(AD160=0,0,Z160+AH160/$J$18*c_Hurdle2.Share_GP)</f>
        <v>0</v>
      </c>
      <c r="AM160" s="663">
        <f t="shared" si="584"/>
        <v>0</v>
      </c>
      <c r="AN160" s="660">
        <f t="shared" si="633"/>
        <v>0</v>
      </c>
      <c r="AO160" s="521"/>
      <c r="AP160" s="663">
        <f t="shared" si="772"/>
        <v>0</v>
      </c>
      <c r="AQ160" s="663">
        <f t="shared" ref="AQ160" si="941">IF($G160=0,0,-MIN(0,$G160*c_EquityShare.LP))</f>
        <v>0</v>
      </c>
      <c r="AR160" s="663" cm="1">
        <f t="array" ref="AR160">IF($D160=0,0,AP160*(c_Rate.Hurdle3.MO))</f>
        <v>0</v>
      </c>
      <c r="AS160" s="663">
        <f t="shared" si="586"/>
        <v>0</v>
      </c>
      <c r="AT160" s="663">
        <f t="shared" si="613"/>
        <v>0</v>
      </c>
      <c r="AU160" s="663">
        <f t="shared" si="587"/>
        <v>0</v>
      </c>
      <c r="AV160" s="664">
        <f t="shared" si="588"/>
        <v>0</v>
      </c>
      <c r="AW160" s="660">
        <f t="shared" si="614"/>
        <v>0</v>
      </c>
      <c r="AX160" s="663">
        <f t="shared" ref="AX160" si="942">IF(AP160=0,0,AL160+AT160/$J$19*c_Hurdle3.Share_GP)</f>
        <v>0</v>
      </c>
      <c r="AY160" s="663">
        <f t="shared" si="616"/>
        <v>0</v>
      </c>
      <c r="AZ160" s="660">
        <f t="shared" si="636"/>
        <v>0</v>
      </c>
      <c r="BA160" s="521"/>
      <c r="BB160" s="660">
        <f t="shared" si="590"/>
        <v>0</v>
      </c>
      <c r="BC160" s="660">
        <f t="shared" ref="BC160" si="943">$AZ160*c_Residual.Share_GP</f>
        <v>0</v>
      </c>
      <c r="BD160" s="651"/>
      <c r="BE160" s="660">
        <f t="shared" si="618"/>
        <v>0</v>
      </c>
      <c r="BF160" s="660">
        <f t="shared" si="618"/>
        <v>0</v>
      </c>
      <c r="BG160" s="660">
        <f t="shared" si="592"/>
        <v>0</v>
      </c>
      <c r="BI160" s="660">
        <v>0</v>
      </c>
      <c r="BJ160" s="660">
        <v>0</v>
      </c>
      <c r="BK160" s="660">
        <v>0</v>
      </c>
      <c r="BL160" s="660">
        <f t="shared" si="619"/>
        <v>0</v>
      </c>
      <c r="BM160" s="660">
        <f t="shared" si="619"/>
        <v>0</v>
      </c>
      <c r="BN160" s="660">
        <f t="shared" si="620"/>
        <v>0</v>
      </c>
      <c r="BO160" s="660">
        <f t="shared" si="620"/>
        <v>0</v>
      </c>
      <c r="BP160" s="660">
        <f t="shared" si="621"/>
        <v>0</v>
      </c>
      <c r="BQ160" s="660">
        <f t="shared" si="621"/>
        <v>0</v>
      </c>
      <c r="BR160" s="660">
        <v>0</v>
      </c>
      <c r="BS160" s="660">
        <v>0</v>
      </c>
      <c r="BT160" s="660">
        <f t="shared" si="593"/>
        <v>0</v>
      </c>
      <c r="BU160" s="660">
        <f t="shared" si="593"/>
        <v>0</v>
      </c>
      <c r="BX160" s="660">
        <v>0</v>
      </c>
      <c r="BY160" s="660">
        <f t="shared" si="622"/>
        <v>0</v>
      </c>
      <c r="BZ160" s="660">
        <f t="shared" si="594"/>
        <v>0</v>
      </c>
      <c r="CA160" s="660">
        <f t="shared" si="595"/>
        <v>0</v>
      </c>
      <c r="CB160" s="660">
        <f t="shared" si="596"/>
        <v>0</v>
      </c>
      <c r="CC160" s="660">
        <f t="shared" si="597"/>
        <v>0</v>
      </c>
      <c r="CD160" s="660">
        <f t="shared" si="623"/>
        <v>0</v>
      </c>
    </row>
    <row r="161" spans="4:82" ht="16" hidden="1" thickTop="1" thickBot="1">
      <c r="D161" s="653"/>
      <c r="E161" s="654"/>
      <c r="F161" s="655" t="str">
        <f t="shared" si="598"/>
        <v/>
      </c>
      <c r="G161" s="656"/>
      <c r="I161" s="658">
        <f t="shared" si="599"/>
        <v>0</v>
      </c>
      <c r="J161" s="658">
        <f t="shared" ref="J161" si="944">IF($G161=0,0,-MIN(0,G161*c_EquityShare.LP))</f>
        <v>0</v>
      </c>
      <c r="K161" s="658">
        <f t="shared" ref="K161" si="945">I161*c_Rate.Pref_MO</f>
        <v>0</v>
      </c>
      <c r="L161" s="658">
        <f t="shared" si="573"/>
        <v>0</v>
      </c>
      <c r="M161" s="658">
        <f t="shared" si="602"/>
        <v>0</v>
      </c>
      <c r="N161" s="658">
        <f t="shared" si="626"/>
        <v>0</v>
      </c>
      <c r="O161" s="658" cm="1">
        <f t="array" ref="O161">IF(I161=0,0,IF(G161&lt;0,N161/c_EquityShare.LP*i_EquityShare.GP,L161/c_EquityShare.LP*i_EquityShare.GP))</f>
        <v>0</v>
      </c>
      <c r="P161" s="658">
        <f t="shared" si="603"/>
        <v>0</v>
      </c>
      <c r="Q161" s="658">
        <f t="shared" si="574"/>
        <v>0</v>
      </c>
      <c r="R161" s="521"/>
      <c r="S161" s="660">
        <f t="shared" si="604"/>
        <v>0</v>
      </c>
      <c r="T161" s="663" cm="1">
        <f t="array" ref="T161">IF($G161=0,0,-MIN(0,$G161*c_EquityShare.LP))</f>
        <v>0</v>
      </c>
      <c r="U161" s="663" cm="1">
        <f t="array" ref="U161">IF($D161=0,0,S161*c_Rate.Hurdle1.MO)</f>
        <v>0</v>
      </c>
      <c r="V161" s="660">
        <f t="shared" si="627"/>
        <v>0</v>
      </c>
      <c r="W161" s="660">
        <f t="shared" si="575"/>
        <v>0</v>
      </c>
      <c r="X161" s="663">
        <f t="shared" si="628"/>
        <v>0</v>
      </c>
      <c r="Y161" s="663">
        <f t="shared" si="605"/>
        <v>0</v>
      </c>
      <c r="Z161" s="663">
        <f t="shared" ref="Z161" si="946">IF(S161=0,0,O161+W161/$J$17*c_Hurdle1.Share_GP)</f>
        <v>0</v>
      </c>
      <c r="AA161" s="663">
        <f t="shared" si="577"/>
        <v>0</v>
      </c>
      <c r="AB161" s="660">
        <f t="shared" si="630"/>
        <v>0</v>
      </c>
      <c r="AC161" s="521"/>
      <c r="AD161" s="663">
        <f t="shared" si="769"/>
        <v>0</v>
      </c>
      <c r="AE161" s="663">
        <f t="shared" ref="AE161" si="947">IF($G161=0,0,-MIN(0,$G161*c_EquityShare.LP))</f>
        <v>0</v>
      </c>
      <c r="AF161" s="663" cm="1">
        <f t="array" ref="AF161">IF($D161=0,0,AD161*(c_Rate.Hurdle2.MO))</f>
        <v>0</v>
      </c>
      <c r="AG161" s="663">
        <f t="shared" si="579"/>
        <v>0</v>
      </c>
      <c r="AH161" s="663">
        <f t="shared" si="609"/>
        <v>0</v>
      </c>
      <c r="AI161" s="663">
        <f t="shared" si="580"/>
        <v>0</v>
      </c>
      <c r="AJ161" s="664">
        <f t="shared" si="581"/>
        <v>0</v>
      </c>
      <c r="AK161" s="660">
        <f t="shared" si="582"/>
        <v>0</v>
      </c>
      <c r="AL161" s="663">
        <f t="shared" ref="AL161" si="948">IF(AD161=0,0,Z161+AH161/$J$18*c_Hurdle2.Share_GP)</f>
        <v>0</v>
      </c>
      <c r="AM161" s="663">
        <f t="shared" si="584"/>
        <v>0</v>
      </c>
      <c r="AN161" s="660">
        <f t="shared" si="633"/>
        <v>0</v>
      </c>
      <c r="AO161" s="521"/>
      <c r="AP161" s="663">
        <f t="shared" si="772"/>
        <v>0</v>
      </c>
      <c r="AQ161" s="663">
        <f t="shared" ref="AQ161" si="949">IF($G161=0,0,-MIN(0,$G161*c_EquityShare.LP))</f>
        <v>0</v>
      </c>
      <c r="AR161" s="663" cm="1">
        <f t="array" ref="AR161">IF($D161=0,0,AP161*(c_Rate.Hurdle3.MO))</f>
        <v>0</v>
      </c>
      <c r="AS161" s="663">
        <f t="shared" si="586"/>
        <v>0</v>
      </c>
      <c r="AT161" s="663">
        <f t="shared" si="613"/>
        <v>0</v>
      </c>
      <c r="AU161" s="663">
        <f t="shared" si="587"/>
        <v>0</v>
      </c>
      <c r="AV161" s="664">
        <f t="shared" si="588"/>
        <v>0</v>
      </c>
      <c r="AW161" s="660">
        <f t="shared" si="614"/>
        <v>0</v>
      </c>
      <c r="AX161" s="663">
        <f t="shared" ref="AX161" si="950">IF(AP161=0,0,AL161+AT161/$J$19*c_Hurdle3.Share_GP)</f>
        <v>0</v>
      </c>
      <c r="AY161" s="663">
        <f t="shared" si="616"/>
        <v>0</v>
      </c>
      <c r="AZ161" s="660">
        <f t="shared" si="636"/>
        <v>0</v>
      </c>
      <c r="BA161" s="521"/>
      <c r="BB161" s="660">
        <f t="shared" si="590"/>
        <v>0</v>
      </c>
      <c r="BC161" s="660">
        <f t="shared" ref="BC161" si="951">$AZ161*c_Residual.Share_GP</f>
        <v>0</v>
      </c>
      <c r="BD161" s="651"/>
      <c r="BE161" s="660">
        <f t="shared" si="618"/>
        <v>0</v>
      </c>
      <c r="BF161" s="660">
        <f t="shared" si="618"/>
        <v>0</v>
      </c>
      <c r="BG161" s="660">
        <f t="shared" si="592"/>
        <v>0</v>
      </c>
      <c r="BI161" s="660">
        <v>0</v>
      </c>
      <c r="BJ161" s="660">
        <v>0</v>
      </c>
      <c r="BK161" s="660">
        <v>0</v>
      </c>
      <c r="BL161" s="660">
        <f t="shared" si="619"/>
        <v>0</v>
      </c>
      <c r="BM161" s="660">
        <f t="shared" si="619"/>
        <v>0</v>
      </c>
      <c r="BN161" s="660">
        <f t="shared" si="620"/>
        <v>0</v>
      </c>
      <c r="BO161" s="660">
        <f t="shared" si="620"/>
        <v>0</v>
      </c>
      <c r="BP161" s="660">
        <f t="shared" si="621"/>
        <v>0</v>
      </c>
      <c r="BQ161" s="660">
        <f t="shared" si="621"/>
        <v>0</v>
      </c>
      <c r="BR161" s="660">
        <v>0</v>
      </c>
      <c r="BS161" s="660">
        <v>0</v>
      </c>
      <c r="BT161" s="660">
        <f t="shared" si="593"/>
        <v>0</v>
      </c>
      <c r="BU161" s="660">
        <f t="shared" si="593"/>
        <v>0</v>
      </c>
      <c r="BX161" s="660">
        <v>0</v>
      </c>
      <c r="BY161" s="660">
        <f t="shared" si="622"/>
        <v>0</v>
      </c>
      <c r="BZ161" s="660">
        <f t="shared" si="594"/>
        <v>0</v>
      </c>
      <c r="CA161" s="660">
        <f t="shared" si="595"/>
        <v>0</v>
      </c>
      <c r="CB161" s="660">
        <f t="shared" si="596"/>
        <v>0</v>
      </c>
      <c r="CC161" s="660">
        <f t="shared" si="597"/>
        <v>0</v>
      </c>
      <c r="CD161" s="660">
        <f t="shared" si="623"/>
        <v>0</v>
      </c>
    </row>
    <row r="162" spans="4:82" ht="16" hidden="1" thickTop="1" thickBot="1">
      <c r="D162" s="653"/>
      <c r="E162" s="654"/>
      <c r="F162" s="655" t="str">
        <f t="shared" si="598"/>
        <v/>
      </c>
      <c r="G162" s="656"/>
      <c r="I162" s="658">
        <f t="shared" si="599"/>
        <v>0</v>
      </c>
      <c r="J162" s="658">
        <f t="shared" ref="J162" si="952">IF($G162=0,0,-MIN(0,G162*c_EquityShare.LP))</f>
        <v>0</v>
      </c>
      <c r="K162" s="658">
        <f t="shared" ref="K162" si="953">I162*c_Rate.Pref_MO</f>
        <v>0</v>
      </c>
      <c r="L162" s="658">
        <f t="shared" si="573"/>
        <v>0</v>
      </c>
      <c r="M162" s="658">
        <f t="shared" si="602"/>
        <v>0</v>
      </c>
      <c r="N162" s="658">
        <f t="shared" si="626"/>
        <v>0</v>
      </c>
      <c r="O162" s="658" cm="1">
        <f t="array" ref="O162">IF(I162=0,0,IF(G162&lt;0,N162/c_EquityShare.LP*i_EquityShare.GP,L162/c_EquityShare.LP*i_EquityShare.GP))</f>
        <v>0</v>
      </c>
      <c r="P162" s="658">
        <f t="shared" si="603"/>
        <v>0</v>
      </c>
      <c r="Q162" s="658">
        <f t="shared" si="574"/>
        <v>0</v>
      </c>
      <c r="R162" s="521"/>
      <c r="S162" s="660">
        <f t="shared" si="604"/>
        <v>0</v>
      </c>
      <c r="T162" s="663" cm="1">
        <f t="array" ref="T162">IF($G162=0,0,-MIN(0,$G162*c_EquityShare.LP))</f>
        <v>0</v>
      </c>
      <c r="U162" s="663" cm="1">
        <f t="array" ref="U162">IF($D162=0,0,S162*c_Rate.Hurdle1.MO)</f>
        <v>0</v>
      </c>
      <c r="V162" s="660">
        <f t="shared" si="627"/>
        <v>0</v>
      </c>
      <c r="W162" s="660">
        <f t="shared" si="575"/>
        <v>0</v>
      </c>
      <c r="X162" s="663">
        <f t="shared" si="628"/>
        <v>0</v>
      </c>
      <c r="Y162" s="663">
        <f t="shared" si="605"/>
        <v>0</v>
      </c>
      <c r="Z162" s="663">
        <f t="shared" ref="Z162" si="954">IF(S162=0,0,O162+W162/$J$17*c_Hurdle1.Share_GP)</f>
        <v>0</v>
      </c>
      <c r="AA162" s="663">
        <f t="shared" si="577"/>
        <v>0</v>
      </c>
      <c r="AB162" s="660">
        <f t="shared" si="630"/>
        <v>0</v>
      </c>
      <c r="AC162" s="521"/>
      <c r="AD162" s="663">
        <f t="shared" si="769"/>
        <v>0</v>
      </c>
      <c r="AE162" s="663">
        <f t="shared" ref="AE162" si="955">IF($G162=0,0,-MIN(0,$G162*c_EquityShare.LP))</f>
        <v>0</v>
      </c>
      <c r="AF162" s="663" cm="1">
        <f t="array" ref="AF162">IF($D162=0,0,AD162*(c_Rate.Hurdle2.MO))</f>
        <v>0</v>
      </c>
      <c r="AG162" s="663">
        <f t="shared" si="579"/>
        <v>0</v>
      </c>
      <c r="AH162" s="663">
        <f t="shared" si="609"/>
        <v>0</v>
      </c>
      <c r="AI162" s="663">
        <f t="shared" si="580"/>
        <v>0</v>
      </c>
      <c r="AJ162" s="664">
        <f t="shared" si="581"/>
        <v>0</v>
      </c>
      <c r="AK162" s="660">
        <f t="shared" si="582"/>
        <v>0</v>
      </c>
      <c r="AL162" s="663">
        <f t="shared" ref="AL162" si="956">IF(AD162=0,0,Z162+AH162/$J$18*c_Hurdle2.Share_GP)</f>
        <v>0</v>
      </c>
      <c r="AM162" s="663">
        <f t="shared" si="584"/>
        <v>0</v>
      </c>
      <c r="AN162" s="660">
        <f t="shared" si="633"/>
        <v>0</v>
      </c>
      <c r="AO162" s="521"/>
      <c r="AP162" s="663">
        <f t="shared" si="772"/>
        <v>0</v>
      </c>
      <c r="AQ162" s="663">
        <f t="shared" ref="AQ162" si="957">IF($G162=0,0,-MIN(0,$G162*c_EquityShare.LP))</f>
        <v>0</v>
      </c>
      <c r="AR162" s="663" cm="1">
        <f t="array" ref="AR162">IF($D162=0,0,AP162*(c_Rate.Hurdle3.MO))</f>
        <v>0</v>
      </c>
      <c r="AS162" s="663">
        <f t="shared" si="586"/>
        <v>0</v>
      </c>
      <c r="AT162" s="663">
        <f t="shared" si="613"/>
        <v>0</v>
      </c>
      <c r="AU162" s="663">
        <f t="shared" si="587"/>
        <v>0</v>
      </c>
      <c r="AV162" s="664">
        <f t="shared" si="588"/>
        <v>0</v>
      </c>
      <c r="AW162" s="660">
        <f t="shared" si="614"/>
        <v>0</v>
      </c>
      <c r="AX162" s="663">
        <f t="shared" ref="AX162" si="958">IF(AP162=0,0,AL162+AT162/$J$19*c_Hurdle3.Share_GP)</f>
        <v>0</v>
      </c>
      <c r="AY162" s="663">
        <f t="shared" si="616"/>
        <v>0</v>
      </c>
      <c r="AZ162" s="660">
        <f t="shared" si="636"/>
        <v>0</v>
      </c>
      <c r="BA162" s="521"/>
      <c r="BB162" s="660">
        <f t="shared" si="590"/>
        <v>0</v>
      </c>
      <c r="BC162" s="660">
        <f t="shared" ref="BC162" si="959">$AZ162*c_Residual.Share_GP</f>
        <v>0</v>
      </c>
      <c r="BD162" s="651"/>
      <c r="BE162" s="660">
        <f t="shared" si="618"/>
        <v>0</v>
      </c>
      <c r="BF162" s="660">
        <f t="shared" si="618"/>
        <v>0</v>
      </c>
      <c r="BG162" s="660">
        <f t="shared" si="592"/>
        <v>0</v>
      </c>
      <c r="BI162" s="660">
        <v>0</v>
      </c>
      <c r="BJ162" s="660">
        <v>0</v>
      </c>
      <c r="BK162" s="660">
        <v>0</v>
      </c>
      <c r="BL162" s="660">
        <f t="shared" si="619"/>
        <v>0</v>
      </c>
      <c r="BM162" s="660">
        <f t="shared" si="619"/>
        <v>0</v>
      </c>
      <c r="BN162" s="660">
        <f t="shared" si="620"/>
        <v>0</v>
      </c>
      <c r="BO162" s="660">
        <f t="shared" si="620"/>
        <v>0</v>
      </c>
      <c r="BP162" s="660">
        <f t="shared" si="621"/>
        <v>0</v>
      </c>
      <c r="BQ162" s="660">
        <f t="shared" si="621"/>
        <v>0</v>
      </c>
      <c r="BR162" s="660">
        <v>0</v>
      </c>
      <c r="BS162" s="660">
        <v>0</v>
      </c>
      <c r="BT162" s="660">
        <f t="shared" si="593"/>
        <v>0</v>
      </c>
      <c r="BU162" s="660">
        <f t="shared" si="593"/>
        <v>0</v>
      </c>
      <c r="BX162" s="660">
        <v>0</v>
      </c>
      <c r="BY162" s="660">
        <f t="shared" si="622"/>
        <v>0</v>
      </c>
      <c r="BZ162" s="660">
        <f t="shared" si="594"/>
        <v>0</v>
      </c>
      <c r="CA162" s="660">
        <f t="shared" si="595"/>
        <v>0</v>
      </c>
      <c r="CB162" s="660">
        <f t="shared" si="596"/>
        <v>0</v>
      </c>
      <c r="CC162" s="660">
        <f t="shared" si="597"/>
        <v>0</v>
      </c>
      <c r="CD162" s="660">
        <f t="shared" si="623"/>
        <v>0</v>
      </c>
    </row>
    <row r="163" spans="4:82" ht="16" hidden="1" thickTop="1" thickBot="1">
      <c r="D163" s="653"/>
      <c r="E163" s="654"/>
      <c r="F163" s="655" t="str">
        <f t="shared" si="598"/>
        <v/>
      </c>
      <c r="G163" s="656"/>
      <c r="I163" s="658">
        <f t="shared" si="599"/>
        <v>0</v>
      </c>
      <c r="J163" s="658">
        <f t="shared" ref="J163" si="960">IF($G163=0,0,-MIN(0,G163*c_EquityShare.LP))</f>
        <v>0</v>
      </c>
      <c r="K163" s="658">
        <f t="shared" ref="K163" si="961">I163*c_Rate.Pref_MO</f>
        <v>0</v>
      </c>
      <c r="L163" s="658">
        <f t="shared" si="573"/>
        <v>0</v>
      </c>
      <c r="M163" s="658">
        <f t="shared" si="602"/>
        <v>0</v>
      </c>
      <c r="N163" s="658">
        <f t="shared" si="626"/>
        <v>0</v>
      </c>
      <c r="O163" s="658" cm="1">
        <f t="array" ref="O163">IF(I163=0,0,IF(G163&lt;0,N163/c_EquityShare.LP*i_EquityShare.GP,L163/c_EquityShare.LP*i_EquityShare.GP))</f>
        <v>0</v>
      </c>
      <c r="P163" s="658">
        <f t="shared" si="603"/>
        <v>0</v>
      </c>
      <c r="Q163" s="658">
        <f t="shared" si="574"/>
        <v>0</v>
      </c>
      <c r="R163" s="521"/>
      <c r="S163" s="660">
        <f t="shared" si="604"/>
        <v>0</v>
      </c>
      <c r="T163" s="663" cm="1">
        <f t="array" ref="T163">IF($G163=0,0,-MIN(0,$G163*c_EquityShare.LP))</f>
        <v>0</v>
      </c>
      <c r="U163" s="663" cm="1">
        <f t="array" ref="U163">IF($D163=0,0,S163*c_Rate.Hurdle1.MO)</f>
        <v>0</v>
      </c>
      <c r="V163" s="660">
        <f t="shared" si="627"/>
        <v>0</v>
      </c>
      <c r="W163" s="660">
        <f t="shared" si="575"/>
        <v>0</v>
      </c>
      <c r="X163" s="663">
        <f t="shared" si="628"/>
        <v>0</v>
      </c>
      <c r="Y163" s="663">
        <f t="shared" si="605"/>
        <v>0</v>
      </c>
      <c r="Z163" s="663">
        <f t="shared" ref="Z163" si="962">IF(S163=0,0,O163+W163/$J$17*c_Hurdle1.Share_GP)</f>
        <v>0</v>
      </c>
      <c r="AA163" s="663">
        <f t="shared" si="577"/>
        <v>0</v>
      </c>
      <c r="AB163" s="660">
        <f t="shared" si="630"/>
        <v>0</v>
      </c>
      <c r="AC163" s="521"/>
      <c r="AD163" s="663">
        <f t="shared" si="769"/>
        <v>0</v>
      </c>
      <c r="AE163" s="663">
        <f t="shared" ref="AE163" si="963">IF($G163=0,0,-MIN(0,$G163*c_EquityShare.LP))</f>
        <v>0</v>
      </c>
      <c r="AF163" s="663" cm="1">
        <f t="array" ref="AF163">IF($D163=0,0,AD163*(c_Rate.Hurdle2.MO))</f>
        <v>0</v>
      </c>
      <c r="AG163" s="663">
        <f t="shared" si="579"/>
        <v>0</v>
      </c>
      <c r="AH163" s="663">
        <f t="shared" si="609"/>
        <v>0</v>
      </c>
      <c r="AI163" s="663">
        <f t="shared" si="580"/>
        <v>0</v>
      </c>
      <c r="AJ163" s="664">
        <f t="shared" si="581"/>
        <v>0</v>
      </c>
      <c r="AK163" s="660">
        <f t="shared" si="582"/>
        <v>0</v>
      </c>
      <c r="AL163" s="663">
        <f t="shared" ref="AL163" si="964">IF(AD163=0,0,Z163+AH163/$J$18*c_Hurdle2.Share_GP)</f>
        <v>0</v>
      </c>
      <c r="AM163" s="663">
        <f t="shared" si="584"/>
        <v>0</v>
      </c>
      <c r="AN163" s="660">
        <f t="shared" si="633"/>
        <v>0</v>
      </c>
      <c r="AO163" s="521"/>
      <c r="AP163" s="663">
        <f t="shared" si="772"/>
        <v>0</v>
      </c>
      <c r="AQ163" s="663">
        <f t="shared" ref="AQ163" si="965">IF($G163=0,0,-MIN(0,$G163*c_EquityShare.LP))</f>
        <v>0</v>
      </c>
      <c r="AR163" s="663" cm="1">
        <f t="array" ref="AR163">IF($D163=0,0,AP163*(c_Rate.Hurdle3.MO))</f>
        <v>0</v>
      </c>
      <c r="AS163" s="663">
        <f t="shared" si="586"/>
        <v>0</v>
      </c>
      <c r="AT163" s="663">
        <f t="shared" si="613"/>
        <v>0</v>
      </c>
      <c r="AU163" s="663">
        <f t="shared" si="587"/>
        <v>0</v>
      </c>
      <c r="AV163" s="664">
        <f t="shared" si="588"/>
        <v>0</v>
      </c>
      <c r="AW163" s="660">
        <f t="shared" si="614"/>
        <v>0</v>
      </c>
      <c r="AX163" s="663">
        <f t="shared" ref="AX163" si="966">IF(AP163=0,0,AL163+AT163/$J$19*c_Hurdle3.Share_GP)</f>
        <v>0</v>
      </c>
      <c r="AY163" s="663">
        <f t="shared" si="616"/>
        <v>0</v>
      </c>
      <c r="AZ163" s="660">
        <f t="shared" si="636"/>
        <v>0</v>
      </c>
      <c r="BA163" s="521"/>
      <c r="BB163" s="660">
        <f t="shared" si="590"/>
        <v>0</v>
      </c>
      <c r="BC163" s="660">
        <f t="shared" ref="BC163" si="967">$AZ163*c_Residual.Share_GP</f>
        <v>0</v>
      </c>
      <c r="BD163" s="651"/>
      <c r="BE163" s="660">
        <f t="shared" si="618"/>
        <v>0</v>
      </c>
      <c r="BF163" s="660">
        <f t="shared" si="618"/>
        <v>0</v>
      </c>
      <c r="BG163" s="660">
        <f t="shared" si="592"/>
        <v>0</v>
      </c>
      <c r="BI163" s="660">
        <v>0</v>
      </c>
      <c r="BJ163" s="660">
        <v>0</v>
      </c>
      <c r="BK163" s="660">
        <v>0</v>
      </c>
      <c r="BL163" s="660">
        <f t="shared" si="619"/>
        <v>0</v>
      </c>
      <c r="BM163" s="660">
        <f t="shared" si="619"/>
        <v>0</v>
      </c>
      <c r="BN163" s="660">
        <f t="shared" si="620"/>
        <v>0</v>
      </c>
      <c r="BO163" s="660">
        <f t="shared" si="620"/>
        <v>0</v>
      </c>
      <c r="BP163" s="660">
        <f t="shared" si="621"/>
        <v>0</v>
      </c>
      <c r="BQ163" s="660">
        <f t="shared" si="621"/>
        <v>0</v>
      </c>
      <c r="BR163" s="660">
        <v>0</v>
      </c>
      <c r="BS163" s="660">
        <v>0</v>
      </c>
      <c r="BT163" s="660">
        <f t="shared" si="593"/>
        <v>0</v>
      </c>
      <c r="BU163" s="660">
        <f t="shared" si="593"/>
        <v>0</v>
      </c>
      <c r="BX163" s="660">
        <v>0</v>
      </c>
      <c r="BY163" s="660">
        <f t="shared" si="622"/>
        <v>0</v>
      </c>
      <c r="BZ163" s="660">
        <f t="shared" si="594"/>
        <v>0</v>
      </c>
      <c r="CA163" s="660">
        <f t="shared" si="595"/>
        <v>0</v>
      </c>
      <c r="CB163" s="660">
        <f t="shared" si="596"/>
        <v>0</v>
      </c>
      <c r="CC163" s="660">
        <f t="shared" si="597"/>
        <v>0</v>
      </c>
      <c r="CD163" s="660">
        <f t="shared" si="623"/>
        <v>0</v>
      </c>
    </row>
    <row r="164" spans="4:82" ht="16" hidden="1" thickTop="1" thickBot="1">
      <c r="D164" s="653"/>
      <c r="E164" s="654"/>
      <c r="F164" s="655" t="str">
        <f t="shared" si="598"/>
        <v/>
      </c>
      <c r="G164" s="656"/>
      <c r="I164" s="658">
        <f t="shared" si="599"/>
        <v>0</v>
      </c>
      <c r="J164" s="658">
        <f t="shared" ref="J164" si="968">IF($G164=0,0,-MIN(0,G164*c_EquityShare.LP))</f>
        <v>0</v>
      </c>
      <c r="K164" s="658">
        <f t="shared" ref="K164" si="969">I164*c_Rate.Pref_MO</f>
        <v>0</v>
      </c>
      <c r="L164" s="658">
        <f t="shared" si="573"/>
        <v>0</v>
      </c>
      <c r="M164" s="658">
        <f t="shared" si="602"/>
        <v>0</v>
      </c>
      <c r="N164" s="658">
        <f t="shared" si="626"/>
        <v>0</v>
      </c>
      <c r="O164" s="658" cm="1">
        <f t="array" ref="O164">IF(I164=0,0,IF(G164&lt;0,N164/c_EquityShare.LP*i_EquityShare.GP,L164/c_EquityShare.LP*i_EquityShare.GP))</f>
        <v>0</v>
      </c>
      <c r="P164" s="658">
        <f t="shared" si="603"/>
        <v>0</v>
      </c>
      <c r="Q164" s="658">
        <f t="shared" si="574"/>
        <v>0</v>
      </c>
      <c r="R164" s="521"/>
      <c r="S164" s="660">
        <f t="shared" si="604"/>
        <v>0</v>
      </c>
      <c r="T164" s="663" cm="1">
        <f t="array" ref="T164">IF($G164=0,0,-MIN(0,$G164*c_EquityShare.LP))</f>
        <v>0</v>
      </c>
      <c r="U164" s="663" cm="1">
        <f t="array" ref="U164">IF($D164=0,0,S164*c_Rate.Hurdle1.MO)</f>
        <v>0</v>
      </c>
      <c r="V164" s="660">
        <f t="shared" si="627"/>
        <v>0</v>
      </c>
      <c r="W164" s="660">
        <f t="shared" si="575"/>
        <v>0</v>
      </c>
      <c r="X164" s="663">
        <f t="shared" si="628"/>
        <v>0</v>
      </c>
      <c r="Y164" s="663">
        <f t="shared" si="605"/>
        <v>0</v>
      </c>
      <c r="Z164" s="663">
        <f t="shared" ref="Z164" si="970">IF(S164=0,0,O164+W164/$J$17*c_Hurdle1.Share_GP)</f>
        <v>0</v>
      </c>
      <c r="AA164" s="663">
        <f t="shared" si="577"/>
        <v>0</v>
      </c>
      <c r="AB164" s="660">
        <f t="shared" si="630"/>
        <v>0</v>
      </c>
      <c r="AC164" s="521"/>
      <c r="AD164" s="663">
        <f t="shared" si="769"/>
        <v>0</v>
      </c>
      <c r="AE164" s="663">
        <f t="shared" ref="AE164" si="971">IF($G164=0,0,-MIN(0,$G164*c_EquityShare.LP))</f>
        <v>0</v>
      </c>
      <c r="AF164" s="663" cm="1">
        <f t="array" ref="AF164">IF($D164=0,0,AD164*(c_Rate.Hurdle2.MO))</f>
        <v>0</v>
      </c>
      <c r="AG164" s="663">
        <f t="shared" si="579"/>
        <v>0</v>
      </c>
      <c r="AH164" s="663">
        <f t="shared" si="609"/>
        <v>0</v>
      </c>
      <c r="AI164" s="663">
        <f t="shared" si="580"/>
        <v>0</v>
      </c>
      <c r="AJ164" s="664">
        <f t="shared" si="581"/>
        <v>0</v>
      </c>
      <c r="AK164" s="660">
        <f t="shared" si="582"/>
        <v>0</v>
      </c>
      <c r="AL164" s="663">
        <f t="shared" ref="AL164" si="972">IF(AD164=0,0,Z164+AH164/$J$18*c_Hurdle2.Share_GP)</f>
        <v>0</v>
      </c>
      <c r="AM164" s="663">
        <f t="shared" si="584"/>
        <v>0</v>
      </c>
      <c r="AN164" s="660">
        <f t="shared" si="633"/>
        <v>0</v>
      </c>
      <c r="AO164" s="521"/>
      <c r="AP164" s="663">
        <f t="shared" si="772"/>
        <v>0</v>
      </c>
      <c r="AQ164" s="663">
        <f t="shared" ref="AQ164" si="973">IF($G164=0,0,-MIN(0,$G164*c_EquityShare.LP))</f>
        <v>0</v>
      </c>
      <c r="AR164" s="663" cm="1">
        <f t="array" ref="AR164">IF($D164=0,0,AP164*(c_Rate.Hurdle3.MO))</f>
        <v>0</v>
      </c>
      <c r="AS164" s="663">
        <f t="shared" si="586"/>
        <v>0</v>
      </c>
      <c r="AT164" s="663">
        <f t="shared" si="613"/>
        <v>0</v>
      </c>
      <c r="AU164" s="663">
        <f t="shared" si="587"/>
        <v>0</v>
      </c>
      <c r="AV164" s="664">
        <f t="shared" si="588"/>
        <v>0</v>
      </c>
      <c r="AW164" s="660">
        <f t="shared" si="614"/>
        <v>0</v>
      </c>
      <c r="AX164" s="663">
        <f t="shared" ref="AX164" si="974">IF(AP164=0,0,AL164+AT164/$J$19*c_Hurdle3.Share_GP)</f>
        <v>0</v>
      </c>
      <c r="AY164" s="663">
        <f t="shared" si="616"/>
        <v>0</v>
      </c>
      <c r="AZ164" s="660">
        <f t="shared" si="636"/>
        <v>0</v>
      </c>
      <c r="BA164" s="521"/>
      <c r="BB164" s="660">
        <f t="shared" si="590"/>
        <v>0</v>
      </c>
      <c r="BC164" s="660">
        <f t="shared" ref="BC164" si="975">$AZ164*c_Residual.Share_GP</f>
        <v>0</v>
      </c>
      <c r="BD164" s="651"/>
      <c r="BE164" s="660">
        <f t="shared" si="618"/>
        <v>0</v>
      </c>
      <c r="BF164" s="660">
        <f t="shared" si="618"/>
        <v>0</v>
      </c>
      <c r="BG164" s="660">
        <f t="shared" si="592"/>
        <v>0</v>
      </c>
      <c r="BI164" s="660">
        <v>0</v>
      </c>
      <c r="BJ164" s="660">
        <v>0</v>
      </c>
      <c r="BK164" s="660">
        <v>0</v>
      </c>
      <c r="BL164" s="660">
        <f t="shared" si="619"/>
        <v>0</v>
      </c>
      <c r="BM164" s="660">
        <f t="shared" si="619"/>
        <v>0</v>
      </c>
      <c r="BN164" s="660">
        <f t="shared" si="620"/>
        <v>0</v>
      </c>
      <c r="BO164" s="660">
        <f t="shared" si="620"/>
        <v>0</v>
      </c>
      <c r="BP164" s="660">
        <f t="shared" si="621"/>
        <v>0</v>
      </c>
      <c r="BQ164" s="660">
        <f t="shared" si="621"/>
        <v>0</v>
      </c>
      <c r="BR164" s="660">
        <v>0</v>
      </c>
      <c r="BS164" s="660">
        <v>0</v>
      </c>
      <c r="BT164" s="660">
        <f t="shared" si="593"/>
        <v>0</v>
      </c>
      <c r="BU164" s="660">
        <f t="shared" si="593"/>
        <v>0</v>
      </c>
      <c r="BX164" s="660">
        <v>0</v>
      </c>
      <c r="BY164" s="660">
        <f t="shared" si="622"/>
        <v>0</v>
      </c>
      <c r="BZ164" s="660">
        <f t="shared" si="594"/>
        <v>0</v>
      </c>
      <c r="CA164" s="660">
        <f t="shared" si="595"/>
        <v>0</v>
      </c>
      <c r="CB164" s="660">
        <f t="shared" si="596"/>
        <v>0</v>
      </c>
      <c r="CC164" s="660">
        <f t="shared" si="597"/>
        <v>0</v>
      </c>
      <c r="CD164" s="660">
        <f t="shared" si="623"/>
        <v>0</v>
      </c>
    </row>
    <row r="165" spans="4:82" ht="16" hidden="1" thickTop="1" thickBot="1">
      <c r="D165" s="653"/>
      <c r="E165" s="654"/>
      <c r="F165" s="655" t="str">
        <f t="shared" si="598"/>
        <v/>
      </c>
      <c r="G165" s="656"/>
      <c r="I165" s="658">
        <f t="shared" si="599"/>
        <v>0</v>
      </c>
      <c r="J165" s="658">
        <f t="shared" ref="J165" si="976">IF($G165=0,0,-MIN(0,G165*c_EquityShare.LP))</f>
        <v>0</v>
      </c>
      <c r="K165" s="658">
        <f t="shared" ref="K165" si="977">I165*c_Rate.Pref_MO</f>
        <v>0</v>
      </c>
      <c r="L165" s="658">
        <f t="shared" si="573"/>
        <v>0</v>
      </c>
      <c r="M165" s="658">
        <f t="shared" si="602"/>
        <v>0</v>
      </c>
      <c r="N165" s="658">
        <f t="shared" si="626"/>
        <v>0</v>
      </c>
      <c r="O165" s="658" cm="1">
        <f t="array" ref="O165">IF(I165=0,0,IF(G165&lt;0,N165/c_EquityShare.LP*i_EquityShare.GP,L165/c_EquityShare.LP*i_EquityShare.GP))</f>
        <v>0</v>
      </c>
      <c r="P165" s="658">
        <f t="shared" si="603"/>
        <v>0</v>
      </c>
      <c r="Q165" s="658">
        <f t="shared" si="574"/>
        <v>0</v>
      </c>
      <c r="R165" s="521"/>
      <c r="S165" s="660">
        <f t="shared" si="604"/>
        <v>0</v>
      </c>
      <c r="T165" s="663" cm="1">
        <f t="array" ref="T165">IF($G165=0,0,-MIN(0,$G165*c_EquityShare.LP))</f>
        <v>0</v>
      </c>
      <c r="U165" s="663" cm="1">
        <f t="array" ref="U165">IF($D165=0,0,S165*c_Rate.Hurdle1.MO)</f>
        <v>0</v>
      </c>
      <c r="V165" s="660">
        <f t="shared" si="627"/>
        <v>0</v>
      </c>
      <c r="W165" s="660">
        <f t="shared" si="575"/>
        <v>0</v>
      </c>
      <c r="X165" s="663">
        <f t="shared" si="628"/>
        <v>0</v>
      </c>
      <c r="Y165" s="663">
        <f t="shared" si="605"/>
        <v>0</v>
      </c>
      <c r="Z165" s="663">
        <f t="shared" ref="Z165" si="978">IF(S165=0,0,O165+W165/$J$17*c_Hurdle1.Share_GP)</f>
        <v>0</v>
      </c>
      <c r="AA165" s="663">
        <f t="shared" si="577"/>
        <v>0</v>
      </c>
      <c r="AB165" s="660">
        <f t="shared" si="630"/>
        <v>0</v>
      </c>
      <c r="AC165" s="521"/>
      <c r="AD165" s="663">
        <f t="shared" si="769"/>
        <v>0</v>
      </c>
      <c r="AE165" s="663">
        <f t="shared" ref="AE165" si="979">IF($G165=0,0,-MIN(0,$G165*c_EquityShare.LP))</f>
        <v>0</v>
      </c>
      <c r="AF165" s="663" cm="1">
        <f t="array" ref="AF165">IF($D165=0,0,AD165*(c_Rate.Hurdle2.MO))</f>
        <v>0</v>
      </c>
      <c r="AG165" s="663">
        <f t="shared" si="579"/>
        <v>0</v>
      </c>
      <c r="AH165" s="663">
        <f t="shared" si="609"/>
        <v>0</v>
      </c>
      <c r="AI165" s="663">
        <f t="shared" si="580"/>
        <v>0</v>
      </c>
      <c r="AJ165" s="664">
        <f t="shared" si="581"/>
        <v>0</v>
      </c>
      <c r="AK165" s="660">
        <f t="shared" si="582"/>
        <v>0</v>
      </c>
      <c r="AL165" s="663">
        <f t="shared" ref="AL165" si="980">IF(AD165=0,0,Z165+AH165/$J$18*c_Hurdle2.Share_GP)</f>
        <v>0</v>
      </c>
      <c r="AM165" s="663">
        <f t="shared" si="584"/>
        <v>0</v>
      </c>
      <c r="AN165" s="660">
        <f t="shared" si="633"/>
        <v>0</v>
      </c>
      <c r="AO165" s="521"/>
      <c r="AP165" s="663">
        <f t="shared" si="772"/>
        <v>0</v>
      </c>
      <c r="AQ165" s="663">
        <f t="shared" ref="AQ165" si="981">IF($G165=0,0,-MIN(0,$G165*c_EquityShare.LP))</f>
        <v>0</v>
      </c>
      <c r="AR165" s="663" cm="1">
        <f t="array" ref="AR165">IF($D165=0,0,AP165*(c_Rate.Hurdle3.MO))</f>
        <v>0</v>
      </c>
      <c r="AS165" s="663">
        <f t="shared" si="586"/>
        <v>0</v>
      </c>
      <c r="AT165" s="663">
        <f t="shared" si="613"/>
        <v>0</v>
      </c>
      <c r="AU165" s="663">
        <f t="shared" si="587"/>
        <v>0</v>
      </c>
      <c r="AV165" s="664">
        <f t="shared" si="588"/>
        <v>0</v>
      </c>
      <c r="AW165" s="660">
        <f t="shared" si="614"/>
        <v>0</v>
      </c>
      <c r="AX165" s="663">
        <f t="shared" ref="AX165" si="982">IF(AP165=0,0,AL165+AT165/$J$19*c_Hurdle3.Share_GP)</f>
        <v>0</v>
      </c>
      <c r="AY165" s="663">
        <f t="shared" si="616"/>
        <v>0</v>
      </c>
      <c r="AZ165" s="660">
        <f t="shared" si="636"/>
        <v>0</v>
      </c>
      <c r="BA165" s="521"/>
      <c r="BB165" s="660">
        <f t="shared" si="590"/>
        <v>0</v>
      </c>
      <c r="BC165" s="660">
        <f t="shared" ref="BC165" si="983">$AZ165*c_Residual.Share_GP</f>
        <v>0</v>
      </c>
      <c r="BD165" s="651"/>
      <c r="BE165" s="660">
        <f t="shared" si="618"/>
        <v>0</v>
      </c>
      <c r="BF165" s="660">
        <f t="shared" si="618"/>
        <v>0</v>
      </c>
      <c r="BG165" s="660">
        <f t="shared" si="592"/>
        <v>0</v>
      </c>
      <c r="BI165" s="660">
        <v>0</v>
      </c>
      <c r="BJ165" s="660">
        <v>0</v>
      </c>
      <c r="BK165" s="660">
        <v>0</v>
      </c>
      <c r="BL165" s="660">
        <f t="shared" si="619"/>
        <v>0</v>
      </c>
      <c r="BM165" s="660">
        <f t="shared" si="619"/>
        <v>0</v>
      </c>
      <c r="BN165" s="660">
        <f t="shared" si="620"/>
        <v>0</v>
      </c>
      <c r="BO165" s="660">
        <f t="shared" si="620"/>
        <v>0</v>
      </c>
      <c r="BP165" s="660">
        <f t="shared" si="621"/>
        <v>0</v>
      </c>
      <c r="BQ165" s="660">
        <f t="shared" si="621"/>
        <v>0</v>
      </c>
      <c r="BR165" s="660">
        <v>0</v>
      </c>
      <c r="BS165" s="660">
        <v>0</v>
      </c>
      <c r="BT165" s="660">
        <f t="shared" si="593"/>
        <v>0</v>
      </c>
      <c r="BU165" s="660">
        <f t="shared" si="593"/>
        <v>0</v>
      </c>
      <c r="BX165" s="660">
        <v>0</v>
      </c>
      <c r="BY165" s="660">
        <f t="shared" si="622"/>
        <v>0</v>
      </c>
      <c r="BZ165" s="660">
        <f t="shared" si="594"/>
        <v>0</v>
      </c>
      <c r="CA165" s="660">
        <f t="shared" si="595"/>
        <v>0</v>
      </c>
      <c r="CB165" s="660">
        <f t="shared" si="596"/>
        <v>0</v>
      </c>
      <c r="CC165" s="660">
        <f t="shared" si="597"/>
        <v>0</v>
      </c>
      <c r="CD165" s="660">
        <f t="shared" si="623"/>
        <v>0</v>
      </c>
    </row>
    <row r="166" spans="4:82" ht="16" hidden="1" thickTop="1" thickBot="1">
      <c r="D166" s="653"/>
      <c r="E166" s="654"/>
      <c r="F166" s="655" t="str">
        <f t="shared" si="598"/>
        <v/>
      </c>
      <c r="G166" s="656"/>
      <c r="I166" s="658">
        <f t="shared" si="599"/>
        <v>0</v>
      </c>
      <c r="J166" s="658">
        <f t="shared" ref="J166" si="984">IF($G166=0,0,-MIN(0,G166*c_EquityShare.LP))</f>
        <v>0</v>
      </c>
      <c r="K166" s="658">
        <f t="shared" ref="K166" si="985">I166*c_Rate.Pref_MO</f>
        <v>0</v>
      </c>
      <c r="L166" s="658">
        <f t="shared" si="573"/>
        <v>0</v>
      </c>
      <c r="M166" s="658">
        <f t="shared" si="602"/>
        <v>0</v>
      </c>
      <c r="N166" s="658">
        <f t="shared" si="626"/>
        <v>0</v>
      </c>
      <c r="O166" s="658" cm="1">
        <f t="array" ref="O166">IF(I166=0,0,IF(G166&lt;0,N166/c_EquityShare.LP*i_EquityShare.GP,L166/c_EquityShare.LP*i_EquityShare.GP))</f>
        <v>0</v>
      </c>
      <c r="P166" s="658">
        <f t="shared" si="603"/>
        <v>0</v>
      </c>
      <c r="Q166" s="658">
        <f t="shared" si="574"/>
        <v>0</v>
      </c>
      <c r="R166" s="521"/>
      <c r="S166" s="660">
        <f t="shared" si="604"/>
        <v>0</v>
      </c>
      <c r="T166" s="663" cm="1">
        <f t="array" ref="T166">IF($G166=0,0,-MIN(0,$G166*c_EquityShare.LP))</f>
        <v>0</v>
      </c>
      <c r="U166" s="663" cm="1">
        <f t="array" ref="U166">IF($D166=0,0,S166*c_Rate.Hurdle1.MO)</f>
        <v>0</v>
      </c>
      <c r="V166" s="660">
        <f t="shared" si="627"/>
        <v>0</v>
      </c>
      <c r="W166" s="660">
        <f t="shared" si="575"/>
        <v>0</v>
      </c>
      <c r="X166" s="663">
        <f t="shared" si="628"/>
        <v>0</v>
      </c>
      <c r="Y166" s="663">
        <f t="shared" si="605"/>
        <v>0</v>
      </c>
      <c r="Z166" s="663">
        <f t="shared" ref="Z166" si="986">IF(S166=0,0,O166+W166/$J$17*c_Hurdle1.Share_GP)</f>
        <v>0</v>
      </c>
      <c r="AA166" s="663">
        <f t="shared" si="577"/>
        <v>0</v>
      </c>
      <c r="AB166" s="660">
        <f t="shared" si="630"/>
        <v>0</v>
      </c>
      <c r="AC166" s="521"/>
      <c r="AD166" s="663">
        <f t="shared" si="769"/>
        <v>0</v>
      </c>
      <c r="AE166" s="663">
        <f t="shared" ref="AE166" si="987">IF($G166=0,0,-MIN(0,$G166*c_EquityShare.LP))</f>
        <v>0</v>
      </c>
      <c r="AF166" s="663" cm="1">
        <f t="array" ref="AF166">IF($D166=0,0,AD166*(c_Rate.Hurdle2.MO))</f>
        <v>0</v>
      </c>
      <c r="AG166" s="663">
        <f t="shared" si="579"/>
        <v>0</v>
      </c>
      <c r="AH166" s="663">
        <f t="shared" si="609"/>
        <v>0</v>
      </c>
      <c r="AI166" s="663">
        <f t="shared" si="580"/>
        <v>0</v>
      </c>
      <c r="AJ166" s="664">
        <f t="shared" si="581"/>
        <v>0</v>
      </c>
      <c r="AK166" s="660">
        <f t="shared" si="582"/>
        <v>0</v>
      </c>
      <c r="AL166" s="663">
        <f t="shared" ref="AL166" si="988">IF(AD166=0,0,Z166+AH166/$J$18*c_Hurdle2.Share_GP)</f>
        <v>0</v>
      </c>
      <c r="AM166" s="663">
        <f t="shared" si="584"/>
        <v>0</v>
      </c>
      <c r="AN166" s="660">
        <f t="shared" si="633"/>
        <v>0</v>
      </c>
      <c r="AO166" s="521"/>
      <c r="AP166" s="663">
        <f t="shared" si="772"/>
        <v>0</v>
      </c>
      <c r="AQ166" s="663">
        <f t="shared" ref="AQ166" si="989">IF($G166=0,0,-MIN(0,$G166*c_EquityShare.LP))</f>
        <v>0</v>
      </c>
      <c r="AR166" s="663" cm="1">
        <f t="array" ref="AR166">IF($D166=0,0,AP166*(c_Rate.Hurdle3.MO))</f>
        <v>0</v>
      </c>
      <c r="AS166" s="663">
        <f t="shared" si="586"/>
        <v>0</v>
      </c>
      <c r="AT166" s="663">
        <f t="shared" si="613"/>
        <v>0</v>
      </c>
      <c r="AU166" s="663">
        <f t="shared" si="587"/>
        <v>0</v>
      </c>
      <c r="AV166" s="664">
        <f t="shared" si="588"/>
        <v>0</v>
      </c>
      <c r="AW166" s="660">
        <f t="shared" si="614"/>
        <v>0</v>
      </c>
      <c r="AX166" s="663">
        <f t="shared" ref="AX166" si="990">IF(AP166=0,0,AL166+AT166/$J$19*c_Hurdle3.Share_GP)</f>
        <v>0</v>
      </c>
      <c r="AY166" s="663">
        <f t="shared" si="616"/>
        <v>0</v>
      </c>
      <c r="AZ166" s="660">
        <f t="shared" si="636"/>
        <v>0</v>
      </c>
      <c r="BA166" s="521"/>
      <c r="BB166" s="660">
        <f t="shared" si="590"/>
        <v>0</v>
      </c>
      <c r="BC166" s="660">
        <f t="shared" ref="BC166" si="991">$AZ166*c_Residual.Share_GP</f>
        <v>0</v>
      </c>
      <c r="BD166" s="651"/>
      <c r="BE166" s="660">
        <f t="shared" si="618"/>
        <v>0</v>
      </c>
      <c r="BF166" s="660">
        <f t="shared" si="618"/>
        <v>0</v>
      </c>
      <c r="BG166" s="660">
        <f t="shared" si="592"/>
        <v>0</v>
      </c>
      <c r="BI166" s="660">
        <v>0</v>
      </c>
      <c r="BJ166" s="660">
        <v>0</v>
      </c>
      <c r="BK166" s="660">
        <v>0</v>
      </c>
      <c r="BL166" s="660">
        <f t="shared" si="619"/>
        <v>0</v>
      </c>
      <c r="BM166" s="660">
        <f t="shared" si="619"/>
        <v>0</v>
      </c>
      <c r="BN166" s="660">
        <f t="shared" si="620"/>
        <v>0</v>
      </c>
      <c r="BO166" s="660">
        <f t="shared" si="620"/>
        <v>0</v>
      </c>
      <c r="BP166" s="660">
        <f t="shared" si="621"/>
        <v>0</v>
      </c>
      <c r="BQ166" s="660">
        <f t="shared" si="621"/>
        <v>0</v>
      </c>
      <c r="BR166" s="660">
        <v>0</v>
      </c>
      <c r="BS166" s="660">
        <v>0</v>
      </c>
      <c r="BT166" s="660">
        <f t="shared" si="593"/>
        <v>0</v>
      </c>
      <c r="BU166" s="660">
        <f t="shared" si="593"/>
        <v>0</v>
      </c>
      <c r="BX166" s="660">
        <v>0</v>
      </c>
      <c r="BY166" s="660">
        <f t="shared" si="622"/>
        <v>0</v>
      </c>
      <c r="BZ166" s="660">
        <f t="shared" si="594"/>
        <v>0</v>
      </c>
      <c r="CA166" s="660">
        <f t="shared" si="595"/>
        <v>0</v>
      </c>
      <c r="CB166" s="660">
        <f t="shared" si="596"/>
        <v>0</v>
      </c>
      <c r="CC166" s="660">
        <f t="shared" si="597"/>
        <v>0</v>
      </c>
      <c r="CD166" s="660">
        <f t="shared" si="623"/>
        <v>0</v>
      </c>
    </row>
    <row r="167" spans="4:82" ht="16" hidden="1" thickTop="1" thickBot="1">
      <c r="D167" s="653"/>
      <c r="E167" s="654"/>
      <c r="F167" s="655" t="str">
        <f t="shared" si="598"/>
        <v/>
      </c>
      <c r="G167" s="656"/>
      <c r="I167" s="658">
        <f t="shared" si="599"/>
        <v>0</v>
      </c>
      <c r="J167" s="658">
        <f t="shared" ref="J167" si="992">IF($G167=0,0,-MIN(0,G167*c_EquityShare.LP))</f>
        <v>0</v>
      </c>
      <c r="K167" s="658">
        <f t="shared" ref="K167" si="993">I167*c_Rate.Pref_MO</f>
        <v>0</v>
      </c>
      <c r="L167" s="658">
        <f t="shared" si="573"/>
        <v>0</v>
      </c>
      <c r="M167" s="658">
        <f t="shared" si="602"/>
        <v>0</v>
      </c>
      <c r="N167" s="658">
        <f t="shared" si="626"/>
        <v>0</v>
      </c>
      <c r="O167" s="658" cm="1">
        <f t="array" ref="O167">IF(I167=0,0,IF(G167&lt;0,N167/c_EquityShare.LP*i_EquityShare.GP,L167/c_EquityShare.LP*i_EquityShare.GP))</f>
        <v>0</v>
      </c>
      <c r="P167" s="658">
        <f t="shared" si="603"/>
        <v>0</v>
      </c>
      <c r="Q167" s="658">
        <f t="shared" si="574"/>
        <v>0</v>
      </c>
      <c r="R167" s="521"/>
      <c r="S167" s="660">
        <f t="shared" si="604"/>
        <v>0</v>
      </c>
      <c r="T167" s="663" cm="1">
        <f t="array" ref="T167">IF($G167=0,0,-MIN(0,$G167*c_EquityShare.LP))</f>
        <v>0</v>
      </c>
      <c r="U167" s="663" cm="1">
        <f t="array" ref="U167">IF($D167=0,0,S167*c_Rate.Hurdle1.MO)</f>
        <v>0</v>
      </c>
      <c r="V167" s="660">
        <f t="shared" si="627"/>
        <v>0</v>
      </c>
      <c r="W167" s="660">
        <f t="shared" si="575"/>
        <v>0</v>
      </c>
      <c r="X167" s="663">
        <f t="shared" si="628"/>
        <v>0</v>
      </c>
      <c r="Y167" s="663">
        <f t="shared" si="605"/>
        <v>0</v>
      </c>
      <c r="Z167" s="663">
        <f t="shared" ref="Z167" si="994">IF(S167=0,0,O167+W167/$J$17*c_Hurdle1.Share_GP)</f>
        <v>0</v>
      </c>
      <c r="AA167" s="663">
        <f t="shared" si="577"/>
        <v>0</v>
      </c>
      <c r="AB167" s="660">
        <f t="shared" si="630"/>
        <v>0</v>
      </c>
      <c r="AC167" s="521"/>
      <c r="AD167" s="663">
        <f t="shared" si="769"/>
        <v>0</v>
      </c>
      <c r="AE167" s="663">
        <f t="shared" ref="AE167" si="995">IF($G167=0,0,-MIN(0,$G167*c_EquityShare.LP))</f>
        <v>0</v>
      </c>
      <c r="AF167" s="663" cm="1">
        <f t="array" ref="AF167">IF($D167=0,0,AD167*(c_Rate.Hurdle2.MO))</f>
        <v>0</v>
      </c>
      <c r="AG167" s="663">
        <f t="shared" si="579"/>
        <v>0</v>
      </c>
      <c r="AH167" s="663">
        <f t="shared" si="609"/>
        <v>0</v>
      </c>
      <c r="AI167" s="663">
        <f t="shared" si="580"/>
        <v>0</v>
      </c>
      <c r="AJ167" s="664">
        <f t="shared" si="581"/>
        <v>0</v>
      </c>
      <c r="AK167" s="660">
        <f t="shared" si="582"/>
        <v>0</v>
      </c>
      <c r="AL167" s="663">
        <f t="shared" ref="AL167" si="996">IF(AD167=0,0,Z167+AH167/$J$18*c_Hurdle2.Share_GP)</f>
        <v>0</v>
      </c>
      <c r="AM167" s="663">
        <f t="shared" si="584"/>
        <v>0</v>
      </c>
      <c r="AN167" s="660">
        <f t="shared" si="633"/>
        <v>0</v>
      </c>
      <c r="AO167" s="521"/>
      <c r="AP167" s="663">
        <f t="shared" si="772"/>
        <v>0</v>
      </c>
      <c r="AQ167" s="663">
        <f t="shared" ref="AQ167" si="997">IF($G167=0,0,-MIN(0,$G167*c_EquityShare.LP))</f>
        <v>0</v>
      </c>
      <c r="AR167" s="663" cm="1">
        <f t="array" ref="AR167">IF($D167=0,0,AP167*(c_Rate.Hurdle3.MO))</f>
        <v>0</v>
      </c>
      <c r="AS167" s="663">
        <f t="shared" si="586"/>
        <v>0</v>
      </c>
      <c r="AT167" s="663">
        <f t="shared" si="613"/>
        <v>0</v>
      </c>
      <c r="AU167" s="663">
        <f t="shared" si="587"/>
        <v>0</v>
      </c>
      <c r="AV167" s="664">
        <f t="shared" si="588"/>
        <v>0</v>
      </c>
      <c r="AW167" s="660">
        <f t="shared" si="614"/>
        <v>0</v>
      </c>
      <c r="AX167" s="663">
        <f t="shared" ref="AX167" si="998">IF(AP167=0,0,AL167+AT167/$J$19*c_Hurdle3.Share_GP)</f>
        <v>0</v>
      </c>
      <c r="AY167" s="663">
        <f t="shared" si="616"/>
        <v>0</v>
      </c>
      <c r="AZ167" s="660">
        <f t="shared" si="636"/>
        <v>0</v>
      </c>
      <c r="BA167" s="521"/>
      <c r="BB167" s="660">
        <f t="shared" si="590"/>
        <v>0</v>
      </c>
      <c r="BC167" s="660">
        <f t="shared" ref="BC167" si="999">$AZ167*c_Residual.Share_GP</f>
        <v>0</v>
      </c>
      <c r="BD167" s="651"/>
      <c r="BE167" s="660">
        <f t="shared" si="618"/>
        <v>0</v>
      </c>
      <c r="BF167" s="660">
        <f t="shared" si="618"/>
        <v>0</v>
      </c>
      <c r="BG167" s="660">
        <f t="shared" si="592"/>
        <v>0</v>
      </c>
      <c r="BI167" s="660">
        <v>0</v>
      </c>
      <c r="BJ167" s="660">
        <v>0</v>
      </c>
      <c r="BK167" s="660">
        <v>0</v>
      </c>
      <c r="BL167" s="660">
        <f t="shared" si="619"/>
        <v>0</v>
      </c>
      <c r="BM167" s="660">
        <f t="shared" si="619"/>
        <v>0</v>
      </c>
      <c r="BN167" s="660">
        <f t="shared" si="620"/>
        <v>0</v>
      </c>
      <c r="BO167" s="660">
        <f t="shared" si="620"/>
        <v>0</v>
      </c>
      <c r="BP167" s="660">
        <f t="shared" si="621"/>
        <v>0</v>
      </c>
      <c r="BQ167" s="660">
        <f t="shared" si="621"/>
        <v>0</v>
      </c>
      <c r="BR167" s="660">
        <v>0</v>
      </c>
      <c r="BS167" s="660">
        <v>0</v>
      </c>
      <c r="BT167" s="660">
        <f t="shared" si="593"/>
        <v>0</v>
      </c>
      <c r="BU167" s="660">
        <f t="shared" si="593"/>
        <v>0</v>
      </c>
      <c r="BX167" s="660">
        <v>0</v>
      </c>
      <c r="BY167" s="660">
        <f t="shared" si="622"/>
        <v>0</v>
      </c>
      <c r="BZ167" s="660">
        <f t="shared" si="594"/>
        <v>0</v>
      </c>
      <c r="CA167" s="660">
        <f t="shared" si="595"/>
        <v>0</v>
      </c>
      <c r="CB167" s="660">
        <f t="shared" si="596"/>
        <v>0</v>
      </c>
      <c r="CC167" s="660">
        <f t="shared" si="597"/>
        <v>0</v>
      </c>
      <c r="CD167" s="660">
        <f t="shared" si="623"/>
        <v>0</v>
      </c>
    </row>
    <row r="168" spans="4:82" ht="16" hidden="1" thickTop="1" thickBot="1">
      <c r="D168" s="653"/>
      <c r="E168" s="654"/>
      <c r="F168" s="655" t="str">
        <f t="shared" si="598"/>
        <v/>
      </c>
      <c r="G168" s="656"/>
      <c r="I168" s="658">
        <f t="shared" si="599"/>
        <v>0</v>
      </c>
      <c r="J168" s="658">
        <f t="shared" ref="J168" si="1000">IF($G168=0,0,-MIN(0,G168*c_EquityShare.LP))</f>
        <v>0</v>
      </c>
      <c r="K168" s="658">
        <f t="shared" ref="K168" si="1001">I168*c_Rate.Pref_MO</f>
        <v>0</v>
      </c>
      <c r="L168" s="658">
        <f t="shared" si="573"/>
        <v>0</v>
      </c>
      <c r="M168" s="658">
        <f t="shared" si="602"/>
        <v>0</v>
      </c>
      <c r="N168" s="658">
        <f t="shared" si="626"/>
        <v>0</v>
      </c>
      <c r="O168" s="658" cm="1">
        <f t="array" ref="O168">IF(I168=0,0,IF(G168&lt;0,N168/c_EquityShare.LP*i_EquityShare.GP,L168/c_EquityShare.LP*i_EquityShare.GP))</f>
        <v>0</v>
      </c>
      <c r="P168" s="658">
        <f t="shared" si="603"/>
        <v>0</v>
      </c>
      <c r="Q168" s="658">
        <f t="shared" si="574"/>
        <v>0</v>
      </c>
      <c r="R168" s="521"/>
      <c r="S168" s="660">
        <f t="shared" si="604"/>
        <v>0</v>
      </c>
      <c r="T168" s="663" cm="1">
        <f t="array" ref="T168">IF($G168=0,0,-MIN(0,$G168*c_EquityShare.LP))</f>
        <v>0</v>
      </c>
      <c r="U168" s="663" cm="1">
        <f t="array" ref="U168">IF($D168=0,0,S168*c_Rate.Hurdle1.MO)</f>
        <v>0</v>
      </c>
      <c r="V168" s="660">
        <f t="shared" si="627"/>
        <v>0</v>
      </c>
      <c r="W168" s="660">
        <f t="shared" si="575"/>
        <v>0</v>
      </c>
      <c r="X168" s="663">
        <f t="shared" si="628"/>
        <v>0</v>
      </c>
      <c r="Y168" s="663">
        <f t="shared" si="605"/>
        <v>0</v>
      </c>
      <c r="Z168" s="663">
        <f t="shared" ref="Z168" si="1002">IF(S168=0,0,O168+W168/$J$17*c_Hurdle1.Share_GP)</f>
        <v>0</v>
      </c>
      <c r="AA168" s="663">
        <f t="shared" si="577"/>
        <v>0</v>
      </c>
      <c r="AB168" s="660">
        <f t="shared" si="630"/>
        <v>0</v>
      </c>
      <c r="AC168" s="521"/>
      <c r="AD168" s="663">
        <f t="shared" si="769"/>
        <v>0</v>
      </c>
      <c r="AE168" s="663">
        <f t="shared" ref="AE168" si="1003">IF($G168=0,0,-MIN(0,$G168*c_EquityShare.LP))</f>
        <v>0</v>
      </c>
      <c r="AF168" s="663" cm="1">
        <f t="array" ref="AF168">IF($D168=0,0,AD168*(c_Rate.Hurdle2.MO))</f>
        <v>0</v>
      </c>
      <c r="AG168" s="663">
        <f t="shared" si="579"/>
        <v>0</v>
      </c>
      <c r="AH168" s="663">
        <f t="shared" si="609"/>
        <v>0</v>
      </c>
      <c r="AI168" s="663">
        <f t="shared" si="580"/>
        <v>0</v>
      </c>
      <c r="AJ168" s="664">
        <f t="shared" si="581"/>
        <v>0</v>
      </c>
      <c r="AK168" s="660">
        <f t="shared" si="582"/>
        <v>0</v>
      </c>
      <c r="AL168" s="663">
        <f t="shared" ref="AL168" si="1004">IF(AD168=0,0,Z168+AH168/$J$18*c_Hurdle2.Share_GP)</f>
        <v>0</v>
      </c>
      <c r="AM168" s="663">
        <f t="shared" si="584"/>
        <v>0</v>
      </c>
      <c r="AN168" s="660">
        <f t="shared" si="633"/>
        <v>0</v>
      </c>
      <c r="AO168" s="521"/>
      <c r="AP168" s="663">
        <f t="shared" si="772"/>
        <v>0</v>
      </c>
      <c r="AQ168" s="663">
        <f t="shared" ref="AQ168" si="1005">IF($G168=0,0,-MIN(0,$G168*c_EquityShare.LP))</f>
        <v>0</v>
      </c>
      <c r="AR168" s="663" cm="1">
        <f t="array" ref="AR168">IF($D168=0,0,AP168*(c_Rate.Hurdle3.MO))</f>
        <v>0</v>
      </c>
      <c r="AS168" s="663">
        <f t="shared" si="586"/>
        <v>0</v>
      </c>
      <c r="AT168" s="663">
        <f t="shared" si="613"/>
        <v>0</v>
      </c>
      <c r="AU168" s="663">
        <f t="shared" si="587"/>
        <v>0</v>
      </c>
      <c r="AV168" s="664">
        <f t="shared" si="588"/>
        <v>0</v>
      </c>
      <c r="AW168" s="660">
        <f t="shared" si="614"/>
        <v>0</v>
      </c>
      <c r="AX168" s="663">
        <f t="shared" ref="AX168" si="1006">IF(AP168=0,0,AL168+AT168/$J$19*c_Hurdle3.Share_GP)</f>
        <v>0</v>
      </c>
      <c r="AY168" s="663">
        <f t="shared" si="616"/>
        <v>0</v>
      </c>
      <c r="AZ168" s="660">
        <f t="shared" si="636"/>
        <v>0</v>
      </c>
      <c r="BA168" s="521"/>
      <c r="BB168" s="660">
        <f t="shared" si="590"/>
        <v>0</v>
      </c>
      <c r="BC168" s="660">
        <f t="shared" ref="BC168" si="1007">$AZ168*c_Residual.Share_GP</f>
        <v>0</v>
      </c>
      <c r="BD168" s="651"/>
      <c r="BE168" s="660">
        <f t="shared" si="618"/>
        <v>0</v>
      </c>
      <c r="BF168" s="660">
        <f t="shared" si="618"/>
        <v>0</v>
      </c>
      <c r="BG168" s="660">
        <f t="shared" si="592"/>
        <v>0</v>
      </c>
      <c r="BI168" s="660">
        <v>0</v>
      </c>
      <c r="BJ168" s="660">
        <v>0</v>
      </c>
      <c r="BK168" s="660">
        <v>0</v>
      </c>
      <c r="BL168" s="660">
        <f t="shared" si="619"/>
        <v>0</v>
      </c>
      <c r="BM168" s="660">
        <f t="shared" si="619"/>
        <v>0</v>
      </c>
      <c r="BN168" s="660">
        <f t="shared" si="620"/>
        <v>0</v>
      </c>
      <c r="BO168" s="660">
        <f t="shared" si="620"/>
        <v>0</v>
      </c>
      <c r="BP168" s="660">
        <f t="shared" si="621"/>
        <v>0</v>
      </c>
      <c r="BQ168" s="660">
        <f t="shared" si="621"/>
        <v>0</v>
      </c>
      <c r="BR168" s="660">
        <v>0</v>
      </c>
      <c r="BS168" s="660">
        <v>0</v>
      </c>
      <c r="BT168" s="660">
        <f t="shared" si="593"/>
        <v>0</v>
      </c>
      <c r="BU168" s="660">
        <f t="shared" si="593"/>
        <v>0</v>
      </c>
      <c r="BX168" s="660">
        <v>0</v>
      </c>
      <c r="BY168" s="660">
        <f t="shared" si="622"/>
        <v>0</v>
      </c>
      <c r="BZ168" s="660">
        <f t="shared" si="594"/>
        <v>0</v>
      </c>
      <c r="CA168" s="660">
        <f t="shared" si="595"/>
        <v>0</v>
      </c>
      <c r="CB168" s="660">
        <f t="shared" si="596"/>
        <v>0</v>
      </c>
      <c r="CC168" s="660">
        <f t="shared" si="597"/>
        <v>0</v>
      </c>
      <c r="CD168" s="660">
        <f t="shared" si="623"/>
        <v>0</v>
      </c>
    </row>
    <row r="169" spans="4:82" ht="16" hidden="1" thickTop="1" thickBot="1">
      <c r="D169" s="653"/>
      <c r="E169" s="654"/>
      <c r="F169" s="655" t="str">
        <f t="shared" si="598"/>
        <v/>
      </c>
      <c r="G169" s="656"/>
      <c r="I169" s="658">
        <f t="shared" si="599"/>
        <v>0</v>
      </c>
      <c r="J169" s="658">
        <f t="shared" ref="J169" si="1008">IF($G169=0,0,-MIN(0,G169*c_EquityShare.LP))</f>
        <v>0</v>
      </c>
      <c r="K169" s="658">
        <f t="shared" ref="K169" si="1009">I169*c_Rate.Pref_MO</f>
        <v>0</v>
      </c>
      <c r="L169" s="658">
        <f t="shared" si="573"/>
        <v>0</v>
      </c>
      <c r="M169" s="658">
        <f t="shared" si="602"/>
        <v>0</v>
      </c>
      <c r="N169" s="658">
        <f t="shared" si="626"/>
        <v>0</v>
      </c>
      <c r="O169" s="658" cm="1">
        <f t="array" ref="O169">IF(I169=0,0,IF(G169&lt;0,N169/c_EquityShare.LP*i_EquityShare.GP,L169/c_EquityShare.LP*i_EquityShare.GP))</f>
        <v>0</v>
      </c>
      <c r="P169" s="658">
        <f t="shared" si="603"/>
        <v>0</v>
      </c>
      <c r="Q169" s="658">
        <f t="shared" si="574"/>
        <v>0</v>
      </c>
      <c r="R169" s="521"/>
      <c r="S169" s="660">
        <f t="shared" si="604"/>
        <v>0</v>
      </c>
      <c r="T169" s="663" cm="1">
        <f t="array" ref="T169">IF($G169=0,0,-MIN(0,$G169*c_EquityShare.LP))</f>
        <v>0</v>
      </c>
      <c r="U169" s="663" cm="1">
        <f t="array" ref="U169">IF($D169=0,0,S169*c_Rate.Hurdle1.MO)</f>
        <v>0</v>
      </c>
      <c r="V169" s="660">
        <f t="shared" si="627"/>
        <v>0</v>
      </c>
      <c r="W169" s="660">
        <f t="shared" si="575"/>
        <v>0</v>
      </c>
      <c r="X169" s="663">
        <f t="shared" si="628"/>
        <v>0</v>
      </c>
      <c r="Y169" s="663">
        <f t="shared" si="605"/>
        <v>0</v>
      </c>
      <c r="Z169" s="663">
        <f t="shared" ref="Z169" si="1010">IF(S169=0,0,O169+W169/$J$17*c_Hurdle1.Share_GP)</f>
        <v>0</v>
      </c>
      <c r="AA169" s="663">
        <f t="shared" si="577"/>
        <v>0</v>
      </c>
      <c r="AB169" s="660">
        <f t="shared" si="630"/>
        <v>0</v>
      </c>
      <c r="AC169" s="521"/>
      <c r="AD169" s="663">
        <f t="shared" si="769"/>
        <v>0</v>
      </c>
      <c r="AE169" s="663">
        <f t="shared" ref="AE169" si="1011">IF($G169=0,0,-MIN(0,$G169*c_EquityShare.LP))</f>
        <v>0</v>
      </c>
      <c r="AF169" s="663" cm="1">
        <f t="array" ref="AF169">IF($D169=0,0,AD169*(c_Rate.Hurdle2.MO))</f>
        <v>0</v>
      </c>
      <c r="AG169" s="663">
        <f t="shared" si="579"/>
        <v>0</v>
      </c>
      <c r="AH169" s="663">
        <f t="shared" si="609"/>
        <v>0</v>
      </c>
      <c r="AI169" s="663">
        <f t="shared" si="580"/>
        <v>0</v>
      </c>
      <c r="AJ169" s="664">
        <f t="shared" si="581"/>
        <v>0</v>
      </c>
      <c r="AK169" s="660">
        <f t="shared" si="582"/>
        <v>0</v>
      </c>
      <c r="AL169" s="663">
        <f t="shared" ref="AL169" si="1012">IF(AD169=0,0,Z169+AH169/$J$18*c_Hurdle2.Share_GP)</f>
        <v>0</v>
      </c>
      <c r="AM169" s="663">
        <f t="shared" si="584"/>
        <v>0</v>
      </c>
      <c r="AN169" s="660">
        <f t="shared" si="633"/>
        <v>0</v>
      </c>
      <c r="AO169" s="521"/>
      <c r="AP169" s="663">
        <f t="shared" si="772"/>
        <v>0</v>
      </c>
      <c r="AQ169" s="663">
        <f t="shared" ref="AQ169" si="1013">IF($G169=0,0,-MIN(0,$G169*c_EquityShare.LP))</f>
        <v>0</v>
      </c>
      <c r="AR169" s="663" cm="1">
        <f t="array" ref="AR169">IF($D169=0,0,AP169*(c_Rate.Hurdle3.MO))</f>
        <v>0</v>
      </c>
      <c r="AS169" s="663">
        <f t="shared" si="586"/>
        <v>0</v>
      </c>
      <c r="AT169" s="663">
        <f t="shared" si="613"/>
        <v>0</v>
      </c>
      <c r="AU169" s="663">
        <f t="shared" si="587"/>
        <v>0</v>
      </c>
      <c r="AV169" s="664">
        <f t="shared" si="588"/>
        <v>0</v>
      </c>
      <c r="AW169" s="660">
        <f t="shared" si="614"/>
        <v>0</v>
      </c>
      <c r="AX169" s="663">
        <f t="shared" ref="AX169" si="1014">IF(AP169=0,0,AL169+AT169/$J$19*c_Hurdle3.Share_GP)</f>
        <v>0</v>
      </c>
      <c r="AY169" s="663">
        <f t="shared" si="616"/>
        <v>0</v>
      </c>
      <c r="AZ169" s="660">
        <f t="shared" si="636"/>
        <v>0</v>
      </c>
      <c r="BA169" s="521"/>
      <c r="BB169" s="660">
        <f t="shared" si="590"/>
        <v>0</v>
      </c>
      <c r="BC169" s="660">
        <f t="shared" ref="BC169" si="1015">$AZ169*c_Residual.Share_GP</f>
        <v>0</v>
      </c>
      <c r="BD169" s="651"/>
      <c r="BE169" s="660">
        <f t="shared" si="618"/>
        <v>0</v>
      </c>
      <c r="BF169" s="660">
        <f t="shared" si="618"/>
        <v>0</v>
      </c>
      <c r="BG169" s="660">
        <f t="shared" si="592"/>
        <v>0</v>
      </c>
      <c r="BI169" s="660">
        <v>0</v>
      </c>
      <c r="BJ169" s="660">
        <v>0</v>
      </c>
      <c r="BK169" s="660">
        <v>0</v>
      </c>
      <c r="BL169" s="660">
        <f t="shared" si="619"/>
        <v>0</v>
      </c>
      <c r="BM169" s="660">
        <f t="shared" si="619"/>
        <v>0</v>
      </c>
      <c r="BN169" s="660">
        <f t="shared" si="620"/>
        <v>0</v>
      </c>
      <c r="BO169" s="660">
        <f t="shared" si="620"/>
        <v>0</v>
      </c>
      <c r="BP169" s="660">
        <f t="shared" si="621"/>
        <v>0</v>
      </c>
      <c r="BQ169" s="660">
        <f t="shared" si="621"/>
        <v>0</v>
      </c>
      <c r="BR169" s="660">
        <v>0</v>
      </c>
      <c r="BS169" s="660">
        <v>0</v>
      </c>
      <c r="BT169" s="660">
        <f t="shared" si="593"/>
        <v>0</v>
      </c>
      <c r="BU169" s="660">
        <f t="shared" si="593"/>
        <v>0</v>
      </c>
      <c r="BX169" s="660">
        <v>0</v>
      </c>
      <c r="BY169" s="660">
        <f t="shared" si="622"/>
        <v>0</v>
      </c>
      <c r="BZ169" s="660">
        <f t="shared" si="594"/>
        <v>0</v>
      </c>
      <c r="CA169" s="660">
        <f t="shared" si="595"/>
        <v>0</v>
      </c>
      <c r="CB169" s="660">
        <f t="shared" si="596"/>
        <v>0</v>
      </c>
      <c r="CC169" s="660">
        <f t="shared" si="597"/>
        <v>0</v>
      </c>
      <c r="CD169" s="660">
        <f t="shared" si="623"/>
        <v>0</v>
      </c>
    </row>
    <row r="170" spans="4:82" ht="16" hidden="1" thickTop="1" thickBot="1">
      <c r="D170" s="653"/>
      <c r="E170" s="654"/>
      <c r="F170" s="655" t="str">
        <f t="shared" si="598"/>
        <v/>
      </c>
      <c r="G170" s="656"/>
      <c r="I170" s="658">
        <f t="shared" si="599"/>
        <v>0</v>
      </c>
      <c r="J170" s="658">
        <f t="shared" ref="J170" si="1016">IF($G170=0,0,-MIN(0,G170*c_EquityShare.LP))</f>
        <v>0</v>
      </c>
      <c r="K170" s="658">
        <f t="shared" ref="K170" si="1017">I170*c_Rate.Pref_MO</f>
        <v>0</v>
      </c>
      <c r="L170" s="658">
        <f t="shared" si="573"/>
        <v>0</v>
      </c>
      <c r="M170" s="658">
        <f t="shared" si="602"/>
        <v>0</v>
      </c>
      <c r="N170" s="658">
        <f t="shared" si="626"/>
        <v>0</v>
      </c>
      <c r="O170" s="658" cm="1">
        <f t="array" ref="O170">IF(I170=0,0,IF(G170&lt;0,N170/c_EquityShare.LP*i_EquityShare.GP,L170/c_EquityShare.LP*i_EquityShare.GP))</f>
        <v>0</v>
      </c>
      <c r="P170" s="658">
        <f t="shared" si="603"/>
        <v>0</v>
      </c>
      <c r="Q170" s="658">
        <f t="shared" si="574"/>
        <v>0</v>
      </c>
      <c r="R170" s="521"/>
      <c r="S170" s="660">
        <f t="shared" si="604"/>
        <v>0</v>
      </c>
      <c r="T170" s="663" cm="1">
        <f t="array" ref="T170">IF($G170=0,0,-MIN(0,$G170*c_EquityShare.LP))</f>
        <v>0</v>
      </c>
      <c r="U170" s="663" cm="1">
        <f t="array" ref="U170">IF($D170=0,0,S170*c_Rate.Hurdle1.MO)</f>
        <v>0</v>
      </c>
      <c r="V170" s="660">
        <f t="shared" si="627"/>
        <v>0</v>
      </c>
      <c r="W170" s="660">
        <f t="shared" si="575"/>
        <v>0</v>
      </c>
      <c r="X170" s="663">
        <f t="shared" si="628"/>
        <v>0</v>
      </c>
      <c r="Y170" s="663">
        <f t="shared" si="605"/>
        <v>0</v>
      </c>
      <c r="Z170" s="663">
        <f t="shared" ref="Z170" si="1018">IF(S170=0,0,O170+W170/$J$17*c_Hurdle1.Share_GP)</f>
        <v>0</v>
      </c>
      <c r="AA170" s="663">
        <f t="shared" si="577"/>
        <v>0</v>
      </c>
      <c r="AB170" s="660">
        <f t="shared" si="630"/>
        <v>0</v>
      </c>
      <c r="AC170" s="521"/>
      <c r="AD170" s="663">
        <f t="shared" si="769"/>
        <v>0</v>
      </c>
      <c r="AE170" s="663">
        <f t="shared" ref="AE170" si="1019">IF($G170=0,0,-MIN(0,$G170*c_EquityShare.LP))</f>
        <v>0</v>
      </c>
      <c r="AF170" s="663" cm="1">
        <f t="array" ref="AF170">IF($D170=0,0,AD170*(c_Rate.Hurdle2.MO))</f>
        <v>0</v>
      </c>
      <c r="AG170" s="663">
        <f t="shared" si="579"/>
        <v>0</v>
      </c>
      <c r="AH170" s="663">
        <f t="shared" si="609"/>
        <v>0</v>
      </c>
      <c r="AI170" s="663">
        <f t="shared" si="580"/>
        <v>0</v>
      </c>
      <c r="AJ170" s="664">
        <f t="shared" si="581"/>
        <v>0</v>
      </c>
      <c r="AK170" s="660">
        <f t="shared" si="582"/>
        <v>0</v>
      </c>
      <c r="AL170" s="663">
        <f t="shared" ref="AL170" si="1020">IF(AD170=0,0,Z170+AH170/$J$18*c_Hurdle2.Share_GP)</f>
        <v>0</v>
      </c>
      <c r="AM170" s="663">
        <f t="shared" si="584"/>
        <v>0</v>
      </c>
      <c r="AN170" s="660">
        <f t="shared" si="633"/>
        <v>0</v>
      </c>
      <c r="AO170" s="521"/>
      <c r="AP170" s="663">
        <f t="shared" si="772"/>
        <v>0</v>
      </c>
      <c r="AQ170" s="663">
        <f t="shared" ref="AQ170" si="1021">IF($G170=0,0,-MIN(0,$G170*c_EquityShare.LP))</f>
        <v>0</v>
      </c>
      <c r="AR170" s="663" cm="1">
        <f t="array" ref="AR170">IF($D170=0,0,AP170*(c_Rate.Hurdle3.MO))</f>
        <v>0</v>
      </c>
      <c r="AS170" s="663">
        <f t="shared" si="586"/>
        <v>0</v>
      </c>
      <c r="AT170" s="663">
        <f t="shared" si="613"/>
        <v>0</v>
      </c>
      <c r="AU170" s="663">
        <f t="shared" si="587"/>
        <v>0</v>
      </c>
      <c r="AV170" s="664">
        <f t="shared" si="588"/>
        <v>0</v>
      </c>
      <c r="AW170" s="660">
        <f t="shared" si="614"/>
        <v>0</v>
      </c>
      <c r="AX170" s="663">
        <f t="shared" ref="AX170" si="1022">IF(AP170=0,0,AL170+AT170/$J$19*c_Hurdle3.Share_GP)</f>
        <v>0</v>
      </c>
      <c r="AY170" s="663">
        <f t="shared" si="616"/>
        <v>0</v>
      </c>
      <c r="AZ170" s="660">
        <f t="shared" si="636"/>
        <v>0</v>
      </c>
      <c r="BA170" s="521"/>
      <c r="BB170" s="660">
        <f t="shared" si="590"/>
        <v>0</v>
      </c>
      <c r="BC170" s="660">
        <f t="shared" ref="BC170" si="1023">$AZ170*c_Residual.Share_GP</f>
        <v>0</v>
      </c>
      <c r="BD170" s="651"/>
      <c r="BE170" s="660">
        <f t="shared" si="618"/>
        <v>0</v>
      </c>
      <c r="BF170" s="660">
        <f t="shared" si="618"/>
        <v>0</v>
      </c>
      <c r="BG170" s="660">
        <f t="shared" si="592"/>
        <v>0</v>
      </c>
      <c r="BI170" s="660">
        <v>0</v>
      </c>
      <c r="BJ170" s="660">
        <v>0</v>
      </c>
      <c r="BK170" s="660">
        <v>0</v>
      </c>
      <c r="BL170" s="660">
        <f t="shared" si="619"/>
        <v>0</v>
      </c>
      <c r="BM170" s="660">
        <f t="shared" si="619"/>
        <v>0</v>
      </c>
      <c r="BN170" s="660">
        <f t="shared" si="620"/>
        <v>0</v>
      </c>
      <c r="BO170" s="660">
        <f t="shared" si="620"/>
        <v>0</v>
      </c>
      <c r="BP170" s="660">
        <f t="shared" si="621"/>
        <v>0</v>
      </c>
      <c r="BQ170" s="660">
        <f t="shared" si="621"/>
        <v>0</v>
      </c>
      <c r="BR170" s="660">
        <v>0</v>
      </c>
      <c r="BS170" s="660">
        <v>0</v>
      </c>
      <c r="BT170" s="660">
        <f t="shared" si="593"/>
        <v>0</v>
      </c>
      <c r="BU170" s="660">
        <f t="shared" si="593"/>
        <v>0</v>
      </c>
      <c r="BX170" s="660">
        <v>0</v>
      </c>
      <c r="BY170" s="660">
        <f t="shared" si="622"/>
        <v>0</v>
      </c>
      <c r="BZ170" s="660">
        <f t="shared" si="594"/>
        <v>0</v>
      </c>
      <c r="CA170" s="660">
        <f t="shared" si="595"/>
        <v>0</v>
      </c>
      <c r="CB170" s="660">
        <f t="shared" si="596"/>
        <v>0</v>
      </c>
      <c r="CC170" s="660">
        <f t="shared" si="597"/>
        <v>0</v>
      </c>
      <c r="CD170" s="660">
        <f t="shared" si="623"/>
        <v>0</v>
      </c>
    </row>
    <row r="171" spans="4:82" ht="16" hidden="1" thickTop="1" thickBot="1">
      <c r="D171" s="653"/>
      <c r="E171" s="654"/>
      <c r="F171" s="655" t="str">
        <f t="shared" si="598"/>
        <v/>
      </c>
      <c r="G171" s="656"/>
      <c r="I171" s="658">
        <f t="shared" si="599"/>
        <v>0</v>
      </c>
      <c r="J171" s="658">
        <f t="shared" ref="J171" si="1024">IF($G171=0,0,-MIN(0,G171*c_EquityShare.LP))</f>
        <v>0</v>
      </c>
      <c r="K171" s="658">
        <f t="shared" ref="K171" si="1025">I171*c_Rate.Pref_MO</f>
        <v>0</v>
      </c>
      <c r="L171" s="658">
        <f t="shared" si="573"/>
        <v>0</v>
      </c>
      <c r="M171" s="658">
        <f t="shared" si="602"/>
        <v>0</v>
      </c>
      <c r="N171" s="658">
        <f t="shared" si="626"/>
        <v>0</v>
      </c>
      <c r="O171" s="658" cm="1">
        <f t="array" ref="O171">IF(I171=0,0,IF(G171&lt;0,N171/c_EquityShare.LP*i_EquityShare.GP,L171/c_EquityShare.LP*i_EquityShare.GP))</f>
        <v>0</v>
      </c>
      <c r="P171" s="658">
        <f t="shared" si="603"/>
        <v>0</v>
      </c>
      <c r="Q171" s="658">
        <f t="shared" si="574"/>
        <v>0</v>
      </c>
      <c r="R171" s="521"/>
      <c r="S171" s="660">
        <f t="shared" si="604"/>
        <v>0</v>
      </c>
      <c r="T171" s="663" cm="1">
        <f t="array" ref="T171">IF($G171=0,0,-MIN(0,$G171*c_EquityShare.LP))</f>
        <v>0</v>
      </c>
      <c r="U171" s="663" cm="1">
        <f t="array" ref="U171">IF($D171=0,0,S171*c_Rate.Hurdle1.MO)</f>
        <v>0</v>
      </c>
      <c r="V171" s="660">
        <f t="shared" si="627"/>
        <v>0</v>
      </c>
      <c r="W171" s="660">
        <f t="shared" si="575"/>
        <v>0</v>
      </c>
      <c r="X171" s="663">
        <f t="shared" si="628"/>
        <v>0</v>
      </c>
      <c r="Y171" s="663">
        <f t="shared" si="605"/>
        <v>0</v>
      </c>
      <c r="Z171" s="663">
        <f t="shared" ref="Z171" si="1026">IF(S171=0,0,O171+W171/$J$17*c_Hurdle1.Share_GP)</f>
        <v>0</v>
      </c>
      <c r="AA171" s="663">
        <f t="shared" si="577"/>
        <v>0</v>
      </c>
      <c r="AB171" s="660">
        <f t="shared" si="630"/>
        <v>0</v>
      </c>
      <c r="AC171" s="521"/>
      <c r="AD171" s="663">
        <f t="shared" si="769"/>
        <v>0</v>
      </c>
      <c r="AE171" s="663">
        <f t="shared" ref="AE171" si="1027">IF($G171=0,0,-MIN(0,$G171*c_EquityShare.LP))</f>
        <v>0</v>
      </c>
      <c r="AF171" s="663" cm="1">
        <f t="array" ref="AF171">IF($D171=0,0,AD171*(c_Rate.Hurdle2.MO))</f>
        <v>0</v>
      </c>
      <c r="AG171" s="663">
        <f t="shared" si="579"/>
        <v>0</v>
      </c>
      <c r="AH171" s="663">
        <f t="shared" si="609"/>
        <v>0</v>
      </c>
      <c r="AI171" s="663">
        <f t="shared" si="580"/>
        <v>0</v>
      </c>
      <c r="AJ171" s="664">
        <f t="shared" si="581"/>
        <v>0</v>
      </c>
      <c r="AK171" s="660">
        <f t="shared" si="582"/>
        <v>0</v>
      </c>
      <c r="AL171" s="663">
        <f t="shared" ref="AL171" si="1028">IF(AD171=0,0,Z171+AH171/$J$18*c_Hurdle2.Share_GP)</f>
        <v>0</v>
      </c>
      <c r="AM171" s="663">
        <f t="shared" si="584"/>
        <v>0</v>
      </c>
      <c r="AN171" s="660">
        <f t="shared" si="633"/>
        <v>0</v>
      </c>
      <c r="AO171" s="521"/>
      <c r="AP171" s="663">
        <f t="shared" si="772"/>
        <v>0</v>
      </c>
      <c r="AQ171" s="663">
        <f t="shared" ref="AQ171" si="1029">IF($G171=0,0,-MIN(0,$G171*c_EquityShare.LP))</f>
        <v>0</v>
      </c>
      <c r="AR171" s="663" cm="1">
        <f t="array" ref="AR171">IF($D171=0,0,AP171*(c_Rate.Hurdle3.MO))</f>
        <v>0</v>
      </c>
      <c r="AS171" s="663">
        <f t="shared" si="586"/>
        <v>0</v>
      </c>
      <c r="AT171" s="663">
        <f t="shared" si="613"/>
        <v>0</v>
      </c>
      <c r="AU171" s="663">
        <f t="shared" si="587"/>
        <v>0</v>
      </c>
      <c r="AV171" s="664">
        <f t="shared" si="588"/>
        <v>0</v>
      </c>
      <c r="AW171" s="660">
        <f t="shared" si="614"/>
        <v>0</v>
      </c>
      <c r="AX171" s="663">
        <f t="shared" ref="AX171" si="1030">IF(AP171=0,0,AL171+AT171/$J$19*c_Hurdle3.Share_GP)</f>
        <v>0</v>
      </c>
      <c r="AY171" s="663">
        <f t="shared" si="616"/>
        <v>0</v>
      </c>
      <c r="AZ171" s="660">
        <f t="shared" si="636"/>
        <v>0</v>
      </c>
      <c r="BA171" s="521"/>
      <c r="BB171" s="660">
        <f t="shared" si="590"/>
        <v>0</v>
      </c>
      <c r="BC171" s="660">
        <f t="shared" ref="BC171" si="1031">$AZ171*c_Residual.Share_GP</f>
        <v>0</v>
      </c>
      <c r="BD171" s="651"/>
      <c r="BE171" s="660">
        <f t="shared" si="618"/>
        <v>0</v>
      </c>
      <c r="BF171" s="660">
        <f t="shared" si="618"/>
        <v>0</v>
      </c>
      <c r="BG171" s="660">
        <f t="shared" si="592"/>
        <v>0</v>
      </c>
      <c r="BI171" s="660">
        <v>0</v>
      </c>
      <c r="BJ171" s="660">
        <v>0</v>
      </c>
      <c r="BK171" s="660">
        <v>0</v>
      </c>
      <c r="BL171" s="660">
        <f t="shared" si="619"/>
        <v>0</v>
      </c>
      <c r="BM171" s="660">
        <f t="shared" si="619"/>
        <v>0</v>
      </c>
      <c r="BN171" s="660">
        <f t="shared" si="620"/>
        <v>0</v>
      </c>
      <c r="BO171" s="660">
        <f t="shared" si="620"/>
        <v>0</v>
      </c>
      <c r="BP171" s="660">
        <f t="shared" si="621"/>
        <v>0</v>
      </c>
      <c r="BQ171" s="660">
        <f t="shared" si="621"/>
        <v>0</v>
      </c>
      <c r="BR171" s="660">
        <v>0</v>
      </c>
      <c r="BS171" s="660">
        <v>0</v>
      </c>
      <c r="BT171" s="660">
        <f t="shared" si="593"/>
        <v>0</v>
      </c>
      <c r="BU171" s="660">
        <f t="shared" si="593"/>
        <v>0</v>
      </c>
      <c r="BX171" s="660">
        <v>0</v>
      </c>
      <c r="BY171" s="660">
        <f t="shared" si="622"/>
        <v>0</v>
      </c>
      <c r="BZ171" s="660">
        <f t="shared" si="594"/>
        <v>0</v>
      </c>
      <c r="CA171" s="660">
        <f t="shared" si="595"/>
        <v>0</v>
      </c>
      <c r="CB171" s="660">
        <f t="shared" si="596"/>
        <v>0</v>
      </c>
      <c r="CC171" s="660">
        <f t="shared" si="597"/>
        <v>0</v>
      </c>
      <c r="CD171" s="660">
        <f t="shared" si="623"/>
        <v>0</v>
      </c>
    </row>
    <row r="172" spans="4:82" ht="16" hidden="1" thickTop="1" thickBot="1">
      <c r="D172" s="653"/>
      <c r="E172" s="654"/>
      <c r="F172" s="655" t="str">
        <f t="shared" si="598"/>
        <v/>
      </c>
      <c r="G172" s="656"/>
      <c r="I172" s="658">
        <f t="shared" si="599"/>
        <v>0</v>
      </c>
      <c r="J172" s="658">
        <f t="shared" ref="J172" si="1032">IF($G172=0,0,-MIN(0,G172*c_EquityShare.LP))</f>
        <v>0</v>
      </c>
      <c r="K172" s="658">
        <f t="shared" ref="K172" si="1033">I172*c_Rate.Pref_MO</f>
        <v>0</v>
      </c>
      <c r="L172" s="658">
        <f t="shared" si="573"/>
        <v>0</v>
      </c>
      <c r="M172" s="658">
        <f t="shared" si="602"/>
        <v>0</v>
      </c>
      <c r="N172" s="658">
        <f t="shared" si="626"/>
        <v>0</v>
      </c>
      <c r="O172" s="658" cm="1">
        <f t="array" ref="O172">IF(I172=0,0,IF(G172&lt;0,N172/c_EquityShare.LP*i_EquityShare.GP,L172/c_EquityShare.LP*i_EquityShare.GP))</f>
        <v>0</v>
      </c>
      <c r="P172" s="658">
        <f t="shared" si="603"/>
        <v>0</v>
      </c>
      <c r="Q172" s="658">
        <f t="shared" si="574"/>
        <v>0</v>
      </c>
      <c r="R172" s="521"/>
      <c r="S172" s="660">
        <f t="shared" si="604"/>
        <v>0</v>
      </c>
      <c r="T172" s="663" cm="1">
        <f t="array" ref="T172">IF($G172=0,0,-MIN(0,$G172*c_EquityShare.LP))</f>
        <v>0</v>
      </c>
      <c r="U172" s="663" cm="1">
        <f t="array" ref="U172">IF($D172=0,0,S172*c_Rate.Hurdle1.MO)</f>
        <v>0</v>
      </c>
      <c r="V172" s="660">
        <f t="shared" si="627"/>
        <v>0</v>
      </c>
      <c r="W172" s="660">
        <f t="shared" si="575"/>
        <v>0</v>
      </c>
      <c r="X172" s="663">
        <f t="shared" si="628"/>
        <v>0</v>
      </c>
      <c r="Y172" s="663">
        <f t="shared" si="605"/>
        <v>0</v>
      </c>
      <c r="Z172" s="663">
        <f t="shared" ref="Z172" si="1034">IF(S172=0,0,O172+W172/$J$17*c_Hurdle1.Share_GP)</f>
        <v>0</v>
      </c>
      <c r="AA172" s="663">
        <f t="shared" si="577"/>
        <v>0</v>
      </c>
      <c r="AB172" s="660">
        <f t="shared" si="630"/>
        <v>0</v>
      </c>
      <c r="AC172" s="521"/>
      <c r="AD172" s="663">
        <f t="shared" si="769"/>
        <v>0</v>
      </c>
      <c r="AE172" s="663">
        <f t="shared" ref="AE172" si="1035">IF($G172=0,0,-MIN(0,$G172*c_EquityShare.LP))</f>
        <v>0</v>
      </c>
      <c r="AF172" s="663" cm="1">
        <f t="array" ref="AF172">IF($D172=0,0,AD172*(c_Rate.Hurdle2.MO))</f>
        <v>0</v>
      </c>
      <c r="AG172" s="663">
        <f t="shared" si="579"/>
        <v>0</v>
      </c>
      <c r="AH172" s="663">
        <f t="shared" si="609"/>
        <v>0</v>
      </c>
      <c r="AI172" s="663">
        <f t="shared" si="580"/>
        <v>0</v>
      </c>
      <c r="AJ172" s="664">
        <f t="shared" si="581"/>
        <v>0</v>
      </c>
      <c r="AK172" s="660">
        <f t="shared" si="582"/>
        <v>0</v>
      </c>
      <c r="AL172" s="663">
        <f t="shared" ref="AL172" si="1036">IF(AD172=0,0,Z172+AH172/$J$18*c_Hurdle2.Share_GP)</f>
        <v>0</v>
      </c>
      <c r="AM172" s="663">
        <f t="shared" si="584"/>
        <v>0</v>
      </c>
      <c r="AN172" s="660">
        <f t="shared" si="633"/>
        <v>0</v>
      </c>
      <c r="AO172" s="521"/>
      <c r="AP172" s="663">
        <f t="shared" si="772"/>
        <v>0</v>
      </c>
      <c r="AQ172" s="663">
        <f t="shared" ref="AQ172" si="1037">IF($G172=0,0,-MIN(0,$G172*c_EquityShare.LP))</f>
        <v>0</v>
      </c>
      <c r="AR172" s="663" cm="1">
        <f t="array" ref="AR172">IF($D172=0,0,AP172*(c_Rate.Hurdle3.MO))</f>
        <v>0</v>
      </c>
      <c r="AS172" s="663">
        <f t="shared" si="586"/>
        <v>0</v>
      </c>
      <c r="AT172" s="663">
        <f t="shared" si="613"/>
        <v>0</v>
      </c>
      <c r="AU172" s="663">
        <f t="shared" si="587"/>
        <v>0</v>
      </c>
      <c r="AV172" s="664">
        <f t="shared" si="588"/>
        <v>0</v>
      </c>
      <c r="AW172" s="660">
        <f t="shared" si="614"/>
        <v>0</v>
      </c>
      <c r="AX172" s="663">
        <f t="shared" ref="AX172" si="1038">IF(AP172=0,0,AL172+AT172/$J$19*c_Hurdle3.Share_GP)</f>
        <v>0</v>
      </c>
      <c r="AY172" s="663">
        <f t="shared" si="616"/>
        <v>0</v>
      </c>
      <c r="AZ172" s="660">
        <f t="shared" si="636"/>
        <v>0</v>
      </c>
      <c r="BA172" s="521"/>
      <c r="BB172" s="660">
        <f t="shared" si="590"/>
        <v>0</v>
      </c>
      <c r="BC172" s="660">
        <f t="shared" ref="BC172" si="1039">$AZ172*c_Residual.Share_GP</f>
        <v>0</v>
      </c>
      <c r="BD172" s="651"/>
      <c r="BE172" s="660">
        <f t="shared" si="618"/>
        <v>0</v>
      </c>
      <c r="BF172" s="660">
        <f t="shared" si="618"/>
        <v>0</v>
      </c>
      <c r="BG172" s="660">
        <f t="shared" si="592"/>
        <v>0</v>
      </c>
      <c r="BI172" s="660">
        <v>0</v>
      </c>
      <c r="BJ172" s="660">
        <v>0</v>
      </c>
      <c r="BK172" s="660">
        <v>0</v>
      </c>
      <c r="BL172" s="660">
        <f t="shared" si="619"/>
        <v>0</v>
      </c>
      <c r="BM172" s="660">
        <f t="shared" si="619"/>
        <v>0</v>
      </c>
      <c r="BN172" s="660">
        <f t="shared" si="620"/>
        <v>0</v>
      </c>
      <c r="BO172" s="660">
        <f t="shared" si="620"/>
        <v>0</v>
      </c>
      <c r="BP172" s="660">
        <f t="shared" si="621"/>
        <v>0</v>
      </c>
      <c r="BQ172" s="660">
        <f t="shared" si="621"/>
        <v>0</v>
      </c>
      <c r="BR172" s="660">
        <v>0</v>
      </c>
      <c r="BS172" s="660">
        <v>0</v>
      </c>
      <c r="BT172" s="660">
        <f t="shared" si="593"/>
        <v>0</v>
      </c>
      <c r="BU172" s="660">
        <f t="shared" si="593"/>
        <v>0</v>
      </c>
      <c r="BX172" s="660">
        <v>0</v>
      </c>
      <c r="BY172" s="660">
        <f t="shared" si="622"/>
        <v>0</v>
      </c>
      <c r="BZ172" s="660">
        <f t="shared" si="594"/>
        <v>0</v>
      </c>
      <c r="CA172" s="660">
        <f t="shared" si="595"/>
        <v>0</v>
      </c>
      <c r="CB172" s="660">
        <f t="shared" si="596"/>
        <v>0</v>
      </c>
      <c r="CC172" s="660">
        <f t="shared" si="597"/>
        <v>0</v>
      </c>
      <c r="CD172" s="660">
        <f t="shared" si="623"/>
        <v>0</v>
      </c>
    </row>
    <row r="173" spans="4:82" ht="16" hidden="1" thickTop="1" thickBot="1">
      <c r="D173" s="653"/>
      <c r="E173" s="654"/>
      <c r="F173" s="655" t="str">
        <f t="shared" si="598"/>
        <v/>
      </c>
      <c r="G173" s="656"/>
      <c r="I173" s="658">
        <f t="shared" si="599"/>
        <v>0</v>
      </c>
      <c r="J173" s="658">
        <f t="shared" ref="J173" si="1040">IF($G173=0,0,-MIN(0,G173*c_EquityShare.LP))</f>
        <v>0</v>
      </c>
      <c r="K173" s="658">
        <f t="shared" ref="K173" si="1041">I173*c_Rate.Pref_MO</f>
        <v>0</v>
      </c>
      <c r="L173" s="658">
        <f t="shared" si="573"/>
        <v>0</v>
      </c>
      <c r="M173" s="658">
        <f t="shared" si="602"/>
        <v>0</v>
      </c>
      <c r="N173" s="658">
        <f t="shared" si="626"/>
        <v>0</v>
      </c>
      <c r="O173" s="658" cm="1">
        <f t="array" ref="O173">IF(I173=0,0,IF(G173&lt;0,N173/c_EquityShare.LP*i_EquityShare.GP,L173/c_EquityShare.LP*i_EquityShare.GP))</f>
        <v>0</v>
      </c>
      <c r="P173" s="658">
        <f t="shared" si="603"/>
        <v>0</v>
      </c>
      <c r="Q173" s="658">
        <f t="shared" si="574"/>
        <v>0</v>
      </c>
      <c r="R173" s="521"/>
      <c r="S173" s="660">
        <f t="shared" si="604"/>
        <v>0</v>
      </c>
      <c r="T173" s="663" cm="1">
        <f t="array" ref="T173">IF($G173=0,0,-MIN(0,$G173*c_EquityShare.LP))</f>
        <v>0</v>
      </c>
      <c r="U173" s="663" cm="1">
        <f t="array" ref="U173">IF($D173=0,0,S173*c_Rate.Hurdle1.MO)</f>
        <v>0</v>
      </c>
      <c r="V173" s="660">
        <f t="shared" si="627"/>
        <v>0</v>
      </c>
      <c r="W173" s="660">
        <f t="shared" si="575"/>
        <v>0</v>
      </c>
      <c r="X173" s="663">
        <f t="shared" si="628"/>
        <v>0</v>
      </c>
      <c r="Y173" s="663">
        <f t="shared" si="605"/>
        <v>0</v>
      </c>
      <c r="Z173" s="663">
        <f t="shared" ref="Z173" si="1042">IF(S173=0,0,O173+W173/$J$17*c_Hurdle1.Share_GP)</f>
        <v>0</v>
      </c>
      <c r="AA173" s="663">
        <f t="shared" si="577"/>
        <v>0</v>
      </c>
      <c r="AB173" s="660">
        <f t="shared" si="630"/>
        <v>0</v>
      </c>
      <c r="AC173" s="521"/>
      <c r="AD173" s="663">
        <f t="shared" si="769"/>
        <v>0</v>
      </c>
      <c r="AE173" s="663">
        <f t="shared" ref="AE173" si="1043">IF($G173=0,0,-MIN(0,$G173*c_EquityShare.LP))</f>
        <v>0</v>
      </c>
      <c r="AF173" s="663" cm="1">
        <f t="array" ref="AF173">IF($D173=0,0,AD173*(c_Rate.Hurdle2.MO))</f>
        <v>0</v>
      </c>
      <c r="AG173" s="663">
        <f t="shared" si="579"/>
        <v>0</v>
      </c>
      <c r="AH173" s="663">
        <f t="shared" si="609"/>
        <v>0</v>
      </c>
      <c r="AI173" s="663">
        <f t="shared" si="580"/>
        <v>0</v>
      </c>
      <c r="AJ173" s="664">
        <f t="shared" si="581"/>
        <v>0</v>
      </c>
      <c r="AK173" s="660">
        <f t="shared" si="582"/>
        <v>0</v>
      </c>
      <c r="AL173" s="663">
        <f t="shared" ref="AL173" si="1044">IF(AD173=0,0,Z173+AH173/$J$18*c_Hurdle2.Share_GP)</f>
        <v>0</v>
      </c>
      <c r="AM173" s="663">
        <f t="shared" si="584"/>
        <v>0</v>
      </c>
      <c r="AN173" s="660">
        <f t="shared" si="633"/>
        <v>0</v>
      </c>
      <c r="AO173" s="521"/>
      <c r="AP173" s="663">
        <f t="shared" si="772"/>
        <v>0</v>
      </c>
      <c r="AQ173" s="663">
        <f t="shared" ref="AQ173" si="1045">IF($G173=0,0,-MIN(0,$G173*c_EquityShare.LP))</f>
        <v>0</v>
      </c>
      <c r="AR173" s="663" cm="1">
        <f t="array" ref="AR173">IF($D173=0,0,AP173*(c_Rate.Hurdle3.MO))</f>
        <v>0</v>
      </c>
      <c r="AS173" s="663">
        <f t="shared" si="586"/>
        <v>0</v>
      </c>
      <c r="AT173" s="663">
        <f t="shared" si="613"/>
        <v>0</v>
      </c>
      <c r="AU173" s="663">
        <f t="shared" si="587"/>
        <v>0</v>
      </c>
      <c r="AV173" s="664">
        <f t="shared" si="588"/>
        <v>0</v>
      </c>
      <c r="AW173" s="660">
        <f t="shared" si="614"/>
        <v>0</v>
      </c>
      <c r="AX173" s="663">
        <f t="shared" ref="AX173" si="1046">IF(AP173=0,0,AL173+AT173/$J$19*c_Hurdle3.Share_GP)</f>
        <v>0</v>
      </c>
      <c r="AY173" s="663">
        <f t="shared" si="616"/>
        <v>0</v>
      </c>
      <c r="AZ173" s="660">
        <f t="shared" si="636"/>
        <v>0</v>
      </c>
      <c r="BA173" s="521"/>
      <c r="BB173" s="660">
        <f t="shared" si="590"/>
        <v>0</v>
      </c>
      <c r="BC173" s="660">
        <f t="shared" ref="BC173" si="1047">$AZ173*c_Residual.Share_GP</f>
        <v>0</v>
      </c>
      <c r="BD173" s="651"/>
      <c r="BE173" s="660">
        <f t="shared" si="618"/>
        <v>0</v>
      </c>
      <c r="BF173" s="660">
        <f t="shared" si="618"/>
        <v>0</v>
      </c>
      <c r="BG173" s="660">
        <f t="shared" si="592"/>
        <v>0</v>
      </c>
      <c r="BI173" s="660">
        <v>0</v>
      </c>
      <c r="BJ173" s="660">
        <v>0</v>
      </c>
      <c r="BK173" s="660">
        <v>0</v>
      </c>
      <c r="BL173" s="660">
        <f t="shared" si="619"/>
        <v>0</v>
      </c>
      <c r="BM173" s="660">
        <f t="shared" si="619"/>
        <v>0</v>
      </c>
      <c r="BN173" s="660">
        <f t="shared" si="620"/>
        <v>0</v>
      </c>
      <c r="BO173" s="660">
        <f t="shared" si="620"/>
        <v>0</v>
      </c>
      <c r="BP173" s="660">
        <f t="shared" si="621"/>
        <v>0</v>
      </c>
      <c r="BQ173" s="660">
        <f t="shared" si="621"/>
        <v>0</v>
      </c>
      <c r="BR173" s="660">
        <v>0</v>
      </c>
      <c r="BS173" s="660">
        <v>0</v>
      </c>
      <c r="BT173" s="660">
        <f t="shared" si="593"/>
        <v>0</v>
      </c>
      <c r="BU173" s="660">
        <f t="shared" si="593"/>
        <v>0</v>
      </c>
      <c r="BX173" s="660">
        <v>0</v>
      </c>
      <c r="BY173" s="660">
        <f t="shared" si="622"/>
        <v>0</v>
      </c>
      <c r="BZ173" s="660">
        <f t="shared" si="594"/>
        <v>0</v>
      </c>
      <c r="CA173" s="660">
        <f t="shared" si="595"/>
        <v>0</v>
      </c>
      <c r="CB173" s="660">
        <f t="shared" si="596"/>
        <v>0</v>
      </c>
      <c r="CC173" s="660">
        <f t="shared" si="597"/>
        <v>0</v>
      </c>
      <c r="CD173" s="660">
        <f t="shared" si="623"/>
        <v>0</v>
      </c>
    </row>
    <row r="174" spans="4:82" ht="16" hidden="1" thickTop="1" thickBot="1">
      <c r="D174" s="653"/>
      <c r="E174" s="654"/>
      <c r="F174" s="655" t="str">
        <f t="shared" si="598"/>
        <v/>
      </c>
      <c r="G174" s="656"/>
      <c r="I174" s="658">
        <f t="shared" si="599"/>
        <v>0</v>
      </c>
      <c r="J174" s="658">
        <f t="shared" ref="J174" si="1048">IF($G174=0,0,-MIN(0,G174*c_EquityShare.LP))</f>
        <v>0</v>
      </c>
      <c r="K174" s="658">
        <f t="shared" ref="K174" si="1049">I174*c_Rate.Pref_MO</f>
        <v>0</v>
      </c>
      <c r="L174" s="658">
        <f t="shared" si="573"/>
        <v>0</v>
      </c>
      <c r="M174" s="658">
        <f t="shared" si="602"/>
        <v>0</v>
      </c>
      <c r="N174" s="658">
        <f t="shared" si="626"/>
        <v>0</v>
      </c>
      <c r="O174" s="658" cm="1">
        <f t="array" ref="O174">IF(I174=0,0,IF(G174&lt;0,N174/c_EquityShare.LP*i_EquityShare.GP,L174/c_EquityShare.LP*i_EquityShare.GP))</f>
        <v>0</v>
      </c>
      <c r="P174" s="658">
        <f t="shared" si="603"/>
        <v>0</v>
      </c>
      <c r="Q174" s="658">
        <f t="shared" si="574"/>
        <v>0</v>
      </c>
      <c r="R174" s="521"/>
      <c r="S174" s="660">
        <f t="shared" si="604"/>
        <v>0</v>
      </c>
      <c r="T174" s="663" cm="1">
        <f t="array" ref="T174">IF($G174=0,0,-MIN(0,$G174*c_EquityShare.LP))</f>
        <v>0</v>
      </c>
      <c r="U174" s="663" cm="1">
        <f t="array" ref="U174">IF($D174=0,0,S174*c_Rate.Hurdle1.MO)</f>
        <v>0</v>
      </c>
      <c r="V174" s="660">
        <f t="shared" si="627"/>
        <v>0</v>
      </c>
      <c r="W174" s="660">
        <f t="shared" si="575"/>
        <v>0</v>
      </c>
      <c r="X174" s="663">
        <f t="shared" si="628"/>
        <v>0</v>
      </c>
      <c r="Y174" s="663">
        <f t="shared" si="605"/>
        <v>0</v>
      </c>
      <c r="Z174" s="663">
        <f t="shared" ref="Z174" si="1050">IF(S174=0,0,O174+W174/$J$17*c_Hurdle1.Share_GP)</f>
        <v>0</v>
      </c>
      <c r="AA174" s="663">
        <f t="shared" si="577"/>
        <v>0</v>
      </c>
      <c r="AB174" s="660">
        <f t="shared" si="630"/>
        <v>0</v>
      </c>
      <c r="AC174" s="521"/>
      <c r="AD174" s="663">
        <f t="shared" si="769"/>
        <v>0</v>
      </c>
      <c r="AE174" s="663">
        <f t="shared" ref="AE174" si="1051">IF($G174=0,0,-MIN(0,$G174*c_EquityShare.LP))</f>
        <v>0</v>
      </c>
      <c r="AF174" s="663" cm="1">
        <f t="array" ref="AF174">IF($D174=0,0,AD174*(c_Rate.Hurdle2.MO))</f>
        <v>0</v>
      </c>
      <c r="AG174" s="663">
        <f t="shared" si="579"/>
        <v>0</v>
      </c>
      <c r="AH174" s="663">
        <f t="shared" si="609"/>
        <v>0</v>
      </c>
      <c r="AI174" s="663">
        <f t="shared" si="580"/>
        <v>0</v>
      </c>
      <c r="AJ174" s="664">
        <f t="shared" si="581"/>
        <v>0</v>
      </c>
      <c r="AK174" s="660">
        <f t="shared" si="582"/>
        <v>0</v>
      </c>
      <c r="AL174" s="663">
        <f t="shared" ref="AL174" si="1052">IF(AD174=0,0,Z174+AH174/$J$18*c_Hurdle2.Share_GP)</f>
        <v>0</v>
      </c>
      <c r="AM174" s="663">
        <f t="shared" si="584"/>
        <v>0</v>
      </c>
      <c r="AN174" s="660">
        <f t="shared" si="633"/>
        <v>0</v>
      </c>
      <c r="AO174" s="521"/>
      <c r="AP174" s="663">
        <f t="shared" si="772"/>
        <v>0</v>
      </c>
      <c r="AQ174" s="663">
        <f t="shared" ref="AQ174" si="1053">IF($G174=0,0,-MIN(0,$G174*c_EquityShare.LP))</f>
        <v>0</v>
      </c>
      <c r="AR174" s="663" cm="1">
        <f t="array" ref="AR174">IF($D174=0,0,AP174*(c_Rate.Hurdle3.MO))</f>
        <v>0</v>
      </c>
      <c r="AS174" s="663">
        <f t="shared" si="586"/>
        <v>0</v>
      </c>
      <c r="AT174" s="663">
        <f t="shared" si="613"/>
        <v>0</v>
      </c>
      <c r="AU174" s="663">
        <f t="shared" si="587"/>
        <v>0</v>
      </c>
      <c r="AV174" s="664">
        <f t="shared" si="588"/>
        <v>0</v>
      </c>
      <c r="AW174" s="660">
        <f t="shared" si="614"/>
        <v>0</v>
      </c>
      <c r="AX174" s="663">
        <f t="shared" ref="AX174" si="1054">IF(AP174=0,0,AL174+AT174/$J$19*c_Hurdle3.Share_GP)</f>
        <v>0</v>
      </c>
      <c r="AY174" s="663">
        <f t="shared" si="616"/>
        <v>0</v>
      </c>
      <c r="AZ174" s="660">
        <f t="shared" si="636"/>
        <v>0</v>
      </c>
      <c r="BA174" s="521"/>
      <c r="BB174" s="660">
        <f t="shared" si="590"/>
        <v>0</v>
      </c>
      <c r="BC174" s="660">
        <f t="shared" ref="BC174" si="1055">$AZ174*c_Residual.Share_GP</f>
        <v>0</v>
      </c>
      <c r="BD174" s="651"/>
      <c r="BE174" s="660">
        <f t="shared" si="618"/>
        <v>0</v>
      </c>
      <c r="BF174" s="660">
        <f t="shared" si="618"/>
        <v>0</v>
      </c>
      <c r="BG174" s="660">
        <f t="shared" si="592"/>
        <v>0</v>
      </c>
      <c r="BI174" s="660">
        <v>0</v>
      </c>
      <c r="BJ174" s="660">
        <v>0</v>
      </c>
      <c r="BK174" s="660">
        <v>0</v>
      </c>
      <c r="BL174" s="660">
        <f t="shared" si="619"/>
        <v>0</v>
      </c>
      <c r="BM174" s="660">
        <f t="shared" si="619"/>
        <v>0</v>
      </c>
      <c r="BN174" s="660">
        <f t="shared" si="620"/>
        <v>0</v>
      </c>
      <c r="BO174" s="660">
        <f t="shared" si="620"/>
        <v>0</v>
      </c>
      <c r="BP174" s="660">
        <f t="shared" si="621"/>
        <v>0</v>
      </c>
      <c r="BQ174" s="660">
        <f t="shared" si="621"/>
        <v>0</v>
      </c>
      <c r="BR174" s="660">
        <v>0</v>
      </c>
      <c r="BS174" s="660">
        <v>0</v>
      </c>
      <c r="BT174" s="660">
        <f t="shared" si="593"/>
        <v>0</v>
      </c>
      <c r="BU174" s="660">
        <f t="shared" si="593"/>
        <v>0</v>
      </c>
      <c r="BX174" s="660">
        <v>0</v>
      </c>
      <c r="BY174" s="660">
        <f t="shared" si="622"/>
        <v>0</v>
      </c>
      <c r="BZ174" s="660">
        <f t="shared" si="594"/>
        <v>0</v>
      </c>
      <c r="CA174" s="660">
        <f t="shared" si="595"/>
        <v>0</v>
      </c>
      <c r="CB174" s="660">
        <f t="shared" si="596"/>
        <v>0</v>
      </c>
      <c r="CC174" s="660">
        <f t="shared" si="597"/>
        <v>0</v>
      </c>
      <c r="CD174" s="660">
        <f t="shared" si="623"/>
        <v>0</v>
      </c>
    </row>
    <row r="175" spans="4:82" ht="16" hidden="1" thickTop="1" thickBot="1">
      <c r="D175" s="653"/>
      <c r="E175" s="654"/>
      <c r="F175" s="655" t="str">
        <f t="shared" si="598"/>
        <v/>
      </c>
      <c r="G175" s="656"/>
      <c r="I175" s="658">
        <f t="shared" si="599"/>
        <v>0</v>
      </c>
      <c r="J175" s="658">
        <f t="shared" ref="J175" si="1056">IF($G175=0,0,-MIN(0,G175*c_EquityShare.LP))</f>
        <v>0</v>
      </c>
      <c r="K175" s="658">
        <f t="shared" ref="K175" si="1057">I175*c_Rate.Pref_MO</f>
        <v>0</v>
      </c>
      <c r="L175" s="658">
        <f t="shared" si="573"/>
        <v>0</v>
      </c>
      <c r="M175" s="658">
        <f t="shared" si="602"/>
        <v>0</v>
      </c>
      <c r="N175" s="658">
        <f t="shared" si="626"/>
        <v>0</v>
      </c>
      <c r="O175" s="658" cm="1">
        <f t="array" ref="O175">IF(I175=0,0,IF(G175&lt;0,N175/c_EquityShare.LP*i_EquityShare.GP,L175/c_EquityShare.LP*i_EquityShare.GP))</f>
        <v>0</v>
      </c>
      <c r="P175" s="658">
        <f t="shared" si="603"/>
        <v>0</v>
      </c>
      <c r="Q175" s="658">
        <f t="shared" si="574"/>
        <v>0</v>
      </c>
      <c r="R175" s="521"/>
      <c r="S175" s="660">
        <f t="shared" si="604"/>
        <v>0</v>
      </c>
      <c r="T175" s="663" cm="1">
        <f t="array" ref="T175">IF($G175=0,0,-MIN(0,$G175*c_EquityShare.LP))</f>
        <v>0</v>
      </c>
      <c r="U175" s="663" cm="1">
        <f t="array" ref="U175">IF($D175=0,0,S175*c_Rate.Hurdle1.MO)</f>
        <v>0</v>
      </c>
      <c r="V175" s="660">
        <f t="shared" si="627"/>
        <v>0</v>
      </c>
      <c r="W175" s="660">
        <f t="shared" si="575"/>
        <v>0</v>
      </c>
      <c r="X175" s="663">
        <f t="shared" si="628"/>
        <v>0</v>
      </c>
      <c r="Y175" s="663">
        <f t="shared" si="605"/>
        <v>0</v>
      </c>
      <c r="Z175" s="663">
        <f t="shared" ref="Z175" si="1058">IF(S175=0,0,O175+W175/$J$17*c_Hurdle1.Share_GP)</f>
        <v>0</v>
      </c>
      <c r="AA175" s="663">
        <f t="shared" si="577"/>
        <v>0</v>
      </c>
      <c r="AB175" s="660">
        <f t="shared" si="630"/>
        <v>0</v>
      </c>
      <c r="AC175" s="521"/>
      <c r="AD175" s="663">
        <f t="shared" si="769"/>
        <v>0</v>
      </c>
      <c r="AE175" s="663">
        <f t="shared" ref="AE175" si="1059">IF($G175=0,0,-MIN(0,$G175*c_EquityShare.LP))</f>
        <v>0</v>
      </c>
      <c r="AF175" s="663" cm="1">
        <f t="array" ref="AF175">IF($D175=0,0,AD175*(c_Rate.Hurdle2.MO))</f>
        <v>0</v>
      </c>
      <c r="AG175" s="663">
        <f t="shared" si="579"/>
        <v>0</v>
      </c>
      <c r="AH175" s="663">
        <f t="shared" si="609"/>
        <v>0</v>
      </c>
      <c r="AI175" s="663">
        <f t="shared" si="580"/>
        <v>0</v>
      </c>
      <c r="AJ175" s="664">
        <f t="shared" si="581"/>
        <v>0</v>
      </c>
      <c r="AK175" s="660">
        <f t="shared" si="582"/>
        <v>0</v>
      </c>
      <c r="AL175" s="663">
        <f t="shared" ref="AL175" si="1060">IF(AD175=0,0,Z175+AH175/$J$18*c_Hurdle2.Share_GP)</f>
        <v>0</v>
      </c>
      <c r="AM175" s="663">
        <f t="shared" si="584"/>
        <v>0</v>
      </c>
      <c r="AN175" s="660">
        <f t="shared" si="633"/>
        <v>0</v>
      </c>
      <c r="AO175" s="521"/>
      <c r="AP175" s="663">
        <f t="shared" si="772"/>
        <v>0</v>
      </c>
      <c r="AQ175" s="663">
        <f t="shared" ref="AQ175" si="1061">IF($G175=0,0,-MIN(0,$G175*c_EquityShare.LP))</f>
        <v>0</v>
      </c>
      <c r="AR175" s="663" cm="1">
        <f t="array" ref="AR175">IF($D175=0,0,AP175*(c_Rate.Hurdle3.MO))</f>
        <v>0</v>
      </c>
      <c r="AS175" s="663">
        <f t="shared" si="586"/>
        <v>0</v>
      </c>
      <c r="AT175" s="663">
        <f t="shared" si="613"/>
        <v>0</v>
      </c>
      <c r="AU175" s="663">
        <f t="shared" si="587"/>
        <v>0</v>
      </c>
      <c r="AV175" s="664">
        <f t="shared" si="588"/>
        <v>0</v>
      </c>
      <c r="AW175" s="660">
        <f t="shared" si="614"/>
        <v>0</v>
      </c>
      <c r="AX175" s="663">
        <f t="shared" ref="AX175" si="1062">IF(AP175=0,0,AL175+AT175/$J$19*c_Hurdle3.Share_GP)</f>
        <v>0</v>
      </c>
      <c r="AY175" s="663">
        <f t="shared" si="616"/>
        <v>0</v>
      </c>
      <c r="AZ175" s="660">
        <f t="shared" si="636"/>
        <v>0</v>
      </c>
      <c r="BA175" s="521"/>
      <c r="BB175" s="660">
        <f t="shared" si="590"/>
        <v>0</v>
      </c>
      <c r="BC175" s="660">
        <f t="shared" ref="BC175" si="1063">$AZ175*c_Residual.Share_GP</f>
        <v>0</v>
      </c>
      <c r="BD175" s="651"/>
      <c r="BE175" s="660">
        <f t="shared" si="618"/>
        <v>0</v>
      </c>
      <c r="BF175" s="660">
        <f t="shared" si="618"/>
        <v>0</v>
      </c>
      <c r="BG175" s="660">
        <f t="shared" si="592"/>
        <v>0</v>
      </c>
      <c r="BI175" s="660">
        <v>0</v>
      </c>
      <c r="BJ175" s="660">
        <v>0</v>
      </c>
      <c r="BK175" s="660">
        <v>0</v>
      </c>
      <c r="BL175" s="660">
        <f t="shared" si="619"/>
        <v>0</v>
      </c>
      <c r="BM175" s="660">
        <f t="shared" si="619"/>
        <v>0</v>
      </c>
      <c r="BN175" s="660">
        <f t="shared" si="620"/>
        <v>0</v>
      </c>
      <c r="BO175" s="660">
        <f t="shared" si="620"/>
        <v>0</v>
      </c>
      <c r="BP175" s="660">
        <f t="shared" si="621"/>
        <v>0</v>
      </c>
      <c r="BQ175" s="660">
        <f t="shared" si="621"/>
        <v>0</v>
      </c>
      <c r="BR175" s="660">
        <v>0</v>
      </c>
      <c r="BS175" s="660">
        <v>0</v>
      </c>
      <c r="BT175" s="660">
        <f t="shared" si="593"/>
        <v>0</v>
      </c>
      <c r="BU175" s="660">
        <f t="shared" si="593"/>
        <v>0</v>
      </c>
      <c r="BX175" s="660">
        <v>0</v>
      </c>
      <c r="BY175" s="660">
        <f t="shared" si="622"/>
        <v>0</v>
      </c>
      <c r="BZ175" s="660">
        <f t="shared" si="594"/>
        <v>0</v>
      </c>
      <c r="CA175" s="660">
        <f t="shared" si="595"/>
        <v>0</v>
      </c>
      <c r="CB175" s="660">
        <f t="shared" si="596"/>
        <v>0</v>
      </c>
      <c r="CC175" s="660">
        <f t="shared" si="597"/>
        <v>0</v>
      </c>
      <c r="CD175" s="660">
        <f t="shared" si="623"/>
        <v>0</v>
      </c>
    </row>
    <row r="176" spans="4:82" ht="16" hidden="1" thickTop="1" thickBot="1">
      <c r="D176" s="653"/>
      <c r="E176" s="654"/>
      <c r="F176" s="655" t="str">
        <f t="shared" si="598"/>
        <v/>
      </c>
      <c r="G176" s="656"/>
      <c r="I176" s="658">
        <f t="shared" si="599"/>
        <v>0</v>
      </c>
      <c r="J176" s="658">
        <f t="shared" ref="J176" si="1064">IF($G176=0,0,-MIN(0,G176*c_EquityShare.LP))</f>
        <v>0</v>
      </c>
      <c r="K176" s="658">
        <f t="shared" ref="K176" si="1065">I176*c_Rate.Pref_MO</f>
        <v>0</v>
      </c>
      <c r="L176" s="658">
        <f t="shared" si="573"/>
        <v>0</v>
      </c>
      <c r="M176" s="658">
        <f t="shared" si="602"/>
        <v>0</v>
      </c>
      <c r="N176" s="658">
        <f t="shared" si="626"/>
        <v>0</v>
      </c>
      <c r="O176" s="658" cm="1">
        <f t="array" ref="O176">IF(I176=0,0,IF(G176&lt;0,N176/c_EquityShare.LP*i_EquityShare.GP,L176/c_EquityShare.LP*i_EquityShare.GP))</f>
        <v>0</v>
      </c>
      <c r="P176" s="658">
        <f t="shared" si="603"/>
        <v>0</v>
      </c>
      <c r="Q176" s="658">
        <f t="shared" si="574"/>
        <v>0</v>
      </c>
      <c r="R176" s="521"/>
      <c r="S176" s="660">
        <f t="shared" si="604"/>
        <v>0</v>
      </c>
      <c r="T176" s="663" cm="1">
        <f t="array" ref="T176">IF($G176=0,0,-MIN(0,$G176*c_EquityShare.LP))</f>
        <v>0</v>
      </c>
      <c r="U176" s="663" cm="1">
        <f t="array" ref="U176">IF($D176=0,0,S176*c_Rate.Hurdle1.MO)</f>
        <v>0</v>
      </c>
      <c r="V176" s="660">
        <f t="shared" si="627"/>
        <v>0</v>
      </c>
      <c r="W176" s="660">
        <f t="shared" si="575"/>
        <v>0</v>
      </c>
      <c r="X176" s="663">
        <f t="shared" si="628"/>
        <v>0</v>
      </c>
      <c r="Y176" s="663">
        <f t="shared" si="605"/>
        <v>0</v>
      </c>
      <c r="Z176" s="663">
        <f t="shared" ref="Z176" si="1066">IF(S176=0,0,O176+W176/$J$17*c_Hurdle1.Share_GP)</f>
        <v>0</v>
      </c>
      <c r="AA176" s="663">
        <f t="shared" si="577"/>
        <v>0</v>
      </c>
      <c r="AB176" s="660">
        <f t="shared" si="630"/>
        <v>0</v>
      </c>
      <c r="AC176" s="521"/>
      <c r="AD176" s="663">
        <f t="shared" si="769"/>
        <v>0</v>
      </c>
      <c r="AE176" s="663">
        <f t="shared" ref="AE176" si="1067">IF($G176=0,0,-MIN(0,$G176*c_EquityShare.LP))</f>
        <v>0</v>
      </c>
      <c r="AF176" s="663" cm="1">
        <f t="array" ref="AF176">IF($D176=0,0,AD176*(c_Rate.Hurdle2.MO))</f>
        <v>0</v>
      </c>
      <c r="AG176" s="663">
        <f t="shared" si="579"/>
        <v>0</v>
      </c>
      <c r="AH176" s="663">
        <f t="shared" si="609"/>
        <v>0</v>
      </c>
      <c r="AI176" s="663">
        <f t="shared" si="580"/>
        <v>0</v>
      </c>
      <c r="AJ176" s="664">
        <f t="shared" si="581"/>
        <v>0</v>
      </c>
      <c r="AK176" s="660">
        <f t="shared" si="582"/>
        <v>0</v>
      </c>
      <c r="AL176" s="663">
        <f t="shared" ref="AL176" si="1068">IF(AD176=0,0,Z176+AH176/$J$18*c_Hurdle2.Share_GP)</f>
        <v>0</v>
      </c>
      <c r="AM176" s="663">
        <f t="shared" si="584"/>
        <v>0</v>
      </c>
      <c r="AN176" s="660">
        <f t="shared" si="633"/>
        <v>0</v>
      </c>
      <c r="AO176" s="521"/>
      <c r="AP176" s="663">
        <f t="shared" si="772"/>
        <v>0</v>
      </c>
      <c r="AQ176" s="663">
        <f t="shared" ref="AQ176" si="1069">IF($G176=0,0,-MIN(0,$G176*c_EquityShare.LP))</f>
        <v>0</v>
      </c>
      <c r="AR176" s="663" cm="1">
        <f t="array" ref="AR176">IF($D176=0,0,AP176*(c_Rate.Hurdle3.MO))</f>
        <v>0</v>
      </c>
      <c r="AS176" s="663">
        <f t="shared" si="586"/>
        <v>0</v>
      </c>
      <c r="AT176" s="663">
        <f t="shared" si="613"/>
        <v>0</v>
      </c>
      <c r="AU176" s="663">
        <f t="shared" si="587"/>
        <v>0</v>
      </c>
      <c r="AV176" s="664">
        <f t="shared" si="588"/>
        <v>0</v>
      </c>
      <c r="AW176" s="660">
        <f t="shared" si="614"/>
        <v>0</v>
      </c>
      <c r="AX176" s="663">
        <f t="shared" ref="AX176" si="1070">IF(AP176=0,0,AL176+AT176/$J$19*c_Hurdle3.Share_GP)</f>
        <v>0</v>
      </c>
      <c r="AY176" s="663">
        <f t="shared" si="616"/>
        <v>0</v>
      </c>
      <c r="AZ176" s="660">
        <f t="shared" si="636"/>
        <v>0</v>
      </c>
      <c r="BA176" s="521"/>
      <c r="BB176" s="660">
        <f t="shared" si="590"/>
        <v>0</v>
      </c>
      <c r="BC176" s="660">
        <f t="shared" ref="BC176" si="1071">$AZ176*c_Residual.Share_GP</f>
        <v>0</v>
      </c>
      <c r="BD176" s="651"/>
      <c r="BE176" s="660">
        <f t="shared" si="618"/>
        <v>0</v>
      </c>
      <c r="BF176" s="660">
        <f t="shared" si="618"/>
        <v>0</v>
      </c>
      <c r="BG176" s="660">
        <f t="shared" si="592"/>
        <v>0</v>
      </c>
      <c r="BI176" s="660">
        <v>0</v>
      </c>
      <c r="BJ176" s="660">
        <v>0</v>
      </c>
      <c r="BK176" s="660">
        <v>0</v>
      </c>
      <c r="BL176" s="660">
        <f t="shared" si="619"/>
        <v>0</v>
      </c>
      <c r="BM176" s="660">
        <f t="shared" si="619"/>
        <v>0</v>
      </c>
      <c r="BN176" s="660">
        <f t="shared" si="620"/>
        <v>0</v>
      </c>
      <c r="BO176" s="660">
        <f t="shared" si="620"/>
        <v>0</v>
      </c>
      <c r="BP176" s="660">
        <f t="shared" si="621"/>
        <v>0</v>
      </c>
      <c r="BQ176" s="660">
        <f t="shared" si="621"/>
        <v>0</v>
      </c>
      <c r="BR176" s="660">
        <v>0</v>
      </c>
      <c r="BS176" s="660">
        <v>0</v>
      </c>
      <c r="BT176" s="660">
        <f t="shared" si="593"/>
        <v>0</v>
      </c>
      <c r="BU176" s="660">
        <f t="shared" si="593"/>
        <v>0</v>
      </c>
      <c r="BX176" s="660">
        <v>0</v>
      </c>
      <c r="BY176" s="660">
        <f t="shared" si="622"/>
        <v>0</v>
      </c>
      <c r="BZ176" s="660">
        <f t="shared" si="594"/>
        <v>0</v>
      </c>
      <c r="CA176" s="660">
        <f t="shared" si="595"/>
        <v>0</v>
      </c>
      <c r="CB176" s="660">
        <f t="shared" si="596"/>
        <v>0</v>
      </c>
      <c r="CC176" s="660">
        <f t="shared" si="597"/>
        <v>0</v>
      </c>
      <c r="CD176" s="660">
        <f t="shared" si="623"/>
        <v>0</v>
      </c>
    </row>
    <row r="177" spans="4:82" ht="16" hidden="1" thickTop="1" thickBot="1">
      <c r="D177" s="653"/>
      <c r="E177" s="654"/>
      <c r="F177" s="655" t="str">
        <f t="shared" si="598"/>
        <v/>
      </c>
      <c r="G177" s="656"/>
      <c r="I177" s="658">
        <f t="shared" si="599"/>
        <v>0</v>
      </c>
      <c r="J177" s="658">
        <f t="shared" ref="J177" si="1072">IF($G177=0,0,-MIN(0,G177*c_EquityShare.LP))</f>
        <v>0</v>
      </c>
      <c r="K177" s="658">
        <f t="shared" ref="K177" si="1073">I177*c_Rate.Pref_MO</f>
        <v>0</v>
      </c>
      <c r="L177" s="658">
        <f t="shared" si="573"/>
        <v>0</v>
      </c>
      <c r="M177" s="658">
        <f t="shared" si="602"/>
        <v>0</v>
      </c>
      <c r="N177" s="658">
        <f t="shared" si="626"/>
        <v>0</v>
      </c>
      <c r="O177" s="658" cm="1">
        <f t="array" ref="O177">IF(I177=0,0,IF(G177&lt;0,N177/c_EquityShare.LP*i_EquityShare.GP,L177/c_EquityShare.LP*i_EquityShare.GP))</f>
        <v>0</v>
      </c>
      <c r="P177" s="658">
        <f t="shared" si="603"/>
        <v>0</v>
      </c>
      <c r="Q177" s="658">
        <f t="shared" si="574"/>
        <v>0</v>
      </c>
      <c r="R177" s="521"/>
      <c r="S177" s="660">
        <f t="shared" si="604"/>
        <v>0</v>
      </c>
      <c r="T177" s="663" cm="1">
        <f t="array" ref="T177">IF($G177=0,0,-MIN(0,$G177*c_EquityShare.LP))</f>
        <v>0</v>
      </c>
      <c r="U177" s="663" cm="1">
        <f t="array" ref="U177">IF($D177=0,0,S177*c_Rate.Hurdle1.MO)</f>
        <v>0</v>
      </c>
      <c r="V177" s="660">
        <f t="shared" si="627"/>
        <v>0</v>
      </c>
      <c r="W177" s="660">
        <f t="shared" si="575"/>
        <v>0</v>
      </c>
      <c r="X177" s="663">
        <f t="shared" si="628"/>
        <v>0</v>
      </c>
      <c r="Y177" s="663">
        <f t="shared" si="605"/>
        <v>0</v>
      </c>
      <c r="Z177" s="663">
        <f t="shared" ref="Z177" si="1074">IF(S177=0,0,O177+W177/$J$17*c_Hurdle1.Share_GP)</f>
        <v>0</v>
      </c>
      <c r="AA177" s="663">
        <f t="shared" si="577"/>
        <v>0</v>
      </c>
      <c r="AB177" s="660">
        <f t="shared" si="630"/>
        <v>0</v>
      </c>
      <c r="AC177" s="521"/>
      <c r="AD177" s="663">
        <f t="shared" si="769"/>
        <v>0</v>
      </c>
      <c r="AE177" s="663">
        <f t="shared" ref="AE177" si="1075">IF($G177=0,0,-MIN(0,$G177*c_EquityShare.LP))</f>
        <v>0</v>
      </c>
      <c r="AF177" s="663" cm="1">
        <f t="array" ref="AF177">IF($D177=0,0,AD177*(c_Rate.Hurdle2.MO))</f>
        <v>0</v>
      </c>
      <c r="AG177" s="663">
        <f t="shared" si="579"/>
        <v>0</v>
      </c>
      <c r="AH177" s="663">
        <f t="shared" si="609"/>
        <v>0</v>
      </c>
      <c r="AI177" s="663">
        <f t="shared" si="580"/>
        <v>0</v>
      </c>
      <c r="AJ177" s="664">
        <f t="shared" si="581"/>
        <v>0</v>
      </c>
      <c r="AK177" s="660">
        <f t="shared" si="582"/>
        <v>0</v>
      </c>
      <c r="AL177" s="663">
        <f t="shared" ref="AL177" si="1076">IF(AD177=0,0,Z177+AH177/$J$18*c_Hurdle2.Share_GP)</f>
        <v>0</v>
      </c>
      <c r="AM177" s="663">
        <f t="shared" si="584"/>
        <v>0</v>
      </c>
      <c r="AN177" s="660">
        <f t="shared" si="633"/>
        <v>0</v>
      </c>
      <c r="AO177" s="521"/>
      <c r="AP177" s="663">
        <f t="shared" si="772"/>
        <v>0</v>
      </c>
      <c r="AQ177" s="663">
        <f t="shared" ref="AQ177" si="1077">IF($G177=0,0,-MIN(0,$G177*c_EquityShare.LP))</f>
        <v>0</v>
      </c>
      <c r="AR177" s="663" cm="1">
        <f t="array" ref="AR177">IF($D177=0,0,AP177*(c_Rate.Hurdle3.MO))</f>
        <v>0</v>
      </c>
      <c r="AS177" s="663">
        <f t="shared" si="586"/>
        <v>0</v>
      </c>
      <c r="AT177" s="663">
        <f t="shared" si="613"/>
        <v>0</v>
      </c>
      <c r="AU177" s="663">
        <f t="shared" si="587"/>
        <v>0</v>
      </c>
      <c r="AV177" s="664">
        <f t="shared" si="588"/>
        <v>0</v>
      </c>
      <c r="AW177" s="660">
        <f t="shared" si="614"/>
        <v>0</v>
      </c>
      <c r="AX177" s="663">
        <f t="shared" ref="AX177" si="1078">IF(AP177=0,0,AL177+AT177/$J$19*c_Hurdle3.Share_GP)</f>
        <v>0</v>
      </c>
      <c r="AY177" s="663">
        <f t="shared" si="616"/>
        <v>0</v>
      </c>
      <c r="AZ177" s="660">
        <f t="shared" si="636"/>
        <v>0</v>
      </c>
      <c r="BA177" s="521"/>
      <c r="BB177" s="660">
        <f t="shared" si="590"/>
        <v>0</v>
      </c>
      <c r="BC177" s="660">
        <f t="shared" ref="BC177" si="1079">$AZ177*c_Residual.Share_GP</f>
        <v>0</v>
      </c>
      <c r="BD177" s="651"/>
      <c r="BE177" s="660">
        <f t="shared" si="618"/>
        <v>0</v>
      </c>
      <c r="BF177" s="660">
        <f t="shared" si="618"/>
        <v>0</v>
      </c>
      <c r="BG177" s="660">
        <f t="shared" si="592"/>
        <v>0</v>
      </c>
      <c r="BI177" s="660">
        <v>0</v>
      </c>
      <c r="BJ177" s="660">
        <v>0</v>
      </c>
      <c r="BK177" s="660">
        <v>0</v>
      </c>
      <c r="BL177" s="660">
        <f t="shared" si="619"/>
        <v>0</v>
      </c>
      <c r="BM177" s="660">
        <f t="shared" si="619"/>
        <v>0</v>
      </c>
      <c r="BN177" s="660">
        <f t="shared" si="620"/>
        <v>0</v>
      </c>
      <c r="BO177" s="660">
        <f t="shared" si="620"/>
        <v>0</v>
      </c>
      <c r="BP177" s="660">
        <f t="shared" si="621"/>
        <v>0</v>
      </c>
      <c r="BQ177" s="660">
        <f t="shared" si="621"/>
        <v>0</v>
      </c>
      <c r="BR177" s="660">
        <v>0</v>
      </c>
      <c r="BS177" s="660">
        <v>0</v>
      </c>
      <c r="BT177" s="660">
        <f t="shared" si="593"/>
        <v>0</v>
      </c>
      <c r="BU177" s="660">
        <f t="shared" si="593"/>
        <v>0</v>
      </c>
      <c r="BX177" s="660">
        <v>0</v>
      </c>
      <c r="BY177" s="660">
        <f t="shared" si="622"/>
        <v>0</v>
      </c>
      <c r="BZ177" s="660">
        <f t="shared" si="594"/>
        <v>0</v>
      </c>
      <c r="CA177" s="660">
        <f t="shared" si="595"/>
        <v>0</v>
      </c>
      <c r="CB177" s="660">
        <f t="shared" si="596"/>
        <v>0</v>
      </c>
      <c r="CC177" s="660">
        <f t="shared" si="597"/>
        <v>0</v>
      </c>
      <c r="CD177" s="660">
        <f t="shared" si="623"/>
        <v>0</v>
      </c>
    </row>
    <row r="178" spans="4:82" ht="16" hidden="1" thickTop="1" thickBot="1">
      <c r="D178" s="653"/>
      <c r="E178" s="654"/>
      <c r="F178" s="655" t="str">
        <f t="shared" si="598"/>
        <v/>
      </c>
      <c r="G178" s="656"/>
      <c r="I178" s="658">
        <f t="shared" si="599"/>
        <v>0</v>
      </c>
      <c r="J178" s="658">
        <f t="shared" ref="J178" si="1080">IF($G178=0,0,-MIN(0,G178*c_EquityShare.LP))</f>
        <v>0</v>
      </c>
      <c r="K178" s="658">
        <f t="shared" ref="K178" si="1081">I178*c_Rate.Pref_MO</f>
        <v>0</v>
      </c>
      <c r="L178" s="658">
        <f t="shared" si="573"/>
        <v>0</v>
      </c>
      <c r="M178" s="658">
        <f t="shared" si="602"/>
        <v>0</v>
      </c>
      <c r="N178" s="658">
        <f t="shared" si="626"/>
        <v>0</v>
      </c>
      <c r="O178" s="658" cm="1">
        <f t="array" ref="O178">IF(I178=0,0,IF(G178&lt;0,N178/c_EquityShare.LP*i_EquityShare.GP,L178/c_EquityShare.LP*i_EquityShare.GP))</f>
        <v>0</v>
      </c>
      <c r="P178" s="658">
        <f t="shared" si="603"/>
        <v>0</v>
      </c>
      <c r="Q178" s="658">
        <f t="shared" si="574"/>
        <v>0</v>
      </c>
      <c r="R178" s="521"/>
      <c r="S178" s="660">
        <f t="shared" si="604"/>
        <v>0</v>
      </c>
      <c r="T178" s="663" cm="1">
        <f t="array" ref="T178">IF($G178=0,0,-MIN(0,$G178*c_EquityShare.LP))</f>
        <v>0</v>
      </c>
      <c r="U178" s="663" cm="1">
        <f t="array" ref="U178">IF($D178=0,0,S178*c_Rate.Hurdle1.MO)</f>
        <v>0</v>
      </c>
      <c r="V178" s="660">
        <f t="shared" si="627"/>
        <v>0</v>
      </c>
      <c r="W178" s="660">
        <f t="shared" si="575"/>
        <v>0</v>
      </c>
      <c r="X178" s="663">
        <f t="shared" si="628"/>
        <v>0</v>
      </c>
      <c r="Y178" s="663">
        <f t="shared" si="605"/>
        <v>0</v>
      </c>
      <c r="Z178" s="663">
        <f t="shared" ref="Z178" si="1082">IF(S178=0,0,O178+W178/$J$17*c_Hurdle1.Share_GP)</f>
        <v>0</v>
      </c>
      <c r="AA178" s="663">
        <f t="shared" si="577"/>
        <v>0</v>
      </c>
      <c r="AB178" s="660">
        <f t="shared" si="630"/>
        <v>0</v>
      </c>
      <c r="AC178" s="521"/>
      <c r="AD178" s="663">
        <f t="shared" si="769"/>
        <v>0</v>
      </c>
      <c r="AE178" s="663">
        <f t="shared" ref="AE178" si="1083">IF($G178=0,0,-MIN(0,$G178*c_EquityShare.LP))</f>
        <v>0</v>
      </c>
      <c r="AF178" s="663" cm="1">
        <f t="array" ref="AF178">IF($D178=0,0,AD178*(c_Rate.Hurdle2.MO))</f>
        <v>0</v>
      </c>
      <c r="AG178" s="663">
        <f t="shared" si="579"/>
        <v>0</v>
      </c>
      <c r="AH178" s="663">
        <f t="shared" si="609"/>
        <v>0</v>
      </c>
      <c r="AI178" s="663">
        <f t="shared" si="580"/>
        <v>0</v>
      </c>
      <c r="AJ178" s="664">
        <f t="shared" si="581"/>
        <v>0</v>
      </c>
      <c r="AK178" s="660">
        <f t="shared" si="582"/>
        <v>0</v>
      </c>
      <c r="AL178" s="663">
        <f t="shared" ref="AL178" si="1084">IF(AD178=0,0,Z178+AH178/$J$18*c_Hurdle2.Share_GP)</f>
        <v>0</v>
      </c>
      <c r="AM178" s="663">
        <f t="shared" si="584"/>
        <v>0</v>
      </c>
      <c r="AN178" s="660">
        <f t="shared" si="633"/>
        <v>0</v>
      </c>
      <c r="AO178" s="521"/>
      <c r="AP178" s="663">
        <f t="shared" si="772"/>
        <v>0</v>
      </c>
      <c r="AQ178" s="663">
        <f t="shared" ref="AQ178" si="1085">IF($G178=0,0,-MIN(0,$G178*c_EquityShare.LP))</f>
        <v>0</v>
      </c>
      <c r="AR178" s="663" cm="1">
        <f t="array" ref="AR178">IF($D178=0,0,AP178*(c_Rate.Hurdle3.MO))</f>
        <v>0</v>
      </c>
      <c r="AS178" s="663">
        <f t="shared" si="586"/>
        <v>0</v>
      </c>
      <c r="AT178" s="663">
        <f t="shared" si="613"/>
        <v>0</v>
      </c>
      <c r="AU178" s="663">
        <f t="shared" si="587"/>
        <v>0</v>
      </c>
      <c r="AV178" s="664">
        <f t="shared" si="588"/>
        <v>0</v>
      </c>
      <c r="AW178" s="660">
        <f t="shared" si="614"/>
        <v>0</v>
      </c>
      <c r="AX178" s="663">
        <f t="shared" ref="AX178" si="1086">IF(AP178=0,0,AL178+AT178/$J$19*c_Hurdle3.Share_GP)</f>
        <v>0</v>
      </c>
      <c r="AY178" s="663">
        <f t="shared" si="616"/>
        <v>0</v>
      </c>
      <c r="AZ178" s="660">
        <f t="shared" si="636"/>
        <v>0</v>
      </c>
      <c r="BA178" s="521"/>
      <c r="BB178" s="660">
        <f t="shared" si="590"/>
        <v>0</v>
      </c>
      <c r="BC178" s="660">
        <f t="shared" ref="BC178" si="1087">$AZ178*c_Residual.Share_GP</f>
        <v>0</v>
      </c>
      <c r="BD178" s="651"/>
      <c r="BE178" s="660">
        <f t="shared" si="618"/>
        <v>0</v>
      </c>
      <c r="BF178" s="660">
        <f t="shared" si="618"/>
        <v>0</v>
      </c>
      <c r="BG178" s="660">
        <f t="shared" si="592"/>
        <v>0</v>
      </c>
      <c r="BI178" s="660">
        <v>0</v>
      </c>
      <c r="BJ178" s="660">
        <v>0</v>
      </c>
      <c r="BK178" s="660">
        <v>0</v>
      </c>
      <c r="BL178" s="660">
        <f t="shared" si="619"/>
        <v>0</v>
      </c>
      <c r="BM178" s="660">
        <f t="shared" si="619"/>
        <v>0</v>
      </c>
      <c r="BN178" s="660">
        <f t="shared" si="620"/>
        <v>0</v>
      </c>
      <c r="BO178" s="660">
        <f t="shared" si="620"/>
        <v>0</v>
      </c>
      <c r="BP178" s="660">
        <f t="shared" si="621"/>
        <v>0</v>
      </c>
      <c r="BQ178" s="660">
        <f t="shared" si="621"/>
        <v>0</v>
      </c>
      <c r="BR178" s="660">
        <v>0</v>
      </c>
      <c r="BS178" s="660">
        <v>0</v>
      </c>
      <c r="BT178" s="660">
        <f t="shared" si="593"/>
        <v>0</v>
      </c>
      <c r="BU178" s="660">
        <f t="shared" si="593"/>
        <v>0</v>
      </c>
      <c r="BX178" s="660">
        <v>0</v>
      </c>
      <c r="BY178" s="660">
        <f t="shared" si="622"/>
        <v>0</v>
      </c>
      <c r="BZ178" s="660">
        <f t="shared" si="594"/>
        <v>0</v>
      </c>
      <c r="CA178" s="660">
        <f t="shared" si="595"/>
        <v>0</v>
      </c>
      <c r="CB178" s="660">
        <f t="shared" si="596"/>
        <v>0</v>
      </c>
      <c r="CC178" s="660">
        <f t="shared" si="597"/>
        <v>0</v>
      </c>
      <c r="CD178" s="660">
        <f t="shared" si="623"/>
        <v>0</v>
      </c>
    </row>
    <row r="179" spans="4:82" ht="16" hidden="1" thickTop="1" thickBot="1">
      <c r="D179" s="653"/>
      <c r="E179" s="654"/>
      <c r="F179" s="655" t="str">
        <f t="shared" si="598"/>
        <v/>
      </c>
      <c r="G179" s="656"/>
      <c r="I179" s="658">
        <f t="shared" si="599"/>
        <v>0</v>
      </c>
      <c r="J179" s="658">
        <f t="shared" ref="J179" si="1088">IF($G179=0,0,-MIN(0,G179*c_EquityShare.LP))</f>
        <v>0</v>
      </c>
      <c r="K179" s="658">
        <f t="shared" ref="K179" si="1089">I179*c_Rate.Pref_MO</f>
        <v>0</v>
      </c>
      <c r="L179" s="658">
        <f t="shared" si="573"/>
        <v>0</v>
      </c>
      <c r="M179" s="658">
        <f t="shared" si="602"/>
        <v>0</v>
      </c>
      <c r="N179" s="658">
        <f t="shared" si="626"/>
        <v>0</v>
      </c>
      <c r="O179" s="658" cm="1">
        <f t="array" ref="O179">IF(I179=0,0,IF(G179&lt;0,N179/c_EquityShare.LP*i_EquityShare.GP,L179/c_EquityShare.LP*i_EquityShare.GP))</f>
        <v>0</v>
      </c>
      <c r="P179" s="658">
        <f t="shared" si="603"/>
        <v>0</v>
      </c>
      <c r="Q179" s="658">
        <f t="shared" si="574"/>
        <v>0</v>
      </c>
      <c r="R179" s="521"/>
      <c r="S179" s="660">
        <f t="shared" si="604"/>
        <v>0</v>
      </c>
      <c r="T179" s="663" cm="1">
        <f t="array" ref="T179">IF($G179=0,0,-MIN(0,$G179*c_EquityShare.LP))</f>
        <v>0</v>
      </c>
      <c r="U179" s="663" cm="1">
        <f t="array" ref="U179">IF($D179=0,0,S179*c_Rate.Hurdle1.MO)</f>
        <v>0</v>
      </c>
      <c r="V179" s="660">
        <f t="shared" si="627"/>
        <v>0</v>
      </c>
      <c r="W179" s="660">
        <f t="shared" si="575"/>
        <v>0</v>
      </c>
      <c r="X179" s="663">
        <f t="shared" si="628"/>
        <v>0</v>
      </c>
      <c r="Y179" s="663">
        <f t="shared" si="605"/>
        <v>0</v>
      </c>
      <c r="Z179" s="663">
        <f t="shared" ref="Z179" si="1090">IF(S179=0,0,O179+W179/$J$17*c_Hurdle1.Share_GP)</f>
        <v>0</v>
      </c>
      <c r="AA179" s="663">
        <f t="shared" si="577"/>
        <v>0</v>
      </c>
      <c r="AB179" s="660">
        <f t="shared" si="630"/>
        <v>0</v>
      </c>
      <c r="AC179" s="521"/>
      <c r="AD179" s="663">
        <f t="shared" si="769"/>
        <v>0</v>
      </c>
      <c r="AE179" s="663">
        <f t="shared" ref="AE179" si="1091">IF($G179=0,0,-MIN(0,$G179*c_EquityShare.LP))</f>
        <v>0</v>
      </c>
      <c r="AF179" s="663" cm="1">
        <f t="array" ref="AF179">IF($D179=0,0,AD179*(c_Rate.Hurdle2.MO))</f>
        <v>0</v>
      </c>
      <c r="AG179" s="663">
        <f t="shared" si="579"/>
        <v>0</v>
      </c>
      <c r="AH179" s="663">
        <f t="shared" si="609"/>
        <v>0</v>
      </c>
      <c r="AI179" s="663">
        <f t="shared" si="580"/>
        <v>0</v>
      </c>
      <c r="AJ179" s="664">
        <f t="shared" si="581"/>
        <v>0</v>
      </c>
      <c r="AK179" s="660">
        <f t="shared" si="582"/>
        <v>0</v>
      </c>
      <c r="AL179" s="663">
        <f t="shared" ref="AL179" si="1092">IF(AD179=0,0,Z179+AH179/$J$18*c_Hurdle2.Share_GP)</f>
        <v>0</v>
      </c>
      <c r="AM179" s="663">
        <f t="shared" si="584"/>
        <v>0</v>
      </c>
      <c r="AN179" s="660">
        <f t="shared" si="633"/>
        <v>0</v>
      </c>
      <c r="AO179" s="521"/>
      <c r="AP179" s="663">
        <f t="shared" si="772"/>
        <v>0</v>
      </c>
      <c r="AQ179" s="663">
        <f t="shared" ref="AQ179" si="1093">IF($G179=0,0,-MIN(0,$G179*c_EquityShare.LP))</f>
        <v>0</v>
      </c>
      <c r="AR179" s="663" cm="1">
        <f t="array" ref="AR179">IF($D179=0,0,AP179*(c_Rate.Hurdle3.MO))</f>
        <v>0</v>
      </c>
      <c r="AS179" s="663">
        <f t="shared" si="586"/>
        <v>0</v>
      </c>
      <c r="AT179" s="663">
        <f t="shared" si="613"/>
        <v>0</v>
      </c>
      <c r="AU179" s="663">
        <f t="shared" si="587"/>
        <v>0</v>
      </c>
      <c r="AV179" s="664">
        <f t="shared" si="588"/>
        <v>0</v>
      </c>
      <c r="AW179" s="660">
        <f t="shared" si="614"/>
        <v>0</v>
      </c>
      <c r="AX179" s="663">
        <f t="shared" ref="AX179" si="1094">IF(AP179=0,0,AL179+AT179/$J$19*c_Hurdle3.Share_GP)</f>
        <v>0</v>
      </c>
      <c r="AY179" s="663">
        <f t="shared" si="616"/>
        <v>0</v>
      </c>
      <c r="AZ179" s="660">
        <f t="shared" si="636"/>
        <v>0</v>
      </c>
      <c r="BA179" s="521"/>
      <c r="BB179" s="660">
        <f t="shared" si="590"/>
        <v>0</v>
      </c>
      <c r="BC179" s="660">
        <f t="shared" ref="BC179" si="1095">$AZ179*c_Residual.Share_GP</f>
        <v>0</v>
      </c>
      <c r="BD179" s="651"/>
      <c r="BE179" s="660">
        <f t="shared" si="618"/>
        <v>0</v>
      </c>
      <c r="BF179" s="660">
        <f t="shared" si="618"/>
        <v>0</v>
      </c>
      <c r="BG179" s="660">
        <f t="shared" si="592"/>
        <v>0</v>
      </c>
      <c r="BI179" s="660">
        <v>0</v>
      </c>
      <c r="BJ179" s="660">
        <v>0</v>
      </c>
      <c r="BK179" s="660">
        <v>0</v>
      </c>
      <c r="BL179" s="660">
        <f t="shared" si="619"/>
        <v>0</v>
      </c>
      <c r="BM179" s="660">
        <f t="shared" si="619"/>
        <v>0</v>
      </c>
      <c r="BN179" s="660">
        <f t="shared" si="620"/>
        <v>0</v>
      </c>
      <c r="BO179" s="660">
        <f t="shared" si="620"/>
        <v>0</v>
      </c>
      <c r="BP179" s="660">
        <f t="shared" si="621"/>
        <v>0</v>
      </c>
      <c r="BQ179" s="660">
        <f t="shared" si="621"/>
        <v>0</v>
      </c>
      <c r="BR179" s="660">
        <v>0</v>
      </c>
      <c r="BS179" s="660">
        <v>0</v>
      </c>
      <c r="BT179" s="660">
        <f t="shared" si="593"/>
        <v>0</v>
      </c>
      <c r="BU179" s="660">
        <f t="shared" si="593"/>
        <v>0</v>
      </c>
      <c r="BX179" s="660">
        <v>0</v>
      </c>
      <c r="BY179" s="660">
        <f t="shared" si="622"/>
        <v>0</v>
      </c>
      <c r="BZ179" s="660">
        <f t="shared" si="594"/>
        <v>0</v>
      </c>
      <c r="CA179" s="660">
        <f t="shared" si="595"/>
        <v>0</v>
      </c>
      <c r="CB179" s="660">
        <f t="shared" si="596"/>
        <v>0</v>
      </c>
      <c r="CC179" s="660">
        <f t="shared" si="597"/>
        <v>0</v>
      </c>
      <c r="CD179" s="660">
        <f t="shared" si="623"/>
        <v>0</v>
      </c>
    </row>
    <row r="180" spans="4:82" ht="16" hidden="1" thickTop="1" thickBot="1">
      <c r="D180" s="653"/>
      <c r="E180" s="654"/>
      <c r="F180" s="655" t="str">
        <f t="shared" si="598"/>
        <v/>
      </c>
      <c r="G180" s="656"/>
      <c r="I180" s="658">
        <f t="shared" si="599"/>
        <v>0</v>
      </c>
      <c r="J180" s="658">
        <f t="shared" ref="J180" si="1096">IF($G180=0,0,-MIN(0,G180*c_EquityShare.LP))</f>
        <v>0</v>
      </c>
      <c r="K180" s="658">
        <f t="shared" ref="K180" si="1097">I180*c_Rate.Pref_MO</f>
        <v>0</v>
      </c>
      <c r="L180" s="658">
        <f t="shared" si="573"/>
        <v>0</v>
      </c>
      <c r="M180" s="658">
        <f t="shared" si="602"/>
        <v>0</v>
      </c>
      <c r="N180" s="658">
        <f t="shared" si="626"/>
        <v>0</v>
      </c>
      <c r="O180" s="658" cm="1">
        <f t="array" ref="O180">IF(I180=0,0,IF(G180&lt;0,N180/c_EquityShare.LP*i_EquityShare.GP,L180/c_EquityShare.LP*i_EquityShare.GP))</f>
        <v>0</v>
      </c>
      <c r="P180" s="658">
        <f t="shared" si="603"/>
        <v>0</v>
      </c>
      <c r="Q180" s="658">
        <f t="shared" si="574"/>
        <v>0</v>
      </c>
      <c r="R180" s="521"/>
      <c r="S180" s="660">
        <f t="shared" si="604"/>
        <v>0</v>
      </c>
      <c r="T180" s="663" cm="1">
        <f t="array" ref="T180">IF($G180=0,0,-MIN(0,$G180*c_EquityShare.LP))</f>
        <v>0</v>
      </c>
      <c r="U180" s="663" cm="1">
        <f t="array" ref="U180">IF($D180=0,0,S180*c_Rate.Hurdle1.MO)</f>
        <v>0</v>
      </c>
      <c r="V180" s="660">
        <f t="shared" si="627"/>
        <v>0</v>
      </c>
      <c r="W180" s="660">
        <f t="shared" si="575"/>
        <v>0</v>
      </c>
      <c r="X180" s="663">
        <f t="shared" si="628"/>
        <v>0</v>
      </c>
      <c r="Y180" s="663">
        <f t="shared" si="605"/>
        <v>0</v>
      </c>
      <c r="Z180" s="663">
        <f t="shared" ref="Z180" si="1098">IF(S180=0,0,O180+W180/$J$17*c_Hurdle1.Share_GP)</f>
        <v>0</v>
      </c>
      <c r="AA180" s="663">
        <f t="shared" si="577"/>
        <v>0</v>
      </c>
      <c r="AB180" s="660">
        <f t="shared" si="630"/>
        <v>0</v>
      </c>
      <c r="AC180" s="521"/>
      <c r="AD180" s="663">
        <f t="shared" si="769"/>
        <v>0</v>
      </c>
      <c r="AE180" s="663">
        <f t="shared" ref="AE180" si="1099">IF($G180=0,0,-MIN(0,$G180*c_EquityShare.LP))</f>
        <v>0</v>
      </c>
      <c r="AF180" s="663" cm="1">
        <f t="array" ref="AF180">IF($D180=0,0,AD180*(c_Rate.Hurdle2.MO))</f>
        <v>0</v>
      </c>
      <c r="AG180" s="663">
        <f t="shared" si="579"/>
        <v>0</v>
      </c>
      <c r="AH180" s="663">
        <f t="shared" si="609"/>
        <v>0</v>
      </c>
      <c r="AI180" s="663">
        <f t="shared" si="580"/>
        <v>0</v>
      </c>
      <c r="AJ180" s="664">
        <f t="shared" si="581"/>
        <v>0</v>
      </c>
      <c r="AK180" s="660">
        <f t="shared" si="582"/>
        <v>0</v>
      </c>
      <c r="AL180" s="663">
        <f t="shared" ref="AL180" si="1100">IF(AD180=0,0,Z180+AH180/$J$18*c_Hurdle2.Share_GP)</f>
        <v>0</v>
      </c>
      <c r="AM180" s="663">
        <f t="shared" si="584"/>
        <v>0</v>
      </c>
      <c r="AN180" s="660">
        <f t="shared" si="633"/>
        <v>0</v>
      </c>
      <c r="AO180" s="521"/>
      <c r="AP180" s="663">
        <f t="shared" si="772"/>
        <v>0</v>
      </c>
      <c r="AQ180" s="663">
        <f t="shared" ref="AQ180" si="1101">IF($G180=0,0,-MIN(0,$G180*c_EquityShare.LP))</f>
        <v>0</v>
      </c>
      <c r="AR180" s="663" cm="1">
        <f t="array" ref="AR180">IF($D180=0,0,AP180*(c_Rate.Hurdle3.MO))</f>
        <v>0</v>
      </c>
      <c r="AS180" s="663">
        <f t="shared" si="586"/>
        <v>0</v>
      </c>
      <c r="AT180" s="663">
        <f t="shared" si="613"/>
        <v>0</v>
      </c>
      <c r="AU180" s="663">
        <f t="shared" si="587"/>
        <v>0</v>
      </c>
      <c r="AV180" s="664">
        <f t="shared" si="588"/>
        <v>0</v>
      </c>
      <c r="AW180" s="660">
        <f t="shared" si="614"/>
        <v>0</v>
      </c>
      <c r="AX180" s="663">
        <f t="shared" ref="AX180" si="1102">IF(AP180=0,0,AL180+AT180/$J$19*c_Hurdle3.Share_GP)</f>
        <v>0</v>
      </c>
      <c r="AY180" s="663">
        <f t="shared" si="616"/>
        <v>0</v>
      </c>
      <c r="AZ180" s="660">
        <f t="shared" si="636"/>
        <v>0</v>
      </c>
      <c r="BA180" s="521"/>
      <c r="BB180" s="660">
        <f t="shared" si="590"/>
        <v>0</v>
      </c>
      <c r="BC180" s="660">
        <f t="shared" ref="BC180" si="1103">$AZ180*c_Residual.Share_GP</f>
        <v>0</v>
      </c>
      <c r="BD180" s="651"/>
      <c r="BE180" s="660">
        <f t="shared" si="618"/>
        <v>0</v>
      </c>
      <c r="BF180" s="660">
        <f t="shared" si="618"/>
        <v>0</v>
      </c>
      <c r="BG180" s="660">
        <f t="shared" si="592"/>
        <v>0</v>
      </c>
      <c r="BI180" s="660">
        <v>0</v>
      </c>
      <c r="BJ180" s="660">
        <v>0</v>
      </c>
      <c r="BK180" s="660">
        <v>0</v>
      </c>
      <c r="BL180" s="660">
        <f t="shared" si="619"/>
        <v>0</v>
      </c>
      <c r="BM180" s="660">
        <f t="shared" si="619"/>
        <v>0</v>
      </c>
      <c r="BN180" s="660">
        <f t="shared" si="620"/>
        <v>0</v>
      </c>
      <c r="BO180" s="660">
        <f t="shared" si="620"/>
        <v>0</v>
      </c>
      <c r="BP180" s="660">
        <f t="shared" si="621"/>
        <v>0</v>
      </c>
      <c r="BQ180" s="660">
        <f t="shared" si="621"/>
        <v>0</v>
      </c>
      <c r="BR180" s="660">
        <v>0</v>
      </c>
      <c r="BS180" s="660">
        <v>0</v>
      </c>
      <c r="BT180" s="660">
        <f t="shared" si="593"/>
        <v>0</v>
      </c>
      <c r="BU180" s="660">
        <f t="shared" si="593"/>
        <v>0</v>
      </c>
      <c r="BX180" s="660">
        <v>0</v>
      </c>
      <c r="BY180" s="660">
        <f t="shared" si="622"/>
        <v>0</v>
      </c>
      <c r="BZ180" s="660">
        <f t="shared" si="594"/>
        <v>0</v>
      </c>
      <c r="CA180" s="660">
        <f t="shared" si="595"/>
        <v>0</v>
      </c>
      <c r="CB180" s="660">
        <f t="shared" si="596"/>
        <v>0</v>
      </c>
      <c r="CC180" s="660">
        <f t="shared" si="597"/>
        <v>0</v>
      </c>
      <c r="CD180" s="660">
        <f t="shared" si="623"/>
        <v>0</v>
      </c>
    </row>
    <row r="181" spans="4:82" ht="16" hidden="1" thickTop="1" thickBot="1">
      <c r="D181" s="653"/>
      <c r="E181" s="654"/>
      <c r="F181" s="655" t="str">
        <f t="shared" si="598"/>
        <v/>
      </c>
      <c r="G181" s="656"/>
      <c r="I181" s="658">
        <f t="shared" si="599"/>
        <v>0</v>
      </c>
      <c r="J181" s="658">
        <f t="shared" ref="J181" si="1104">IF($G181=0,0,-MIN(0,G181*c_EquityShare.LP))</f>
        <v>0</v>
      </c>
      <c r="K181" s="658">
        <f t="shared" ref="K181" si="1105">I181*c_Rate.Pref_MO</f>
        <v>0</v>
      </c>
      <c r="L181" s="658">
        <f t="shared" si="573"/>
        <v>0</v>
      </c>
      <c r="M181" s="658">
        <f t="shared" si="602"/>
        <v>0</v>
      </c>
      <c r="N181" s="658">
        <f t="shared" si="626"/>
        <v>0</v>
      </c>
      <c r="O181" s="658" cm="1">
        <f t="array" ref="O181">IF(I181=0,0,IF(G181&lt;0,N181/c_EquityShare.LP*i_EquityShare.GP,L181/c_EquityShare.LP*i_EquityShare.GP))</f>
        <v>0</v>
      </c>
      <c r="P181" s="658">
        <f t="shared" si="603"/>
        <v>0</v>
      </c>
      <c r="Q181" s="658">
        <f t="shared" si="574"/>
        <v>0</v>
      </c>
      <c r="R181" s="521"/>
      <c r="S181" s="660">
        <f t="shared" si="604"/>
        <v>0</v>
      </c>
      <c r="T181" s="663" cm="1">
        <f t="array" ref="T181">IF($G181=0,0,-MIN(0,$G181*c_EquityShare.LP))</f>
        <v>0</v>
      </c>
      <c r="U181" s="663" cm="1">
        <f t="array" ref="U181">IF($D181=0,0,S181*c_Rate.Hurdle1.MO)</f>
        <v>0</v>
      </c>
      <c r="V181" s="660">
        <f t="shared" si="627"/>
        <v>0</v>
      </c>
      <c r="W181" s="660">
        <f t="shared" si="575"/>
        <v>0</v>
      </c>
      <c r="X181" s="663">
        <f t="shared" si="628"/>
        <v>0</v>
      </c>
      <c r="Y181" s="663">
        <f t="shared" si="605"/>
        <v>0</v>
      </c>
      <c r="Z181" s="663">
        <f t="shared" ref="Z181" si="1106">IF(S181=0,0,O181+W181/$J$17*c_Hurdle1.Share_GP)</f>
        <v>0</v>
      </c>
      <c r="AA181" s="663">
        <f t="shared" si="577"/>
        <v>0</v>
      </c>
      <c r="AB181" s="660">
        <f t="shared" si="630"/>
        <v>0</v>
      </c>
      <c r="AC181" s="521"/>
      <c r="AD181" s="663">
        <f t="shared" si="769"/>
        <v>0</v>
      </c>
      <c r="AE181" s="663">
        <f t="shared" ref="AE181" si="1107">IF($G181=0,0,-MIN(0,$G181*c_EquityShare.LP))</f>
        <v>0</v>
      </c>
      <c r="AF181" s="663" cm="1">
        <f t="array" ref="AF181">IF($D181=0,0,AD181*(c_Rate.Hurdle2.MO))</f>
        <v>0</v>
      </c>
      <c r="AG181" s="663">
        <f t="shared" si="579"/>
        <v>0</v>
      </c>
      <c r="AH181" s="663">
        <f t="shared" si="609"/>
        <v>0</v>
      </c>
      <c r="AI181" s="663">
        <f t="shared" si="580"/>
        <v>0</v>
      </c>
      <c r="AJ181" s="664">
        <f t="shared" si="581"/>
        <v>0</v>
      </c>
      <c r="AK181" s="660">
        <f t="shared" si="582"/>
        <v>0</v>
      </c>
      <c r="AL181" s="663">
        <f t="shared" ref="AL181" si="1108">IF(AD181=0,0,Z181+AH181/$J$18*c_Hurdle2.Share_GP)</f>
        <v>0</v>
      </c>
      <c r="AM181" s="663">
        <f t="shared" si="584"/>
        <v>0</v>
      </c>
      <c r="AN181" s="660">
        <f t="shared" si="633"/>
        <v>0</v>
      </c>
      <c r="AO181" s="521"/>
      <c r="AP181" s="663">
        <f t="shared" si="772"/>
        <v>0</v>
      </c>
      <c r="AQ181" s="663">
        <f t="shared" ref="AQ181" si="1109">IF($G181=0,0,-MIN(0,$G181*c_EquityShare.LP))</f>
        <v>0</v>
      </c>
      <c r="AR181" s="663" cm="1">
        <f t="array" ref="AR181">IF($D181=0,0,AP181*(c_Rate.Hurdle3.MO))</f>
        <v>0</v>
      </c>
      <c r="AS181" s="663">
        <f t="shared" si="586"/>
        <v>0</v>
      </c>
      <c r="AT181" s="663">
        <f t="shared" si="613"/>
        <v>0</v>
      </c>
      <c r="AU181" s="663">
        <f t="shared" si="587"/>
        <v>0</v>
      </c>
      <c r="AV181" s="664">
        <f t="shared" si="588"/>
        <v>0</v>
      </c>
      <c r="AW181" s="660">
        <f t="shared" si="614"/>
        <v>0</v>
      </c>
      <c r="AX181" s="663">
        <f t="shared" ref="AX181" si="1110">IF(AP181=0,0,AL181+AT181/$J$19*c_Hurdle3.Share_GP)</f>
        <v>0</v>
      </c>
      <c r="AY181" s="663">
        <f t="shared" si="616"/>
        <v>0</v>
      </c>
      <c r="AZ181" s="660">
        <f t="shared" si="636"/>
        <v>0</v>
      </c>
      <c r="BA181" s="521"/>
      <c r="BB181" s="660">
        <f t="shared" si="590"/>
        <v>0</v>
      </c>
      <c r="BC181" s="660">
        <f t="shared" ref="BC181" si="1111">$AZ181*c_Residual.Share_GP</f>
        <v>0</v>
      </c>
      <c r="BD181" s="651"/>
      <c r="BE181" s="660">
        <f t="shared" si="618"/>
        <v>0</v>
      </c>
      <c r="BF181" s="660">
        <f t="shared" si="618"/>
        <v>0</v>
      </c>
      <c r="BG181" s="660">
        <f t="shared" si="592"/>
        <v>0</v>
      </c>
      <c r="BI181" s="660">
        <v>0</v>
      </c>
      <c r="BJ181" s="660">
        <v>0</v>
      </c>
      <c r="BK181" s="660">
        <v>0</v>
      </c>
      <c r="BL181" s="660">
        <f t="shared" si="619"/>
        <v>0</v>
      </c>
      <c r="BM181" s="660">
        <f t="shared" si="619"/>
        <v>0</v>
      </c>
      <c r="BN181" s="660">
        <f t="shared" si="620"/>
        <v>0</v>
      </c>
      <c r="BO181" s="660">
        <f t="shared" si="620"/>
        <v>0</v>
      </c>
      <c r="BP181" s="660">
        <f t="shared" si="621"/>
        <v>0</v>
      </c>
      <c r="BQ181" s="660">
        <f t="shared" si="621"/>
        <v>0</v>
      </c>
      <c r="BR181" s="660">
        <v>0</v>
      </c>
      <c r="BS181" s="660">
        <v>0</v>
      </c>
      <c r="BT181" s="660">
        <f t="shared" si="593"/>
        <v>0</v>
      </c>
      <c r="BU181" s="660">
        <f t="shared" si="593"/>
        <v>0</v>
      </c>
      <c r="BX181" s="660">
        <v>0</v>
      </c>
      <c r="BY181" s="660">
        <f t="shared" si="622"/>
        <v>0</v>
      </c>
      <c r="BZ181" s="660">
        <f t="shared" si="594"/>
        <v>0</v>
      </c>
      <c r="CA181" s="660">
        <f t="shared" si="595"/>
        <v>0</v>
      </c>
      <c r="CB181" s="660">
        <f t="shared" si="596"/>
        <v>0</v>
      </c>
      <c r="CC181" s="660">
        <f t="shared" si="597"/>
        <v>0</v>
      </c>
      <c r="CD181" s="660">
        <f t="shared" si="623"/>
        <v>0</v>
      </c>
    </row>
    <row r="182" spans="4:82" ht="16" hidden="1" thickTop="1" thickBot="1">
      <c r="D182" s="653"/>
      <c r="E182" s="654"/>
      <c r="F182" s="655" t="str">
        <f t="shared" si="598"/>
        <v/>
      </c>
      <c r="G182" s="656"/>
      <c r="I182" s="658">
        <f t="shared" si="599"/>
        <v>0</v>
      </c>
      <c r="J182" s="658">
        <f t="shared" ref="J182" si="1112">IF($G182=0,0,-MIN(0,G182*c_EquityShare.LP))</f>
        <v>0</v>
      </c>
      <c r="K182" s="658">
        <f t="shared" ref="K182" si="1113">I182*c_Rate.Pref_MO</f>
        <v>0</v>
      </c>
      <c r="L182" s="658">
        <f t="shared" si="573"/>
        <v>0</v>
      </c>
      <c r="M182" s="658">
        <f t="shared" si="602"/>
        <v>0</v>
      </c>
      <c r="N182" s="658">
        <f t="shared" si="626"/>
        <v>0</v>
      </c>
      <c r="O182" s="658" cm="1">
        <f t="array" ref="O182">IF(I182=0,0,IF(G182&lt;0,N182/c_EquityShare.LP*i_EquityShare.GP,L182/c_EquityShare.LP*i_EquityShare.GP))</f>
        <v>0</v>
      </c>
      <c r="P182" s="658">
        <f t="shared" si="603"/>
        <v>0</v>
      </c>
      <c r="Q182" s="658">
        <f t="shared" si="574"/>
        <v>0</v>
      </c>
      <c r="R182" s="521"/>
      <c r="S182" s="660">
        <f t="shared" si="604"/>
        <v>0</v>
      </c>
      <c r="T182" s="663" cm="1">
        <f t="array" ref="T182">IF($G182=0,0,-MIN(0,$G182*c_EquityShare.LP))</f>
        <v>0</v>
      </c>
      <c r="U182" s="663" cm="1">
        <f t="array" ref="U182">IF($D182=0,0,S182*c_Rate.Hurdle1.MO)</f>
        <v>0</v>
      </c>
      <c r="V182" s="660">
        <f t="shared" si="627"/>
        <v>0</v>
      </c>
      <c r="W182" s="660">
        <f t="shared" si="575"/>
        <v>0</v>
      </c>
      <c r="X182" s="663">
        <f t="shared" si="628"/>
        <v>0</v>
      </c>
      <c r="Y182" s="663">
        <f t="shared" si="605"/>
        <v>0</v>
      </c>
      <c r="Z182" s="663">
        <f t="shared" ref="Z182" si="1114">IF(S182=0,0,O182+W182/$J$17*c_Hurdle1.Share_GP)</f>
        <v>0</v>
      </c>
      <c r="AA182" s="663">
        <f t="shared" si="577"/>
        <v>0</v>
      </c>
      <c r="AB182" s="660">
        <f t="shared" si="630"/>
        <v>0</v>
      </c>
      <c r="AC182" s="521"/>
      <c r="AD182" s="663">
        <f t="shared" si="769"/>
        <v>0</v>
      </c>
      <c r="AE182" s="663">
        <f t="shared" ref="AE182" si="1115">IF($G182=0,0,-MIN(0,$G182*c_EquityShare.LP))</f>
        <v>0</v>
      </c>
      <c r="AF182" s="663" cm="1">
        <f t="array" ref="AF182">IF($D182=0,0,AD182*(c_Rate.Hurdle2.MO))</f>
        <v>0</v>
      </c>
      <c r="AG182" s="663">
        <f t="shared" si="579"/>
        <v>0</v>
      </c>
      <c r="AH182" s="663">
        <f t="shared" si="609"/>
        <v>0</v>
      </c>
      <c r="AI182" s="663">
        <f t="shared" si="580"/>
        <v>0</v>
      </c>
      <c r="AJ182" s="664">
        <f t="shared" si="581"/>
        <v>0</v>
      </c>
      <c r="AK182" s="660">
        <f t="shared" si="582"/>
        <v>0</v>
      </c>
      <c r="AL182" s="663">
        <f t="shared" ref="AL182" si="1116">IF(AD182=0,0,Z182+AH182/$J$18*c_Hurdle2.Share_GP)</f>
        <v>0</v>
      </c>
      <c r="AM182" s="663">
        <f t="shared" si="584"/>
        <v>0</v>
      </c>
      <c r="AN182" s="660">
        <f t="shared" si="633"/>
        <v>0</v>
      </c>
      <c r="AO182" s="521"/>
      <c r="AP182" s="663">
        <f t="shared" si="772"/>
        <v>0</v>
      </c>
      <c r="AQ182" s="663">
        <f t="shared" ref="AQ182" si="1117">IF($G182=0,0,-MIN(0,$G182*c_EquityShare.LP))</f>
        <v>0</v>
      </c>
      <c r="AR182" s="663" cm="1">
        <f t="array" ref="AR182">IF($D182=0,0,AP182*(c_Rate.Hurdle3.MO))</f>
        <v>0</v>
      </c>
      <c r="AS182" s="663">
        <f t="shared" si="586"/>
        <v>0</v>
      </c>
      <c r="AT182" s="663">
        <f t="shared" si="613"/>
        <v>0</v>
      </c>
      <c r="AU182" s="663">
        <f t="shared" si="587"/>
        <v>0</v>
      </c>
      <c r="AV182" s="664">
        <f t="shared" si="588"/>
        <v>0</v>
      </c>
      <c r="AW182" s="660">
        <f t="shared" si="614"/>
        <v>0</v>
      </c>
      <c r="AX182" s="663">
        <f t="shared" ref="AX182" si="1118">IF(AP182=0,0,AL182+AT182/$J$19*c_Hurdle3.Share_GP)</f>
        <v>0</v>
      </c>
      <c r="AY182" s="663">
        <f t="shared" si="616"/>
        <v>0</v>
      </c>
      <c r="AZ182" s="660">
        <f t="shared" si="636"/>
        <v>0</v>
      </c>
      <c r="BA182" s="521"/>
      <c r="BB182" s="660">
        <f t="shared" si="590"/>
        <v>0</v>
      </c>
      <c r="BC182" s="660">
        <f t="shared" ref="BC182" si="1119">$AZ182*c_Residual.Share_GP</f>
        <v>0</v>
      </c>
      <c r="BD182" s="651"/>
      <c r="BE182" s="660">
        <f t="shared" si="618"/>
        <v>0</v>
      </c>
      <c r="BF182" s="660">
        <f t="shared" si="618"/>
        <v>0</v>
      </c>
      <c r="BG182" s="660">
        <f t="shared" si="592"/>
        <v>0</v>
      </c>
      <c r="BI182" s="660">
        <v>0</v>
      </c>
      <c r="BJ182" s="660">
        <v>0</v>
      </c>
      <c r="BK182" s="660">
        <v>0</v>
      </c>
      <c r="BL182" s="660">
        <f t="shared" si="619"/>
        <v>0</v>
      </c>
      <c r="BM182" s="660">
        <f t="shared" si="619"/>
        <v>0</v>
      </c>
      <c r="BN182" s="660">
        <f t="shared" si="620"/>
        <v>0</v>
      </c>
      <c r="BO182" s="660">
        <f t="shared" si="620"/>
        <v>0</v>
      </c>
      <c r="BP182" s="660">
        <f t="shared" si="621"/>
        <v>0</v>
      </c>
      <c r="BQ182" s="660">
        <f t="shared" si="621"/>
        <v>0</v>
      </c>
      <c r="BR182" s="660">
        <v>0</v>
      </c>
      <c r="BS182" s="660">
        <v>0</v>
      </c>
      <c r="BT182" s="660">
        <f t="shared" si="593"/>
        <v>0</v>
      </c>
      <c r="BU182" s="660">
        <f t="shared" si="593"/>
        <v>0</v>
      </c>
      <c r="BX182" s="660">
        <v>0</v>
      </c>
      <c r="BY182" s="660">
        <f t="shared" si="622"/>
        <v>0</v>
      </c>
      <c r="BZ182" s="660">
        <f t="shared" si="594"/>
        <v>0</v>
      </c>
      <c r="CA182" s="660">
        <f t="shared" si="595"/>
        <v>0</v>
      </c>
      <c r="CB182" s="660">
        <f t="shared" si="596"/>
        <v>0</v>
      </c>
      <c r="CC182" s="660">
        <f t="shared" si="597"/>
        <v>0</v>
      </c>
      <c r="CD182" s="660">
        <f t="shared" si="623"/>
        <v>0</v>
      </c>
    </row>
    <row r="183" spans="4:82" ht="16" hidden="1" thickTop="1" thickBot="1">
      <c r="D183" s="653"/>
      <c r="E183" s="654"/>
      <c r="F183" s="655" t="str">
        <f t="shared" si="598"/>
        <v/>
      </c>
      <c r="G183" s="656"/>
      <c r="I183" s="658">
        <f t="shared" si="599"/>
        <v>0</v>
      </c>
      <c r="J183" s="658">
        <f t="shared" ref="J183" si="1120">IF($G183=0,0,-MIN(0,G183*c_EquityShare.LP))</f>
        <v>0</v>
      </c>
      <c r="K183" s="658">
        <f t="shared" ref="K183" si="1121">I183*c_Rate.Pref_MO</f>
        <v>0</v>
      </c>
      <c r="L183" s="658">
        <f t="shared" si="573"/>
        <v>0</v>
      </c>
      <c r="M183" s="658">
        <f t="shared" si="602"/>
        <v>0</v>
      </c>
      <c r="N183" s="658">
        <f t="shared" si="626"/>
        <v>0</v>
      </c>
      <c r="O183" s="658" cm="1">
        <f t="array" ref="O183">IF(I183=0,0,IF(G183&lt;0,N183/c_EquityShare.LP*i_EquityShare.GP,L183/c_EquityShare.LP*i_EquityShare.GP))</f>
        <v>0</v>
      </c>
      <c r="P183" s="658">
        <f t="shared" si="603"/>
        <v>0</v>
      </c>
      <c r="Q183" s="658">
        <f t="shared" si="574"/>
        <v>0</v>
      </c>
      <c r="R183" s="521"/>
      <c r="S183" s="660">
        <f t="shared" si="604"/>
        <v>0</v>
      </c>
      <c r="T183" s="663" cm="1">
        <f t="array" ref="T183">IF($G183=0,0,-MIN(0,$G183*c_EquityShare.LP))</f>
        <v>0</v>
      </c>
      <c r="U183" s="663" cm="1">
        <f t="array" ref="U183">IF($D183=0,0,S183*c_Rate.Hurdle1.MO)</f>
        <v>0</v>
      </c>
      <c r="V183" s="660">
        <f t="shared" si="627"/>
        <v>0</v>
      </c>
      <c r="W183" s="660">
        <f t="shared" si="575"/>
        <v>0</v>
      </c>
      <c r="X183" s="663">
        <f t="shared" si="628"/>
        <v>0</v>
      </c>
      <c r="Y183" s="663">
        <f t="shared" si="605"/>
        <v>0</v>
      </c>
      <c r="Z183" s="663">
        <f t="shared" ref="Z183" si="1122">IF(S183=0,0,O183+W183/$J$17*c_Hurdle1.Share_GP)</f>
        <v>0</v>
      </c>
      <c r="AA183" s="663">
        <f t="shared" si="577"/>
        <v>0</v>
      </c>
      <c r="AB183" s="660">
        <f t="shared" si="630"/>
        <v>0</v>
      </c>
      <c r="AC183" s="521"/>
      <c r="AD183" s="663">
        <f t="shared" si="769"/>
        <v>0</v>
      </c>
      <c r="AE183" s="663">
        <f t="shared" ref="AE183" si="1123">IF($G183=0,0,-MIN(0,$G183*c_EquityShare.LP))</f>
        <v>0</v>
      </c>
      <c r="AF183" s="663" cm="1">
        <f t="array" ref="AF183">IF($D183=0,0,AD183*(c_Rate.Hurdle2.MO))</f>
        <v>0</v>
      </c>
      <c r="AG183" s="663">
        <f t="shared" si="579"/>
        <v>0</v>
      </c>
      <c r="AH183" s="663">
        <f t="shared" si="609"/>
        <v>0</v>
      </c>
      <c r="AI183" s="663">
        <f t="shared" si="580"/>
        <v>0</v>
      </c>
      <c r="AJ183" s="664">
        <f t="shared" si="581"/>
        <v>0</v>
      </c>
      <c r="AK183" s="660">
        <f t="shared" si="582"/>
        <v>0</v>
      </c>
      <c r="AL183" s="663">
        <f t="shared" ref="AL183" si="1124">IF(AD183=0,0,Z183+AH183/$J$18*c_Hurdle2.Share_GP)</f>
        <v>0</v>
      </c>
      <c r="AM183" s="663">
        <f t="shared" si="584"/>
        <v>0</v>
      </c>
      <c r="AN183" s="660">
        <f t="shared" si="633"/>
        <v>0</v>
      </c>
      <c r="AO183" s="521"/>
      <c r="AP183" s="663">
        <f t="shared" si="772"/>
        <v>0</v>
      </c>
      <c r="AQ183" s="663">
        <f t="shared" ref="AQ183" si="1125">IF($G183=0,0,-MIN(0,$G183*c_EquityShare.LP))</f>
        <v>0</v>
      </c>
      <c r="AR183" s="663" cm="1">
        <f t="array" ref="AR183">IF($D183=0,0,AP183*(c_Rate.Hurdle3.MO))</f>
        <v>0</v>
      </c>
      <c r="AS183" s="663">
        <f t="shared" si="586"/>
        <v>0</v>
      </c>
      <c r="AT183" s="663">
        <f t="shared" si="613"/>
        <v>0</v>
      </c>
      <c r="AU183" s="663">
        <f t="shared" si="587"/>
        <v>0</v>
      </c>
      <c r="AV183" s="664">
        <f t="shared" si="588"/>
        <v>0</v>
      </c>
      <c r="AW183" s="660">
        <f t="shared" si="614"/>
        <v>0</v>
      </c>
      <c r="AX183" s="663">
        <f t="shared" ref="AX183" si="1126">IF(AP183=0,0,AL183+AT183/$J$19*c_Hurdle3.Share_GP)</f>
        <v>0</v>
      </c>
      <c r="AY183" s="663">
        <f t="shared" si="616"/>
        <v>0</v>
      </c>
      <c r="AZ183" s="660">
        <f t="shared" si="636"/>
        <v>0</v>
      </c>
      <c r="BA183" s="521"/>
      <c r="BB183" s="660">
        <f t="shared" si="590"/>
        <v>0</v>
      </c>
      <c r="BC183" s="660">
        <f t="shared" ref="BC183" si="1127">$AZ183*c_Residual.Share_GP</f>
        <v>0</v>
      </c>
      <c r="BD183" s="651"/>
      <c r="BE183" s="660">
        <f t="shared" si="618"/>
        <v>0</v>
      </c>
      <c r="BF183" s="660">
        <f t="shared" si="618"/>
        <v>0</v>
      </c>
      <c r="BG183" s="660">
        <f t="shared" si="592"/>
        <v>0</v>
      </c>
      <c r="BI183" s="660">
        <v>0</v>
      </c>
      <c r="BJ183" s="660">
        <v>0</v>
      </c>
      <c r="BK183" s="660">
        <v>0</v>
      </c>
      <c r="BL183" s="660">
        <f t="shared" si="619"/>
        <v>0</v>
      </c>
      <c r="BM183" s="660">
        <f t="shared" si="619"/>
        <v>0</v>
      </c>
      <c r="BN183" s="660">
        <f t="shared" si="620"/>
        <v>0</v>
      </c>
      <c r="BO183" s="660">
        <f t="shared" si="620"/>
        <v>0</v>
      </c>
      <c r="BP183" s="660">
        <f t="shared" si="621"/>
        <v>0</v>
      </c>
      <c r="BQ183" s="660">
        <f t="shared" si="621"/>
        <v>0</v>
      </c>
      <c r="BR183" s="660">
        <v>0</v>
      </c>
      <c r="BS183" s="660">
        <v>0</v>
      </c>
      <c r="BT183" s="660">
        <f t="shared" si="593"/>
        <v>0</v>
      </c>
      <c r="BU183" s="660">
        <f t="shared" si="593"/>
        <v>0</v>
      </c>
      <c r="BX183" s="660">
        <v>0</v>
      </c>
      <c r="BY183" s="660">
        <f t="shared" si="622"/>
        <v>0</v>
      </c>
      <c r="BZ183" s="660">
        <f t="shared" si="594"/>
        <v>0</v>
      </c>
      <c r="CA183" s="660">
        <f t="shared" si="595"/>
        <v>0</v>
      </c>
      <c r="CB183" s="660">
        <f t="shared" si="596"/>
        <v>0</v>
      </c>
      <c r="CC183" s="660">
        <f t="shared" si="597"/>
        <v>0</v>
      </c>
      <c r="CD183" s="660">
        <f t="shared" si="623"/>
        <v>0</v>
      </c>
    </row>
    <row r="184" spans="4:82" ht="16" hidden="1" thickTop="1" thickBot="1">
      <c r="D184" s="653"/>
      <c r="E184" s="654"/>
      <c r="F184" s="655" t="str">
        <f t="shared" si="598"/>
        <v/>
      </c>
      <c r="G184" s="656"/>
      <c r="I184" s="658">
        <f t="shared" si="599"/>
        <v>0</v>
      </c>
      <c r="J184" s="658">
        <f t="shared" ref="J184" si="1128">IF($G184=0,0,-MIN(0,G184*c_EquityShare.LP))</f>
        <v>0</v>
      </c>
      <c r="K184" s="658">
        <f t="shared" ref="K184" si="1129">I184*c_Rate.Pref_MO</f>
        <v>0</v>
      </c>
      <c r="L184" s="658">
        <f t="shared" ref="L184:L247" si="1130">IF($G184=0,0,MAX(MIN($G184*$I$54,I184+K184-J184),0))</f>
        <v>0</v>
      </c>
      <c r="M184" s="658">
        <f t="shared" si="602"/>
        <v>0</v>
      </c>
      <c r="N184" s="658">
        <f t="shared" si="626"/>
        <v>0</v>
      </c>
      <c r="O184" s="658" cm="1">
        <f t="array" ref="O184">IF(I184=0,0,IF(G184&lt;0,N184/c_EquityShare.LP*i_EquityShare.GP,L184/c_EquityShare.LP*i_EquityShare.GP))</f>
        <v>0</v>
      </c>
      <c r="P184" s="658">
        <f t="shared" si="603"/>
        <v>0</v>
      </c>
      <c r="Q184" s="658">
        <f t="shared" ref="Q184:Q247" si="1131">IF(E184=0,0,MAX(G184-P184,0))</f>
        <v>0</v>
      </c>
      <c r="R184" s="521"/>
      <c r="S184" s="660">
        <f t="shared" si="604"/>
        <v>0</v>
      </c>
      <c r="T184" s="663" cm="1">
        <f t="array" ref="T184">IF($G184=0,0,-MIN(0,$G184*c_EquityShare.LP))</f>
        <v>0</v>
      </c>
      <c r="U184" s="663" cm="1">
        <f t="array" ref="U184">IF($D184=0,0,S184*c_Rate.Hurdle1.MO)</f>
        <v>0</v>
      </c>
      <c r="V184" s="660">
        <f t="shared" si="627"/>
        <v>0</v>
      </c>
      <c r="W184" s="660">
        <f t="shared" si="575"/>
        <v>0</v>
      </c>
      <c r="X184" s="663">
        <f t="shared" si="628"/>
        <v>0</v>
      </c>
      <c r="Y184" s="663">
        <f t="shared" si="605"/>
        <v>0</v>
      </c>
      <c r="Z184" s="663">
        <f t="shared" ref="Z184" si="1132">IF(S184=0,0,O184+W184/$J$17*c_Hurdle1.Share_GP)</f>
        <v>0</v>
      </c>
      <c r="AA184" s="663">
        <f t="shared" ref="AA184:AA247" si="1133">Y184+Z184</f>
        <v>0</v>
      </c>
      <c r="AB184" s="660">
        <f t="shared" si="630"/>
        <v>0</v>
      </c>
      <c r="AC184" s="521"/>
      <c r="AD184" s="663">
        <f t="shared" si="769"/>
        <v>0</v>
      </c>
      <c r="AE184" s="663">
        <f t="shared" ref="AE184" si="1134">IF($G184=0,0,-MIN(0,$G184*c_EquityShare.LP))</f>
        <v>0</v>
      </c>
      <c r="AF184" s="663" cm="1">
        <f t="array" ref="AF184">IF($D184=0,0,AD184*(c_Rate.Hurdle2.MO))</f>
        <v>0</v>
      </c>
      <c r="AG184" s="663">
        <f t="shared" ref="AG184:AG247" si="1135">V184+W184</f>
        <v>0</v>
      </c>
      <c r="AH184" s="663">
        <f t="shared" si="609"/>
        <v>0</v>
      </c>
      <c r="AI184" s="663">
        <f t="shared" ref="AI184:AI247" si="1136">AD184+AF184+AE184-AG184-AH184</f>
        <v>0</v>
      </c>
      <c r="AJ184" s="664">
        <f t="shared" ref="AJ184:AJ247" si="1137">-AE184+AG184+AH184</f>
        <v>0</v>
      </c>
      <c r="AK184" s="660">
        <f t="shared" ref="AK184:AK247" si="1138">Y184+AH184</f>
        <v>0</v>
      </c>
      <c r="AL184" s="663">
        <f t="shared" ref="AL184" si="1139">IF(AD184=0,0,Z184+AH184/$J$18*c_Hurdle2.Share_GP)</f>
        <v>0</v>
      </c>
      <c r="AM184" s="663">
        <f t="shared" ref="AM184:AM247" si="1140">AK184+AL184</f>
        <v>0</v>
      </c>
      <c r="AN184" s="660">
        <f t="shared" si="633"/>
        <v>0</v>
      </c>
      <c r="AO184" s="521"/>
      <c r="AP184" s="663">
        <f t="shared" si="772"/>
        <v>0</v>
      </c>
      <c r="AQ184" s="663">
        <f t="shared" ref="AQ184" si="1141">IF($G184=0,0,-MIN(0,$G184*c_EquityShare.LP))</f>
        <v>0</v>
      </c>
      <c r="AR184" s="663" cm="1">
        <f t="array" ref="AR184">IF($D184=0,0,AP184*(c_Rate.Hurdle3.MO))</f>
        <v>0</v>
      </c>
      <c r="AS184" s="663">
        <f t="shared" ref="AS184:AS247" si="1142">AG184+AH184</f>
        <v>0</v>
      </c>
      <c r="AT184" s="663">
        <f t="shared" si="613"/>
        <v>0</v>
      </c>
      <c r="AU184" s="663">
        <f t="shared" ref="AU184:AU247" si="1143">AP184+AR184+AQ184-AS184-AT184</f>
        <v>0</v>
      </c>
      <c r="AV184" s="664">
        <f t="shared" ref="AV184:AV247" si="1144">-AQ184+AS184+AT184</f>
        <v>0</v>
      </c>
      <c r="AW184" s="660">
        <f t="shared" si="614"/>
        <v>0</v>
      </c>
      <c r="AX184" s="663">
        <f t="shared" ref="AX184" si="1145">IF(AP184=0,0,AL184+AT184/$J$19*c_Hurdle3.Share_GP)</f>
        <v>0</v>
      </c>
      <c r="AY184" s="663">
        <f t="shared" si="616"/>
        <v>0</v>
      </c>
      <c r="AZ184" s="660">
        <f t="shared" si="636"/>
        <v>0</v>
      </c>
      <c r="BA184" s="521"/>
      <c r="BB184" s="660">
        <f t="shared" si="590"/>
        <v>0</v>
      </c>
      <c r="BC184" s="660">
        <f t="shared" ref="BC184" si="1146">$AZ184*c_Residual.Share_GP</f>
        <v>0</v>
      </c>
      <c r="BD184" s="651"/>
      <c r="BE184" s="660">
        <f t="shared" si="618"/>
        <v>0</v>
      </c>
      <c r="BF184" s="660">
        <f t="shared" si="618"/>
        <v>0</v>
      </c>
      <c r="BG184" s="660">
        <f t="shared" ref="BG184:BG247" si="1147">SUM(BE184:BF184)</f>
        <v>0</v>
      </c>
      <c r="BI184" s="660">
        <v>0</v>
      </c>
      <c r="BJ184" s="660">
        <v>0</v>
      </c>
      <c r="BK184" s="660">
        <v>0</v>
      </c>
      <c r="BL184" s="660">
        <f t="shared" si="619"/>
        <v>0</v>
      </c>
      <c r="BM184" s="660">
        <f t="shared" si="619"/>
        <v>0</v>
      </c>
      <c r="BN184" s="660">
        <f t="shared" si="620"/>
        <v>0</v>
      </c>
      <c r="BO184" s="660">
        <f t="shared" si="620"/>
        <v>0</v>
      </c>
      <c r="BP184" s="660">
        <f t="shared" si="621"/>
        <v>0</v>
      </c>
      <c r="BQ184" s="660">
        <f t="shared" si="621"/>
        <v>0</v>
      </c>
      <c r="BR184" s="660">
        <v>0</v>
      </c>
      <c r="BS184" s="660">
        <v>0</v>
      </c>
      <c r="BT184" s="660">
        <f t="shared" ref="BT184:BU247" si="1148">BJ184+BL184+BN184+BP184+BR184</f>
        <v>0</v>
      </c>
      <c r="BU184" s="660">
        <f t="shared" si="1148"/>
        <v>0</v>
      </c>
      <c r="BX184" s="660">
        <v>0</v>
      </c>
      <c r="BY184" s="660">
        <f t="shared" si="622"/>
        <v>0</v>
      </c>
      <c r="BZ184" s="660">
        <f t="shared" ref="BZ184:BZ247" si="1149">BL184+BM184</f>
        <v>0</v>
      </c>
      <c r="CA184" s="660">
        <f t="shared" ref="CA184:CA247" si="1150">BN184+BO184</f>
        <v>0</v>
      </c>
      <c r="CB184" s="660">
        <f t="shared" ref="CB184:CB247" si="1151">BP184+BQ184</f>
        <v>0</v>
      </c>
      <c r="CC184" s="660">
        <f t="shared" ref="CC184:CC247" si="1152">BR184+BS184</f>
        <v>0</v>
      </c>
      <c r="CD184" s="660">
        <f t="shared" si="623"/>
        <v>0</v>
      </c>
    </row>
    <row r="185" spans="4:82" ht="16" hidden="1" thickTop="1" thickBot="1">
      <c r="D185" s="653"/>
      <c r="E185" s="654"/>
      <c r="F185" s="655" t="str">
        <f t="shared" ref="F185:F248" si="1153">IF(D185=0,"",MIN(INT(YEARFRAC(E$56,EDATE(E185,12),3))))</f>
        <v/>
      </c>
      <c r="G185" s="656"/>
      <c r="I185" s="658">
        <f t="shared" ref="I185:I248" si="1154">IF(D185=0,0,M184)</f>
        <v>0</v>
      </c>
      <c r="J185" s="658">
        <f t="shared" ref="J185" si="1155">IF($G185=0,0,-MIN(0,G185*c_EquityShare.LP))</f>
        <v>0</v>
      </c>
      <c r="K185" s="658">
        <f t="shared" ref="K185" si="1156">I185*c_Rate.Pref_MO</f>
        <v>0</v>
      </c>
      <c r="L185" s="658">
        <f t="shared" si="1130"/>
        <v>0</v>
      </c>
      <c r="M185" s="658">
        <f t="shared" ref="M185:M248" si="1157">I185+K185+J185-L185</f>
        <v>0</v>
      </c>
      <c r="N185" s="658">
        <f t="shared" si="626"/>
        <v>0</v>
      </c>
      <c r="O185" s="658" cm="1">
        <f t="array" ref="O185">IF(I185=0,0,IF(G185&lt;0,N185/c_EquityShare.LP*i_EquityShare.GP,L185/c_EquityShare.LP*i_EquityShare.GP))</f>
        <v>0</v>
      </c>
      <c r="P185" s="658">
        <f t="shared" ref="P185:P248" si="1158">N185+O185</f>
        <v>0</v>
      </c>
      <c r="Q185" s="658">
        <f t="shared" si="1131"/>
        <v>0</v>
      </c>
      <c r="R185" s="521"/>
      <c r="S185" s="660">
        <f t="shared" ref="S185:S248" si="1159">X184</f>
        <v>0</v>
      </c>
      <c r="T185" s="663" cm="1">
        <f t="array" ref="T185">IF($G185=0,0,-MIN(0,$G185*c_EquityShare.LP))</f>
        <v>0</v>
      </c>
      <c r="U185" s="663" cm="1">
        <f t="array" ref="U185">IF($D185=0,0,S185*c_Rate.Hurdle1.MO)</f>
        <v>0</v>
      </c>
      <c r="V185" s="660">
        <f t="shared" si="627"/>
        <v>0</v>
      </c>
      <c r="W185" s="660">
        <f t="shared" ref="W185:W248" si="1160">MIN(S185+U185-V185,Q185*S$54)</f>
        <v>0</v>
      </c>
      <c r="X185" s="663">
        <f t="shared" si="628"/>
        <v>0</v>
      </c>
      <c r="Y185" s="663">
        <f t="shared" ref="Y185:Y248" si="1161">N185+W185</f>
        <v>0</v>
      </c>
      <c r="Z185" s="663">
        <f t="shared" ref="Z185" si="1162">IF(S185=0,0,O185+W185/$J$17*c_Hurdle1.Share_GP)</f>
        <v>0</v>
      </c>
      <c r="AA185" s="663">
        <f t="shared" si="1133"/>
        <v>0</v>
      </c>
      <c r="AB185" s="660">
        <f t="shared" si="630"/>
        <v>0</v>
      </c>
      <c r="AC185" s="521"/>
      <c r="AD185" s="663">
        <f t="shared" si="769"/>
        <v>0</v>
      </c>
      <c r="AE185" s="663">
        <f t="shared" ref="AE185" si="1163">IF($G185=0,0,-MIN(0,$G185*c_EquityShare.LP))</f>
        <v>0</v>
      </c>
      <c r="AF185" s="663" cm="1">
        <f t="array" ref="AF185">IF($D185=0,0,AD185*(c_Rate.Hurdle2.MO))</f>
        <v>0</v>
      </c>
      <c r="AG185" s="663">
        <f t="shared" si="1135"/>
        <v>0</v>
      </c>
      <c r="AH185" s="663">
        <f t="shared" ref="AH185:AH248" si="1164">IF(AB185=0,0,MIN(AD185+AE185+AF185-AG185,AB185*AD$54))</f>
        <v>0</v>
      </c>
      <c r="AI185" s="663">
        <f t="shared" si="1136"/>
        <v>0</v>
      </c>
      <c r="AJ185" s="664">
        <f t="shared" si="1137"/>
        <v>0</v>
      </c>
      <c r="AK185" s="660">
        <f t="shared" si="1138"/>
        <v>0</v>
      </c>
      <c r="AL185" s="663">
        <f t="shared" ref="AL185" si="1165">IF(AD185=0,0,Z185+AH185/$J$18*c_Hurdle2.Share_GP)</f>
        <v>0</v>
      </c>
      <c r="AM185" s="663">
        <f t="shared" si="1140"/>
        <v>0</v>
      </c>
      <c r="AN185" s="660">
        <f t="shared" si="633"/>
        <v>0</v>
      </c>
      <c r="AO185" s="521"/>
      <c r="AP185" s="663">
        <f t="shared" si="772"/>
        <v>0</v>
      </c>
      <c r="AQ185" s="663">
        <f t="shared" ref="AQ185" si="1166">IF($G185=0,0,-MIN(0,$G185*c_EquityShare.LP))</f>
        <v>0</v>
      </c>
      <c r="AR185" s="663" cm="1">
        <f t="array" ref="AR185">IF($D185=0,0,AP185*(c_Rate.Hurdle3.MO))</f>
        <v>0</v>
      </c>
      <c r="AS185" s="663">
        <f t="shared" si="1142"/>
        <v>0</v>
      </c>
      <c r="AT185" s="663">
        <f t="shared" ref="AT185:AT248" si="1167">IF(AP185=0,0,MIN(AP185+AQ185+AR185-AS185,AN185*AP$54))</f>
        <v>0</v>
      </c>
      <c r="AU185" s="663">
        <f t="shared" si="1143"/>
        <v>0</v>
      </c>
      <c r="AV185" s="664">
        <f t="shared" si="1144"/>
        <v>0</v>
      </c>
      <c r="AW185" s="660">
        <f t="shared" ref="AW185:AW248" si="1168">AK185+AT185</f>
        <v>0</v>
      </c>
      <c r="AX185" s="663">
        <f t="shared" ref="AX185" si="1169">IF(AP185=0,0,AL185+AT185/$J$19*c_Hurdle3.Share_GP)</f>
        <v>0</v>
      </c>
      <c r="AY185" s="663">
        <f t="shared" ref="AY185:AY248" si="1170">AW185+AX185</f>
        <v>0</v>
      </c>
      <c r="AZ185" s="660">
        <f t="shared" si="636"/>
        <v>0</v>
      </c>
      <c r="BA185" s="521"/>
      <c r="BB185" s="660">
        <f t="shared" si="590"/>
        <v>0</v>
      </c>
      <c r="BC185" s="660">
        <f t="shared" ref="BC185" si="1171">$AZ185*c_Residual.Share_GP</f>
        <v>0</v>
      </c>
      <c r="BD185" s="651"/>
      <c r="BE185" s="660">
        <f t="shared" ref="BE185:BF248" si="1172">AW185+BB185</f>
        <v>0</v>
      </c>
      <c r="BF185" s="660">
        <f t="shared" si="1172"/>
        <v>0</v>
      </c>
      <c r="BG185" s="660">
        <f t="shared" si="1147"/>
        <v>0</v>
      </c>
      <c r="BI185" s="660">
        <v>0</v>
      </c>
      <c r="BJ185" s="660">
        <v>0</v>
      </c>
      <c r="BK185" s="660">
        <v>0</v>
      </c>
      <c r="BL185" s="660">
        <f t="shared" ref="BL185:BM248" si="1173">Y185-N185</f>
        <v>0</v>
      </c>
      <c r="BM185" s="660">
        <f t="shared" si="1173"/>
        <v>0</v>
      </c>
      <c r="BN185" s="660">
        <f t="shared" ref="BN185:BO248" si="1174">AK185-Y185</f>
        <v>0</v>
      </c>
      <c r="BO185" s="660">
        <f t="shared" si="1174"/>
        <v>0</v>
      </c>
      <c r="BP185" s="660">
        <f t="shared" ref="BP185:BQ248" si="1175">AW185-AK185</f>
        <v>0</v>
      </c>
      <c r="BQ185" s="660">
        <f t="shared" si="1175"/>
        <v>0</v>
      </c>
      <c r="BR185" s="660">
        <v>0</v>
      </c>
      <c r="BS185" s="660">
        <v>0</v>
      </c>
      <c r="BT185" s="660">
        <f t="shared" si="1148"/>
        <v>0</v>
      </c>
      <c r="BU185" s="660">
        <f t="shared" si="1148"/>
        <v>0</v>
      </c>
      <c r="BX185" s="660">
        <v>0</v>
      </c>
      <c r="BY185" s="660">
        <f t="shared" ref="BY185:BY248" si="1176">BJ185+BK185</f>
        <v>0</v>
      </c>
      <c r="BZ185" s="660">
        <f t="shared" si="1149"/>
        <v>0</v>
      </c>
      <c r="CA185" s="660">
        <f t="shared" si="1150"/>
        <v>0</v>
      </c>
      <c r="CB185" s="660">
        <f t="shared" si="1151"/>
        <v>0</v>
      </c>
      <c r="CC185" s="660">
        <f t="shared" si="1152"/>
        <v>0</v>
      </c>
      <c r="CD185" s="660">
        <f t="shared" ref="CD185:CD248" si="1177">SUM(BY185:CC185)</f>
        <v>0</v>
      </c>
    </row>
    <row r="186" spans="4:82" ht="16" hidden="1" thickTop="1" thickBot="1">
      <c r="D186" s="653"/>
      <c r="E186" s="654"/>
      <c r="F186" s="655" t="str">
        <f t="shared" si="1153"/>
        <v/>
      </c>
      <c r="G186" s="656"/>
      <c r="I186" s="658">
        <f t="shared" si="1154"/>
        <v>0</v>
      </c>
      <c r="J186" s="658">
        <f t="shared" ref="J186" si="1178">IF($G186=0,0,-MIN(0,G186*c_EquityShare.LP))</f>
        <v>0</v>
      </c>
      <c r="K186" s="658">
        <f t="shared" ref="K186" si="1179">I186*c_Rate.Pref_MO</f>
        <v>0</v>
      </c>
      <c r="L186" s="658">
        <f t="shared" si="1130"/>
        <v>0</v>
      </c>
      <c r="M186" s="658">
        <f t="shared" si="1157"/>
        <v>0</v>
      </c>
      <c r="N186" s="658">
        <f t="shared" ref="N186:N249" si="1180">L186-J186</f>
        <v>0</v>
      </c>
      <c r="O186" s="658" cm="1">
        <f t="array" ref="O186">IF(I186=0,0,IF(G186&lt;0,N186/c_EquityShare.LP*i_EquityShare.GP,L186/c_EquityShare.LP*i_EquityShare.GP))</f>
        <v>0</v>
      </c>
      <c r="P186" s="658">
        <f t="shared" si="1158"/>
        <v>0</v>
      </c>
      <c r="Q186" s="658">
        <f t="shared" si="1131"/>
        <v>0</v>
      </c>
      <c r="R186" s="521"/>
      <c r="S186" s="660">
        <f t="shared" si="1159"/>
        <v>0</v>
      </c>
      <c r="T186" s="663" cm="1">
        <f t="array" ref="T186">IF($G186=0,0,-MIN(0,$G186*c_EquityShare.LP))</f>
        <v>0</v>
      </c>
      <c r="U186" s="663" cm="1">
        <f t="array" ref="U186">IF($D186=0,0,S186*c_Rate.Hurdle1.MO)</f>
        <v>0</v>
      </c>
      <c r="V186" s="660">
        <f t="shared" ref="V186:V249" si="1181">L186</f>
        <v>0</v>
      </c>
      <c r="W186" s="660">
        <f t="shared" si="1160"/>
        <v>0</v>
      </c>
      <c r="X186" s="663">
        <f t="shared" ref="X186:X249" si="1182">S186+T186+U186-V186-W186</f>
        <v>0</v>
      </c>
      <c r="Y186" s="663">
        <f t="shared" si="1161"/>
        <v>0</v>
      </c>
      <c r="Z186" s="663">
        <f t="shared" ref="Z186" si="1183">IF(S186=0,0,O186+W186/$J$17*c_Hurdle1.Share_GP)</f>
        <v>0</v>
      </c>
      <c r="AA186" s="663">
        <f t="shared" si="1133"/>
        <v>0</v>
      </c>
      <c r="AB186" s="660">
        <f t="shared" ref="AB186:AB249" si="1184">IF(AA186&lt;0,0,MAX($G186-P186-AA186,0))</f>
        <v>0</v>
      </c>
      <c r="AC186" s="521"/>
      <c r="AD186" s="663">
        <f t="shared" si="769"/>
        <v>0</v>
      </c>
      <c r="AE186" s="663">
        <f t="shared" ref="AE186" si="1185">IF($G186=0,0,-MIN(0,$G186*c_EquityShare.LP))</f>
        <v>0</v>
      </c>
      <c r="AF186" s="663" cm="1">
        <f t="array" ref="AF186">IF($D186=0,0,AD186*(c_Rate.Hurdle2.MO))</f>
        <v>0</v>
      </c>
      <c r="AG186" s="663">
        <f t="shared" si="1135"/>
        <v>0</v>
      </c>
      <c r="AH186" s="663">
        <f t="shared" si="1164"/>
        <v>0</v>
      </c>
      <c r="AI186" s="663">
        <f t="shared" si="1136"/>
        <v>0</v>
      </c>
      <c r="AJ186" s="664">
        <f t="shared" si="1137"/>
        <v>0</v>
      </c>
      <c r="AK186" s="660">
        <f t="shared" si="1138"/>
        <v>0</v>
      </c>
      <c r="AL186" s="663">
        <f t="shared" ref="AL186" si="1186">IF(AD186=0,0,Z186+AH186/$J$18*c_Hurdle2.Share_GP)</f>
        <v>0</v>
      </c>
      <c r="AM186" s="663">
        <f t="shared" si="1140"/>
        <v>0</v>
      </c>
      <c r="AN186" s="660">
        <f t="shared" ref="AN186:AN249" si="1187">IF(AM186&lt;0,0,MAX($G186-AA186-AM186,0))</f>
        <v>0</v>
      </c>
      <c r="AO186" s="521"/>
      <c r="AP186" s="663">
        <f t="shared" si="772"/>
        <v>0</v>
      </c>
      <c r="AQ186" s="663">
        <f t="shared" ref="AQ186" si="1188">IF($G186=0,0,-MIN(0,$G186*c_EquityShare.LP))</f>
        <v>0</v>
      </c>
      <c r="AR186" s="663" cm="1">
        <f t="array" ref="AR186">IF($D186=0,0,AP186*(c_Rate.Hurdle3.MO))</f>
        <v>0</v>
      </c>
      <c r="AS186" s="663">
        <f t="shared" si="1142"/>
        <v>0</v>
      </c>
      <c r="AT186" s="663">
        <f t="shared" si="1167"/>
        <v>0</v>
      </c>
      <c r="AU186" s="663">
        <f t="shared" si="1143"/>
        <v>0</v>
      </c>
      <c r="AV186" s="664">
        <f t="shared" si="1144"/>
        <v>0</v>
      </c>
      <c r="AW186" s="660">
        <f t="shared" si="1168"/>
        <v>0</v>
      </c>
      <c r="AX186" s="663">
        <f t="shared" ref="AX186" si="1189">IF(AP186=0,0,AL186+AT186/$J$19*c_Hurdle3.Share_GP)</f>
        <v>0</v>
      </c>
      <c r="AY186" s="663">
        <f t="shared" si="1170"/>
        <v>0</v>
      </c>
      <c r="AZ186" s="660">
        <f t="shared" ref="AZ186:AZ249" si="1190">IF(AY186&lt;0,0,MAX($G186-AM186-AY186,0))</f>
        <v>0</v>
      </c>
      <c r="BA186" s="521"/>
      <c r="BB186" s="660">
        <f t="shared" si="590"/>
        <v>0</v>
      </c>
      <c r="BC186" s="660">
        <f t="shared" ref="BC186" si="1191">$AZ186*c_Residual.Share_GP</f>
        <v>0</v>
      </c>
      <c r="BD186" s="651"/>
      <c r="BE186" s="660">
        <f t="shared" si="1172"/>
        <v>0</v>
      </c>
      <c r="BF186" s="660">
        <f t="shared" si="1172"/>
        <v>0</v>
      </c>
      <c r="BG186" s="660">
        <f t="shared" si="1147"/>
        <v>0</v>
      </c>
      <c r="BI186" s="660">
        <v>0</v>
      </c>
      <c r="BJ186" s="660">
        <v>0</v>
      </c>
      <c r="BK186" s="660">
        <v>0</v>
      </c>
      <c r="BL186" s="660">
        <f t="shared" si="1173"/>
        <v>0</v>
      </c>
      <c r="BM186" s="660">
        <f t="shared" si="1173"/>
        <v>0</v>
      </c>
      <c r="BN186" s="660">
        <f t="shared" si="1174"/>
        <v>0</v>
      </c>
      <c r="BO186" s="660">
        <f t="shared" si="1174"/>
        <v>0</v>
      </c>
      <c r="BP186" s="660">
        <f t="shared" si="1175"/>
        <v>0</v>
      </c>
      <c r="BQ186" s="660">
        <f t="shared" si="1175"/>
        <v>0</v>
      </c>
      <c r="BR186" s="660">
        <v>0</v>
      </c>
      <c r="BS186" s="660">
        <v>0</v>
      </c>
      <c r="BT186" s="660">
        <f t="shared" si="1148"/>
        <v>0</v>
      </c>
      <c r="BU186" s="660">
        <f t="shared" si="1148"/>
        <v>0</v>
      </c>
      <c r="BX186" s="660">
        <v>0</v>
      </c>
      <c r="BY186" s="660">
        <f t="shared" si="1176"/>
        <v>0</v>
      </c>
      <c r="BZ186" s="660">
        <f t="shared" si="1149"/>
        <v>0</v>
      </c>
      <c r="CA186" s="660">
        <f t="shared" si="1150"/>
        <v>0</v>
      </c>
      <c r="CB186" s="660">
        <f t="shared" si="1151"/>
        <v>0</v>
      </c>
      <c r="CC186" s="660">
        <f t="shared" si="1152"/>
        <v>0</v>
      </c>
      <c r="CD186" s="660">
        <f t="shared" si="1177"/>
        <v>0</v>
      </c>
    </row>
    <row r="187" spans="4:82" ht="16" hidden="1" thickTop="1" thickBot="1">
      <c r="D187" s="653"/>
      <c r="E187" s="654"/>
      <c r="F187" s="655" t="str">
        <f t="shared" si="1153"/>
        <v/>
      </c>
      <c r="G187" s="656"/>
      <c r="I187" s="658">
        <f t="shared" si="1154"/>
        <v>0</v>
      </c>
      <c r="J187" s="658">
        <f t="shared" ref="J187" si="1192">IF($G187=0,0,-MIN(0,G187*c_EquityShare.LP))</f>
        <v>0</v>
      </c>
      <c r="K187" s="658">
        <f t="shared" ref="K187" si="1193">I187*c_Rate.Pref_MO</f>
        <v>0</v>
      </c>
      <c r="L187" s="658">
        <f t="shared" si="1130"/>
        <v>0</v>
      </c>
      <c r="M187" s="658">
        <f t="shared" si="1157"/>
        <v>0</v>
      </c>
      <c r="N187" s="658">
        <f t="shared" si="1180"/>
        <v>0</v>
      </c>
      <c r="O187" s="658" cm="1">
        <f t="array" ref="O187">IF(I187=0,0,IF(G187&lt;0,N187/c_EquityShare.LP*i_EquityShare.GP,L187/c_EquityShare.LP*i_EquityShare.GP))</f>
        <v>0</v>
      </c>
      <c r="P187" s="658">
        <f t="shared" si="1158"/>
        <v>0</v>
      </c>
      <c r="Q187" s="658">
        <f t="shared" si="1131"/>
        <v>0</v>
      </c>
      <c r="R187" s="521"/>
      <c r="S187" s="660">
        <f t="shared" si="1159"/>
        <v>0</v>
      </c>
      <c r="T187" s="663" cm="1">
        <f t="array" ref="T187">IF($G187=0,0,-MIN(0,$G187*c_EquityShare.LP))</f>
        <v>0</v>
      </c>
      <c r="U187" s="663" cm="1">
        <f t="array" ref="U187">IF($D187=0,0,S187*c_Rate.Hurdle1.MO)</f>
        <v>0</v>
      </c>
      <c r="V187" s="660">
        <f t="shared" si="1181"/>
        <v>0</v>
      </c>
      <c r="W187" s="660">
        <f t="shared" si="1160"/>
        <v>0</v>
      </c>
      <c r="X187" s="663">
        <f t="shared" si="1182"/>
        <v>0</v>
      </c>
      <c r="Y187" s="663">
        <f t="shared" si="1161"/>
        <v>0</v>
      </c>
      <c r="Z187" s="663">
        <f t="shared" ref="Z187" si="1194">IF(S187=0,0,O187+W187/$J$17*c_Hurdle1.Share_GP)</f>
        <v>0</v>
      </c>
      <c r="AA187" s="663">
        <f t="shared" si="1133"/>
        <v>0</v>
      </c>
      <c r="AB187" s="660">
        <f t="shared" si="1184"/>
        <v>0</v>
      </c>
      <c r="AC187" s="521"/>
      <c r="AD187" s="663">
        <f t="shared" si="769"/>
        <v>0</v>
      </c>
      <c r="AE187" s="663">
        <f t="shared" ref="AE187" si="1195">IF($G187=0,0,-MIN(0,$G187*c_EquityShare.LP))</f>
        <v>0</v>
      </c>
      <c r="AF187" s="663" cm="1">
        <f t="array" ref="AF187">IF($D187=0,0,AD187*(c_Rate.Hurdle2.MO))</f>
        <v>0</v>
      </c>
      <c r="AG187" s="663">
        <f t="shared" si="1135"/>
        <v>0</v>
      </c>
      <c r="AH187" s="663">
        <f t="shared" si="1164"/>
        <v>0</v>
      </c>
      <c r="AI187" s="663">
        <f t="shared" si="1136"/>
        <v>0</v>
      </c>
      <c r="AJ187" s="664">
        <f t="shared" si="1137"/>
        <v>0</v>
      </c>
      <c r="AK187" s="660">
        <f t="shared" si="1138"/>
        <v>0</v>
      </c>
      <c r="AL187" s="663">
        <f t="shared" ref="AL187" si="1196">IF(AD187=0,0,Z187+AH187/$J$18*c_Hurdle2.Share_GP)</f>
        <v>0</v>
      </c>
      <c r="AM187" s="663">
        <f t="shared" si="1140"/>
        <v>0</v>
      </c>
      <c r="AN187" s="660">
        <f t="shared" si="1187"/>
        <v>0</v>
      </c>
      <c r="AO187" s="521"/>
      <c r="AP187" s="663">
        <f t="shared" si="772"/>
        <v>0</v>
      </c>
      <c r="AQ187" s="663">
        <f t="shared" ref="AQ187" si="1197">IF($G187=0,0,-MIN(0,$G187*c_EquityShare.LP))</f>
        <v>0</v>
      </c>
      <c r="AR187" s="663" cm="1">
        <f t="array" ref="AR187">IF($D187=0,0,AP187*(c_Rate.Hurdle3.MO))</f>
        <v>0</v>
      </c>
      <c r="AS187" s="663">
        <f t="shared" si="1142"/>
        <v>0</v>
      </c>
      <c r="AT187" s="663">
        <f t="shared" si="1167"/>
        <v>0</v>
      </c>
      <c r="AU187" s="663">
        <f t="shared" si="1143"/>
        <v>0</v>
      </c>
      <c r="AV187" s="664">
        <f t="shared" si="1144"/>
        <v>0</v>
      </c>
      <c r="AW187" s="660">
        <f t="shared" si="1168"/>
        <v>0</v>
      </c>
      <c r="AX187" s="663">
        <f t="shared" ref="AX187" si="1198">IF(AP187=0,0,AL187+AT187/$J$19*c_Hurdle3.Share_GP)</f>
        <v>0</v>
      </c>
      <c r="AY187" s="663">
        <f t="shared" si="1170"/>
        <v>0</v>
      </c>
      <c r="AZ187" s="660">
        <f t="shared" si="1190"/>
        <v>0</v>
      </c>
      <c r="BA187" s="521"/>
      <c r="BB187" s="660">
        <f t="shared" si="590"/>
        <v>0</v>
      </c>
      <c r="BC187" s="660">
        <f t="shared" ref="BC187" si="1199">$AZ187*c_Residual.Share_GP</f>
        <v>0</v>
      </c>
      <c r="BD187" s="651"/>
      <c r="BE187" s="660">
        <f t="shared" si="1172"/>
        <v>0</v>
      </c>
      <c r="BF187" s="660">
        <f t="shared" si="1172"/>
        <v>0</v>
      </c>
      <c r="BG187" s="660">
        <f t="shared" si="1147"/>
        <v>0</v>
      </c>
      <c r="BI187" s="660">
        <v>0</v>
      </c>
      <c r="BJ187" s="660">
        <v>0</v>
      </c>
      <c r="BK187" s="660">
        <v>0</v>
      </c>
      <c r="BL187" s="660">
        <f t="shared" si="1173"/>
        <v>0</v>
      </c>
      <c r="BM187" s="660">
        <f t="shared" si="1173"/>
        <v>0</v>
      </c>
      <c r="BN187" s="660">
        <f t="shared" si="1174"/>
        <v>0</v>
      </c>
      <c r="BO187" s="660">
        <f t="shared" si="1174"/>
        <v>0</v>
      </c>
      <c r="BP187" s="660">
        <f t="shared" si="1175"/>
        <v>0</v>
      </c>
      <c r="BQ187" s="660">
        <f t="shared" si="1175"/>
        <v>0</v>
      </c>
      <c r="BR187" s="660">
        <v>0</v>
      </c>
      <c r="BS187" s="660">
        <v>0</v>
      </c>
      <c r="BT187" s="660">
        <f t="shared" si="1148"/>
        <v>0</v>
      </c>
      <c r="BU187" s="660">
        <f t="shared" si="1148"/>
        <v>0</v>
      </c>
      <c r="BX187" s="660">
        <v>0</v>
      </c>
      <c r="BY187" s="660">
        <f t="shared" si="1176"/>
        <v>0</v>
      </c>
      <c r="BZ187" s="660">
        <f t="shared" si="1149"/>
        <v>0</v>
      </c>
      <c r="CA187" s="660">
        <f t="shared" si="1150"/>
        <v>0</v>
      </c>
      <c r="CB187" s="660">
        <f t="shared" si="1151"/>
        <v>0</v>
      </c>
      <c r="CC187" s="660">
        <f t="shared" si="1152"/>
        <v>0</v>
      </c>
      <c r="CD187" s="660">
        <f t="shared" si="1177"/>
        <v>0</v>
      </c>
    </row>
    <row r="188" spans="4:82" ht="16" hidden="1" thickTop="1" thickBot="1">
      <c r="D188" s="653"/>
      <c r="E188" s="654"/>
      <c r="F188" s="655" t="str">
        <f t="shared" si="1153"/>
        <v/>
      </c>
      <c r="G188" s="656"/>
      <c r="I188" s="658">
        <f t="shared" si="1154"/>
        <v>0</v>
      </c>
      <c r="J188" s="658">
        <f t="shared" ref="J188" si="1200">IF($G188=0,0,-MIN(0,G188*c_EquityShare.LP))</f>
        <v>0</v>
      </c>
      <c r="K188" s="658">
        <f t="shared" ref="K188" si="1201">I188*c_Rate.Pref_MO</f>
        <v>0</v>
      </c>
      <c r="L188" s="658">
        <f t="shared" si="1130"/>
        <v>0</v>
      </c>
      <c r="M188" s="658">
        <f t="shared" si="1157"/>
        <v>0</v>
      </c>
      <c r="N188" s="658">
        <f t="shared" si="1180"/>
        <v>0</v>
      </c>
      <c r="O188" s="658" cm="1">
        <f t="array" ref="O188">IF(I188=0,0,IF(G188&lt;0,N188/c_EquityShare.LP*i_EquityShare.GP,L188/c_EquityShare.LP*i_EquityShare.GP))</f>
        <v>0</v>
      </c>
      <c r="P188" s="658">
        <f t="shared" si="1158"/>
        <v>0</v>
      </c>
      <c r="Q188" s="658">
        <f t="shared" si="1131"/>
        <v>0</v>
      </c>
      <c r="R188" s="521"/>
      <c r="S188" s="660">
        <f t="shared" si="1159"/>
        <v>0</v>
      </c>
      <c r="T188" s="663" cm="1">
        <f t="array" ref="T188">IF($G188=0,0,-MIN(0,$G188*c_EquityShare.LP))</f>
        <v>0</v>
      </c>
      <c r="U188" s="663" cm="1">
        <f t="array" ref="U188">IF($D188=0,0,S188*c_Rate.Hurdle1.MO)</f>
        <v>0</v>
      </c>
      <c r="V188" s="660">
        <f t="shared" si="1181"/>
        <v>0</v>
      </c>
      <c r="W188" s="660">
        <f t="shared" si="1160"/>
        <v>0</v>
      </c>
      <c r="X188" s="663">
        <f t="shared" si="1182"/>
        <v>0</v>
      </c>
      <c r="Y188" s="663">
        <f t="shared" si="1161"/>
        <v>0</v>
      </c>
      <c r="Z188" s="663">
        <f t="shared" ref="Z188" si="1202">IF(S188=0,0,O188+W188/$J$17*c_Hurdle1.Share_GP)</f>
        <v>0</v>
      </c>
      <c r="AA188" s="663">
        <f t="shared" si="1133"/>
        <v>0</v>
      </c>
      <c r="AB188" s="660">
        <f t="shared" si="1184"/>
        <v>0</v>
      </c>
      <c r="AC188" s="521"/>
      <c r="AD188" s="663">
        <f t="shared" si="769"/>
        <v>0</v>
      </c>
      <c r="AE188" s="663">
        <f t="shared" ref="AE188" si="1203">IF($G188=0,0,-MIN(0,$G188*c_EquityShare.LP))</f>
        <v>0</v>
      </c>
      <c r="AF188" s="663" cm="1">
        <f t="array" ref="AF188">IF($D188=0,0,AD188*(c_Rate.Hurdle2.MO))</f>
        <v>0</v>
      </c>
      <c r="AG188" s="663">
        <f t="shared" si="1135"/>
        <v>0</v>
      </c>
      <c r="AH188" s="663">
        <f t="shared" si="1164"/>
        <v>0</v>
      </c>
      <c r="AI188" s="663">
        <f t="shared" si="1136"/>
        <v>0</v>
      </c>
      <c r="AJ188" s="664">
        <f t="shared" si="1137"/>
        <v>0</v>
      </c>
      <c r="AK188" s="660">
        <f t="shared" si="1138"/>
        <v>0</v>
      </c>
      <c r="AL188" s="663">
        <f t="shared" ref="AL188" si="1204">IF(AD188=0,0,Z188+AH188/$J$18*c_Hurdle2.Share_GP)</f>
        <v>0</v>
      </c>
      <c r="AM188" s="663">
        <f t="shared" si="1140"/>
        <v>0</v>
      </c>
      <c r="AN188" s="660">
        <f t="shared" si="1187"/>
        <v>0</v>
      </c>
      <c r="AO188" s="521"/>
      <c r="AP188" s="663">
        <f t="shared" si="772"/>
        <v>0</v>
      </c>
      <c r="AQ188" s="663">
        <f t="shared" ref="AQ188" si="1205">IF($G188=0,0,-MIN(0,$G188*c_EquityShare.LP))</f>
        <v>0</v>
      </c>
      <c r="AR188" s="663" cm="1">
        <f t="array" ref="AR188">IF($D188=0,0,AP188*(c_Rate.Hurdle3.MO))</f>
        <v>0</v>
      </c>
      <c r="AS188" s="663">
        <f t="shared" si="1142"/>
        <v>0</v>
      </c>
      <c r="AT188" s="663">
        <f t="shared" si="1167"/>
        <v>0</v>
      </c>
      <c r="AU188" s="663">
        <f t="shared" si="1143"/>
        <v>0</v>
      </c>
      <c r="AV188" s="664">
        <f t="shared" si="1144"/>
        <v>0</v>
      </c>
      <c r="AW188" s="660">
        <f t="shared" si="1168"/>
        <v>0</v>
      </c>
      <c r="AX188" s="663">
        <f t="shared" ref="AX188" si="1206">IF(AP188=0,0,AL188+AT188/$J$19*c_Hurdle3.Share_GP)</f>
        <v>0</v>
      </c>
      <c r="AY188" s="663">
        <f t="shared" si="1170"/>
        <v>0</v>
      </c>
      <c r="AZ188" s="660">
        <f t="shared" si="1190"/>
        <v>0</v>
      </c>
      <c r="BA188" s="521"/>
      <c r="BB188" s="660">
        <f t="shared" si="590"/>
        <v>0</v>
      </c>
      <c r="BC188" s="660">
        <f t="shared" ref="BC188" si="1207">$AZ188*c_Residual.Share_GP</f>
        <v>0</v>
      </c>
      <c r="BD188" s="651"/>
      <c r="BE188" s="660">
        <f t="shared" si="1172"/>
        <v>0</v>
      </c>
      <c r="BF188" s="660">
        <f t="shared" si="1172"/>
        <v>0</v>
      </c>
      <c r="BG188" s="660">
        <f t="shared" si="1147"/>
        <v>0</v>
      </c>
      <c r="BI188" s="660">
        <v>0</v>
      </c>
      <c r="BJ188" s="660">
        <v>0</v>
      </c>
      <c r="BK188" s="660">
        <v>0</v>
      </c>
      <c r="BL188" s="660">
        <f t="shared" si="1173"/>
        <v>0</v>
      </c>
      <c r="BM188" s="660">
        <f t="shared" si="1173"/>
        <v>0</v>
      </c>
      <c r="BN188" s="660">
        <f t="shared" si="1174"/>
        <v>0</v>
      </c>
      <c r="BO188" s="660">
        <f t="shared" si="1174"/>
        <v>0</v>
      </c>
      <c r="BP188" s="660">
        <f t="shared" si="1175"/>
        <v>0</v>
      </c>
      <c r="BQ188" s="660">
        <f t="shared" si="1175"/>
        <v>0</v>
      </c>
      <c r="BR188" s="660">
        <v>0</v>
      </c>
      <c r="BS188" s="660">
        <v>0</v>
      </c>
      <c r="BT188" s="660">
        <f t="shared" si="1148"/>
        <v>0</v>
      </c>
      <c r="BU188" s="660">
        <f t="shared" si="1148"/>
        <v>0</v>
      </c>
      <c r="BX188" s="660">
        <v>0</v>
      </c>
      <c r="BY188" s="660">
        <f t="shared" si="1176"/>
        <v>0</v>
      </c>
      <c r="BZ188" s="660">
        <f t="shared" si="1149"/>
        <v>0</v>
      </c>
      <c r="CA188" s="660">
        <f t="shared" si="1150"/>
        <v>0</v>
      </c>
      <c r="CB188" s="660">
        <f t="shared" si="1151"/>
        <v>0</v>
      </c>
      <c r="CC188" s="660">
        <f t="shared" si="1152"/>
        <v>0</v>
      </c>
      <c r="CD188" s="660">
        <f t="shared" si="1177"/>
        <v>0</v>
      </c>
    </row>
    <row r="189" spans="4:82" ht="16" hidden="1" thickTop="1" thickBot="1">
      <c r="D189" s="653"/>
      <c r="E189" s="654"/>
      <c r="F189" s="655" t="str">
        <f t="shared" si="1153"/>
        <v/>
      </c>
      <c r="G189" s="656"/>
      <c r="I189" s="658">
        <f t="shared" si="1154"/>
        <v>0</v>
      </c>
      <c r="J189" s="658">
        <f t="shared" ref="J189" si="1208">IF($G189=0,0,-MIN(0,G189*c_EquityShare.LP))</f>
        <v>0</v>
      </c>
      <c r="K189" s="658">
        <f t="shared" ref="K189" si="1209">I189*c_Rate.Pref_MO</f>
        <v>0</v>
      </c>
      <c r="L189" s="658">
        <f t="shared" si="1130"/>
        <v>0</v>
      </c>
      <c r="M189" s="658">
        <f t="shared" si="1157"/>
        <v>0</v>
      </c>
      <c r="N189" s="658">
        <f t="shared" si="1180"/>
        <v>0</v>
      </c>
      <c r="O189" s="658" cm="1">
        <f t="array" ref="O189">IF(I189=0,0,IF(G189&lt;0,N189/c_EquityShare.LP*i_EquityShare.GP,L189/c_EquityShare.LP*i_EquityShare.GP))</f>
        <v>0</v>
      </c>
      <c r="P189" s="658">
        <f t="shared" si="1158"/>
        <v>0</v>
      </c>
      <c r="Q189" s="658">
        <f t="shared" si="1131"/>
        <v>0</v>
      </c>
      <c r="R189" s="521"/>
      <c r="S189" s="660">
        <f t="shared" si="1159"/>
        <v>0</v>
      </c>
      <c r="T189" s="663" cm="1">
        <f t="array" ref="T189">IF($G189=0,0,-MIN(0,$G189*c_EquityShare.LP))</f>
        <v>0</v>
      </c>
      <c r="U189" s="663" cm="1">
        <f t="array" ref="U189">IF($D189=0,0,S189*c_Rate.Hurdle1.MO)</f>
        <v>0</v>
      </c>
      <c r="V189" s="660">
        <f t="shared" si="1181"/>
        <v>0</v>
      </c>
      <c r="W189" s="660">
        <f t="shared" si="1160"/>
        <v>0</v>
      </c>
      <c r="X189" s="663">
        <f t="shared" si="1182"/>
        <v>0</v>
      </c>
      <c r="Y189" s="663">
        <f t="shared" si="1161"/>
        <v>0</v>
      </c>
      <c r="Z189" s="663">
        <f t="shared" ref="Z189" si="1210">IF(S189=0,0,O189+W189/$J$17*c_Hurdle1.Share_GP)</f>
        <v>0</v>
      </c>
      <c r="AA189" s="663">
        <f t="shared" si="1133"/>
        <v>0</v>
      </c>
      <c r="AB189" s="660">
        <f t="shared" si="1184"/>
        <v>0</v>
      </c>
      <c r="AC189" s="521"/>
      <c r="AD189" s="663">
        <f t="shared" si="769"/>
        <v>0</v>
      </c>
      <c r="AE189" s="663">
        <f t="shared" ref="AE189" si="1211">IF($G189=0,0,-MIN(0,$G189*c_EquityShare.LP))</f>
        <v>0</v>
      </c>
      <c r="AF189" s="663" cm="1">
        <f t="array" ref="AF189">IF($D189=0,0,AD189*(c_Rate.Hurdle2.MO))</f>
        <v>0</v>
      </c>
      <c r="AG189" s="663">
        <f t="shared" si="1135"/>
        <v>0</v>
      </c>
      <c r="AH189" s="663">
        <f t="shared" si="1164"/>
        <v>0</v>
      </c>
      <c r="AI189" s="663">
        <f t="shared" si="1136"/>
        <v>0</v>
      </c>
      <c r="AJ189" s="664">
        <f t="shared" si="1137"/>
        <v>0</v>
      </c>
      <c r="AK189" s="660">
        <f t="shared" si="1138"/>
        <v>0</v>
      </c>
      <c r="AL189" s="663">
        <f t="shared" ref="AL189" si="1212">IF(AD189=0,0,Z189+AH189/$J$18*c_Hurdle2.Share_GP)</f>
        <v>0</v>
      </c>
      <c r="AM189" s="663">
        <f t="shared" si="1140"/>
        <v>0</v>
      </c>
      <c r="AN189" s="660">
        <f t="shared" si="1187"/>
        <v>0</v>
      </c>
      <c r="AO189" s="521"/>
      <c r="AP189" s="663">
        <f t="shared" si="772"/>
        <v>0</v>
      </c>
      <c r="AQ189" s="663">
        <f t="shared" ref="AQ189" si="1213">IF($G189=0,0,-MIN(0,$G189*c_EquityShare.LP))</f>
        <v>0</v>
      </c>
      <c r="AR189" s="663" cm="1">
        <f t="array" ref="AR189">IF($D189=0,0,AP189*(c_Rate.Hurdle3.MO))</f>
        <v>0</v>
      </c>
      <c r="AS189" s="663">
        <f t="shared" si="1142"/>
        <v>0</v>
      </c>
      <c r="AT189" s="663">
        <f t="shared" si="1167"/>
        <v>0</v>
      </c>
      <c r="AU189" s="663">
        <f t="shared" si="1143"/>
        <v>0</v>
      </c>
      <c r="AV189" s="664">
        <f t="shared" si="1144"/>
        <v>0</v>
      </c>
      <c r="AW189" s="660">
        <f t="shared" si="1168"/>
        <v>0</v>
      </c>
      <c r="AX189" s="663">
        <f t="shared" ref="AX189" si="1214">IF(AP189=0,0,AL189+AT189/$J$19*c_Hurdle3.Share_GP)</f>
        <v>0</v>
      </c>
      <c r="AY189" s="663">
        <f t="shared" si="1170"/>
        <v>0</v>
      </c>
      <c r="AZ189" s="660">
        <f t="shared" si="1190"/>
        <v>0</v>
      </c>
      <c r="BA189" s="521"/>
      <c r="BB189" s="660">
        <f t="shared" si="590"/>
        <v>0</v>
      </c>
      <c r="BC189" s="660">
        <f t="shared" ref="BC189" si="1215">$AZ189*c_Residual.Share_GP</f>
        <v>0</v>
      </c>
      <c r="BD189" s="651"/>
      <c r="BE189" s="660">
        <f t="shared" si="1172"/>
        <v>0</v>
      </c>
      <c r="BF189" s="660">
        <f t="shared" si="1172"/>
        <v>0</v>
      </c>
      <c r="BG189" s="660">
        <f t="shared" si="1147"/>
        <v>0</v>
      </c>
      <c r="BI189" s="660">
        <v>0</v>
      </c>
      <c r="BJ189" s="660">
        <v>0</v>
      </c>
      <c r="BK189" s="660">
        <v>0</v>
      </c>
      <c r="BL189" s="660">
        <f t="shared" si="1173"/>
        <v>0</v>
      </c>
      <c r="BM189" s="660">
        <f t="shared" si="1173"/>
        <v>0</v>
      </c>
      <c r="BN189" s="660">
        <f t="shared" si="1174"/>
        <v>0</v>
      </c>
      <c r="BO189" s="660">
        <f t="shared" si="1174"/>
        <v>0</v>
      </c>
      <c r="BP189" s="660">
        <f t="shared" si="1175"/>
        <v>0</v>
      </c>
      <c r="BQ189" s="660">
        <f t="shared" si="1175"/>
        <v>0</v>
      </c>
      <c r="BR189" s="660">
        <v>0</v>
      </c>
      <c r="BS189" s="660">
        <v>0</v>
      </c>
      <c r="BT189" s="660">
        <f t="shared" si="1148"/>
        <v>0</v>
      </c>
      <c r="BU189" s="660">
        <f t="shared" si="1148"/>
        <v>0</v>
      </c>
      <c r="BX189" s="660">
        <v>0</v>
      </c>
      <c r="BY189" s="660">
        <f t="shared" si="1176"/>
        <v>0</v>
      </c>
      <c r="BZ189" s="660">
        <f t="shared" si="1149"/>
        <v>0</v>
      </c>
      <c r="CA189" s="660">
        <f t="shared" si="1150"/>
        <v>0</v>
      </c>
      <c r="CB189" s="660">
        <f t="shared" si="1151"/>
        <v>0</v>
      </c>
      <c r="CC189" s="660">
        <f t="shared" si="1152"/>
        <v>0</v>
      </c>
      <c r="CD189" s="660">
        <f t="shared" si="1177"/>
        <v>0</v>
      </c>
    </row>
    <row r="190" spans="4:82" ht="16" hidden="1" thickTop="1" thickBot="1">
      <c r="D190" s="653"/>
      <c r="E190" s="654"/>
      <c r="F190" s="655" t="str">
        <f t="shared" si="1153"/>
        <v/>
      </c>
      <c r="G190" s="656"/>
      <c r="I190" s="658">
        <f t="shared" si="1154"/>
        <v>0</v>
      </c>
      <c r="J190" s="658">
        <f t="shared" ref="J190" si="1216">IF($G190=0,0,-MIN(0,G190*c_EquityShare.LP))</f>
        <v>0</v>
      </c>
      <c r="K190" s="658">
        <f t="shared" ref="K190" si="1217">I190*c_Rate.Pref_MO</f>
        <v>0</v>
      </c>
      <c r="L190" s="658">
        <f t="shared" si="1130"/>
        <v>0</v>
      </c>
      <c r="M190" s="658">
        <f t="shared" si="1157"/>
        <v>0</v>
      </c>
      <c r="N190" s="658">
        <f t="shared" si="1180"/>
        <v>0</v>
      </c>
      <c r="O190" s="658" cm="1">
        <f t="array" ref="O190">IF(I190=0,0,IF(G190&lt;0,N190/c_EquityShare.LP*i_EquityShare.GP,L190/c_EquityShare.LP*i_EquityShare.GP))</f>
        <v>0</v>
      </c>
      <c r="P190" s="658">
        <f t="shared" si="1158"/>
        <v>0</v>
      </c>
      <c r="Q190" s="658">
        <f t="shared" si="1131"/>
        <v>0</v>
      </c>
      <c r="R190" s="521"/>
      <c r="S190" s="660">
        <f t="shared" si="1159"/>
        <v>0</v>
      </c>
      <c r="T190" s="663" cm="1">
        <f t="array" ref="T190">IF($G190=0,0,-MIN(0,$G190*c_EquityShare.LP))</f>
        <v>0</v>
      </c>
      <c r="U190" s="663" cm="1">
        <f t="array" ref="U190">IF($D190=0,0,S190*c_Rate.Hurdle1.MO)</f>
        <v>0</v>
      </c>
      <c r="V190" s="660">
        <f t="shared" si="1181"/>
        <v>0</v>
      </c>
      <c r="W190" s="660">
        <f t="shared" si="1160"/>
        <v>0</v>
      </c>
      <c r="X190" s="663">
        <f t="shared" si="1182"/>
        <v>0</v>
      </c>
      <c r="Y190" s="663">
        <f t="shared" si="1161"/>
        <v>0</v>
      </c>
      <c r="Z190" s="663">
        <f t="shared" ref="Z190" si="1218">IF(S190=0,0,O190+W190/$J$17*c_Hurdle1.Share_GP)</f>
        <v>0</v>
      </c>
      <c r="AA190" s="663">
        <f t="shared" si="1133"/>
        <v>0</v>
      </c>
      <c r="AB190" s="660">
        <f t="shared" si="1184"/>
        <v>0</v>
      </c>
      <c r="AC190" s="521"/>
      <c r="AD190" s="663">
        <f t="shared" si="769"/>
        <v>0</v>
      </c>
      <c r="AE190" s="663">
        <f t="shared" ref="AE190" si="1219">IF($G190=0,0,-MIN(0,$G190*c_EquityShare.LP))</f>
        <v>0</v>
      </c>
      <c r="AF190" s="663" cm="1">
        <f t="array" ref="AF190">IF($D190=0,0,AD190*(c_Rate.Hurdle2.MO))</f>
        <v>0</v>
      </c>
      <c r="AG190" s="663">
        <f t="shared" si="1135"/>
        <v>0</v>
      </c>
      <c r="AH190" s="663">
        <f t="shared" si="1164"/>
        <v>0</v>
      </c>
      <c r="AI190" s="663">
        <f t="shared" si="1136"/>
        <v>0</v>
      </c>
      <c r="AJ190" s="664">
        <f t="shared" si="1137"/>
        <v>0</v>
      </c>
      <c r="AK190" s="660">
        <f t="shared" si="1138"/>
        <v>0</v>
      </c>
      <c r="AL190" s="663">
        <f t="shared" ref="AL190" si="1220">IF(AD190=0,0,Z190+AH190/$J$18*c_Hurdle2.Share_GP)</f>
        <v>0</v>
      </c>
      <c r="AM190" s="663">
        <f t="shared" si="1140"/>
        <v>0</v>
      </c>
      <c r="AN190" s="660">
        <f t="shared" si="1187"/>
        <v>0</v>
      </c>
      <c r="AO190" s="521"/>
      <c r="AP190" s="663">
        <f t="shared" si="772"/>
        <v>0</v>
      </c>
      <c r="AQ190" s="663">
        <f t="shared" ref="AQ190" si="1221">IF($G190=0,0,-MIN(0,$G190*c_EquityShare.LP))</f>
        <v>0</v>
      </c>
      <c r="AR190" s="663" cm="1">
        <f t="array" ref="AR190">IF($D190=0,0,AP190*(c_Rate.Hurdle3.MO))</f>
        <v>0</v>
      </c>
      <c r="AS190" s="663">
        <f t="shared" si="1142"/>
        <v>0</v>
      </c>
      <c r="AT190" s="663">
        <f t="shared" si="1167"/>
        <v>0</v>
      </c>
      <c r="AU190" s="663">
        <f t="shared" si="1143"/>
        <v>0</v>
      </c>
      <c r="AV190" s="664">
        <f t="shared" si="1144"/>
        <v>0</v>
      </c>
      <c r="AW190" s="660">
        <f t="shared" si="1168"/>
        <v>0</v>
      </c>
      <c r="AX190" s="663">
        <f t="shared" ref="AX190" si="1222">IF(AP190=0,0,AL190+AT190/$J$19*c_Hurdle3.Share_GP)</f>
        <v>0</v>
      </c>
      <c r="AY190" s="663">
        <f t="shared" si="1170"/>
        <v>0</v>
      </c>
      <c r="AZ190" s="660">
        <f t="shared" si="1190"/>
        <v>0</v>
      </c>
      <c r="BA190" s="521"/>
      <c r="BB190" s="660">
        <f t="shared" si="590"/>
        <v>0</v>
      </c>
      <c r="BC190" s="660">
        <f t="shared" ref="BC190" si="1223">$AZ190*c_Residual.Share_GP</f>
        <v>0</v>
      </c>
      <c r="BD190" s="651"/>
      <c r="BE190" s="660">
        <f t="shared" si="1172"/>
        <v>0</v>
      </c>
      <c r="BF190" s="660">
        <f t="shared" si="1172"/>
        <v>0</v>
      </c>
      <c r="BG190" s="660">
        <f t="shared" si="1147"/>
        <v>0</v>
      </c>
      <c r="BI190" s="660">
        <v>0</v>
      </c>
      <c r="BJ190" s="660">
        <v>0</v>
      </c>
      <c r="BK190" s="660">
        <v>0</v>
      </c>
      <c r="BL190" s="660">
        <f t="shared" si="1173"/>
        <v>0</v>
      </c>
      <c r="BM190" s="660">
        <f t="shared" si="1173"/>
        <v>0</v>
      </c>
      <c r="BN190" s="660">
        <f t="shared" si="1174"/>
        <v>0</v>
      </c>
      <c r="BO190" s="660">
        <f t="shared" si="1174"/>
        <v>0</v>
      </c>
      <c r="BP190" s="660">
        <f t="shared" si="1175"/>
        <v>0</v>
      </c>
      <c r="BQ190" s="660">
        <f t="shared" si="1175"/>
        <v>0</v>
      </c>
      <c r="BR190" s="660">
        <v>0</v>
      </c>
      <c r="BS190" s="660">
        <v>0</v>
      </c>
      <c r="BT190" s="660">
        <f t="shared" si="1148"/>
        <v>0</v>
      </c>
      <c r="BU190" s="660">
        <f t="shared" si="1148"/>
        <v>0</v>
      </c>
      <c r="BX190" s="660">
        <v>0</v>
      </c>
      <c r="BY190" s="660">
        <f t="shared" si="1176"/>
        <v>0</v>
      </c>
      <c r="BZ190" s="660">
        <f t="shared" si="1149"/>
        <v>0</v>
      </c>
      <c r="CA190" s="660">
        <f t="shared" si="1150"/>
        <v>0</v>
      </c>
      <c r="CB190" s="660">
        <f t="shared" si="1151"/>
        <v>0</v>
      </c>
      <c r="CC190" s="660">
        <f t="shared" si="1152"/>
        <v>0</v>
      </c>
      <c r="CD190" s="660">
        <f t="shared" si="1177"/>
        <v>0</v>
      </c>
    </row>
    <row r="191" spans="4:82" ht="16" hidden="1" thickTop="1" thickBot="1">
      <c r="D191" s="653"/>
      <c r="E191" s="654"/>
      <c r="F191" s="655" t="str">
        <f t="shared" si="1153"/>
        <v/>
      </c>
      <c r="G191" s="656"/>
      <c r="I191" s="658">
        <f t="shared" si="1154"/>
        <v>0</v>
      </c>
      <c r="J191" s="658">
        <f t="shared" ref="J191" si="1224">IF($G191=0,0,-MIN(0,G191*c_EquityShare.LP))</f>
        <v>0</v>
      </c>
      <c r="K191" s="658">
        <f t="shared" ref="K191" si="1225">I191*c_Rate.Pref_MO</f>
        <v>0</v>
      </c>
      <c r="L191" s="658">
        <f t="shared" si="1130"/>
        <v>0</v>
      </c>
      <c r="M191" s="658">
        <f t="shared" si="1157"/>
        <v>0</v>
      </c>
      <c r="N191" s="658">
        <f t="shared" si="1180"/>
        <v>0</v>
      </c>
      <c r="O191" s="658" cm="1">
        <f t="array" ref="O191">IF(I191=0,0,IF(G191&lt;0,N191/c_EquityShare.LP*i_EquityShare.GP,L191/c_EquityShare.LP*i_EquityShare.GP))</f>
        <v>0</v>
      </c>
      <c r="P191" s="658">
        <f t="shared" si="1158"/>
        <v>0</v>
      </c>
      <c r="Q191" s="658">
        <f t="shared" si="1131"/>
        <v>0</v>
      </c>
      <c r="R191" s="521"/>
      <c r="S191" s="660">
        <f t="shared" si="1159"/>
        <v>0</v>
      </c>
      <c r="T191" s="663" cm="1">
        <f t="array" ref="T191">IF($G191=0,0,-MIN(0,$G191*c_EquityShare.LP))</f>
        <v>0</v>
      </c>
      <c r="U191" s="663" cm="1">
        <f t="array" ref="U191">IF($D191=0,0,S191*c_Rate.Hurdle1.MO)</f>
        <v>0</v>
      </c>
      <c r="V191" s="660">
        <f t="shared" si="1181"/>
        <v>0</v>
      </c>
      <c r="W191" s="660">
        <f t="shared" si="1160"/>
        <v>0</v>
      </c>
      <c r="X191" s="663">
        <f t="shared" si="1182"/>
        <v>0</v>
      </c>
      <c r="Y191" s="663">
        <f t="shared" si="1161"/>
        <v>0</v>
      </c>
      <c r="Z191" s="663">
        <f t="shared" ref="Z191" si="1226">IF(S191=0,0,O191+W191/$J$17*c_Hurdle1.Share_GP)</f>
        <v>0</v>
      </c>
      <c r="AA191" s="663">
        <f t="shared" si="1133"/>
        <v>0</v>
      </c>
      <c r="AB191" s="660">
        <f t="shared" si="1184"/>
        <v>0</v>
      </c>
      <c r="AC191" s="521"/>
      <c r="AD191" s="663">
        <f t="shared" si="769"/>
        <v>0</v>
      </c>
      <c r="AE191" s="663">
        <f t="shared" ref="AE191" si="1227">IF($G191=0,0,-MIN(0,$G191*c_EquityShare.LP))</f>
        <v>0</v>
      </c>
      <c r="AF191" s="663" cm="1">
        <f t="array" ref="AF191">IF($D191=0,0,AD191*(c_Rate.Hurdle2.MO))</f>
        <v>0</v>
      </c>
      <c r="AG191" s="663">
        <f t="shared" si="1135"/>
        <v>0</v>
      </c>
      <c r="AH191" s="663">
        <f t="shared" si="1164"/>
        <v>0</v>
      </c>
      <c r="AI191" s="663">
        <f t="shared" si="1136"/>
        <v>0</v>
      </c>
      <c r="AJ191" s="664">
        <f t="shared" si="1137"/>
        <v>0</v>
      </c>
      <c r="AK191" s="660">
        <f t="shared" si="1138"/>
        <v>0</v>
      </c>
      <c r="AL191" s="663">
        <f t="shared" ref="AL191" si="1228">IF(AD191=0,0,Z191+AH191/$J$18*c_Hurdle2.Share_GP)</f>
        <v>0</v>
      </c>
      <c r="AM191" s="663">
        <f t="shared" si="1140"/>
        <v>0</v>
      </c>
      <c r="AN191" s="660">
        <f t="shared" si="1187"/>
        <v>0</v>
      </c>
      <c r="AO191" s="521"/>
      <c r="AP191" s="663">
        <f t="shared" si="772"/>
        <v>0</v>
      </c>
      <c r="AQ191" s="663">
        <f t="shared" ref="AQ191" si="1229">IF($G191=0,0,-MIN(0,$G191*c_EquityShare.LP))</f>
        <v>0</v>
      </c>
      <c r="AR191" s="663" cm="1">
        <f t="array" ref="AR191">IF($D191=0,0,AP191*(c_Rate.Hurdle3.MO))</f>
        <v>0</v>
      </c>
      <c r="AS191" s="663">
        <f t="shared" si="1142"/>
        <v>0</v>
      </c>
      <c r="AT191" s="663">
        <f t="shared" si="1167"/>
        <v>0</v>
      </c>
      <c r="AU191" s="663">
        <f t="shared" si="1143"/>
        <v>0</v>
      </c>
      <c r="AV191" s="664">
        <f t="shared" si="1144"/>
        <v>0</v>
      </c>
      <c r="AW191" s="660">
        <f t="shared" si="1168"/>
        <v>0</v>
      </c>
      <c r="AX191" s="663">
        <f t="shared" ref="AX191" si="1230">IF(AP191=0,0,AL191+AT191/$J$19*c_Hurdle3.Share_GP)</f>
        <v>0</v>
      </c>
      <c r="AY191" s="663">
        <f t="shared" si="1170"/>
        <v>0</v>
      </c>
      <c r="AZ191" s="660">
        <f t="shared" si="1190"/>
        <v>0</v>
      </c>
      <c r="BA191" s="521"/>
      <c r="BB191" s="660">
        <f t="shared" si="590"/>
        <v>0</v>
      </c>
      <c r="BC191" s="660">
        <f t="shared" ref="BC191" si="1231">$AZ191*c_Residual.Share_GP</f>
        <v>0</v>
      </c>
      <c r="BD191" s="651"/>
      <c r="BE191" s="660">
        <f t="shared" si="1172"/>
        <v>0</v>
      </c>
      <c r="BF191" s="660">
        <f t="shared" si="1172"/>
        <v>0</v>
      </c>
      <c r="BG191" s="660">
        <f t="shared" si="1147"/>
        <v>0</v>
      </c>
      <c r="BI191" s="660">
        <v>0</v>
      </c>
      <c r="BJ191" s="660">
        <v>0</v>
      </c>
      <c r="BK191" s="660">
        <v>0</v>
      </c>
      <c r="BL191" s="660">
        <f t="shared" si="1173"/>
        <v>0</v>
      </c>
      <c r="BM191" s="660">
        <f t="shared" si="1173"/>
        <v>0</v>
      </c>
      <c r="BN191" s="660">
        <f t="shared" si="1174"/>
        <v>0</v>
      </c>
      <c r="BO191" s="660">
        <f t="shared" si="1174"/>
        <v>0</v>
      </c>
      <c r="BP191" s="660">
        <f t="shared" si="1175"/>
        <v>0</v>
      </c>
      <c r="BQ191" s="660">
        <f t="shared" si="1175"/>
        <v>0</v>
      </c>
      <c r="BR191" s="660">
        <v>0</v>
      </c>
      <c r="BS191" s="660">
        <v>0</v>
      </c>
      <c r="BT191" s="660">
        <f t="shared" si="1148"/>
        <v>0</v>
      </c>
      <c r="BU191" s="660">
        <f t="shared" si="1148"/>
        <v>0</v>
      </c>
      <c r="BX191" s="660">
        <v>0</v>
      </c>
      <c r="BY191" s="660">
        <f t="shared" si="1176"/>
        <v>0</v>
      </c>
      <c r="BZ191" s="660">
        <f t="shared" si="1149"/>
        <v>0</v>
      </c>
      <c r="CA191" s="660">
        <f t="shared" si="1150"/>
        <v>0</v>
      </c>
      <c r="CB191" s="660">
        <f t="shared" si="1151"/>
        <v>0</v>
      </c>
      <c r="CC191" s="660">
        <f t="shared" si="1152"/>
        <v>0</v>
      </c>
      <c r="CD191" s="660">
        <f t="shared" si="1177"/>
        <v>0</v>
      </c>
    </row>
    <row r="192" spans="4:82" ht="16" hidden="1" thickTop="1" thickBot="1">
      <c r="D192" s="653"/>
      <c r="E192" s="654"/>
      <c r="F192" s="655" t="str">
        <f t="shared" si="1153"/>
        <v/>
      </c>
      <c r="G192" s="656"/>
      <c r="I192" s="658">
        <f t="shared" si="1154"/>
        <v>0</v>
      </c>
      <c r="J192" s="658">
        <f t="shared" ref="J192" si="1232">IF($G192=0,0,-MIN(0,G192*c_EquityShare.LP))</f>
        <v>0</v>
      </c>
      <c r="K192" s="658">
        <f t="shared" ref="K192" si="1233">I192*c_Rate.Pref_MO</f>
        <v>0</v>
      </c>
      <c r="L192" s="658">
        <f t="shared" si="1130"/>
        <v>0</v>
      </c>
      <c r="M192" s="658">
        <f t="shared" si="1157"/>
        <v>0</v>
      </c>
      <c r="N192" s="658">
        <f t="shared" si="1180"/>
        <v>0</v>
      </c>
      <c r="O192" s="658" cm="1">
        <f t="array" ref="O192">IF(I192=0,0,IF(G192&lt;0,N192/c_EquityShare.LP*i_EquityShare.GP,L192/c_EquityShare.LP*i_EquityShare.GP))</f>
        <v>0</v>
      </c>
      <c r="P192" s="658">
        <f t="shared" si="1158"/>
        <v>0</v>
      </c>
      <c r="Q192" s="658">
        <f t="shared" si="1131"/>
        <v>0</v>
      </c>
      <c r="R192" s="521"/>
      <c r="S192" s="660">
        <f t="shared" si="1159"/>
        <v>0</v>
      </c>
      <c r="T192" s="663" cm="1">
        <f t="array" ref="T192">IF($G192=0,0,-MIN(0,$G192*c_EquityShare.LP))</f>
        <v>0</v>
      </c>
      <c r="U192" s="663" cm="1">
        <f t="array" ref="U192">IF($D192=0,0,S192*c_Rate.Hurdle1.MO)</f>
        <v>0</v>
      </c>
      <c r="V192" s="660">
        <f t="shared" si="1181"/>
        <v>0</v>
      </c>
      <c r="W192" s="660">
        <f t="shared" si="1160"/>
        <v>0</v>
      </c>
      <c r="X192" s="663">
        <f t="shared" si="1182"/>
        <v>0</v>
      </c>
      <c r="Y192" s="663">
        <f t="shared" si="1161"/>
        <v>0</v>
      </c>
      <c r="Z192" s="663">
        <f t="shared" ref="Z192" si="1234">IF(S192=0,0,O192+W192/$J$17*c_Hurdle1.Share_GP)</f>
        <v>0</v>
      </c>
      <c r="AA192" s="663">
        <f t="shared" si="1133"/>
        <v>0</v>
      </c>
      <c r="AB192" s="660">
        <f t="shared" si="1184"/>
        <v>0</v>
      </c>
      <c r="AC192" s="521"/>
      <c r="AD192" s="663">
        <f t="shared" si="769"/>
        <v>0</v>
      </c>
      <c r="AE192" s="663">
        <f t="shared" ref="AE192" si="1235">IF($G192=0,0,-MIN(0,$G192*c_EquityShare.LP))</f>
        <v>0</v>
      </c>
      <c r="AF192" s="663" cm="1">
        <f t="array" ref="AF192">IF($D192=0,0,AD192*(c_Rate.Hurdle2.MO))</f>
        <v>0</v>
      </c>
      <c r="AG192" s="663">
        <f t="shared" si="1135"/>
        <v>0</v>
      </c>
      <c r="AH192" s="663">
        <f t="shared" si="1164"/>
        <v>0</v>
      </c>
      <c r="AI192" s="663">
        <f t="shared" si="1136"/>
        <v>0</v>
      </c>
      <c r="AJ192" s="664">
        <f t="shared" si="1137"/>
        <v>0</v>
      </c>
      <c r="AK192" s="660">
        <f t="shared" si="1138"/>
        <v>0</v>
      </c>
      <c r="AL192" s="663">
        <f t="shared" ref="AL192" si="1236">IF(AD192=0,0,Z192+AH192/$J$18*c_Hurdle2.Share_GP)</f>
        <v>0</v>
      </c>
      <c r="AM192" s="663">
        <f t="shared" si="1140"/>
        <v>0</v>
      </c>
      <c r="AN192" s="660">
        <f t="shared" si="1187"/>
        <v>0</v>
      </c>
      <c r="AO192" s="521"/>
      <c r="AP192" s="663">
        <f t="shared" si="772"/>
        <v>0</v>
      </c>
      <c r="AQ192" s="663">
        <f t="shared" ref="AQ192" si="1237">IF($G192=0,0,-MIN(0,$G192*c_EquityShare.LP))</f>
        <v>0</v>
      </c>
      <c r="AR192" s="663" cm="1">
        <f t="array" ref="AR192">IF($D192=0,0,AP192*(c_Rate.Hurdle3.MO))</f>
        <v>0</v>
      </c>
      <c r="AS192" s="663">
        <f t="shared" si="1142"/>
        <v>0</v>
      </c>
      <c r="AT192" s="663">
        <f t="shared" si="1167"/>
        <v>0</v>
      </c>
      <c r="AU192" s="663">
        <f t="shared" si="1143"/>
        <v>0</v>
      </c>
      <c r="AV192" s="664">
        <f t="shared" si="1144"/>
        <v>0</v>
      </c>
      <c r="AW192" s="660">
        <f t="shared" si="1168"/>
        <v>0</v>
      </c>
      <c r="AX192" s="663">
        <f t="shared" ref="AX192" si="1238">IF(AP192=0,0,AL192+AT192/$J$19*c_Hurdle3.Share_GP)</f>
        <v>0</v>
      </c>
      <c r="AY192" s="663">
        <f t="shared" si="1170"/>
        <v>0</v>
      </c>
      <c r="AZ192" s="660">
        <f t="shared" si="1190"/>
        <v>0</v>
      </c>
      <c r="BA192" s="521"/>
      <c r="BB192" s="660">
        <f t="shared" si="590"/>
        <v>0</v>
      </c>
      <c r="BC192" s="660">
        <f t="shared" ref="BC192" si="1239">$AZ192*c_Residual.Share_GP</f>
        <v>0</v>
      </c>
      <c r="BD192" s="651"/>
      <c r="BE192" s="660">
        <f t="shared" si="1172"/>
        <v>0</v>
      </c>
      <c r="BF192" s="660">
        <f t="shared" si="1172"/>
        <v>0</v>
      </c>
      <c r="BG192" s="660">
        <f t="shared" si="1147"/>
        <v>0</v>
      </c>
      <c r="BI192" s="660">
        <v>0</v>
      </c>
      <c r="BJ192" s="660">
        <v>0</v>
      </c>
      <c r="BK192" s="660">
        <v>0</v>
      </c>
      <c r="BL192" s="660">
        <f t="shared" si="1173"/>
        <v>0</v>
      </c>
      <c r="BM192" s="660">
        <f t="shared" si="1173"/>
        <v>0</v>
      </c>
      <c r="BN192" s="660">
        <f t="shared" si="1174"/>
        <v>0</v>
      </c>
      <c r="BO192" s="660">
        <f t="shared" si="1174"/>
        <v>0</v>
      </c>
      <c r="BP192" s="660">
        <f t="shared" si="1175"/>
        <v>0</v>
      </c>
      <c r="BQ192" s="660">
        <f t="shared" si="1175"/>
        <v>0</v>
      </c>
      <c r="BR192" s="660">
        <v>0</v>
      </c>
      <c r="BS192" s="660">
        <v>0</v>
      </c>
      <c r="BT192" s="660">
        <f t="shared" si="1148"/>
        <v>0</v>
      </c>
      <c r="BU192" s="660">
        <f t="shared" si="1148"/>
        <v>0</v>
      </c>
      <c r="BX192" s="660">
        <v>0</v>
      </c>
      <c r="BY192" s="660">
        <f t="shared" si="1176"/>
        <v>0</v>
      </c>
      <c r="BZ192" s="660">
        <f t="shared" si="1149"/>
        <v>0</v>
      </c>
      <c r="CA192" s="660">
        <f t="shared" si="1150"/>
        <v>0</v>
      </c>
      <c r="CB192" s="660">
        <f t="shared" si="1151"/>
        <v>0</v>
      </c>
      <c r="CC192" s="660">
        <f t="shared" si="1152"/>
        <v>0</v>
      </c>
      <c r="CD192" s="660">
        <f t="shared" si="1177"/>
        <v>0</v>
      </c>
    </row>
    <row r="193" spans="4:82" ht="16" hidden="1" thickTop="1" thickBot="1">
      <c r="D193" s="653"/>
      <c r="E193" s="654"/>
      <c r="F193" s="655" t="str">
        <f t="shared" si="1153"/>
        <v/>
      </c>
      <c r="G193" s="656"/>
      <c r="I193" s="658">
        <f t="shared" si="1154"/>
        <v>0</v>
      </c>
      <c r="J193" s="658">
        <f t="shared" ref="J193" si="1240">IF($G193=0,0,-MIN(0,G193*c_EquityShare.LP))</f>
        <v>0</v>
      </c>
      <c r="K193" s="658">
        <f t="shared" ref="K193" si="1241">I193*c_Rate.Pref_MO</f>
        <v>0</v>
      </c>
      <c r="L193" s="658">
        <f t="shared" si="1130"/>
        <v>0</v>
      </c>
      <c r="M193" s="658">
        <f t="shared" si="1157"/>
        <v>0</v>
      </c>
      <c r="N193" s="658">
        <f t="shared" si="1180"/>
        <v>0</v>
      </c>
      <c r="O193" s="658" cm="1">
        <f t="array" ref="O193">IF(I193=0,0,IF(G193&lt;0,N193/c_EquityShare.LP*i_EquityShare.GP,L193/c_EquityShare.LP*i_EquityShare.GP))</f>
        <v>0</v>
      </c>
      <c r="P193" s="658">
        <f t="shared" si="1158"/>
        <v>0</v>
      </c>
      <c r="Q193" s="658">
        <f t="shared" si="1131"/>
        <v>0</v>
      </c>
      <c r="R193" s="521"/>
      <c r="S193" s="660">
        <f t="shared" si="1159"/>
        <v>0</v>
      </c>
      <c r="T193" s="663" cm="1">
        <f t="array" ref="T193">IF($G193=0,0,-MIN(0,$G193*c_EquityShare.LP))</f>
        <v>0</v>
      </c>
      <c r="U193" s="663" cm="1">
        <f t="array" ref="U193">IF($D193=0,0,S193*c_Rate.Hurdle1.MO)</f>
        <v>0</v>
      </c>
      <c r="V193" s="660">
        <f t="shared" si="1181"/>
        <v>0</v>
      </c>
      <c r="W193" s="660">
        <f t="shared" si="1160"/>
        <v>0</v>
      </c>
      <c r="X193" s="663">
        <f t="shared" si="1182"/>
        <v>0</v>
      </c>
      <c r="Y193" s="663">
        <f t="shared" si="1161"/>
        <v>0</v>
      </c>
      <c r="Z193" s="663">
        <f t="shared" ref="Z193" si="1242">IF(S193=0,0,O193+W193/$J$17*c_Hurdle1.Share_GP)</f>
        <v>0</v>
      </c>
      <c r="AA193" s="663">
        <f t="shared" si="1133"/>
        <v>0</v>
      </c>
      <c r="AB193" s="660">
        <f t="shared" si="1184"/>
        <v>0</v>
      </c>
      <c r="AC193" s="521"/>
      <c r="AD193" s="663">
        <f t="shared" si="769"/>
        <v>0</v>
      </c>
      <c r="AE193" s="663">
        <f t="shared" ref="AE193" si="1243">IF($G193=0,0,-MIN(0,$G193*c_EquityShare.LP))</f>
        <v>0</v>
      </c>
      <c r="AF193" s="663" cm="1">
        <f t="array" ref="AF193">IF($D193=0,0,AD193*(c_Rate.Hurdle2.MO))</f>
        <v>0</v>
      </c>
      <c r="AG193" s="663">
        <f t="shared" si="1135"/>
        <v>0</v>
      </c>
      <c r="AH193" s="663">
        <f t="shared" si="1164"/>
        <v>0</v>
      </c>
      <c r="AI193" s="663">
        <f t="shared" si="1136"/>
        <v>0</v>
      </c>
      <c r="AJ193" s="664">
        <f t="shared" si="1137"/>
        <v>0</v>
      </c>
      <c r="AK193" s="660">
        <f t="shared" si="1138"/>
        <v>0</v>
      </c>
      <c r="AL193" s="663">
        <f t="shared" ref="AL193" si="1244">IF(AD193=0,0,Z193+AH193/$J$18*c_Hurdle2.Share_GP)</f>
        <v>0</v>
      </c>
      <c r="AM193" s="663">
        <f t="shared" si="1140"/>
        <v>0</v>
      </c>
      <c r="AN193" s="660">
        <f t="shared" si="1187"/>
        <v>0</v>
      </c>
      <c r="AO193" s="521"/>
      <c r="AP193" s="663">
        <f t="shared" si="772"/>
        <v>0</v>
      </c>
      <c r="AQ193" s="663">
        <f t="shared" ref="AQ193" si="1245">IF($G193=0,0,-MIN(0,$G193*c_EquityShare.LP))</f>
        <v>0</v>
      </c>
      <c r="AR193" s="663" cm="1">
        <f t="array" ref="AR193">IF($D193=0,0,AP193*(c_Rate.Hurdle3.MO))</f>
        <v>0</v>
      </c>
      <c r="AS193" s="663">
        <f t="shared" si="1142"/>
        <v>0</v>
      </c>
      <c r="AT193" s="663">
        <f t="shared" si="1167"/>
        <v>0</v>
      </c>
      <c r="AU193" s="663">
        <f t="shared" si="1143"/>
        <v>0</v>
      </c>
      <c r="AV193" s="664">
        <f t="shared" si="1144"/>
        <v>0</v>
      </c>
      <c r="AW193" s="660">
        <f t="shared" si="1168"/>
        <v>0</v>
      </c>
      <c r="AX193" s="663">
        <f t="shared" ref="AX193" si="1246">IF(AP193=0,0,AL193+AT193/$J$19*c_Hurdle3.Share_GP)</f>
        <v>0</v>
      </c>
      <c r="AY193" s="663">
        <f t="shared" si="1170"/>
        <v>0</v>
      </c>
      <c r="AZ193" s="660">
        <f t="shared" si="1190"/>
        <v>0</v>
      </c>
      <c r="BA193" s="521"/>
      <c r="BB193" s="660">
        <f t="shared" si="590"/>
        <v>0</v>
      </c>
      <c r="BC193" s="660">
        <f t="shared" ref="BC193" si="1247">$AZ193*c_Residual.Share_GP</f>
        <v>0</v>
      </c>
      <c r="BD193" s="651"/>
      <c r="BE193" s="660">
        <f t="shared" si="1172"/>
        <v>0</v>
      </c>
      <c r="BF193" s="660">
        <f t="shared" si="1172"/>
        <v>0</v>
      </c>
      <c r="BG193" s="660">
        <f t="shared" si="1147"/>
        <v>0</v>
      </c>
      <c r="BI193" s="660">
        <v>0</v>
      </c>
      <c r="BJ193" s="660">
        <v>0</v>
      </c>
      <c r="BK193" s="660">
        <v>0</v>
      </c>
      <c r="BL193" s="660">
        <f t="shared" si="1173"/>
        <v>0</v>
      </c>
      <c r="BM193" s="660">
        <f t="shared" si="1173"/>
        <v>0</v>
      </c>
      <c r="BN193" s="660">
        <f t="shared" si="1174"/>
        <v>0</v>
      </c>
      <c r="BO193" s="660">
        <f t="shared" si="1174"/>
        <v>0</v>
      </c>
      <c r="BP193" s="660">
        <f t="shared" si="1175"/>
        <v>0</v>
      </c>
      <c r="BQ193" s="660">
        <f t="shared" si="1175"/>
        <v>0</v>
      </c>
      <c r="BR193" s="660">
        <v>0</v>
      </c>
      <c r="BS193" s="660">
        <v>0</v>
      </c>
      <c r="BT193" s="660">
        <f t="shared" si="1148"/>
        <v>0</v>
      </c>
      <c r="BU193" s="660">
        <f t="shared" si="1148"/>
        <v>0</v>
      </c>
      <c r="BX193" s="660">
        <v>0</v>
      </c>
      <c r="BY193" s="660">
        <f t="shared" si="1176"/>
        <v>0</v>
      </c>
      <c r="BZ193" s="660">
        <f t="shared" si="1149"/>
        <v>0</v>
      </c>
      <c r="CA193" s="660">
        <f t="shared" si="1150"/>
        <v>0</v>
      </c>
      <c r="CB193" s="660">
        <f t="shared" si="1151"/>
        <v>0</v>
      </c>
      <c r="CC193" s="660">
        <f t="shared" si="1152"/>
        <v>0</v>
      </c>
      <c r="CD193" s="660">
        <f t="shared" si="1177"/>
        <v>0</v>
      </c>
    </row>
    <row r="194" spans="4:82" ht="16" hidden="1" thickTop="1" thickBot="1">
      <c r="D194" s="653"/>
      <c r="E194" s="654"/>
      <c r="F194" s="655" t="str">
        <f t="shared" si="1153"/>
        <v/>
      </c>
      <c r="G194" s="656"/>
      <c r="I194" s="658">
        <f t="shared" si="1154"/>
        <v>0</v>
      </c>
      <c r="J194" s="658">
        <f t="shared" ref="J194" si="1248">IF($G194=0,0,-MIN(0,G194*c_EquityShare.LP))</f>
        <v>0</v>
      </c>
      <c r="K194" s="658">
        <f t="shared" ref="K194" si="1249">I194*c_Rate.Pref_MO</f>
        <v>0</v>
      </c>
      <c r="L194" s="658">
        <f t="shared" si="1130"/>
        <v>0</v>
      </c>
      <c r="M194" s="658">
        <f t="shared" si="1157"/>
        <v>0</v>
      </c>
      <c r="N194" s="658">
        <f t="shared" si="1180"/>
        <v>0</v>
      </c>
      <c r="O194" s="658" cm="1">
        <f t="array" ref="O194">IF(I194=0,0,IF(G194&lt;0,N194/c_EquityShare.LP*i_EquityShare.GP,L194/c_EquityShare.LP*i_EquityShare.GP))</f>
        <v>0</v>
      </c>
      <c r="P194" s="658">
        <f t="shared" si="1158"/>
        <v>0</v>
      </c>
      <c r="Q194" s="658">
        <f t="shared" si="1131"/>
        <v>0</v>
      </c>
      <c r="R194" s="521"/>
      <c r="S194" s="660">
        <f t="shared" si="1159"/>
        <v>0</v>
      </c>
      <c r="T194" s="663" cm="1">
        <f t="array" ref="T194">IF($G194=0,0,-MIN(0,$G194*c_EquityShare.LP))</f>
        <v>0</v>
      </c>
      <c r="U194" s="663" cm="1">
        <f t="array" ref="U194">IF($D194=0,0,S194*c_Rate.Hurdle1.MO)</f>
        <v>0</v>
      </c>
      <c r="V194" s="660">
        <f t="shared" si="1181"/>
        <v>0</v>
      </c>
      <c r="W194" s="660">
        <f t="shared" si="1160"/>
        <v>0</v>
      </c>
      <c r="X194" s="663">
        <f t="shared" si="1182"/>
        <v>0</v>
      </c>
      <c r="Y194" s="663">
        <f t="shared" si="1161"/>
        <v>0</v>
      </c>
      <c r="Z194" s="663">
        <f t="shared" ref="Z194" si="1250">IF(S194=0,0,O194+W194/$J$17*c_Hurdle1.Share_GP)</f>
        <v>0</v>
      </c>
      <c r="AA194" s="663">
        <f t="shared" si="1133"/>
        <v>0</v>
      </c>
      <c r="AB194" s="660">
        <f t="shared" si="1184"/>
        <v>0</v>
      </c>
      <c r="AC194" s="521"/>
      <c r="AD194" s="663">
        <f t="shared" si="769"/>
        <v>0</v>
      </c>
      <c r="AE194" s="663">
        <f t="shared" ref="AE194" si="1251">IF($G194=0,0,-MIN(0,$G194*c_EquityShare.LP))</f>
        <v>0</v>
      </c>
      <c r="AF194" s="663" cm="1">
        <f t="array" ref="AF194">IF($D194=0,0,AD194*(c_Rate.Hurdle2.MO))</f>
        <v>0</v>
      </c>
      <c r="AG194" s="663">
        <f t="shared" si="1135"/>
        <v>0</v>
      </c>
      <c r="AH194" s="663">
        <f t="shared" si="1164"/>
        <v>0</v>
      </c>
      <c r="AI194" s="663">
        <f t="shared" si="1136"/>
        <v>0</v>
      </c>
      <c r="AJ194" s="664">
        <f t="shared" si="1137"/>
        <v>0</v>
      </c>
      <c r="AK194" s="660">
        <f t="shared" si="1138"/>
        <v>0</v>
      </c>
      <c r="AL194" s="663">
        <f t="shared" ref="AL194" si="1252">IF(AD194=0,0,Z194+AH194/$J$18*c_Hurdle2.Share_GP)</f>
        <v>0</v>
      </c>
      <c r="AM194" s="663">
        <f t="shared" si="1140"/>
        <v>0</v>
      </c>
      <c r="AN194" s="660">
        <f t="shared" si="1187"/>
        <v>0</v>
      </c>
      <c r="AO194" s="521"/>
      <c r="AP194" s="663">
        <f t="shared" si="772"/>
        <v>0</v>
      </c>
      <c r="AQ194" s="663">
        <f t="shared" ref="AQ194" si="1253">IF($G194=0,0,-MIN(0,$G194*c_EquityShare.LP))</f>
        <v>0</v>
      </c>
      <c r="AR194" s="663" cm="1">
        <f t="array" ref="AR194">IF($D194=0,0,AP194*(c_Rate.Hurdle3.MO))</f>
        <v>0</v>
      </c>
      <c r="AS194" s="663">
        <f t="shared" si="1142"/>
        <v>0</v>
      </c>
      <c r="AT194" s="663">
        <f t="shared" si="1167"/>
        <v>0</v>
      </c>
      <c r="AU194" s="663">
        <f t="shared" si="1143"/>
        <v>0</v>
      </c>
      <c r="AV194" s="664">
        <f t="shared" si="1144"/>
        <v>0</v>
      </c>
      <c r="AW194" s="660">
        <f t="shared" si="1168"/>
        <v>0</v>
      </c>
      <c r="AX194" s="663">
        <f t="shared" ref="AX194" si="1254">IF(AP194=0,0,AL194+AT194/$J$19*c_Hurdle3.Share_GP)</f>
        <v>0</v>
      </c>
      <c r="AY194" s="663">
        <f t="shared" si="1170"/>
        <v>0</v>
      </c>
      <c r="AZ194" s="660">
        <f t="shared" si="1190"/>
        <v>0</v>
      </c>
      <c r="BA194" s="521"/>
      <c r="BB194" s="660">
        <f t="shared" si="590"/>
        <v>0</v>
      </c>
      <c r="BC194" s="660">
        <f t="shared" ref="BC194" si="1255">$AZ194*c_Residual.Share_GP</f>
        <v>0</v>
      </c>
      <c r="BD194" s="651"/>
      <c r="BE194" s="660">
        <f t="shared" si="1172"/>
        <v>0</v>
      </c>
      <c r="BF194" s="660">
        <f t="shared" si="1172"/>
        <v>0</v>
      </c>
      <c r="BG194" s="660">
        <f t="shared" si="1147"/>
        <v>0</v>
      </c>
      <c r="BI194" s="660">
        <v>0</v>
      </c>
      <c r="BJ194" s="660">
        <v>0</v>
      </c>
      <c r="BK194" s="660">
        <v>0</v>
      </c>
      <c r="BL194" s="660">
        <f t="shared" si="1173"/>
        <v>0</v>
      </c>
      <c r="BM194" s="660">
        <f t="shared" si="1173"/>
        <v>0</v>
      </c>
      <c r="BN194" s="660">
        <f t="shared" si="1174"/>
        <v>0</v>
      </c>
      <c r="BO194" s="660">
        <f t="shared" si="1174"/>
        <v>0</v>
      </c>
      <c r="BP194" s="660">
        <f t="shared" si="1175"/>
        <v>0</v>
      </c>
      <c r="BQ194" s="660">
        <f t="shared" si="1175"/>
        <v>0</v>
      </c>
      <c r="BR194" s="660">
        <v>0</v>
      </c>
      <c r="BS194" s="660">
        <v>0</v>
      </c>
      <c r="BT194" s="660">
        <f t="shared" si="1148"/>
        <v>0</v>
      </c>
      <c r="BU194" s="660">
        <f t="shared" si="1148"/>
        <v>0</v>
      </c>
      <c r="BX194" s="660">
        <v>0</v>
      </c>
      <c r="BY194" s="660">
        <f t="shared" si="1176"/>
        <v>0</v>
      </c>
      <c r="BZ194" s="660">
        <f t="shared" si="1149"/>
        <v>0</v>
      </c>
      <c r="CA194" s="660">
        <f t="shared" si="1150"/>
        <v>0</v>
      </c>
      <c r="CB194" s="660">
        <f t="shared" si="1151"/>
        <v>0</v>
      </c>
      <c r="CC194" s="660">
        <f t="shared" si="1152"/>
        <v>0</v>
      </c>
      <c r="CD194" s="660">
        <f t="shared" si="1177"/>
        <v>0</v>
      </c>
    </row>
    <row r="195" spans="4:82" ht="16" hidden="1" thickTop="1" thickBot="1">
      <c r="D195" s="653"/>
      <c r="E195" s="654"/>
      <c r="F195" s="655" t="str">
        <f t="shared" si="1153"/>
        <v/>
      </c>
      <c r="G195" s="656"/>
      <c r="I195" s="658">
        <f t="shared" si="1154"/>
        <v>0</v>
      </c>
      <c r="J195" s="658">
        <f t="shared" ref="J195" si="1256">IF($G195=0,0,-MIN(0,G195*c_EquityShare.LP))</f>
        <v>0</v>
      </c>
      <c r="K195" s="658">
        <f t="shared" ref="K195" si="1257">I195*c_Rate.Pref_MO</f>
        <v>0</v>
      </c>
      <c r="L195" s="658">
        <f t="shared" si="1130"/>
        <v>0</v>
      </c>
      <c r="M195" s="658">
        <f t="shared" si="1157"/>
        <v>0</v>
      </c>
      <c r="N195" s="658">
        <f t="shared" si="1180"/>
        <v>0</v>
      </c>
      <c r="O195" s="658" cm="1">
        <f t="array" ref="O195">IF(I195=0,0,IF(G195&lt;0,N195/c_EquityShare.LP*i_EquityShare.GP,L195/c_EquityShare.LP*i_EquityShare.GP))</f>
        <v>0</v>
      </c>
      <c r="P195" s="658">
        <f t="shared" si="1158"/>
        <v>0</v>
      </c>
      <c r="Q195" s="658">
        <f t="shared" si="1131"/>
        <v>0</v>
      </c>
      <c r="R195" s="521"/>
      <c r="S195" s="660">
        <f t="shared" si="1159"/>
        <v>0</v>
      </c>
      <c r="T195" s="663" cm="1">
        <f t="array" ref="T195">IF($G195=0,0,-MIN(0,$G195*c_EquityShare.LP))</f>
        <v>0</v>
      </c>
      <c r="U195" s="663" cm="1">
        <f t="array" ref="U195">IF($D195=0,0,S195*c_Rate.Hurdle1.MO)</f>
        <v>0</v>
      </c>
      <c r="V195" s="660">
        <f t="shared" si="1181"/>
        <v>0</v>
      </c>
      <c r="W195" s="660">
        <f t="shared" si="1160"/>
        <v>0</v>
      </c>
      <c r="X195" s="663">
        <f t="shared" si="1182"/>
        <v>0</v>
      </c>
      <c r="Y195" s="663">
        <f t="shared" si="1161"/>
        <v>0</v>
      </c>
      <c r="Z195" s="663">
        <f t="shared" ref="Z195" si="1258">IF(S195=0,0,O195+W195/$J$17*c_Hurdle1.Share_GP)</f>
        <v>0</v>
      </c>
      <c r="AA195" s="663">
        <f t="shared" si="1133"/>
        <v>0</v>
      </c>
      <c r="AB195" s="660">
        <f t="shared" si="1184"/>
        <v>0</v>
      </c>
      <c r="AC195" s="521"/>
      <c r="AD195" s="663">
        <f t="shared" si="769"/>
        <v>0</v>
      </c>
      <c r="AE195" s="663">
        <f t="shared" ref="AE195" si="1259">IF($G195=0,0,-MIN(0,$G195*c_EquityShare.LP))</f>
        <v>0</v>
      </c>
      <c r="AF195" s="663" cm="1">
        <f t="array" ref="AF195">IF($D195=0,0,AD195*(c_Rate.Hurdle2.MO))</f>
        <v>0</v>
      </c>
      <c r="AG195" s="663">
        <f t="shared" si="1135"/>
        <v>0</v>
      </c>
      <c r="AH195" s="663">
        <f t="shared" si="1164"/>
        <v>0</v>
      </c>
      <c r="AI195" s="663">
        <f t="shared" si="1136"/>
        <v>0</v>
      </c>
      <c r="AJ195" s="664">
        <f t="shared" si="1137"/>
        <v>0</v>
      </c>
      <c r="AK195" s="660">
        <f t="shared" si="1138"/>
        <v>0</v>
      </c>
      <c r="AL195" s="663">
        <f t="shared" ref="AL195" si="1260">IF(AD195=0,0,Z195+AH195/$J$18*c_Hurdle2.Share_GP)</f>
        <v>0</v>
      </c>
      <c r="AM195" s="663">
        <f t="shared" si="1140"/>
        <v>0</v>
      </c>
      <c r="AN195" s="660">
        <f t="shared" si="1187"/>
        <v>0</v>
      </c>
      <c r="AO195" s="521"/>
      <c r="AP195" s="663">
        <f t="shared" si="772"/>
        <v>0</v>
      </c>
      <c r="AQ195" s="663">
        <f t="shared" ref="AQ195" si="1261">IF($G195=0,0,-MIN(0,$G195*c_EquityShare.LP))</f>
        <v>0</v>
      </c>
      <c r="AR195" s="663" cm="1">
        <f t="array" ref="AR195">IF($D195=0,0,AP195*(c_Rate.Hurdle3.MO))</f>
        <v>0</v>
      </c>
      <c r="AS195" s="663">
        <f t="shared" si="1142"/>
        <v>0</v>
      </c>
      <c r="AT195" s="663">
        <f t="shared" si="1167"/>
        <v>0</v>
      </c>
      <c r="AU195" s="663">
        <f t="shared" si="1143"/>
        <v>0</v>
      </c>
      <c r="AV195" s="664">
        <f t="shared" si="1144"/>
        <v>0</v>
      </c>
      <c r="AW195" s="660">
        <f t="shared" si="1168"/>
        <v>0</v>
      </c>
      <c r="AX195" s="663">
        <f t="shared" ref="AX195" si="1262">IF(AP195=0,0,AL195+AT195/$J$19*c_Hurdle3.Share_GP)</f>
        <v>0</v>
      </c>
      <c r="AY195" s="663">
        <f t="shared" si="1170"/>
        <v>0</v>
      </c>
      <c r="AZ195" s="660">
        <f t="shared" si="1190"/>
        <v>0</v>
      </c>
      <c r="BA195" s="521"/>
      <c r="BB195" s="660">
        <f t="shared" si="590"/>
        <v>0</v>
      </c>
      <c r="BC195" s="660">
        <f t="shared" ref="BC195" si="1263">$AZ195*c_Residual.Share_GP</f>
        <v>0</v>
      </c>
      <c r="BD195" s="651"/>
      <c r="BE195" s="660">
        <f t="shared" si="1172"/>
        <v>0</v>
      </c>
      <c r="BF195" s="660">
        <f t="shared" si="1172"/>
        <v>0</v>
      </c>
      <c r="BG195" s="660">
        <f t="shared" si="1147"/>
        <v>0</v>
      </c>
      <c r="BI195" s="660">
        <v>0</v>
      </c>
      <c r="BJ195" s="660">
        <v>0</v>
      </c>
      <c r="BK195" s="660">
        <v>0</v>
      </c>
      <c r="BL195" s="660">
        <f t="shared" si="1173"/>
        <v>0</v>
      </c>
      <c r="BM195" s="660">
        <f t="shared" si="1173"/>
        <v>0</v>
      </c>
      <c r="BN195" s="660">
        <f t="shared" si="1174"/>
        <v>0</v>
      </c>
      <c r="BO195" s="660">
        <f t="shared" si="1174"/>
        <v>0</v>
      </c>
      <c r="BP195" s="660">
        <f t="shared" si="1175"/>
        <v>0</v>
      </c>
      <c r="BQ195" s="660">
        <f t="shared" si="1175"/>
        <v>0</v>
      </c>
      <c r="BR195" s="660">
        <v>0</v>
      </c>
      <c r="BS195" s="660">
        <v>0</v>
      </c>
      <c r="BT195" s="660">
        <f t="shared" si="1148"/>
        <v>0</v>
      </c>
      <c r="BU195" s="660">
        <f t="shared" si="1148"/>
        <v>0</v>
      </c>
      <c r="BX195" s="660">
        <v>0</v>
      </c>
      <c r="BY195" s="660">
        <f t="shared" si="1176"/>
        <v>0</v>
      </c>
      <c r="BZ195" s="660">
        <f t="shared" si="1149"/>
        <v>0</v>
      </c>
      <c r="CA195" s="660">
        <f t="shared" si="1150"/>
        <v>0</v>
      </c>
      <c r="CB195" s="660">
        <f t="shared" si="1151"/>
        <v>0</v>
      </c>
      <c r="CC195" s="660">
        <f t="shared" si="1152"/>
        <v>0</v>
      </c>
      <c r="CD195" s="660">
        <f t="shared" si="1177"/>
        <v>0</v>
      </c>
    </row>
    <row r="196" spans="4:82" ht="16" hidden="1" thickTop="1" thickBot="1">
      <c r="D196" s="653"/>
      <c r="E196" s="654"/>
      <c r="F196" s="655" t="str">
        <f t="shared" si="1153"/>
        <v/>
      </c>
      <c r="G196" s="656"/>
      <c r="I196" s="658">
        <f t="shared" si="1154"/>
        <v>0</v>
      </c>
      <c r="J196" s="658">
        <f t="shared" ref="J196" si="1264">IF($G196=0,0,-MIN(0,G196*c_EquityShare.LP))</f>
        <v>0</v>
      </c>
      <c r="K196" s="658">
        <f t="shared" ref="K196" si="1265">I196*c_Rate.Pref_MO</f>
        <v>0</v>
      </c>
      <c r="L196" s="658">
        <f t="shared" si="1130"/>
        <v>0</v>
      </c>
      <c r="M196" s="658">
        <f t="shared" si="1157"/>
        <v>0</v>
      </c>
      <c r="N196" s="658">
        <f t="shared" si="1180"/>
        <v>0</v>
      </c>
      <c r="O196" s="658" cm="1">
        <f t="array" ref="O196">IF(I196=0,0,IF(G196&lt;0,N196/c_EquityShare.LP*i_EquityShare.GP,L196/c_EquityShare.LP*i_EquityShare.GP))</f>
        <v>0</v>
      </c>
      <c r="P196" s="658">
        <f t="shared" si="1158"/>
        <v>0</v>
      </c>
      <c r="Q196" s="658">
        <f t="shared" si="1131"/>
        <v>0</v>
      </c>
      <c r="R196" s="521"/>
      <c r="S196" s="660">
        <f t="shared" si="1159"/>
        <v>0</v>
      </c>
      <c r="T196" s="663" cm="1">
        <f t="array" ref="T196">IF($G196=0,0,-MIN(0,$G196*c_EquityShare.LP))</f>
        <v>0</v>
      </c>
      <c r="U196" s="663" cm="1">
        <f t="array" ref="U196">IF($D196=0,0,S196*c_Rate.Hurdle1.MO)</f>
        <v>0</v>
      </c>
      <c r="V196" s="660">
        <f t="shared" si="1181"/>
        <v>0</v>
      </c>
      <c r="W196" s="660">
        <f t="shared" si="1160"/>
        <v>0</v>
      </c>
      <c r="X196" s="663">
        <f t="shared" si="1182"/>
        <v>0</v>
      </c>
      <c r="Y196" s="663">
        <f t="shared" si="1161"/>
        <v>0</v>
      </c>
      <c r="Z196" s="663">
        <f t="shared" ref="Z196" si="1266">IF(S196=0,0,O196+W196/$J$17*c_Hurdle1.Share_GP)</f>
        <v>0</v>
      </c>
      <c r="AA196" s="663">
        <f t="shared" si="1133"/>
        <v>0</v>
      </c>
      <c r="AB196" s="660">
        <f t="shared" si="1184"/>
        <v>0</v>
      </c>
      <c r="AC196" s="521"/>
      <c r="AD196" s="663">
        <f t="shared" si="769"/>
        <v>0</v>
      </c>
      <c r="AE196" s="663">
        <f t="shared" ref="AE196" si="1267">IF($G196=0,0,-MIN(0,$G196*c_EquityShare.LP))</f>
        <v>0</v>
      </c>
      <c r="AF196" s="663" cm="1">
        <f t="array" ref="AF196">IF($D196=0,0,AD196*(c_Rate.Hurdle2.MO))</f>
        <v>0</v>
      </c>
      <c r="AG196" s="663">
        <f t="shared" si="1135"/>
        <v>0</v>
      </c>
      <c r="AH196" s="663">
        <f t="shared" si="1164"/>
        <v>0</v>
      </c>
      <c r="AI196" s="663">
        <f t="shared" si="1136"/>
        <v>0</v>
      </c>
      <c r="AJ196" s="664">
        <f t="shared" si="1137"/>
        <v>0</v>
      </c>
      <c r="AK196" s="660">
        <f t="shared" si="1138"/>
        <v>0</v>
      </c>
      <c r="AL196" s="663">
        <f t="shared" ref="AL196" si="1268">IF(AD196=0,0,Z196+AH196/$J$18*c_Hurdle2.Share_GP)</f>
        <v>0</v>
      </c>
      <c r="AM196" s="663">
        <f t="shared" si="1140"/>
        <v>0</v>
      </c>
      <c r="AN196" s="660">
        <f t="shared" si="1187"/>
        <v>0</v>
      </c>
      <c r="AO196" s="521"/>
      <c r="AP196" s="663">
        <f t="shared" si="772"/>
        <v>0</v>
      </c>
      <c r="AQ196" s="663">
        <f t="shared" ref="AQ196" si="1269">IF($G196=0,0,-MIN(0,$G196*c_EquityShare.LP))</f>
        <v>0</v>
      </c>
      <c r="AR196" s="663" cm="1">
        <f t="array" ref="AR196">IF($D196=0,0,AP196*(c_Rate.Hurdle3.MO))</f>
        <v>0</v>
      </c>
      <c r="AS196" s="663">
        <f t="shared" si="1142"/>
        <v>0</v>
      </c>
      <c r="AT196" s="663">
        <f t="shared" si="1167"/>
        <v>0</v>
      </c>
      <c r="AU196" s="663">
        <f t="shared" si="1143"/>
        <v>0</v>
      </c>
      <c r="AV196" s="664">
        <f t="shared" si="1144"/>
        <v>0</v>
      </c>
      <c r="AW196" s="660">
        <f t="shared" si="1168"/>
        <v>0</v>
      </c>
      <c r="AX196" s="663">
        <f t="shared" ref="AX196" si="1270">IF(AP196=0,0,AL196+AT196/$J$19*c_Hurdle3.Share_GP)</f>
        <v>0</v>
      </c>
      <c r="AY196" s="663">
        <f t="shared" si="1170"/>
        <v>0</v>
      </c>
      <c r="AZ196" s="660">
        <f t="shared" si="1190"/>
        <v>0</v>
      </c>
      <c r="BA196" s="521"/>
      <c r="BB196" s="660">
        <f t="shared" si="590"/>
        <v>0</v>
      </c>
      <c r="BC196" s="660">
        <f t="shared" ref="BC196" si="1271">$AZ196*c_Residual.Share_GP</f>
        <v>0</v>
      </c>
      <c r="BD196" s="651"/>
      <c r="BE196" s="660">
        <f t="shared" si="1172"/>
        <v>0</v>
      </c>
      <c r="BF196" s="660">
        <f t="shared" si="1172"/>
        <v>0</v>
      </c>
      <c r="BG196" s="660">
        <f t="shared" si="1147"/>
        <v>0</v>
      </c>
      <c r="BI196" s="660">
        <v>0</v>
      </c>
      <c r="BJ196" s="660">
        <v>0</v>
      </c>
      <c r="BK196" s="660">
        <v>0</v>
      </c>
      <c r="BL196" s="660">
        <f t="shared" si="1173"/>
        <v>0</v>
      </c>
      <c r="BM196" s="660">
        <f t="shared" si="1173"/>
        <v>0</v>
      </c>
      <c r="BN196" s="660">
        <f t="shared" si="1174"/>
        <v>0</v>
      </c>
      <c r="BO196" s="660">
        <f t="shared" si="1174"/>
        <v>0</v>
      </c>
      <c r="BP196" s="660">
        <f t="shared" si="1175"/>
        <v>0</v>
      </c>
      <c r="BQ196" s="660">
        <f t="shared" si="1175"/>
        <v>0</v>
      </c>
      <c r="BR196" s="660">
        <v>0</v>
      </c>
      <c r="BS196" s="660">
        <v>0</v>
      </c>
      <c r="BT196" s="660">
        <f t="shared" si="1148"/>
        <v>0</v>
      </c>
      <c r="BU196" s="660">
        <f t="shared" si="1148"/>
        <v>0</v>
      </c>
      <c r="BX196" s="660">
        <v>0</v>
      </c>
      <c r="BY196" s="660">
        <f t="shared" si="1176"/>
        <v>0</v>
      </c>
      <c r="BZ196" s="660">
        <f t="shared" si="1149"/>
        <v>0</v>
      </c>
      <c r="CA196" s="660">
        <f t="shared" si="1150"/>
        <v>0</v>
      </c>
      <c r="CB196" s="660">
        <f t="shared" si="1151"/>
        <v>0</v>
      </c>
      <c r="CC196" s="660">
        <f t="shared" si="1152"/>
        <v>0</v>
      </c>
      <c r="CD196" s="660">
        <f t="shared" si="1177"/>
        <v>0</v>
      </c>
    </row>
    <row r="197" spans="4:82" ht="16" hidden="1" thickTop="1" thickBot="1">
      <c r="D197" s="653"/>
      <c r="E197" s="654"/>
      <c r="F197" s="655" t="str">
        <f t="shared" si="1153"/>
        <v/>
      </c>
      <c r="G197" s="656"/>
      <c r="I197" s="658">
        <f t="shared" si="1154"/>
        <v>0</v>
      </c>
      <c r="J197" s="658">
        <f t="shared" ref="J197" si="1272">IF($G197=0,0,-MIN(0,G197*c_EquityShare.LP))</f>
        <v>0</v>
      </c>
      <c r="K197" s="658">
        <f t="shared" ref="K197" si="1273">I197*c_Rate.Pref_MO</f>
        <v>0</v>
      </c>
      <c r="L197" s="658">
        <f t="shared" si="1130"/>
        <v>0</v>
      </c>
      <c r="M197" s="658">
        <f t="shared" si="1157"/>
        <v>0</v>
      </c>
      <c r="N197" s="658">
        <f t="shared" si="1180"/>
        <v>0</v>
      </c>
      <c r="O197" s="658" cm="1">
        <f t="array" ref="O197">IF(I197=0,0,IF(G197&lt;0,N197/c_EquityShare.LP*i_EquityShare.GP,L197/c_EquityShare.LP*i_EquityShare.GP))</f>
        <v>0</v>
      </c>
      <c r="P197" s="658">
        <f t="shared" si="1158"/>
        <v>0</v>
      </c>
      <c r="Q197" s="658">
        <f t="shared" si="1131"/>
        <v>0</v>
      </c>
      <c r="R197" s="521"/>
      <c r="S197" s="660">
        <f t="shared" si="1159"/>
        <v>0</v>
      </c>
      <c r="T197" s="663" cm="1">
        <f t="array" ref="T197">IF($G197=0,0,-MIN(0,$G197*c_EquityShare.LP))</f>
        <v>0</v>
      </c>
      <c r="U197" s="663" cm="1">
        <f t="array" ref="U197">IF($D197=0,0,S197*c_Rate.Hurdle1.MO)</f>
        <v>0</v>
      </c>
      <c r="V197" s="660">
        <f t="shared" si="1181"/>
        <v>0</v>
      </c>
      <c r="W197" s="660">
        <f t="shared" si="1160"/>
        <v>0</v>
      </c>
      <c r="X197" s="663">
        <f t="shared" si="1182"/>
        <v>0</v>
      </c>
      <c r="Y197" s="663">
        <f t="shared" si="1161"/>
        <v>0</v>
      </c>
      <c r="Z197" s="663">
        <f t="shared" ref="Z197" si="1274">IF(S197=0,0,O197+W197/$J$17*c_Hurdle1.Share_GP)</f>
        <v>0</v>
      </c>
      <c r="AA197" s="663">
        <f t="shared" si="1133"/>
        <v>0</v>
      </c>
      <c r="AB197" s="660">
        <f t="shared" si="1184"/>
        <v>0</v>
      </c>
      <c r="AC197" s="521"/>
      <c r="AD197" s="663">
        <f t="shared" si="769"/>
        <v>0</v>
      </c>
      <c r="AE197" s="663">
        <f t="shared" ref="AE197" si="1275">IF($G197=0,0,-MIN(0,$G197*c_EquityShare.LP))</f>
        <v>0</v>
      </c>
      <c r="AF197" s="663" cm="1">
        <f t="array" ref="AF197">IF($D197=0,0,AD197*(c_Rate.Hurdle2.MO))</f>
        <v>0</v>
      </c>
      <c r="AG197" s="663">
        <f t="shared" si="1135"/>
        <v>0</v>
      </c>
      <c r="AH197" s="663">
        <f t="shared" si="1164"/>
        <v>0</v>
      </c>
      <c r="AI197" s="663">
        <f t="shared" si="1136"/>
        <v>0</v>
      </c>
      <c r="AJ197" s="664">
        <f t="shared" si="1137"/>
        <v>0</v>
      </c>
      <c r="AK197" s="660">
        <f t="shared" si="1138"/>
        <v>0</v>
      </c>
      <c r="AL197" s="663">
        <f t="shared" ref="AL197" si="1276">IF(AD197=0,0,Z197+AH197/$J$18*c_Hurdle2.Share_GP)</f>
        <v>0</v>
      </c>
      <c r="AM197" s="663">
        <f t="shared" si="1140"/>
        <v>0</v>
      </c>
      <c r="AN197" s="660">
        <f t="shared" si="1187"/>
        <v>0</v>
      </c>
      <c r="AO197" s="521"/>
      <c r="AP197" s="663">
        <f t="shared" si="772"/>
        <v>0</v>
      </c>
      <c r="AQ197" s="663">
        <f t="shared" ref="AQ197" si="1277">IF($G197=0,0,-MIN(0,$G197*c_EquityShare.LP))</f>
        <v>0</v>
      </c>
      <c r="AR197" s="663" cm="1">
        <f t="array" ref="AR197">IF($D197=0,0,AP197*(c_Rate.Hurdle3.MO))</f>
        <v>0</v>
      </c>
      <c r="AS197" s="663">
        <f t="shared" si="1142"/>
        <v>0</v>
      </c>
      <c r="AT197" s="663">
        <f t="shared" si="1167"/>
        <v>0</v>
      </c>
      <c r="AU197" s="663">
        <f t="shared" si="1143"/>
        <v>0</v>
      </c>
      <c r="AV197" s="664">
        <f t="shared" si="1144"/>
        <v>0</v>
      </c>
      <c r="AW197" s="660">
        <f t="shared" si="1168"/>
        <v>0</v>
      </c>
      <c r="AX197" s="663">
        <f t="shared" ref="AX197" si="1278">IF(AP197=0,0,AL197+AT197/$J$19*c_Hurdle3.Share_GP)</f>
        <v>0</v>
      </c>
      <c r="AY197" s="663">
        <f t="shared" si="1170"/>
        <v>0</v>
      </c>
      <c r="AZ197" s="660">
        <f t="shared" si="1190"/>
        <v>0</v>
      </c>
      <c r="BA197" s="521"/>
      <c r="BB197" s="660">
        <f t="shared" si="590"/>
        <v>0</v>
      </c>
      <c r="BC197" s="660">
        <f t="shared" ref="BC197" si="1279">$AZ197*c_Residual.Share_GP</f>
        <v>0</v>
      </c>
      <c r="BD197" s="651"/>
      <c r="BE197" s="660">
        <f t="shared" si="1172"/>
        <v>0</v>
      </c>
      <c r="BF197" s="660">
        <f t="shared" si="1172"/>
        <v>0</v>
      </c>
      <c r="BG197" s="660">
        <f t="shared" si="1147"/>
        <v>0</v>
      </c>
      <c r="BI197" s="660">
        <v>0</v>
      </c>
      <c r="BJ197" s="660">
        <v>0</v>
      </c>
      <c r="BK197" s="660">
        <v>0</v>
      </c>
      <c r="BL197" s="660">
        <f t="shared" si="1173"/>
        <v>0</v>
      </c>
      <c r="BM197" s="660">
        <f t="shared" si="1173"/>
        <v>0</v>
      </c>
      <c r="BN197" s="660">
        <f t="shared" si="1174"/>
        <v>0</v>
      </c>
      <c r="BO197" s="660">
        <f t="shared" si="1174"/>
        <v>0</v>
      </c>
      <c r="BP197" s="660">
        <f t="shared" si="1175"/>
        <v>0</v>
      </c>
      <c r="BQ197" s="660">
        <f t="shared" si="1175"/>
        <v>0</v>
      </c>
      <c r="BR197" s="660">
        <v>0</v>
      </c>
      <c r="BS197" s="660">
        <v>0</v>
      </c>
      <c r="BT197" s="660">
        <f t="shared" si="1148"/>
        <v>0</v>
      </c>
      <c r="BU197" s="660">
        <f t="shared" si="1148"/>
        <v>0</v>
      </c>
      <c r="BX197" s="660">
        <v>0</v>
      </c>
      <c r="BY197" s="660">
        <f t="shared" si="1176"/>
        <v>0</v>
      </c>
      <c r="BZ197" s="660">
        <f t="shared" si="1149"/>
        <v>0</v>
      </c>
      <c r="CA197" s="660">
        <f t="shared" si="1150"/>
        <v>0</v>
      </c>
      <c r="CB197" s="660">
        <f t="shared" si="1151"/>
        <v>0</v>
      </c>
      <c r="CC197" s="660">
        <f t="shared" si="1152"/>
        <v>0</v>
      </c>
      <c r="CD197" s="660">
        <f t="shared" si="1177"/>
        <v>0</v>
      </c>
    </row>
    <row r="198" spans="4:82" ht="16" hidden="1" thickTop="1" thickBot="1">
      <c r="D198" s="653"/>
      <c r="E198" s="654"/>
      <c r="F198" s="655" t="str">
        <f t="shared" si="1153"/>
        <v/>
      </c>
      <c r="G198" s="656"/>
      <c r="I198" s="658">
        <f t="shared" si="1154"/>
        <v>0</v>
      </c>
      <c r="J198" s="658">
        <f t="shared" ref="J198" si="1280">IF($G198=0,0,-MIN(0,G198*c_EquityShare.LP))</f>
        <v>0</v>
      </c>
      <c r="K198" s="658">
        <f t="shared" ref="K198" si="1281">I198*c_Rate.Pref_MO</f>
        <v>0</v>
      </c>
      <c r="L198" s="658">
        <f t="shared" si="1130"/>
        <v>0</v>
      </c>
      <c r="M198" s="658">
        <f t="shared" si="1157"/>
        <v>0</v>
      </c>
      <c r="N198" s="658">
        <f t="shared" si="1180"/>
        <v>0</v>
      </c>
      <c r="O198" s="658" cm="1">
        <f t="array" ref="O198">IF(I198=0,0,IF(G198&lt;0,N198/c_EquityShare.LP*i_EquityShare.GP,L198/c_EquityShare.LP*i_EquityShare.GP))</f>
        <v>0</v>
      </c>
      <c r="P198" s="658">
        <f t="shared" si="1158"/>
        <v>0</v>
      </c>
      <c r="Q198" s="658">
        <f t="shared" si="1131"/>
        <v>0</v>
      </c>
      <c r="R198" s="521"/>
      <c r="S198" s="660">
        <f t="shared" si="1159"/>
        <v>0</v>
      </c>
      <c r="T198" s="663" cm="1">
        <f t="array" ref="T198">IF($G198=0,0,-MIN(0,$G198*c_EquityShare.LP))</f>
        <v>0</v>
      </c>
      <c r="U198" s="663" cm="1">
        <f t="array" ref="U198">IF($D198=0,0,S198*c_Rate.Hurdle1.MO)</f>
        <v>0</v>
      </c>
      <c r="V198" s="660">
        <f t="shared" si="1181"/>
        <v>0</v>
      </c>
      <c r="W198" s="660">
        <f t="shared" si="1160"/>
        <v>0</v>
      </c>
      <c r="X198" s="663">
        <f t="shared" si="1182"/>
        <v>0</v>
      </c>
      <c r="Y198" s="663">
        <f t="shared" si="1161"/>
        <v>0</v>
      </c>
      <c r="Z198" s="663">
        <f t="shared" ref="Z198" si="1282">IF(S198=0,0,O198+W198/$J$17*c_Hurdle1.Share_GP)</f>
        <v>0</v>
      </c>
      <c r="AA198" s="663">
        <f t="shared" si="1133"/>
        <v>0</v>
      </c>
      <c r="AB198" s="660">
        <f t="shared" si="1184"/>
        <v>0</v>
      </c>
      <c r="AC198" s="521"/>
      <c r="AD198" s="663">
        <f t="shared" si="769"/>
        <v>0</v>
      </c>
      <c r="AE198" s="663">
        <f t="shared" ref="AE198" si="1283">IF($G198=0,0,-MIN(0,$G198*c_EquityShare.LP))</f>
        <v>0</v>
      </c>
      <c r="AF198" s="663" cm="1">
        <f t="array" ref="AF198">IF($D198=0,0,AD198*(c_Rate.Hurdle2.MO))</f>
        <v>0</v>
      </c>
      <c r="AG198" s="663">
        <f t="shared" si="1135"/>
        <v>0</v>
      </c>
      <c r="AH198" s="663">
        <f t="shared" si="1164"/>
        <v>0</v>
      </c>
      <c r="AI198" s="663">
        <f t="shared" si="1136"/>
        <v>0</v>
      </c>
      <c r="AJ198" s="664">
        <f t="shared" si="1137"/>
        <v>0</v>
      </c>
      <c r="AK198" s="660">
        <f t="shared" si="1138"/>
        <v>0</v>
      </c>
      <c r="AL198" s="663">
        <f t="shared" ref="AL198" si="1284">IF(AD198=0,0,Z198+AH198/$J$18*c_Hurdle2.Share_GP)</f>
        <v>0</v>
      </c>
      <c r="AM198" s="663">
        <f t="shared" si="1140"/>
        <v>0</v>
      </c>
      <c r="AN198" s="660">
        <f t="shared" si="1187"/>
        <v>0</v>
      </c>
      <c r="AO198" s="521"/>
      <c r="AP198" s="663">
        <f t="shared" si="772"/>
        <v>0</v>
      </c>
      <c r="AQ198" s="663">
        <f t="shared" ref="AQ198" si="1285">IF($G198=0,0,-MIN(0,$G198*c_EquityShare.LP))</f>
        <v>0</v>
      </c>
      <c r="AR198" s="663" cm="1">
        <f t="array" ref="AR198">IF($D198=0,0,AP198*(c_Rate.Hurdle3.MO))</f>
        <v>0</v>
      </c>
      <c r="AS198" s="663">
        <f t="shared" si="1142"/>
        <v>0</v>
      </c>
      <c r="AT198" s="663">
        <f t="shared" si="1167"/>
        <v>0</v>
      </c>
      <c r="AU198" s="663">
        <f t="shared" si="1143"/>
        <v>0</v>
      </c>
      <c r="AV198" s="664">
        <f t="shared" si="1144"/>
        <v>0</v>
      </c>
      <c r="AW198" s="660">
        <f t="shared" si="1168"/>
        <v>0</v>
      </c>
      <c r="AX198" s="663">
        <f t="shared" ref="AX198" si="1286">IF(AP198=0,0,AL198+AT198/$J$19*c_Hurdle3.Share_GP)</f>
        <v>0</v>
      </c>
      <c r="AY198" s="663">
        <f t="shared" si="1170"/>
        <v>0</v>
      </c>
      <c r="AZ198" s="660">
        <f t="shared" si="1190"/>
        <v>0</v>
      </c>
      <c r="BA198" s="521"/>
      <c r="BB198" s="660">
        <f t="shared" si="590"/>
        <v>0</v>
      </c>
      <c r="BC198" s="660">
        <f t="shared" ref="BC198" si="1287">$AZ198*c_Residual.Share_GP</f>
        <v>0</v>
      </c>
      <c r="BD198" s="651"/>
      <c r="BE198" s="660">
        <f t="shared" si="1172"/>
        <v>0</v>
      </c>
      <c r="BF198" s="660">
        <f t="shared" si="1172"/>
        <v>0</v>
      </c>
      <c r="BG198" s="660">
        <f t="shared" si="1147"/>
        <v>0</v>
      </c>
      <c r="BI198" s="660">
        <v>0</v>
      </c>
      <c r="BJ198" s="660">
        <v>0</v>
      </c>
      <c r="BK198" s="660">
        <v>0</v>
      </c>
      <c r="BL198" s="660">
        <f t="shared" si="1173"/>
        <v>0</v>
      </c>
      <c r="BM198" s="660">
        <f t="shared" si="1173"/>
        <v>0</v>
      </c>
      <c r="BN198" s="660">
        <f t="shared" si="1174"/>
        <v>0</v>
      </c>
      <c r="BO198" s="660">
        <f t="shared" si="1174"/>
        <v>0</v>
      </c>
      <c r="BP198" s="660">
        <f t="shared" si="1175"/>
        <v>0</v>
      </c>
      <c r="BQ198" s="660">
        <f t="shared" si="1175"/>
        <v>0</v>
      </c>
      <c r="BR198" s="660">
        <v>0</v>
      </c>
      <c r="BS198" s="660">
        <v>0</v>
      </c>
      <c r="BT198" s="660">
        <f t="shared" si="1148"/>
        <v>0</v>
      </c>
      <c r="BU198" s="660">
        <f t="shared" si="1148"/>
        <v>0</v>
      </c>
      <c r="BX198" s="660">
        <v>0</v>
      </c>
      <c r="BY198" s="660">
        <f t="shared" si="1176"/>
        <v>0</v>
      </c>
      <c r="BZ198" s="660">
        <f t="shared" si="1149"/>
        <v>0</v>
      </c>
      <c r="CA198" s="660">
        <f t="shared" si="1150"/>
        <v>0</v>
      </c>
      <c r="CB198" s="660">
        <f t="shared" si="1151"/>
        <v>0</v>
      </c>
      <c r="CC198" s="660">
        <f t="shared" si="1152"/>
        <v>0</v>
      </c>
      <c r="CD198" s="660">
        <f t="shared" si="1177"/>
        <v>0</v>
      </c>
    </row>
    <row r="199" spans="4:82" ht="16" hidden="1" thickTop="1" thickBot="1">
      <c r="D199" s="653"/>
      <c r="E199" s="654"/>
      <c r="F199" s="655" t="str">
        <f t="shared" si="1153"/>
        <v/>
      </c>
      <c r="G199" s="656"/>
      <c r="I199" s="658">
        <f t="shared" si="1154"/>
        <v>0</v>
      </c>
      <c r="J199" s="658">
        <f t="shared" ref="J199" si="1288">IF($G199=0,0,-MIN(0,G199*c_EquityShare.LP))</f>
        <v>0</v>
      </c>
      <c r="K199" s="658">
        <f t="shared" ref="K199" si="1289">I199*c_Rate.Pref_MO</f>
        <v>0</v>
      </c>
      <c r="L199" s="658">
        <f t="shared" si="1130"/>
        <v>0</v>
      </c>
      <c r="M199" s="658">
        <f t="shared" si="1157"/>
        <v>0</v>
      </c>
      <c r="N199" s="658">
        <f t="shared" si="1180"/>
        <v>0</v>
      </c>
      <c r="O199" s="658" cm="1">
        <f t="array" ref="O199">IF(I199=0,0,IF(G199&lt;0,N199/c_EquityShare.LP*i_EquityShare.GP,L199/c_EquityShare.LP*i_EquityShare.GP))</f>
        <v>0</v>
      </c>
      <c r="P199" s="658">
        <f t="shared" si="1158"/>
        <v>0</v>
      </c>
      <c r="Q199" s="658">
        <f t="shared" si="1131"/>
        <v>0</v>
      </c>
      <c r="R199" s="521"/>
      <c r="S199" s="660">
        <f t="shared" si="1159"/>
        <v>0</v>
      </c>
      <c r="T199" s="663" cm="1">
        <f t="array" ref="T199">IF($G199=0,0,-MIN(0,$G199*c_EquityShare.LP))</f>
        <v>0</v>
      </c>
      <c r="U199" s="663" cm="1">
        <f t="array" ref="U199">IF($D199=0,0,S199*c_Rate.Hurdle1.MO)</f>
        <v>0</v>
      </c>
      <c r="V199" s="660">
        <f t="shared" si="1181"/>
        <v>0</v>
      </c>
      <c r="W199" s="660">
        <f t="shared" si="1160"/>
        <v>0</v>
      </c>
      <c r="X199" s="663">
        <f t="shared" si="1182"/>
        <v>0</v>
      </c>
      <c r="Y199" s="663">
        <f t="shared" si="1161"/>
        <v>0</v>
      </c>
      <c r="Z199" s="663">
        <f t="shared" ref="Z199" si="1290">IF(S199=0,0,O199+W199/$J$17*c_Hurdle1.Share_GP)</f>
        <v>0</v>
      </c>
      <c r="AA199" s="663">
        <f t="shared" si="1133"/>
        <v>0</v>
      </c>
      <c r="AB199" s="660">
        <f t="shared" si="1184"/>
        <v>0</v>
      </c>
      <c r="AC199" s="521"/>
      <c r="AD199" s="663">
        <f t="shared" si="769"/>
        <v>0</v>
      </c>
      <c r="AE199" s="663">
        <f t="shared" ref="AE199" si="1291">IF($G199=0,0,-MIN(0,$G199*c_EquityShare.LP))</f>
        <v>0</v>
      </c>
      <c r="AF199" s="663" cm="1">
        <f t="array" ref="AF199">IF($D199=0,0,AD199*(c_Rate.Hurdle2.MO))</f>
        <v>0</v>
      </c>
      <c r="AG199" s="663">
        <f t="shared" si="1135"/>
        <v>0</v>
      </c>
      <c r="AH199" s="663">
        <f t="shared" si="1164"/>
        <v>0</v>
      </c>
      <c r="AI199" s="663">
        <f t="shared" si="1136"/>
        <v>0</v>
      </c>
      <c r="AJ199" s="664">
        <f t="shared" si="1137"/>
        <v>0</v>
      </c>
      <c r="AK199" s="660">
        <f t="shared" si="1138"/>
        <v>0</v>
      </c>
      <c r="AL199" s="663">
        <f t="shared" ref="AL199" si="1292">IF(AD199=0,0,Z199+AH199/$J$18*c_Hurdle2.Share_GP)</f>
        <v>0</v>
      </c>
      <c r="AM199" s="663">
        <f t="shared" si="1140"/>
        <v>0</v>
      </c>
      <c r="AN199" s="660">
        <f t="shared" si="1187"/>
        <v>0</v>
      </c>
      <c r="AO199" s="521"/>
      <c r="AP199" s="663">
        <f t="shared" si="772"/>
        <v>0</v>
      </c>
      <c r="AQ199" s="663">
        <f t="shared" ref="AQ199" si="1293">IF($G199=0,0,-MIN(0,$G199*c_EquityShare.LP))</f>
        <v>0</v>
      </c>
      <c r="AR199" s="663" cm="1">
        <f t="array" ref="AR199">IF($D199=0,0,AP199*(c_Rate.Hurdle3.MO))</f>
        <v>0</v>
      </c>
      <c r="AS199" s="663">
        <f t="shared" si="1142"/>
        <v>0</v>
      </c>
      <c r="AT199" s="663">
        <f t="shared" si="1167"/>
        <v>0</v>
      </c>
      <c r="AU199" s="663">
        <f t="shared" si="1143"/>
        <v>0</v>
      </c>
      <c r="AV199" s="664">
        <f t="shared" si="1144"/>
        <v>0</v>
      </c>
      <c r="AW199" s="660">
        <f t="shared" si="1168"/>
        <v>0</v>
      </c>
      <c r="AX199" s="663">
        <f t="shared" ref="AX199" si="1294">IF(AP199=0,0,AL199+AT199/$J$19*c_Hurdle3.Share_GP)</f>
        <v>0</v>
      </c>
      <c r="AY199" s="663">
        <f t="shared" si="1170"/>
        <v>0</v>
      </c>
      <c r="AZ199" s="660">
        <f t="shared" si="1190"/>
        <v>0</v>
      </c>
      <c r="BA199" s="521"/>
      <c r="BB199" s="660">
        <f t="shared" si="590"/>
        <v>0</v>
      </c>
      <c r="BC199" s="660">
        <f t="shared" ref="BC199" si="1295">$AZ199*c_Residual.Share_GP</f>
        <v>0</v>
      </c>
      <c r="BD199" s="651"/>
      <c r="BE199" s="660">
        <f t="shared" si="1172"/>
        <v>0</v>
      </c>
      <c r="BF199" s="660">
        <f t="shared" si="1172"/>
        <v>0</v>
      </c>
      <c r="BG199" s="660">
        <f t="shared" si="1147"/>
        <v>0</v>
      </c>
      <c r="BI199" s="660">
        <v>0</v>
      </c>
      <c r="BJ199" s="660">
        <v>0</v>
      </c>
      <c r="BK199" s="660">
        <v>0</v>
      </c>
      <c r="BL199" s="660">
        <f t="shared" si="1173"/>
        <v>0</v>
      </c>
      <c r="BM199" s="660">
        <f t="shared" si="1173"/>
        <v>0</v>
      </c>
      <c r="BN199" s="660">
        <f t="shared" si="1174"/>
        <v>0</v>
      </c>
      <c r="BO199" s="660">
        <f t="shared" si="1174"/>
        <v>0</v>
      </c>
      <c r="BP199" s="660">
        <f t="shared" si="1175"/>
        <v>0</v>
      </c>
      <c r="BQ199" s="660">
        <f t="shared" si="1175"/>
        <v>0</v>
      </c>
      <c r="BR199" s="660">
        <v>0</v>
      </c>
      <c r="BS199" s="660">
        <v>0</v>
      </c>
      <c r="BT199" s="660">
        <f t="shared" si="1148"/>
        <v>0</v>
      </c>
      <c r="BU199" s="660">
        <f t="shared" si="1148"/>
        <v>0</v>
      </c>
      <c r="BX199" s="660">
        <v>0</v>
      </c>
      <c r="BY199" s="660">
        <f t="shared" si="1176"/>
        <v>0</v>
      </c>
      <c r="BZ199" s="660">
        <f t="shared" si="1149"/>
        <v>0</v>
      </c>
      <c r="CA199" s="660">
        <f t="shared" si="1150"/>
        <v>0</v>
      </c>
      <c r="CB199" s="660">
        <f t="shared" si="1151"/>
        <v>0</v>
      </c>
      <c r="CC199" s="660">
        <f t="shared" si="1152"/>
        <v>0</v>
      </c>
      <c r="CD199" s="660">
        <f t="shared" si="1177"/>
        <v>0</v>
      </c>
    </row>
    <row r="200" spans="4:82" ht="16" hidden="1" thickTop="1" thickBot="1">
      <c r="D200" s="653"/>
      <c r="E200" s="654"/>
      <c r="F200" s="655" t="str">
        <f t="shared" si="1153"/>
        <v/>
      </c>
      <c r="G200" s="656"/>
      <c r="I200" s="658">
        <f t="shared" si="1154"/>
        <v>0</v>
      </c>
      <c r="J200" s="658">
        <f t="shared" ref="J200" si="1296">IF($G200=0,0,-MIN(0,G200*c_EquityShare.LP))</f>
        <v>0</v>
      </c>
      <c r="K200" s="658">
        <f t="shared" ref="K200" si="1297">I200*c_Rate.Pref_MO</f>
        <v>0</v>
      </c>
      <c r="L200" s="658">
        <f t="shared" si="1130"/>
        <v>0</v>
      </c>
      <c r="M200" s="658">
        <f t="shared" si="1157"/>
        <v>0</v>
      </c>
      <c r="N200" s="658">
        <f t="shared" si="1180"/>
        <v>0</v>
      </c>
      <c r="O200" s="658" cm="1">
        <f t="array" ref="O200">IF(I200=0,0,IF(G200&lt;0,N200/c_EquityShare.LP*i_EquityShare.GP,L200/c_EquityShare.LP*i_EquityShare.GP))</f>
        <v>0</v>
      </c>
      <c r="P200" s="658">
        <f t="shared" si="1158"/>
        <v>0</v>
      </c>
      <c r="Q200" s="658">
        <f t="shared" si="1131"/>
        <v>0</v>
      </c>
      <c r="R200" s="521"/>
      <c r="S200" s="660">
        <f t="shared" si="1159"/>
        <v>0</v>
      </c>
      <c r="T200" s="663" cm="1">
        <f t="array" ref="T200">IF($G200=0,0,-MIN(0,$G200*c_EquityShare.LP))</f>
        <v>0</v>
      </c>
      <c r="U200" s="663" cm="1">
        <f t="array" ref="U200">IF($D200=0,0,S200*c_Rate.Hurdle1.MO)</f>
        <v>0</v>
      </c>
      <c r="V200" s="660">
        <f t="shared" si="1181"/>
        <v>0</v>
      </c>
      <c r="W200" s="660">
        <f t="shared" si="1160"/>
        <v>0</v>
      </c>
      <c r="X200" s="663">
        <f t="shared" si="1182"/>
        <v>0</v>
      </c>
      <c r="Y200" s="663">
        <f t="shared" si="1161"/>
        <v>0</v>
      </c>
      <c r="Z200" s="663">
        <f t="shared" ref="Z200" si="1298">IF(S200=0,0,O200+W200/$J$17*c_Hurdle1.Share_GP)</f>
        <v>0</v>
      </c>
      <c r="AA200" s="663">
        <f t="shared" si="1133"/>
        <v>0</v>
      </c>
      <c r="AB200" s="660">
        <f t="shared" si="1184"/>
        <v>0</v>
      </c>
      <c r="AC200" s="521"/>
      <c r="AD200" s="663">
        <f t="shared" si="769"/>
        <v>0</v>
      </c>
      <c r="AE200" s="663">
        <f t="shared" ref="AE200" si="1299">IF($G200=0,0,-MIN(0,$G200*c_EquityShare.LP))</f>
        <v>0</v>
      </c>
      <c r="AF200" s="663" cm="1">
        <f t="array" ref="AF200">IF($D200=0,0,AD200*(c_Rate.Hurdle2.MO))</f>
        <v>0</v>
      </c>
      <c r="AG200" s="663">
        <f t="shared" si="1135"/>
        <v>0</v>
      </c>
      <c r="AH200" s="663">
        <f t="shared" si="1164"/>
        <v>0</v>
      </c>
      <c r="AI200" s="663">
        <f t="shared" si="1136"/>
        <v>0</v>
      </c>
      <c r="AJ200" s="664">
        <f t="shared" si="1137"/>
        <v>0</v>
      </c>
      <c r="AK200" s="660">
        <f t="shared" si="1138"/>
        <v>0</v>
      </c>
      <c r="AL200" s="663">
        <f t="shared" ref="AL200" si="1300">IF(AD200=0,0,Z200+AH200/$J$18*c_Hurdle2.Share_GP)</f>
        <v>0</v>
      </c>
      <c r="AM200" s="663">
        <f t="shared" si="1140"/>
        <v>0</v>
      </c>
      <c r="AN200" s="660">
        <f t="shared" si="1187"/>
        <v>0</v>
      </c>
      <c r="AO200" s="521"/>
      <c r="AP200" s="663">
        <f t="shared" si="772"/>
        <v>0</v>
      </c>
      <c r="AQ200" s="663">
        <f t="shared" ref="AQ200" si="1301">IF($G200=0,0,-MIN(0,$G200*c_EquityShare.LP))</f>
        <v>0</v>
      </c>
      <c r="AR200" s="663" cm="1">
        <f t="array" ref="AR200">IF($D200=0,0,AP200*(c_Rate.Hurdle3.MO))</f>
        <v>0</v>
      </c>
      <c r="AS200" s="663">
        <f t="shared" si="1142"/>
        <v>0</v>
      </c>
      <c r="AT200" s="663">
        <f t="shared" si="1167"/>
        <v>0</v>
      </c>
      <c r="AU200" s="663">
        <f t="shared" si="1143"/>
        <v>0</v>
      </c>
      <c r="AV200" s="664">
        <f t="shared" si="1144"/>
        <v>0</v>
      </c>
      <c r="AW200" s="660">
        <f t="shared" si="1168"/>
        <v>0</v>
      </c>
      <c r="AX200" s="663">
        <f t="shared" ref="AX200" si="1302">IF(AP200=0,0,AL200+AT200/$J$19*c_Hurdle3.Share_GP)</f>
        <v>0</v>
      </c>
      <c r="AY200" s="663">
        <f t="shared" si="1170"/>
        <v>0</v>
      </c>
      <c r="AZ200" s="660">
        <f t="shared" si="1190"/>
        <v>0</v>
      </c>
      <c r="BA200" s="521"/>
      <c r="BB200" s="660">
        <f t="shared" si="590"/>
        <v>0</v>
      </c>
      <c r="BC200" s="660">
        <f t="shared" ref="BC200" si="1303">$AZ200*c_Residual.Share_GP</f>
        <v>0</v>
      </c>
      <c r="BD200" s="651"/>
      <c r="BE200" s="660">
        <f t="shared" si="1172"/>
        <v>0</v>
      </c>
      <c r="BF200" s="660">
        <f t="shared" si="1172"/>
        <v>0</v>
      </c>
      <c r="BG200" s="660">
        <f t="shared" si="1147"/>
        <v>0</v>
      </c>
      <c r="BI200" s="660">
        <v>0</v>
      </c>
      <c r="BJ200" s="660">
        <v>0</v>
      </c>
      <c r="BK200" s="660">
        <v>0</v>
      </c>
      <c r="BL200" s="660">
        <f t="shared" si="1173"/>
        <v>0</v>
      </c>
      <c r="BM200" s="660">
        <f t="shared" si="1173"/>
        <v>0</v>
      </c>
      <c r="BN200" s="660">
        <f t="shared" si="1174"/>
        <v>0</v>
      </c>
      <c r="BO200" s="660">
        <f t="shared" si="1174"/>
        <v>0</v>
      </c>
      <c r="BP200" s="660">
        <f t="shared" si="1175"/>
        <v>0</v>
      </c>
      <c r="BQ200" s="660">
        <f t="shared" si="1175"/>
        <v>0</v>
      </c>
      <c r="BR200" s="660">
        <v>0</v>
      </c>
      <c r="BS200" s="660">
        <v>0</v>
      </c>
      <c r="BT200" s="660">
        <f t="shared" si="1148"/>
        <v>0</v>
      </c>
      <c r="BU200" s="660">
        <f t="shared" si="1148"/>
        <v>0</v>
      </c>
      <c r="BX200" s="660">
        <v>0</v>
      </c>
      <c r="BY200" s="660">
        <f t="shared" si="1176"/>
        <v>0</v>
      </c>
      <c r="BZ200" s="660">
        <f t="shared" si="1149"/>
        <v>0</v>
      </c>
      <c r="CA200" s="660">
        <f t="shared" si="1150"/>
        <v>0</v>
      </c>
      <c r="CB200" s="660">
        <f t="shared" si="1151"/>
        <v>0</v>
      </c>
      <c r="CC200" s="660">
        <f t="shared" si="1152"/>
        <v>0</v>
      </c>
      <c r="CD200" s="660">
        <f t="shared" si="1177"/>
        <v>0</v>
      </c>
    </row>
    <row r="201" spans="4:82" ht="16" hidden="1" thickTop="1" thickBot="1">
      <c r="D201" s="653"/>
      <c r="E201" s="654"/>
      <c r="F201" s="655" t="str">
        <f t="shared" si="1153"/>
        <v/>
      </c>
      <c r="G201" s="656"/>
      <c r="I201" s="658">
        <f t="shared" si="1154"/>
        <v>0</v>
      </c>
      <c r="J201" s="658">
        <f t="shared" ref="J201" si="1304">IF($G201=0,0,-MIN(0,G201*c_EquityShare.LP))</f>
        <v>0</v>
      </c>
      <c r="K201" s="658">
        <f t="shared" ref="K201" si="1305">I201*c_Rate.Pref_MO</f>
        <v>0</v>
      </c>
      <c r="L201" s="658">
        <f t="shared" si="1130"/>
        <v>0</v>
      </c>
      <c r="M201" s="658">
        <f t="shared" si="1157"/>
        <v>0</v>
      </c>
      <c r="N201" s="658">
        <f t="shared" si="1180"/>
        <v>0</v>
      </c>
      <c r="O201" s="658" cm="1">
        <f t="array" ref="O201">IF(I201=0,0,IF(G201&lt;0,N201/c_EquityShare.LP*i_EquityShare.GP,L201/c_EquityShare.LP*i_EquityShare.GP))</f>
        <v>0</v>
      </c>
      <c r="P201" s="658">
        <f t="shared" si="1158"/>
        <v>0</v>
      </c>
      <c r="Q201" s="658">
        <f t="shared" si="1131"/>
        <v>0</v>
      </c>
      <c r="R201" s="521"/>
      <c r="S201" s="660">
        <f t="shared" si="1159"/>
        <v>0</v>
      </c>
      <c r="T201" s="663" cm="1">
        <f t="array" ref="T201">IF($G201=0,0,-MIN(0,$G201*c_EquityShare.LP))</f>
        <v>0</v>
      </c>
      <c r="U201" s="663" cm="1">
        <f t="array" ref="U201">IF($D201=0,0,S201*c_Rate.Hurdle1.MO)</f>
        <v>0</v>
      </c>
      <c r="V201" s="660">
        <f t="shared" si="1181"/>
        <v>0</v>
      </c>
      <c r="W201" s="660">
        <f t="shared" si="1160"/>
        <v>0</v>
      </c>
      <c r="X201" s="663">
        <f t="shared" si="1182"/>
        <v>0</v>
      </c>
      <c r="Y201" s="663">
        <f t="shared" si="1161"/>
        <v>0</v>
      </c>
      <c r="Z201" s="663">
        <f t="shared" ref="Z201" si="1306">IF(S201=0,0,O201+W201/$J$17*c_Hurdle1.Share_GP)</f>
        <v>0</v>
      </c>
      <c r="AA201" s="663">
        <f t="shared" si="1133"/>
        <v>0</v>
      </c>
      <c r="AB201" s="660">
        <f t="shared" si="1184"/>
        <v>0</v>
      </c>
      <c r="AC201" s="521"/>
      <c r="AD201" s="663">
        <f t="shared" si="769"/>
        <v>0</v>
      </c>
      <c r="AE201" s="663">
        <f t="shared" ref="AE201" si="1307">IF($G201=0,0,-MIN(0,$G201*c_EquityShare.LP))</f>
        <v>0</v>
      </c>
      <c r="AF201" s="663" cm="1">
        <f t="array" ref="AF201">IF($D201=0,0,AD201*(c_Rate.Hurdle2.MO))</f>
        <v>0</v>
      </c>
      <c r="AG201" s="663">
        <f t="shared" si="1135"/>
        <v>0</v>
      </c>
      <c r="AH201" s="663">
        <f t="shared" si="1164"/>
        <v>0</v>
      </c>
      <c r="AI201" s="663">
        <f t="shared" si="1136"/>
        <v>0</v>
      </c>
      <c r="AJ201" s="664">
        <f t="shared" si="1137"/>
        <v>0</v>
      </c>
      <c r="AK201" s="660">
        <f t="shared" si="1138"/>
        <v>0</v>
      </c>
      <c r="AL201" s="663">
        <f t="shared" ref="AL201" si="1308">IF(AD201=0,0,Z201+AH201/$J$18*c_Hurdle2.Share_GP)</f>
        <v>0</v>
      </c>
      <c r="AM201" s="663">
        <f t="shared" si="1140"/>
        <v>0</v>
      </c>
      <c r="AN201" s="660">
        <f t="shared" si="1187"/>
        <v>0</v>
      </c>
      <c r="AO201" s="521"/>
      <c r="AP201" s="663">
        <f t="shared" si="772"/>
        <v>0</v>
      </c>
      <c r="AQ201" s="663">
        <f t="shared" ref="AQ201" si="1309">IF($G201=0,0,-MIN(0,$G201*c_EquityShare.LP))</f>
        <v>0</v>
      </c>
      <c r="AR201" s="663" cm="1">
        <f t="array" ref="AR201">IF($D201=0,0,AP201*(c_Rate.Hurdle3.MO))</f>
        <v>0</v>
      </c>
      <c r="AS201" s="663">
        <f t="shared" si="1142"/>
        <v>0</v>
      </c>
      <c r="AT201" s="663">
        <f t="shared" si="1167"/>
        <v>0</v>
      </c>
      <c r="AU201" s="663">
        <f t="shared" si="1143"/>
        <v>0</v>
      </c>
      <c r="AV201" s="664">
        <f t="shared" si="1144"/>
        <v>0</v>
      </c>
      <c r="AW201" s="660">
        <f t="shared" si="1168"/>
        <v>0</v>
      </c>
      <c r="AX201" s="663">
        <f t="shared" ref="AX201" si="1310">IF(AP201=0,0,AL201+AT201/$J$19*c_Hurdle3.Share_GP)</f>
        <v>0</v>
      </c>
      <c r="AY201" s="663">
        <f t="shared" si="1170"/>
        <v>0</v>
      </c>
      <c r="AZ201" s="660">
        <f t="shared" si="1190"/>
        <v>0</v>
      </c>
      <c r="BA201" s="521"/>
      <c r="BB201" s="660">
        <f t="shared" si="590"/>
        <v>0</v>
      </c>
      <c r="BC201" s="660">
        <f t="shared" ref="BC201" si="1311">$AZ201*c_Residual.Share_GP</f>
        <v>0</v>
      </c>
      <c r="BD201" s="651"/>
      <c r="BE201" s="660">
        <f t="shared" si="1172"/>
        <v>0</v>
      </c>
      <c r="BF201" s="660">
        <f t="shared" si="1172"/>
        <v>0</v>
      </c>
      <c r="BG201" s="660">
        <f t="shared" si="1147"/>
        <v>0</v>
      </c>
      <c r="BI201" s="660">
        <v>0</v>
      </c>
      <c r="BJ201" s="660">
        <v>0</v>
      </c>
      <c r="BK201" s="660">
        <v>0</v>
      </c>
      <c r="BL201" s="660">
        <f t="shared" si="1173"/>
        <v>0</v>
      </c>
      <c r="BM201" s="660">
        <f t="shared" si="1173"/>
        <v>0</v>
      </c>
      <c r="BN201" s="660">
        <f t="shared" si="1174"/>
        <v>0</v>
      </c>
      <c r="BO201" s="660">
        <f t="shared" si="1174"/>
        <v>0</v>
      </c>
      <c r="BP201" s="660">
        <f t="shared" si="1175"/>
        <v>0</v>
      </c>
      <c r="BQ201" s="660">
        <f t="shared" si="1175"/>
        <v>0</v>
      </c>
      <c r="BR201" s="660">
        <v>0</v>
      </c>
      <c r="BS201" s="660">
        <v>0</v>
      </c>
      <c r="BT201" s="660">
        <f t="shared" si="1148"/>
        <v>0</v>
      </c>
      <c r="BU201" s="660">
        <f t="shared" si="1148"/>
        <v>0</v>
      </c>
      <c r="BX201" s="660">
        <v>0</v>
      </c>
      <c r="BY201" s="660">
        <f t="shared" si="1176"/>
        <v>0</v>
      </c>
      <c r="BZ201" s="660">
        <f t="shared" si="1149"/>
        <v>0</v>
      </c>
      <c r="CA201" s="660">
        <f t="shared" si="1150"/>
        <v>0</v>
      </c>
      <c r="CB201" s="660">
        <f t="shared" si="1151"/>
        <v>0</v>
      </c>
      <c r="CC201" s="660">
        <f t="shared" si="1152"/>
        <v>0</v>
      </c>
      <c r="CD201" s="660">
        <f t="shared" si="1177"/>
        <v>0</v>
      </c>
    </row>
    <row r="202" spans="4:82" ht="16" hidden="1" thickTop="1" thickBot="1">
      <c r="D202" s="653"/>
      <c r="E202" s="654"/>
      <c r="F202" s="655" t="str">
        <f t="shared" si="1153"/>
        <v/>
      </c>
      <c r="G202" s="656"/>
      <c r="I202" s="658">
        <f t="shared" si="1154"/>
        <v>0</v>
      </c>
      <c r="J202" s="658">
        <f t="shared" ref="J202" si="1312">IF($G202=0,0,-MIN(0,G202*c_EquityShare.LP))</f>
        <v>0</v>
      </c>
      <c r="K202" s="658">
        <f t="shared" ref="K202" si="1313">I202*c_Rate.Pref_MO</f>
        <v>0</v>
      </c>
      <c r="L202" s="658">
        <f t="shared" si="1130"/>
        <v>0</v>
      </c>
      <c r="M202" s="658">
        <f t="shared" si="1157"/>
        <v>0</v>
      </c>
      <c r="N202" s="658">
        <f t="shared" si="1180"/>
        <v>0</v>
      </c>
      <c r="O202" s="658" cm="1">
        <f t="array" ref="O202">IF(I202=0,0,IF(G202&lt;0,N202/c_EquityShare.LP*i_EquityShare.GP,L202/c_EquityShare.LP*i_EquityShare.GP))</f>
        <v>0</v>
      </c>
      <c r="P202" s="658">
        <f t="shared" si="1158"/>
        <v>0</v>
      </c>
      <c r="Q202" s="658">
        <f t="shared" si="1131"/>
        <v>0</v>
      </c>
      <c r="R202" s="521"/>
      <c r="S202" s="660">
        <f t="shared" si="1159"/>
        <v>0</v>
      </c>
      <c r="T202" s="663" cm="1">
        <f t="array" ref="T202">IF($G202=0,0,-MIN(0,$G202*c_EquityShare.LP))</f>
        <v>0</v>
      </c>
      <c r="U202" s="663" cm="1">
        <f t="array" ref="U202">IF($D202=0,0,S202*c_Rate.Hurdle1.MO)</f>
        <v>0</v>
      </c>
      <c r="V202" s="660">
        <f t="shared" si="1181"/>
        <v>0</v>
      </c>
      <c r="W202" s="660">
        <f t="shared" si="1160"/>
        <v>0</v>
      </c>
      <c r="X202" s="663">
        <f t="shared" si="1182"/>
        <v>0</v>
      </c>
      <c r="Y202" s="663">
        <f t="shared" si="1161"/>
        <v>0</v>
      </c>
      <c r="Z202" s="663">
        <f t="shared" ref="Z202" si="1314">IF(S202=0,0,O202+W202/$J$17*c_Hurdle1.Share_GP)</f>
        <v>0</v>
      </c>
      <c r="AA202" s="663">
        <f t="shared" si="1133"/>
        <v>0</v>
      </c>
      <c r="AB202" s="660">
        <f t="shared" si="1184"/>
        <v>0</v>
      </c>
      <c r="AC202" s="521"/>
      <c r="AD202" s="663">
        <f t="shared" si="769"/>
        <v>0</v>
      </c>
      <c r="AE202" s="663">
        <f t="shared" ref="AE202" si="1315">IF($G202=0,0,-MIN(0,$G202*c_EquityShare.LP))</f>
        <v>0</v>
      </c>
      <c r="AF202" s="663" cm="1">
        <f t="array" ref="AF202">IF($D202=0,0,AD202*(c_Rate.Hurdle2.MO))</f>
        <v>0</v>
      </c>
      <c r="AG202" s="663">
        <f t="shared" si="1135"/>
        <v>0</v>
      </c>
      <c r="AH202" s="663">
        <f t="shared" si="1164"/>
        <v>0</v>
      </c>
      <c r="AI202" s="663">
        <f t="shared" si="1136"/>
        <v>0</v>
      </c>
      <c r="AJ202" s="664">
        <f t="shared" si="1137"/>
        <v>0</v>
      </c>
      <c r="AK202" s="660">
        <f t="shared" si="1138"/>
        <v>0</v>
      </c>
      <c r="AL202" s="663">
        <f t="shared" ref="AL202" si="1316">IF(AD202=0,0,Z202+AH202/$J$18*c_Hurdle2.Share_GP)</f>
        <v>0</v>
      </c>
      <c r="AM202" s="663">
        <f t="shared" si="1140"/>
        <v>0</v>
      </c>
      <c r="AN202" s="660">
        <f t="shared" si="1187"/>
        <v>0</v>
      </c>
      <c r="AO202" s="521"/>
      <c r="AP202" s="663">
        <f t="shared" si="772"/>
        <v>0</v>
      </c>
      <c r="AQ202" s="663">
        <f t="shared" ref="AQ202" si="1317">IF($G202=0,0,-MIN(0,$G202*c_EquityShare.LP))</f>
        <v>0</v>
      </c>
      <c r="AR202" s="663" cm="1">
        <f t="array" ref="AR202">IF($D202=0,0,AP202*(c_Rate.Hurdle3.MO))</f>
        <v>0</v>
      </c>
      <c r="AS202" s="663">
        <f t="shared" si="1142"/>
        <v>0</v>
      </c>
      <c r="AT202" s="663">
        <f t="shared" si="1167"/>
        <v>0</v>
      </c>
      <c r="AU202" s="663">
        <f t="shared" si="1143"/>
        <v>0</v>
      </c>
      <c r="AV202" s="664">
        <f t="shared" si="1144"/>
        <v>0</v>
      </c>
      <c r="AW202" s="660">
        <f t="shared" si="1168"/>
        <v>0</v>
      </c>
      <c r="AX202" s="663">
        <f t="shared" ref="AX202" si="1318">IF(AP202=0,0,AL202+AT202/$J$19*c_Hurdle3.Share_GP)</f>
        <v>0</v>
      </c>
      <c r="AY202" s="663">
        <f t="shared" si="1170"/>
        <v>0</v>
      </c>
      <c r="AZ202" s="660">
        <f t="shared" si="1190"/>
        <v>0</v>
      </c>
      <c r="BA202" s="521"/>
      <c r="BB202" s="660">
        <f t="shared" si="590"/>
        <v>0</v>
      </c>
      <c r="BC202" s="660">
        <f t="shared" ref="BC202" si="1319">$AZ202*c_Residual.Share_GP</f>
        <v>0</v>
      </c>
      <c r="BD202" s="651"/>
      <c r="BE202" s="660">
        <f t="shared" si="1172"/>
        <v>0</v>
      </c>
      <c r="BF202" s="660">
        <f t="shared" si="1172"/>
        <v>0</v>
      </c>
      <c r="BG202" s="660">
        <f t="shared" si="1147"/>
        <v>0</v>
      </c>
      <c r="BI202" s="660">
        <v>0</v>
      </c>
      <c r="BJ202" s="660">
        <v>0</v>
      </c>
      <c r="BK202" s="660">
        <v>0</v>
      </c>
      <c r="BL202" s="660">
        <f t="shared" si="1173"/>
        <v>0</v>
      </c>
      <c r="BM202" s="660">
        <f t="shared" si="1173"/>
        <v>0</v>
      </c>
      <c r="BN202" s="660">
        <f t="shared" si="1174"/>
        <v>0</v>
      </c>
      <c r="BO202" s="660">
        <f t="shared" si="1174"/>
        <v>0</v>
      </c>
      <c r="BP202" s="660">
        <f t="shared" si="1175"/>
        <v>0</v>
      </c>
      <c r="BQ202" s="660">
        <f t="shared" si="1175"/>
        <v>0</v>
      </c>
      <c r="BR202" s="660">
        <v>0</v>
      </c>
      <c r="BS202" s="660">
        <v>0</v>
      </c>
      <c r="BT202" s="660">
        <f t="shared" si="1148"/>
        <v>0</v>
      </c>
      <c r="BU202" s="660">
        <f t="shared" si="1148"/>
        <v>0</v>
      </c>
      <c r="BX202" s="660">
        <v>0</v>
      </c>
      <c r="BY202" s="660">
        <f t="shared" si="1176"/>
        <v>0</v>
      </c>
      <c r="BZ202" s="660">
        <f t="shared" si="1149"/>
        <v>0</v>
      </c>
      <c r="CA202" s="660">
        <f t="shared" si="1150"/>
        <v>0</v>
      </c>
      <c r="CB202" s="660">
        <f t="shared" si="1151"/>
        <v>0</v>
      </c>
      <c r="CC202" s="660">
        <f t="shared" si="1152"/>
        <v>0</v>
      </c>
      <c r="CD202" s="660">
        <f t="shared" si="1177"/>
        <v>0</v>
      </c>
    </row>
    <row r="203" spans="4:82" ht="16" hidden="1" thickTop="1" thickBot="1">
      <c r="D203" s="653"/>
      <c r="E203" s="654"/>
      <c r="F203" s="655" t="str">
        <f t="shared" si="1153"/>
        <v/>
      </c>
      <c r="G203" s="656"/>
      <c r="I203" s="658">
        <f t="shared" si="1154"/>
        <v>0</v>
      </c>
      <c r="J203" s="658">
        <f t="shared" ref="J203" si="1320">IF($G203=0,0,-MIN(0,G203*c_EquityShare.LP))</f>
        <v>0</v>
      </c>
      <c r="K203" s="658">
        <f t="shared" ref="K203" si="1321">I203*c_Rate.Pref_MO</f>
        <v>0</v>
      </c>
      <c r="L203" s="658">
        <f t="shared" si="1130"/>
        <v>0</v>
      </c>
      <c r="M203" s="658">
        <f t="shared" si="1157"/>
        <v>0</v>
      </c>
      <c r="N203" s="658">
        <f t="shared" si="1180"/>
        <v>0</v>
      </c>
      <c r="O203" s="658" cm="1">
        <f t="array" ref="O203">IF(I203=0,0,IF(G203&lt;0,N203/c_EquityShare.LP*i_EquityShare.GP,L203/c_EquityShare.LP*i_EquityShare.GP))</f>
        <v>0</v>
      </c>
      <c r="P203" s="658">
        <f t="shared" si="1158"/>
        <v>0</v>
      </c>
      <c r="Q203" s="658">
        <f t="shared" si="1131"/>
        <v>0</v>
      </c>
      <c r="R203" s="521"/>
      <c r="S203" s="660">
        <f t="shared" si="1159"/>
        <v>0</v>
      </c>
      <c r="T203" s="663" cm="1">
        <f t="array" ref="T203">IF($G203=0,0,-MIN(0,$G203*c_EquityShare.LP))</f>
        <v>0</v>
      </c>
      <c r="U203" s="663" cm="1">
        <f t="array" ref="U203">IF($D203=0,0,S203*c_Rate.Hurdle1.MO)</f>
        <v>0</v>
      </c>
      <c r="V203" s="660">
        <f t="shared" si="1181"/>
        <v>0</v>
      </c>
      <c r="W203" s="660">
        <f t="shared" si="1160"/>
        <v>0</v>
      </c>
      <c r="X203" s="663">
        <f t="shared" si="1182"/>
        <v>0</v>
      </c>
      <c r="Y203" s="663">
        <f t="shared" si="1161"/>
        <v>0</v>
      </c>
      <c r="Z203" s="663">
        <f t="shared" ref="Z203" si="1322">IF(S203=0,0,O203+W203/$J$17*c_Hurdle1.Share_GP)</f>
        <v>0</v>
      </c>
      <c r="AA203" s="663">
        <f t="shared" si="1133"/>
        <v>0</v>
      </c>
      <c r="AB203" s="660">
        <f t="shared" si="1184"/>
        <v>0</v>
      </c>
      <c r="AC203" s="521"/>
      <c r="AD203" s="663">
        <f t="shared" ref="AD203:AD266" si="1323">AI202</f>
        <v>0</v>
      </c>
      <c r="AE203" s="663">
        <f t="shared" ref="AE203" si="1324">IF($G203=0,0,-MIN(0,$G203*c_EquityShare.LP))</f>
        <v>0</v>
      </c>
      <c r="AF203" s="663" cm="1">
        <f t="array" ref="AF203">IF($D203=0,0,AD203*(c_Rate.Hurdle2.MO))</f>
        <v>0</v>
      </c>
      <c r="AG203" s="663">
        <f t="shared" si="1135"/>
        <v>0</v>
      </c>
      <c r="AH203" s="663">
        <f t="shared" si="1164"/>
        <v>0</v>
      </c>
      <c r="AI203" s="663">
        <f t="shared" si="1136"/>
        <v>0</v>
      </c>
      <c r="AJ203" s="664">
        <f t="shared" si="1137"/>
        <v>0</v>
      </c>
      <c r="AK203" s="660">
        <f t="shared" si="1138"/>
        <v>0</v>
      </c>
      <c r="AL203" s="663">
        <f t="shared" ref="AL203" si="1325">IF(AD203=0,0,Z203+AH203/$J$18*c_Hurdle2.Share_GP)</f>
        <v>0</v>
      </c>
      <c r="AM203" s="663">
        <f t="shared" si="1140"/>
        <v>0</v>
      </c>
      <c r="AN203" s="660">
        <f t="shared" si="1187"/>
        <v>0</v>
      </c>
      <c r="AO203" s="521"/>
      <c r="AP203" s="663">
        <f t="shared" ref="AP203:AP266" si="1326">AU202</f>
        <v>0</v>
      </c>
      <c r="AQ203" s="663">
        <f t="shared" ref="AQ203" si="1327">IF($G203=0,0,-MIN(0,$G203*c_EquityShare.LP))</f>
        <v>0</v>
      </c>
      <c r="AR203" s="663" cm="1">
        <f t="array" ref="AR203">IF($D203=0,0,AP203*(c_Rate.Hurdle3.MO))</f>
        <v>0</v>
      </c>
      <c r="AS203" s="663">
        <f t="shared" si="1142"/>
        <v>0</v>
      </c>
      <c r="AT203" s="663">
        <f t="shared" si="1167"/>
        <v>0</v>
      </c>
      <c r="AU203" s="663">
        <f t="shared" si="1143"/>
        <v>0</v>
      </c>
      <c r="AV203" s="664">
        <f t="shared" si="1144"/>
        <v>0</v>
      </c>
      <c r="AW203" s="660">
        <f t="shared" si="1168"/>
        <v>0</v>
      </c>
      <c r="AX203" s="663">
        <f t="shared" ref="AX203" si="1328">IF(AP203=0,0,AL203+AT203/$J$19*c_Hurdle3.Share_GP)</f>
        <v>0</v>
      </c>
      <c r="AY203" s="663">
        <f t="shared" si="1170"/>
        <v>0</v>
      </c>
      <c r="AZ203" s="660">
        <f t="shared" si="1190"/>
        <v>0</v>
      </c>
      <c r="BA203" s="521"/>
      <c r="BB203" s="660">
        <f t="shared" si="590"/>
        <v>0</v>
      </c>
      <c r="BC203" s="660">
        <f t="shared" ref="BC203" si="1329">$AZ203*c_Residual.Share_GP</f>
        <v>0</v>
      </c>
      <c r="BD203" s="651"/>
      <c r="BE203" s="660">
        <f t="shared" si="1172"/>
        <v>0</v>
      </c>
      <c r="BF203" s="660">
        <f t="shared" si="1172"/>
        <v>0</v>
      </c>
      <c r="BG203" s="660">
        <f t="shared" si="1147"/>
        <v>0</v>
      </c>
      <c r="BI203" s="660">
        <v>0</v>
      </c>
      <c r="BJ203" s="660">
        <v>0</v>
      </c>
      <c r="BK203" s="660">
        <v>0</v>
      </c>
      <c r="BL203" s="660">
        <f t="shared" si="1173"/>
        <v>0</v>
      </c>
      <c r="BM203" s="660">
        <f t="shared" si="1173"/>
        <v>0</v>
      </c>
      <c r="BN203" s="660">
        <f t="shared" si="1174"/>
        <v>0</v>
      </c>
      <c r="BO203" s="660">
        <f t="shared" si="1174"/>
        <v>0</v>
      </c>
      <c r="BP203" s="660">
        <f t="shared" si="1175"/>
        <v>0</v>
      </c>
      <c r="BQ203" s="660">
        <f t="shared" si="1175"/>
        <v>0</v>
      </c>
      <c r="BR203" s="660">
        <v>0</v>
      </c>
      <c r="BS203" s="660">
        <v>0</v>
      </c>
      <c r="BT203" s="660">
        <f t="shared" si="1148"/>
        <v>0</v>
      </c>
      <c r="BU203" s="660">
        <f t="shared" si="1148"/>
        <v>0</v>
      </c>
      <c r="BX203" s="660">
        <v>0</v>
      </c>
      <c r="BY203" s="660">
        <f t="shared" si="1176"/>
        <v>0</v>
      </c>
      <c r="BZ203" s="660">
        <f t="shared" si="1149"/>
        <v>0</v>
      </c>
      <c r="CA203" s="660">
        <f t="shared" si="1150"/>
        <v>0</v>
      </c>
      <c r="CB203" s="660">
        <f t="shared" si="1151"/>
        <v>0</v>
      </c>
      <c r="CC203" s="660">
        <f t="shared" si="1152"/>
        <v>0</v>
      </c>
      <c r="CD203" s="660">
        <f t="shared" si="1177"/>
        <v>0</v>
      </c>
    </row>
    <row r="204" spans="4:82" ht="16" hidden="1" thickTop="1" thickBot="1">
      <c r="D204" s="653"/>
      <c r="E204" s="654"/>
      <c r="F204" s="655" t="str">
        <f t="shared" si="1153"/>
        <v/>
      </c>
      <c r="G204" s="656"/>
      <c r="I204" s="658">
        <f t="shared" si="1154"/>
        <v>0</v>
      </c>
      <c r="J204" s="658">
        <f t="shared" ref="J204" si="1330">IF($G204=0,0,-MIN(0,G204*c_EquityShare.LP))</f>
        <v>0</v>
      </c>
      <c r="K204" s="658">
        <f t="shared" ref="K204" si="1331">I204*c_Rate.Pref_MO</f>
        <v>0</v>
      </c>
      <c r="L204" s="658">
        <f t="shared" si="1130"/>
        <v>0</v>
      </c>
      <c r="M204" s="658">
        <f t="shared" si="1157"/>
        <v>0</v>
      </c>
      <c r="N204" s="658">
        <f t="shared" si="1180"/>
        <v>0</v>
      </c>
      <c r="O204" s="658" cm="1">
        <f t="array" ref="O204">IF(I204=0,0,IF(G204&lt;0,N204/c_EquityShare.LP*i_EquityShare.GP,L204/c_EquityShare.LP*i_EquityShare.GP))</f>
        <v>0</v>
      </c>
      <c r="P204" s="658">
        <f t="shared" si="1158"/>
        <v>0</v>
      </c>
      <c r="Q204" s="658">
        <f t="shared" si="1131"/>
        <v>0</v>
      </c>
      <c r="R204" s="521"/>
      <c r="S204" s="660">
        <f t="shared" si="1159"/>
        <v>0</v>
      </c>
      <c r="T204" s="663" cm="1">
        <f t="array" ref="T204">IF($G204=0,0,-MIN(0,$G204*c_EquityShare.LP))</f>
        <v>0</v>
      </c>
      <c r="U204" s="663" cm="1">
        <f t="array" ref="U204">IF($D204=0,0,S204*c_Rate.Hurdle1.MO)</f>
        <v>0</v>
      </c>
      <c r="V204" s="660">
        <f t="shared" si="1181"/>
        <v>0</v>
      </c>
      <c r="W204" s="660">
        <f t="shared" si="1160"/>
        <v>0</v>
      </c>
      <c r="X204" s="663">
        <f t="shared" si="1182"/>
        <v>0</v>
      </c>
      <c r="Y204" s="663">
        <f t="shared" si="1161"/>
        <v>0</v>
      </c>
      <c r="Z204" s="663">
        <f t="shared" ref="Z204" si="1332">IF(S204=0,0,O204+W204/$J$17*c_Hurdle1.Share_GP)</f>
        <v>0</v>
      </c>
      <c r="AA204" s="663">
        <f t="shared" si="1133"/>
        <v>0</v>
      </c>
      <c r="AB204" s="660">
        <f t="shared" si="1184"/>
        <v>0</v>
      </c>
      <c r="AC204" s="521"/>
      <c r="AD204" s="663">
        <f t="shared" si="1323"/>
        <v>0</v>
      </c>
      <c r="AE204" s="663">
        <f t="shared" ref="AE204" si="1333">IF($G204=0,0,-MIN(0,$G204*c_EquityShare.LP))</f>
        <v>0</v>
      </c>
      <c r="AF204" s="663" cm="1">
        <f t="array" ref="AF204">IF($D204=0,0,AD204*(c_Rate.Hurdle2.MO))</f>
        <v>0</v>
      </c>
      <c r="AG204" s="663">
        <f t="shared" si="1135"/>
        <v>0</v>
      </c>
      <c r="AH204" s="663">
        <f t="shared" si="1164"/>
        <v>0</v>
      </c>
      <c r="AI204" s="663">
        <f t="shared" si="1136"/>
        <v>0</v>
      </c>
      <c r="AJ204" s="664">
        <f t="shared" si="1137"/>
        <v>0</v>
      </c>
      <c r="AK204" s="660">
        <f t="shared" si="1138"/>
        <v>0</v>
      </c>
      <c r="AL204" s="663">
        <f t="shared" ref="AL204" si="1334">IF(AD204=0,0,Z204+AH204/$J$18*c_Hurdle2.Share_GP)</f>
        <v>0</v>
      </c>
      <c r="AM204" s="663">
        <f t="shared" si="1140"/>
        <v>0</v>
      </c>
      <c r="AN204" s="660">
        <f t="shared" si="1187"/>
        <v>0</v>
      </c>
      <c r="AO204" s="521"/>
      <c r="AP204" s="663">
        <f t="shared" si="1326"/>
        <v>0</v>
      </c>
      <c r="AQ204" s="663">
        <f t="shared" ref="AQ204" si="1335">IF($G204=0,0,-MIN(0,$G204*c_EquityShare.LP))</f>
        <v>0</v>
      </c>
      <c r="AR204" s="663" cm="1">
        <f t="array" ref="AR204">IF($D204=0,0,AP204*(c_Rate.Hurdle3.MO))</f>
        <v>0</v>
      </c>
      <c r="AS204" s="663">
        <f t="shared" si="1142"/>
        <v>0</v>
      </c>
      <c r="AT204" s="663">
        <f t="shared" si="1167"/>
        <v>0</v>
      </c>
      <c r="AU204" s="663">
        <f t="shared" si="1143"/>
        <v>0</v>
      </c>
      <c r="AV204" s="664">
        <f t="shared" si="1144"/>
        <v>0</v>
      </c>
      <c r="AW204" s="660">
        <f t="shared" si="1168"/>
        <v>0</v>
      </c>
      <c r="AX204" s="663">
        <f t="shared" ref="AX204" si="1336">IF(AP204=0,0,AL204+AT204/$J$19*c_Hurdle3.Share_GP)</f>
        <v>0</v>
      </c>
      <c r="AY204" s="663">
        <f t="shared" si="1170"/>
        <v>0</v>
      </c>
      <c r="AZ204" s="660">
        <f t="shared" si="1190"/>
        <v>0</v>
      </c>
      <c r="BA204" s="521"/>
      <c r="BB204" s="660">
        <f t="shared" si="590"/>
        <v>0</v>
      </c>
      <c r="BC204" s="660">
        <f t="shared" ref="BC204" si="1337">$AZ204*c_Residual.Share_GP</f>
        <v>0</v>
      </c>
      <c r="BD204" s="651"/>
      <c r="BE204" s="660">
        <f t="shared" si="1172"/>
        <v>0</v>
      </c>
      <c r="BF204" s="660">
        <f t="shared" si="1172"/>
        <v>0</v>
      </c>
      <c r="BG204" s="660">
        <f t="shared" si="1147"/>
        <v>0</v>
      </c>
      <c r="BI204" s="660">
        <v>0</v>
      </c>
      <c r="BJ204" s="660">
        <v>0</v>
      </c>
      <c r="BK204" s="660">
        <v>0</v>
      </c>
      <c r="BL204" s="660">
        <f t="shared" si="1173"/>
        <v>0</v>
      </c>
      <c r="BM204" s="660">
        <f t="shared" si="1173"/>
        <v>0</v>
      </c>
      <c r="BN204" s="660">
        <f t="shared" si="1174"/>
        <v>0</v>
      </c>
      <c r="BO204" s="660">
        <f t="shared" si="1174"/>
        <v>0</v>
      </c>
      <c r="BP204" s="660">
        <f t="shared" si="1175"/>
        <v>0</v>
      </c>
      <c r="BQ204" s="660">
        <f t="shared" si="1175"/>
        <v>0</v>
      </c>
      <c r="BR204" s="660">
        <v>0</v>
      </c>
      <c r="BS204" s="660">
        <v>0</v>
      </c>
      <c r="BT204" s="660">
        <f t="shared" si="1148"/>
        <v>0</v>
      </c>
      <c r="BU204" s="660">
        <f t="shared" si="1148"/>
        <v>0</v>
      </c>
      <c r="BX204" s="660">
        <v>0</v>
      </c>
      <c r="BY204" s="660">
        <f t="shared" si="1176"/>
        <v>0</v>
      </c>
      <c r="BZ204" s="660">
        <f t="shared" si="1149"/>
        <v>0</v>
      </c>
      <c r="CA204" s="660">
        <f t="shared" si="1150"/>
        <v>0</v>
      </c>
      <c r="CB204" s="660">
        <f t="shared" si="1151"/>
        <v>0</v>
      </c>
      <c r="CC204" s="660">
        <f t="shared" si="1152"/>
        <v>0</v>
      </c>
      <c r="CD204" s="660">
        <f t="shared" si="1177"/>
        <v>0</v>
      </c>
    </row>
    <row r="205" spans="4:82" ht="16" hidden="1" thickTop="1" thickBot="1">
      <c r="D205" s="653"/>
      <c r="E205" s="654"/>
      <c r="F205" s="655" t="str">
        <f t="shared" si="1153"/>
        <v/>
      </c>
      <c r="G205" s="656"/>
      <c r="I205" s="658">
        <f t="shared" si="1154"/>
        <v>0</v>
      </c>
      <c r="J205" s="658">
        <f t="shared" ref="J205" si="1338">IF($G205=0,0,-MIN(0,G205*c_EquityShare.LP))</f>
        <v>0</v>
      </c>
      <c r="K205" s="658">
        <f t="shared" ref="K205" si="1339">I205*c_Rate.Pref_MO</f>
        <v>0</v>
      </c>
      <c r="L205" s="658">
        <f t="shared" si="1130"/>
        <v>0</v>
      </c>
      <c r="M205" s="658">
        <f t="shared" si="1157"/>
        <v>0</v>
      </c>
      <c r="N205" s="658">
        <f t="shared" si="1180"/>
        <v>0</v>
      </c>
      <c r="O205" s="658" cm="1">
        <f t="array" ref="O205">IF(I205=0,0,IF(G205&lt;0,N205/c_EquityShare.LP*i_EquityShare.GP,L205/c_EquityShare.LP*i_EquityShare.GP))</f>
        <v>0</v>
      </c>
      <c r="P205" s="658">
        <f t="shared" si="1158"/>
        <v>0</v>
      </c>
      <c r="Q205" s="658">
        <f t="shared" si="1131"/>
        <v>0</v>
      </c>
      <c r="R205" s="521"/>
      <c r="S205" s="660">
        <f t="shared" si="1159"/>
        <v>0</v>
      </c>
      <c r="T205" s="663" cm="1">
        <f t="array" ref="T205">IF($G205=0,0,-MIN(0,$G205*c_EquityShare.LP))</f>
        <v>0</v>
      </c>
      <c r="U205" s="663" cm="1">
        <f t="array" ref="U205">IF($D205=0,0,S205*c_Rate.Hurdle1.MO)</f>
        <v>0</v>
      </c>
      <c r="V205" s="660">
        <f t="shared" si="1181"/>
        <v>0</v>
      </c>
      <c r="W205" s="660">
        <f t="shared" si="1160"/>
        <v>0</v>
      </c>
      <c r="X205" s="663">
        <f t="shared" si="1182"/>
        <v>0</v>
      </c>
      <c r="Y205" s="663">
        <f t="shared" si="1161"/>
        <v>0</v>
      </c>
      <c r="Z205" s="663">
        <f t="shared" ref="Z205" si="1340">IF(S205=0,0,O205+W205/$J$17*c_Hurdle1.Share_GP)</f>
        <v>0</v>
      </c>
      <c r="AA205" s="663">
        <f t="shared" si="1133"/>
        <v>0</v>
      </c>
      <c r="AB205" s="660">
        <f t="shared" si="1184"/>
        <v>0</v>
      </c>
      <c r="AC205" s="521"/>
      <c r="AD205" s="663">
        <f t="shared" si="1323"/>
        <v>0</v>
      </c>
      <c r="AE205" s="663">
        <f t="shared" ref="AE205" si="1341">IF($G205=0,0,-MIN(0,$G205*c_EquityShare.LP))</f>
        <v>0</v>
      </c>
      <c r="AF205" s="663" cm="1">
        <f t="array" ref="AF205">IF($D205=0,0,AD205*(c_Rate.Hurdle2.MO))</f>
        <v>0</v>
      </c>
      <c r="AG205" s="663">
        <f t="shared" si="1135"/>
        <v>0</v>
      </c>
      <c r="AH205" s="663">
        <f t="shared" si="1164"/>
        <v>0</v>
      </c>
      <c r="AI205" s="663">
        <f t="shared" si="1136"/>
        <v>0</v>
      </c>
      <c r="AJ205" s="664">
        <f t="shared" si="1137"/>
        <v>0</v>
      </c>
      <c r="AK205" s="660">
        <f t="shared" si="1138"/>
        <v>0</v>
      </c>
      <c r="AL205" s="663">
        <f t="shared" ref="AL205" si="1342">IF(AD205=0,0,Z205+AH205/$J$18*c_Hurdle2.Share_GP)</f>
        <v>0</v>
      </c>
      <c r="AM205" s="663">
        <f t="shared" si="1140"/>
        <v>0</v>
      </c>
      <c r="AN205" s="660">
        <f t="shared" si="1187"/>
        <v>0</v>
      </c>
      <c r="AO205" s="521"/>
      <c r="AP205" s="663">
        <f t="shared" si="1326"/>
        <v>0</v>
      </c>
      <c r="AQ205" s="663">
        <f t="shared" ref="AQ205" si="1343">IF($G205=0,0,-MIN(0,$G205*c_EquityShare.LP))</f>
        <v>0</v>
      </c>
      <c r="AR205" s="663" cm="1">
        <f t="array" ref="AR205">IF($D205=0,0,AP205*(c_Rate.Hurdle3.MO))</f>
        <v>0</v>
      </c>
      <c r="AS205" s="663">
        <f t="shared" si="1142"/>
        <v>0</v>
      </c>
      <c r="AT205" s="663">
        <f t="shared" si="1167"/>
        <v>0</v>
      </c>
      <c r="AU205" s="663">
        <f t="shared" si="1143"/>
        <v>0</v>
      </c>
      <c r="AV205" s="664">
        <f t="shared" si="1144"/>
        <v>0</v>
      </c>
      <c r="AW205" s="660">
        <f t="shared" si="1168"/>
        <v>0</v>
      </c>
      <c r="AX205" s="663">
        <f t="shared" ref="AX205" si="1344">IF(AP205=0,0,AL205+AT205/$J$19*c_Hurdle3.Share_GP)</f>
        <v>0</v>
      </c>
      <c r="AY205" s="663">
        <f t="shared" si="1170"/>
        <v>0</v>
      </c>
      <c r="AZ205" s="660">
        <f t="shared" si="1190"/>
        <v>0</v>
      </c>
      <c r="BA205" s="521"/>
      <c r="BB205" s="660">
        <f t="shared" si="590"/>
        <v>0</v>
      </c>
      <c r="BC205" s="660">
        <f t="shared" ref="BC205" si="1345">$AZ205*c_Residual.Share_GP</f>
        <v>0</v>
      </c>
      <c r="BD205" s="651"/>
      <c r="BE205" s="660">
        <f t="shared" si="1172"/>
        <v>0</v>
      </c>
      <c r="BF205" s="660">
        <f t="shared" si="1172"/>
        <v>0</v>
      </c>
      <c r="BG205" s="660">
        <f t="shared" si="1147"/>
        <v>0</v>
      </c>
      <c r="BI205" s="660">
        <v>0</v>
      </c>
      <c r="BJ205" s="660">
        <v>0</v>
      </c>
      <c r="BK205" s="660">
        <v>0</v>
      </c>
      <c r="BL205" s="660">
        <f t="shared" si="1173"/>
        <v>0</v>
      </c>
      <c r="BM205" s="660">
        <f t="shared" si="1173"/>
        <v>0</v>
      </c>
      <c r="BN205" s="660">
        <f t="shared" si="1174"/>
        <v>0</v>
      </c>
      <c r="BO205" s="660">
        <f t="shared" si="1174"/>
        <v>0</v>
      </c>
      <c r="BP205" s="660">
        <f t="shared" si="1175"/>
        <v>0</v>
      </c>
      <c r="BQ205" s="660">
        <f t="shared" si="1175"/>
        <v>0</v>
      </c>
      <c r="BR205" s="660">
        <v>0</v>
      </c>
      <c r="BS205" s="660">
        <v>0</v>
      </c>
      <c r="BT205" s="660">
        <f t="shared" si="1148"/>
        <v>0</v>
      </c>
      <c r="BU205" s="660">
        <f t="shared" si="1148"/>
        <v>0</v>
      </c>
      <c r="BX205" s="660">
        <v>0</v>
      </c>
      <c r="BY205" s="660">
        <f t="shared" si="1176"/>
        <v>0</v>
      </c>
      <c r="BZ205" s="660">
        <f t="shared" si="1149"/>
        <v>0</v>
      </c>
      <c r="CA205" s="660">
        <f t="shared" si="1150"/>
        <v>0</v>
      </c>
      <c r="CB205" s="660">
        <f t="shared" si="1151"/>
        <v>0</v>
      </c>
      <c r="CC205" s="660">
        <f t="shared" si="1152"/>
        <v>0</v>
      </c>
      <c r="CD205" s="660">
        <f t="shared" si="1177"/>
        <v>0</v>
      </c>
    </row>
    <row r="206" spans="4:82" ht="16" hidden="1" thickTop="1" thickBot="1">
      <c r="D206" s="653"/>
      <c r="E206" s="654"/>
      <c r="F206" s="655" t="str">
        <f t="shared" si="1153"/>
        <v/>
      </c>
      <c r="G206" s="656"/>
      <c r="I206" s="658">
        <f t="shared" si="1154"/>
        <v>0</v>
      </c>
      <c r="J206" s="658">
        <f t="shared" ref="J206" si="1346">IF($G206=0,0,-MIN(0,G206*c_EquityShare.LP))</f>
        <v>0</v>
      </c>
      <c r="K206" s="658">
        <f t="shared" ref="K206" si="1347">I206*c_Rate.Pref_MO</f>
        <v>0</v>
      </c>
      <c r="L206" s="658">
        <f t="shared" si="1130"/>
        <v>0</v>
      </c>
      <c r="M206" s="658">
        <f t="shared" si="1157"/>
        <v>0</v>
      </c>
      <c r="N206" s="658">
        <f t="shared" si="1180"/>
        <v>0</v>
      </c>
      <c r="O206" s="658" cm="1">
        <f t="array" ref="O206">IF(I206=0,0,IF(G206&lt;0,N206/c_EquityShare.LP*i_EquityShare.GP,L206/c_EquityShare.LP*i_EquityShare.GP))</f>
        <v>0</v>
      </c>
      <c r="P206" s="658">
        <f t="shared" si="1158"/>
        <v>0</v>
      </c>
      <c r="Q206" s="658">
        <f t="shared" si="1131"/>
        <v>0</v>
      </c>
      <c r="R206" s="521"/>
      <c r="S206" s="660">
        <f t="shared" si="1159"/>
        <v>0</v>
      </c>
      <c r="T206" s="663" cm="1">
        <f t="array" ref="T206">IF($G206=0,0,-MIN(0,$G206*c_EquityShare.LP))</f>
        <v>0</v>
      </c>
      <c r="U206" s="663" cm="1">
        <f t="array" ref="U206">IF($D206=0,0,S206*c_Rate.Hurdle1.MO)</f>
        <v>0</v>
      </c>
      <c r="V206" s="660">
        <f t="shared" si="1181"/>
        <v>0</v>
      </c>
      <c r="W206" s="660">
        <f t="shared" si="1160"/>
        <v>0</v>
      </c>
      <c r="X206" s="663">
        <f t="shared" si="1182"/>
        <v>0</v>
      </c>
      <c r="Y206" s="663">
        <f t="shared" si="1161"/>
        <v>0</v>
      </c>
      <c r="Z206" s="663">
        <f t="shared" ref="Z206" si="1348">IF(S206=0,0,O206+W206/$J$17*c_Hurdle1.Share_GP)</f>
        <v>0</v>
      </c>
      <c r="AA206" s="663">
        <f t="shared" si="1133"/>
        <v>0</v>
      </c>
      <c r="AB206" s="660">
        <f t="shared" si="1184"/>
        <v>0</v>
      </c>
      <c r="AC206" s="521"/>
      <c r="AD206" s="663">
        <f t="shared" si="1323"/>
        <v>0</v>
      </c>
      <c r="AE206" s="663">
        <f t="shared" ref="AE206" si="1349">IF($G206=0,0,-MIN(0,$G206*c_EquityShare.LP))</f>
        <v>0</v>
      </c>
      <c r="AF206" s="663" cm="1">
        <f t="array" ref="AF206">IF($D206=0,0,AD206*(c_Rate.Hurdle2.MO))</f>
        <v>0</v>
      </c>
      <c r="AG206" s="663">
        <f t="shared" si="1135"/>
        <v>0</v>
      </c>
      <c r="AH206" s="663">
        <f t="shared" si="1164"/>
        <v>0</v>
      </c>
      <c r="AI206" s="663">
        <f t="shared" si="1136"/>
        <v>0</v>
      </c>
      <c r="AJ206" s="664">
        <f t="shared" si="1137"/>
        <v>0</v>
      </c>
      <c r="AK206" s="660">
        <f t="shared" si="1138"/>
        <v>0</v>
      </c>
      <c r="AL206" s="663">
        <f t="shared" ref="AL206" si="1350">IF(AD206=0,0,Z206+AH206/$J$18*c_Hurdle2.Share_GP)</f>
        <v>0</v>
      </c>
      <c r="AM206" s="663">
        <f t="shared" si="1140"/>
        <v>0</v>
      </c>
      <c r="AN206" s="660">
        <f t="shared" si="1187"/>
        <v>0</v>
      </c>
      <c r="AO206" s="521"/>
      <c r="AP206" s="663">
        <f t="shared" si="1326"/>
        <v>0</v>
      </c>
      <c r="AQ206" s="663">
        <f t="shared" ref="AQ206" si="1351">IF($G206=0,0,-MIN(0,$G206*c_EquityShare.LP))</f>
        <v>0</v>
      </c>
      <c r="AR206" s="663" cm="1">
        <f t="array" ref="AR206">IF($D206=0,0,AP206*(c_Rate.Hurdle3.MO))</f>
        <v>0</v>
      </c>
      <c r="AS206" s="663">
        <f t="shared" si="1142"/>
        <v>0</v>
      </c>
      <c r="AT206" s="663">
        <f t="shared" si="1167"/>
        <v>0</v>
      </c>
      <c r="AU206" s="663">
        <f t="shared" si="1143"/>
        <v>0</v>
      </c>
      <c r="AV206" s="664">
        <f t="shared" si="1144"/>
        <v>0</v>
      </c>
      <c r="AW206" s="660">
        <f t="shared" si="1168"/>
        <v>0</v>
      </c>
      <c r="AX206" s="663">
        <f t="shared" ref="AX206" si="1352">IF(AP206=0,0,AL206+AT206/$J$19*c_Hurdle3.Share_GP)</f>
        <v>0</v>
      </c>
      <c r="AY206" s="663">
        <f t="shared" si="1170"/>
        <v>0</v>
      </c>
      <c r="AZ206" s="660">
        <f t="shared" si="1190"/>
        <v>0</v>
      </c>
      <c r="BA206" s="521"/>
      <c r="BB206" s="660">
        <f t="shared" si="590"/>
        <v>0</v>
      </c>
      <c r="BC206" s="660">
        <f t="shared" ref="BC206" si="1353">$AZ206*c_Residual.Share_GP</f>
        <v>0</v>
      </c>
      <c r="BD206" s="651"/>
      <c r="BE206" s="660">
        <f t="shared" si="1172"/>
        <v>0</v>
      </c>
      <c r="BF206" s="660">
        <f t="shared" si="1172"/>
        <v>0</v>
      </c>
      <c r="BG206" s="660">
        <f t="shared" si="1147"/>
        <v>0</v>
      </c>
      <c r="BI206" s="660">
        <v>0</v>
      </c>
      <c r="BJ206" s="660">
        <v>0</v>
      </c>
      <c r="BK206" s="660">
        <v>0</v>
      </c>
      <c r="BL206" s="660">
        <f t="shared" si="1173"/>
        <v>0</v>
      </c>
      <c r="BM206" s="660">
        <f t="shared" si="1173"/>
        <v>0</v>
      </c>
      <c r="BN206" s="660">
        <f t="shared" si="1174"/>
        <v>0</v>
      </c>
      <c r="BO206" s="660">
        <f t="shared" si="1174"/>
        <v>0</v>
      </c>
      <c r="BP206" s="660">
        <f t="shared" si="1175"/>
        <v>0</v>
      </c>
      <c r="BQ206" s="660">
        <f t="shared" si="1175"/>
        <v>0</v>
      </c>
      <c r="BR206" s="660">
        <v>0</v>
      </c>
      <c r="BS206" s="660">
        <v>0</v>
      </c>
      <c r="BT206" s="660">
        <f t="shared" si="1148"/>
        <v>0</v>
      </c>
      <c r="BU206" s="660">
        <f t="shared" si="1148"/>
        <v>0</v>
      </c>
      <c r="BX206" s="660">
        <v>0</v>
      </c>
      <c r="BY206" s="660">
        <f t="shared" si="1176"/>
        <v>0</v>
      </c>
      <c r="BZ206" s="660">
        <f t="shared" si="1149"/>
        <v>0</v>
      </c>
      <c r="CA206" s="660">
        <f t="shared" si="1150"/>
        <v>0</v>
      </c>
      <c r="CB206" s="660">
        <f t="shared" si="1151"/>
        <v>0</v>
      </c>
      <c r="CC206" s="660">
        <f t="shared" si="1152"/>
        <v>0</v>
      </c>
      <c r="CD206" s="660">
        <f t="shared" si="1177"/>
        <v>0</v>
      </c>
    </row>
    <row r="207" spans="4:82" ht="16" hidden="1" thickTop="1" thickBot="1">
      <c r="D207" s="653"/>
      <c r="E207" s="654"/>
      <c r="F207" s="655" t="str">
        <f t="shared" si="1153"/>
        <v/>
      </c>
      <c r="G207" s="656"/>
      <c r="I207" s="658">
        <f t="shared" si="1154"/>
        <v>0</v>
      </c>
      <c r="J207" s="658">
        <f t="shared" ref="J207" si="1354">IF($G207=0,0,-MIN(0,G207*c_EquityShare.LP))</f>
        <v>0</v>
      </c>
      <c r="K207" s="658">
        <f t="shared" ref="K207" si="1355">I207*c_Rate.Pref_MO</f>
        <v>0</v>
      </c>
      <c r="L207" s="658">
        <f t="shared" si="1130"/>
        <v>0</v>
      </c>
      <c r="M207" s="658">
        <f t="shared" si="1157"/>
        <v>0</v>
      </c>
      <c r="N207" s="658">
        <f t="shared" si="1180"/>
        <v>0</v>
      </c>
      <c r="O207" s="658" cm="1">
        <f t="array" ref="O207">IF(I207=0,0,IF(G207&lt;0,N207/c_EquityShare.LP*i_EquityShare.GP,L207/c_EquityShare.LP*i_EquityShare.GP))</f>
        <v>0</v>
      </c>
      <c r="P207" s="658">
        <f t="shared" si="1158"/>
        <v>0</v>
      </c>
      <c r="Q207" s="658">
        <f t="shared" si="1131"/>
        <v>0</v>
      </c>
      <c r="R207" s="521"/>
      <c r="S207" s="660">
        <f t="shared" si="1159"/>
        <v>0</v>
      </c>
      <c r="T207" s="663" cm="1">
        <f t="array" ref="T207">IF($G207=0,0,-MIN(0,$G207*c_EquityShare.LP))</f>
        <v>0</v>
      </c>
      <c r="U207" s="663" cm="1">
        <f t="array" ref="U207">IF($D207=0,0,S207*c_Rate.Hurdle1.MO)</f>
        <v>0</v>
      </c>
      <c r="V207" s="660">
        <f t="shared" si="1181"/>
        <v>0</v>
      </c>
      <c r="W207" s="660">
        <f t="shared" si="1160"/>
        <v>0</v>
      </c>
      <c r="X207" s="663">
        <f t="shared" si="1182"/>
        <v>0</v>
      </c>
      <c r="Y207" s="663">
        <f t="shared" si="1161"/>
        <v>0</v>
      </c>
      <c r="Z207" s="663">
        <f t="shared" ref="Z207" si="1356">IF(S207=0,0,O207+W207/$J$17*c_Hurdle1.Share_GP)</f>
        <v>0</v>
      </c>
      <c r="AA207" s="663">
        <f t="shared" si="1133"/>
        <v>0</v>
      </c>
      <c r="AB207" s="660">
        <f t="shared" si="1184"/>
        <v>0</v>
      </c>
      <c r="AC207" s="521"/>
      <c r="AD207" s="663">
        <f t="shared" si="1323"/>
        <v>0</v>
      </c>
      <c r="AE207" s="663">
        <f t="shared" ref="AE207" si="1357">IF($G207=0,0,-MIN(0,$G207*c_EquityShare.LP))</f>
        <v>0</v>
      </c>
      <c r="AF207" s="663" cm="1">
        <f t="array" ref="AF207">IF($D207=0,0,AD207*(c_Rate.Hurdle2.MO))</f>
        <v>0</v>
      </c>
      <c r="AG207" s="663">
        <f t="shared" si="1135"/>
        <v>0</v>
      </c>
      <c r="AH207" s="663">
        <f t="shared" si="1164"/>
        <v>0</v>
      </c>
      <c r="AI207" s="663">
        <f t="shared" si="1136"/>
        <v>0</v>
      </c>
      <c r="AJ207" s="664">
        <f t="shared" si="1137"/>
        <v>0</v>
      </c>
      <c r="AK207" s="660">
        <f t="shared" si="1138"/>
        <v>0</v>
      </c>
      <c r="AL207" s="663">
        <f t="shared" ref="AL207" si="1358">IF(AD207=0,0,Z207+AH207/$J$18*c_Hurdle2.Share_GP)</f>
        <v>0</v>
      </c>
      <c r="AM207" s="663">
        <f t="shared" si="1140"/>
        <v>0</v>
      </c>
      <c r="AN207" s="660">
        <f t="shared" si="1187"/>
        <v>0</v>
      </c>
      <c r="AO207" s="521"/>
      <c r="AP207" s="663">
        <f t="shared" si="1326"/>
        <v>0</v>
      </c>
      <c r="AQ207" s="663">
        <f t="shared" ref="AQ207" si="1359">IF($G207=0,0,-MIN(0,$G207*c_EquityShare.LP))</f>
        <v>0</v>
      </c>
      <c r="AR207" s="663" cm="1">
        <f t="array" ref="AR207">IF($D207=0,0,AP207*(c_Rate.Hurdle3.MO))</f>
        <v>0</v>
      </c>
      <c r="AS207" s="663">
        <f t="shared" si="1142"/>
        <v>0</v>
      </c>
      <c r="AT207" s="663">
        <f t="shared" si="1167"/>
        <v>0</v>
      </c>
      <c r="AU207" s="663">
        <f t="shared" si="1143"/>
        <v>0</v>
      </c>
      <c r="AV207" s="664">
        <f t="shared" si="1144"/>
        <v>0</v>
      </c>
      <c r="AW207" s="660">
        <f t="shared" si="1168"/>
        <v>0</v>
      </c>
      <c r="AX207" s="663">
        <f t="shared" ref="AX207" si="1360">IF(AP207=0,0,AL207+AT207/$J$19*c_Hurdle3.Share_GP)</f>
        <v>0</v>
      </c>
      <c r="AY207" s="663">
        <f t="shared" si="1170"/>
        <v>0</v>
      </c>
      <c r="AZ207" s="660">
        <f t="shared" si="1190"/>
        <v>0</v>
      </c>
      <c r="BA207" s="521"/>
      <c r="BB207" s="660">
        <f t="shared" si="590"/>
        <v>0</v>
      </c>
      <c r="BC207" s="660">
        <f t="shared" ref="BC207" si="1361">$AZ207*c_Residual.Share_GP</f>
        <v>0</v>
      </c>
      <c r="BD207" s="651"/>
      <c r="BE207" s="660">
        <f t="shared" si="1172"/>
        <v>0</v>
      </c>
      <c r="BF207" s="660">
        <f t="shared" si="1172"/>
        <v>0</v>
      </c>
      <c r="BG207" s="660">
        <f t="shared" si="1147"/>
        <v>0</v>
      </c>
      <c r="BI207" s="660">
        <v>0</v>
      </c>
      <c r="BJ207" s="660">
        <v>0</v>
      </c>
      <c r="BK207" s="660">
        <v>0</v>
      </c>
      <c r="BL207" s="660">
        <f t="shared" si="1173"/>
        <v>0</v>
      </c>
      <c r="BM207" s="660">
        <f t="shared" si="1173"/>
        <v>0</v>
      </c>
      <c r="BN207" s="660">
        <f t="shared" si="1174"/>
        <v>0</v>
      </c>
      <c r="BO207" s="660">
        <f t="shared" si="1174"/>
        <v>0</v>
      </c>
      <c r="BP207" s="660">
        <f t="shared" si="1175"/>
        <v>0</v>
      </c>
      <c r="BQ207" s="660">
        <f t="shared" si="1175"/>
        <v>0</v>
      </c>
      <c r="BR207" s="660">
        <v>0</v>
      </c>
      <c r="BS207" s="660">
        <v>0</v>
      </c>
      <c r="BT207" s="660">
        <f t="shared" si="1148"/>
        <v>0</v>
      </c>
      <c r="BU207" s="660">
        <f t="shared" si="1148"/>
        <v>0</v>
      </c>
      <c r="BX207" s="660">
        <v>0</v>
      </c>
      <c r="BY207" s="660">
        <f t="shared" si="1176"/>
        <v>0</v>
      </c>
      <c r="BZ207" s="660">
        <f t="shared" si="1149"/>
        <v>0</v>
      </c>
      <c r="CA207" s="660">
        <f t="shared" si="1150"/>
        <v>0</v>
      </c>
      <c r="CB207" s="660">
        <f t="shared" si="1151"/>
        <v>0</v>
      </c>
      <c r="CC207" s="660">
        <f t="shared" si="1152"/>
        <v>0</v>
      </c>
      <c r="CD207" s="660">
        <f t="shared" si="1177"/>
        <v>0</v>
      </c>
    </row>
    <row r="208" spans="4:82" ht="16" hidden="1" thickTop="1" thickBot="1">
      <c r="D208" s="653"/>
      <c r="E208" s="654"/>
      <c r="F208" s="655" t="str">
        <f t="shared" si="1153"/>
        <v/>
      </c>
      <c r="G208" s="656"/>
      <c r="I208" s="658">
        <f t="shared" si="1154"/>
        <v>0</v>
      </c>
      <c r="J208" s="658">
        <f t="shared" ref="J208" si="1362">IF($G208=0,0,-MIN(0,G208*c_EquityShare.LP))</f>
        <v>0</v>
      </c>
      <c r="K208" s="658">
        <f t="shared" ref="K208" si="1363">I208*c_Rate.Pref_MO</f>
        <v>0</v>
      </c>
      <c r="L208" s="658">
        <f t="shared" si="1130"/>
        <v>0</v>
      </c>
      <c r="M208" s="658">
        <f t="shared" si="1157"/>
        <v>0</v>
      </c>
      <c r="N208" s="658">
        <f t="shared" si="1180"/>
        <v>0</v>
      </c>
      <c r="O208" s="658" cm="1">
        <f t="array" ref="O208">IF(I208=0,0,IF(G208&lt;0,N208/c_EquityShare.LP*i_EquityShare.GP,L208/c_EquityShare.LP*i_EquityShare.GP))</f>
        <v>0</v>
      </c>
      <c r="P208" s="658">
        <f t="shared" si="1158"/>
        <v>0</v>
      </c>
      <c r="Q208" s="658">
        <f t="shared" si="1131"/>
        <v>0</v>
      </c>
      <c r="R208" s="521"/>
      <c r="S208" s="660">
        <f t="shared" si="1159"/>
        <v>0</v>
      </c>
      <c r="T208" s="663" cm="1">
        <f t="array" ref="T208">IF($G208=0,0,-MIN(0,$G208*c_EquityShare.LP))</f>
        <v>0</v>
      </c>
      <c r="U208" s="663" cm="1">
        <f t="array" ref="U208">IF($D208=0,0,S208*c_Rate.Hurdle1.MO)</f>
        <v>0</v>
      </c>
      <c r="V208" s="660">
        <f t="shared" si="1181"/>
        <v>0</v>
      </c>
      <c r="W208" s="660">
        <f t="shared" si="1160"/>
        <v>0</v>
      </c>
      <c r="X208" s="663">
        <f t="shared" si="1182"/>
        <v>0</v>
      </c>
      <c r="Y208" s="663">
        <f t="shared" si="1161"/>
        <v>0</v>
      </c>
      <c r="Z208" s="663">
        <f t="shared" ref="Z208" si="1364">IF(S208=0,0,O208+W208/$J$17*c_Hurdle1.Share_GP)</f>
        <v>0</v>
      </c>
      <c r="AA208" s="663">
        <f t="shared" si="1133"/>
        <v>0</v>
      </c>
      <c r="AB208" s="660">
        <f t="shared" si="1184"/>
        <v>0</v>
      </c>
      <c r="AC208" s="521"/>
      <c r="AD208" s="663">
        <f t="shared" si="1323"/>
        <v>0</v>
      </c>
      <c r="AE208" s="663">
        <f t="shared" ref="AE208" si="1365">IF($G208=0,0,-MIN(0,$G208*c_EquityShare.LP))</f>
        <v>0</v>
      </c>
      <c r="AF208" s="663" cm="1">
        <f t="array" ref="AF208">IF($D208=0,0,AD208*(c_Rate.Hurdle2.MO))</f>
        <v>0</v>
      </c>
      <c r="AG208" s="663">
        <f t="shared" si="1135"/>
        <v>0</v>
      </c>
      <c r="AH208" s="663">
        <f t="shared" si="1164"/>
        <v>0</v>
      </c>
      <c r="AI208" s="663">
        <f t="shared" si="1136"/>
        <v>0</v>
      </c>
      <c r="AJ208" s="664">
        <f t="shared" si="1137"/>
        <v>0</v>
      </c>
      <c r="AK208" s="660">
        <f t="shared" si="1138"/>
        <v>0</v>
      </c>
      <c r="AL208" s="663">
        <f t="shared" ref="AL208" si="1366">IF(AD208=0,0,Z208+AH208/$J$18*c_Hurdle2.Share_GP)</f>
        <v>0</v>
      </c>
      <c r="AM208" s="663">
        <f t="shared" si="1140"/>
        <v>0</v>
      </c>
      <c r="AN208" s="660">
        <f t="shared" si="1187"/>
        <v>0</v>
      </c>
      <c r="AO208" s="521"/>
      <c r="AP208" s="663">
        <f t="shared" si="1326"/>
        <v>0</v>
      </c>
      <c r="AQ208" s="663">
        <f t="shared" ref="AQ208" si="1367">IF($G208=0,0,-MIN(0,$G208*c_EquityShare.LP))</f>
        <v>0</v>
      </c>
      <c r="AR208" s="663" cm="1">
        <f t="array" ref="AR208">IF($D208=0,0,AP208*(c_Rate.Hurdle3.MO))</f>
        <v>0</v>
      </c>
      <c r="AS208" s="663">
        <f t="shared" si="1142"/>
        <v>0</v>
      </c>
      <c r="AT208" s="663">
        <f t="shared" si="1167"/>
        <v>0</v>
      </c>
      <c r="AU208" s="663">
        <f t="shared" si="1143"/>
        <v>0</v>
      </c>
      <c r="AV208" s="664">
        <f t="shared" si="1144"/>
        <v>0</v>
      </c>
      <c r="AW208" s="660">
        <f t="shared" si="1168"/>
        <v>0</v>
      </c>
      <c r="AX208" s="663">
        <f t="shared" ref="AX208" si="1368">IF(AP208=0,0,AL208+AT208/$J$19*c_Hurdle3.Share_GP)</f>
        <v>0</v>
      </c>
      <c r="AY208" s="663">
        <f t="shared" si="1170"/>
        <v>0</v>
      </c>
      <c r="AZ208" s="660">
        <f t="shared" si="1190"/>
        <v>0</v>
      </c>
      <c r="BA208" s="521"/>
      <c r="BB208" s="660">
        <f t="shared" si="590"/>
        <v>0</v>
      </c>
      <c r="BC208" s="660">
        <f t="shared" ref="BC208" si="1369">$AZ208*c_Residual.Share_GP</f>
        <v>0</v>
      </c>
      <c r="BD208" s="651"/>
      <c r="BE208" s="660">
        <f t="shared" si="1172"/>
        <v>0</v>
      </c>
      <c r="BF208" s="660">
        <f t="shared" si="1172"/>
        <v>0</v>
      </c>
      <c r="BG208" s="660">
        <f t="shared" si="1147"/>
        <v>0</v>
      </c>
      <c r="BI208" s="660">
        <v>0</v>
      </c>
      <c r="BJ208" s="660">
        <v>0</v>
      </c>
      <c r="BK208" s="660">
        <v>0</v>
      </c>
      <c r="BL208" s="660">
        <f t="shared" si="1173"/>
        <v>0</v>
      </c>
      <c r="BM208" s="660">
        <f t="shared" si="1173"/>
        <v>0</v>
      </c>
      <c r="BN208" s="660">
        <f t="shared" si="1174"/>
        <v>0</v>
      </c>
      <c r="BO208" s="660">
        <f t="shared" si="1174"/>
        <v>0</v>
      </c>
      <c r="BP208" s="660">
        <f t="shared" si="1175"/>
        <v>0</v>
      </c>
      <c r="BQ208" s="660">
        <f t="shared" si="1175"/>
        <v>0</v>
      </c>
      <c r="BR208" s="660">
        <v>0</v>
      </c>
      <c r="BS208" s="660">
        <v>0</v>
      </c>
      <c r="BT208" s="660">
        <f t="shared" si="1148"/>
        <v>0</v>
      </c>
      <c r="BU208" s="660">
        <f t="shared" si="1148"/>
        <v>0</v>
      </c>
      <c r="BX208" s="660">
        <v>0</v>
      </c>
      <c r="BY208" s="660">
        <f t="shared" si="1176"/>
        <v>0</v>
      </c>
      <c r="BZ208" s="660">
        <f t="shared" si="1149"/>
        <v>0</v>
      </c>
      <c r="CA208" s="660">
        <f t="shared" si="1150"/>
        <v>0</v>
      </c>
      <c r="CB208" s="660">
        <f t="shared" si="1151"/>
        <v>0</v>
      </c>
      <c r="CC208" s="660">
        <f t="shared" si="1152"/>
        <v>0</v>
      </c>
      <c r="CD208" s="660">
        <f t="shared" si="1177"/>
        <v>0</v>
      </c>
    </row>
    <row r="209" spans="4:82" ht="16" hidden="1" thickTop="1" thickBot="1">
      <c r="D209" s="653"/>
      <c r="E209" s="654"/>
      <c r="F209" s="655" t="str">
        <f t="shared" si="1153"/>
        <v/>
      </c>
      <c r="G209" s="656"/>
      <c r="I209" s="658">
        <f t="shared" si="1154"/>
        <v>0</v>
      </c>
      <c r="J209" s="658">
        <f t="shared" ref="J209" si="1370">IF($G209=0,0,-MIN(0,G209*c_EquityShare.LP))</f>
        <v>0</v>
      </c>
      <c r="K209" s="658">
        <f t="shared" ref="K209" si="1371">I209*c_Rate.Pref_MO</f>
        <v>0</v>
      </c>
      <c r="L209" s="658">
        <f t="shared" si="1130"/>
        <v>0</v>
      </c>
      <c r="M209" s="658">
        <f t="shared" si="1157"/>
        <v>0</v>
      </c>
      <c r="N209" s="658">
        <f t="shared" si="1180"/>
        <v>0</v>
      </c>
      <c r="O209" s="658" cm="1">
        <f t="array" ref="O209">IF(I209=0,0,IF(G209&lt;0,N209/c_EquityShare.LP*i_EquityShare.GP,L209/c_EquityShare.LP*i_EquityShare.GP))</f>
        <v>0</v>
      </c>
      <c r="P209" s="658">
        <f t="shared" si="1158"/>
        <v>0</v>
      </c>
      <c r="Q209" s="658">
        <f t="shared" si="1131"/>
        <v>0</v>
      </c>
      <c r="R209" s="521"/>
      <c r="S209" s="660">
        <f t="shared" si="1159"/>
        <v>0</v>
      </c>
      <c r="T209" s="663" cm="1">
        <f t="array" ref="T209">IF($G209=0,0,-MIN(0,$G209*c_EquityShare.LP))</f>
        <v>0</v>
      </c>
      <c r="U209" s="663" cm="1">
        <f t="array" ref="U209">IF($D209=0,0,S209*c_Rate.Hurdle1.MO)</f>
        <v>0</v>
      </c>
      <c r="V209" s="660">
        <f t="shared" si="1181"/>
        <v>0</v>
      </c>
      <c r="W209" s="660">
        <f t="shared" si="1160"/>
        <v>0</v>
      </c>
      <c r="X209" s="663">
        <f t="shared" si="1182"/>
        <v>0</v>
      </c>
      <c r="Y209" s="663">
        <f t="shared" si="1161"/>
        <v>0</v>
      </c>
      <c r="Z209" s="663">
        <f t="shared" ref="Z209" si="1372">IF(S209=0,0,O209+W209/$J$17*c_Hurdle1.Share_GP)</f>
        <v>0</v>
      </c>
      <c r="AA209" s="663">
        <f t="shared" si="1133"/>
        <v>0</v>
      </c>
      <c r="AB209" s="660">
        <f t="shared" si="1184"/>
        <v>0</v>
      </c>
      <c r="AC209" s="521"/>
      <c r="AD209" s="663">
        <f t="shared" si="1323"/>
        <v>0</v>
      </c>
      <c r="AE209" s="663">
        <f t="shared" ref="AE209" si="1373">IF($G209=0,0,-MIN(0,$G209*c_EquityShare.LP))</f>
        <v>0</v>
      </c>
      <c r="AF209" s="663" cm="1">
        <f t="array" ref="AF209">IF($D209=0,0,AD209*(c_Rate.Hurdle2.MO))</f>
        <v>0</v>
      </c>
      <c r="AG209" s="663">
        <f t="shared" si="1135"/>
        <v>0</v>
      </c>
      <c r="AH209" s="663">
        <f t="shared" si="1164"/>
        <v>0</v>
      </c>
      <c r="AI209" s="663">
        <f t="shared" si="1136"/>
        <v>0</v>
      </c>
      <c r="AJ209" s="664">
        <f t="shared" si="1137"/>
        <v>0</v>
      </c>
      <c r="AK209" s="660">
        <f t="shared" si="1138"/>
        <v>0</v>
      </c>
      <c r="AL209" s="663">
        <f t="shared" ref="AL209" si="1374">IF(AD209=0,0,Z209+AH209/$J$18*c_Hurdle2.Share_GP)</f>
        <v>0</v>
      </c>
      <c r="AM209" s="663">
        <f t="shared" si="1140"/>
        <v>0</v>
      </c>
      <c r="AN209" s="660">
        <f t="shared" si="1187"/>
        <v>0</v>
      </c>
      <c r="AO209" s="521"/>
      <c r="AP209" s="663">
        <f t="shared" si="1326"/>
        <v>0</v>
      </c>
      <c r="AQ209" s="663">
        <f t="shared" ref="AQ209" si="1375">IF($G209=0,0,-MIN(0,$G209*c_EquityShare.LP))</f>
        <v>0</v>
      </c>
      <c r="AR209" s="663" cm="1">
        <f t="array" ref="AR209">IF($D209=0,0,AP209*(c_Rate.Hurdle3.MO))</f>
        <v>0</v>
      </c>
      <c r="AS209" s="663">
        <f t="shared" si="1142"/>
        <v>0</v>
      </c>
      <c r="AT209" s="663">
        <f t="shared" si="1167"/>
        <v>0</v>
      </c>
      <c r="AU209" s="663">
        <f t="shared" si="1143"/>
        <v>0</v>
      </c>
      <c r="AV209" s="664">
        <f t="shared" si="1144"/>
        <v>0</v>
      </c>
      <c r="AW209" s="660">
        <f t="shared" si="1168"/>
        <v>0</v>
      </c>
      <c r="AX209" s="663">
        <f t="shared" ref="AX209" si="1376">IF(AP209=0,0,AL209+AT209/$J$19*c_Hurdle3.Share_GP)</f>
        <v>0</v>
      </c>
      <c r="AY209" s="663">
        <f t="shared" si="1170"/>
        <v>0</v>
      </c>
      <c r="AZ209" s="660">
        <f t="shared" si="1190"/>
        <v>0</v>
      </c>
      <c r="BA209" s="521"/>
      <c r="BB209" s="660">
        <f t="shared" si="590"/>
        <v>0</v>
      </c>
      <c r="BC209" s="660">
        <f t="shared" ref="BC209" si="1377">$AZ209*c_Residual.Share_GP</f>
        <v>0</v>
      </c>
      <c r="BD209" s="651"/>
      <c r="BE209" s="660">
        <f t="shared" si="1172"/>
        <v>0</v>
      </c>
      <c r="BF209" s="660">
        <f t="shared" si="1172"/>
        <v>0</v>
      </c>
      <c r="BG209" s="660">
        <f t="shared" si="1147"/>
        <v>0</v>
      </c>
      <c r="BI209" s="660">
        <v>0</v>
      </c>
      <c r="BJ209" s="660">
        <v>0</v>
      </c>
      <c r="BK209" s="660">
        <v>0</v>
      </c>
      <c r="BL209" s="660">
        <f t="shared" si="1173"/>
        <v>0</v>
      </c>
      <c r="BM209" s="660">
        <f t="shared" si="1173"/>
        <v>0</v>
      </c>
      <c r="BN209" s="660">
        <f t="shared" si="1174"/>
        <v>0</v>
      </c>
      <c r="BO209" s="660">
        <f t="shared" si="1174"/>
        <v>0</v>
      </c>
      <c r="BP209" s="660">
        <f t="shared" si="1175"/>
        <v>0</v>
      </c>
      <c r="BQ209" s="660">
        <f t="shared" si="1175"/>
        <v>0</v>
      </c>
      <c r="BR209" s="660">
        <v>0</v>
      </c>
      <c r="BS209" s="660">
        <v>0</v>
      </c>
      <c r="BT209" s="660">
        <f t="shared" si="1148"/>
        <v>0</v>
      </c>
      <c r="BU209" s="660">
        <f t="shared" si="1148"/>
        <v>0</v>
      </c>
      <c r="BX209" s="660">
        <v>0</v>
      </c>
      <c r="BY209" s="660">
        <f t="shared" si="1176"/>
        <v>0</v>
      </c>
      <c r="BZ209" s="660">
        <f t="shared" si="1149"/>
        <v>0</v>
      </c>
      <c r="CA209" s="660">
        <f t="shared" si="1150"/>
        <v>0</v>
      </c>
      <c r="CB209" s="660">
        <f t="shared" si="1151"/>
        <v>0</v>
      </c>
      <c r="CC209" s="660">
        <f t="shared" si="1152"/>
        <v>0</v>
      </c>
      <c r="CD209" s="660">
        <f t="shared" si="1177"/>
        <v>0</v>
      </c>
    </row>
    <row r="210" spans="4:82" ht="16" hidden="1" thickTop="1" thickBot="1">
      <c r="D210" s="653"/>
      <c r="E210" s="654"/>
      <c r="F210" s="655" t="str">
        <f t="shared" si="1153"/>
        <v/>
      </c>
      <c r="G210" s="656"/>
      <c r="I210" s="658">
        <f t="shared" si="1154"/>
        <v>0</v>
      </c>
      <c r="J210" s="658">
        <f t="shared" ref="J210" si="1378">IF($G210=0,0,-MIN(0,G210*c_EquityShare.LP))</f>
        <v>0</v>
      </c>
      <c r="K210" s="658">
        <f t="shared" ref="K210" si="1379">I210*c_Rate.Pref_MO</f>
        <v>0</v>
      </c>
      <c r="L210" s="658">
        <f t="shared" si="1130"/>
        <v>0</v>
      </c>
      <c r="M210" s="658">
        <f t="shared" si="1157"/>
        <v>0</v>
      </c>
      <c r="N210" s="658">
        <f t="shared" si="1180"/>
        <v>0</v>
      </c>
      <c r="O210" s="658" cm="1">
        <f t="array" ref="O210">IF(I210=0,0,IF(G210&lt;0,N210/c_EquityShare.LP*i_EquityShare.GP,L210/c_EquityShare.LP*i_EquityShare.GP))</f>
        <v>0</v>
      </c>
      <c r="P210" s="658">
        <f t="shared" si="1158"/>
        <v>0</v>
      </c>
      <c r="Q210" s="658">
        <f t="shared" si="1131"/>
        <v>0</v>
      </c>
      <c r="R210" s="521"/>
      <c r="S210" s="660">
        <f t="shared" si="1159"/>
        <v>0</v>
      </c>
      <c r="T210" s="663" cm="1">
        <f t="array" ref="T210">IF($G210=0,0,-MIN(0,$G210*c_EquityShare.LP))</f>
        <v>0</v>
      </c>
      <c r="U210" s="663" cm="1">
        <f t="array" ref="U210">IF($D210=0,0,S210*c_Rate.Hurdle1.MO)</f>
        <v>0</v>
      </c>
      <c r="V210" s="660">
        <f t="shared" si="1181"/>
        <v>0</v>
      </c>
      <c r="W210" s="660">
        <f t="shared" si="1160"/>
        <v>0</v>
      </c>
      <c r="X210" s="663">
        <f t="shared" si="1182"/>
        <v>0</v>
      </c>
      <c r="Y210" s="663">
        <f t="shared" si="1161"/>
        <v>0</v>
      </c>
      <c r="Z210" s="663">
        <f t="shared" ref="Z210" si="1380">IF(S210=0,0,O210+W210/$J$17*c_Hurdle1.Share_GP)</f>
        <v>0</v>
      </c>
      <c r="AA210" s="663">
        <f t="shared" si="1133"/>
        <v>0</v>
      </c>
      <c r="AB210" s="660">
        <f t="shared" si="1184"/>
        <v>0</v>
      </c>
      <c r="AC210" s="521"/>
      <c r="AD210" s="663">
        <f t="shared" si="1323"/>
        <v>0</v>
      </c>
      <c r="AE210" s="663">
        <f t="shared" ref="AE210" si="1381">IF($G210=0,0,-MIN(0,$G210*c_EquityShare.LP))</f>
        <v>0</v>
      </c>
      <c r="AF210" s="663" cm="1">
        <f t="array" ref="AF210">IF($D210=0,0,AD210*(c_Rate.Hurdle2.MO))</f>
        <v>0</v>
      </c>
      <c r="AG210" s="663">
        <f t="shared" si="1135"/>
        <v>0</v>
      </c>
      <c r="AH210" s="663">
        <f t="shared" si="1164"/>
        <v>0</v>
      </c>
      <c r="AI210" s="663">
        <f t="shared" si="1136"/>
        <v>0</v>
      </c>
      <c r="AJ210" s="664">
        <f t="shared" si="1137"/>
        <v>0</v>
      </c>
      <c r="AK210" s="660">
        <f t="shared" si="1138"/>
        <v>0</v>
      </c>
      <c r="AL210" s="663">
        <f t="shared" ref="AL210" si="1382">IF(AD210=0,0,Z210+AH210/$J$18*c_Hurdle2.Share_GP)</f>
        <v>0</v>
      </c>
      <c r="AM210" s="663">
        <f t="shared" si="1140"/>
        <v>0</v>
      </c>
      <c r="AN210" s="660">
        <f t="shared" si="1187"/>
        <v>0</v>
      </c>
      <c r="AO210" s="521"/>
      <c r="AP210" s="663">
        <f t="shared" si="1326"/>
        <v>0</v>
      </c>
      <c r="AQ210" s="663">
        <f t="shared" ref="AQ210" si="1383">IF($G210=0,0,-MIN(0,$G210*c_EquityShare.LP))</f>
        <v>0</v>
      </c>
      <c r="AR210" s="663" cm="1">
        <f t="array" ref="AR210">IF($D210=0,0,AP210*(c_Rate.Hurdle3.MO))</f>
        <v>0</v>
      </c>
      <c r="AS210" s="663">
        <f t="shared" si="1142"/>
        <v>0</v>
      </c>
      <c r="AT210" s="663">
        <f t="shared" si="1167"/>
        <v>0</v>
      </c>
      <c r="AU210" s="663">
        <f t="shared" si="1143"/>
        <v>0</v>
      </c>
      <c r="AV210" s="664">
        <f t="shared" si="1144"/>
        <v>0</v>
      </c>
      <c r="AW210" s="660">
        <f t="shared" si="1168"/>
        <v>0</v>
      </c>
      <c r="AX210" s="663">
        <f t="shared" ref="AX210" si="1384">IF(AP210=0,0,AL210+AT210/$J$19*c_Hurdle3.Share_GP)</f>
        <v>0</v>
      </c>
      <c r="AY210" s="663">
        <f t="shared" si="1170"/>
        <v>0</v>
      </c>
      <c r="AZ210" s="660">
        <f t="shared" si="1190"/>
        <v>0</v>
      </c>
      <c r="BA210" s="521"/>
      <c r="BB210" s="660">
        <f t="shared" si="590"/>
        <v>0</v>
      </c>
      <c r="BC210" s="660">
        <f t="shared" ref="BC210" si="1385">$AZ210*c_Residual.Share_GP</f>
        <v>0</v>
      </c>
      <c r="BD210" s="651"/>
      <c r="BE210" s="660">
        <f t="shared" si="1172"/>
        <v>0</v>
      </c>
      <c r="BF210" s="660">
        <f t="shared" si="1172"/>
        <v>0</v>
      </c>
      <c r="BG210" s="660">
        <f t="shared" si="1147"/>
        <v>0</v>
      </c>
      <c r="BI210" s="660">
        <v>0</v>
      </c>
      <c r="BJ210" s="660">
        <v>0</v>
      </c>
      <c r="BK210" s="660">
        <v>0</v>
      </c>
      <c r="BL210" s="660">
        <f t="shared" si="1173"/>
        <v>0</v>
      </c>
      <c r="BM210" s="660">
        <f t="shared" si="1173"/>
        <v>0</v>
      </c>
      <c r="BN210" s="660">
        <f t="shared" si="1174"/>
        <v>0</v>
      </c>
      <c r="BO210" s="660">
        <f t="shared" si="1174"/>
        <v>0</v>
      </c>
      <c r="BP210" s="660">
        <f t="shared" si="1175"/>
        <v>0</v>
      </c>
      <c r="BQ210" s="660">
        <f t="shared" si="1175"/>
        <v>0</v>
      </c>
      <c r="BR210" s="660">
        <v>0</v>
      </c>
      <c r="BS210" s="660">
        <v>0</v>
      </c>
      <c r="BT210" s="660">
        <f t="shared" si="1148"/>
        <v>0</v>
      </c>
      <c r="BU210" s="660">
        <f t="shared" si="1148"/>
        <v>0</v>
      </c>
      <c r="BX210" s="660">
        <v>0</v>
      </c>
      <c r="BY210" s="660">
        <f t="shared" si="1176"/>
        <v>0</v>
      </c>
      <c r="BZ210" s="660">
        <f t="shared" si="1149"/>
        <v>0</v>
      </c>
      <c r="CA210" s="660">
        <f t="shared" si="1150"/>
        <v>0</v>
      </c>
      <c r="CB210" s="660">
        <f t="shared" si="1151"/>
        <v>0</v>
      </c>
      <c r="CC210" s="660">
        <f t="shared" si="1152"/>
        <v>0</v>
      </c>
      <c r="CD210" s="660">
        <f t="shared" si="1177"/>
        <v>0</v>
      </c>
    </row>
    <row r="211" spans="4:82" ht="16" hidden="1" thickTop="1" thickBot="1">
      <c r="D211" s="653"/>
      <c r="E211" s="654"/>
      <c r="F211" s="655" t="str">
        <f t="shared" si="1153"/>
        <v/>
      </c>
      <c r="G211" s="656"/>
      <c r="I211" s="658">
        <f t="shared" si="1154"/>
        <v>0</v>
      </c>
      <c r="J211" s="658">
        <f t="shared" ref="J211" si="1386">IF($G211=0,0,-MIN(0,G211*c_EquityShare.LP))</f>
        <v>0</v>
      </c>
      <c r="K211" s="658">
        <f t="shared" ref="K211" si="1387">I211*c_Rate.Pref_MO</f>
        <v>0</v>
      </c>
      <c r="L211" s="658">
        <f t="shared" si="1130"/>
        <v>0</v>
      </c>
      <c r="M211" s="658">
        <f t="shared" si="1157"/>
        <v>0</v>
      </c>
      <c r="N211" s="658">
        <f t="shared" si="1180"/>
        <v>0</v>
      </c>
      <c r="O211" s="658" cm="1">
        <f t="array" ref="O211">IF(I211=0,0,IF(G211&lt;0,N211/c_EquityShare.LP*i_EquityShare.GP,L211/c_EquityShare.LP*i_EquityShare.GP))</f>
        <v>0</v>
      </c>
      <c r="P211" s="658">
        <f t="shared" si="1158"/>
        <v>0</v>
      </c>
      <c r="Q211" s="658">
        <f t="shared" si="1131"/>
        <v>0</v>
      </c>
      <c r="R211" s="521"/>
      <c r="S211" s="660">
        <f t="shared" si="1159"/>
        <v>0</v>
      </c>
      <c r="T211" s="663" cm="1">
        <f t="array" ref="T211">IF($G211=0,0,-MIN(0,$G211*c_EquityShare.LP))</f>
        <v>0</v>
      </c>
      <c r="U211" s="663" cm="1">
        <f t="array" ref="U211">IF($D211=0,0,S211*c_Rate.Hurdle1.MO)</f>
        <v>0</v>
      </c>
      <c r="V211" s="660">
        <f t="shared" si="1181"/>
        <v>0</v>
      </c>
      <c r="W211" s="660">
        <f t="shared" si="1160"/>
        <v>0</v>
      </c>
      <c r="X211" s="663">
        <f t="shared" si="1182"/>
        <v>0</v>
      </c>
      <c r="Y211" s="663">
        <f t="shared" si="1161"/>
        <v>0</v>
      </c>
      <c r="Z211" s="663">
        <f t="shared" ref="Z211" si="1388">IF(S211=0,0,O211+W211/$J$17*c_Hurdle1.Share_GP)</f>
        <v>0</v>
      </c>
      <c r="AA211" s="663">
        <f t="shared" si="1133"/>
        <v>0</v>
      </c>
      <c r="AB211" s="660">
        <f t="shared" si="1184"/>
        <v>0</v>
      </c>
      <c r="AC211" s="521"/>
      <c r="AD211" s="663">
        <f t="shared" si="1323"/>
        <v>0</v>
      </c>
      <c r="AE211" s="663">
        <f t="shared" ref="AE211" si="1389">IF($G211=0,0,-MIN(0,$G211*c_EquityShare.LP))</f>
        <v>0</v>
      </c>
      <c r="AF211" s="663" cm="1">
        <f t="array" ref="AF211">IF($D211=0,0,AD211*(c_Rate.Hurdle2.MO))</f>
        <v>0</v>
      </c>
      <c r="AG211" s="663">
        <f t="shared" si="1135"/>
        <v>0</v>
      </c>
      <c r="AH211" s="663">
        <f t="shared" si="1164"/>
        <v>0</v>
      </c>
      <c r="AI211" s="663">
        <f t="shared" si="1136"/>
        <v>0</v>
      </c>
      <c r="AJ211" s="664">
        <f t="shared" si="1137"/>
        <v>0</v>
      </c>
      <c r="AK211" s="660">
        <f t="shared" si="1138"/>
        <v>0</v>
      </c>
      <c r="AL211" s="663">
        <f t="shared" ref="AL211" si="1390">IF(AD211=0,0,Z211+AH211/$J$18*c_Hurdle2.Share_GP)</f>
        <v>0</v>
      </c>
      <c r="AM211" s="663">
        <f t="shared" si="1140"/>
        <v>0</v>
      </c>
      <c r="AN211" s="660">
        <f t="shared" si="1187"/>
        <v>0</v>
      </c>
      <c r="AO211" s="521"/>
      <c r="AP211" s="663">
        <f t="shared" si="1326"/>
        <v>0</v>
      </c>
      <c r="AQ211" s="663">
        <f t="shared" ref="AQ211" si="1391">IF($G211=0,0,-MIN(0,$G211*c_EquityShare.LP))</f>
        <v>0</v>
      </c>
      <c r="AR211" s="663" cm="1">
        <f t="array" ref="AR211">IF($D211=0,0,AP211*(c_Rate.Hurdle3.MO))</f>
        <v>0</v>
      </c>
      <c r="AS211" s="663">
        <f t="shared" si="1142"/>
        <v>0</v>
      </c>
      <c r="AT211" s="663">
        <f t="shared" si="1167"/>
        <v>0</v>
      </c>
      <c r="AU211" s="663">
        <f t="shared" si="1143"/>
        <v>0</v>
      </c>
      <c r="AV211" s="664">
        <f t="shared" si="1144"/>
        <v>0</v>
      </c>
      <c r="AW211" s="660">
        <f t="shared" si="1168"/>
        <v>0</v>
      </c>
      <c r="AX211" s="663">
        <f t="shared" ref="AX211" si="1392">IF(AP211=0,0,AL211+AT211/$J$19*c_Hurdle3.Share_GP)</f>
        <v>0</v>
      </c>
      <c r="AY211" s="663">
        <f t="shared" si="1170"/>
        <v>0</v>
      </c>
      <c r="AZ211" s="660">
        <f t="shared" si="1190"/>
        <v>0</v>
      </c>
      <c r="BA211" s="521"/>
      <c r="BB211" s="660">
        <f t="shared" si="590"/>
        <v>0</v>
      </c>
      <c r="BC211" s="660">
        <f t="shared" ref="BC211" si="1393">$AZ211*c_Residual.Share_GP</f>
        <v>0</v>
      </c>
      <c r="BD211" s="651"/>
      <c r="BE211" s="660">
        <f t="shared" si="1172"/>
        <v>0</v>
      </c>
      <c r="BF211" s="660">
        <f t="shared" si="1172"/>
        <v>0</v>
      </c>
      <c r="BG211" s="660">
        <f t="shared" si="1147"/>
        <v>0</v>
      </c>
      <c r="BI211" s="660">
        <v>0</v>
      </c>
      <c r="BJ211" s="660">
        <v>0</v>
      </c>
      <c r="BK211" s="660">
        <v>0</v>
      </c>
      <c r="BL211" s="660">
        <f t="shared" si="1173"/>
        <v>0</v>
      </c>
      <c r="BM211" s="660">
        <f t="shared" si="1173"/>
        <v>0</v>
      </c>
      <c r="BN211" s="660">
        <f t="shared" si="1174"/>
        <v>0</v>
      </c>
      <c r="BO211" s="660">
        <f t="shared" si="1174"/>
        <v>0</v>
      </c>
      <c r="BP211" s="660">
        <f t="shared" si="1175"/>
        <v>0</v>
      </c>
      <c r="BQ211" s="660">
        <f t="shared" si="1175"/>
        <v>0</v>
      </c>
      <c r="BR211" s="660">
        <v>0</v>
      </c>
      <c r="BS211" s="660">
        <v>0</v>
      </c>
      <c r="BT211" s="660">
        <f t="shared" si="1148"/>
        <v>0</v>
      </c>
      <c r="BU211" s="660">
        <f t="shared" si="1148"/>
        <v>0</v>
      </c>
      <c r="BX211" s="660">
        <v>0</v>
      </c>
      <c r="BY211" s="660">
        <f t="shared" si="1176"/>
        <v>0</v>
      </c>
      <c r="BZ211" s="660">
        <f t="shared" si="1149"/>
        <v>0</v>
      </c>
      <c r="CA211" s="660">
        <f t="shared" si="1150"/>
        <v>0</v>
      </c>
      <c r="CB211" s="660">
        <f t="shared" si="1151"/>
        <v>0</v>
      </c>
      <c r="CC211" s="660">
        <f t="shared" si="1152"/>
        <v>0</v>
      </c>
      <c r="CD211" s="660">
        <f t="shared" si="1177"/>
        <v>0</v>
      </c>
    </row>
    <row r="212" spans="4:82" ht="16" hidden="1" thickTop="1" thickBot="1">
      <c r="D212" s="653"/>
      <c r="E212" s="654"/>
      <c r="F212" s="655" t="str">
        <f t="shared" si="1153"/>
        <v/>
      </c>
      <c r="G212" s="656"/>
      <c r="I212" s="658">
        <f t="shared" si="1154"/>
        <v>0</v>
      </c>
      <c r="J212" s="658">
        <f t="shared" ref="J212" si="1394">IF($G212=0,0,-MIN(0,G212*c_EquityShare.LP))</f>
        <v>0</v>
      </c>
      <c r="K212" s="658">
        <f t="shared" ref="K212" si="1395">I212*c_Rate.Pref_MO</f>
        <v>0</v>
      </c>
      <c r="L212" s="658">
        <f t="shared" si="1130"/>
        <v>0</v>
      </c>
      <c r="M212" s="658">
        <f t="shared" si="1157"/>
        <v>0</v>
      </c>
      <c r="N212" s="658">
        <f t="shared" si="1180"/>
        <v>0</v>
      </c>
      <c r="O212" s="658" cm="1">
        <f t="array" ref="O212">IF(I212=0,0,IF(G212&lt;0,N212/c_EquityShare.LP*i_EquityShare.GP,L212/c_EquityShare.LP*i_EquityShare.GP))</f>
        <v>0</v>
      </c>
      <c r="P212" s="658">
        <f t="shared" si="1158"/>
        <v>0</v>
      </c>
      <c r="Q212" s="658">
        <f t="shared" si="1131"/>
        <v>0</v>
      </c>
      <c r="R212" s="521"/>
      <c r="S212" s="660">
        <f t="shared" si="1159"/>
        <v>0</v>
      </c>
      <c r="T212" s="663" cm="1">
        <f t="array" ref="T212">IF($G212=0,0,-MIN(0,$G212*c_EquityShare.LP))</f>
        <v>0</v>
      </c>
      <c r="U212" s="663" cm="1">
        <f t="array" ref="U212">IF($D212=0,0,S212*c_Rate.Hurdle1.MO)</f>
        <v>0</v>
      </c>
      <c r="V212" s="660">
        <f t="shared" si="1181"/>
        <v>0</v>
      </c>
      <c r="W212" s="660">
        <f t="shared" si="1160"/>
        <v>0</v>
      </c>
      <c r="X212" s="663">
        <f t="shared" si="1182"/>
        <v>0</v>
      </c>
      <c r="Y212" s="663">
        <f t="shared" si="1161"/>
        <v>0</v>
      </c>
      <c r="Z212" s="663">
        <f t="shared" ref="Z212" si="1396">IF(S212=0,0,O212+W212/$J$17*c_Hurdle1.Share_GP)</f>
        <v>0</v>
      </c>
      <c r="AA212" s="663">
        <f t="shared" si="1133"/>
        <v>0</v>
      </c>
      <c r="AB212" s="660">
        <f t="shared" si="1184"/>
        <v>0</v>
      </c>
      <c r="AC212" s="521"/>
      <c r="AD212" s="663">
        <f t="shared" si="1323"/>
        <v>0</v>
      </c>
      <c r="AE212" s="663">
        <f t="shared" ref="AE212" si="1397">IF($G212=0,0,-MIN(0,$G212*c_EquityShare.LP))</f>
        <v>0</v>
      </c>
      <c r="AF212" s="663" cm="1">
        <f t="array" ref="AF212">IF($D212=0,0,AD212*(c_Rate.Hurdle2.MO))</f>
        <v>0</v>
      </c>
      <c r="AG212" s="663">
        <f t="shared" si="1135"/>
        <v>0</v>
      </c>
      <c r="AH212" s="663">
        <f t="shared" si="1164"/>
        <v>0</v>
      </c>
      <c r="AI212" s="663">
        <f t="shared" si="1136"/>
        <v>0</v>
      </c>
      <c r="AJ212" s="664">
        <f t="shared" si="1137"/>
        <v>0</v>
      </c>
      <c r="AK212" s="660">
        <f t="shared" si="1138"/>
        <v>0</v>
      </c>
      <c r="AL212" s="663">
        <f t="shared" ref="AL212" si="1398">IF(AD212=0,0,Z212+AH212/$J$18*c_Hurdle2.Share_GP)</f>
        <v>0</v>
      </c>
      <c r="AM212" s="663">
        <f t="shared" si="1140"/>
        <v>0</v>
      </c>
      <c r="AN212" s="660">
        <f t="shared" si="1187"/>
        <v>0</v>
      </c>
      <c r="AO212" s="521"/>
      <c r="AP212" s="663">
        <f t="shared" si="1326"/>
        <v>0</v>
      </c>
      <c r="AQ212" s="663">
        <f t="shared" ref="AQ212" si="1399">IF($G212=0,0,-MIN(0,$G212*c_EquityShare.LP))</f>
        <v>0</v>
      </c>
      <c r="AR212" s="663" cm="1">
        <f t="array" ref="AR212">IF($D212=0,0,AP212*(c_Rate.Hurdle3.MO))</f>
        <v>0</v>
      </c>
      <c r="AS212" s="663">
        <f t="shared" si="1142"/>
        <v>0</v>
      </c>
      <c r="AT212" s="663">
        <f t="shared" si="1167"/>
        <v>0</v>
      </c>
      <c r="AU212" s="663">
        <f t="shared" si="1143"/>
        <v>0</v>
      </c>
      <c r="AV212" s="664">
        <f t="shared" si="1144"/>
        <v>0</v>
      </c>
      <c r="AW212" s="660">
        <f t="shared" si="1168"/>
        <v>0</v>
      </c>
      <c r="AX212" s="663">
        <f t="shared" ref="AX212" si="1400">IF(AP212=0,0,AL212+AT212/$J$19*c_Hurdle3.Share_GP)</f>
        <v>0</v>
      </c>
      <c r="AY212" s="663">
        <f t="shared" si="1170"/>
        <v>0</v>
      </c>
      <c r="AZ212" s="660">
        <f t="shared" si="1190"/>
        <v>0</v>
      </c>
      <c r="BA212" s="521"/>
      <c r="BB212" s="660">
        <f t="shared" si="590"/>
        <v>0</v>
      </c>
      <c r="BC212" s="660">
        <f t="shared" ref="BC212" si="1401">$AZ212*c_Residual.Share_GP</f>
        <v>0</v>
      </c>
      <c r="BD212" s="651"/>
      <c r="BE212" s="660">
        <f t="shared" si="1172"/>
        <v>0</v>
      </c>
      <c r="BF212" s="660">
        <f t="shared" si="1172"/>
        <v>0</v>
      </c>
      <c r="BG212" s="660">
        <f t="shared" si="1147"/>
        <v>0</v>
      </c>
      <c r="BI212" s="660">
        <v>0</v>
      </c>
      <c r="BJ212" s="660">
        <v>0</v>
      </c>
      <c r="BK212" s="660">
        <v>0</v>
      </c>
      <c r="BL212" s="660">
        <f t="shared" si="1173"/>
        <v>0</v>
      </c>
      <c r="BM212" s="660">
        <f t="shared" si="1173"/>
        <v>0</v>
      </c>
      <c r="BN212" s="660">
        <f t="shared" si="1174"/>
        <v>0</v>
      </c>
      <c r="BO212" s="660">
        <f t="shared" si="1174"/>
        <v>0</v>
      </c>
      <c r="BP212" s="660">
        <f t="shared" si="1175"/>
        <v>0</v>
      </c>
      <c r="BQ212" s="660">
        <f t="shared" si="1175"/>
        <v>0</v>
      </c>
      <c r="BR212" s="660">
        <v>0</v>
      </c>
      <c r="BS212" s="660">
        <v>0</v>
      </c>
      <c r="BT212" s="660">
        <f t="shared" si="1148"/>
        <v>0</v>
      </c>
      <c r="BU212" s="660">
        <f t="shared" si="1148"/>
        <v>0</v>
      </c>
      <c r="BX212" s="660">
        <v>0</v>
      </c>
      <c r="BY212" s="660">
        <f t="shared" si="1176"/>
        <v>0</v>
      </c>
      <c r="BZ212" s="660">
        <f t="shared" si="1149"/>
        <v>0</v>
      </c>
      <c r="CA212" s="660">
        <f t="shared" si="1150"/>
        <v>0</v>
      </c>
      <c r="CB212" s="660">
        <f t="shared" si="1151"/>
        <v>0</v>
      </c>
      <c r="CC212" s="660">
        <f t="shared" si="1152"/>
        <v>0</v>
      </c>
      <c r="CD212" s="660">
        <f t="shared" si="1177"/>
        <v>0</v>
      </c>
    </row>
    <row r="213" spans="4:82" ht="16" hidden="1" thickTop="1" thickBot="1">
      <c r="D213" s="653"/>
      <c r="E213" s="654"/>
      <c r="F213" s="655" t="str">
        <f t="shared" si="1153"/>
        <v/>
      </c>
      <c r="G213" s="656"/>
      <c r="I213" s="658">
        <f t="shared" si="1154"/>
        <v>0</v>
      </c>
      <c r="J213" s="658">
        <f t="shared" ref="J213" si="1402">IF($G213=0,0,-MIN(0,G213*c_EquityShare.LP))</f>
        <v>0</v>
      </c>
      <c r="K213" s="658">
        <f t="shared" ref="K213" si="1403">I213*c_Rate.Pref_MO</f>
        <v>0</v>
      </c>
      <c r="L213" s="658">
        <f t="shared" si="1130"/>
        <v>0</v>
      </c>
      <c r="M213" s="658">
        <f t="shared" si="1157"/>
        <v>0</v>
      </c>
      <c r="N213" s="658">
        <f t="shared" si="1180"/>
        <v>0</v>
      </c>
      <c r="O213" s="658" cm="1">
        <f t="array" ref="O213">IF(I213=0,0,IF(G213&lt;0,N213/c_EquityShare.LP*i_EquityShare.GP,L213/c_EquityShare.LP*i_EquityShare.GP))</f>
        <v>0</v>
      </c>
      <c r="P213" s="658">
        <f t="shared" si="1158"/>
        <v>0</v>
      </c>
      <c r="Q213" s="658">
        <f t="shared" si="1131"/>
        <v>0</v>
      </c>
      <c r="R213" s="521"/>
      <c r="S213" s="660">
        <f t="shared" si="1159"/>
        <v>0</v>
      </c>
      <c r="T213" s="663" cm="1">
        <f t="array" ref="T213">IF($G213=0,0,-MIN(0,$G213*c_EquityShare.LP))</f>
        <v>0</v>
      </c>
      <c r="U213" s="663" cm="1">
        <f t="array" ref="U213">IF($D213=0,0,S213*c_Rate.Hurdle1.MO)</f>
        <v>0</v>
      </c>
      <c r="V213" s="660">
        <f t="shared" si="1181"/>
        <v>0</v>
      </c>
      <c r="W213" s="660">
        <f t="shared" si="1160"/>
        <v>0</v>
      </c>
      <c r="X213" s="663">
        <f t="shared" si="1182"/>
        <v>0</v>
      </c>
      <c r="Y213" s="663">
        <f t="shared" si="1161"/>
        <v>0</v>
      </c>
      <c r="Z213" s="663">
        <f t="shared" ref="Z213" si="1404">IF(S213=0,0,O213+W213/$J$17*c_Hurdle1.Share_GP)</f>
        <v>0</v>
      </c>
      <c r="AA213" s="663">
        <f t="shared" si="1133"/>
        <v>0</v>
      </c>
      <c r="AB213" s="660">
        <f t="shared" si="1184"/>
        <v>0</v>
      </c>
      <c r="AC213" s="521"/>
      <c r="AD213" s="663">
        <f t="shared" si="1323"/>
        <v>0</v>
      </c>
      <c r="AE213" s="663">
        <f t="shared" ref="AE213" si="1405">IF($G213=0,0,-MIN(0,$G213*c_EquityShare.LP))</f>
        <v>0</v>
      </c>
      <c r="AF213" s="663" cm="1">
        <f t="array" ref="AF213">IF($D213=0,0,AD213*(c_Rate.Hurdle2.MO))</f>
        <v>0</v>
      </c>
      <c r="AG213" s="663">
        <f t="shared" si="1135"/>
        <v>0</v>
      </c>
      <c r="AH213" s="663">
        <f t="shared" si="1164"/>
        <v>0</v>
      </c>
      <c r="AI213" s="663">
        <f t="shared" si="1136"/>
        <v>0</v>
      </c>
      <c r="AJ213" s="664">
        <f t="shared" si="1137"/>
        <v>0</v>
      </c>
      <c r="AK213" s="660">
        <f t="shared" si="1138"/>
        <v>0</v>
      </c>
      <c r="AL213" s="663">
        <f t="shared" ref="AL213" si="1406">IF(AD213=0,0,Z213+AH213/$J$18*c_Hurdle2.Share_GP)</f>
        <v>0</v>
      </c>
      <c r="AM213" s="663">
        <f t="shared" si="1140"/>
        <v>0</v>
      </c>
      <c r="AN213" s="660">
        <f t="shared" si="1187"/>
        <v>0</v>
      </c>
      <c r="AO213" s="521"/>
      <c r="AP213" s="663">
        <f t="shared" si="1326"/>
        <v>0</v>
      </c>
      <c r="AQ213" s="663">
        <f t="shared" ref="AQ213" si="1407">IF($G213=0,0,-MIN(0,$G213*c_EquityShare.LP))</f>
        <v>0</v>
      </c>
      <c r="AR213" s="663" cm="1">
        <f t="array" ref="AR213">IF($D213=0,0,AP213*(c_Rate.Hurdle3.MO))</f>
        <v>0</v>
      </c>
      <c r="AS213" s="663">
        <f t="shared" si="1142"/>
        <v>0</v>
      </c>
      <c r="AT213" s="663">
        <f t="shared" si="1167"/>
        <v>0</v>
      </c>
      <c r="AU213" s="663">
        <f t="shared" si="1143"/>
        <v>0</v>
      </c>
      <c r="AV213" s="664">
        <f t="shared" si="1144"/>
        <v>0</v>
      </c>
      <c r="AW213" s="660">
        <f t="shared" si="1168"/>
        <v>0</v>
      </c>
      <c r="AX213" s="663">
        <f t="shared" ref="AX213" si="1408">IF(AP213=0,0,AL213+AT213/$J$19*c_Hurdle3.Share_GP)</f>
        <v>0</v>
      </c>
      <c r="AY213" s="663">
        <f t="shared" si="1170"/>
        <v>0</v>
      </c>
      <c r="AZ213" s="660">
        <f t="shared" si="1190"/>
        <v>0</v>
      </c>
      <c r="BA213" s="521"/>
      <c r="BB213" s="660">
        <f t="shared" si="590"/>
        <v>0</v>
      </c>
      <c r="BC213" s="660">
        <f t="shared" ref="BC213" si="1409">$AZ213*c_Residual.Share_GP</f>
        <v>0</v>
      </c>
      <c r="BD213" s="651"/>
      <c r="BE213" s="660">
        <f t="shared" si="1172"/>
        <v>0</v>
      </c>
      <c r="BF213" s="660">
        <f t="shared" si="1172"/>
        <v>0</v>
      </c>
      <c r="BG213" s="660">
        <f t="shared" si="1147"/>
        <v>0</v>
      </c>
      <c r="BI213" s="660">
        <v>0</v>
      </c>
      <c r="BJ213" s="660">
        <v>0</v>
      </c>
      <c r="BK213" s="660">
        <v>0</v>
      </c>
      <c r="BL213" s="660">
        <f t="shared" si="1173"/>
        <v>0</v>
      </c>
      <c r="BM213" s="660">
        <f t="shared" si="1173"/>
        <v>0</v>
      </c>
      <c r="BN213" s="660">
        <f t="shared" si="1174"/>
        <v>0</v>
      </c>
      <c r="BO213" s="660">
        <f t="shared" si="1174"/>
        <v>0</v>
      </c>
      <c r="BP213" s="660">
        <f t="shared" si="1175"/>
        <v>0</v>
      </c>
      <c r="BQ213" s="660">
        <f t="shared" si="1175"/>
        <v>0</v>
      </c>
      <c r="BR213" s="660">
        <v>0</v>
      </c>
      <c r="BS213" s="660">
        <v>0</v>
      </c>
      <c r="BT213" s="660">
        <f t="shared" si="1148"/>
        <v>0</v>
      </c>
      <c r="BU213" s="660">
        <f t="shared" si="1148"/>
        <v>0</v>
      </c>
      <c r="BX213" s="660">
        <v>0</v>
      </c>
      <c r="BY213" s="660">
        <f t="shared" si="1176"/>
        <v>0</v>
      </c>
      <c r="BZ213" s="660">
        <f t="shared" si="1149"/>
        <v>0</v>
      </c>
      <c r="CA213" s="660">
        <f t="shared" si="1150"/>
        <v>0</v>
      </c>
      <c r="CB213" s="660">
        <f t="shared" si="1151"/>
        <v>0</v>
      </c>
      <c r="CC213" s="660">
        <f t="shared" si="1152"/>
        <v>0</v>
      </c>
      <c r="CD213" s="660">
        <f t="shared" si="1177"/>
        <v>0</v>
      </c>
    </row>
    <row r="214" spans="4:82" ht="16" hidden="1" thickTop="1" thickBot="1">
      <c r="D214" s="653"/>
      <c r="E214" s="654"/>
      <c r="F214" s="655" t="str">
        <f t="shared" si="1153"/>
        <v/>
      </c>
      <c r="G214" s="656"/>
      <c r="I214" s="658">
        <f t="shared" si="1154"/>
        <v>0</v>
      </c>
      <c r="J214" s="658">
        <f t="shared" ref="J214" si="1410">IF($G214=0,0,-MIN(0,G214*c_EquityShare.LP))</f>
        <v>0</v>
      </c>
      <c r="K214" s="658">
        <f t="shared" ref="K214" si="1411">I214*c_Rate.Pref_MO</f>
        <v>0</v>
      </c>
      <c r="L214" s="658">
        <f t="shared" si="1130"/>
        <v>0</v>
      </c>
      <c r="M214" s="658">
        <f t="shared" si="1157"/>
        <v>0</v>
      </c>
      <c r="N214" s="658">
        <f t="shared" si="1180"/>
        <v>0</v>
      </c>
      <c r="O214" s="658" cm="1">
        <f t="array" ref="O214">IF(I214=0,0,IF(G214&lt;0,N214/c_EquityShare.LP*i_EquityShare.GP,L214/c_EquityShare.LP*i_EquityShare.GP))</f>
        <v>0</v>
      </c>
      <c r="P214" s="658">
        <f t="shared" si="1158"/>
        <v>0</v>
      </c>
      <c r="Q214" s="658">
        <f t="shared" si="1131"/>
        <v>0</v>
      </c>
      <c r="R214" s="521"/>
      <c r="S214" s="660">
        <f t="shared" si="1159"/>
        <v>0</v>
      </c>
      <c r="T214" s="663" cm="1">
        <f t="array" ref="T214">IF($G214=0,0,-MIN(0,$G214*c_EquityShare.LP))</f>
        <v>0</v>
      </c>
      <c r="U214" s="663" cm="1">
        <f t="array" ref="U214">IF($D214=0,0,S214*c_Rate.Hurdle1.MO)</f>
        <v>0</v>
      </c>
      <c r="V214" s="660">
        <f t="shared" si="1181"/>
        <v>0</v>
      </c>
      <c r="W214" s="660">
        <f t="shared" si="1160"/>
        <v>0</v>
      </c>
      <c r="X214" s="663">
        <f t="shared" si="1182"/>
        <v>0</v>
      </c>
      <c r="Y214" s="663">
        <f t="shared" si="1161"/>
        <v>0</v>
      </c>
      <c r="Z214" s="663">
        <f t="shared" ref="Z214" si="1412">IF(S214=0,0,O214+W214/$J$17*c_Hurdle1.Share_GP)</f>
        <v>0</v>
      </c>
      <c r="AA214" s="663">
        <f t="shared" si="1133"/>
        <v>0</v>
      </c>
      <c r="AB214" s="660">
        <f t="shared" si="1184"/>
        <v>0</v>
      </c>
      <c r="AC214" s="521"/>
      <c r="AD214" s="663">
        <f t="shared" si="1323"/>
        <v>0</v>
      </c>
      <c r="AE214" s="663">
        <f t="shared" ref="AE214" si="1413">IF($G214=0,0,-MIN(0,$G214*c_EquityShare.LP))</f>
        <v>0</v>
      </c>
      <c r="AF214" s="663" cm="1">
        <f t="array" ref="AF214">IF($D214=0,0,AD214*(c_Rate.Hurdle2.MO))</f>
        <v>0</v>
      </c>
      <c r="AG214" s="663">
        <f t="shared" si="1135"/>
        <v>0</v>
      </c>
      <c r="AH214" s="663">
        <f t="shared" si="1164"/>
        <v>0</v>
      </c>
      <c r="AI214" s="663">
        <f t="shared" si="1136"/>
        <v>0</v>
      </c>
      <c r="AJ214" s="664">
        <f t="shared" si="1137"/>
        <v>0</v>
      </c>
      <c r="AK214" s="660">
        <f t="shared" si="1138"/>
        <v>0</v>
      </c>
      <c r="AL214" s="663">
        <f t="shared" ref="AL214" si="1414">IF(AD214=0,0,Z214+AH214/$J$18*c_Hurdle2.Share_GP)</f>
        <v>0</v>
      </c>
      <c r="AM214" s="663">
        <f t="shared" si="1140"/>
        <v>0</v>
      </c>
      <c r="AN214" s="660">
        <f t="shared" si="1187"/>
        <v>0</v>
      </c>
      <c r="AO214" s="521"/>
      <c r="AP214" s="663">
        <f t="shared" si="1326"/>
        <v>0</v>
      </c>
      <c r="AQ214" s="663">
        <f t="shared" ref="AQ214" si="1415">IF($G214=0,0,-MIN(0,$G214*c_EquityShare.LP))</f>
        <v>0</v>
      </c>
      <c r="AR214" s="663" cm="1">
        <f t="array" ref="AR214">IF($D214=0,0,AP214*(c_Rate.Hurdle3.MO))</f>
        <v>0</v>
      </c>
      <c r="AS214" s="663">
        <f t="shared" si="1142"/>
        <v>0</v>
      </c>
      <c r="AT214" s="663">
        <f t="shared" si="1167"/>
        <v>0</v>
      </c>
      <c r="AU214" s="663">
        <f t="shared" si="1143"/>
        <v>0</v>
      </c>
      <c r="AV214" s="664">
        <f t="shared" si="1144"/>
        <v>0</v>
      </c>
      <c r="AW214" s="660">
        <f t="shared" si="1168"/>
        <v>0</v>
      </c>
      <c r="AX214" s="663">
        <f t="shared" ref="AX214" si="1416">IF(AP214=0,0,AL214+AT214/$J$19*c_Hurdle3.Share_GP)</f>
        <v>0</v>
      </c>
      <c r="AY214" s="663">
        <f t="shared" si="1170"/>
        <v>0</v>
      </c>
      <c r="AZ214" s="660">
        <f t="shared" si="1190"/>
        <v>0</v>
      </c>
      <c r="BA214" s="521"/>
      <c r="BB214" s="660">
        <f t="shared" si="590"/>
        <v>0</v>
      </c>
      <c r="BC214" s="660">
        <f t="shared" ref="BC214" si="1417">$AZ214*c_Residual.Share_GP</f>
        <v>0</v>
      </c>
      <c r="BD214" s="651"/>
      <c r="BE214" s="660">
        <f t="shared" si="1172"/>
        <v>0</v>
      </c>
      <c r="BF214" s="660">
        <f t="shared" si="1172"/>
        <v>0</v>
      </c>
      <c r="BG214" s="660">
        <f t="shared" si="1147"/>
        <v>0</v>
      </c>
      <c r="BI214" s="660">
        <v>0</v>
      </c>
      <c r="BJ214" s="660">
        <v>0</v>
      </c>
      <c r="BK214" s="660">
        <v>0</v>
      </c>
      <c r="BL214" s="660">
        <f t="shared" si="1173"/>
        <v>0</v>
      </c>
      <c r="BM214" s="660">
        <f t="shared" si="1173"/>
        <v>0</v>
      </c>
      <c r="BN214" s="660">
        <f t="shared" si="1174"/>
        <v>0</v>
      </c>
      <c r="BO214" s="660">
        <f t="shared" si="1174"/>
        <v>0</v>
      </c>
      <c r="BP214" s="660">
        <f t="shared" si="1175"/>
        <v>0</v>
      </c>
      <c r="BQ214" s="660">
        <f t="shared" si="1175"/>
        <v>0</v>
      </c>
      <c r="BR214" s="660">
        <v>0</v>
      </c>
      <c r="BS214" s="660">
        <v>0</v>
      </c>
      <c r="BT214" s="660">
        <f t="shared" si="1148"/>
        <v>0</v>
      </c>
      <c r="BU214" s="660">
        <f t="shared" si="1148"/>
        <v>0</v>
      </c>
      <c r="BX214" s="660">
        <v>0</v>
      </c>
      <c r="BY214" s="660">
        <f t="shared" si="1176"/>
        <v>0</v>
      </c>
      <c r="BZ214" s="660">
        <f t="shared" si="1149"/>
        <v>0</v>
      </c>
      <c r="CA214" s="660">
        <f t="shared" si="1150"/>
        <v>0</v>
      </c>
      <c r="CB214" s="660">
        <f t="shared" si="1151"/>
        <v>0</v>
      </c>
      <c r="CC214" s="660">
        <f t="shared" si="1152"/>
        <v>0</v>
      </c>
      <c r="CD214" s="660">
        <f t="shared" si="1177"/>
        <v>0</v>
      </c>
    </row>
    <row r="215" spans="4:82" ht="16" hidden="1" thickTop="1" thickBot="1">
      <c r="D215" s="653"/>
      <c r="E215" s="654"/>
      <c r="F215" s="655" t="str">
        <f t="shared" si="1153"/>
        <v/>
      </c>
      <c r="G215" s="656"/>
      <c r="I215" s="658">
        <f t="shared" si="1154"/>
        <v>0</v>
      </c>
      <c r="J215" s="658">
        <f t="shared" ref="J215" si="1418">IF($G215=0,0,-MIN(0,G215*c_EquityShare.LP))</f>
        <v>0</v>
      </c>
      <c r="K215" s="658">
        <f t="shared" ref="K215" si="1419">I215*c_Rate.Pref_MO</f>
        <v>0</v>
      </c>
      <c r="L215" s="658">
        <f t="shared" si="1130"/>
        <v>0</v>
      </c>
      <c r="M215" s="658">
        <f t="shared" si="1157"/>
        <v>0</v>
      </c>
      <c r="N215" s="658">
        <f t="shared" si="1180"/>
        <v>0</v>
      </c>
      <c r="O215" s="658" cm="1">
        <f t="array" ref="O215">IF(I215=0,0,IF(G215&lt;0,N215/c_EquityShare.LP*i_EquityShare.GP,L215/c_EquityShare.LP*i_EquityShare.GP))</f>
        <v>0</v>
      </c>
      <c r="P215" s="658">
        <f t="shared" si="1158"/>
        <v>0</v>
      </c>
      <c r="Q215" s="658">
        <f t="shared" si="1131"/>
        <v>0</v>
      </c>
      <c r="R215" s="521"/>
      <c r="S215" s="660">
        <f t="shared" si="1159"/>
        <v>0</v>
      </c>
      <c r="T215" s="663" cm="1">
        <f t="array" ref="T215">IF($G215=0,0,-MIN(0,$G215*c_EquityShare.LP))</f>
        <v>0</v>
      </c>
      <c r="U215" s="663" cm="1">
        <f t="array" ref="U215">IF($D215=0,0,S215*c_Rate.Hurdle1.MO)</f>
        <v>0</v>
      </c>
      <c r="V215" s="660">
        <f t="shared" si="1181"/>
        <v>0</v>
      </c>
      <c r="W215" s="660">
        <f t="shared" si="1160"/>
        <v>0</v>
      </c>
      <c r="X215" s="663">
        <f t="shared" si="1182"/>
        <v>0</v>
      </c>
      <c r="Y215" s="663">
        <f t="shared" si="1161"/>
        <v>0</v>
      </c>
      <c r="Z215" s="663">
        <f t="shared" ref="Z215" si="1420">IF(S215=0,0,O215+W215/$J$17*c_Hurdle1.Share_GP)</f>
        <v>0</v>
      </c>
      <c r="AA215" s="663">
        <f t="shared" si="1133"/>
        <v>0</v>
      </c>
      <c r="AB215" s="660">
        <f t="shared" si="1184"/>
        <v>0</v>
      </c>
      <c r="AC215" s="521"/>
      <c r="AD215" s="663">
        <f t="shared" si="1323"/>
        <v>0</v>
      </c>
      <c r="AE215" s="663">
        <f t="shared" ref="AE215" si="1421">IF($G215=0,0,-MIN(0,$G215*c_EquityShare.LP))</f>
        <v>0</v>
      </c>
      <c r="AF215" s="663" cm="1">
        <f t="array" ref="AF215">IF($D215=0,0,AD215*(c_Rate.Hurdle2.MO))</f>
        <v>0</v>
      </c>
      <c r="AG215" s="663">
        <f t="shared" si="1135"/>
        <v>0</v>
      </c>
      <c r="AH215" s="663">
        <f t="shared" si="1164"/>
        <v>0</v>
      </c>
      <c r="AI215" s="663">
        <f t="shared" si="1136"/>
        <v>0</v>
      </c>
      <c r="AJ215" s="664">
        <f t="shared" si="1137"/>
        <v>0</v>
      </c>
      <c r="AK215" s="660">
        <f t="shared" si="1138"/>
        <v>0</v>
      </c>
      <c r="AL215" s="663">
        <f t="shared" ref="AL215" si="1422">IF(AD215=0,0,Z215+AH215/$J$18*c_Hurdle2.Share_GP)</f>
        <v>0</v>
      </c>
      <c r="AM215" s="663">
        <f t="shared" si="1140"/>
        <v>0</v>
      </c>
      <c r="AN215" s="660">
        <f t="shared" si="1187"/>
        <v>0</v>
      </c>
      <c r="AO215" s="521"/>
      <c r="AP215" s="663">
        <f t="shared" si="1326"/>
        <v>0</v>
      </c>
      <c r="AQ215" s="663">
        <f t="shared" ref="AQ215" si="1423">IF($G215=0,0,-MIN(0,$G215*c_EquityShare.LP))</f>
        <v>0</v>
      </c>
      <c r="AR215" s="663" cm="1">
        <f t="array" ref="AR215">IF($D215=0,0,AP215*(c_Rate.Hurdle3.MO))</f>
        <v>0</v>
      </c>
      <c r="AS215" s="663">
        <f t="shared" si="1142"/>
        <v>0</v>
      </c>
      <c r="AT215" s="663">
        <f t="shared" si="1167"/>
        <v>0</v>
      </c>
      <c r="AU215" s="663">
        <f t="shared" si="1143"/>
        <v>0</v>
      </c>
      <c r="AV215" s="664">
        <f t="shared" si="1144"/>
        <v>0</v>
      </c>
      <c r="AW215" s="660">
        <f t="shared" si="1168"/>
        <v>0</v>
      </c>
      <c r="AX215" s="663">
        <f t="shared" ref="AX215" si="1424">IF(AP215=0,0,AL215+AT215/$J$19*c_Hurdle3.Share_GP)</f>
        <v>0</v>
      </c>
      <c r="AY215" s="663">
        <f t="shared" si="1170"/>
        <v>0</v>
      </c>
      <c r="AZ215" s="660">
        <f t="shared" si="1190"/>
        <v>0</v>
      </c>
      <c r="BA215" s="521"/>
      <c r="BB215" s="660">
        <f t="shared" si="590"/>
        <v>0</v>
      </c>
      <c r="BC215" s="660">
        <f t="shared" ref="BC215" si="1425">$AZ215*c_Residual.Share_GP</f>
        <v>0</v>
      </c>
      <c r="BD215" s="651"/>
      <c r="BE215" s="660">
        <f t="shared" si="1172"/>
        <v>0</v>
      </c>
      <c r="BF215" s="660">
        <f t="shared" si="1172"/>
        <v>0</v>
      </c>
      <c r="BG215" s="660">
        <f t="shared" si="1147"/>
        <v>0</v>
      </c>
      <c r="BI215" s="660">
        <v>0</v>
      </c>
      <c r="BJ215" s="660">
        <v>0</v>
      </c>
      <c r="BK215" s="660">
        <v>0</v>
      </c>
      <c r="BL215" s="660">
        <f t="shared" si="1173"/>
        <v>0</v>
      </c>
      <c r="BM215" s="660">
        <f t="shared" si="1173"/>
        <v>0</v>
      </c>
      <c r="BN215" s="660">
        <f t="shared" si="1174"/>
        <v>0</v>
      </c>
      <c r="BO215" s="660">
        <f t="shared" si="1174"/>
        <v>0</v>
      </c>
      <c r="BP215" s="660">
        <f t="shared" si="1175"/>
        <v>0</v>
      </c>
      <c r="BQ215" s="660">
        <f t="shared" si="1175"/>
        <v>0</v>
      </c>
      <c r="BR215" s="660">
        <v>0</v>
      </c>
      <c r="BS215" s="660">
        <v>0</v>
      </c>
      <c r="BT215" s="660">
        <f t="shared" si="1148"/>
        <v>0</v>
      </c>
      <c r="BU215" s="660">
        <f t="shared" si="1148"/>
        <v>0</v>
      </c>
      <c r="BX215" s="660">
        <v>0</v>
      </c>
      <c r="BY215" s="660">
        <f t="shared" si="1176"/>
        <v>0</v>
      </c>
      <c r="BZ215" s="660">
        <f t="shared" si="1149"/>
        <v>0</v>
      </c>
      <c r="CA215" s="660">
        <f t="shared" si="1150"/>
        <v>0</v>
      </c>
      <c r="CB215" s="660">
        <f t="shared" si="1151"/>
        <v>0</v>
      </c>
      <c r="CC215" s="660">
        <f t="shared" si="1152"/>
        <v>0</v>
      </c>
      <c r="CD215" s="660">
        <f t="shared" si="1177"/>
        <v>0</v>
      </c>
    </row>
    <row r="216" spans="4:82" ht="16" hidden="1" thickTop="1" thickBot="1">
      <c r="D216" s="653"/>
      <c r="E216" s="654"/>
      <c r="F216" s="655" t="str">
        <f t="shared" si="1153"/>
        <v/>
      </c>
      <c r="G216" s="656"/>
      <c r="I216" s="658">
        <f t="shared" si="1154"/>
        <v>0</v>
      </c>
      <c r="J216" s="658">
        <f t="shared" ref="J216" si="1426">IF($G216=0,0,-MIN(0,G216*c_EquityShare.LP))</f>
        <v>0</v>
      </c>
      <c r="K216" s="658">
        <f t="shared" ref="K216" si="1427">I216*c_Rate.Pref_MO</f>
        <v>0</v>
      </c>
      <c r="L216" s="658">
        <f t="shared" si="1130"/>
        <v>0</v>
      </c>
      <c r="M216" s="658">
        <f t="shared" si="1157"/>
        <v>0</v>
      </c>
      <c r="N216" s="658">
        <f t="shared" si="1180"/>
        <v>0</v>
      </c>
      <c r="O216" s="658" cm="1">
        <f t="array" ref="O216">IF(I216=0,0,IF(G216&lt;0,N216/c_EquityShare.LP*i_EquityShare.GP,L216/c_EquityShare.LP*i_EquityShare.GP))</f>
        <v>0</v>
      </c>
      <c r="P216" s="658">
        <f t="shared" si="1158"/>
        <v>0</v>
      </c>
      <c r="Q216" s="658">
        <f t="shared" si="1131"/>
        <v>0</v>
      </c>
      <c r="R216" s="521"/>
      <c r="S216" s="660">
        <f t="shared" si="1159"/>
        <v>0</v>
      </c>
      <c r="T216" s="663" cm="1">
        <f t="array" ref="T216">IF($G216=0,0,-MIN(0,$G216*c_EquityShare.LP))</f>
        <v>0</v>
      </c>
      <c r="U216" s="663" cm="1">
        <f t="array" ref="U216">IF($D216=0,0,S216*c_Rate.Hurdle1.MO)</f>
        <v>0</v>
      </c>
      <c r="V216" s="660">
        <f t="shared" si="1181"/>
        <v>0</v>
      </c>
      <c r="W216" s="660">
        <f t="shared" si="1160"/>
        <v>0</v>
      </c>
      <c r="X216" s="663">
        <f t="shared" si="1182"/>
        <v>0</v>
      </c>
      <c r="Y216" s="663">
        <f t="shared" si="1161"/>
        <v>0</v>
      </c>
      <c r="Z216" s="663">
        <f t="shared" ref="Z216" si="1428">IF(S216=0,0,O216+W216/$J$17*c_Hurdle1.Share_GP)</f>
        <v>0</v>
      </c>
      <c r="AA216" s="663">
        <f t="shared" si="1133"/>
        <v>0</v>
      </c>
      <c r="AB216" s="660">
        <f t="shared" si="1184"/>
        <v>0</v>
      </c>
      <c r="AC216" s="521"/>
      <c r="AD216" s="663">
        <f t="shared" si="1323"/>
        <v>0</v>
      </c>
      <c r="AE216" s="663">
        <f t="shared" ref="AE216" si="1429">IF($G216=0,0,-MIN(0,$G216*c_EquityShare.LP))</f>
        <v>0</v>
      </c>
      <c r="AF216" s="663" cm="1">
        <f t="array" ref="AF216">IF($D216=0,0,AD216*(c_Rate.Hurdle2.MO))</f>
        <v>0</v>
      </c>
      <c r="AG216" s="663">
        <f t="shared" si="1135"/>
        <v>0</v>
      </c>
      <c r="AH216" s="663">
        <f t="shared" si="1164"/>
        <v>0</v>
      </c>
      <c r="AI216" s="663">
        <f t="shared" si="1136"/>
        <v>0</v>
      </c>
      <c r="AJ216" s="664">
        <f t="shared" si="1137"/>
        <v>0</v>
      </c>
      <c r="AK216" s="660">
        <f t="shared" si="1138"/>
        <v>0</v>
      </c>
      <c r="AL216" s="663">
        <f t="shared" ref="AL216" si="1430">IF(AD216=0,0,Z216+AH216/$J$18*c_Hurdle2.Share_GP)</f>
        <v>0</v>
      </c>
      <c r="AM216" s="663">
        <f t="shared" si="1140"/>
        <v>0</v>
      </c>
      <c r="AN216" s="660">
        <f t="shared" si="1187"/>
        <v>0</v>
      </c>
      <c r="AO216" s="521"/>
      <c r="AP216" s="663">
        <f t="shared" si="1326"/>
        <v>0</v>
      </c>
      <c r="AQ216" s="663">
        <f t="shared" ref="AQ216" si="1431">IF($G216=0,0,-MIN(0,$G216*c_EquityShare.LP))</f>
        <v>0</v>
      </c>
      <c r="AR216" s="663" cm="1">
        <f t="array" ref="AR216">IF($D216=0,0,AP216*(c_Rate.Hurdle3.MO))</f>
        <v>0</v>
      </c>
      <c r="AS216" s="663">
        <f t="shared" si="1142"/>
        <v>0</v>
      </c>
      <c r="AT216" s="663">
        <f t="shared" si="1167"/>
        <v>0</v>
      </c>
      <c r="AU216" s="663">
        <f t="shared" si="1143"/>
        <v>0</v>
      </c>
      <c r="AV216" s="664">
        <f t="shared" si="1144"/>
        <v>0</v>
      </c>
      <c r="AW216" s="660">
        <f t="shared" si="1168"/>
        <v>0</v>
      </c>
      <c r="AX216" s="663">
        <f t="shared" ref="AX216" si="1432">IF(AP216=0,0,AL216+AT216/$J$19*c_Hurdle3.Share_GP)</f>
        <v>0</v>
      </c>
      <c r="AY216" s="663">
        <f t="shared" si="1170"/>
        <v>0</v>
      </c>
      <c r="AZ216" s="660">
        <f t="shared" si="1190"/>
        <v>0</v>
      </c>
      <c r="BA216" s="521"/>
      <c r="BB216" s="660">
        <f t="shared" si="590"/>
        <v>0</v>
      </c>
      <c r="BC216" s="660">
        <f t="shared" ref="BC216" si="1433">$AZ216*c_Residual.Share_GP</f>
        <v>0</v>
      </c>
      <c r="BD216" s="651"/>
      <c r="BE216" s="660">
        <f t="shared" si="1172"/>
        <v>0</v>
      </c>
      <c r="BF216" s="660">
        <f t="shared" si="1172"/>
        <v>0</v>
      </c>
      <c r="BG216" s="660">
        <f t="shared" si="1147"/>
        <v>0</v>
      </c>
      <c r="BI216" s="660">
        <v>0</v>
      </c>
      <c r="BJ216" s="660">
        <v>0</v>
      </c>
      <c r="BK216" s="660">
        <v>0</v>
      </c>
      <c r="BL216" s="660">
        <f t="shared" si="1173"/>
        <v>0</v>
      </c>
      <c r="BM216" s="660">
        <f t="shared" si="1173"/>
        <v>0</v>
      </c>
      <c r="BN216" s="660">
        <f t="shared" si="1174"/>
        <v>0</v>
      </c>
      <c r="BO216" s="660">
        <f t="shared" si="1174"/>
        <v>0</v>
      </c>
      <c r="BP216" s="660">
        <f t="shared" si="1175"/>
        <v>0</v>
      </c>
      <c r="BQ216" s="660">
        <f t="shared" si="1175"/>
        <v>0</v>
      </c>
      <c r="BR216" s="660">
        <v>0</v>
      </c>
      <c r="BS216" s="660">
        <v>0</v>
      </c>
      <c r="BT216" s="660">
        <f t="shared" si="1148"/>
        <v>0</v>
      </c>
      <c r="BU216" s="660">
        <f t="shared" si="1148"/>
        <v>0</v>
      </c>
      <c r="BX216" s="660">
        <v>0</v>
      </c>
      <c r="BY216" s="660">
        <f t="shared" si="1176"/>
        <v>0</v>
      </c>
      <c r="BZ216" s="660">
        <f t="shared" si="1149"/>
        <v>0</v>
      </c>
      <c r="CA216" s="660">
        <f t="shared" si="1150"/>
        <v>0</v>
      </c>
      <c r="CB216" s="660">
        <f t="shared" si="1151"/>
        <v>0</v>
      </c>
      <c r="CC216" s="660">
        <f t="shared" si="1152"/>
        <v>0</v>
      </c>
      <c r="CD216" s="660">
        <f t="shared" si="1177"/>
        <v>0</v>
      </c>
    </row>
    <row r="217" spans="4:82" ht="16" hidden="1" thickTop="1" thickBot="1">
      <c r="D217" s="653"/>
      <c r="E217" s="654"/>
      <c r="F217" s="655" t="str">
        <f t="shared" si="1153"/>
        <v/>
      </c>
      <c r="G217" s="656"/>
      <c r="I217" s="658">
        <f t="shared" si="1154"/>
        <v>0</v>
      </c>
      <c r="J217" s="658">
        <f t="shared" ref="J217" si="1434">IF($G217=0,0,-MIN(0,G217*c_EquityShare.LP))</f>
        <v>0</v>
      </c>
      <c r="K217" s="658">
        <f t="shared" ref="K217" si="1435">I217*c_Rate.Pref_MO</f>
        <v>0</v>
      </c>
      <c r="L217" s="658">
        <f t="shared" si="1130"/>
        <v>0</v>
      </c>
      <c r="M217" s="658">
        <f t="shared" si="1157"/>
        <v>0</v>
      </c>
      <c r="N217" s="658">
        <f t="shared" si="1180"/>
        <v>0</v>
      </c>
      <c r="O217" s="658" cm="1">
        <f t="array" ref="O217">IF(I217=0,0,IF(G217&lt;0,N217/c_EquityShare.LP*i_EquityShare.GP,L217/c_EquityShare.LP*i_EquityShare.GP))</f>
        <v>0</v>
      </c>
      <c r="P217" s="658">
        <f t="shared" si="1158"/>
        <v>0</v>
      </c>
      <c r="Q217" s="658">
        <f t="shared" si="1131"/>
        <v>0</v>
      </c>
      <c r="R217" s="521"/>
      <c r="S217" s="660">
        <f t="shared" si="1159"/>
        <v>0</v>
      </c>
      <c r="T217" s="663" cm="1">
        <f t="array" ref="T217">IF($G217=0,0,-MIN(0,$G217*c_EquityShare.LP))</f>
        <v>0</v>
      </c>
      <c r="U217" s="663" cm="1">
        <f t="array" ref="U217">IF($D217=0,0,S217*c_Rate.Hurdle1.MO)</f>
        <v>0</v>
      </c>
      <c r="V217" s="660">
        <f t="shared" si="1181"/>
        <v>0</v>
      </c>
      <c r="W217" s="660">
        <f t="shared" si="1160"/>
        <v>0</v>
      </c>
      <c r="X217" s="663">
        <f t="shared" si="1182"/>
        <v>0</v>
      </c>
      <c r="Y217" s="663">
        <f t="shared" si="1161"/>
        <v>0</v>
      </c>
      <c r="Z217" s="663">
        <f t="shared" ref="Z217" si="1436">IF(S217=0,0,O217+W217/$J$17*c_Hurdle1.Share_GP)</f>
        <v>0</v>
      </c>
      <c r="AA217" s="663">
        <f t="shared" si="1133"/>
        <v>0</v>
      </c>
      <c r="AB217" s="660">
        <f t="shared" si="1184"/>
        <v>0</v>
      </c>
      <c r="AC217" s="521"/>
      <c r="AD217" s="663">
        <f t="shared" si="1323"/>
        <v>0</v>
      </c>
      <c r="AE217" s="663">
        <f t="shared" ref="AE217" si="1437">IF($G217=0,0,-MIN(0,$G217*c_EquityShare.LP))</f>
        <v>0</v>
      </c>
      <c r="AF217" s="663" cm="1">
        <f t="array" ref="AF217">IF($D217=0,0,AD217*(c_Rate.Hurdle2.MO))</f>
        <v>0</v>
      </c>
      <c r="AG217" s="663">
        <f t="shared" si="1135"/>
        <v>0</v>
      </c>
      <c r="AH217" s="663">
        <f t="shared" si="1164"/>
        <v>0</v>
      </c>
      <c r="AI217" s="663">
        <f t="shared" si="1136"/>
        <v>0</v>
      </c>
      <c r="AJ217" s="664">
        <f t="shared" si="1137"/>
        <v>0</v>
      </c>
      <c r="AK217" s="660">
        <f t="shared" si="1138"/>
        <v>0</v>
      </c>
      <c r="AL217" s="663">
        <f t="shared" ref="AL217" si="1438">IF(AD217=0,0,Z217+AH217/$J$18*c_Hurdle2.Share_GP)</f>
        <v>0</v>
      </c>
      <c r="AM217" s="663">
        <f t="shared" si="1140"/>
        <v>0</v>
      </c>
      <c r="AN217" s="660">
        <f t="shared" si="1187"/>
        <v>0</v>
      </c>
      <c r="AO217" s="521"/>
      <c r="AP217" s="663">
        <f t="shared" si="1326"/>
        <v>0</v>
      </c>
      <c r="AQ217" s="663">
        <f t="shared" ref="AQ217" si="1439">IF($G217=0,0,-MIN(0,$G217*c_EquityShare.LP))</f>
        <v>0</v>
      </c>
      <c r="AR217" s="663" cm="1">
        <f t="array" ref="AR217">IF($D217=0,0,AP217*(c_Rate.Hurdle3.MO))</f>
        <v>0</v>
      </c>
      <c r="AS217" s="663">
        <f t="shared" si="1142"/>
        <v>0</v>
      </c>
      <c r="AT217" s="663">
        <f t="shared" si="1167"/>
        <v>0</v>
      </c>
      <c r="AU217" s="663">
        <f t="shared" si="1143"/>
        <v>0</v>
      </c>
      <c r="AV217" s="664">
        <f t="shared" si="1144"/>
        <v>0</v>
      </c>
      <c r="AW217" s="660">
        <f t="shared" si="1168"/>
        <v>0</v>
      </c>
      <c r="AX217" s="663">
        <f t="shared" ref="AX217" si="1440">IF(AP217=0,0,AL217+AT217/$J$19*c_Hurdle3.Share_GP)</f>
        <v>0</v>
      </c>
      <c r="AY217" s="663">
        <f t="shared" si="1170"/>
        <v>0</v>
      </c>
      <c r="AZ217" s="660">
        <f t="shared" si="1190"/>
        <v>0</v>
      </c>
      <c r="BA217" s="521"/>
      <c r="BB217" s="660">
        <f t="shared" si="590"/>
        <v>0</v>
      </c>
      <c r="BC217" s="660">
        <f t="shared" ref="BC217" si="1441">$AZ217*c_Residual.Share_GP</f>
        <v>0</v>
      </c>
      <c r="BD217" s="651"/>
      <c r="BE217" s="660">
        <f t="shared" si="1172"/>
        <v>0</v>
      </c>
      <c r="BF217" s="660">
        <f t="shared" si="1172"/>
        <v>0</v>
      </c>
      <c r="BG217" s="660">
        <f t="shared" si="1147"/>
        <v>0</v>
      </c>
      <c r="BI217" s="660">
        <v>0</v>
      </c>
      <c r="BJ217" s="660">
        <v>0</v>
      </c>
      <c r="BK217" s="660">
        <v>0</v>
      </c>
      <c r="BL217" s="660">
        <f t="shared" si="1173"/>
        <v>0</v>
      </c>
      <c r="BM217" s="660">
        <f t="shared" si="1173"/>
        <v>0</v>
      </c>
      <c r="BN217" s="660">
        <f t="shared" si="1174"/>
        <v>0</v>
      </c>
      <c r="BO217" s="660">
        <f t="shared" si="1174"/>
        <v>0</v>
      </c>
      <c r="BP217" s="660">
        <f t="shared" si="1175"/>
        <v>0</v>
      </c>
      <c r="BQ217" s="660">
        <f t="shared" si="1175"/>
        <v>0</v>
      </c>
      <c r="BR217" s="660">
        <v>0</v>
      </c>
      <c r="BS217" s="660">
        <v>0</v>
      </c>
      <c r="BT217" s="660">
        <f t="shared" si="1148"/>
        <v>0</v>
      </c>
      <c r="BU217" s="660">
        <f t="shared" si="1148"/>
        <v>0</v>
      </c>
      <c r="BX217" s="660">
        <v>0</v>
      </c>
      <c r="BY217" s="660">
        <f t="shared" si="1176"/>
        <v>0</v>
      </c>
      <c r="BZ217" s="660">
        <f t="shared" si="1149"/>
        <v>0</v>
      </c>
      <c r="CA217" s="660">
        <f t="shared" si="1150"/>
        <v>0</v>
      </c>
      <c r="CB217" s="660">
        <f t="shared" si="1151"/>
        <v>0</v>
      </c>
      <c r="CC217" s="660">
        <f t="shared" si="1152"/>
        <v>0</v>
      </c>
      <c r="CD217" s="660">
        <f t="shared" si="1177"/>
        <v>0</v>
      </c>
    </row>
    <row r="218" spans="4:82" ht="16" hidden="1" thickTop="1" thickBot="1">
      <c r="D218" s="653"/>
      <c r="E218" s="654"/>
      <c r="F218" s="655" t="str">
        <f t="shared" si="1153"/>
        <v/>
      </c>
      <c r="G218" s="656"/>
      <c r="I218" s="658">
        <f t="shared" si="1154"/>
        <v>0</v>
      </c>
      <c r="J218" s="658">
        <f t="shared" ref="J218" si="1442">IF($G218=0,0,-MIN(0,G218*c_EquityShare.LP))</f>
        <v>0</v>
      </c>
      <c r="K218" s="658">
        <f t="shared" ref="K218" si="1443">I218*c_Rate.Pref_MO</f>
        <v>0</v>
      </c>
      <c r="L218" s="658">
        <f t="shared" si="1130"/>
        <v>0</v>
      </c>
      <c r="M218" s="658">
        <f t="shared" si="1157"/>
        <v>0</v>
      </c>
      <c r="N218" s="658">
        <f t="shared" si="1180"/>
        <v>0</v>
      </c>
      <c r="O218" s="658" cm="1">
        <f t="array" ref="O218">IF(I218=0,0,IF(G218&lt;0,N218/c_EquityShare.LP*i_EquityShare.GP,L218/c_EquityShare.LP*i_EquityShare.GP))</f>
        <v>0</v>
      </c>
      <c r="P218" s="658">
        <f t="shared" si="1158"/>
        <v>0</v>
      </c>
      <c r="Q218" s="658">
        <f t="shared" si="1131"/>
        <v>0</v>
      </c>
      <c r="R218" s="521"/>
      <c r="S218" s="660">
        <f t="shared" si="1159"/>
        <v>0</v>
      </c>
      <c r="T218" s="663" cm="1">
        <f t="array" ref="T218">IF($G218=0,0,-MIN(0,$G218*c_EquityShare.LP))</f>
        <v>0</v>
      </c>
      <c r="U218" s="663" cm="1">
        <f t="array" ref="U218">IF($D218=0,0,S218*c_Rate.Hurdle1.MO)</f>
        <v>0</v>
      </c>
      <c r="V218" s="660">
        <f t="shared" si="1181"/>
        <v>0</v>
      </c>
      <c r="W218" s="660">
        <f t="shared" si="1160"/>
        <v>0</v>
      </c>
      <c r="X218" s="663">
        <f t="shared" si="1182"/>
        <v>0</v>
      </c>
      <c r="Y218" s="663">
        <f t="shared" si="1161"/>
        <v>0</v>
      </c>
      <c r="Z218" s="663">
        <f t="shared" ref="Z218" si="1444">IF(S218=0,0,O218+W218/$J$17*c_Hurdle1.Share_GP)</f>
        <v>0</v>
      </c>
      <c r="AA218" s="663">
        <f t="shared" si="1133"/>
        <v>0</v>
      </c>
      <c r="AB218" s="660">
        <f t="shared" si="1184"/>
        <v>0</v>
      </c>
      <c r="AC218" s="521"/>
      <c r="AD218" s="663">
        <f t="shared" si="1323"/>
        <v>0</v>
      </c>
      <c r="AE218" s="663">
        <f t="shared" ref="AE218" si="1445">IF($G218=0,0,-MIN(0,$G218*c_EquityShare.LP))</f>
        <v>0</v>
      </c>
      <c r="AF218" s="663" cm="1">
        <f t="array" ref="AF218">IF($D218=0,0,AD218*(c_Rate.Hurdle2.MO))</f>
        <v>0</v>
      </c>
      <c r="AG218" s="663">
        <f t="shared" si="1135"/>
        <v>0</v>
      </c>
      <c r="AH218" s="663">
        <f t="shared" si="1164"/>
        <v>0</v>
      </c>
      <c r="AI218" s="663">
        <f t="shared" si="1136"/>
        <v>0</v>
      </c>
      <c r="AJ218" s="664">
        <f t="shared" si="1137"/>
        <v>0</v>
      </c>
      <c r="AK218" s="660">
        <f t="shared" si="1138"/>
        <v>0</v>
      </c>
      <c r="AL218" s="663">
        <f t="shared" ref="AL218" si="1446">IF(AD218=0,0,Z218+AH218/$J$18*c_Hurdle2.Share_GP)</f>
        <v>0</v>
      </c>
      <c r="AM218" s="663">
        <f t="shared" si="1140"/>
        <v>0</v>
      </c>
      <c r="AN218" s="660">
        <f t="shared" si="1187"/>
        <v>0</v>
      </c>
      <c r="AO218" s="521"/>
      <c r="AP218" s="663">
        <f t="shared" si="1326"/>
        <v>0</v>
      </c>
      <c r="AQ218" s="663">
        <f t="shared" ref="AQ218" si="1447">IF($G218=0,0,-MIN(0,$G218*c_EquityShare.LP))</f>
        <v>0</v>
      </c>
      <c r="AR218" s="663" cm="1">
        <f t="array" ref="AR218">IF($D218=0,0,AP218*(c_Rate.Hurdle3.MO))</f>
        <v>0</v>
      </c>
      <c r="AS218" s="663">
        <f t="shared" si="1142"/>
        <v>0</v>
      </c>
      <c r="AT218" s="663">
        <f t="shared" si="1167"/>
        <v>0</v>
      </c>
      <c r="AU218" s="663">
        <f t="shared" si="1143"/>
        <v>0</v>
      </c>
      <c r="AV218" s="664">
        <f t="shared" si="1144"/>
        <v>0</v>
      </c>
      <c r="AW218" s="660">
        <f t="shared" si="1168"/>
        <v>0</v>
      </c>
      <c r="AX218" s="663">
        <f t="shared" ref="AX218" si="1448">IF(AP218=0,0,AL218+AT218/$J$19*c_Hurdle3.Share_GP)</f>
        <v>0</v>
      </c>
      <c r="AY218" s="663">
        <f t="shared" si="1170"/>
        <v>0</v>
      </c>
      <c r="AZ218" s="660">
        <f t="shared" si="1190"/>
        <v>0</v>
      </c>
      <c r="BA218" s="521"/>
      <c r="BB218" s="660">
        <f t="shared" si="590"/>
        <v>0</v>
      </c>
      <c r="BC218" s="660">
        <f t="shared" ref="BC218" si="1449">$AZ218*c_Residual.Share_GP</f>
        <v>0</v>
      </c>
      <c r="BD218" s="651"/>
      <c r="BE218" s="660">
        <f t="shared" si="1172"/>
        <v>0</v>
      </c>
      <c r="BF218" s="660">
        <f t="shared" si="1172"/>
        <v>0</v>
      </c>
      <c r="BG218" s="660">
        <f t="shared" si="1147"/>
        <v>0</v>
      </c>
      <c r="BI218" s="660">
        <v>0</v>
      </c>
      <c r="BJ218" s="660">
        <v>0</v>
      </c>
      <c r="BK218" s="660">
        <v>0</v>
      </c>
      <c r="BL218" s="660">
        <f t="shared" si="1173"/>
        <v>0</v>
      </c>
      <c r="BM218" s="660">
        <f t="shared" si="1173"/>
        <v>0</v>
      </c>
      <c r="BN218" s="660">
        <f t="shared" si="1174"/>
        <v>0</v>
      </c>
      <c r="BO218" s="660">
        <f t="shared" si="1174"/>
        <v>0</v>
      </c>
      <c r="BP218" s="660">
        <f t="shared" si="1175"/>
        <v>0</v>
      </c>
      <c r="BQ218" s="660">
        <f t="shared" si="1175"/>
        <v>0</v>
      </c>
      <c r="BR218" s="660">
        <v>0</v>
      </c>
      <c r="BS218" s="660">
        <v>0</v>
      </c>
      <c r="BT218" s="660">
        <f t="shared" si="1148"/>
        <v>0</v>
      </c>
      <c r="BU218" s="660">
        <f t="shared" si="1148"/>
        <v>0</v>
      </c>
      <c r="BX218" s="660">
        <v>0</v>
      </c>
      <c r="BY218" s="660">
        <f t="shared" si="1176"/>
        <v>0</v>
      </c>
      <c r="BZ218" s="660">
        <f t="shared" si="1149"/>
        <v>0</v>
      </c>
      <c r="CA218" s="660">
        <f t="shared" si="1150"/>
        <v>0</v>
      </c>
      <c r="CB218" s="660">
        <f t="shared" si="1151"/>
        <v>0</v>
      </c>
      <c r="CC218" s="660">
        <f t="shared" si="1152"/>
        <v>0</v>
      </c>
      <c r="CD218" s="660">
        <f t="shared" si="1177"/>
        <v>0</v>
      </c>
    </row>
    <row r="219" spans="4:82" ht="16" hidden="1" thickTop="1" thickBot="1">
      <c r="D219" s="653"/>
      <c r="E219" s="654"/>
      <c r="F219" s="655" t="str">
        <f t="shared" si="1153"/>
        <v/>
      </c>
      <c r="G219" s="656"/>
      <c r="I219" s="658">
        <f t="shared" si="1154"/>
        <v>0</v>
      </c>
      <c r="J219" s="658">
        <f t="shared" ref="J219" si="1450">IF($G219=0,0,-MIN(0,G219*c_EquityShare.LP))</f>
        <v>0</v>
      </c>
      <c r="K219" s="658">
        <f t="shared" ref="K219" si="1451">I219*c_Rate.Pref_MO</f>
        <v>0</v>
      </c>
      <c r="L219" s="658">
        <f t="shared" si="1130"/>
        <v>0</v>
      </c>
      <c r="M219" s="658">
        <f t="shared" si="1157"/>
        <v>0</v>
      </c>
      <c r="N219" s="658">
        <f t="shared" si="1180"/>
        <v>0</v>
      </c>
      <c r="O219" s="658" cm="1">
        <f t="array" ref="O219">IF(I219=0,0,IF(G219&lt;0,N219/c_EquityShare.LP*i_EquityShare.GP,L219/c_EquityShare.LP*i_EquityShare.GP))</f>
        <v>0</v>
      </c>
      <c r="P219" s="658">
        <f t="shared" si="1158"/>
        <v>0</v>
      </c>
      <c r="Q219" s="658">
        <f t="shared" si="1131"/>
        <v>0</v>
      </c>
      <c r="R219" s="521"/>
      <c r="S219" s="660">
        <f t="shared" si="1159"/>
        <v>0</v>
      </c>
      <c r="T219" s="663" cm="1">
        <f t="array" ref="T219">IF($G219=0,0,-MIN(0,$G219*c_EquityShare.LP))</f>
        <v>0</v>
      </c>
      <c r="U219" s="663" cm="1">
        <f t="array" ref="U219">IF($D219=0,0,S219*c_Rate.Hurdle1.MO)</f>
        <v>0</v>
      </c>
      <c r="V219" s="660">
        <f t="shared" si="1181"/>
        <v>0</v>
      </c>
      <c r="W219" s="660">
        <f t="shared" si="1160"/>
        <v>0</v>
      </c>
      <c r="X219" s="663">
        <f t="shared" si="1182"/>
        <v>0</v>
      </c>
      <c r="Y219" s="663">
        <f t="shared" si="1161"/>
        <v>0</v>
      </c>
      <c r="Z219" s="663">
        <f t="shared" ref="Z219" si="1452">IF(S219=0,0,O219+W219/$J$17*c_Hurdle1.Share_GP)</f>
        <v>0</v>
      </c>
      <c r="AA219" s="663">
        <f t="shared" si="1133"/>
        <v>0</v>
      </c>
      <c r="AB219" s="660">
        <f t="shared" si="1184"/>
        <v>0</v>
      </c>
      <c r="AC219" s="521"/>
      <c r="AD219" s="663">
        <f t="shared" si="1323"/>
        <v>0</v>
      </c>
      <c r="AE219" s="663">
        <f t="shared" ref="AE219" si="1453">IF($G219=0,0,-MIN(0,$G219*c_EquityShare.LP))</f>
        <v>0</v>
      </c>
      <c r="AF219" s="663" cm="1">
        <f t="array" ref="AF219">IF($D219=0,0,AD219*(c_Rate.Hurdle2.MO))</f>
        <v>0</v>
      </c>
      <c r="AG219" s="663">
        <f t="shared" si="1135"/>
        <v>0</v>
      </c>
      <c r="AH219" s="663">
        <f t="shared" si="1164"/>
        <v>0</v>
      </c>
      <c r="AI219" s="663">
        <f t="shared" si="1136"/>
        <v>0</v>
      </c>
      <c r="AJ219" s="664">
        <f t="shared" si="1137"/>
        <v>0</v>
      </c>
      <c r="AK219" s="660">
        <f t="shared" si="1138"/>
        <v>0</v>
      </c>
      <c r="AL219" s="663">
        <f t="shared" ref="AL219" si="1454">IF(AD219=0,0,Z219+AH219/$J$18*c_Hurdle2.Share_GP)</f>
        <v>0</v>
      </c>
      <c r="AM219" s="663">
        <f t="shared" si="1140"/>
        <v>0</v>
      </c>
      <c r="AN219" s="660">
        <f t="shared" si="1187"/>
        <v>0</v>
      </c>
      <c r="AO219" s="521"/>
      <c r="AP219" s="663">
        <f t="shared" si="1326"/>
        <v>0</v>
      </c>
      <c r="AQ219" s="663">
        <f t="shared" ref="AQ219" si="1455">IF($G219=0,0,-MIN(0,$G219*c_EquityShare.LP))</f>
        <v>0</v>
      </c>
      <c r="AR219" s="663" cm="1">
        <f t="array" ref="AR219">IF($D219=0,0,AP219*(c_Rate.Hurdle3.MO))</f>
        <v>0</v>
      </c>
      <c r="AS219" s="663">
        <f t="shared" si="1142"/>
        <v>0</v>
      </c>
      <c r="AT219" s="663">
        <f t="shared" si="1167"/>
        <v>0</v>
      </c>
      <c r="AU219" s="663">
        <f t="shared" si="1143"/>
        <v>0</v>
      </c>
      <c r="AV219" s="664">
        <f t="shared" si="1144"/>
        <v>0</v>
      </c>
      <c r="AW219" s="660">
        <f t="shared" si="1168"/>
        <v>0</v>
      </c>
      <c r="AX219" s="663">
        <f t="shared" ref="AX219" si="1456">IF(AP219=0,0,AL219+AT219/$J$19*c_Hurdle3.Share_GP)</f>
        <v>0</v>
      </c>
      <c r="AY219" s="663">
        <f t="shared" si="1170"/>
        <v>0</v>
      </c>
      <c r="AZ219" s="660">
        <f t="shared" si="1190"/>
        <v>0</v>
      </c>
      <c r="BA219" s="521"/>
      <c r="BB219" s="660">
        <f t="shared" si="590"/>
        <v>0</v>
      </c>
      <c r="BC219" s="660">
        <f t="shared" ref="BC219" si="1457">$AZ219*c_Residual.Share_GP</f>
        <v>0</v>
      </c>
      <c r="BD219" s="651"/>
      <c r="BE219" s="660">
        <f t="shared" si="1172"/>
        <v>0</v>
      </c>
      <c r="BF219" s="660">
        <f t="shared" si="1172"/>
        <v>0</v>
      </c>
      <c r="BG219" s="660">
        <f t="shared" si="1147"/>
        <v>0</v>
      </c>
      <c r="BI219" s="660">
        <v>0</v>
      </c>
      <c r="BJ219" s="660">
        <v>0</v>
      </c>
      <c r="BK219" s="660">
        <v>0</v>
      </c>
      <c r="BL219" s="660">
        <f t="shared" si="1173"/>
        <v>0</v>
      </c>
      <c r="BM219" s="660">
        <f t="shared" si="1173"/>
        <v>0</v>
      </c>
      <c r="BN219" s="660">
        <f t="shared" si="1174"/>
        <v>0</v>
      </c>
      <c r="BO219" s="660">
        <f t="shared" si="1174"/>
        <v>0</v>
      </c>
      <c r="BP219" s="660">
        <f t="shared" si="1175"/>
        <v>0</v>
      </c>
      <c r="BQ219" s="660">
        <f t="shared" si="1175"/>
        <v>0</v>
      </c>
      <c r="BR219" s="660">
        <v>0</v>
      </c>
      <c r="BS219" s="660">
        <v>0</v>
      </c>
      <c r="BT219" s="660">
        <f t="shared" si="1148"/>
        <v>0</v>
      </c>
      <c r="BU219" s="660">
        <f t="shared" si="1148"/>
        <v>0</v>
      </c>
      <c r="BX219" s="660">
        <v>0</v>
      </c>
      <c r="BY219" s="660">
        <f t="shared" si="1176"/>
        <v>0</v>
      </c>
      <c r="BZ219" s="660">
        <f t="shared" si="1149"/>
        <v>0</v>
      </c>
      <c r="CA219" s="660">
        <f t="shared" si="1150"/>
        <v>0</v>
      </c>
      <c r="CB219" s="660">
        <f t="shared" si="1151"/>
        <v>0</v>
      </c>
      <c r="CC219" s="660">
        <f t="shared" si="1152"/>
        <v>0</v>
      </c>
      <c r="CD219" s="660">
        <f t="shared" si="1177"/>
        <v>0</v>
      </c>
    </row>
    <row r="220" spans="4:82" ht="16" hidden="1" thickTop="1" thickBot="1">
      <c r="D220" s="653"/>
      <c r="E220" s="654"/>
      <c r="F220" s="655" t="str">
        <f t="shared" si="1153"/>
        <v/>
      </c>
      <c r="G220" s="656"/>
      <c r="I220" s="658">
        <f t="shared" si="1154"/>
        <v>0</v>
      </c>
      <c r="J220" s="658">
        <f t="shared" ref="J220" si="1458">IF($G220=0,0,-MIN(0,G220*c_EquityShare.LP))</f>
        <v>0</v>
      </c>
      <c r="K220" s="658">
        <f t="shared" ref="K220" si="1459">I220*c_Rate.Pref_MO</f>
        <v>0</v>
      </c>
      <c r="L220" s="658">
        <f t="shared" si="1130"/>
        <v>0</v>
      </c>
      <c r="M220" s="658">
        <f t="shared" si="1157"/>
        <v>0</v>
      </c>
      <c r="N220" s="658">
        <f t="shared" si="1180"/>
        <v>0</v>
      </c>
      <c r="O220" s="658" cm="1">
        <f t="array" ref="O220">IF(I220=0,0,IF(G220&lt;0,N220/c_EquityShare.LP*i_EquityShare.GP,L220/c_EquityShare.LP*i_EquityShare.GP))</f>
        <v>0</v>
      </c>
      <c r="P220" s="658">
        <f t="shared" si="1158"/>
        <v>0</v>
      </c>
      <c r="Q220" s="658">
        <f t="shared" si="1131"/>
        <v>0</v>
      </c>
      <c r="R220" s="521"/>
      <c r="S220" s="660">
        <f t="shared" si="1159"/>
        <v>0</v>
      </c>
      <c r="T220" s="663" cm="1">
        <f t="array" ref="T220">IF($G220=0,0,-MIN(0,$G220*c_EquityShare.LP))</f>
        <v>0</v>
      </c>
      <c r="U220" s="663" cm="1">
        <f t="array" ref="U220">IF($D220=0,0,S220*c_Rate.Hurdle1.MO)</f>
        <v>0</v>
      </c>
      <c r="V220" s="660">
        <f t="shared" si="1181"/>
        <v>0</v>
      </c>
      <c r="W220" s="660">
        <f t="shared" si="1160"/>
        <v>0</v>
      </c>
      <c r="X220" s="663">
        <f t="shared" si="1182"/>
        <v>0</v>
      </c>
      <c r="Y220" s="663">
        <f t="shared" si="1161"/>
        <v>0</v>
      </c>
      <c r="Z220" s="663">
        <f t="shared" ref="Z220" si="1460">IF(S220=0,0,O220+W220/$J$17*c_Hurdle1.Share_GP)</f>
        <v>0</v>
      </c>
      <c r="AA220" s="663">
        <f t="shared" si="1133"/>
        <v>0</v>
      </c>
      <c r="AB220" s="660">
        <f t="shared" si="1184"/>
        <v>0</v>
      </c>
      <c r="AC220" s="521"/>
      <c r="AD220" s="663">
        <f t="shared" si="1323"/>
        <v>0</v>
      </c>
      <c r="AE220" s="663">
        <f t="shared" ref="AE220" si="1461">IF($G220=0,0,-MIN(0,$G220*c_EquityShare.LP))</f>
        <v>0</v>
      </c>
      <c r="AF220" s="663" cm="1">
        <f t="array" ref="AF220">IF($D220=0,0,AD220*(c_Rate.Hurdle2.MO))</f>
        <v>0</v>
      </c>
      <c r="AG220" s="663">
        <f t="shared" si="1135"/>
        <v>0</v>
      </c>
      <c r="AH220" s="663">
        <f t="shared" si="1164"/>
        <v>0</v>
      </c>
      <c r="AI220" s="663">
        <f t="shared" si="1136"/>
        <v>0</v>
      </c>
      <c r="AJ220" s="664">
        <f t="shared" si="1137"/>
        <v>0</v>
      </c>
      <c r="AK220" s="660">
        <f t="shared" si="1138"/>
        <v>0</v>
      </c>
      <c r="AL220" s="663">
        <f t="shared" ref="AL220" si="1462">IF(AD220=0,0,Z220+AH220/$J$18*c_Hurdle2.Share_GP)</f>
        <v>0</v>
      </c>
      <c r="AM220" s="663">
        <f t="shared" si="1140"/>
        <v>0</v>
      </c>
      <c r="AN220" s="660">
        <f t="shared" si="1187"/>
        <v>0</v>
      </c>
      <c r="AO220" s="521"/>
      <c r="AP220" s="663">
        <f t="shared" si="1326"/>
        <v>0</v>
      </c>
      <c r="AQ220" s="663">
        <f t="shared" ref="AQ220" si="1463">IF($G220=0,0,-MIN(0,$G220*c_EquityShare.LP))</f>
        <v>0</v>
      </c>
      <c r="AR220" s="663" cm="1">
        <f t="array" ref="AR220">IF($D220=0,0,AP220*(c_Rate.Hurdle3.MO))</f>
        <v>0</v>
      </c>
      <c r="AS220" s="663">
        <f t="shared" si="1142"/>
        <v>0</v>
      </c>
      <c r="AT220" s="663">
        <f t="shared" si="1167"/>
        <v>0</v>
      </c>
      <c r="AU220" s="663">
        <f t="shared" si="1143"/>
        <v>0</v>
      </c>
      <c r="AV220" s="664">
        <f t="shared" si="1144"/>
        <v>0</v>
      </c>
      <c r="AW220" s="660">
        <f t="shared" si="1168"/>
        <v>0</v>
      </c>
      <c r="AX220" s="663">
        <f t="shared" ref="AX220" si="1464">IF(AP220=0,0,AL220+AT220/$J$19*c_Hurdle3.Share_GP)</f>
        <v>0</v>
      </c>
      <c r="AY220" s="663">
        <f t="shared" si="1170"/>
        <v>0</v>
      </c>
      <c r="AZ220" s="660">
        <f t="shared" si="1190"/>
        <v>0</v>
      </c>
      <c r="BA220" s="521"/>
      <c r="BB220" s="660">
        <f t="shared" si="590"/>
        <v>0</v>
      </c>
      <c r="BC220" s="660">
        <f t="shared" ref="BC220" si="1465">$AZ220*c_Residual.Share_GP</f>
        <v>0</v>
      </c>
      <c r="BD220" s="651"/>
      <c r="BE220" s="660">
        <f t="shared" si="1172"/>
        <v>0</v>
      </c>
      <c r="BF220" s="660">
        <f t="shared" si="1172"/>
        <v>0</v>
      </c>
      <c r="BG220" s="660">
        <f t="shared" si="1147"/>
        <v>0</v>
      </c>
      <c r="BI220" s="660">
        <v>0</v>
      </c>
      <c r="BJ220" s="660">
        <v>0</v>
      </c>
      <c r="BK220" s="660">
        <v>0</v>
      </c>
      <c r="BL220" s="660">
        <f t="shared" si="1173"/>
        <v>0</v>
      </c>
      <c r="BM220" s="660">
        <f t="shared" si="1173"/>
        <v>0</v>
      </c>
      <c r="BN220" s="660">
        <f t="shared" si="1174"/>
        <v>0</v>
      </c>
      <c r="BO220" s="660">
        <f t="shared" si="1174"/>
        <v>0</v>
      </c>
      <c r="BP220" s="660">
        <f t="shared" si="1175"/>
        <v>0</v>
      </c>
      <c r="BQ220" s="660">
        <f t="shared" si="1175"/>
        <v>0</v>
      </c>
      <c r="BR220" s="660">
        <v>0</v>
      </c>
      <c r="BS220" s="660">
        <v>0</v>
      </c>
      <c r="BT220" s="660">
        <f t="shared" si="1148"/>
        <v>0</v>
      </c>
      <c r="BU220" s="660">
        <f t="shared" si="1148"/>
        <v>0</v>
      </c>
      <c r="BX220" s="660">
        <v>0</v>
      </c>
      <c r="BY220" s="660">
        <f t="shared" si="1176"/>
        <v>0</v>
      </c>
      <c r="BZ220" s="660">
        <f t="shared" si="1149"/>
        <v>0</v>
      </c>
      <c r="CA220" s="660">
        <f t="shared" si="1150"/>
        <v>0</v>
      </c>
      <c r="CB220" s="660">
        <f t="shared" si="1151"/>
        <v>0</v>
      </c>
      <c r="CC220" s="660">
        <f t="shared" si="1152"/>
        <v>0</v>
      </c>
      <c r="CD220" s="660">
        <f t="shared" si="1177"/>
        <v>0</v>
      </c>
    </row>
    <row r="221" spans="4:82" ht="16" hidden="1" thickTop="1" thickBot="1">
      <c r="D221" s="653"/>
      <c r="E221" s="654"/>
      <c r="F221" s="655" t="str">
        <f t="shared" si="1153"/>
        <v/>
      </c>
      <c r="G221" s="656"/>
      <c r="I221" s="658">
        <f t="shared" si="1154"/>
        <v>0</v>
      </c>
      <c r="J221" s="658">
        <f t="shared" ref="J221" si="1466">IF($G221=0,0,-MIN(0,G221*c_EquityShare.LP))</f>
        <v>0</v>
      </c>
      <c r="K221" s="658">
        <f t="shared" ref="K221" si="1467">I221*c_Rate.Pref_MO</f>
        <v>0</v>
      </c>
      <c r="L221" s="658">
        <f t="shared" si="1130"/>
        <v>0</v>
      </c>
      <c r="M221" s="658">
        <f t="shared" si="1157"/>
        <v>0</v>
      </c>
      <c r="N221" s="658">
        <f t="shared" si="1180"/>
        <v>0</v>
      </c>
      <c r="O221" s="658" cm="1">
        <f t="array" ref="O221">IF(I221=0,0,IF(G221&lt;0,N221/c_EquityShare.LP*i_EquityShare.GP,L221/c_EquityShare.LP*i_EquityShare.GP))</f>
        <v>0</v>
      </c>
      <c r="P221" s="658">
        <f t="shared" si="1158"/>
        <v>0</v>
      </c>
      <c r="Q221" s="658">
        <f t="shared" si="1131"/>
        <v>0</v>
      </c>
      <c r="R221" s="521"/>
      <c r="S221" s="660">
        <f t="shared" si="1159"/>
        <v>0</v>
      </c>
      <c r="T221" s="663" cm="1">
        <f t="array" ref="T221">IF($G221=0,0,-MIN(0,$G221*c_EquityShare.LP))</f>
        <v>0</v>
      </c>
      <c r="U221" s="663" cm="1">
        <f t="array" ref="U221">IF($D221=0,0,S221*c_Rate.Hurdle1.MO)</f>
        <v>0</v>
      </c>
      <c r="V221" s="660">
        <f t="shared" si="1181"/>
        <v>0</v>
      </c>
      <c r="W221" s="660">
        <f t="shared" si="1160"/>
        <v>0</v>
      </c>
      <c r="X221" s="663">
        <f t="shared" si="1182"/>
        <v>0</v>
      </c>
      <c r="Y221" s="663">
        <f t="shared" si="1161"/>
        <v>0</v>
      </c>
      <c r="Z221" s="663">
        <f t="shared" ref="Z221" si="1468">IF(S221=0,0,O221+W221/$J$17*c_Hurdle1.Share_GP)</f>
        <v>0</v>
      </c>
      <c r="AA221" s="663">
        <f t="shared" si="1133"/>
        <v>0</v>
      </c>
      <c r="AB221" s="660">
        <f t="shared" si="1184"/>
        <v>0</v>
      </c>
      <c r="AC221" s="521"/>
      <c r="AD221" s="663">
        <f t="shared" si="1323"/>
        <v>0</v>
      </c>
      <c r="AE221" s="663">
        <f t="shared" ref="AE221" si="1469">IF($G221=0,0,-MIN(0,$G221*c_EquityShare.LP))</f>
        <v>0</v>
      </c>
      <c r="AF221" s="663" cm="1">
        <f t="array" ref="AF221">IF($D221=0,0,AD221*(c_Rate.Hurdle2.MO))</f>
        <v>0</v>
      </c>
      <c r="AG221" s="663">
        <f t="shared" si="1135"/>
        <v>0</v>
      </c>
      <c r="AH221" s="663">
        <f t="shared" si="1164"/>
        <v>0</v>
      </c>
      <c r="AI221" s="663">
        <f t="shared" si="1136"/>
        <v>0</v>
      </c>
      <c r="AJ221" s="664">
        <f t="shared" si="1137"/>
        <v>0</v>
      </c>
      <c r="AK221" s="660">
        <f t="shared" si="1138"/>
        <v>0</v>
      </c>
      <c r="AL221" s="663">
        <f t="shared" ref="AL221" si="1470">IF(AD221=0,0,Z221+AH221/$J$18*c_Hurdle2.Share_GP)</f>
        <v>0</v>
      </c>
      <c r="AM221" s="663">
        <f t="shared" si="1140"/>
        <v>0</v>
      </c>
      <c r="AN221" s="660">
        <f t="shared" si="1187"/>
        <v>0</v>
      </c>
      <c r="AO221" s="521"/>
      <c r="AP221" s="663">
        <f t="shared" si="1326"/>
        <v>0</v>
      </c>
      <c r="AQ221" s="663">
        <f t="shared" ref="AQ221" si="1471">IF($G221=0,0,-MIN(0,$G221*c_EquityShare.LP))</f>
        <v>0</v>
      </c>
      <c r="AR221" s="663" cm="1">
        <f t="array" ref="AR221">IF($D221=0,0,AP221*(c_Rate.Hurdle3.MO))</f>
        <v>0</v>
      </c>
      <c r="AS221" s="663">
        <f t="shared" si="1142"/>
        <v>0</v>
      </c>
      <c r="AT221" s="663">
        <f t="shared" si="1167"/>
        <v>0</v>
      </c>
      <c r="AU221" s="663">
        <f t="shared" si="1143"/>
        <v>0</v>
      </c>
      <c r="AV221" s="664">
        <f t="shared" si="1144"/>
        <v>0</v>
      </c>
      <c r="AW221" s="660">
        <f t="shared" si="1168"/>
        <v>0</v>
      </c>
      <c r="AX221" s="663">
        <f t="shared" ref="AX221" si="1472">IF(AP221=0,0,AL221+AT221/$J$19*c_Hurdle3.Share_GP)</f>
        <v>0</v>
      </c>
      <c r="AY221" s="663">
        <f t="shared" si="1170"/>
        <v>0</v>
      </c>
      <c r="AZ221" s="660">
        <f t="shared" si="1190"/>
        <v>0</v>
      </c>
      <c r="BA221" s="521"/>
      <c r="BB221" s="660">
        <f t="shared" si="590"/>
        <v>0</v>
      </c>
      <c r="BC221" s="660">
        <f t="shared" ref="BC221" si="1473">$AZ221*c_Residual.Share_GP</f>
        <v>0</v>
      </c>
      <c r="BD221" s="651"/>
      <c r="BE221" s="660">
        <f t="shared" si="1172"/>
        <v>0</v>
      </c>
      <c r="BF221" s="660">
        <f t="shared" si="1172"/>
        <v>0</v>
      </c>
      <c r="BG221" s="660">
        <f t="shared" si="1147"/>
        <v>0</v>
      </c>
      <c r="BI221" s="660">
        <v>0</v>
      </c>
      <c r="BJ221" s="660">
        <v>0</v>
      </c>
      <c r="BK221" s="660">
        <v>0</v>
      </c>
      <c r="BL221" s="660">
        <f t="shared" si="1173"/>
        <v>0</v>
      </c>
      <c r="BM221" s="660">
        <f t="shared" si="1173"/>
        <v>0</v>
      </c>
      <c r="BN221" s="660">
        <f t="shared" si="1174"/>
        <v>0</v>
      </c>
      <c r="BO221" s="660">
        <f t="shared" si="1174"/>
        <v>0</v>
      </c>
      <c r="BP221" s="660">
        <f t="shared" si="1175"/>
        <v>0</v>
      </c>
      <c r="BQ221" s="660">
        <f t="shared" si="1175"/>
        <v>0</v>
      </c>
      <c r="BR221" s="660">
        <v>0</v>
      </c>
      <c r="BS221" s="660">
        <v>0</v>
      </c>
      <c r="BT221" s="660">
        <f t="shared" si="1148"/>
        <v>0</v>
      </c>
      <c r="BU221" s="660">
        <f t="shared" si="1148"/>
        <v>0</v>
      </c>
      <c r="BX221" s="660">
        <v>0</v>
      </c>
      <c r="BY221" s="660">
        <f t="shared" si="1176"/>
        <v>0</v>
      </c>
      <c r="BZ221" s="660">
        <f t="shared" si="1149"/>
        <v>0</v>
      </c>
      <c r="CA221" s="660">
        <f t="shared" si="1150"/>
        <v>0</v>
      </c>
      <c r="CB221" s="660">
        <f t="shared" si="1151"/>
        <v>0</v>
      </c>
      <c r="CC221" s="660">
        <f t="shared" si="1152"/>
        <v>0</v>
      </c>
      <c r="CD221" s="660">
        <f t="shared" si="1177"/>
        <v>0</v>
      </c>
    </row>
    <row r="222" spans="4:82" ht="16" hidden="1" thickTop="1" thickBot="1">
      <c r="D222" s="653"/>
      <c r="E222" s="654"/>
      <c r="F222" s="655" t="str">
        <f t="shared" si="1153"/>
        <v/>
      </c>
      <c r="G222" s="656"/>
      <c r="I222" s="658">
        <f t="shared" si="1154"/>
        <v>0</v>
      </c>
      <c r="J222" s="658">
        <f t="shared" ref="J222" si="1474">IF($G222=0,0,-MIN(0,G222*c_EquityShare.LP))</f>
        <v>0</v>
      </c>
      <c r="K222" s="658">
        <f t="shared" ref="K222" si="1475">I222*c_Rate.Pref_MO</f>
        <v>0</v>
      </c>
      <c r="L222" s="658">
        <f t="shared" si="1130"/>
        <v>0</v>
      </c>
      <c r="M222" s="658">
        <f t="shared" si="1157"/>
        <v>0</v>
      </c>
      <c r="N222" s="658">
        <f t="shared" si="1180"/>
        <v>0</v>
      </c>
      <c r="O222" s="658" cm="1">
        <f t="array" ref="O222">IF(I222=0,0,IF(G222&lt;0,N222/c_EquityShare.LP*i_EquityShare.GP,L222/c_EquityShare.LP*i_EquityShare.GP))</f>
        <v>0</v>
      </c>
      <c r="P222" s="658">
        <f t="shared" si="1158"/>
        <v>0</v>
      </c>
      <c r="Q222" s="658">
        <f t="shared" si="1131"/>
        <v>0</v>
      </c>
      <c r="R222" s="521"/>
      <c r="S222" s="660">
        <f t="shared" si="1159"/>
        <v>0</v>
      </c>
      <c r="T222" s="663" cm="1">
        <f t="array" ref="T222">IF($G222=0,0,-MIN(0,$G222*c_EquityShare.LP))</f>
        <v>0</v>
      </c>
      <c r="U222" s="663" cm="1">
        <f t="array" ref="U222">IF($D222=0,0,S222*c_Rate.Hurdle1.MO)</f>
        <v>0</v>
      </c>
      <c r="V222" s="660">
        <f t="shared" si="1181"/>
        <v>0</v>
      </c>
      <c r="W222" s="660">
        <f t="shared" si="1160"/>
        <v>0</v>
      </c>
      <c r="X222" s="663">
        <f t="shared" si="1182"/>
        <v>0</v>
      </c>
      <c r="Y222" s="663">
        <f t="shared" si="1161"/>
        <v>0</v>
      </c>
      <c r="Z222" s="663">
        <f t="shared" ref="Z222" si="1476">IF(S222=0,0,O222+W222/$J$17*c_Hurdle1.Share_GP)</f>
        <v>0</v>
      </c>
      <c r="AA222" s="663">
        <f t="shared" si="1133"/>
        <v>0</v>
      </c>
      <c r="AB222" s="660">
        <f t="shared" si="1184"/>
        <v>0</v>
      </c>
      <c r="AC222" s="521"/>
      <c r="AD222" s="663">
        <f t="shared" si="1323"/>
        <v>0</v>
      </c>
      <c r="AE222" s="663">
        <f t="shared" ref="AE222" si="1477">IF($G222=0,0,-MIN(0,$G222*c_EquityShare.LP))</f>
        <v>0</v>
      </c>
      <c r="AF222" s="663" cm="1">
        <f t="array" ref="AF222">IF($D222=0,0,AD222*(c_Rate.Hurdle2.MO))</f>
        <v>0</v>
      </c>
      <c r="AG222" s="663">
        <f t="shared" si="1135"/>
        <v>0</v>
      </c>
      <c r="AH222" s="663">
        <f t="shared" si="1164"/>
        <v>0</v>
      </c>
      <c r="AI222" s="663">
        <f t="shared" si="1136"/>
        <v>0</v>
      </c>
      <c r="AJ222" s="664">
        <f t="shared" si="1137"/>
        <v>0</v>
      </c>
      <c r="AK222" s="660">
        <f t="shared" si="1138"/>
        <v>0</v>
      </c>
      <c r="AL222" s="663">
        <f t="shared" ref="AL222" si="1478">IF(AD222=0,0,Z222+AH222/$J$18*c_Hurdle2.Share_GP)</f>
        <v>0</v>
      </c>
      <c r="AM222" s="663">
        <f t="shared" si="1140"/>
        <v>0</v>
      </c>
      <c r="AN222" s="660">
        <f t="shared" si="1187"/>
        <v>0</v>
      </c>
      <c r="AO222" s="521"/>
      <c r="AP222" s="663">
        <f t="shared" si="1326"/>
        <v>0</v>
      </c>
      <c r="AQ222" s="663">
        <f t="shared" ref="AQ222" si="1479">IF($G222=0,0,-MIN(0,$G222*c_EquityShare.LP))</f>
        <v>0</v>
      </c>
      <c r="AR222" s="663" cm="1">
        <f t="array" ref="AR222">IF($D222=0,0,AP222*(c_Rate.Hurdle3.MO))</f>
        <v>0</v>
      </c>
      <c r="AS222" s="663">
        <f t="shared" si="1142"/>
        <v>0</v>
      </c>
      <c r="AT222" s="663">
        <f t="shared" si="1167"/>
        <v>0</v>
      </c>
      <c r="AU222" s="663">
        <f t="shared" si="1143"/>
        <v>0</v>
      </c>
      <c r="AV222" s="664">
        <f t="shared" si="1144"/>
        <v>0</v>
      </c>
      <c r="AW222" s="660">
        <f t="shared" si="1168"/>
        <v>0</v>
      </c>
      <c r="AX222" s="663">
        <f t="shared" ref="AX222" si="1480">IF(AP222=0,0,AL222+AT222/$J$19*c_Hurdle3.Share_GP)</f>
        <v>0</v>
      </c>
      <c r="AY222" s="663">
        <f t="shared" si="1170"/>
        <v>0</v>
      </c>
      <c r="AZ222" s="660">
        <f t="shared" si="1190"/>
        <v>0</v>
      </c>
      <c r="BA222" s="521"/>
      <c r="BB222" s="660">
        <f t="shared" si="590"/>
        <v>0</v>
      </c>
      <c r="BC222" s="660">
        <f t="shared" ref="BC222" si="1481">$AZ222*c_Residual.Share_GP</f>
        <v>0</v>
      </c>
      <c r="BD222" s="651"/>
      <c r="BE222" s="660">
        <f t="shared" si="1172"/>
        <v>0</v>
      </c>
      <c r="BF222" s="660">
        <f t="shared" si="1172"/>
        <v>0</v>
      </c>
      <c r="BG222" s="660">
        <f t="shared" si="1147"/>
        <v>0</v>
      </c>
      <c r="BI222" s="660">
        <v>0</v>
      </c>
      <c r="BJ222" s="660">
        <v>0</v>
      </c>
      <c r="BK222" s="660">
        <v>0</v>
      </c>
      <c r="BL222" s="660">
        <f t="shared" si="1173"/>
        <v>0</v>
      </c>
      <c r="BM222" s="660">
        <f t="shared" si="1173"/>
        <v>0</v>
      </c>
      <c r="BN222" s="660">
        <f t="shared" si="1174"/>
        <v>0</v>
      </c>
      <c r="BO222" s="660">
        <f t="shared" si="1174"/>
        <v>0</v>
      </c>
      <c r="BP222" s="660">
        <f t="shared" si="1175"/>
        <v>0</v>
      </c>
      <c r="BQ222" s="660">
        <f t="shared" si="1175"/>
        <v>0</v>
      </c>
      <c r="BR222" s="660">
        <v>0</v>
      </c>
      <c r="BS222" s="660">
        <v>0</v>
      </c>
      <c r="BT222" s="660">
        <f t="shared" si="1148"/>
        <v>0</v>
      </c>
      <c r="BU222" s="660">
        <f t="shared" si="1148"/>
        <v>0</v>
      </c>
      <c r="BX222" s="660">
        <v>0</v>
      </c>
      <c r="BY222" s="660">
        <f t="shared" si="1176"/>
        <v>0</v>
      </c>
      <c r="BZ222" s="660">
        <f t="shared" si="1149"/>
        <v>0</v>
      </c>
      <c r="CA222" s="660">
        <f t="shared" si="1150"/>
        <v>0</v>
      </c>
      <c r="CB222" s="660">
        <f t="shared" si="1151"/>
        <v>0</v>
      </c>
      <c r="CC222" s="660">
        <f t="shared" si="1152"/>
        <v>0</v>
      </c>
      <c r="CD222" s="660">
        <f t="shared" si="1177"/>
        <v>0</v>
      </c>
    </row>
    <row r="223" spans="4:82" ht="16" hidden="1" thickTop="1" thickBot="1">
      <c r="D223" s="653"/>
      <c r="E223" s="654"/>
      <c r="F223" s="655" t="str">
        <f t="shared" si="1153"/>
        <v/>
      </c>
      <c r="G223" s="656"/>
      <c r="I223" s="658">
        <f t="shared" si="1154"/>
        <v>0</v>
      </c>
      <c r="J223" s="658">
        <f t="shared" ref="J223" si="1482">IF($G223=0,0,-MIN(0,G223*c_EquityShare.LP))</f>
        <v>0</v>
      </c>
      <c r="K223" s="658">
        <f t="shared" ref="K223" si="1483">I223*c_Rate.Pref_MO</f>
        <v>0</v>
      </c>
      <c r="L223" s="658">
        <f t="shared" si="1130"/>
        <v>0</v>
      </c>
      <c r="M223" s="658">
        <f t="shared" si="1157"/>
        <v>0</v>
      </c>
      <c r="N223" s="658">
        <f t="shared" si="1180"/>
        <v>0</v>
      </c>
      <c r="O223" s="658" cm="1">
        <f t="array" ref="O223">IF(I223=0,0,IF(G223&lt;0,N223/c_EquityShare.LP*i_EquityShare.GP,L223/c_EquityShare.LP*i_EquityShare.GP))</f>
        <v>0</v>
      </c>
      <c r="P223" s="658">
        <f t="shared" si="1158"/>
        <v>0</v>
      </c>
      <c r="Q223" s="658">
        <f t="shared" si="1131"/>
        <v>0</v>
      </c>
      <c r="R223" s="521"/>
      <c r="S223" s="660">
        <f t="shared" si="1159"/>
        <v>0</v>
      </c>
      <c r="T223" s="663" cm="1">
        <f t="array" ref="T223">IF($G223=0,0,-MIN(0,$G223*c_EquityShare.LP))</f>
        <v>0</v>
      </c>
      <c r="U223" s="663" cm="1">
        <f t="array" ref="U223">IF($D223=0,0,S223*c_Rate.Hurdle1.MO)</f>
        <v>0</v>
      </c>
      <c r="V223" s="660">
        <f t="shared" si="1181"/>
        <v>0</v>
      </c>
      <c r="W223" s="660">
        <f t="shared" si="1160"/>
        <v>0</v>
      </c>
      <c r="X223" s="663">
        <f t="shared" si="1182"/>
        <v>0</v>
      </c>
      <c r="Y223" s="663">
        <f t="shared" si="1161"/>
        <v>0</v>
      </c>
      <c r="Z223" s="663">
        <f t="shared" ref="Z223" si="1484">IF(S223=0,0,O223+W223/$J$17*c_Hurdle1.Share_GP)</f>
        <v>0</v>
      </c>
      <c r="AA223" s="663">
        <f t="shared" si="1133"/>
        <v>0</v>
      </c>
      <c r="AB223" s="660">
        <f t="shared" si="1184"/>
        <v>0</v>
      </c>
      <c r="AC223" s="521"/>
      <c r="AD223" s="663">
        <f t="shared" si="1323"/>
        <v>0</v>
      </c>
      <c r="AE223" s="663">
        <f t="shared" ref="AE223" si="1485">IF($G223=0,0,-MIN(0,$G223*c_EquityShare.LP))</f>
        <v>0</v>
      </c>
      <c r="AF223" s="663" cm="1">
        <f t="array" ref="AF223">IF($D223=0,0,AD223*(c_Rate.Hurdle2.MO))</f>
        <v>0</v>
      </c>
      <c r="AG223" s="663">
        <f t="shared" si="1135"/>
        <v>0</v>
      </c>
      <c r="AH223" s="663">
        <f t="shared" si="1164"/>
        <v>0</v>
      </c>
      <c r="AI223" s="663">
        <f t="shared" si="1136"/>
        <v>0</v>
      </c>
      <c r="AJ223" s="664">
        <f t="shared" si="1137"/>
        <v>0</v>
      </c>
      <c r="AK223" s="660">
        <f t="shared" si="1138"/>
        <v>0</v>
      </c>
      <c r="AL223" s="663">
        <f t="shared" ref="AL223" si="1486">IF(AD223=0,0,Z223+AH223/$J$18*c_Hurdle2.Share_GP)</f>
        <v>0</v>
      </c>
      <c r="AM223" s="663">
        <f t="shared" si="1140"/>
        <v>0</v>
      </c>
      <c r="AN223" s="660">
        <f t="shared" si="1187"/>
        <v>0</v>
      </c>
      <c r="AO223" s="521"/>
      <c r="AP223" s="663">
        <f t="shared" si="1326"/>
        <v>0</v>
      </c>
      <c r="AQ223" s="663">
        <f t="shared" ref="AQ223" si="1487">IF($G223=0,0,-MIN(0,$G223*c_EquityShare.LP))</f>
        <v>0</v>
      </c>
      <c r="AR223" s="663" cm="1">
        <f t="array" ref="AR223">IF($D223=0,0,AP223*(c_Rate.Hurdle3.MO))</f>
        <v>0</v>
      </c>
      <c r="AS223" s="663">
        <f t="shared" si="1142"/>
        <v>0</v>
      </c>
      <c r="AT223" s="663">
        <f t="shared" si="1167"/>
        <v>0</v>
      </c>
      <c r="AU223" s="663">
        <f t="shared" si="1143"/>
        <v>0</v>
      </c>
      <c r="AV223" s="664">
        <f t="shared" si="1144"/>
        <v>0</v>
      </c>
      <c r="AW223" s="660">
        <f t="shared" si="1168"/>
        <v>0</v>
      </c>
      <c r="AX223" s="663">
        <f t="shared" ref="AX223" si="1488">IF(AP223=0,0,AL223+AT223/$J$19*c_Hurdle3.Share_GP)</f>
        <v>0</v>
      </c>
      <c r="AY223" s="663">
        <f t="shared" si="1170"/>
        <v>0</v>
      </c>
      <c r="AZ223" s="660">
        <f t="shared" si="1190"/>
        <v>0</v>
      </c>
      <c r="BA223" s="521"/>
      <c r="BB223" s="660">
        <f t="shared" si="590"/>
        <v>0</v>
      </c>
      <c r="BC223" s="660">
        <f t="shared" ref="BC223" si="1489">$AZ223*c_Residual.Share_GP</f>
        <v>0</v>
      </c>
      <c r="BD223" s="651"/>
      <c r="BE223" s="660">
        <f t="shared" si="1172"/>
        <v>0</v>
      </c>
      <c r="BF223" s="660">
        <f t="shared" si="1172"/>
        <v>0</v>
      </c>
      <c r="BG223" s="660">
        <f t="shared" si="1147"/>
        <v>0</v>
      </c>
      <c r="BI223" s="660">
        <v>0</v>
      </c>
      <c r="BJ223" s="660">
        <v>0</v>
      </c>
      <c r="BK223" s="660">
        <v>0</v>
      </c>
      <c r="BL223" s="660">
        <f t="shared" si="1173"/>
        <v>0</v>
      </c>
      <c r="BM223" s="660">
        <f t="shared" si="1173"/>
        <v>0</v>
      </c>
      <c r="BN223" s="660">
        <f t="shared" si="1174"/>
        <v>0</v>
      </c>
      <c r="BO223" s="660">
        <f t="shared" si="1174"/>
        <v>0</v>
      </c>
      <c r="BP223" s="660">
        <f t="shared" si="1175"/>
        <v>0</v>
      </c>
      <c r="BQ223" s="660">
        <f t="shared" si="1175"/>
        <v>0</v>
      </c>
      <c r="BR223" s="660">
        <v>0</v>
      </c>
      <c r="BS223" s="660">
        <v>0</v>
      </c>
      <c r="BT223" s="660">
        <f t="shared" si="1148"/>
        <v>0</v>
      </c>
      <c r="BU223" s="660">
        <f t="shared" si="1148"/>
        <v>0</v>
      </c>
      <c r="BX223" s="660">
        <v>0</v>
      </c>
      <c r="BY223" s="660">
        <f t="shared" si="1176"/>
        <v>0</v>
      </c>
      <c r="BZ223" s="660">
        <f t="shared" si="1149"/>
        <v>0</v>
      </c>
      <c r="CA223" s="660">
        <f t="shared" si="1150"/>
        <v>0</v>
      </c>
      <c r="CB223" s="660">
        <f t="shared" si="1151"/>
        <v>0</v>
      </c>
      <c r="CC223" s="660">
        <f t="shared" si="1152"/>
        <v>0</v>
      </c>
      <c r="CD223" s="660">
        <f t="shared" si="1177"/>
        <v>0</v>
      </c>
    </row>
    <row r="224" spans="4:82" ht="16" hidden="1" thickTop="1" thickBot="1">
      <c r="D224" s="653"/>
      <c r="E224" s="654"/>
      <c r="F224" s="655" t="str">
        <f t="shared" si="1153"/>
        <v/>
      </c>
      <c r="G224" s="656"/>
      <c r="I224" s="658">
        <f t="shared" si="1154"/>
        <v>0</v>
      </c>
      <c r="J224" s="658">
        <f t="shared" ref="J224" si="1490">IF($G224=0,0,-MIN(0,G224*c_EquityShare.LP))</f>
        <v>0</v>
      </c>
      <c r="K224" s="658">
        <f t="shared" ref="K224" si="1491">I224*c_Rate.Pref_MO</f>
        <v>0</v>
      </c>
      <c r="L224" s="658">
        <f t="shared" si="1130"/>
        <v>0</v>
      </c>
      <c r="M224" s="658">
        <f t="shared" si="1157"/>
        <v>0</v>
      </c>
      <c r="N224" s="658">
        <f t="shared" si="1180"/>
        <v>0</v>
      </c>
      <c r="O224" s="658" cm="1">
        <f t="array" ref="O224">IF(I224=0,0,IF(G224&lt;0,N224/c_EquityShare.LP*i_EquityShare.GP,L224/c_EquityShare.LP*i_EquityShare.GP))</f>
        <v>0</v>
      </c>
      <c r="P224" s="658">
        <f t="shared" si="1158"/>
        <v>0</v>
      </c>
      <c r="Q224" s="658">
        <f t="shared" si="1131"/>
        <v>0</v>
      </c>
      <c r="R224" s="521"/>
      <c r="S224" s="660">
        <f t="shared" si="1159"/>
        <v>0</v>
      </c>
      <c r="T224" s="663" cm="1">
        <f t="array" ref="T224">IF($G224=0,0,-MIN(0,$G224*c_EquityShare.LP))</f>
        <v>0</v>
      </c>
      <c r="U224" s="663" cm="1">
        <f t="array" ref="U224">IF($D224=0,0,S224*c_Rate.Hurdle1.MO)</f>
        <v>0</v>
      </c>
      <c r="V224" s="660">
        <f t="shared" si="1181"/>
        <v>0</v>
      </c>
      <c r="W224" s="660">
        <f t="shared" si="1160"/>
        <v>0</v>
      </c>
      <c r="X224" s="663">
        <f t="shared" si="1182"/>
        <v>0</v>
      </c>
      <c r="Y224" s="663">
        <f t="shared" si="1161"/>
        <v>0</v>
      </c>
      <c r="Z224" s="663">
        <f t="shared" ref="Z224" si="1492">IF(S224=0,0,O224+W224/$J$17*c_Hurdle1.Share_GP)</f>
        <v>0</v>
      </c>
      <c r="AA224" s="663">
        <f t="shared" si="1133"/>
        <v>0</v>
      </c>
      <c r="AB224" s="660">
        <f t="shared" si="1184"/>
        <v>0</v>
      </c>
      <c r="AC224" s="521"/>
      <c r="AD224" s="663">
        <f t="shared" si="1323"/>
        <v>0</v>
      </c>
      <c r="AE224" s="663">
        <f t="shared" ref="AE224" si="1493">IF($G224=0,0,-MIN(0,$G224*c_EquityShare.LP))</f>
        <v>0</v>
      </c>
      <c r="AF224" s="663" cm="1">
        <f t="array" ref="AF224">IF($D224=0,0,AD224*(c_Rate.Hurdle2.MO))</f>
        <v>0</v>
      </c>
      <c r="AG224" s="663">
        <f t="shared" si="1135"/>
        <v>0</v>
      </c>
      <c r="AH224" s="663">
        <f t="shared" si="1164"/>
        <v>0</v>
      </c>
      <c r="AI224" s="663">
        <f t="shared" si="1136"/>
        <v>0</v>
      </c>
      <c r="AJ224" s="664">
        <f t="shared" si="1137"/>
        <v>0</v>
      </c>
      <c r="AK224" s="660">
        <f t="shared" si="1138"/>
        <v>0</v>
      </c>
      <c r="AL224" s="663">
        <f t="shared" ref="AL224" si="1494">IF(AD224=0,0,Z224+AH224/$J$18*c_Hurdle2.Share_GP)</f>
        <v>0</v>
      </c>
      <c r="AM224" s="663">
        <f t="shared" si="1140"/>
        <v>0</v>
      </c>
      <c r="AN224" s="660">
        <f t="shared" si="1187"/>
        <v>0</v>
      </c>
      <c r="AO224" s="521"/>
      <c r="AP224" s="663">
        <f t="shared" si="1326"/>
        <v>0</v>
      </c>
      <c r="AQ224" s="663">
        <f t="shared" ref="AQ224" si="1495">IF($G224=0,0,-MIN(0,$G224*c_EquityShare.LP))</f>
        <v>0</v>
      </c>
      <c r="AR224" s="663" cm="1">
        <f t="array" ref="AR224">IF($D224=0,0,AP224*(c_Rate.Hurdle3.MO))</f>
        <v>0</v>
      </c>
      <c r="AS224" s="663">
        <f t="shared" si="1142"/>
        <v>0</v>
      </c>
      <c r="AT224" s="663">
        <f t="shared" si="1167"/>
        <v>0</v>
      </c>
      <c r="AU224" s="663">
        <f t="shared" si="1143"/>
        <v>0</v>
      </c>
      <c r="AV224" s="664">
        <f t="shared" si="1144"/>
        <v>0</v>
      </c>
      <c r="AW224" s="660">
        <f t="shared" si="1168"/>
        <v>0</v>
      </c>
      <c r="AX224" s="663">
        <f t="shared" ref="AX224" si="1496">IF(AP224=0,0,AL224+AT224/$J$19*c_Hurdle3.Share_GP)</f>
        <v>0</v>
      </c>
      <c r="AY224" s="663">
        <f t="shared" si="1170"/>
        <v>0</v>
      </c>
      <c r="AZ224" s="660">
        <f t="shared" si="1190"/>
        <v>0</v>
      </c>
      <c r="BA224" s="521"/>
      <c r="BB224" s="660">
        <f t="shared" si="590"/>
        <v>0</v>
      </c>
      <c r="BC224" s="660">
        <f t="shared" ref="BC224" si="1497">$AZ224*c_Residual.Share_GP</f>
        <v>0</v>
      </c>
      <c r="BD224" s="651"/>
      <c r="BE224" s="660">
        <f t="shared" si="1172"/>
        <v>0</v>
      </c>
      <c r="BF224" s="660">
        <f t="shared" si="1172"/>
        <v>0</v>
      </c>
      <c r="BG224" s="660">
        <f t="shared" si="1147"/>
        <v>0</v>
      </c>
      <c r="BI224" s="660">
        <v>0</v>
      </c>
      <c r="BJ224" s="660">
        <v>0</v>
      </c>
      <c r="BK224" s="660">
        <v>0</v>
      </c>
      <c r="BL224" s="660">
        <f t="shared" si="1173"/>
        <v>0</v>
      </c>
      <c r="BM224" s="660">
        <f t="shared" si="1173"/>
        <v>0</v>
      </c>
      <c r="BN224" s="660">
        <f t="shared" si="1174"/>
        <v>0</v>
      </c>
      <c r="BO224" s="660">
        <f t="shared" si="1174"/>
        <v>0</v>
      </c>
      <c r="BP224" s="660">
        <f t="shared" si="1175"/>
        <v>0</v>
      </c>
      <c r="BQ224" s="660">
        <f t="shared" si="1175"/>
        <v>0</v>
      </c>
      <c r="BR224" s="660">
        <v>0</v>
      </c>
      <c r="BS224" s="660">
        <v>0</v>
      </c>
      <c r="BT224" s="660">
        <f t="shared" si="1148"/>
        <v>0</v>
      </c>
      <c r="BU224" s="660">
        <f t="shared" si="1148"/>
        <v>0</v>
      </c>
      <c r="BX224" s="660">
        <v>0</v>
      </c>
      <c r="BY224" s="660">
        <f t="shared" si="1176"/>
        <v>0</v>
      </c>
      <c r="BZ224" s="660">
        <f t="shared" si="1149"/>
        <v>0</v>
      </c>
      <c r="CA224" s="660">
        <f t="shared" si="1150"/>
        <v>0</v>
      </c>
      <c r="CB224" s="660">
        <f t="shared" si="1151"/>
        <v>0</v>
      </c>
      <c r="CC224" s="660">
        <f t="shared" si="1152"/>
        <v>0</v>
      </c>
      <c r="CD224" s="660">
        <f t="shared" si="1177"/>
        <v>0</v>
      </c>
    </row>
    <row r="225" spans="4:82" ht="16" hidden="1" thickTop="1" thickBot="1">
      <c r="D225" s="653"/>
      <c r="E225" s="654"/>
      <c r="F225" s="655" t="str">
        <f t="shared" si="1153"/>
        <v/>
      </c>
      <c r="G225" s="656"/>
      <c r="I225" s="658">
        <f t="shared" si="1154"/>
        <v>0</v>
      </c>
      <c r="J225" s="658">
        <f t="shared" ref="J225" si="1498">IF($G225=0,0,-MIN(0,G225*c_EquityShare.LP))</f>
        <v>0</v>
      </c>
      <c r="K225" s="658">
        <f t="shared" ref="K225" si="1499">I225*c_Rate.Pref_MO</f>
        <v>0</v>
      </c>
      <c r="L225" s="658">
        <f t="shared" si="1130"/>
        <v>0</v>
      </c>
      <c r="M225" s="658">
        <f t="shared" si="1157"/>
        <v>0</v>
      </c>
      <c r="N225" s="658">
        <f t="shared" si="1180"/>
        <v>0</v>
      </c>
      <c r="O225" s="658" cm="1">
        <f t="array" ref="O225">IF(I225=0,0,IF(G225&lt;0,N225/c_EquityShare.LP*i_EquityShare.GP,L225/c_EquityShare.LP*i_EquityShare.GP))</f>
        <v>0</v>
      </c>
      <c r="P225" s="658">
        <f t="shared" si="1158"/>
        <v>0</v>
      </c>
      <c r="Q225" s="658">
        <f t="shared" si="1131"/>
        <v>0</v>
      </c>
      <c r="R225" s="521"/>
      <c r="S225" s="660">
        <f t="shared" si="1159"/>
        <v>0</v>
      </c>
      <c r="T225" s="663" cm="1">
        <f t="array" ref="T225">IF($G225=0,0,-MIN(0,$G225*c_EquityShare.LP))</f>
        <v>0</v>
      </c>
      <c r="U225" s="663" cm="1">
        <f t="array" ref="U225">IF($D225=0,0,S225*c_Rate.Hurdle1.MO)</f>
        <v>0</v>
      </c>
      <c r="V225" s="660">
        <f t="shared" si="1181"/>
        <v>0</v>
      </c>
      <c r="W225" s="660">
        <f t="shared" si="1160"/>
        <v>0</v>
      </c>
      <c r="X225" s="663">
        <f t="shared" si="1182"/>
        <v>0</v>
      </c>
      <c r="Y225" s="663">
        <f t="shared" si="1161"/>
        <v>0</v>
      </c>
      <c r="Z225" s="663">
        <f t="shared" ref="Z225" si="1500">IF(S225=0,0,O225+W225/$J$17*c_Hurdle1.Share_GP)</f>
        <v>0</v>
      </c>
      <c r="AA225" s="663">
        <f t="shared" si="1133"/>
        <v>0</v>
      </c>
      <c r="AB225" s="660">
        <f t="shared" si="1184"/>
        <v>0</v>
      </c>
      <c r="AC225" s="521"/>
      <c r="AD225" s="663">
        <f t="shared" si="1323"/>
        <v>0</v>
      </c>
      <c r="AE225" s="663">
        <f t="shared" ref="AE225" si="1501">IF($G225=0,0,-MIN(0,$G225*c_EquityShare.LP))</f>
        <v>0</v>
      </c>
      <c r="AF225" s="663" cm="1">
        <f t="array" ref="AF225">IF($D225=0,0,AD225*(c_Rate.Hurdle2.MO))</f>
        <v>0</v>
      </c>
      <c r="AG225" s="663">
        <f t="shared" si="1135"/>
        <v>0</v>
      </c>
      <c r="AH225" s="663">
        <f t="shared" si="1164"/>
        <v>0</v>
      </c>
      <c r="AI225" s="663">
        <f t="shared" si="1136"/>
        <v>0</v>
      </c>
      <c r="AJ225" s="664">
        <f t="shared" si="1137"/>
        <v>0</v>
      </c>
      <c r="AK225" s="660">
        <f t="shared" si="1138"/>
        <v>0</v>
      </c>
      <c r="AL225" s="663">
        <f t="shared" ref="AL225" si="1502">IF(AD225=0,0,Z225+AH225/$J$18*c_Hurdle2.Share_GP)</f>
        <v>0</v>
      </c>
      <c r="AM225" s="663">
        <f t="shared" si="1140"/>
        <v>0</v>
      </c>
      <c r="AN225" s="660">
        <f t="shared" si="1187"/>
        <v>0</v>
      </c>
      <c r="AO225" s="521"/>
      <c r="AP225" s="663">
        <f t="shared" si="1326"/>
        <v>0</v>
      </c>
      <c r="AQ225" s="663">
        <f t="shared" ref="AQ225" si="1503">IF($G225=0,0,-MIN(0,$G225*c_EquityShare.LP))</f>
        <v>0</v>
      </c>
      <c r="AR225" s="663" cm="1">
        <f t="array" ref="AR225">IF($D225=0,0,AP225*(c_Rate.Hurdle3.MO))</f>
        <v>0</v>
      </c>
      <c r="AS225" s="663">
        <f t="shared" si="1142"/>
        <v>0</v>
      </c>
      <c r="AT225" s="663">
        <f t="shared" si="1167"/>
        <v>0</v>
      </c>
      <c r="AU225" s="663">
        <f t="shared" si="1143"/>
        <v>0</v>
      </c>
      <c r="AV225" s="664">
        <f t="shared" si="1144"/>
        <v>0</v>
      </c>
      <c r="AW225" s="660">
        <f t="shared" si="1168"/>
        <v>0</v>
      </c>
      <c r="AX225" s="663">
        <f t="shared" ref="AX225" si="1504">IF(AP225=0,0,AL225+AT225/$J$19*c_Hurdle3.Share_GP)</f>
        <v>0</v>
      </c>
      <c r="AY225" s="663">
        <f t="shared" si="1170"/>
        <v>0</v>
      </c>
      <c r="AZ225" s="660">
        <f t="shared" si="1190"/>
        <v>0</v>
      </c>
      <c r="BA225" s="521"/>
      <c r="BB225" s="660">
        <f t="shared" si="590"/>
        <v>0</v>
      </c>
      <c r="BC225" s="660">
        <f t="shared" ref="BC225" si="1505">$AZ225*c_Residual.Share_GP</f>
        <v>0</v>
      </c>
      <c r="BD225" s="651"/>
      <c r="BE225" s="660">
        <f t="shared" si="1172"/>
        <v>0</v>
      </c>
      <c r="BF225" s="660">
        <f t="shared" si="1172"/>
        <v>0</v>
      </c>
      <c r="BG225" s="660">
        <f t="shared" si="1147"/>
        <v>0</v>
      </c>
      <c r="BI225" s="660">
        <v>0</v>
      </c>
      <c r="BJ225" s="660">
        <v>0</v>
      </c>
      <c r="BK225" s="660">
        <v>0</v>
      </c>
      <c r="BL225" s="660">
        <f t="shared" si="1173"/>
        <v>0</v>
      </c>
      <c r="BM225" s="660">
        <f t="shared" si="1173"/>
        <v>0</v>
      </c>
      <c r="BN225" s="660">
        <f t="shared" si="1174"/>
        <v>0</v>
      </c>
      <c r="BO225" s="660">
        <f t="shared" si="1174"/>
        <v>0</v>
      </c>
      <c r="BP225" s="660">
        <f t="shared" si="1175"/>
        <v>0</v>
      </c>
      <c r="BQ225" s="660">
        <f t="shared" si="1175"/>
        <v>0</v>
      </c>
      <c r="BR225" s="660">
        <v>0</v>
      </c>
      <c r="BS225" s="660">
        <v>0</v>
      </c>
      <c r="BT225" s="660">
        <f t="shared" si="1148"/>
        <v>0</v>
      </c>
      <c r="BU225" s="660">
        <f t="shared" si="1148"/>
        <v>0</v>
      </c>
      <c r="BX225" s="660">
        <v>0</v>
      </c>
      <c r="BY225" s="660">
        <f t="shared" si="1176"/>
        <v>0</v>
      </c>
      <c r="BZ225" s="660">
        <f t="shared" si="1149"/>
        <v>0</v>
      </c>
      <c r="CA225" s="660">
        <f t="shared" si="1150"/>
        <v>0</v>
      </c>
      <c r="CB225" s="660">
        <f t="shared" si="1151"/>
        <v>0</v>
      </c>
      <c r="CC225" s="660">
        <f t="shared" si="1152"/>
        <v>0</v>
      </c>
      <c r="CD225" s="660">
        <f t="shared" si="1177"/>
        <v>0</v>
      </c>
    </row>
    <row r="226" spans="4:82" ht="16" hidden="1" thickTop="1" thickBot="1">
      <c r="D226" s="653"/>
      <c r="E226" s="654"/>
      <c r="F226" s="655" t="str">
        <f t="shared" si="1153"/>
        <v/>
      </c>
      <c r="G226" s="656"/>
      <c r="I226" s="658">
        <f t="shared" si="1154"/>
        <v>0</v>
      </c>
      <c r="J226" s="658">
        <f t="shared" ref="J226" si="1506">IF($G226=0,0,-MIN(0,G226*c_EquityShare.LP))</f>
        <v>0</v>
      </c>
      <c r="K226" s="658">
        <f t="shared" ref="K226" si="1507">I226*c_Rate.Pref_MO</f>
        <v>0</v>
      </c>
      <c r="L226" s="658">
        <f t="shared" si="1130"/>
        <v>0</v>
      </c>
      <c r="M226" s="658">
        <f t="shared" si="1157"/>
        <v>0</v>
      </c>
      <c r="N226" s="658">
        <f t="shared" si="1180"/>
        <v>0</v>
      </c>
      <c r="O226" s="658" cm="1">
        <f t="array" ref="O226">IF(I226=0,0,IF(G226&lt;0,N226/c_EquityShare.LP*i_EquityShare.GP,L226/c_EquityShare.LP*i_EquityShare.GP))</f>
        <v>0</v>
      </c>
      <c r="P226" s="658">
        <f t="shared" si="1158"/>
        <v>0</v>
      </c>
      <c r="Q226" s="658">
        <f t="shared" si="1131"/>
        <v>0</v>
      </c>
      <c r="R226" s="521"/>
      <c r="S226" s="660">
        <f t="shared" si="1159"/>
        <v>0</v>
      </c>
      <c r="T226" s="663" cm="1">
        <f t="array" ref="T226">IF($G226=0,0,-MIN(0,$G226*c_EquityShare.LP))</f>
        <v>0</v>
      </c>
      <c r="U226" s="663" cm="1">
        <f t="array" ref="U226">IF($D226=0,0,S226*c_Rate.Hurdle1.MO)</f>
        <v>0</v>
      </c>
      <c r="V226" s="660">
        <f t="shared" si="1181"/>
        <v>0</v>
      </c>
      <c r="W226" s="660">
        <f t="shared" si="1160"/>
        <v>0</v>
      </c>
      <c r="X226" s="663">
        <f t="shared" si="1182"/>
        <v>0</v>
      </c>
      <c r="Y226" s="663">
        <f t="shared" si="1161"/>
        <v>0</v>
      </c>
      <c r="Z226" s="663">
        <f t="shared" ref="Z226" si="1508">IF(S226=0,0,O226+W226/$J$17*c_Hurdle1.Share_GP)</f>
        <v>0</v>
      </c>
      <c r="AA226" s="663">
        <f t="shared" si="1133"/>
        <v>0</v>
      </c>
      <c r="AB226" s="660">
        <f t="shared" si="1184"/>
        <v>0</v>
      </c>
      <c r="AC226" s="521"/>
      <c r="AD226" s="663">
        <f t="shared" si="1323"/>
        <v>0</v>
      </c>
      <c r="AE226" s="663">
        <f t="shared" ref="AE226" si="1509">IF($G226=0,0,-MIN(0,$G226*c_EquityShare.LP))</f>
        <v>0</v>
      </c>
      <c r="AF226" s="663" cm="1">
        <f t="array" ref="AF226">IF($D226=0,0,AD226*(c_Rate.Hurdle2.MO))</f>
        <v>0</v>
      </c>
      <c r="AG226" s="663">
        <f t="shared" si="1135"/>
        <v>0</v>
      </c>
      <c r="AH226" s="663">
        <f t="shared" si="1164"/>
        <v>0</v>
      </c>
      <c r="AI226" s="663">
        <f t="shared" si="1136"/>
        <v>0</v>
      </c>
      <c r="AJ226" s="664">
        <f t="shared" si="1137"/>
        <v>0</v>
      </c>
      <c r="AK226" s="660">
        <f t="shared" si="1138"/>
        <v>0</v>
      </c>
      <c r="AL226" s="663">
        <f t="shared" ref="AL226" si="1510">IF(AD226=0,0,Z226+AH226/$J$18*c_Hurdle2.Share_GP)</f>
        <v>0</v>
      </c>
      <c r="AM226" s="663">
        <f t="shared" si="1140"/>
        <v>0</v>
      </c>
      <c r="AN226" s="660">
        <f t="shared" si="1187"/>
        <v>0</v>
      </c>
      <c r="AO226" s="521"/>
      <c r="AP226" s="663">
        <f t="shared" si="1326"/>
        <v>0</v>
      </c>
      <c r="AQ226" s="663">
        <f t="shared" ref="AQ226" si="1511">IF($G226=0,0,-MIN(0,$G226*c_EquityShare.LP))</f>
        <v>0</v>
      </c>
      <c r="AR226" s="663" cm="1">
        <f t="array" ref="AR226">IF($D226=0,0,AP226*(c_Rate.Hurdle3.MO))</f>
        <v>0</v>
      </c>
      <c r="AS226" s="663">
        <f t="shared" si="1142"/>
        <v>0</v>
      </c>
      <c r="AT226" s="663">
        <f t="shared" si="1167"/>
        <v>0</v>
      </c>
      <c r="AU226" s="663">
        <f t="shared" si="1143"/>
        <v>0</v>
      </c>
      <c r="AV226" s="664">
        <f t="shared" si="1144"/>
        <v>0</v>
      </c>
      <c r="AW226" s="660">
        <f t="shared" si="1168"/>
        <v>0</v>
      </c>
      <c r="AX226" s="663">
        <f t="shared" ref="AX226" si="1512">IF(AP226=0,0,AL226+AT226/$J$19*c_Hurdle3.Share_GP)</f>
        <v>0</v>
      </c>
      <c r="AY226" s="663">
        <f t="shared" si="1170"/>
        <v>0</v>
      </c>
      <c r="AZ226" s="660">
        <f t="shared" si="1190"/>
        <v>0</v>
      </c>
      <c r="BA226" s="521"/>
      <c r="BB226" s="660">
        <f t="shared" si="590"/>
        <v>0</v>
      </c>
      <c r="BC226" s="660">
        <f t="shared" ref="BC226" si="1513">$AZ226*c_Residual.Share_GP</f>
        <v>0</v>
      </c>
      <c r="BD226" s="651"/>
      <c r="BE226" s="660">
        <f t="shared" si="1172"/>
        <v>0</v>
      </c>
      <c r="BF226" s="660">
        <f t="shared" si="1172"/>
        <v>0</v>
      </c>
      <c r="BG226" s="660">
        <f t="shared" si="1147"/>
        <v>0</v>
      </c>
      <c r="BI226" s="660">
        <v>0</v>
      </c>
      <c r="BJ226" s="660">
        <v>0</v>
      </c>
      <c r="BK226" s="660">
        <v>0</v>
      </c>
      <c r="BL226" s="660">
        <f t="shared" si="1173"/>
        <v>0</v>
      </c>
      <c r="BM226" s="660">
        <f t="shared" si="1173"/>
        <v>0</v>
      </c>
      <c r="BN226" s="660">
        <f t="shared" si="1174"/>
        <v>0</v>
      </c>
      <c r="BO226" s="660">
        <f t="shared" si="1174"/>
        <v>0</v>
      </c>
      <c r="BP226" s="660">
        <f t="shared" si="1175"/>
        <v>0</v>
      </c>
      <c r="BQ226" s="660">
        <f t="shared" si="1175"/>
        <v>0</v>
      </c>
      <c r="BR226" s="660">
        <v>0</v>
      </c>
      <c r="BS226" s="660">
        <v>0</v>
      </c>
      <c r="BT226" s="660">
        <f t="shared" si="1148"/>
        <v>0</v>
      </c>
      <c r="BU226" s="660">
        <f t="shared" si="1148"/>
        <v>0</v>
      </c>
      <c r="BX226" s="660">
        <v>0</v>
      </c>
      <c r="BY226" s="660">
        <f t="shared" si="1176"/>
        <v>0</v>
      </c>
      <c r="BZ226" s="660">
        <f t="shared" si="1149"/>
        <v>0</v>
      </c>
      <c r="CA226" s="660">
        <f t="shared" si="1150"/>
        <v>0</v>
      </c>
      <c r="CB226" s="660">
        <f t="shared" si="1151"/>
        <v>0</v>
      </c>
      <c r="CC226" s="660">
        <f t="shared" si="1152"/>
        <v>0</v>
      </c>
      <c r="CD226" s="660">
        <f t="shared" si="1177"/>
        <v>0</v>
      </c>
    </row>
    <row r="227" spans="4:82" ht="16" hidden="1" thickTop="1" thickBot="1">
      <c r="D227" s="653"/>
      <c r="E227" s="654"/>
      <c r="F227" s="655" t="str">
        <f t="shared" si="1153"/>
        <v/>
      </c>
      <c r="G227" s="656"/>
      <c r="I227" s="658">
        <f t="shared" si="1154"/>
        <v>0</v>
      </c>
      <c r="J227" s="658">
        <f t="shared" ref="J227" si="1514">IF($G227=0,0,-MIN(0,G227*c_EquityShare.LP))</f>
        <v>0</v>
      </c>
      <c r="K227" s="658">
        <f t="shared" ref="K227" si="1515">I227*c_Rate.Pref_MO</f>
        <v>0</v>
      </c>
      <c r="L227" s="658">
        <f t="shared" si="1130"/>
        <v>0</v>
      </c>
      <c r="M227" s="658">
        <f t="shared" si="1157"/>
        <v>0</v>
      </c>
      <c r="N227" s="658">
        <f t="shared" si="1180"/>
        <v>0</v>
      </c>
      <c r="O227" s="658" cm="1">
        <f t="array" ref="O227">IF(I227=0,0,IF(G227&lt;0,N227/c_EquityShare.LP*i_EquityShare.GP,L227/c_EquityShare.LP*i_EquityShare.GP))</f>
        <v>0</v>
      </c>
      <c r="P227" s="658">
        <f t="shared" si="1158"/>
        <v>0</v>
      </c>
      <c r="Q227" s="658">
        <f t="shared" si="1131"/>
        <v>0</v>
      </c>
      <c r="R227" s="521"/>
      <c r="S227" s="660">
        <f t="shared" si="1159"/>
        <v>0</v>
      </c>
      <c r="T227" s="663" cm="1">
        <f t="array" ref="T227">IF($G227=0,0,-MIN(0,$G227*c_EquityShare.LP))</f>
        <v>0</v>
      </c>
      <c r="U227" s="663" cm="1">
        <f t="array" ref="U227">IF($D227=0,0,S227*c_Rate.Hurdle1.MO)</f>
        <v>0</v>
      </c>
      <c r="V227" s="660">
        <f t="shared" si="1181"/>
        <v>0</v>
      </c>
      <c r="W227" s="660">
        <f t="shared" si="1160"/>
        <v>0</v>
      </c>
      <c r="X227" s="663">
        <f t="shared" si="1182"/>
        <v>0</v>
      </c>
      <c r="Y227" s="663">
        <f t="shared" si="1161"/>
        <v>0</v>
      </c>
      <c r="Z227" s="663">
        <f t="shared" ref="Z227" si="1516">IF(S227=0,0,O227+W227/$J$17*c_Hurdle1.Share_GP)</f>
        <v>0</v>
      </c>
      <c r="AA227" s="663">
        <f t="shared" si="1133"/>
        <v>0</v>
      </c>
      <c r="AB227" s="660">
        <f t="shared" si="1184"/>
        <v>0</v>
      </c>
      <c r="AC227" s="521"/>
      <c r="AD227" s="663">
        <f t="shared" si="1323"/>
        <v>0</v>
      </c>
      <c r="AE227" s="663">
        <f t="shared" ref="AE227" si="1517">IF($G227=0,0,-MIN(0,$G227*c_EquityShare.LP))</f>
        <v>0</v>
      </c>
      <c r="AF227" s="663" cm="1">
        <f t="array" ref="AF227">IF($D227=0,0,AD227*(c_Rate.Hurdle2.MO))</f>
        <v>0</v>
      </c>
      <c r="AG227" s="663">
        <f t="shared" si="1135"/>
        <v>0</v>
      </c>
      <c r="AH227" s="663">
        <f t="shared" si="1164"/>
        <v>0</v>
      </c>
      <c r="AI227" s="663">
        <f t="shared" si="1136"/>
        <v>0</v>
      </c>
      <c r="AJ227" s="664">
        <f t="shared" si="1137"/>
        <v>0</v>
      </c>
      <c r="AK227" s="660">
        <f t="shared" si="1138"/>
        <v>0</v>
      </c>
      <c r="AL227" s="663">
        <f t="shared" ref="AL227" si="1518">IF(AD227=0,0,Z227+AH227/$J$18*c_Hurdle2.Share_GP)</f>
        <v>0</v>
      </c>
      <c r="AM227" s="663">
        <f t="shared" si="1140"/>
        <v>0</v>
      </c>
      <c r="AN227" s="660">
        <f t="shared" si="1187"/>
        <v>0</v>
      </c>
      <c r="AO227" s="521"/>
      <c r="AP227" s="663">
        <f t="shared" si="1326"/>
        <v>0</v>
      </c>
      <c r="AQ227" s="663">
        <f t="shared" ref="AQ227" si="1519">IF($G227=0,0,-MIN(0,$G227*c_EquityShare.LP))</f>
        <v>0</v>
      </c>
      <c r="AR227" s="663" cm="1">
        <f t="array" ref="AR227">IF($D227=0,0,AP227*(c_Rate.Hurdle3.MO))</f>
        <v>0</v>
      </c>
      <c r="AS227" s="663">
        <f t="shared" si="1142"/>
        <v>0</v>
      </c>
      <c r="AT227" s="663">
        <f t="shared" si="1167"/>
        <v>0</v>
      </c>
      <c r="AU227" s="663">
        <f t="shared" si="1143"/>
        <v>0</v>
      </c>
      <c r="AV227" s="664">
        <f t="shared" si="1144"/>
        <v>0</v>
      </c>
      <c r="AW227" s="660">
        <f t="shared" si="1168"/>
        <v>0</v>
      </c>
      <c r="AX227" s="663">
        <f t="shared" ref="AX227" si="1520">IF(AP227=0,0,AL227+AT227/$J$19*c_Hurdle3.Share_GP)</f>
        <v>0</v>
      </c>
      <c r="AY227" s="663">
        <f t="shared" si="1170"/>
        <v>0</v>
      </c>
      <c r="AZ227" s="660">
        <f t="shared" si="1190"/>
        <v>0</v>
      </c>
      <c r="BA227" s="521"/>
      <c r="BB227" s="660">
        <f t="shared" si="590"/>
        <v>0</v>
      </c>
      <c r="BC227" s="660">
        <f t="shared" ref="BC227" si="1521">$AZ227*c_Residual.Share_GP</f>
        <v>0</v>
      </c>
      <c r="BD227" s="651"/>
      <c r="BE227" s="660">
        <f t="shared" si="1172"/>
        <v>0</v>
      </c>
      <c r="BF227" s="660">
        <f t="shared" si="1172"/>
        <v>0</v>
      </c>
      <c r="BG227" s="660">
        <f t="shared" si="1147"/>
        <v>0</v>
      </c>
      <c r="BI227" s="660">
        <v>0</v>
      </c>
      <c r="BJ227" s="660">
        <v>0</v>
      </c>
      <c r="BK227" s="660">
        <v>0</v>
      </c>
      <c r="BL227" s="660">
        <f t="shared" si="1173"/>
        <v>0</v>
      </c>
      <c r="BM227" s="660">
        <f t="shared" si="1173"/>
        <v>0</v>
      </c>
      <c r="BN227" s="660">
        <f t="shared" si="1174"/>
        <v>0</v>
      </c>
      <c r="BO227" s="660">
        <f t="shared" si="1174"/>
        <v>0</v>
      </c>
      <c r="BP227" s="660">
        <f t="shared" si="1175"/>
        <v>0</v>
      </c>
      <c r="BQ227" s="660">
        <f t="shared" si="1175"/>
        <v>0</v>
      </c>
      <c r="BR227" s="660">
        <v>0</v>
      </c>
      <c r="BS227" s="660">
        <v>0</v>
      </c>
      <c r="BT227" s="660">
        <f t="shared" si="1148"/>
        <v>0</v>
      </c>
      <c r="BU227" s="660">
        <f t="shared" si="1148"/>
        <v>0</v>
      </c>
      <c r="BX227" s="660">
        <v>0</v>
      </c>
      <c r="BY227" s="660">
        <f t="shared" si="1176"/>
        <v>0</v>
      </c>
      <c r="BZ227" s="660">
        <f t="shared" si="1149"/>
        <v>0</v>
      </c>
      <c r="CA227" s="660">
        <f t="shared" si="1150"/>
        <v>0</v>
      </c>
      <c r="CB227" s="660">
        <f t="shared" si="1151"/>
        <v>0</v>
      </c>
      <c r="CC227" s="660">
        <f t="shared" si="1152"/>
        <v>0</v>
      </c>
      <c r="CD227" s="660">
        <f t="shared" si="1177"/>
        <v>0</v>
      </c>
    </row>
    <row r="228" spans="4:82" ht="16" hidden="1" thickTop="1" thickBot="1">
      <c r="D228" s="653"/>
      <c r="E228" s="654"/>
      <c r="F228" s="655" t="str">
        <f t="shared" si="1153"/>
        <v/>
      </c>
      <c r="G228" s="656"/>
      <c r="I228" s="658">
        <f t="shared" si="1154"/>
        <v>0</v>
      </c>
      <c r="J228" s="658">
        <f t="shared" ref="J228" si="1522">IF($G228=0,0,-MIN(0,G228*c_EquityShare.LP))</f>
        <v>0</v>
      </c>
      <c r="K228" s="658">
        <f t="shared" ref="K228" si="1523">I228*c_Rate.Pref_MO</f>
        <v>0</v>
      </c>
      <c r="L228" s="658">
        <f t="shared" si="1130"/>
        <v>0</v>
      </c>
      <c r="M228" s="658">
        <f t="shared" si="1157"/>
        <v>0</v>
      </c>
      <c r="N228" s="658">
        <f t="shared" si="1180"/>
        <v>0</v>
      </c>
      <c r="O228" s="658" cm="1">
        <f t="array" ref="O228">IF(I228=0,0,IF(G228&lt;0,N228/c_EquityShare.LP*i_EquityShare.GP,L228/c_EquityShare.LP*i_EquityShare.GP))</f>
        <v>0</v>
      </c>
      <c r="P228" s="658">
        <f t="shared" si="1158"/>
        <v>0</v>
      </c>
      <c r="Q228" s="658">
        <f t="shared" si="1131"/>
        <v>0</v>
      </c>
      <c r="R228" s="521"/>
      <c r="S228" s="660">
        <f t="shared" si="1159"/>
        <v>0</v>
      </c>
      <c r="T228" s="663" cm="1">
        <f t="array" ref="T228">IF($G228=0,0,-MIN(0,$G228*c_EquityShare.LP))</f>
        <v>0</v>
      </c>
      <c r="U228" s="663" cm="1">
        <f t="array" ref="U228">IF($D228=0,0,S228*c_Rate.Hurdle1.MO)</f>
        <v>0</v>
      </c>
      <c r="V228" s="660">
        <f t="shared" si="1181"/>
        <v>0</v>
      </c>
      <c r="W228" s="660">
        <f t="shared" si="1160"/>
        <v>0</v>
      </c>
      <c r="X228" s="663">
        <f t="shared" si="1182"/>
        <v>0</v>
      </c>
      <c r="Y228" s="663">
        <f t="shared" si="1161"/>
        <v>0</v>
      </c>
      <c r="Z228" s="663">
        <f t="shared" ref="Z228" si="1524">IF(S228=0,0,O228+W228/$J$17*c_Hurdle1.Share_GP)</f>
        <v>0</v>
      </c>
      <c r="AA228" s="663">
        <f t="shared" si="1133"/>
        <v>0</v>
      </c>
      <c r="AB228" s="660">
        <f t="shared" si="1184"/>
        <v>0</v>
      </c>
      <c r="AC228" s="521"/>
      <c r="AD228" s="663">
        <f t="shared" si="1323"/>
        <v>0</v>
      </c>
      <c r="AE228" s="663">
        <f t="shared" ref="AE228" si="1525">IF($G228=0,0,-MIN(0,$G228*c_EquityShare.LP))</f>
        <v>0</v>
      </c>
      <c r="AF228" s="663" cm="1">
        <f t="array" ref="AF228">IF($D228=0,0,AD228*(c_Rate.Hurdle2.MO))</f>
        <v>0</v>
      </c>
      <c r="AG228" s="663">
        <f t="shared" si="1135"/>
        <v>0</v>
      </c>
      <c r="AH228" s="663">
        <f t="shared" si="1164"/>
        <v>0</v>
      </c>
      <c r="AI228" s="663">
        <f t="shared" si="1136"/>
        <v>0</v>
      </c>
      <c r="AJ228" s="664">
        <f t="shared" si="1137"/>
        <v>0</v>
      </c>
      <c r="AK228" s="660">
        <f t="shared" si="1138"/>
        <v>0</v>
      </c>
      <c r="AL228" s="663">
        <f t="shared" ref="AL228" si="1526">IF(AD228=0,0,Z228+AH228/$J$18*c_Hurdle2.Share_GP)</f>
        <v>0</v>
      </c>
      <c r="AM228" s="663">
        <f t="shared" si="1140"/>
        <v>0</v>
      </c>
      <c r="AN228" s="660">
        <f t="shared" si="1187"/>
        <v>0</v>
      </c>
      <c r="AO228" s="521"/>
      <c r="AP228" s="663">
        <f t="shared" si="1326"/>
        <v>0</v>
      </c>
      <c r="AQ228" s="663">
        <f t="shared" ref="AQ228" si="1527">IF($G228=0,0,-MIN(0,$G228*c_EquityShare.LP))</f>
        <v>0</v>
      </c>
      <c r="AR228" s="663" cm="1">
        <f t="array" ref="AR228">IF($D228=0,0,AP228*(c_Rate.Hurdle3.MO))</f>
        <v>0</v>
      </c>
      <c r="AS228" s="663">
        <f t="shared" si="1142"/>
        <v>0</v>
      </c>
      <c r="AT228" s="663">
        <f t="shared" si="1167"/>
        <v>0</v>
      </c>
      <c r="AU228" s="663">
        <f t="shared" si="1143"/>
        <v>0</v>
      </c>
      <c r="AV228" s="664">
        <f t="shared" si="1144"/>
        <v>0</v>
      </c>
      <c r="AW228" s="660">
        <f t="shared" si="1168"/>
        <v>0</v>
      </c>
      <c r="AX228" s="663">
        <f t="shared" ref="AX228" si="1528">IF(AP228=0,0,AL228+AT228/$J$19*c_Hurdle3.Share_GP)</f>
        <v>0</v>
      </c>
      <c r="AY228" s="663">
        <f t="shared" si="1170"/>
        <v>0</v>
      </c>
      <c r="AZ228" s="660">
        <f t="shared" si="1190"/>
        <v>0</v>
      </c>
      <c r="BA228" s="521"/>
      <c r="BB228" s="660">
        <f t="shared" si="590"/>
        <v>0</v>
      </c>
      <c r="BC228" s="660">
        <f t="shared" ref="BC228" si="1529">$AZ228*c_Residual.Share_GP</f>
        <v>0</v>
      </c>
      <c r="BD228" s="651"/>
      <c r="BE228" s="660">
        <f t="shared" si="1172"/>
        <v>0</v>
      </c>
      <c r="BF228" s="660">
        <f t="shared" si="1172"/>
        <v>0</v>
      </c>
      <c r="BG228" s="660">
        <f t="shared" si="1147"/>
        <v>0</v>
      </c>
      <c r="BI228" s="660">
        <v>0</v>
      </c>
      <c r="BJ228" s="660">
        <v>0</v>
      </c>
      <c r="BK228" s="660">
        <v>0</v>
      </c>
      <c r="BL228" s="660">
        <f t="shared" si="1173"/>
        <v>0</v>
      </c>
      <c r="BM228" s="660">
        <f t="shared" si="1173"/>
        <v>0</v>
      </c>
      <c r="BN228" s="660">
        <f t="shared" si="1174"/>
        <v>0</v>
      </c>
      <c r="BO228" s="660">
        <f t="shared" si="1174"/>
        <v>0</v>
      </c>
      <c r="BP228" s="660">
        <f t="shared" si="1175"/>
        <v>0</v>
      </c>
      <c r="BQ228" s="660">
        <f t="shared" si="1175"/>
        <v>0</v>
      </c>
      <c r="BR228" s="660">
        <v>0</v>
      </c>
      <c r="BS228" s="660">
        <v>0</v>
      </c>
      <c r="BT228" s="660">
        <f t="shared" si="1148"/>
        <v>0</v>
      </c>
      <c r="BU228" s="660">
        <f t="shared" si="1148"/>
        <v>0</v>
      </c>
      <c r="BX228" s="660">
        <v>0</v>
      </c>
      <c r="BY228" s="660">
        <f t="shared" si="1176"/>
        <v>0</v>
      </c>
      <c r="BZ228" s="660">
        <f t="shared" si="1149"/>
        <v>0</v>
      </c>
      <c r="CA228" s="660">
        <f t="shared" si="1150"/>
        <v>0</v>
      </c>
      <c r="CB228" s="660">
        <f t="shared" si="1151"/>
        <v>0</v>
      </c>
      <c r="CC228" s="660">
        <f t="shared" si="1152"/>
        <v>0</v>
      </c>
      <c r="CD228" s="660">
        <f t="shared" si="1177"/>
        <v>0</v>
      </c>
    </row>
    <row r="229" spans="4:82" ht="16" hidden="1" thickTop="1" thickBot="1">
      <c r="D229" s="653"/>
      <c r="E229" s="654"/>
      <c r="F229" s="655" t="str">
        <f t="shared" si="1153"/>
        <v/>
      </c>
      <c r="G229" s="656"/>
      <c r="I229" s="658">
        <f t="shared" si="1154"/>
        <v>0</v>
      </c>
      <c r="J229" s="658">
        <f t="shared" ref="J229" si="1530">IF($G229=0,0,-MIN(0,G229*c_EquityShare.LP))</f>
        <v>0</v>
      </c>
      <c r="K229" s="658">
        <f t="shared" ref="K229" si="1531">I229*c_Rate.Pref_MO</f>
        <v>0</v>
      </c>
      <c r="L229" s="658">
        <f t="shared" si="1130"/>
        <v>0</v>
      </c>
      <c r="M229" s="658">
        <f t="shared" si="1157"/>
        <v>0</v>
      </c>
      <c r="N229" s="658">
        <f t="shared" si="1180"/>
        <v>0</v>
      </c>
      <c r="O229" s="658" cm="1">
        <f t="array" ref="O229">IF(I229=0,0,IF(G229&lt;0,N229/c_EquityShare.LP*i_EquityShare.GP,L229/c_EquityShare.LP*i_EquityShare.GP))</f>
        <v>0</v>
      </c>
      <c r="P229" s="658">
        <f t="shared" si="1158"/>
        <v>0</v>
      </c>
      <c r="Q229" s="658">
        <f t="shared" si="1131"/>
        <v>0</v>
      </c>
      <c r="R229" s="521"/>
      <c r="S229" s="660">
        <f t="shared" si="1159"/>
        <v>0</v>
      </c>
      <c r="T229" s="663" cm="1">
        <f t="array" ref="T229">IF($G229=0,0,-MIN(0,$G229*c_EquityShare.LP))</f>
        <v>0</v>
      </c>
      <c r="U229" s="663" cm="1">
        <f t="array" ref="U229">IF($D229=0,0,S229*c_Rate.Hurdle1.MO)</f>
        <v>0</v>
      </c>
      <c r="V229" s="660">
        <f t="shared" si="1181"/>
        <v>0</v>
      </c>
      <c r="W229" s="660">
        <f t="shared" si="1160"/>
        <v>0</v>
      </c>
      <c r="X229" s="663">
        <f t="shared" si="1182"/>
        <v>0</v>
      </c>
      <c r="Y229" s="663">
        <f t="shared" si="1161"/>
        <v>0</v>
      </c>
      <c r="Z229" s="663">
        <f t="shared" ref="Z229" si="1532">IF(S229=0,0,O229+W229/$J$17*c_Hurdle1.Share_GP)</f>
        <v>0</v>
      </c>
      <c r="AA229" s="663">
        <f t="shared" si="1133"/>
        <v>0</v>
      </c>
      <c r="AB229" s="660">
        <f t="shared" si="1184"/>
        <v>0</v>
      </c>
      <c r="AC229" s="521"/>
      <c r="AD229" s="663">
        <f t="shared" si="1323"/>
        <v>0</v>
      </c>
      <c r="AE229" s="663">
        <f t="shared" ref="AE229" si="1533">IF($G229=0,0,-MIN(0,$G229*c_EquityShare.LP))</f>
        <v>0</v>
      </c>
      <c r="AF229" s="663" cm="1">
        <f t="array" ref="AF229">IF($D229=0,0,AD229*(c_Rate.Hurdle2.MO))</f>
        <v>0</v>
      </c>
      <c r="AG229" s="663">
        <f t="shared" si="1135"/>
        <v>0</v>
      </c>
      <c r="AH229" s="663">
        <f t="shared" si="1164"/>
        <v>0</v>
      </c>
      <c r="AI229" s="663">
        <f t="shared" si="1136"/>
        <v>0</v>
      </c>
      <c r="AJ229" s="664">
        <f t="shared" si="1137"/>
        <v>0</v>
      </c>
      <c r="AK229" s="660">
        <f t="shared" si="1138"/>
        <v>0</v>
      </c>
      <c r="AL229" s="663">
        <f t="shared" ref="AL229" si="1534">IF(AD229=0,0,Z229+AH229/$J$18*c_Hurdle2.Share_GP)</f>
        <v>0</v>
      </c>
      <c r="AM229" s="663">
        <f t="shared" si="1140"/>
        <v>0</v>
      </c>
      <c r="AN229" s="660">
        <f t="shared" si="1187"/>
        <v>0</v>
      </c>
      <c r="AO229" s="521"/>
      <c r="AP229" s="663">
        <f t="shared" si="1326"/>
        <v>0</v>
      </c>
      <c r="AQ229" s="663">
        <f t="shared" ref="AQ229" si="1535">IF($G229=0,0,-MIN(0,$G229*c_EquityShare.LP))</f>
        <v>0</v>
      </c>
      <c r="AR229" s="663" cm="1">
        <f t="array" ref="AR229">IF($D229=0,0,AP229*(c_Rate.Hurdle3.MO))</f>
        <v>0</v>
      </c>
      <c r="AS229" s="663">
        <f t="shared" si="1142"/>
        <v>0</v>
      </c>
      <c r="AT229" s="663">
        <f t="shared" si="1167"/>
        <v>0</v>
      </c>
      <c r="AU229" s="663">
        <f t="shared" si="1143"/>
        <v>0</v>
      </c>
      <c r="AV229" s="664">
        <f t="shared" si="1144"/>
        <v>0</v>
      </c>
      <c r="AW229" s="660">
        <f t="shared" si="1168"/>
        <v>0</v>
      </c>
      <c r="AX229" s="663">
        <f t="shared" ref="AX229" si="1536">IF(AP229=0,0,AL229+AT229/$J$19*c_Hurdle3.Share_GP)</f>
        <v>0</v>
      </c>
      <c r="AY229" s="663">
        <f t="shared" si="1170"/>
        <v>0</v>
      </c>
      <c r="AZ229" s="660">
        <f t="shared" si="1190"/>
        <v>0</v>
      </c>
      <c r="BA229" s="521"/>
      <c r="BB229" s="660">
        <f t="shared" si="590"/>
        <v>0</v>
      </c>
      <c r="BC229" s="660">
        <f t="shared" ref="BC229" si="1537">$AZ229*c_Residual.Share_GP</f>
        <v>0</v>
      </c>
      <c r="BD229" s="651"/>
      <c r="BE229" s="660">
        <f t="shared" si="1172"/>
        <v>0</v>
      </c>
      <c r="BF229" s="660">
        <f t="shared" si="1172"/>
        <v>0</v>
      </c>
      <c r="BG229" s="660">
        <f t="shared" si="1147"/>
        <v>0</v>
      </c>
      <c r="BI229" s="660">
        <v>0</v>
      </c>
      <c r="BJ229" s="660">
        <v>0</v>
      </c>
      <c r="BK229" s="660">
        <v>0</v>
      </c>
      <c r="BL229" s="660">
        <f t="shared" si="1173"/>
        <v>0</v>
      </c>
      <c r="BM229" s="660">
        <f t="shared" si="1173"/>
        <v>0</v>
      </c>
      <c r="BN229" s="660">
        <f t="shared" si="1174"/>
        <v>0</v>
      </c>
      <c r="BO229" s="660">
        <f t="shared" si="1174"/>
        <v>0</v>
      </c>
      <c r="BP229" s="660">
        <f t="shared" si="1175"/>
        <v>0</v>
      </c>
      <c r="BQ229" s="660">
        <f t="shared" si="1175"/>
        <v>0</v>
      </c>
      <c r="BR229" s="660">
        <v>0</v>
      </c>
      <c r="BS229" s="660">
        <v>0</v>
      </c>
      <c r="BT229" s="660">
        <f t="shared" si="1148"/>
        <v>0</v>
      </c>
      <c r="BU229" s="660">
        <f t="shared" si="1148"/>
        <v>0</v>
      </c>
      <c r="BX229" s="660">
        <v>0</v>
      </c>
      <c r="BY229" s="660">
        <f t="shared" si="1176"/>
        <v>0</v>
      </c>
      <c r="BZ229" s="660">
        <f t="shared" si="1149"/>
        <v>0</v>
      </c>
      <c r="CA229" s="660">
        <f t="shared" si="1150"/>
        <v>0</v>
      </c>
      <c r="CB229" s="660">
        <f t="shared" si="1151"/>
        <v>0</v>
      </c>
      <c r="CC229" s="660">
        <f t="shared" si="1152"/>
        <v>0</v>
      </c>
      <c r="CD229" s="660">
        <f t="shared" si="1177"/>
        <v>0</v>
      </c>
    </row>
    <row r="230" spans="4:82" ht="16" hidden="1" thickTop="1" thickBot="1">
      <c r="D230" s="653"/>
      <c r="E230" s="654"/>
      <c r="F230" s="655" t="str">
        <f t="shared" si="1153"/>
        <v/>
      </c>
      <c r="G230" s="656"/>
      <c r="I230" s="658">
        <f t="shared" si="1154"/>
        <v>0</v>
      </c>
      <c r="J230" s="658">
        <f t="shared" ref="J230" si="1538">IF($G230=0,0,-MIN(0,G230*c_EquityShare.LP))</f>
        <v>0</v>
      </c>
      <c r="K230" s="658">
        <f t="shared" ref="K230" si="1539">I230*c_Rate.Pref_MO</f>
        <v>0</v>
      </c>
      <c r="L230" s="658">
        <f t="shared" si="1130"/>
        <v>0</v>
      </c>
      <c r="M230" s="658">
        <f t="shared" si="1157"/>
        <v>0</v>
      </c>
      <c r="N230" s="658">
        <f t="shared" si="1180"/>
        <v>0</v>
      </c>
      <c r="O230" s="658" cm="1">
        <f t="array" ref="O230">IF(I230=0,0,IF(G230&lt;0,N230/c_EquityShare.LP*i_EquityShare.GP,L230/c_EquityShare.LP*i_EquityShare.GP))</f>
        <v>0</v>
      </c>
      <c r="P230" s="658">
        <f t="shared" si="1158"/>
        <v>0</v>
      </c>
      <c r="Q230" s="658">
        <f t="shared" si="1131"/>
        <v>0</v>
      </c>
      <c r="R230" s="521"/>
      <c r="S230" s="660">
        <f t="shared" si="1159"/>
        <v>0</v>
      </c>
      <c r="T230" s="663" cm="1">
        <f t="array" ref="T230">IF($G230=0,0,-MIN(0,$G230*c_EquityShare.LP))</f>
        <v>0</v>
      </c>
      <c r="U230" s="663" cm="1">
        <f t="array" ref="U230">IF($D230=0,0,S230*c_Rate.Hurdle1.MO)</f>
        <v>0</v>
      </c>
      <c r="V230" s="660">
        <f t="shared" si="1181"/>
        <v>0</v>
      </c>
      <c r="W230" s="660">
        <f t="shared" si="1160"/>
        <v>0</v>
      </c>
      <c r="X230" s="663">
        <f t="shared" si="1182"/>
        <v>0</v>
      </c>
      <c r="Y230" s="663">
        <f t="shared" si="1161"/>
        <v>0</v>
      </c>
      <c r="Z230" s="663">
        <f t="shared" ref="Z230" si="1540">IF(S230=0,0,O230+W230/$J$17*c_Hurdle1.Share_GP)</f>
        <v>0</v>
      </c>
      <c r="AA230" s="663">
        <f t="shared" si="1133"/>
        <v>0</v>
      </c>
      <c r="AB230" s="660">
        <f t="shared" si="1184"/>
        <v>0</v>
      </c>
      <c r="AC230" s="521"/>
      <c r="AD230" s="663">
        <f t="shared" si="1323"/>
        <v>0</v>
      </c>
      <c r="AE230" s="663">
        <f t="shared" ref="AE230" si="1541">IF($G230=0,0,-MIN(0,$G230*c_EquityShare.LP))</f>
        <v>0</v>
      </c>
      <c r="AF230" s="663" cm="1">
        <f t="array" ref="AF230">IF($D230=0,0,AD230*(c_Rate.Hurdle2.MO))</f>
        <v>0</v>
      </c>
      <c r="AG230" s="663">
        <f t="shared" si="1135"/>
        <v>0</v>
      </c>
      <c r="AH230" s="663">
        <f t="shared" si="1164"/>
        <v>0</v>
      </c>
      <c r="AI230" s="663">
        <f t="shared" si="1136"/>
        <v>0</v>
      </c>
      <c r="AJ230" s="664">
        <f t="shared" si="1137"/>
        <v>0</v>
      </c>
      <c r="AK230" s="660">
        <f t="shared" si="1138"/>
        <v>0</v>
      </c>
      <c r="AL230" s="663">
        <f t="shared" ref="AL230" si="1542">IF(AD230=0,0,Z230+AH230/$J$18*c_Hurdle2.Share_GP)</f>
        <v>0</v>
      </c>
      <c r="AM230" s="663">
        <f t="shared" si="1140"/>
        <v>0</v>
      </c>
      <c r="AN230" s="660">
        <f t="shared" si="1187"/>
        <v>0</v>
      </c>
      <c r="AO230" s="521"/>
      <c r="AP230" s="663">
        <f t="shared" si="1326"/>
        <v>0</v>
      </c>
      <c r="AQ230" s="663">
        <f t="shared" ref="AQ230" si="1543">IF($G230=0,0,-MIN(0,$G230*c_EquityShare.LP))</f>
        <v>0</v>
      </c>
      <c r="AR230" s="663" cm="1">
        <f t="array" ref="AR230">IF($D230=0,0,AP230*(c_Rate.Hurdle3.MO))</f>
        <v>0</v>
      </c>
      <c r="AS230" s="663">
        <f t="shared" si="1142"/>
        <v>0</v>
      </c>
      <c r="AT230" s="663">
        <f t="shared" si="1167"/>
        <v>0</v>
      </c>
      <c r="AU230" s="663">
        <f t="shared" si="1143"/>
        <v>0</v>
      </c>
      <c r="AV230" s="664">
        <f t="shared" si="1144"/>
        <v>0</v>
      </c>
      <c r="AW230" s="660">
        <f t="shared" si="1168"/>
        <v>0</v>
      </c>
      <c r="AX230" s="663">
        <f t="shared" ref="AX230" si="1544">IF(AP230=0,0,AL230+AT230/$J$19*c_Hurdle3.Share_GP)</f>
        <v>0</v>
      </c>
      <c r="AY230" s="663">
        <f t="shared" si="1170"/>
        <v>0</v>
      </c>
      <c r="AZ230" s="660">
        <f t="shared" si="1190"/>
        <v>0</v>
      </c>
      <c r="BA230" s="521"/>
      <c r="BB230" s="660">
        <f t="shared" si="590"/>
        <v>0</v>
      </c>
      <c r="BC230" s="660">
        <f t="shared" ref="BC230" si="1545">$AZ230*c_Residual.Share_GP</f>
        <v>0</v>
      </c>
      <c r="BD230" s="651"/>
      <c r="BE230" s="660">
        <f t="shared" si="1172"/>
        <v>0</v>
      </c>
      <c r="BF230" s="660">
        <f t="shared" si="1172"/>
        <v>0</v>
      </c>
      <c r="BG230" s="660">
        <f t="shared" si="1147"/>
        <v>0</v>
      </c>
      <c r="BI230" s="660">
        <v>0</v>
      </c>
      <c r="BJ230" s="660">
        <v>0</v>
      </c>
      <c r="BK230" s="660">
        <v>0</v>
      </c>
      <c r="BL230" s="660">
        <f t="shared" si="1173"/>
        <v>0</v>
      </c>
      <c r="BM230" s="660">
        <f t="shared" si="1173"/>
        <v>0</v>
      </c>
      <c r="BN230" s="660">
        <f t="shared" si="1174"/>
        <v>0</v>
      </c>
      <c r="BO230" s="660">
        <f t="shared" si="1174"/>
        <v>0</v>
      </c>
      <c r="BP230" s="660">
        <f t="shared" si="1175"/>
        <v>0</v>
      </c>
      <c r="BQ230" s="660">
        <f t="shared" si="1175"/>
        <v>0</v>
      </c>
      <c r="BR230" s="660">
        <v>0</v>
      </c>
      <c r="BS230" s="660">
        <v>0</v>
      </c>
      <c r="BT230" s="660">
        <f t="shared" si="1148"/>
        <v>0</v>
      </c>
      <c r="BU230" s="660">
        <f t="shared" si="1148"/>
        <v>0</v>
      </c>
      <c r="BX230" s="660">
        <v>0</v>
      </c>
      <c r="BY230" s="660">
        <f t="shared" si="1176"/>
        <v>0</v>
      </c>
      <c r="BZ230" s="660">
        <f t="shared" si="1149"/>
        <v>0</v>
      </c>
      <c r="CA230" s="660">
        <f t="shared" si="1150"/>
        <v>0</v>
      </c>
      <c r="CB230" s="660">
        <f t="shared" si="1151"/>
        <v>0</v>
      </c>
      <c r="CC230" s="660">
        <f t="shared" si="1152"/>
        <v>0</v>
      </c>
      <c r="CD230" s="660">
        <f t="shared" si="1177"/>
        <v>0</v>
      </c>
    </row>
    <row r="231" spans="4:82" ht="16" hidden="1" thickTop="1" thickBot="1">
      <c r="D231" s="653"/>
      <c r="E231" s="654"/>
      <c r="F231" s="655" t="str">
        <f t="shared" si="1153"/>
        <v/>
      </c>
      <c r="G231" s="656"/>
      <c r="I231" s="658">
        <f t="shared" si="1154"/>
        <v>0</v>
      </c>
      <c r="J231" s="658">
        <f t="shared" ref="J231" si="1546">IF($G231=0,0,-MIN(0,G231*c_EquityShare.LP))</f>
        <v>0</v>
      </c>
      <c r="K231" s="658">
        <f t="shared" ref="K231" si="1547">I231*c_Rate.Pref_MO</f>
        <v>0</v>
      </c>
      <c r="L231" s="658">
        <f t="shared" si="1130"/>
        <v>0</v>
      </c>
      <c r="M231" s="658">
        <f t="shared" si="1157"/>
        <v>0</v>
      </c>
      <c r="N231" s="658">
        <f t="shared" si="1180"/>
        <v>0</v>
      </c>
      <c r="O231" s="658" cm="1">
        <f t="array" ref="O231">IF(I231=0,0,IF(G231&lt;0,N231/c_EquityShare.LP*i_EquityShare.GP,L231/c_EquityShare.LP*i_EquityShare.GP))</f>
        <v>0</v>
      </c>
      <c r="P231" s="658">
        <f t="shared" si="1158"/>
        <v>0</v>
      </c>
      <c r="Q231" s="658">
        <f t="shared" si="1131"/>
        <v>0</v>
      </c>
      <c r="R231" s="521"/>
      <c r="S231" s="660">
        <f t="shared" si="1159"/>
        <v>0</v>
      </c>
      <c r="T231" s="663" cm="1">
        <f t="array" ref="T231">IF($G231=0,0,-MIN(0,$G231*c_EquityShare.LP))</f>
        <v>0</v>
      </c>
      <c r="U231" s="663" cm="1">
        <f t="array" ref="U231">IF($D231=0,0,S231*c_Rate.Hurdle1.MO)</f>
        <v>0</v>
      </c>
      <c r="V231" s="660">
        <f t="shared" si="1181"/>
        <v>0</v>
      </c>
      <c r="W231" s="660">
        <f t="shared" si="1160"/>
        <v>0</v>
      </c>
      <c r="X231" s="663">
        <f t="shared" si="1182"/>
        <v>0</v>
      </c>
      <c r="Y231" s="663">
        <f t="shared" si="1161"/>
        <v>0</v>
      </c>
      <c r="Z231" s="663">
        <f t="shared" ref="Z231" si="1548">IF(S231=0,0,O231+W231/$J$17*c_Hurdle1.Share_GP)</f>
        <v>0</v>
      </c>
      <c r="AA231" s="663">
        <f t="shared" si="1133"/>
        <v>0</v>
      </c>
      <c r="AB231" s="660">
        <f t="shared" si="1184"/>
        <v>0</v>
      </c>
      <c r="AC231" s="521"/>
      <c r="AD231" s="663">
        <f t="shared" si="1323"/>
        <v>0</v>
      </c>
      <c r="AE231" s="663">
        <f t="shared" ref="AE231" si="1549">IF($G231=0,0,-MIN(0,$G231*c_EquityShare.LP))</f>
        <v>0</v>
      </c>
      <c r="AF231" s="663" cm="1">
        <f t="array" ref="AF231">IF($D231=0,0,AD231*(c_Rate.Hurdle2.MO))</f>
        <v>0</v>
      </c>
      <c r="AG231" s="663">
        <f t="shared" si="1135"/>
        <v>0</v>
      </c>
      <c r="AH231" s="663">
        <f t="shared" si="1164"/>
        <v>0</v>
      </c>
      <c r="AI231" s="663">
        <f t="shared" si="1136"/>
        <v>0</v>
      </c>
      <c r="AJ231" s="664">
        <f t="shared" si="1137"/>
        <v>0</v>
      </c>
      <c r="AK231" s="660">
        <f t="shared" si="1138"/>
        <v>0</v>
      </c>
      <c r="AL231" s="663">
        <f t="shared" ref="AL231" si="1550">IF(AD231=0,0,Z231+AH231/$J$18*c_Hurdle2.Share_GP)</f>
        <v>0</v>
      </c>
      <c r="AM231" s="663">
        <f t="shared" si="1140"/>
        <v>0</v>
      </c>
      <c r="AN231" s="660">
        <f t="shared" si="1187"/>
        <v>0</v>
      </c>
      <c r="AO231" s="521"/>
      <c r="AP231" s="663">
        <f t="shared" si="1326"/>
        <v>0</v>
      </c>
      <c r="AQ231" s="663">
        <f t="shared" ref="AQ231" si="1551">IF($G231=0,0,-MIN(0,$G231*c_EquityShare.LP))</f>
        <v>0</v>
      </c>
      <c r="AR231" s="663" cm="1">
        <f t="array" ref="AR231">IF($D231=0,0,AP231*(c_Rate.Hurdle3.MO))</f>
        <v>0</v>
      </c>
      <c r="AS231" s="663">
        <f t="shared" si="1142"/>
        <v>0</v>
      </c>
      <c r="AT231" s="663">
        <f t="shared" si="1167"/>
        <v>0</v>
      </c>
      <c r="AU231" s="663">
        <f t="shared" si="1143"/>
        <v>0</v>
      </c>
      <c r="AV231" s="664">
        <f t="shared" si="1144"/>
        <v>0</v>
      </c>
      <c r="AW231" s="660">
        <f t="shared" si="1168"/>
        <v>0</v>
      </c>
      <c r="AX231" s="663">
        <f t="shared" ref="AX231" si="1552">IF(AP231=0,0,AL231+AT231/$J$19*c_Hurdle3.Share_GP)</f>
        <v>0</v>
      </c>
      <c r="AY231" s="663">
        <f t="shared" si="1170"/>
        <v>0</v>
      </c>
      <c r="AZ231" s="660">
        <f t="shared" si="1190"/>
        <v>0</v>
      </c>
      <c r="BA231" s="521"/>
      <c r="BB231" s="660">
        <f t="shared" si="590"/>
        <v>0</v>
      </c>
      <c r="BC231" s="660">
        <f t="shared" ref="BC231" si="1553">$AZ231*c_Residual.Share_GP</f>
        <v>0</v>
      </c>
      <c r="BD231" s="651"/>
      <c r="BE231" s="660">
        <f t="shared" si="1172"/>
        <v>0</v>
      </c>
      <c r="BF231" s="660">
        <f t="shared" si="1172"/>
        <v>0</v>
      </c>
      <c r="BG231" s="660">
        <f t="shared" si="1147"/>
        <v>0</v>
      </c>
      <c r="BI231" s="660">
        <v>0</v>
      </c>
      <c r="BJ231" s="660">
        <v>0</v>
      </c>
      <c r="BK231" s="660">
        <v>0</v>
      </c>
      <c r="BL231" s="660">
        <f t="shared" si="1173"/>
        <v>0</v>
      </c>
      <c r="BM231" s="660">
        <f t="shared" si="1173"/>
        <v>0</v>
      </c>
      <c r="BN231" s="660">
        <f t="shared" si="1174"/>
        <v>0</v>
      </c>
      <c r="BO231" s="660">
        <f t="shared" si="1174"/>
        <v>0</v>
      </c>
      <c r="BP231" s="660">
        <f t="shared" si="1175"/>
        <v>0</v>
      </c>
      <c r="BQ231" s="660">
        <f t="shared" si="1175"/>
        <v>0</v>
      </c>
      <c r="BR231" s="660">
        <v>0</v>
      </c>
      <c r="BS231" s="660">
        <v>0</v>
      </c>
      <c r="BT231" s="660">
        <f t="shared" si="1148"/>
        <v>0</v>
      </c>
      <c r="BU231" s="660">
        <f t="shared" si="1148"/>
        <v>0</v>
      </c>
      <c r="BX231" s="660">
        <v>0</v>
      </c>
      <c r="BY231" s="660">
        <f t="shared" si="1176"/>
        <v>0</v>
      </c>
      <c r="BZ231" s="660">
        <f t="shared" si="1149"/>
        <v>0</v>
      </c>
      <c r="CA231" s="660">
        <f t="shared" si="1150"/>
        <v>0</v>
      </c>
      <c r="CB231" s="660">
        <f t="shared" si="1151"/>
        <v>0</v>
      </c>
      <c r="CC231" s="660">
        <f t="shared" si="1152"/>
        <v>0</v>
      </c>
      <c r="CD231" s="660">
        <f t="shared" si="1177"/>
        <v>0</v>
      </c>
    </row>
    <row r="232" spans="4:82" ht="16" hidden="1" thickTop="1" thickBot="1">
      <c r="D232" s="653"/>
      <c r="E232" s="654"/>
      <c r="F232" s="655" t="str">
        <f t="shared" si="1153"/>
        <v/>
      </c>
      <c r="G232" s="656"/>
      <c r="I232" s="658">
        <f t="shared" si="1154"/>
        <v>0</v>
      </c>
      <c r="J232" s="658">
        <f t="shared" ref="J232" si="1554">IF($G232=0,0,-MIN(0,G232*c_EquityShare.LP))</f>
        <v>0</v>
      </c>
      <c r="K232" s="658">
        <f t="shared" ref="K232" si="1555">I232*c_Rate.Pref_MO</f>
        <v>0</v>
      </c>
      <c r="L232" s="658">
        <f t="shared" si="1130"/>
        <v>0</v>
      </c>
      <c r="M232" s="658">
        <f t="shared" si="1157"/>
        <v>0</v>
      </c>
      <c r="N232" s="658">
        <f t="shared" si="1180"/>
        <v>0</v>
      </c>
      <c r="O232" s="658" cm="1">
        <f t="array" ref="O232">IF(I232=0,0,IF(G232&lt;0,N232/c_EquityShare.LP*i_EquityShare.GP,L232/c_EquityShare.LP*i_EquityShare.GP))</f>
        <v>0</v>
      </c>
      <c r="P232" s="658">
        <f t="shared" si="1158"/>
        <v>0</v>
      </c>
      <c r="Q232" s="658">
        <f t="shared" si="1131"/>
        <v>0</v>
      </c>
      <c r="R232" s="521"/>
      <c r="S232" s="660">
        <f t="shared" si="1159"/>
        <v>0</v>
      </c>
      <c r="T232" s="663" cm="1">
        <f t="array" ref="T232">IF($G232=0,0,-MIN(0,$G232*c_EquityShare.LP))</f>
        <v>0</v>
      </c>
      <c r="U232" s="663" cm="1">
        <f t="array" ref="U232">IF($D232=0,0,S232*c_Rate.Hurdle1.MO)</f>
        <v>0</v>
      </c>
      <c r="V232" s="660">
        <f t="shared" si="1181"/>
        <v>0</v>
      </c>
      <c r="W232" s="660">
        <f t="shared" si="1160"/>
        <v>0</v>
      </c>
      <c r="X232" s="663">
        <f t="shared" si="1182"/>
        <v>0</v>
      </c>
      <c r="Y232" s="663">
        <f t="shared" si="1161"/>
        <v>0</v>
      </c>
      <c r="Z232" s="663">
        <f t="shared" ref="Z232" si="1556">IF(S232=0,0,O232+W232/$J$17*c_Hurdle1.Share_GP)</f>
        <v>0</v>
      </c>
      <c r="AA232" s="663">
        <f t="shared" si="1133"/>
        <v>0</v>
      </c>
      <c r="AB232" s="660">
        <f t="shared" si="1184"/>
        <v>0</v>
      </c>
      <c r="AC232" s="521"/>
      <c r="AD232" s="663">
        <f t="shared" si="1323"/>
        <v>0</v>
      </c>
      <c r="AE232" s="663">
        <f t="shared" ref="AE232" si="1557">IF($G232=0,0,-MIN(0,$G232*c_EquityShare.LP))</f>
        <v>0</v>
      </c>
      <c r="AF232" s="663" cm="1">
        <f t="array" ref="AF232">IF($D232=0,0,AD232*(c_Rate.Hurdle2.MO))</f>
        <v>0</v>
      </c>
      <c r="AG232" s="663">
        <f t="shared" si="1135"/>
        <v>0</v>
      </c>
      <c r="AH232" s="663">
        <f t="shared" si="1164"/>
        <v>0</v>
      </c>
      <c r="AI232" s="663">
        <f t="shared" si="1136"/>
        <v>0</v>
      </c>
      <c r="AJ232" s="664">
        <f t="shared" si="1137"/>
        <v>0</v>
      </c>
      <c r="AK232" s="660">
        <f t="shared" si="1138"/>
        <v>0</v>
      </c>
      <c r="AL232" s="663">
        <f t="shared" ref="AL232" si="1558">IF(AD232=0,0,Z232+AH232/$J$18*c_Hurdle2.Share_GP)</f>
        <v>0</v>
      </c>
      <c r="AM232" s="663">
        <f t="shared" si="1140"/>
        <v>0</v>
      </c>
      <c r="AN232" s="660">
        <f t="shared" si="1187"/>
        <v>0</v>
      </c>
      <c r="AO232" s="521"/>
      <c r="AP232" s="663">
        <f t="shared" si="1326"/>
        <v>0</v>
      </c>
      <c r="AQ232" s="663">
        <f t="shared" ref="AQ232" si="1559">IF($G232=0,0,-MIN(0,$G232*c_EquityShare.LP))</f>
        <v>0</v>
      </c>
      <c r="AR232" s="663" cm="1">
        <f t="array" ref="AR232">IF($D232=0,0,AP232*(c_Rate.Hurdle3.MO))</f>
        <v>0</v>
      </c>
      <c r="AS232" s="663">
        <f t="shared" si="1142"/>
        <v>0</v>
      </c>
      <c r="AT232" s="663">
        <f t="shared" si="1167"/>
        <v>0</v>
      </c>
      <c r="AU232" s="663">
        <f t="shared" si="1143"/>
        <v>0</v>
      </c>
      <c r="AV232" s="664">
        <f t="shared" si="1144"/>
        <v>0</v>
      </c>
      <c r="AW232" s="660">
        <f t="shared" si="1168"/>
        <v>0</v>
      </c>
      <c r="AX232" s="663">
        <f t="shared" ref="AX232" si="1560">IF(AP232=0,0,AL232+AT232/$J$19*c_Hurdle3.Share_GP)</f>
        <v>0</v>
      </c>
      <c r="AY232" s="663">
        <f t="shared" si="1170"/>
        <v>0</v>
      </c>
      <c r="AZ232" s="660">
        <f t="shared" si="1190"/>
        <v>0</v>
      </c>
      <c r="BA232" s="521"/>
      <c r="BB232" s="660">
        <f t="shared" si="590"/>
        <v>0</v>
      </c>
      <c r="BC232" s="660">
        <f t="shared" ref="BC232" si="1561">$AZ232*c_Residual.Share_GP</f>
        <v>0</v>
      </c>
      <c r="BD232" s="651"/>
      <c r="BE232" s="660">
        <f t="shared" si="1172"/>
        <v>0</v>
      </c>
      <c r="BF232" s="660">
        <f t="shared" si="1172"/>
        <v>0</v>
      </c>
      <c r="BG232" s="660">
        <f t="shared" si="1147"/>
        <v>0</v>
      </c>
      <c r="BI232" s="660">
        <v>0</v>
      </c>
      <c r="BJ232" s="660">
        <v>0</v>
      </c>
      <c r="BK232" s="660">
        <v>0</v>
      </c>
      <c r="BL232" s="660">
        <f t="shared" si="1173"/>
        <v>0</v>
      </c>
      <c r="BM232" s="660">
        <f t="shared" si="1173"/>
        <v>0</v>
      </c>
      <c r="BN232" s="660">
        <f t="shared" si="1174"/>
        <v>0</v>
      </c>
      <c r="BO232" s="660">
        <f t="shared" si="1174"/>
        <v>0</v>
      </c>
      <c r="BP232" s="660">
        <f t="shared" si="1175"/>
        <v>0</v>
      </c>
      <c r="BQ232" s="660">
        <f t="shared" si="1175"/>
        <v>0</v>
      </c>
      <c r="BR232" s="660">
        <v>0</v>
      </c>
      <c r="BS232" s="660">
        <v>0</v>
      </c>
      <c r="BT232" s="660">
        <f t="shared" si="1148"/>
        <v>0</v>
      </c>
      <c r="BU232" s="660">
        <f t="shared" si="1148"/>
        <v>0</v>
      </c>
      <c r="BX232" s="660">
        <v>0</v>
      </c>
      <c r="BY232" s="660">
        <f t="shared" si="1176"/>
        <v>0</v>
      </c>
      <c r="BZ232" s="660">
        <f t="shared" si="1149"/>
        <v>0</v>
      </c>
      <c r="CA232" s="660">
        <f t="shared" si="1150"/>
        <v>0</v>
      </c>
      <c r="CB232" s="660">
        <f t="shared" si="1151"/>
        <v>0</v>
      </c>
      <c r="CC232" s="660">
        <f t="shared" si="1152"/>
        <v>0</v>
      </c>
      <c r="CD232" s="660">
        <f t="shared" si="1177"/>
        <v>0</v>
      </c>
    </row>
    <row r="233" spans="4:82" ht="16" hidden="1" thickTop="1" thickBot="1">
      <c r="D233" s="653"/>
      <c r="E233" s="654"/>
      <c r="F233" s="655" t="str">
        <f t="shared" si="1153"/>
        <v/>
      </c>
      <c r="G233" s="656"/>
      <c r="I233" s="658">
        <f t="shared" si="1154"/>
        <v>0</v>
      </c>
      <c r="J233" s="658">
        <f t="shared" ref="J233" si="1562">IF($G233=0,0,-MIN(0,G233*c_EquityShare.LP))</f>
        <v>0</v>
      </c>
      <c r="K233" s="658">
        <f t="shared" ref="K233" si="1563">I233*c_Rate.Pref_MO</f>
        <v>0</v>
      </c>
      <c r="L233" s="658">
        <f t="shared" si="1130"/>
        <v>0</v>
      </c>
      <c r="M233" s="658">
        <f t="shared" si="1157"/>
        <v>0</v>
      </c>
      <c r="N233" s="658">
        <f t="shared" si="1180"/>
        <v>0</v>
      </c>
      <c r="O233" s="658" cm="1">
        <f t="array" ref="O233">IF(I233=0,0,IF(G233&lt;0,N233/c_EquityShare.LP*i_EquityShare.GP,L233/c_EquityShare.LP*i_EquityShare.GP))</f>
        <v>0</v>
      </c>
      <c r="P233" s="658">
        <f t="shared" si="1158"/>
        <v>0</v>
      </c>
      <c r="Q233" s="658">
        <f t="shared" si="1131"/>
        <v>0</v>
      </c>
      <c r="R233" s="521"/>
      <c r="S233" s="660">
        <f t="shared" si="1159"/>
        <v>0</v>
      </c>
      <c r="T233" s="663" cm="1">
        <f t="array" ref="T233">IF($G233=0,0,-MIN(0,$G233*c_EquityShare.LP))</f>
        <v>0</v>
      </c>
      <c r="U233" s="663" cm="1">
        <f t="array" ref="U233">IF($D233=0,0,S233*c_Rate.Hurdle1.MO)</f>
        <v>0</v>
      </c>
      <c r="V233" s="660">
        <f t="shared" si="1181"/>
        <v>0</v>
      </c>
      <c r="W233" s="660">
        <f t="shared" si="1160"/>
        <v>0</v>
      </c>
      <c r="X233" s="663">
        <f t="shared" si="1182"/>
        <v>0</v>
      </c>
      <c r="Y233" s="663">
        <f t="shared" si="1161"/>
        <v>0</v>
      </c>
      <c r="Z233" s="663">
        <f t="shared" ref="Z233" si="1564">IF(S233=0,0,O233+W233/$J$17*c_Hurdle1.Share_GP)</f>
        <v>0</v>
      </c>
      <c r="AA233" s="663">
        <f t="shared" si="1133"/>
        <v>0</v>
      </c>
      <c r="AB233" s="660">
        <f t="shared" si="1184"/>
        <v>0</v>
      </c>
      <c r="AC233" s="521"/>
      <c r="AD233" s="663">
        <f t="shared" si="1323"/>
        <v>0</v>
      </c>
      <c r="AE233" s="663">
        <f t="shared" ref="AE233" si="1565">IF($G233=0,0,-MIN(0,$G233*c_EquityShare.LP))</f>
        <v>0</v>
      </c>
      <c r="AF233" s="663" cm="1">
        <f t="array" ref="AF233">IF($D233=0,0,AD233*(c_Rate.Hurdle2.MO))</f>
        <v>0</v>
      </c>
      <c r="AG233" s="663">
        <f t="shared" si="1135"/>
        <v>0</v>
      </c>
      <c r="AH233" s="663">
        <f t="shared" si="1164"/>
        <v>0</v>
      </c>
      <c r="AI233" s="663">
        <f t="shared" si="1136"/>
        <v>0</v>
      </c>
      <c r="AJ233" s="664">
        <f t="shared" si="1137"/>
        <v>0</v>
      </c>
      <c r="AK233" s="660">
        <f t="shared" si="1138"/>
        <v>0</v>
      </c>
      <c r="AL233" s="663">
        <f t="shared" ref="AL233" si="1566">IF(AD233=0,0,Z233+AH233/$J$18*c_Hurdle2.Share_GP)</f>
        <v>0</v>
      </c>
      <c r="AM233" s="663">
        <f t="shared" si="1140"/>
        <v>0</v>
      </c>
      <c r="AN233" s="660">
        <f t="shared" si="1187"/>
        <v>0</v>
      </c>
      <c r="AO233" s="521"/>
      <c r="AP233" s="663">
        <f t="shared" si="1326"/>
        <v>0</v>
      </c>
      <c r="AQ233" s="663">
        <f t="shared" ref="AQ233" si="1567">IF($G233=0,0,-MIN(0,$G233*c_EquityShare.LP))</f>
        <v>0</v>
      </c>
      <c r="AR233" s="663" cm="1">
        <f t="array" ref="AR233">IF($D233=0,0,AP233*(c_Rate.Hurdle3.MO))</f>
        <v>0</v>
      </c>
      <c r="AS233" s="663">
        <f t="shared" si="1142"/>
        <v>0</v>
      </c>
      <c r="AT233" s="663">
        <f t="shared" si="1167"/>
        <v>0</v>
      </c>
      <c r="AU233" s="663">
        <f t="shared" si="1143"/>
        <v>0</v>
      </c>
      <c r="AV233" s="664">
        <f t="shared" si="1144"/>
        <v>0</v>
      </c>
      <c r="AW233" s="660">
        <f t="shared" si="1168"/>
        <v>0</v>
      </c>
      <c r="AX233" s="663">
        <f t="shared" ref="AX233" si="1568">IF(AP233=0,0,AL233+AT233/$J$19*c_Hurdle3.Share_GP)</f>
        <v>0</v>
      </c>
      <c r="AY233" s="663">
        <f t="shared" si="1170"/>
        <v>0</v>
      </c>
      <c r="AZ233" s="660">
        <f t="shared" si="1190"/>
        <v>0</v>
      </c>
      <c r="BA233" s="521"/>
      <c r="BB233" s="660">
        <f t="shared" si="590"/>
        <v>0</v>
      </c>
      <c r="BC233" s="660">
        <f t="shared" ref="BC233" si="1569">$AZ233*c_Residual.Share_GP</f>
        <v>0</v>
      </c>
      <c r="BD233" s="651"/>
      <c r="BE233" s="660">
        <f t="shared" si="1172"/>
        <v>0</v>
      </c>
      <c r="BF233" s="660">
        <f t="shared" si="1172"/>
        <v>0</v>
      </c>
      <c r="BG233" s="660">
        <f t="shared" si="1147"/>
        <v>0</v>
      </c>
      <c r="BI233" s="660">
        <v>0</v>
      </c>
      <c r="BJ233" s="660">
        <v>0</v>
      </c>
      <c r="BK233" s="660">
        <v>0</v>
      </c>
      <c r="BL233" s="660">
        <f t="shared" si="1173"/>
        <v>0</v>
      </c>
      <c r="BM233" s="660">
        <f t="shared" si="1173"/>
        <v>0</v>
      </c>
      <c r="BN233" s="660">
        <f t="shared" si="1174"/>
        <v>0</v>
      </c>
      <c r="BO233" s="660">
        <f t="shared" si="1174"/>
        <v>0</v>
      </c>
      <c r="BP233" s="660">
        <f t="shared" si="1175"/>
        <v>0</v>
      </c>
      <c r="BQ233" s="660">
        <f t="shared" si="1175"/>
        <v>0</v>
      </c>
      <c r="BR233" s="660">
        <v>0</v>
      </c>
      <c r="BS233" s="660">
        <v>0</v>
      </c>
      <c r="BT233" s="660">
        <f t="shared" si="1148"/>
        <v>0</v>
      </c>
      <c r="BU233" s="660">
        <f t="shared" si="1148"/>
        <v>0</v>
      </c>
      <c r="BX233" s="660">
        <v>0</v>
      </c>
      <c r="BY233" s="660">
        <f t="shared" si="1176"/>
        <v>0</v>
      </c>
      <c r="BZ233" s="660">
        <f t="shared" si="1149"/>
        <v>0</v>
      </c>
      <c r="CA233" s="660">
        <f t="shared" si="1150"/>
        <v>0</v>
      </c>
      <c r="CB233" s="660">
        <f t="shared" si="1151"/>
        <v>0</v>
      </c>
      <c r="CC233" s="660">
        <f t="shared" si="1152"/>
        <v>0</v>
      </c>
      <c r="CD233" s="660">
        <f t="shared" si="1177"/>
        <v>0</v>
      </c>
    </row>
    <row r="234" spans="4:82" ht="16" hidden="1" thickTop="1" thickBot="1">
      <c r="D234" s="653"/>
      <c r="E234" s="654"/>
      <c r="F234" s="655" t="str">
        <f t="shared" si="1153"/>
        <v/>
      </c>
      <c r="G234" s="656"/>
      <c r="I234" s="658">
        <f t="shared" si="1154"/>
        <v>0</v>
      </c>
      <c r="J234" s="658">
        <f t="shared" ref="J234" si="1570">IF($G234=0,0,-MIN(0,G234*c_EquityShare.LP))</f>
        <v>0</v>
      </c>
      <c r="K234" s="658">
        <f t="shared" ref="K234" si="1571">I234*c_Rate.Pref_MO</f>
        <v>0</v>
      </c>
      <c r="L234" s="658">
        <f t="shared" si="1130"/>
        <v>0</v>
      </c>
      <c r="M234" s="658">
        <f t="shared" si="1157"/>
        <v>0</v>
      </c>
      <c r="N234" s="658">
        <f t="shared" si="1180"/>
        <v>0</v>
      </c>
      <c r="O234" s="658" cm="1">
        <f t="array" ref="O234">IF(I234=0,0,IF(G234&lt;0,N234/c_EquityShare.LP*i_EquityShare.GP,L234/c_EquityShare.LP*i_EquityShare.GP))</f>
        <v>0</v>
      </c>
      <c r="P234" s="658">
        <f t="shared" si="1158"/>
        <v>0</v>
      </c>
      <c r="Q234" s="658">
        <f t="shared" si="1131"/>
        <v>0</v>
      </c>
      <c r="R234" s="521"/>
      <c r="S234" s="660">
        <f t="shared" si="1159"/>
        <v>0</v>
      </c>
      <c r="T234" s="663" cm="1">
        <f t="array" ref="T234">IF($G234=0,0,-MIN(0,$G234*c_EquityShare.LP))</f>
        <v>0</v>
      </c>
      <c r="U234" s="663" cm="1">
        <f t="array" ref="U234">IF($D234=0,0,S234*c_Rate.Hurdle1.MO)</f>
        <v>0</v>
      </c>
      <c r="V234" s="660">
        <f t="shared" si="1181"/>
        <v>0</v>
      </c>
      <c r="W234" s="660">
        <f t="shared" si="1160"/>
        <v>0</v>
      </c>
      <c r="X234" s="663">
        <f t="shared" si="1182"/>
        <v>0</v>
      </c>
      <c r="Y234" s="663">
        <f t="shared" si="1161"/>
        <v>0</v>
      </c>
      <c r="Z234" s="663">
        <f t="shared" ref="Z234" si="1572">IF(S234=0,0,O234+W234/$J$17*c_Hurdle1.Share_GP)</f>
        <v>0</v>
      </c>
      <c r="AA234" s="663">
        <f t="shared" si="1133"/>
        <v>0</v>
      </c>
      <c r="AB234" s="660">
        <f t="shared" si="1184"/>
        <v>0</v>
      </c>
      <c r="AC234" s="521"/>
      <c r="AD234" s="663">
        <f t="shared" si="1323"/>
        <v>0</v>
      </c>
      <c r="AE234" s="663">
        <f t="shared" ref="AE234" si="1573">IF($G234=0,0,-MIN(0,$G234*c_EquityShare.LP))</f>
        <v>0</v>
      </c>
      <c r="AF234" s="663" cm="1">
        <f t="array" ref="AF234">IF($D234=0,0,AD234*(c_Rate.Hurdle2.MO))</f>
        <v>0</v>
      </c>
      <c r="AG234" s="663">
        <f t="shared" si="1135"/>
        <v>0</v>
      </c>
      <c r="AH234" s="663">
        <f t="shared" si="1164"/>
        <v>0</v>
      </c>
      <c r="AI234" s="663">
        <f t="shared" si="1136"/>
        <v>0</v>
      </c>
      <c r="AJ234" s="664">
        <f t="shared" si="1137"/>
        <v>0</v>
      </c>
      <c r="AK234" s="660">
        <f t="shared" si="1138"/>
        <v>0</v>
      </c>
      <c r="AL234" s="663">
        <f t="shared" ref="AL234" si="1574">IF(AD234=0,0,Z234+AH234/$J$18*c_Hurdle2.Share_GP)</f>
        <v>0</v>
      </c>
      <c r="AM234" s="663">
        <f t="shared" si="1140"/>
        <v>0</v>
      </c>
      <c r="AN234" s="660">
        <f t="shared" si="1187"/>
        <v>0</v>
      </c>
      <c r="AO234" s="521"/>
      <c r="AP234" s="663">
        <f t="shared" si="1326"/>
        <v>0</v>
      </c>
      <c r="AQ234" s="663">
        <f t="shared" ref="AQ234" si="1575">IF($G234=0,0,-MIN(0,$G234*c_EquityShare.LP))</f>
        <v>0</v>
      </c>
      <c r="AR234" s="663" cm="1">
        <f t="array" ref="AR234">IF($D234=0,0,AP234*(c_Rate.Hurdle3.MO))</f>
        <v>0</v>
      </c>
      <c r="AS234" s="663">
        <f t="shared" si="1142"/>
        <v>0</v>
      </c>
      <c r="AT234" s="663">
        <f t="shared" si="1167"/>
        <v>0</v>
      </c>
      <c r="AU234" s="663">
        <f t="shared" si="1143"/>
        <v>0</v>
      </c>
      <c r="AV234" s="664">
        <f t="shared" si="1144"/>
        <v>0</v>
      </c>
      <c r="AW234" s="660">
        <f t="shared" si="1168"/>
        <v>0</v>
      </c>
      <c r="AX234" s="663">
        <f t="shared" ref="AX234" si="1576">IF(AP234=0,0,AL234+AT234/$J$19*c_Hurdle3.Share_GP)</f>
        <v>0</v>
      </c>
      <c r="AY234" s="663">
        <f t="shared" si="1170"/>
        <v>0</v>
      </c>
      <c r="AZ234" s="660">
        <f t="shared" si="1190"/>
        <v>0</v>
      </c>
      <c r="BA234" s="521"/>
      <c r="BB234" s="660">
        <f t="shared" si="590"/>
        <v>0</v>
      </c>
      <c r="BC234" s="660">
        <f t="shared" ref="BC234" si="1577">$AZ234*c_Residual.Share_GP</f>
        <v>0</v>
      </c>
      <c r="BD234" s="651"/>
      <c r="BE234" s="660">
        <f t="shared" si="1172"/>
        <v>0</v>
      </c>
      <c r="BF234" s="660">
        <f t="shared" si="1172"/>
        <v>0</v>
      </c>
      <c r="BG234" s="660">
        <f t="shared" si="1147"/>
        <v>0</v>
      </c>
      <c r="BI234" s="660">
        <v>0</v>
      </c>
      <c r="BJ234" s="660">
        <v>0</v>
      </c>
      <c r="BK234" s="660">
        <v>0</v>
      </c>
      <c r="BL234" s="660">
        <f t="shared" si="1173"/>
        <v>0</v>
      </c>
      <c r="BM234" s="660">
        <f t="shared" si="1173"/>
        <v>0</v>
      </c>
      <c r="BN234" s="660">
        <f t="shared" si="1174"/>
        <v>0</v>
      </c>
      <c r="BO234" s="660">
        <f t="shared" si="1174"/>
        <v>0</v>
      </c>
      <c r="BP234" s="660">
        <f t="shared" si="1175"/>
        <v>0</v>
      </c>
      <c r="BQ234" s="660">
        <f t="shared" si="1175"/>
        <v>0</v>
      </c>
      <c r="BR234" s="660">
        <v>0</v>
      </c>
      <c r="BS234" s="660">
        <v>0</v>
      </c>
      <c r="BT234" s="660">
        <f t="shared" si="1148"/>
        <v>0</v>
      </c>
      <c r="BU234" s="660">
        <f t="shared" si="1148"/>
        <v>0</v>
      </c>
      <c r="BX234" s="660">
        <v>0</v>
      </c>
      <c r="BY234" s="660">
        <f t="shared" si="1176"/>
        <v>0</v>
      </c>
      <c r="BZ234" s="660">
        <f t="shared" si="1149"/>
        <v>0</v>
      </c>
      <c r="CA234" s="660">
        <f t="shared" si="1150"/>
        <v>0</v>
      </c>
      <c r="CB234" s="660">
        <f t="shared" si="1151"/>
        <v>0</v>
      </c>
      <c r="CC234" s="660">
        <f t="shared" si="1152"/>
        <v>0</v>
      </c>
      <c r="CD234" s="660">
        <f t="shared" si="1177"/>
        <v>0</v>
      </c>
    </row>
    <row r="235" spans="4:82" ht="16" hidden="1" thickTop="1" thickBot="1">
      <c r="D235" s="653"/>
      <c r="E235" s="654"/>
      <c r="F235" s="655" t="str">
        <f t="shared" si="1153"/>
        <v/>
      </c>
      <c r="G235" s="656"/>
      <c r="I235" s="658">
        <f t="shared" si="1154"/>
        <v>0</v>
      </c>
      <c r="J235" s="658">
        <f t="shared" ref="J235" si="1578">IF($G235=0,0,-MIN(0,G235*c_EquityShare.LP))</f>
        <v>0</v>
      </c>
      <c r="K235" s="658">
        <f t="shared" ref="K235" si="1579">I235*c_Rate.Pref_MO</f>
        <v>0</v>
      </c>
      <c r="L235" s="658">
        <f t="shared" si="1130"/>
        <v>0</v>
      </c>
      <c r="M235" s="658">
        <f t="shared" si="1157"/>
        <v>0</v>
      </c>
      <c r="N235" s="658">
        <f t="shared" si="1180"/>
        <v>0</v>
      </c>
      <c r="O235" s="658" cm="1">
        <f t="array" ref="O235">IF(I235=0,0,IF(G235&lt;0,N235/c_EquityShare.LP*i_EquityShare.GP,L235/c_EquityShare.LP*i_EquityShare.GP))</f>
        <v>0</v>
      </c>
      <c r="P235" s="658">
        <f t="shared" si="1158"/>
        <v>0</v>
      </c>
      <c r="Q235" s="658">
        <f t="shared" si="1131"/>
        <v>0</v>
      </c>
      <c r="R235" s="521"/>
      <c r="S235" s="660">
        <f t="shared" si="1159"/>
        <v>0</v>
      </c>
      <c r="T235" s="663" cm="1">
        <f t="array" ref="T235">IF($G235=0,0,-MIN(0,$G235*c_EquityShare.LP))</f>
        <v>0</v>
      </c>
      <c r="U235" s="663" cm="1">
        <f t="array" ref="U235">IF($D235=0,0,S235*c_Rate.Hurdle1.MO)</f>
        <v>0</v>
      </c>
      <c r="V235" s="660">
        <f t="shared" si="1181"/>
        <v>0</v>
      </c>
      <c r="W235" s="660">
        <f t="shared" si="1160"/>
        <v>0</v>
      </c>
      <c r="X235" s="663">
        <f t="shared" si="1182"/>
        <v>0</v>
      </c>
      <c r="Y235" s="663">
        <f t="shared" si="1161"/>
        <v>0</v>
      </c>
      <c r="Z235" s="663">
        <f t="shared" ref="Z235" si="1580">IF(S235=0,0,O235+W235/$J$17*c_Hurdle1.Share_GP)</f>
        <v>0</v>
      </c>
      <c r="AA235" s="663">
        <f t="shared" si="1133"/>
        <v>0</v>
      </c>
      <c r="AB235" s="660">
        <f t="shared" si="1184"/>
        <v>0</v>
      </c>
      <c r="AC235" s="521"/>
      <c r="AD235" s="663">
        <f t="shared" si="1323"/>
        <v>0</v>
      </c>
      <c r="AE235" s="663">
        <f t="shared" ref="AE235" si="1581">IF($G235=0,0,-MIN(0,$G235*c_EquityShare.LP))</f>
        <v>0</v>
      </c>
      <c r="AF235" s="663" cm="1">
        <f t="array" ref="AF235">IF($D235=0,0,AD235*(c_Rate.Hurdle2.MO))</f>
        <v>0</v>
      </c>
      <c r="AG235" s="663">
        <f t="shared" si="1135"/>
        <v>0</v>
      </c>
      <c r="AH235" s="663">
        <f t="shared" si="1164"/>
        <v>0</v>
      </c>
      <c r="AI235" s="663">
        <f t="shared" si="1136"/>
        <v>0</v>
      </c>
      <c r="AJ235" s="664">
        <f t="shared" si="1137"/>
        <v>0</v>
      </c>
      <c r="AK235" s="660">
        <f t="shared" si="1138"/>
        <v>0</v>
      </c>
      <c r="AL235" s="663">
        <f t="shared" ref="AL235" si="1582">IF(AD235=0,0,Z235+AH235/$J$18*c_Hurdle2.Share_GP)</f>
        <v>0</v>
      </c>
      <c r="AM235" s="663">
        <f t="shared" si="1140"/>
        <v>0</v>
      </c>
      <c r="AN235" s="660">
        <f t="shared" si="1187"/>
        <v>0</v>
      </c>
      <c r="AO235" s="521"/>
      <c r="AP235" s="663">
        <f t="shared" si="1326"/>
        <v>0</v>
      </c>
      <c r="AQ235" s="663">
        <f t="shared" ref="AQ235" si="1583">IF($G235=0,0,-MIN(0,$G235*c_EquityShare.LP))</f>
        <v>0</v>
      </c>
      <c r="AR235" s="663" cm="1">
        <f t="array" ref="AR235">IF($D235=0,0,AP235*(c_Rate.Hurdle3.MO))</f>
        <v>0</v>
      </c>
      <c r="AS235" s="663">
        <f t="shared" si="1142"/>
        <v>0</v>
      </c>
      <c r="AT235" s="663">
        <f t="shared" si="1167"/>
        <v>0</v>
      </c>
      <c r="AU235" s="663">
        <f t="shared" si="1143"/>
        <v>0</v>
      </c>
      <c r="AV235" s="664">
        <f t="shared" si="1144"/>
        <v>0</v>
      </c>
      <c r="AW235" s="660">
        <f t="shared" si="1168"/>
        <v>0</v>
      </c>
      <c r="AX235" s="663">
        <f t="shared" ref="AX235" si="1584">IF(AP235=0,0,AL235+AT235/$J$19*c_Hurdle3.Share_GP)</f>
        <v>0</v>
      </c>
      <c r="AY235" s="663">
        <f t="shared" si="1170"/>
        <v>0</v>
      </c>
      <c r="AZ235" s="660">
        <f t="shared" si="1190"/>
        <v>0</v>
      </c>
      <c r="BA235" s="521"/>
      <c r="BB235" s="660">
        <f t="shared" si="590"/>
        <v>0</v>
      </c>
      <c r="BC235" s="660">
        <f t="shared" ref="BC235" si="1585">$AZ235*c_Residual.Share_GP</f>
        <v>0</v>
      </c>
      <c r="BD235" s="651"/>
      <c r="BE235" s="660">
        <f t="shared" si="1172"/>
        <v>0</v>
      </c>
      <c r="BF235" s="660">
        <f t="shared" si="1172"/>
        <v>0</v>
      </c>
      <c r="BG235" s="660">
        <f t="shared" si="1147"/>
        <v>0</v>
      </c>
      <c r="BI235" s="660">
        <v>0</v>
      </c>
      <c r="BJ235" s="660">
        <v>0</v>
      </c>
      <c r="BK235" s="660">
        <v>0</v>
      </c>
      <c r="BL235" s="660">
        <f t="shared" si="1173"/>
        <v>0</v>
      </c>
      <c r="BM235" s="660">
        <f t="shared" si="1173"/>
        <v>0</v>
      </c>
      <c r="BN235" s="660">
        <f t="shared" si="1174"/>
        <v>0</v>
      </c>
      <c r="BO235" s="660">
        <f t="shared" si="1174"/>
        <v>0</v>
      </c>
      <c r="BP235" s="660">
        <f t="shared" si="1175"/>
        <v>0</v>
      </c>
      <c r="BQ235" s="660">
        <f t="shared" si="1175"/>
        <v>0</v>
      </c>
      <c r="BR235" s="660">
        <v>0</v>
      </c>
      <c r="BS235" s="660">
        <v>0</v>
      </c>
      <c r="BT235" s="660">
        <f t="shared" si="1148"/>
        <v>0</v>
      </c>
      <c r="BU235" s="660">
        <f t="shared" si="1148"/>
        <v>0</v>
      </c>
      <c r="BX235" s="660">
        <v>0</v>
      </c>
      <c r="BY235" s="660">
        <f t="shared" si="1176"/>
        <v>0</v>
      </c>
      <c r="BZ235" s="660">
        <f t="shared" si="1149"/>
        <v>0</v>
      </c>
      <c r="CA235" s="660">
        <f t="shared" si="1150"/>
        <v>0</v>
      </c>
      <c r="CB235" s="660">
        <f t="shared" si="1151"/>
        <v>0</v>
      </c>
      <c r="CC235" s="660">
        <f t="shared" si="1152"/>
        <v>0</v>
      </c>
      <c r="CD235" s="660">
        <f t="shared" si="1177"/>
        <v>0</v>
      </c>
    </row>
    <row r="236" spans="4:82" ht="16" hidden="1" thickTop="1" thickBot="1">
      <c r="D236" s="653"/>
      <c r="E236" s="654"/>
      <c r="F236" s="655" t="str">
        <f t="shared" si="1153"/>
        <v/>
      </c>
      <c r="G236" s="656"/>
      <c r="I236" s="658">
        <f t="shared" si="1154"/>
        <v>0</v>
      </c>
      <c r="J236" s="658">
        <f t="shared" ref="J236" si="1586">IF($G236=0,0,-MIN(0,G236*c_EquityShare.LP))</f>
        <v>0</v>
      </c>
      <c r="K236" s="658">
        <f t="shared" ref="K236" si="1587">I236*c_Rate.Pref_MO</f>
        <v>0</v>
      </c>
      <c r="L236" s="658">
        <f t="shared" si="1130"/>
        <v>0</v>
      </c>
      <c r="M236" s="658">
        <f t="shared" si="1157"/>
        <v>0</v>
      </c>
      <c r="N236" s="658">
        <f t="shared" si="1180"/>
        <v>0</v>
      </c>
      <c r="O236" s="658" cm="1">
        <f t="array" ref="O236">IF(I236=0,0,IF(G236&lt;0,N236/c_EquityShare.LP*i_EquityShare.GP,L236/c_EquityShare.LP*i_EquityShare.GP))</f>
        <v>0</v>
      </c>
      <c r="P236" s="658">
        <f t="shared" si="1158"/>
        <v>0</v>
      </c>
      <c r="Q236" s="658">
        <f t="shared" si="1131"/>
        <v>0</v>
      </c>
      <c r="R236" s="521"/>
      <c r="S236" s="660">
        <f t="shared" si="1159"/>
        <v>0</v>
      </c>
      <c r="T236" s="663" cm="1">
        <f t="array" ref="T236">IF($G236=0,0,-MIN(0,$G236*c_EquityShare.LP))</f>
        <v>0</v>
      </c>
      <c r="U236" s="663" cm="1">
        <f t="array" ref="U236">IF($D236=0,0,S236*c_Rate.Hurdle1.MO)</f>
        <v>0</v>
      </c>
      <c r="V236" s="660">
        <f t="shared" si="1181"/>
        <v>0</v>
      </c>
      <c r="W236" s="660">
        <f t="shared" si="1160"/>
        <v>0</v>
      </c>
      <c r="X236" s="663">
        <f t="shared" si="1182"/>
        <v>0</v>
      </c>
      <c r="Y236" s="663">
        <f t="shared" si="1161"/>
        <v>0</v>
      </c>
      <c r="Z236" s="663">
        <f t="shared" ref="Z236" si="1588">IF(S236=0,0,O236+W236/$J$17*c_Hurdle1.Share_GP)</f>
        <v>0</v>
      </c>
      <c r="AA236" s="663">
        <f t="shared" si="1133"/>
        <v>0</v>
      </c>
      <c r="AB236" s="660">
        <f t="shared" si="1184"/>
        <v>0</v>
      </c>
      <c r="AC236" s="521"/>
      <c r="AD236" s="663">
        <f t="shared" si="1323"/>
        <v>0</v>
      </c>
      <c r="AE236" s="663">
        <f t="shared" ref="AE236" si="1589">IF($G236=0,0,-MIN(0,$G236*c_EquityShare.LP))</f>
        <v>0</v>
      </c>
      <c r="AF236" s="663" cm="1">
        <f t="array" ref="AF236">IF($D236=0,0,AD236*(c_Rate.Hurdle2.MO))</f>
        <v>0</v>
      </c>
      <c r="AG236" s="663">
        <f t="shared" si="1135"/>
        <v>0</v>
      </c>
      <c r="AH236" s="663">
        <f t="shared" si="1164"/>
        <v>0</v>
      </c>
      <c r="AI236" s="663">
        <f t="shared" si="1136"/>
        <v>0</v>
      </c>
      <c r="AJ236" s="664">
        <f t="shared" si="1137"/>
        <v>0</v>
      </c>
      <c r="AK236" s="660">
        <f t="shared" si="1138"/>
        <v>0</v>
      </c>
      <c r="AL236" s="663">
        <f t="shared" ref="AL236" si="1590">IF(AD236=0,0,Z236+AH236/$J$18*c_Hurdle2.Share_GP)</f>
        <v>0</v>
      </c>
      <c r="AM236" s="663">
        <f t="shared" si="1140"/>
        <v>0</v>
      </c>
      <c r="AN236" s="660">
        <f t="shared" si="1187"/>
        <v>0</v>
      </c>
      <c r="AO236" s="521"/>
      <c r="AP236" s="663">
        <f t="shared" si="1326"/>
        <v>0</v>
      </c>
      <c r="AQ236" s="663">
        <f t="shared" ref="AQ236" si="1591">IF($G236=0,0,-MIN(0,$G236*c_EquityShare.LP))</f>
        <v>0</v>
      </c>
      <c r="AR236" s="663" cm="1">
        <f t="array" ref="AR236">IF($D236=0,0,AP236*(c_Rate.Hurdle3.MO))</f>
        <v>0</v>
      </c>
      <c r="AS236" s="663">
        <f t="shared" si="1142"/>
        <v>0</v>
      </c>
      <c r="AT236" s="663">
        <f t="shared" si="1167"/>
        <v>0</v>
      </c>
      <c r="AU236" s="663">
        <f t="shared" si="1143"/>
        <v>0</v>
      </c>
      <c r="AV236" s="664">
        <f t="shared" si="1144"/>
        <v>0</v>
      </c>
      <c r="AW236" s="660">
        <f t="shared" si="1168"/>
        <v>0</v>
      </c>
      <c r="AX236" s="663">
        <f t="shared" ref="AX236" si="1592">IF(AP236=0,0,AL236+AT236/$J$19*c_Hurdle3.Share_GP)</f>
        <v>0</v>
      </c>
      <c r="AY236" s="663">
        <f t="shared" si="1170"/>
        <v>0</v>
      </c>
      <c r="AZ236" s="660">
        <f t="shared" si="1190"/>
        <v>0</v>
      </c>
      <c r="BA236" s="521"/>
      <c r="BB236" s="660">
        <f t="shared" si="590"/>
        <v>0</v>
      </c>
      <c r="BC236" s="660">
        <f t="shared" ref="BC236" si="1593">$AZ236*c_Residual.Share_GP</f>
        <v>0</v>
      </c>
      <c r="BD236" s="651"/>
      <c r="BE236" s="660">
        <f t="shared" si="1172"/>
        <v>0</v>
      </c>
      <c r="BF236" s="660">
        <f t="shared" si="1172"/>
        <v>0</v>
      </c>
      <c r="BG236" s="660">
        <f t="shared" si="1147"/>
        <v>0</v>
      </c>
      <c r="BI236" s="660">
        <v>0</v>
      </c>
      <c r="BJ236" s="660">
        <v>0</v>
      </c>
      <c r="BK236" s="660">
        <v>0</v>
      </c>
      <c r="BL236" s="660">
        <f t="shared" si="1173"/>
        <v>0</v>
      </c>
      <c r="BM236" s="660">
        <f t="shared" si="1173"/>
        <v>0</v>
      </c>
      <c r="BN236" s="660">
        <f t="shared" si="1174"/>
        <v>0</v>
      </c>
      <c r="BO236" s="660">
        <f t="shared" si="1174"/>
        <v>0</v>
      </c>
      <c r="BP236" s="660">
        <f t="shared" si="1175"/>
        <v>0</v>
      </c>
      <c r="BQ236" s="660">
        <f t="shared" si="1175"/>
        <v>0</v>
      </c>
      <c r="BR236" s="660">
        <v>0</v>
      </c>
      <c r="BS236" s="660">
        <v>0</v>
      </c>
      <c r="BT236" s="660">
        <f t="shared" si="1148"/>
        <v>0</v>
      </c>
      <c r="BU236" s="660">
        <f t="shared" si="1148"/>
        <v>0</v>
      </c>
      <c r="BX236" s="660">
        <v>0</v>
      </c>
      <c r="BY236" s="660">
        <f t="shared" si="1176"/>
        <v>0</v>
      </c>
      <c r="BZ236" s="660">
        <f t="shared" si="1149"/>
        <v>0</v>
      </c>
      <c r="CA236" s="660">
        <f t="shared" si="1150"/>
        <v>0</v>
      </c>
      <c r="CB236" s="660">
        <f t="shared" si="1151"/>
        <v>0</v>
      </c>
      <c r="CC236" s="660">
        <f t="shared" si="1152"/>
        <v>0</v>
      </c>
      <c r="CD236" s="660">
        <f t="shared" si="1177"/>
        <v>0</v>
      </c>
    </row>
    <row r="237" spans="4:82" ht="16" hidden="1" thickTop="1" thickBot="1">
      <c r="D237" s="653"/>
      <c r="E237" s="654"/>
      <c r="F237" s="655" t="str">
        <f t="shared" si="1153"/>
        <v/>
      </c>
      <c r="G237" s="656"/>
      <c r="I237" s="658">
        <f t="shared" si="1154"/>
        <v>0</v>
      </c>
      <c r="J237" s="658">
        <f t="shared" ref="J237" si="1594">IF($G237=0,0,-MIN(0,G237*c_EquityShare.LP))</f>
        <v>0</v>
      </c>
      <c r="K237" s="658">
        <f t="shared" ref="K237" si="1595">I237*c_Rate.Pref_MO</f>
        <v>0</v>
      </c>
      <c r="L237" s="658">
        <f t="shared" si="1130"/>
        <v>0</v>
      </c>
      <c r="M237" s="658">
        <f t="shared" si="1157"/>
        <v>0</v>
      </c>
      <c r="N237" s="658">
        <f t="shared" si="1180"/>
        <v>0</v>
      </c>
      <c r="O237" s="658" cm="1">
        <f t="array" ref="O237">IF(I237=0,0,IF(G237&lt;0,N237/c_EquityShare.LP*i_EquityShare.GP,L237/c_EquityShare.LP*i_EquityShare.GP))</f>
        <v>0</v>
      </c>
      <c r="P237" s="658">
        <f t="shared" si="1158"/>
        <v>0</v>
      </c>
      <c r="Q237" s="658">
        <f t="shared" si="1131"/>
        <v>0</v>
      </c>
      <c r="R237" s="521"/>
      <c r="S237" s="660">
        <f t="shared" si="1159"/>
        <v>0</v>
      </c>
      <c r="T237" s="663" cm="1">
        <f t="array" ref="T237">IF($G237=0,0,-MIN(0,$G237*c_EquityShare.LP))</f>
        <v>0</v>
      </c>
      <c r="U237" s="663" cm="1">
        <f t="array" ref="U237">IF($D237=0,0,S237*c_Rate.Hurdle1.MO)</f>
        <v>0</v>
      </c>
      <c r="V237" s="660">
        <f t="shared" si="1181"/>
        <v>0</v>
      </c>
      <c r="W237" s="660">
        <f t="shared" si="1160"/>
        <v>0</v>
      </c>
      <c r="X237" s="663">
        <f t="shared" si="1182"/>
        <v>0</v>
      </c>
      <c r="Y237" s="663">
        <f t="shared" si="1161"/>
        <v>0</v>
      </c>
      <c r="Z237" s="663">
        <f t="shared" ref="Z237" si="1596">IF(S237=0,0,O237+W237/$J$17*c_Hurdle1.Share_GP)</f>
        <v>0</v>
      </c>
      <c r="AA237" s="663">
        <f t="shared" si="1133"/>
        <v>0</v>
      </c>
      <c r="AB237" s="660">
        <f t="shared" si="1184"/>
        <v>0</v>
      </c>
      <c r="AC237" s="521"/>
      <c r="AD237" s="663">
        <f t="shared" si="1323"/>
        <v>0</v>
      </c>
      <c r="AE237" s="663">
        <f t="shared" ref="AE237" si="1597">IF($G237=0,0,-MIN(0,$G237*c_EquityShare.LP))</f>
        <v>0</v>
      </c>
      <c r="AF237" s="663" cm="1">
        <f t="array" ref="AF237">IF($D237=0,0,AD237*(c_Rate.Hurdle2.MO))</f>
        <v>0</v>
      </c>
      <c r="AG237" s="663">
        <f t="shared" si="1135"/>
        <v>0</v>
      </c>
      <c r="AH237" s="663">
        <f t="shared" si="1164"/>
        <v>0</v>
      </c>
      <c r="AI237" s="663">
        <f t="shared" si="1136"/>
        <v>0</v>
      </c>
      <c r="AJ237" s="664">
        <f t="shared" si="1137"/>
        <v>0</v>
      </c>
      <c r="AK237" s="660">
        <f t="shared" si="1138"/>
        <v>0</v>
      </c>
      <c r="AL237" s="663">
        <f t="shared" ref="AL237" si="1598">IF(AD237=0,0,Z237+AH237/$J$18*c_Hurdle2.Share_GP)</f>
        <v>0</v>
      </c>
      <c r="AM237" s="663">
        <f t="shared" si="1140"/>
        <v>0</v>
      </c>
      <c r="AN237" s="660">
        <f t="shared" si="1187"/>
        <v>0</v>
      </c>
      <c r="AO237" s="521"/>
      <c r="AP237" s="663">
        <f t="shared" si="1326"/>
        <v>0</v>
      </c>
      <c r="AQ237" s="663">
        <f t="shared" ref="AQ237" si="1599">IF($G237=0,0,-MIN(0,$G237*c_EquityShare.LP))</f>
        <v>0</v>
      </c>
      <c r="AR237" s="663" cm="1">
        <f t="array" ref="AR237">IF($D237=0,0,AP237*(c_Rate.Hurdle3.MO))</f>
        <v>0</v>
      </c>
      <c r="AS237" s="663">
        <f t="shared" si="1142"/>
        <v>0</v>
      </c>
      <c r="AT237" s="663">
        <f t="shared" si="1167"/>
        <v>0</v>
      </c>
      <c r="AU237" s="663">
        <f t="shared" si="1143"/>
        <v>0</v>
      </c>
      <c r="AV237" s="664">
        <f t="shared" si="1144"/>
        <v>0</v>
      </c>
      <c r="AW237" s="660">
        <f t="shared" si="1168"/>
        <v>0</v>
      </c>
      <c r="AX237" s="663">
        <f t="shared" ref="AX237" si="1600">IF(AP237=0,0,AL237+AT237/$J$19*c_Hurdle3.Share_GP)</f>
        <v>0</v>
      </c>
      <c r="AY237" s="663">
        <f t="shared" si="1170"/>
        <v>0</v>
      </c>
      <c r="AZ237" s="660">
        <f t="shared" si="1190"/>
        <v>0</v>
      </c>
      <c r="BA237" s="521"/>
      <c r="BB237" s="660">
        <f t="shared" si="590"/>
        <v>0</v>
      </c>
      <c r="BC237" s="660">
        <f t="shared" ref="BC237" si="1601">$AZ237*c_Residual.Share_GP</f>
        <v>0</v>
      </c>
      <c r="BD237" s="651"/>
      <c r="BE237" s="660">
        <f t="shared" si="1172"/>
        <v>0</v>
      </c>
      <c r="BF237" s="660">
        <f t="shared" si="1172"/>
        <v>0</v>
      </c>
      <c r="BG237" s="660">
        <f t="shared" si="1147"/>
        <v>0</v>
      </c>
      <c r="BI237" s="660">
        <v>0</v>
      </c>
      <c r="BJ237" s="660">
        <v>0</v>
      </c>
      <c r="BK237" s="660">
        <v>0</v>
      </c>
      <c r="BL237" s="660">
        <f t="shared" si="1173"/>
        <v>0</v>
      </c>
      <c r="BM237" s="660">
        <f t="shared" si="1173"/>
        <v>0</v>
      </c>
      <c r="BN237" s="660">
        <f t="shared" si="1174"/>
        <v>0</v>
      </c>
      <c r="BO237" s="660">
        <f t="shared" si="1174"/>
        <v>0</v>
      </c>
      <c r="BP237" s="660">
        <f t="shared" si="1175"/>
        <v>0</v>
      </c>
      <c r="BQ237" s="660">
        <f t="shared" si="1175"/>
        <v>0</v>
      </c>
      <c r="BR237" s="660">
        <v>0</v>
      </c>
      <c r="BS237" s="660">
        <v>0</v>
      </c>
      <c r="BT237" s="660">
        <f t="shared" si="1148"/>
        <v>0</v>
      </c>
      <c r="BU237" s="660">
        <f t="shared" si="1148"/>
        <v>0</v>
      </c>
      <c r="BX237" s="660">
        <v>0</v>
      </c>
      <c r="BY237" s="660">
        <f t="shared" si="1176"/>
        <v>0</v>
      </c>
      <c r="BZ237" s="660">
        <f t="shared" si="1149"/>
        <v>0</v>
      </c>
      <c r="CA237" s="660">
        <f t="shared" si="1150"/>
        <v>0</v>
      </c>
      <c r="CB237" s="660">
        <f t="shared" si="1151"/>
        <v>0</v>
      </c>
      <c r="CC237" s="660">
        <f t="shared" si="1152"/>
        <v>0</v>
      </c>
      <c r="CD237" s="660">
        <f t="shared" si="1177"/>
        <v>0</v>
      </c>
    </row>
    <row r="238" spans="4:82" ht="16" hidden="1" thickTop="1" thickBot="1">
      <c r="D238" s="653"/>
      <c r="E238" s="654"/>
      <c r="F238" s="655" t="str">
        <f t="shared" si="1153"/>
        <v/>
      </c>
      <c r="G238" s="656"/>
      <c r="I238" s="658">
        <f t="shared" si="1154"/>
        <v>0</v>
      </c>
      <c r="J238" s="658">
        <f t="shared" ref="J238" si="1602">IF($G238=0,0,-MIN(0,G238*c_EquityShare.LP))</f>
        <v>0</v>
      </c>
      <c r="K238" s="658">
        <f t="shared" ref="K238" si="1603">I238*c_Rate.Pref_MO</f>
        <v>0</v>
      </c>
      <c r="L238" s="658">
        <f t="shared" si="1130"/>
        <v>0</v>
      </c>
      <c r="M238" s="658">
        <f t="shared" si="1157"/>
        <v>0</v>
      </c>
      <c r="N238" s="658">
        <f t="shared" si="1180"/>
        <v>0</v>
      </c>
      <c r="O238" s="658" cm="1">
        <f t="array" ref="O238">IF(I238=0,0,IF(G238&lt;0,N238/c_EquityShare.LP*i_EquityShare.GP,L238/c_EquityShare.LP*i_EquityShare.GP))</f>
        <v>0</v>
      </c>
      <c r="P238" s="658">
        <f t="shared" si="1158"/>
        <v>0</v>
      </c>
      <c r="Q238" s="658">
        <f t="shared" si="1131"/>
        <v>0</v>
      </c>
      <c r="R238" s="521"/>
      <c r="S238" s="660">
        <f t="shared" si="1159"/>
        <v>0</v>
      </c>
      <c r="T238" s="663" cm="1">
        <f t="array" ref="T238">IF($G238=0,0,-MIN(0,$G238*c_EquityShare.LP))</f>
        <v>0</v>
      </c>
      <c r="U238" s="663" cm="1">
        <f t="array" ref="U238">IF($D238=0,0,S238*c_Rate.Hurdle1.MO)</f>
        <v>0</v>
      </c>
      <c r="V238" s="660">
        <f t="shared" si="1181"/>
        <v>0</v>
      </c>
      <c r="W238" s="660">
        <f t="shared" si="1160"/>
        <v>0</v>
      </c>
      <c r="X238" s="663">
        <f t="shared" si="1182"/>
        <v>0</v>
      </c>
      <c r="Y238" s="663">
        <f t="shared" si="1161"/>
        <v>0</v>
      </c>
      <c r="Z238" s="663">
        <f t="shared" ref="Z238" si="1604">IF(S238=0,0,O238+W238/$J$17*c_Hurdle1.Share_GP)</f>
        <v>0</v>
      </c>
      <c r="AA238" s="663">
        <f t="shared" si="1133"/>
        <v>0</v>
      </c>
      <c r="AB238" s="660">
        <f t="shared" si="1184"/>
        <v>0</v>
      </c>
      <c r="AC238" s="521"/>
      <c r="AD238" s="663">
        <f t="shared" si="1323"/>
        <v>0</v>
      </c>
      <c r="AE238" s="663">
        <f t="shared" ref="AE238" si="1605">IF($G238=0,0,-MIN(0,$G238*c_EquityShare.LP))</f>
        <v>0</v>
      </c>
      <c r="AF238" s="663" cm="1">
        <f t="array" ref="AF238">IF($D238=0,0,AD238*(c_Rate.Hurdle2.MO))</f>
        <v>0</v>
      </c>
      <c r="AG238" s="663">
        <f t="shared" si="1135"/>
        <v>0</v>
      </c>
      <c r="AH238" s="663">
        <f t="shared" si="1164"/>
        <v>0</v>
      </c>
      <c r="AI238" s="663">
        <f t="shared" si="1136"/>
        <v>0</v>
      </c>
      <c r="AJ238" s="664">
        <f t="shared" si="1137"/>
        <v>0</v>
      </c>
      <c r="AK238" s="660">
        <f t="shared" si="1138"/>
        <v>0</v>
      </c>
      <c r="AL238" s="663">
        <f t="shared" ref="AL238" si="1606">IF(AD238=0,0,Z238+AH238/$J$18*c_Hurdle2.Share_GP)</f>
        <v>0</v>
      </c>
      <c r="AM238" s="663">
        <f t="shared" si="1140"/>
        <v>0</v>
      </c>
      <c r="AN238" s="660">
        <f t="shared" si="1187"/>
        <v>0</v>
      </c>
      <c r="AO238" s="521"/>
      <c r="AP238" s="663">
        <f t="shared" si="1326"/>
        <v>0</v>
      </c>
      <c r="AQ238" s="663">
        <f t="shared" ref="AQ238" si="1607">IF($G238=0,0,-MIN(0,$G238*c_EquityShare.LP))</f>
        <v>0</v>
      </c>
      <c r="AR238" s="663" cm="1">
        <f t="array" ref="AR238">IF($D238=0,0,AP238*(c_Rate.Hurdle3.MO))</f>
        <v>0</v>
      </c>
      <c r="AS238" s="663">
        <f t="shared" si="1142"/>
        <v>0</v>
      </c>
      <c r="AT238" s="663">
        <f t="shared" si="1167"/>
        <v>0</v>
      </c>
      <c r="AU238" s="663">
        <f t="shared" si="1143"/>
        <v>0</v>
      </c>
      <c r="AV238" s="664">
        <f t="shared" si="1144"/>
        <v>0</v>
      </c>
      <c r="AW238" s="660">
        <f t="shared" si="1168"/>
        <v>0</v>
      </c>
      <c r="AX238" s="663">
        <f t="shared" ref="AX238" si="1608">IF(AP238=0,0,AL238+AT238/$J$19*c_Hurdle3.Share_GP)</f>
        <v>0</v>
      </c>
      <c r="AY238" s="663">
        <f t="shared" si="1170"/>
        <v>0</v>
      </c>
      <c r="AZ238" s="660">
        <f t="shared" si="1190"/>
        <v>0</v>
      </c>
      <c r="BA238" s="521"/>
      <c r="BB238" s="660">
        <f t="shared" si="590"/>
        <v>0</v>
      </c>
      <c r="BC238" s="660">
        <f t="shared" ref="BC238" si="1609">$AZ238*c_Residual.Share_GP</f>
        <v>0</v>
      </c>
      <c r="BD238" s="651"/>
      <c r="BE238" s="660">
        <f t="shared" si="1172"/>
        <v>0</v>
      </c>
      <c r="BF238" s="660">
        <f t="shared" si="1172"/>
        <v>0</v>
      </c>
      <c r="BG238" s="660">
        <f t="shared" si="1147"/>
        <v>0</v>
      </c>
      <c r="BI238" s="660">
        <v>0</v>
      </c>
      <c r="BJ238" s="660">
        <v>0</v>
      </c>
      <c r="BK238" s="660">
        <v>0</v>
      </c>
      <c r="BL238" s="660">
        <f t="shared" si="1173"/>
        <v>0</v>
      </c>
      <c r="BM238" s="660">
        <f t="shared" si="1173"/>
        <v>0</v>
      </c>
      <c r="BN238" s="660">
        <f t="shared" si="1174"/>
        <v>0</v>
      </c>
      <c r="BO238" s="660">
        <f t="shared" si="1174"/>
        <v>0</v>
      </c>
      <c r="BP238" s="660">
        <f t="shared" si="1175"/>
        <v>0</v>
      </c>
      <c r="BQ238" s="660">
        <f t="shared" si="1175"/>
        <v>0</v>
      </c>
      <c r="BR238" s="660">
        <v>0</v>
      </c>
      <c r="BS238" s="660">
        <v>0</v>
      </c>
      <c r="BT238" s="660">
        <f t="shared" si="1148"/>
        <v>0</v>
      </c>
      <c r="BU238" s="660">
        <f t="shared" si="1148"/>
        <v>0</v>
      </c>
      <c r="BX238" s="660">
        <v>0</v>
      </c>
      <c r="BY238" s="660">
        <f t="shared" si="1176"/>
        <v>0</v>
      </c>
      <c r="BZ238" s="660">
        <f t="shared" si="1149"/>
        <v>0</v>
      </c>
      <c r="CA238" s="660">
        <f t="shared" si="1150"/>
        <v>0</v>
      </c>
      <c r="CB238" s="660">
        <f t="shared" si="1151"/>
        <v>0</v>
      </c>
      <c r="CC238" s="660">
        <f t="shared" si="1152"/>
        <v>0</v>
      </c>
      <c r="CD238" s="660">
        <f t="shared" si="1177"/>
        <v>0</v>
      </c>
    </row>
    <row r="239" spans="4:82" ht="16" hidden="1" thickTop="1" thickBot="1">
      <c r="D239" s="653"/>
      <c r="E239" s="654"/>
      <c r="F239" s="655" t="str">
        <f t="shared" si="1153"/>
        <v/>
      </c>
      <c r="G239" s="656"/>
      <c r="I239" s="658">
        <f t="shared" si="1154"/>
        <v>0</v>
      </c>
      <c r="J239" s="658">
        <f t="shared" ref="J239" si="1610">IF($G239=0,0,-MIN(0,G239*c_EquityShare.LP))</f>
        <v>0</v>
      </c>
      <c r="K239" s="658">
        <f t="shared" ref="K239" si="1611">I239*c_Rate.Pref_MO</f>
        <v>0</v>
      </c>
      <c r="L239" s="658">
        <f t="shared" si="1130"/>
        <v>0</v>
      </c>
      <c r="M239" s="658">
        <f t="shared" si="1157"/>
        <v>0</v>
      </c>
      <c r="N239" s="658">
        <f t="shared" si="1180"/>
        <v>0</v>
      </c>
      <c r="O239" s="658" cm="1">
        <f t="array" ref="O239">IF(I239=0,0,IF(G239&lt;0,N239/c_EquityShare.LP*i_EquityShare.GP,L239/c_EquityShare.LP*i_EquityShare.GP))</f>
        <v>0</v>
      </c>
      <c r="P239" s="658">
        <f t="shared" si="1158"/>
        <v>0</v>
      </c>
      <c r="Q239" s="658">
        <f t="shared" si="1131"/>
        <v>0</v>
      </c>
      <c r="R239" s="521"/>
      <c r="S239" s="660">
        <f t="shared" si="1159"/>
        <v>0</v>
      </c>
      <c r="T239" s="663" cm="1">
        <f t="array" ref="T239">IF($G239=0,0,-MIN(0,$G239*c_EquityShare.LP))</f>
        <v>0</v>
      </c>
      <c r="U239" s="663" cm="1">
        <f t="array" ref="U239">IF($D239=0,0,S239*c_Rate.Hurdle1.MO)</f>
        <v>0</v>
      </c>
      <c r="V239" s="660">
        <f t="shared" si="1181"/>
        <v>0</v>
      </c>
      <c r="W239" s="660">
        <f t="shared" si="1160"/>
        <v>0</v>
      </c>
      <c r="X239" s="663">
        <f t="shared" si="1182"/>
        <v>0</v>
      </c>
      <c r="Y239" s="663">
        <f t="shared" si="1161"/>
        <v>0</v>
      </c>
      <c r="Z239" s="663">
        <f t="shared" ref="Z239" si="1612">IF(S239=0,0,O239+W239/$J$17*c_Hurdle1.Share_GP)</f>
        <v>0</v>
      </c>
      <c r="AA239" s="663">
        <f t="shared" si="1133"/>
        <v>0</v>
      </c>
      <c r="AB239" s="660">
        <f t="shared" si="1184"/>
        <v>0</v>
      </c>
      <c r="AC239" s="521"/>
      <c r="AD239" s="663">
        <f t="shared" si="1323"/>
        <v>0</v>
      </c>
      <c r="AE239" s="663">
        <f t="shared" ref="AE239" si="1613">IF($G239=0,0,-MIN(0,$G239*c_EquityShare.LP))</f>
        <v>0</v>
      </c>
      <c r="AF239" s="663" cm="1">
        <f t="array" ref="AF239">IF($D239=0,0,AD239*(c_Rate.Hurdle2.MO))</f>
        <v>0</v>
      </c>
      <c r="AG239" s="663">
        <f t="shared" si="1135"/>
        <v>0</v>
      </c>
      <c r="AH239" s="663">
        <f t="shared" si="1164"/>
        <v>0</v>
      </c>
      <c r="AI239" s="663">
        <f t="shared" si="1136"/>
        <v>0</v>
      </c>
      <c r="AJ239" s="664">
        <f t="shared" si="1137"/>
        <v>0</v>
      </c>
      <c r="AK239" s="660">
        <f t="shared" si="1138"/>
        <v>0</v>
      </c>
      <c r="AL239" s="663">
        <f t="shared" ref="AL239" si="1614">IF(AD239=0,0,Z239+AH239/$J$18*c_Hurdle2.Share_GP)</f>
        <v>0</v>
      </c>
      <c r="AM239" s="663">
        <f t="shared" si="1140"/>
        <v>0</v>
      </c>
      <c r="AN239" s="660">
        <f t="shared" si="1187"/>
        <v>0</v>
      </c>
      <c r="AO239" s="521"/>
      <c r="AP239" s="663">
        <f t="shared" si="1326"/>
        <v>0</v>
      </c>
      <c r="AQ239" s="663">
        <f t="shared" ref="AQ239" si="1615">IF($G239=0,0,-MIN(0,$G239*c_EquityShare.LP))</f>
        <v>0</v>
      </c>
      <c r="AR239" s="663" cm="1">
        <f t="array" ref="AR239">IF($D239=0,0,AP239*(c_Rate.Hurdle3.MO))</f>
        <v>0</v>
      </c>
      <c r="AS239" s="663">
        <f t="shared" si="1142"/>
        <v>0</v>
      </c>
      <c r="AT239" s="663">
        <f t="shared" si="1167"/>
        <v>0</v>
      </c>
      <c r="AU239" s="663">
        <f t="shared" si="1143"/>
        <v>0</v>
      </c>
      <c r="AV239" s="664">
        <f t="shared" si="1144"/>
        <v>0</v>
      </c>
      <c r="AW239" s="660">
        <f t="shared" si="1168"/>
        <v>0</v>
      </c>
      <c r="AX239" s="663">
        <f t="shared" ref="AX239" si="1616">IF(AP239=0,0,AL239+AT239/$J$19*c_Hurdle3.Share_GP)</f>
        <v>0</v>
      </c>
      <c r="AY239" s="663">
        <f t="shared" si="1170"/>
        <v>0</v>
      </c>
      <c r="AZ239" s="660">
        <f t="shared" si="1190"/>
        <v>0</v>
      </c>
      <c r="BA239" s="521"/>
      <c r="BB239" s="660">
        <f t="shared" si="590"/>
        <v>0</v>
      </c>
      <c r="BC239" s="660">
        <f t="shared" ref="BC239" si="1617">$AZ239*c_Residual.Share_GP</f>
        <v>0</v>
      </c>
      <c r="BD239" s="651"/>
      <c r="BE239" s="660">
        <f t="shared" si="1172"/>
        <v>0</v>
      </c>
      <c r="BF239" s="660">
        <f t="shared" si="1172"/>
        <v>0</v>
      </c>
      <c r="BG239" s="660">
        <f t="shared" si="1147"/>
        <v>0</v>
      </c>
      <c r="BI239" s="660">
        <v>0</v>
      </c>
      <c r="BJ239" s="660">
        <v>0</v>
      </c>
      <c r="BK239" s="660">
        <v>0</v>
      </c>
      <c r="BL239" s="660">
        <f t="shared" si="1173"/>
        <v>0</v>
      </c>
      <c r="BM239" s="660">
        <f t="shared" si="1173"/>
        <v>0</v>
      </c>
      <c r="BN239" s="660">
        <f t="shared" si="1174"/>
        <v>0</v>
      </c>
      <c r="BO239" s="660">
        <f t="shared" si="1174"/>
        <v>0</v>
      </c>
      <c r="BP239" s="660">
        <f t="shared" si="1175"/>
        <v>0</v>
      </c>
      <c r="BQ239" s="660">
        <f t="shared" si="1175"/>
        <v>0</v>
      </c>
      <c r="BR239" s="660">
        <v>0</v>
      </c>
      <c r="BS239" s="660">
        <v>0</v>
      </c>
      <c r="BT239" s="660">
        <f t="shared" si="1148"/>
        <v>0</v>
      </c>
      <c r="BU239" s="660">
        <f t="shared" si="1148"/>
        <v>0</v>
      </c>
      <c r="BX239" s="660">
        <v>0</v>
      </c>
      <c r="BY239" s="660">
        <f t="shared" si="1176"/>
        <v>0</v>
      </c>
      <c r="BZ239" s="660">
        <f t="shared" si="1149"/>
        <v>0</v>
      </c>
      <c r="CA239" s="660">
        <f t="shared" si="1150"/>
        <v>0</v>
      </c>
      <c r="CB239" s="660">
        <f t="shared" si="1151"/>
        <v>0</v>
      </c>
      <c r="CC239" s="660">
        <f t="shared" si="1152"/>
        <v>0</v>
      </c>
      <c r="CD239" s="660">
        <f t="shared" si="1177"/>
        <v>0</v>
      </c>
    </row>
    <row r="240" spans="4:82" ht="16" hidden="1" thickTop="1" thickBot="1">
      <c r="D240" s="653"/>
      <c r="E240" s="654"/>
      <c r="F240" s="655" t="str">
        <f t="shared" si="1153"/>
        <v/>
      </c>
      <c r="G240" s="656"/>
      <c r="I240" s="658">
        <f t="shared" si="1154"/>
        <v>0</v>
      </c>
      <c r="J240" s="658">
        <f t="shared" ref="J240" si="1618">IF($G240=0,0,-MIN(0,G240*c_EquityShare.LP))</f>
        <v>0</v>
      </c>
      <c r="K240" s="658">
        <f t="shared" ref="K240" si="1619">I240*c_Rate.Pref_MO</f>
        <v>0</v>
      </c>
      <c r="L240" s="658">
        <f t="shared" si="1130"/>
        <v>0</v>
      </c>
      <c r="M240" s="658">
        <f t="shared" si="1157"/>
        <v>0</v>
      </c>
      <c r="N240" s="658">
        <f t="shared" si="1180"/>
        <v>0</v>
      </c>
      <c r="O240" s="658" cm="1">
        <f t="array" ref="O240">IF(I240=0,0,IF(G240&lt;0,N240/c_EquityShare.LP*i_EquityShare.GP,L240/c_EquityShare.LP*i_EquityShare.GP))</f>
        <v>0</v>
      </c>
      <c r="P240" s="658">
        <f t="shared" si="1158"/>
        <v>0</v>
      </c>
      <c r="Q240" s="658">
        <f t="shared" si="1131"/>
        <v>0</v>
      </c>
      <c r="R240" s="521"/>
      <c r="S240" s="660">
        <f t="shared" si="1159"/>
        <v>0</v>
      </c>
      <c r="T240" s="663" cm="1">
        <f t="array" ref="T240">IF($G240=0,0,-MIN(0,$G240*c_EquityShare.LP))</f>
        <v>0</v>
      </c>
      <c r="U240" s="663" cm="1">
        <f t="array" ref="U240">IF($D240=0,0,S240*c_Rate.Hurdle1.MO)</f>
        <v>0</v>
      </c>
      <c r="V240" s="660">
        <f t="shared" si="1181"/>
        <v>0</v>
      </c>
      <c r="W240" s="660">
        <f t="shared" si="1160"/>
        <v>0</v>
      </c>
      <c r="X240" s="663">
        <f t="shared" si="1182"/>
        <v>0</v>
      </c>
      <c r="Y240" s="663">
        <f t="shared" si="1161"/>
        <v>0</v>
      </c>
      <c r="Z240" s="663">
        <f t="shared" ref="Z240" si="1620">IF(S240=0,0,O240+W240/$J$17*c_Hurdle1.Share_GP)</f>
        <v>0</v>
      </c>
      <c r="AA240" s="663">
        <f t="shared" si="1133"/>
        <v>0</v>
      </c>
      <c r="AB240" s="660">
        <f t="shared" si="1184"/>
        <v>0</v>
      </c>
      <c r="AC240" s="521"/>
      <c r="AD240" s="663">
        <f t="shared" si="1323"/>
        <v>0</v>
      </c>
      <c r="AE240" s="663">
        <f t="shared" ref="AE240" si="1621">IF($G240=0,0,-MIN(0,$G240*c_EquityShare.LP))</f>
        <v>0</v>
      </c>
      <c r="AF240" s="663" cm="1">
        <f t="array" ref="AF240">IF($D240=0,0,AD240*(c_Rate.Hurdle2.MO))</f>
        <v>0</v>
      </c>
      <c r="AG240" s="663">
        <f t="shared" si="1135"/>
        <v>0</v>
      </c>
      <c r="AH240" s="663">
        <f t="shared" si="1164"/>
        <v>0</v>
      </c>
      <c r="AI240" s="663">
        <f t="shared" si="1136"/>
        <v>0</v>
      </c>
      <c r="AJ240" s="664">
        <f t="shared" si="1137"/>
        <v>0</v>
      </c>
      <c r="AK240" s="660">
        <f t="shared" si="1138"/>
        <v>0</v>
      </c>
      <c r="AL240" s="663">
        <f t="shared" ref="AL240" si="1622">IF(AD240=0,0,Z240+AH240/$J$18*c_Hurdle2.Share_GP)</f>
        <v>0</v>
      </c>
      <c r="AM240" s="663">
        <f t="shared" si="1140"/>
        <v>0</v>
      </c>
      <c r="AN240" s="660">
        <f t="shared" si="1187"/>
        <v>0</v>
      </c>
      <c r="AO240" s="521"/>
      <c r="AP240" s="663">
        <f t="shared" si="1326"/>
        <v>0</v>
      </c>
      <c r="AQ240" s="663">
        <f t="shared" ref="AQ240" si="1623">IF($G240=0,0,-MIN(0,$G240*c_EquityShare.LP))</f>
        <v>0</v>
      </c>
      <c r="AR240" s="663" cm="1">
        <f t="array" ref="AR240">IF($D240=0,0,AP240*(c_Rate.Hurdle3.MO))</f>
        <v>0</v>
      </c>
      <c r="AS240" s="663">
        <f t="shared" si="1142"/>
        <v>0</v>
      </c>
      <c r="AT240" s="663">
        <f t="shared" si="1167"/>
        <v>0</v>
      </c>
      <c r="AU240" s="663">
        <f t="shared" si="1143"/>
        <v>0</v>
      </c>
      <c r="AV240" s="664">
        <f t="shared" si="1144"/>
        <v>0</v>
      </c>
      <c r="AW240" s="660">
        <f t="shared" si="1168"/>
        <v>0</v>
      </c>
      <c r="AX240" s="663">
        <f t="shared" ref="AX240" si="1624">IF(AP240=0,0,AL240+AT240/$J$19*c_Hurdle3.Share_GP)</f>
        <v>0</v>
      </c>
      <c r="AY240" s="663">
        <f t="shared" si="1170"/>
        <v>0</v>
      </c>
      <c r="AZ240" s="660">
        <f t="shared" si="1190"/>
        <v>0</v>
      </c>
      <c r="BA240" s="521"/>
      <c r="BB240" s="660">
        <f t="shared" si="590"/>
        <v>0</v>
      </c>
      <c r="BC240" s="660">
        <f t="shared" ref="BC240" si="1625">$AZ240*c_Residual.Share_GP</f>
        <v>0</v>
      </c>
      <c r="BD240" s="651"/>
      <c r="BE240" s="660">
        <f t="shared" si="1172"/>
        <v>0</v>
      </c>
      <c r="BF240" s="660">
        <f t="shared" si="1172"/>
        <v>0</v>
      </c>
      <c r="BG240" s="660">
        <f t="shared" si="1147"/>
        <v>0</v>
      </c>
      <c r="BI240" s="660">
        <v>0</v>
      </c>
      <c r="BJ240" s="660">
        <v>0</v>
      </c>
      <c r="BK240" s="660">
        <v>0</v>
      </c>
      <c r="BL240" s="660">
        <f t="shared" si="1173"/>
        <v>0</v>
      </c>
      <c r="BM240" s="660">
        <f t="shared" si="1173"/>
        <v>0</v>
      </c>
      <c r="BN240" s="660">
        <f t="shared" si="1174"/>
        <v>0</v>
      </c>
      <c r="BO240" s="660">
        <f t="shared" si="1174"/>
        <v>0</v>
      </c>
      <c r="BP240" s="660">
        <f t="shared" si="1175"/>
        <v>0</v>
      </c>
      <c r="BQ240" s="660">
        <f t="shared" si="1175"/>
        <v>0</v>
      </c>
      <c r="BR240" s="660">
        <v>0</v>
      </c>
      <c r="BS240" s="660">
        <v>0</v>
      </c>
      <c r="BT240" s="660">
        <f t="shared" si="1148"/>
        <v>0</v>
      </c>
      <c r="BU240" s="660">
        <f t="shared" si="1148"/>
        <v>0</v>
      </c>
      <c r="BX240" s="660">
        <v>0</v>
      </c>
      <c r="BY240" s="660">
        <f t="shared" si="1176"/>
        <v>0</v>
      </c>
      <c r="BZ240" s="660">
        <f t="shared" si="1149"/>
        <v>0</v>
      </c>
      <c r="CA240" s="660">
        <f t="shared" si="1150"/>
        <v>0</v>
      </c>
      <c r="CB240" s="660">
        <f t="shared" si="1151"/>
        <v>0</v>
      </c>
      <c r="CC240" s="660">
        <f t="shared" si="1152"/>
        <v>0</v>
      </c>
      <c r="CD240" s="660">
        <f t="shared" si="1177"/>
        <v>0</v>
      </c>
    </row>
    <row r="241" spans="4:82" ht="16" hidden="1" thickTop="1" thickBot="1">
      <c r="D241" s="653"/>
      <c r="E241" s="654"/>
      <c r="F241" s="655" t="str">
        <f t="shared" si="1153"/>
        <v/>
      </c>
      <c r="G241" s="656"/>
      <c r="I241" s="658">
        <f t="shared" si="1154"/>
        <v>0</v>
      </c>
      <c r="J241" s="658">
        <f t="shared" ref="J241" si="1626">IF($G241=0,0,-MIN(0,G241*c_EquityShare.LP))</f>
        <v>0</v>
      </c>
      <c r="K241" s="658">
        <f t="shared" ref="K241" si="1627">I241*c_Rate.Pref_MO</f>
        <v>0</v>
      </c>
      <c r="L241" s="658">
        <f t="shared" si="1130"/>
        <v>0</v>
      </c>
      <c r="M241" s="658">
        <f t="shared" si="1157"/>
        <v>0</v>
      </c>
      <c r="N241" s="658">
        <f t="shared" si="1180"/>
        <v>0</v>
      </c>
      <c r="O241" s="658" cm="1">
        <f t="array" ref="O241">IF(I241=0,0,IF(G241&lt;0,N241/c_EquityShare.LP*i_EquityShare.GP,L241/c_EquityShare.LP*i_EquityShare.GP))</f>
        <v>0</v>
      </c>
      <c r="P241" s="658">
        <f t="shared" si="1158"/>
        <v>0</v>
      </c>
      <c r="Q241" s="658">
        <f t="shared" si="1131"/>
        <v>0</v>
      </c>
      <c r="R241" s="521"/>
      <c r="S241" s="660">
        <f t="shared" si="1159"/>
        <v>0</v>
      </c>
      <c r="T241" s="663" cm="1">
        <f t="array" ref="T241">IF($G241=0,0,-MIN(0,$G241*c_EquityShare.LP))</f>
        <v>0</v>
      </c>
      <c r="U241" s="663" cm="1">
        <f t="array" ref="U241">IF($D241=0,0,S241*c_Rate.Hurdle1.MO)</f>
        <v>0</v>
      </c>
      <c r="V241" s="660">
        <f t="shared" si="1181"/>
        <v>0</v>
      </c>
      <c r="W241" s="660">
        <f t="shared" si="1160"/>
        <v>0</v>
      </c>
      <c r="X241" s="663">
        <f t="shared" si="1182"/>
        <v>0</v>
      </c>
      <c r="Y241" s="663">
        <f t="shared" si="1161"/>
        <v>0</v>
      </c>
      <c r="Z241" s="663">
        <f t="shared" ref="Z241" si="1628">IF(S241=0,0,O241+W241/$J$17*c_Hurdle1.Share_GP)</f>
        <v>0</v>
      </c>
      <c r="AA241" s="663">
        <f t="shared" si="1133"/>
        <v>0</v>
      </c>
      <c r="AB241" s="660">
        <f t="shared" si="1184"/>
        <v>0</v>
      </c>
      <c r="AC241" s="521"/>
      <c r="AD241" s="663">
        <f t="shared" si="1323"/>
        <v>0</v>
      </c>
      <c r="AE241" s="663">
        <f t="shared" ref="AE241" si="1629">IF($G241=0,0,-MIN(0,$G241*c_EquityShare.LP))</f>
        <v>0</v>
      </c>
      <c r="AF241" s="663" cm="1">
        <f t="array" ref="AF241">IF($D241=0,0,AD241*(c_Rate.Hurdle2.MO))</f>
        <v>0</v>
      </c>
      <c r="AG241" s="663">
        <f t="shared" si="1135"/>
        <v>0</v>
      </c>
      <c r="AH241" s="663">
        <f t="shared" si="1164"/>
        <v>0</v>
      </c>
      <c r="AI241" s="663">
        <f t="shared" si="1136"/>
        <v>0</v>
      </c>
      <c r="AJ241" s="664">
        <f t="shared" si="1137"/>
        <v>0</v>
      </c>
      <c r="AK241" s="660">
        <f t="shared" si="1138"/>
        <v>0</v>
      </c>
      <c r="AL241" s="663">
        <f t="shared" ref="AL241" si="1630">IF(AD241=0,0,Z241+AH241/$J$18*c_Hurdle2.Share_GP)</f>
        <v>0</v>
      </c>
      <c r="AM241" s="663">
        <f t="shared" si="1140"/>
        <v>0</v>
      </c>
      <c r="AN241" s="660">
        <f t="shared" si="1187"/>
        <v>0</v>
      </c>
      <c r="AO241" s="521"/>
      <c r="AP241" s="663">
        <f t="shared" si="1326"/>
        <v>0</v>
      </c>
      <c r="AQ241" s="663">
        <f t="shared" ref="AQ241" si="1631">IF($G241=0,0,-MIN(0,$G241*c_EquityShare.LP))</f>
        <v>0</v>
      </c>
      <c r="AR241" s="663" cm="1">
        <f t="array" ref="AR241">IF($D241=0,0,AP241*(c_Rate.Hurdle3.MO))</f>
        <v>0</v>
      </c>
      <c r="AS241" s="663">
        <f t="shared" si="1142"/>
        <v>0</v>
      </c>
      <c r="AT241" s="663">
        <f t="shared" si="1167"/>
        <v>0</v>
      </c>
      <c r="AU241" s="663">
        <f t="shared" si="1143"/>
        <v>0</v>
      </c>
      <c r="AV241" s="664">
        <f t="shared" si="1144"/>
        <v>0</v>
      </c>
      <c r="AW241" s="660">
        <f t="shared" si="1168"/>
        <v>0</v>
      </c>
      <c r="AX241" s="663">
        <f t="shared" ref="AX241" si="1632">IF(AP241=0,0,AL241+AT241/$J$19*c_Hurdle3.Share_GP)</f>
        <v>0</v>
      </c>
      <c r="AY241" s="663">
        <f t="shared" si="1170"/>
        <v>0</v>
      </c>
      <c r="AZ241" s="660">
        <f t="shared" si="1190"/>
        <v>0</v>
      </c>
      <c r="BA241" s="521"/>
      <c r="BB241" s="660">
        <f t="shared" si="590"/>
        <v>0</v>
      </c>
      <c r="BC241" s="660">
        <f t="shared" ref="BC241" si="1633">$AZ241*c_Residual.Share_GP</f>
        <v>0</v>
      </c>
      <c r="BD241" s="651"/>
      <c r="BE241" s="660">
        <f t="shared" si="1172"/>
        <v>0</v>
      </c>
      <c r="BF241" s="660">
        <f t="shared" si="1172"/>
        <v>0</v>
      </c>
      <c r="BG241" s="660">
        <f t="shared" si="1147"/>
        <v>0</v>
      </c>
      <c r="BI241" s="660">
        <v>0</v>
      </c>
      <c r="BJ241" s="660">
        <v>0</v>
      </c>
      <c r="BK241" s="660">
        <v>0</v>
      </c>
      <c r="BL241" s="660">
        <f t="shared" si="1173"/>
        <v>0</v>
      </c>
      <c r="BM241" s="660">
        <f t="shared" si="1173"/>
        <v>0</v>
      </c>
      <c r="BN241" s="660">
        <f t="shared" si="1174"/>
        <v>0</v>
      </c>
      <c r="BO241" s="660">
        <f t="shared" si="1174"/>
        <v>0</v>
      </c>
      <c r="BP241" s="660">
        <f t="shared" si="1175"/>
        <v>0</v>
      </c>
      <c r="BQ241" s="660">
        <f t="shared" si="1175"/>
        <v>0</v>
      </c>
      <c r="BR241" s="660">
        <v>0</v>
      </c>
      <c r="BS241" s="660">
        <v>0</v>
      </c>
      <c r="BT241" s="660">
        <f t="shared" si="1148"/>
        <v>0</v>
      </c>
      <c r="BU241" s="660">
        <f t="shared" si="1148"/>
        <v>0</v>
      </c>
      <c r="BX241" s="660">
        <v>0</v>
      </c>
      <c r="BY241" s="660">
        <f t="shared" si="1176"/>
        <v>0</v>
      </c>
      <c r="BZ241" s="660">
        <f t="shared" si="1149"/>
        <v>0</v>
      </c>
      <c r="CA241" s="660">
        <f t="shared" si="1150"/>
        <v>0</v>
      </c>
      <c r="CB241" s="660">
        <f t="shared" si="1151"/>
        <v>0</v>
      </c>
      <c r="CC241" s="660">
        <f t="shared" si="1152"/>
        <v>0</v>
      </c>
      <c r="CD241" s="660">
        <f t="shared" si="1177"/>
        <v>0</v>
      </c>
    </row>
    <row r="242" spans="4:82" ht="16" hidden="1" thickTop="1" thickBot="1">
      <c r="D242" s="653"/>
      <c r="E242" s="654"/>
      <c r="F242" s="655" t="str">
        <f t="shared" si="1153"/>
        <v/>
      </c>
      <c r="G242" s="656"/>
      <c r="I242" s="658">
        <f t="shared" si="1154"/>
        <v>0</v>
      </c>
      <c r="J242" s="658">
        <f t="shared" ref="J242" si="1634">IF($G242=0,0,-MIN(0,G242*c_EquityShare.LP))</f>
        <v>0</v>
      </c>
      <c r="K242" s="658">
        <f t="shared" ref="K242" si="1635">I242*c_Rate.Pref_MO</f>
        <v>0</v>
      </c>
      <c r="L242" s="658">
        <f t="shared" si="1130"/>
        <v>0</v>
      </c>
      <c r="M242" s="658">
        <f t="shared" si="1157"/>
        <v>0</v>
      </c>
      <c r="N242" s="658">
        <f t="shared" si="1180"/>
        <v>0</v>
      </c>
      <c r="O242" s="658" cm="1">
        <f t="array" ref="O242">IF(I242=0,0,IF(G242&lt;0,N242/c_EquityShare.LP*i_EquityShare.GP,L242/c_EquityShare.LP*i_EquityShare.GP))</f>
        <v>0</v>
      </c>
      <c r="P242" s="658">
        <f t="shared" si="1158"/>
        <v>0</v>
      </c>
      <c r="Q242" s="658">
        <f t="shared" si="1131"/>
        <v>0</v>
      </c>
      <c r="R242" s="521"/>
      <c r="S242" s="660">
        <f t="shared" si="1159"/>
        <v>0</v>
      </c>
      <c r="T242" s="663" cm="1">
        <f t="array" ref="T242">IF($G242=0,0,-MIN(0,$G242*c_EquityShare.LP))</f>
        <v>0</v>
      </c>
      <c r="U242" s="663" cm="1">
        <f t="array" ref="U242">IF($D242=0,0,S242*c_Rate.Hurdle1.MO)</f>
        <v>0</v>
      </c>
      <c r="V242" s="660">
        <f t="shared" si="1181"/>
        <v>0</v>
      </c>
      <c r="W242" s="660">
        <f t="shared" si="1160"/>
        <v>0</v>
      </c>
      <c r="X242" s="663">
        <f t="shared" si="1182"/>
        <v>0</v>
      </c>
      <c r="Y242" s="663">
        <f t="shared" si="1161"/>
        <v>0</v>
      </c>
      <c r="Z242" s="663">
        <f t="shared" ref="Z242" si="1636">IF(S242=0,0,O242+W242/$J$17*c_Hurdle1.Share_GP)</f>
        <v>0</v>
      </c>
      <c r="AA242" s="663">
        <f t="shared" si="1133"/>
        <v>0</v>
      </c>
      <c r="AB242" s="660">
        <f t="shared" si="1184"/>
        <v>0</v>
      </c>
      <c r="AC242" s="521"/>
      <c r="AD242" s="663">
        <f t="shared" si="1323"/>
        <v>0</v>
      </c>
      <c r="AE242" s="663">
        <f t="shared" ref="AE242" si="1637">IF($G242=0,0,-MIN(0,$G242*c_EquityShare.LP))</f>
        <v>0</v>
      </c>
      <c r="AF242" s="663" cm="1">
        <f t="array" ref="AF242">IF($D242=0,0,AD242*(c_Rate.Hurdle2.MO))</f>
        <v>0</v>
      </c>
      <c r="AG242" s="663">
        <f t="shared" si="1135"/>
        <v>0</v>
      </c>
      <c r="AH242" s="663">
        <f t="shared" si="1164"/>
        <v>0</v>
      </c>
      <c r="AI242" s="663">
        <f t="shared" si="1136"/>
        <v>0</v>
      </c>
      <c r="AJ242" s="664">
        <f t="shared" si="1137"/>
        <v>0</v>
      </c>
      <c r="AK242" s="660">
        <f t="shared" si="1138"/>
        <v>0</v>
      </c>
      <c r="AL242" s="663">
        <f t="shared" ref="AL242" si="1638">IF(AD242=0,0,Z242+AH242/$J$18*c_Hurdle2.Share_GP)</f>
        <v>0</v>
      </c>
      <c r="AM242" s="663">
        <f t="shared" si="1140"/>
        <v>0</v>
      </c>
      <c r="AN242" s="660">
        <f t="shared" si="1187"/>
        <v>0</v>
      </c>
      <c r="AO242" s="521"/>
      <c r="AP242" s="663">
        <f t="shared" si="1326"/>
        <v>0</v>
      </c>
      <c r="AQ242" s="663">
        <f t="shared" ref="AQ242" si="1639">IF($G242=0,0,-MIN(0,$G242*c_EquityShare.LP))</f>
        <v>0</v>
      </c>
      <c r="AR242" s="663" cm="1">
        <f t="array" ref="AR242">IF($D242=0,0,AP242*(c_Rate.Hurdle3.MO))</f>
        <v>0</v>
      </c>
      <c r="AS242" s="663">
        <f t="shared" si="1142"/>
        <v>0</v>
      </c>
      <c r="AT242" s="663">
        <f t="shared" si="1167"/>
        <v>0</v>
      </c>
      <c r="AU242" s="663">
        <f t="shared" si="1143"/>
        <v>0</v>
      </c>
      <c r="AV242" s="664">
        <f t="shared" si="1144"/>
        <v>0</v>
      </c>
      <c r="AW242" s="660">
        <f t="shared" si="1168"/>
        <v>0</v>
      </c>
      <c r="AX242" s="663">
        <f t="shared" ref="AX242" si="1640">IF(AP242=0,0,AL242+AT242/$J$19*c_Hurdle3.Share_GP)</f>
        <v>0</v>
      </c>
      <c r="AY242" s="663">
        <f t="shared" si="1170"/>
        <v>0</v>
      </c>
      <c r="AZ242" s="660">
        <f t="shared" si="1190"/>
        <v>0</v>
      </c>
      <c r="BA242" s="521"/>
      <c r="BB242" s="660">
        <f t="shared" si="590"/>
        <v>0</v>
      </c>
      <c r="BC242" s="660">
        <f t="shared" ref="BC242" si="1641">$AZ242*c_Residual.Share_GP</f>
        <v>0</v>
      </c>
      <c r="BD242" s="651"/>
      <c r="BE242" s="660">
        <f t="shared" si="1172"/>
        <v>0</v>
      </c>
      <c r="BF242" s="660">
        <f t="shared" si="1172"/>
        <v>0</v>
      </c>
      <c r="BG242" s="660">
        <f t="shared" si="1147"/>
        <v>0</v>
      </c>
      <c r="BI242" s="660">
        <v>0</v>
      </c>
      <c r="BJ242" s="660">
        <v>0</v>
      </c>
      <c r="BK242" s="660">
        <v>0</v>
      </c>
      <c r="BL242" s="660">
        <f t="shared" si="1173"/>
        <v>0</v>
      </c>
      <c r="BM242" s="660">
        <f t="shared" si="1173"/>
        <v>0</v>
      </c>
      <c r="BN242" s="660">
        <f t="shared" si="1174"/>
        <v>0</v>
      </c>
      <c r="BO242" s="660">
        <f t="shared" si="1174"/>
        <v>0</v>
      </c>
      <c r="BP242" s="660">
        <f t="shared" si="1175"/>
        <v>0</v>
      </c>
      <c r="BQ242" s="660">
        <f t="shared" si="1175"/>
        <v>0</v>
      </c>
      <c r="BR242" s="660">
        <v>0</v>
      </c>
      <c r="BS242" s="660">
        <v>0</v>
      </c>
      <c r="BT242" s="660">
        <f t="shared" si="1148"/>
        <v>0</v>
      </c>
      <c r="BU242" s="660">
        <f t="shared" si="1148"/>
        <v>0</v>
      </c>
      <c r="BX242" s="660">
        <v>0</v>
      </c>
      <c r="BY242" s="660">
        <f t="shared" si="1176"/>
        <v>0</v>
      </c>
      <c r="BZ242" s="660">
        <f t="shared" si="1149"/>
        <v>0</v>
      </c>
      <c r="CA242" s="660">
        <f t="shared" si="1150"/>
        <v>0</v>
      </c>
      <c r="CB242" s="660">
        <f t="shared" si="1151"/>
        <v>0</v>
      </c>
      <c r="CC242" s="660">
        <f t="shared" si="1152"/>
        <v>0</v>
      </c>
      <c r="CD242" s="660">
        <f t="shared" si="1177"/>
        <v>0</v>
      </c>
    </row>
    <row r="243" spans="4:82" ht="16" hidden="1" thickTop="1" thickBot="1">
      <c r="D243" s="653"/>
      <c r="E243" s="654"/>
      <c r="F243" s="655" t="str">
        <f t="shared" si="1153"/>
        <v/>
      </c>
      <c r="G243" s="656"/>
      <c r="I243" s="658">
        <f t="shared" si="1154"/>
        <v>0</v>
      </c>
      <c r="J243" s="658">
        <f t="shared" ref="J243" si="1642">IF($G243=0,0,-MIN(0,G243*c_EquityShare.LP))</f>
        <v>0</v>
      </c>
      <c r="K243" s="658">
        <f t="shared" ref="K243" si="1643">I243*c_Rate.Pref_MO</f>
        <v>0</v>
      </c>
      <c r="L243" s="658">
        <f t="shared" si="1130"/>
        <v>0</v>
      </c>
      <c r="M243" s="658">
        <f t="shared" si="1157"/>
        <v>0</v>
      </c>
      <c r="N243" s="658">
        <f t="shared" si="1180"/>
        <v>0</v>
      </c>
      <c r="O243" s="658" cm="1">
        <f t="array" ref="O243">IF(I243=0,0,IF(G243&lt;0,N243/c_EquityShare.LP*i_EquityShare.GP,L243/c_EquityShare.LP*i_EquityShare.GP))</f>
        <v>0</v>
      </c>
      <c r="P243" s="658">
        <f t="shared" si="1158"/>
        <v>0</v>
      </c>
      <c r="Q243" s="658">
        <f t="shared" si="1131"/>
        <v>0</v>
      </c>
      <c r="R243" s="521"/>
      <c r="S243" s="660">
        <f t="shared" si="1159"/>
        <v>0</v>
      </c>
      <c r="T243" s="663" cm="1">
        <f t="array" ref="T243">IF($G243=0,0,-MIN(0,$G243*c_EquityShare.LP))</f>
        <v>0</v>
      </c>
      <c r="U243" s="663" cm="1">
        <f t="array" ref="U243">IF($D243=0,0,S243*c_Rate.Hurdle1.MO)</f>
        <v>0</v>
      </c>
      <c r="V243" s="660">
        <f t="shared" si="1181"/>
        <v>0</v>
      </c>
      <c r="W243" s="660">
        <f t="shared" si="1160"/>
        <v>0</v>
      </c>
      <c r="X243" s="663">
        <f t="shared" si="1182"/>
        <v>0</v>
      </c>
      <c r="Y243" s="663">
        <f t="shared" si="1161"/>
        <v>0</v>
      </c>
      <c r="Z243" s="663">
        <f t="shared" ref="Z243" si="1644">IF(S243=0,0,O243+W243/$J$17*c_Hurdle1.Share_GP)</f>
        <v>0</v>
      </c>
      <c r="AA243" s="663">
        <f t="shared" si="1133"/>
        <v>0</v>
      </c>
      <c r="AB243" s="660">
        <f t="shared" si="1184"/>
        <v>0</v>
      </c>
      <c r="AC243" s="521"/>
      <c r="AD243" s="663">
        <f t="shared" si="1323"/>
        <v>0</v>
      </c>
      <c r="AE243" s="663">
        <f t="shared" ref="AE243" si="1645">IF($G243=0,0,-MIN(0,$G243*c_EquityShare.LP))</f>
        <v>0</v>
      </c>
      <c r="AF243" s="663" cm="1">
        <f t="array" ref="AF243">IF($D243=0,0,AD243*(c_Rate.Hurdle2.MO))</f>
        <v>0</v>
      </c>
      <c r="AG243" s="663">
        <f t="shared" si="1135"/>
        <v>0</v>
      </c>
      <c r="AH243" s="663">
        <f t="shared" si="1164"/>
        <v>0</v>
      </c>
      <c r="AI243" s="663">
        <f t="shared" si="1136"/>
        <v>0</v>
      </c>
      <c r="AJ243" s="664">
        <f t="shared" si="1137"/>
        <v>0</v>
      </c>
      <c r="AK243" s="660">
        <f t="shared" si="1138"/>
        <v>0</v>
      </c>
      <c r="AL243" s="663">
        <f t="shared" ref="AL243" si="1646">IF(AD243=0,0,Z243+AH243/$J$18*c_Hurdle2.Share_GP)</f>
        <v>0</v>
      </c>
      <c r="AM243" s="663">
        <f t="shared" si="1140"/>
        <v>0</v>
      </c>
      <c r="AN243" s="660">
        <f t="shared" si="1187"/>
        <v>0</v>
      </c>
      <c r="AO243" s="521"/>
      <c r="AP243" s="663">
        <f t="shared" si="1326"/>
        <v>0</v>
      </c>
      <c r="AQ243" s="663">
        <f t="shared" ref="AQ243" si="1647">IF($G243=0,0,-MIN(0,$G243*c_EquityShare.LP))</f>
        <v>0</v>
      </c>
      <c r="AR243" s="663" cm="1">
        <f t="array" ref="AR243">IF($D243=0,0,AP243*(c_Rate.Hurdle3.MO))</f>
        <v>0</v>
      </c>
      <c r="AS243" s="663">
        <f t="shared" si="1142"/>
        <v>0</v>
      </c>
      <c r="AT243" s="663">
        <f t="shared" si="1167"/>
        <v>0</v>
      </c>
      <c r="AU243" s="663">
        <f t="shared" si="1143"/>
        <v>0</v>
      </c>
      <c r="AV243" s="664">
        <f t="shared" si="1144"/>
        <v>0</v>
      </c>
      <c r="AW243" s="660">
        <f t="shared" si="1168"/>
        <v>0</v>
      </c>
      <c r="AX243" s="663">
        <f t="shared" ref="AX243" si="1648">IF(AP243=0,0,AL243+AT243/$J$19*c_Hurdle3.Share_GP)</f>
        <v>0</v>
      </c>
      <c r="AY243" s="663">
        <f t="shared" si="1170"/>
        <v>0</v>
      </c>
      <c r="AZ243" s="660">
        <f t="shared" si="1190"/>
        <v>0</v>
      </c>
      <c r="BA243" s="521"/>
      <c r="BB243" s="660">
        <f t="shared" si="590"/>
        <v>0</v>
      </c>
      <c r="BC243" s="660">
        <f t="shared" ref="BC243" si="1649">$AZ243*c_Residual.Share_GP</f>
        <v>0</v>
      </c>
      <c r="BD243" s="651"/>
      <c r="BE243" s="660">
        <f t="shared" si="1172"/>
        <v>0</v>
      </c>
      <c r="BF243" s="660">
        <f t="shared" si="1172"/>
        <v>0</v>
      </c>
      <c r="BG243" s="660">
        <f t="shared" si="1147"/>
        <v>0</v>
      </c>
      <c r="BI243" s="660">
        <v>0</v>
      </c>
      <c r="BJ243" s="660">
        <v>0</v>
      </c>
      <c r="BK243" s="660">
        <v>0</v>
      </c>
      <c r="BL243" s="660">
        <f t="shared" si="1173"/>
        <v>0</v>
      </c>
      <c r="BM243" s="660">
        <f t="shared" si="1173"/>
        <v>0</v>
      </c>
      <c r="BN243" s="660">
        <f t="shared" si="1174"/>
        <v>0</v>
      </c>
      <c r="BO243" s="660">
        <f t="shared" si="1174"/>
        <v>0</v>
      </c>
      <c r="BP243" s="660">
        <f t="shared" si="1175"/>
        <v>0</v>
      </c>
      <c r="BQ243" s="660">
        <f t="shared" si="1175"/>
        <v>0</v>
      </c>
      <c r="BR243" s="660">
        <v>0</v>
      </c>
      <c r="BS243" s="660">
        <v>0</v>
      </c>
      <c r="BT243" s="660">
        <f t="shared" si="1148"/>
        <v>0</v>
      </c>
      <c r="BU243" s="660">
        <f t="shared" si="1148"/>
        <v>0</v>
      </c>
      <c r="BX243" s="660">
        <v>0</v>
      </c>
      <c r="BY243" s="660">
        <f t="shared" si="1176"/>
        <v>0</v>
      </c>
      <c r="BZ243" s="660">
        <f t="shared" si="1149"/>
        <v>0</v>
      </c>
      <c r="CA243" s="660">
        <f t="shared" si="1150"/>
        <v>0</v>
      </c>
      <c r="CB243" s="660">
        <f t="shared" si="1151"/>
        <v>0</v>
      </c>
      <c r="CC243" s="660">
        <f t="shared" si="1152"/>
        <v>0</v>
      </c>
      <c r="CD243" s="660">
        <f t="shared" si="1177"/>
        <v>0</v>
      </c>
    </row>
    <row r="244" spans="4:82" ht="16" hidden="1" thickTop="1" thickBot="1">
      <c r="D244" s="653"/>
      <c r="E244" s="654"/>
      <c r="F244" s="655" t="str">
        <f t="shared" si="1153"/>
        <v/>
      </c>
      <c r="G244" s="656"/>
      <c r="I244" s="658">
        <f t="shared" si="1154"/>
        <v>0</v>
      </c>
      <c r="J244" s="658">
        <f t="shared" ref="J244" si="1650">IF($G244=0,0,-MIN(0,G244*c_EquityShare.LP))</f>
        <v>0</v>
      </c>
      <c r="K244" s="658">
        <f t="shared" ref="K244" si="1651">I244*c_Rate.Pref_MO</f>
        <v>0</v>
      </c>
      <c r="L244" s="658">
        <f t="shared" si="1130"/>
        <v>0</v>
      </c>
      <c r="M244" s="658">
        <f t="shared" si="1157"/>
        <v>0</v>
      </c>
      <c r="N244" s="658">
        <f t="shared" si="1180"/>
        <v>0</v>
      </c>
      <c r="O244" s="658" cm="1">
        <f t="array" ref="O244">IF(I244=0,0,IF(G244&lt;0,N244/c_EquityShare.LP*i_EquityShare.GP,L244/c_EquityShare.LP*i_EquityShare.GP))</f>
        <v>0</v>
      </c>
      <c r="P244" s="658">
        <f t="shared" si="1158"/>
        <v>0</v>
      </c>
      <c r="Q244" s="658">
        <f t="shared" si="1131"/>
        <v>0</v>
      </c>
      <c r="R244" s="521"/>
      <c r="S244" s="660">
        <f t="shared" si="1159"/>
        <v>0</v>
      </c>
      <c r="T244" s="663" cm="1">
        <f t="array" ref="T244">IF($G244=0,0,-MIN(0,$G244*c_EquityShare.LP))</f>
        <v>0</v>
      </c>
      <c r="U244" s="663" cm="1">
        <f t="array" ref="U244">IF($D244=0,0,S244*c_Rate.Hurdle1.MO)</f>
        <v>0</v>
      </c>
      <c r="V244" s="660">
        <f t="shared" si="1181"/>
        <v>0</v>
      </c>
      <c r="W244" s="660">
        <f t="shared" si="1160"/>
        <v>0</v>
      </c>
      <c r="X244" s="663">
        <f t="shared" si="1182"/>
        <v>0</v>
      </c>
      <c r="Y244" s="663">
        <f t="shared" si="1161"/>
        <v>0</v>
      </c>
      <c r="Z244" s="663">
        <f t="shared" ref="Z244" si="1652">IF(S244=0,0,O244+W244/$J$17*c_Hurdle1.Share_GP)</f>
        <v>0</v>
      </c>
      <c r="AA244" s="663">
        <f t="shared" si="1133"/>
        <v>0</v>
      </c>
      <c r="AB244" s="660">
        <f t="shared" si="1184"/>
        <v>0</v>
      </c>
      <c r="AC244" s="521"/>
      <c r="AD244" s="663">
        <f t="shared" si="1323"/>
        <v>0</v>
      </c>
      <c r="AE244" s="663">
        <f t="shared" ref="AE244" si="1653">IF($G244=0,0,-MIN(0,$G244*c_EquityShare.LP))</f>
        <v>0</v>
      </c>
      <c r="AF244" s="663" cm="1">
        <f t="array" ref="AF244">IF($D244=0,0,AD244*(c_Rate.Hurdle2.MO))</f>
        <v>0</v>
      </c>
      <c r="AG244" s="663">
        <f t="shared" si="1135"/>
        <v>0</v>
      </c>
      <c r="AH244" s="663">
        <f t="shared" si="1164"/>
        <v>0</v>
      </c>
      <c r="AI244" s="663">
        <f t="shared" si="1136"/>
        <v>0</v>
      </c>
      <c r="AJ244" s="664">
        <f t="shared" si="1137"/>
        <v>0</v>
      </c>
      <c r="AK244" s="660">
        <f t="shared" si="1138"/>
        <v>0</v>
      </c>
      <c r="AL244" s="663">
        <f t="shared" ref="AL244" si="1654">IF(AD244=0,0,Z244+AH244/$J$18*c_Hurdle2.Share_GP)</f>
        <v>0</v>
      </c>
      <c r="AM244" s="663">
        <f t="shared" si="1140"/>
        <v>0</v>
      </c>
      <c r="AN244" s="660">
        <f t="shared" si="1187"/>
        <v>0</v>
      </c>
      <c r="AO244" s="521"/>
      <c r="AP244" s="663">
        <f t="shared" si="1326"/>
        <v>0</v>
      </c>
      <c r="AQ244" s="663">
        <f t="shared" ref="AQ244" si="1655">IF($G244=0,0,-MIN(0,$G244*c_EquityShare.LP))</f>
        <v>0</v>
      </c>
      <c r="AR244" s="663" cm="1">
        <f t="array" ref="AR244">IF($D244=0,0,AP244*(c_Rate.Hurdle3.MO))</f>
        <v>0</v>
      </c>
      <c r="AS244" s="663">
        <f t="shared" si="1142"/>
        <v>0</v>
      </c>
      <c r="AT244" s="663">
        <f t="shared" si="1167"/>
        <v>0</v>
      </c>
      <c r="AU244" s="663">
        <f t="shared" si="1143"/>
        <v>0</v>
      </c>
      <c r="AV244" s="664">
        <f t="shared" si="1144"/>
        <v>0</v>
      </c>
      <c r="AW244" s="660">
        <f t="shared" si="1168"/>
        <v>0</v>
      </c>
      <c r="AX244" s="663">
        <f t="shared" ref="AX244" si="1656">IF(AP244=0,0,AL244+AT244/$J$19*c_Hurdle3.Share_GP)</f>
        <v>0</v>
      </c>
      <c r="AY244" s="663">
        <f t="shared" si="1170"/>
        <v>0</v>
      </c>
      <c r="AZ244" s="660">
        <f t="shared" si="1190"/>
        <v>0</v>
      </c>
      <c r="BA244" s="521"/>
      <c r="BB244" s="660">
        <f t="shared" si="590"/>
        <v>0</v>
      </c>
      <c r="BC244" s="660">
        <f t="shared" ref="BC244" si="1657">$AZ244*c_Residual.Share_GP</f>
        <v>0</v>
      </c>
      <c r="BD244" s="651"/>
      <c r="BE244" s="660">
        <f t="shared" si="1172"/>
        <v>0</v>
      </c>
      <c r="BF244" s="660">
        <f t="shared" si="1172"/>
        <v>0</v>
      </c>
      <c r="BG244" s="660">
        <f t="shared" si="1147"/>
        <v>0</v>
      </c>
      <c r="BI244" s="660">
        <v>0</v>
      </c>
      <c r="BJ244" s="660">
        <v>0</v>
      </c>
      <c r="BK244" s="660">
        <v>0</v>
      </c>
      <c r="BL244" s="660">
        <f t="shared" si="1173"/>
        <v>0</v>
      </c>
      <c r="BM244" s="660">
        <f t="shared" si="1173"/>
        <v>0</v>
      </c>
      <c r="BN244" s="660">
        <f t="shared" si="1174"/>
        <v>0</v>
      </c>
      <c r="BO244" s="660">
        <f t="shared" si="1174"/>
        <v>0</v>
      </c>
      <c r="BP244" s="660">
        <f t="shared" si="1175"/>
        <v>0</v>
      </c>
      <c r="BQ244" s="660">
        <f t="shared" si="1175"/>
        <v>0</v>
      </c>
      <c r="BR244" s="660">
        <v>0</v>
      </c>
      <c r="BS244" s="660">
        <v>0</v>
      </c>
      <c r="BT244" s="660">
        <f t="shared" si="1148"/>
        <v>0</v>
      </c>
      <c r="BU244" s="660">
        <f t="shared" si="1148"/>
        <v>0</v>
      </c>
      <c r="BX244" s="660">
        <v>0</v>
      </c>
      <c r="BY244" s="660">
        <f t="shared" si="1176"/>
        <v>0</v>
      </c>
      <c r="BZ244" s="660">
        <f t="shared" si="1149"/>
        <v>0</v>
      </c>
      <c r="CA244" s="660">
        <f t="shared" si="1150"/>
        <v>0</v>
      </c>
      <c r="CB244" s="660">
        <f t="shared" si="1151"/>
        <v>0</v>
      </c>
      <c r="CC244" s="660">
        <f t="shared" si="1152"/>
        <v>0</v>
      </c>
      <c r="CD244" s="660">
        <f t="shared" si="1177"/>
        <v>0</v>
      </c>
    </row>
    <row r="245" spans="4:82" ht="16" hidden="1" thickTop="1" thickBot="1">
      <c r="D245" s="653"/>
      <c r="E245" s="654"/>
      <c r="F245" s="655" t="str">
        <f t="shared" si="1153"/>
        <v/>
      </c>
      <c r="G245" s="656"/>
      <c r="I245" s="658">
        <f t="shared" si="1154"/>
        <v>0</v>
      </c>
      <c r="J245" s="658">
        <f t="shared" ref="J245" si="1658">IF($G245=0,0,-MIN(0,G245*c_EquityShare.LP))</f>
        <v>0</v>
      </c>
      <c r="K245" s="658">
        <f t="shared" ref="K245" si="1659">I245*c_Rate.Pref_MO</f>
        <v>0</v>
      </c>
      <c r="L245" s="658">
        <f t="shared" si="1130"/>
        <v>0</v>
      </c>
      <c r="M245" s="658">
        <f t="shared" si="1157"/>
        <v>0</v>
      </c>
      <c r="N245" s="658">
        <f t="shared" si="1180"/>
        <v>0</v>
      </c>
      <c r="O245" s="658" cm="1">
        <f t="array" ref="O245">IF(I245=0,0,IF(G245&lt;0,N245/c_EquityShare.LP*i_EquityShare.GP,L245/c_EquityShare.LP*i_EquityShare.GP))</f>
        <v>0</v>
      </c>
      <c r="P245" s="658">
        <f t="shared" si="1158"/>
        <v>0</v>
      </c>
      <c r="Q245" s="658">
        <f t="shared" si="1131"/>
        <v>0</v>
      </c>
      <c r="R245" s="521"/>
      <c r="S245" s="660">
        <f t="shared" si="1159"/>
        <v>0</v>
      </c>
      <c r="T245" s="663" cm="1">
        <f t="array" ref="T245">IF($G245=0,0,-MIN(0,$G245*c_EquityShare.LP))</f>
        <v>0</v>
      </c>
      <c r="U245" s="663" cm="1">
        <f t="array" ref="U245">IF($D245=0,0,S245*c_Rate.Hurdle1.MO)</f>
        <v>0</v>
      </c>
      <c r="V245" s="660">
        <f t="shared" si="1181"/>
        <v>0</v>
      </c>
      <c r="W245" s="660">
        <f t="shared" si="1160"/>
        <v>0</v>
      </c>
      <c r="X245" s="663">
        <f t="shared" si="1182"/>
        <v>0</v>
      </c>
      <c r="Y245" s="663">
        <f t="shared" si="1161"/>
        <v>0</v>
      </c>
      <c r="Z245" s="663">
        <f t="shared" ref="Z245" si="1660">IF(S245=0,0,O245+W245/$J$17*c_Hurdle1.Share_GP)</f>
        <v>0</v>
      </c>
      <c r="AA245" s="663">
        <f t="shared" si="1133"/>
        <v>0</v>
      </c>
      <c r="AB245" s="660">
        <f t="shared" si="1184"/>
        <v>0</v>
      </c>
      <c r="AC245" s="521"/>
      <c r="AD245" s="663">
        <f t="shared" si="1323"/>
        <v>0</v>
      </c>
      <c r="AE245" s="663">
        <f t="shared" ref="AE245" si="1661">IF($G245=0,0,-MIN(0,$G245*c_EquityShare.LP))</f>
        <v>0</v>
      </c>
      <c r="AF245" s="663" cm="1">
        <f t="array" ref="AF245">IF($D245=0,0,AD245*(c_Rate.Hurdle2.MO))</f>
        <v>0</v>
      </c>
      <c r="AG245" s="663">
        <f t="shared" si="1135"/>
        <v>0</v>
      </c>
      <c r="AH245" s="663">
        <f t="shared" si="1164"/>
        <v>0</v>
      </c>
      <c r="AI245" s="663">
        <f t="shared" si="1136"/>
        <v>0</v>
      </c>
      <c r="AJ245" s="664">
        <f t="shared" si="1137"/>
        <v>0</v>
      </c>
      <c r="AK245" s="660">
        <f t="shared" si="1138"/>
        <v>0</v>
      </c>
      <c r="AL245" s="663">
        <f t="shared" ref="AL245" si="1662">IF(AD245=0,0,Z245+AH245/$J$18*c_Hurdle2.Share_GP)</f>
        <v>0</v>
      </c>
      <c r="AM245" s="663">
        <f t="shared" si="1140"/>
        <v>0</v>
      </c>
      <c r="AN245" s="660">
        <f t="shared" si="1187"/>
        <v>0</v>
      </c>
      <c r="AO245" s="521"/>
      <c r="AP245" s="663">
        <f t="shared" si="1326"/>
        <v>0</v>
      </c>
      <c r="AQ245" s="663">
        <f t="shared" ref="AQ245" si="1663">IF($G245=0,0,-MIN(0,$G245*c_EquityShare.LP))</f>
        <v>0</v>
      </c>
      <c r="AR245" s="663" cm="1">
        <f t="array" ref="AR245">IF($D245=0,0,AP245*(c_Rate.Hurdle3.MO))</f>
        <v>0</v>
      </c>
      <c r="AS245" s="663">
        <f t="shared" si="1142"/>
        <v>0</v>
      </c>
      <c r="AT245" s="663">
        <f t="shared" si="1167"/>
        <v>0</v>
      </c>
      <c r="AU245" s="663">
        <f t="shared" si="1143"/>
        <v>0</v>
      </c>
      <c r="AV245" s="664">
        <f t="shared" si="1144"/>
        <v>0</v>
      </c>
      <c r="AW245" s="660">
        <f t="shared" si="1168"/>
        <v>0</v>
      </c>
      <c r="AX245" s="663">
        <f t="shared" ref="AX245" si="1664">IF(AP245=0,0,AL245+AT245/$J$19*c_Hurdle3.Share_GP)</f>
        <v>0</v>
      </c>
      <c r="AY245" s="663">
        <f t="shared" si="1170"/>
        <v>0</v>
      </c>
      <c r="AZ245" s="660">
        <f t="shared" si="1190"/>
        <v>0</v>
      </c>
      <c r="BA245" s="521"/>
      <c r="BB245" s="660">
        <f t="shared" si="590"/>
        <v>0</v>
      </c>
      <c r="BC245" s="660">
        <f t="shared" ref="BC245" si="1665">$AZ245*c_Residual.Share_GP</f>
        <v>0</v>
      </c>
      <c r="BD245" s="651"/>
      <c r="BE245" s="660">
        <f t="shared" si="1172"/>
        <v>0</v>
      </c>
      <c r="BF245" s="660">
        <f t="shared" si="1172"/>
        <v>0</v>
      </c>
      <c r="BG245" s="660">
        <f t="shared" si="1147"/>
        <v>0</v>
      </c>
      <c r="BI245" s="660">
        <v>0</v>
      </c>
      <c r="BJ245" s="660">
        <v>0</v>
      </c>
      <c r="BK245" s="660">
        <v>0</v>
      </c>
      <c r="BL245" s="660">
        <f t="shared" si="1173"/>
        <v>0</v>
      </c>
      <c r="BM245" s="660">
        <f t="shared" si="1173"/>
        <v>0</v>
      </c>
      <c r="BN245" s="660">
        <f t="shared" si="1174"/>
        <v>0</v>
      </c>
      <c r="BO245" s="660">
        <f t="shared" si="1174"/>
        <v>0</v>
      </c>
      <c r="BP245" s="660">
        <f t="shared" si="1175"/>
        <v>0</v>
      </c>
      <c r="BQ245" s="660">
        <f t="shared" si="1175"/>
        <v>0</v>
      </c>
      <c r="BR245" s="660">
        <v>0</v>
      </c>
      <c r="BS245" s="660">
        <v>0</v>
      </c>
      <c r="BT245" s="660">
        <f t="shared" si="1148"/>
        <v>0</v>
      </c>
      <c r="BU245" s="660">
        <f t="shared" si="1148"/>
        <v>0</v>
      </c>
      <c r="BX245" s="660">
        <v>0</v>
      </c>
      <c r="BY245" s="660">
        <f t="shared" si="1176"/>
        <v>0</v>
      </c>
      <c r="BZ245" s="660">
        <f t="shared" si="1149"/>
        <v>0</v>
      </c>
      <c r="CA245" s="660">
        <f t="shared" si="1150"/>
        <v>0</v>
      </c>
      <c r="CB245" s="660">
        <f t="shared" si="1151"/>
        <v>0</v>
      </c>
      <c r="CC245" s="660">
        <f t="shared" si="1152"/>
        <v>0</v>
      </c>
      <c r="CD245" s="660">
        <f t="shared" si="1177"/>
        <v>0</v>
      </c>
    </row>
    <row r="246" spans="4:82" ht="16" hidden="1" thickTop="1" thickBot="1">
      <c r="D246" s="653"/>
      <c r="E246" s="654"/>
      <c r="F246" s="655" t="str">
        <f t="shared" si="1153"/>
        <v/>
      </c>
      <c r="G246" s="656"/>
      <c r="I246" s="658">
        <f t="shared" si="1154"/>
        <v>0</v>
      </c>
      <c r="J246" s="658">
        <f t="shared" ref="J246" si="1666">IF($G246=0,0,-MIN(0,G246*c_EquityShare.LP))</f>
        <v>0</v>
      </c>
      <c r="K246" s="658">
        <f t="shared" ref="K246" si="1667">I246*c_Rate.Pref_MO</f>
        <v>0</v>
      </c>
      <c r="L246" s="658">
        <f t="shared" si="1130"/>
        <v>0</v>
      </c>
      <c r="M246" s="658">
        <f t="shared" si="1157"/>
        <v>0</v>
      </c>
      <c r="N246" s="658">
        <f t="shared" si="1180"/>
        <v>0</v>
      </c>
      <c r="O246" s="658" cm="1">
        <f t="array" ref="O246">IF(I246=0,0,IF(G246&lt;0,N246/c_EquityShare.LP*i_EquityShare.GP,L246/c_EquityShare.LP*i_EquityShare.GP))</f>
        <v>0</v>
      </c>
      <c r="P246" s="658">
        <f t="shared" si="1158"/>
        <v>0</v>
      </c>
      <c r="Q246" s="658">
        <f t="shared" si="1131"/>
        <v>0</v>
      </c>
      <c r="R246" s="521"/>
      <c r="S246" s="660">
        <f t="shared" si="1159"/>
        <v>0</v>
      </c>
      <c r="T246" s="663" cm="1">
        <f t="array" ref="T246">IF($G246=0,0,-MIN(0,$G246*c_EquityShare.LP))</f>
        <v>0</v>
      </c>
      <c r="U246" s="663" cm="1">
        <f t="array" ref="U246">IF($D246=0,0,S246*c_Rate.Hurdle1.MO)</f>
        <v>0</v>
      </c>
      <c r="V246" s="660">
        <f t="shared" si="1181"/>
        <v>0</v>
      </c>
      <c r="W246" s="660">
        <f t="shared" si="1160"/>
        <v>0</v>
      </c>
      <c r="X246" s="663">
        <f t="shared" si="1182"/>
        <v>0</v>
      </c>
      <c r="Y246" s="663">
        <f t="shared" si="1161"/>
        <v>0</v>
      </c>
      <c r="Z246" s="663">
        <f t="shared" ref="Z246" si="1668">IF(S246=0,0,O246+W246/$J$17*c_Hurdle1.Share_GP)</f>
        <v>0</v>
      </c>
      <c r="AA246" s="663">
        <f t="shared" si="1133"/>
        <v>0</v>
      </c>
      <c r="AB246" s="660">
        <f t="shared" si="1184"/>
        <v>0</v>
      </c>
      <c r="AC246" s="521"/>
      <c r="AD246" s="663">
        <f t="shared" si="1323"/>
        <v>0</v>
      </c>
      <c r="AE246" s="663">
        <f t="shared" ref="AE246" si="1669">IF($G246=0,0,-MIN(0,$G246*c_EquityShare.LP))</f>
        <v>0</v>
      </c>
      <c r="AF246" s="663" cm="1">
        <f t="array" ref="AF246">IF($D246=0,0,AD246*(c_Rate.Hurdle2.MO))</f>
        <v>0</v>
      </c>
      <c r="AG246" s="663">
        <f t="shared" si="1135"/>
        <v>0</v>
      </c>
      <c r="AH246" s="663">
        <f t="shared" si="1164"/>
        <v>0</v>
      </c>
      <c r="AI246" s="663">
        <f t="shared" si="1136"/>
        <v>0</v>
      </c>
      <c r="AJ246" s="664">
        <f t="shared" si="1137"/>
        <v>0</v>
      </c>
      <c r="AK246" s="660">
        <f t="shared" si="1138"/>
        <v>0</v>
      </c>
      <c r="AL246" s="663">
        <f t="shared" ref="AL246" si="1670">IF(AD246=0,0,Z246+AH246/$J$18*c_Hurdle2.Share_GP)</f>
        <v>0</v>
      </c>
      <c r="AM246" s="663">
        <f t="shared" si="1140"/>
        <v>0</v>
      </c>
      <c r="AN246" s="660">
        <f t="shared" si="1187"/>
        <v>0</v>
      </c>
      <c r="AO246" s="521"/>
      <c r="AP246" s="663">
        <f t="shared" si="1326"/>
        <v>0</v>
      </c>
      <c r="AQ246" s="663">
        <f t="shared" ref="AQ246" si="1671">IF($G246=0,0,-MIN(0,$G246*c_EquityShare.LP))</f>
        <v>0</v>
      </c>
      <c r="AR246" s="663" cm="1">
        <f t="array" ref="AR246">IF($D246=0,0,AP246*(c_Rate.Hurdle3.MO))</f>
        <v>0</v>
      </c>
      <c r="AS246" s="663">
        <f t="shared" si="1142"/>
        <v>0</v>
      </c>
      <c r="AT246" s="663">
        <f t="shared" si="1167"/>
        <v>0</v>
      </c>
      <c r="AU246" s="663">
        <f t="shared" si="1143"/>
        <v>0</v>
      </c>
      <c r="AV246" s="664">
        <f t="shared" si="1144"/>
        <v>0</v>
      </c>
      <c r="AW246" s="660">
        <f t="shared" si="1168"/>
        <v>0</v>
      </c>
      <c r="AX246" s="663">
        <f t="shared" ref="AX246" si="1672">IF(AP246=0,0,AL246+AT246/$J$19*c_Hurdle3.Share_GP)</f>
        <v>0</v>
      </c>
      <c r="AY246" s="663">
        <f t="shared" si="1170"/>
        <v>0</v>
      </c>
      <c r="AZ246" s="660">
        <f t="shared" si="1190"/>
        <v>0</v>
      </c>
      <c r="BA246" s="521"/>
      <c r="BB246" s="660">
        <f t="shared" si="590"/>
        <v>0</v>
      </c>
      <c r="BC246" s="660">
        <f t="shared" ref="BC246" si="1673">$AZ246*c_Residual.Share_GP</f>
        <v>0</v>
      </c>
      <c r="BD246" s="651"/>
      <c r="BE246" s="660">
        <f t="shared" si="1172"/>
        <v>0</v>
      </c>
      <c r="BF246" s="660">
        <f t="shared" si="1172"/>
        <v>0</v>
      </c>
      <c r="BG246" s="660">
        <f t="shared" si="1147"/>
        <v>0</v>
      </c>
      <c r="BI246" s="660">
        <v>0</v>
      </c>
      <c r="BJ246" s="660">
        <v>0</v>
      </c>
      <c r="BK246" s="660">
        <v>0</v>
      </c>
      <c r="BL246" s="660">
        <f t="shared" si="1173"/>
        <v>0</v>
      </c>
      <c r="BM246" s="660">
        <f t="shared" si="1173"/>
        <v>0</v>
      </c>
      <c r="BN246" s="660">
        <f t="shared" si="1174"/>
        <v>0</v>
      </c>
      <c r="BO246" s="660">
        <f t="shared" si="1174"/>
        <v>0</v>
      </c>
      <c r="BP246" s="660">
        <f t="shared" si="1175"/>
        <v>0</v>
      </c>
      <c r="BQ246" s="660">
        <f t="shared" si="1175"/>
        <v>0</v>
      </c>
      <c r="BR246" s="660">
        <v>0</v>
      </c>
      <c r="BS246" s="660">
        <v>0</v>
      </c>
      <c r="BT246" s="660">
        <f t="shared" si="1148"/>
        <v>0</v>
      </c>
      <c r="BU246" s="660">
        <f t="shared" si="1148"/>
        <v>0</v>
      </c>
      <c r="BX246" s="660">
        <v>0</v>
      </c>
      <c r="BY246" s="660">
        <f t="shared" si="1176"/>
        <v>0</v>
      </c>
      <c r="BZ246" s="660">
        <f t="shared" si="1149"/>
        <v>0</v>
      </c>
      <c r="CA246" s="660">
        <f t="shared" si="1150"/>
        <v>0</v>
      </c>
      <c r="CB246" s="660">
        <f t="shared" si="1151"/>
        <v>0</v>
      </c>
      <c r="CC246" s="660">
        <f t="shared" si="1152"/>
        <v>0</v>
      </c>
      <c r="CD246" s="660">
        <f t="shared" si="1177"/>
        <v>0</v>
      </c>
    </row>
    <row r="247" spans="4:82" ht="16" hidden="1" thickTop="1" thickBot="1">
      <c r="D247" s="653"/>
      <c r="E247" s="654"/>
      <c r="F247" s="655" t="str">
        <f t="shared" si="1153"/>
        <v/>
      </c>
      <c r="G247" s="656"/>
      <c r="I247" s="658">
        <f t="shared" si="1154"/>
        <v>0</v>
      </c>
      <c r="J247" s="658">
        <f t="shared" ref="J247" si="1674">IF($G247=0,0,-MIN(0,G247*c_EquityShare.LP))</f>
        <v>0</v>
      </c>
      <c r="K247" s="658">
        <f t="shared" ref="K247" si="1675">I247*c_Rate.Pref_MO</f>
        <v>0</v>
      </c>
      <c r="L247" s="658">
        <f t="shared" si="1130"/>
        <v>0</v>
      </c>
      <c r="M247" s="658">
        <f t="shared" si="1157"/>
        <v>0</v>
      </c>
      <c r="N247" s="658">
        <f t="shared" si="1180"/>
        <v>0</v>
      </c>
      <c r="O247" s="658" cm="1">
        <f t="array" ref="O247">IF(I247=0,0,IF(G247&lt;0,N247/c_EquityShare.LP*i_EquityShare.GP,L247/c_EquityShare.LP*i_EquityShare.GP))</f>
        <v>0</v>
      </c>
      <c r="P247" s="658">
        <f t="shared" si="1158"/>
        <v>0</v>
      </c>
      <c r="Q247" s="658">
        <f t="shared" si="1131"/>
        <v>0</v>
      </c>
      <c r="R247" s="521"/>
      <c r="S247" s="660">
        <f t="shared" si="1159"/>
        <v>0</v>
      </c>
      <c r="T247" s="663" cm="1">
        <f t="array" ref="T247">IF($G247=0,0,-MIN(0,$G247*c_EquityShare.LP))</f>
        <v>0</v>
      </c>
      <c r="U247" s="663" cm="1">
        <f t="array" ref="U247">IF($D247=0,0,S247*c_Rate.Hurdle1.MO)</f>
        <v>0</v>
      </c>
      <c r="V247" s="660">
        <f t="shared" si="1181"/>
        <v>0</v>
      </c>
      <c r="W247" s="660">
        <f t="shared" si="1160"/>
        <v>0</v>
      </c>
      <c r="X247" s="663">
        <f t="shared" si="1182"/>
        <v>0</v>
      </c>
      <c r="Y247" s="663">
        <f t="shared" si="1161"/>
        <v>0</v>
      </c>
      <c r="Z247" s="663">
        <f t="shared" ref="Z247" si="1676">IF(S247=0,0,O247+W247/$J$17*c_Hurdle1.Share_GP)</f>
        <v>0</v>
      </c>
      <c r="AA247" s="663">
        <f t="shared" si="1133"/>
        <v>0</v>
      </c>
      <c r="AB247" s="660">
        <f t="shared" si="1184"/>
        <v>0</v>
      </c>
      <c r="AC247" s="521"/>
      <c r="AD247" s="663">
        <f t="shared" si="1323"/>
        <v>0</v>
      </c>
      <c r="AE247" s="663">
        <f t="shared" ref="AE247" si="1677">IF($G247=0,0,-MIN(0,$G247*c_EquityShare.LP))</f>
        <v>0</v>
      </c>
      <c r="AF247" s="663" cm="1">
        <f t="array" ref="AF247">IF($D247=0,0,AD247*(c_Rate.Hurdle2.MO))</f>
        <v>0</v>
      </c>
      <c r="AG247" s="663">
        <f t="shared" si="1135"/>
        <v>0</v>
      </c>
      <c r="AH247" s="663">
        <f t="shared" si="1164"/>
        <v>0</v>
      </c>
      <c r="AI247" s="663">
        <f t="shared" si="1136"/>
        <v>0</v>
      </c>
      <c r="AJ247" s="664">
        <f t="shared" si="1137"/>
        <v>0</v>
      </c>
      <c r="AK247" s="660">
        <f t="shared" si="1138"/>
        <v>0</v>
      </c>
      <c r="AL247" s="663">
        <f t="shared" ref="AL247" si="1678">IF(AD247=0,0,Z247+AH247/$J$18*c_Hurdle2.Share_GP)</f>
        <v>0</v>
      </c>
      <c r="AM247" s="663">
        <f t="shared" si="1140"/>
        <v>0</v>
      </c>
      <c r="AN247" s="660">
        <f t="shared" si="1187"/>
        <v>0</v>
      </c>
      <c r="AO247" s="521"/>
      <c r="AP247" s="663">
        <f t="shared" si="1326"/>
        <v>0</v>
      </c>
      <c r="AQ247" s="663">
        <f t="shared" ref="AQ247" si="1679">IF($G247=0,0,-MIN(0,$G247*c_EquityShare.LP))</f>
        <v>0</v>
      </c>
      <c r="AR247" s="663" cm="1">
        <f t="array" ref="AR247">IF($D247=0,0,AP247*(c_Rate.Hurdle3.MO))</f>
        <v>0</v>
      </c>
      <c r="AS247" s="663">
        <f t="shared" si="1142"/>
        <v>0</v>
      </c>
      <c r="AT247" s="663">
        <f t="shared" si="1167"/>
        <v>0</v>
      </c>
      <c r="AU247" s="663">
        <f t="shared" si="1143"/>
        <v>0</v>
      </c>
      <c r="AV247" s="664">
        <f t="shared" si="1144"/>
        <v>0</v>
      </c>
      <c r="AW247" s="660">
        <f t="shared" si="1168"/>
        <v>0</v>
      </c>
      <c r="AX247" s="663">
        <f t="shared" ref="AX247" si="1680">IF(AP247=0,0,AL247+AT247/$J$19*c_Hurdle3.Share_GP)</f>
        <v>0</v>
      </c>
      <c r="AY247" s="663">
        <f t="shared" si="1170"/>
        <v>0</v>
      </c>
      <c r="AZ247" s="660">
        <f t="shared" si="1190"/>
        <v>0</v>
      </c>
      <c r="BA247" s="521"/>
      <c r="BB247" s="660">
        <f t="shared" si="590"/>
        <v>0</v>
      </c>
      <c r="BC247" s="660">
        <f t="shared" ref="BC247" si="1681">$AZ247*c_Residual.Share_GP</f>
        <v>0</v>
      </c>
      <c r="BD247" s="651"/>
      <c r="BE247" s="660">
        <f t="shared" si="1172"/>
        <v>0</v>
      </c>
      <c r="BF247" s="660">
        <f t="shared" si="1172"/>
        <v>0</v>
      </c>
      <c r="BG247" s="660">
        <f t="shared" si="1147"/>
        <v>0</v>
      </c>
      <c r="BI247" s="660">
        <v>0</v>
      </c>
      <c r="BJ247" s="660">
        <v>0</v>
      </c>
      <c r="BK247" s="660">
        <v>0</v>
      </c>
      <c r="BL247" s="660">
        <f t="shared" si="1173"/>
        <v>0</v>
      </c>
      <c r="BM247" s="660">
        <f t="shared" si="1173"/>
        <v>0</v>
      </c>
      <c r="BN247" s="660">
        <f t="shared" si="1174"/>
        <v>0</v>
      </c>
      <c r="BO247" s="660">
        <f t="shared" si="1174"/>
        <v>0</v>
      </c>
      <c r="BP247" s="660">
        <f t="shared" si="1175"/>
        <v>0</v>
      </c>
      <c r="BQ247" s="660">
        <f t="shared" si="1175"/>
        <v>0</v>
      </c>
      <c r="BR247" s="660">
        <v>0</v>
      </c>
      <c r="BS247" s="660">
        <v>0</v>
      </c>
      <c r="BT247" s="660">
        <f t="shared" si="1148"/>
        <v>0</v>
      </c>
      <c r="BU247" s="660">
        <f t="shared" si="1148"/>
        <v>0</v>
      </c>
      <c r="BX247" s="660">
        <v>0</v>
      </c>
      <c r="BY247" s="660">
        <f t="shared" si="1176"/>
        <v>0</v>
      </c>
      <c r="BZ247" s="660">
        <f t="shared" si="1149"/>
        <v>0</v>
      </c>
      <c r="CA247" s="660">
        <f t="shared" si="1150"/>
        <v>0</v>
      </c>
      <c r="CB247" s="660">
        <f t="shared" si="1151"/>
        <v>0</v>
      </c>
      <c r="CC247" s="660">
        <f t="shared" si="1152"/>
        <v>0</v>
      </c>
      <c r="CD247" s="660">
        <f t="shared" si="1177"/>
        <v>0</v>
      </c>
    </row>
    <row r="248" spans="4:82" ht="16" hidden="1" thickTop="1" thickBot="1">
      <c r="D248" s="653"/>
      <c r="E248" s="654"/>
      <c r="F248" s="655" t="str">
        <f t="shared" si="1153"/>
        <v/>
      </c>
      <c r="G248" s="656"/>
      <c r="I248" s="658">
        <f t="shared" si="1154"/>
        <v>0</v>
      </c>
      <c r="J248" s="658">
        <f t="shared" ref="J248" si="1682">IF($G248=0,0,-MIN(0,G248*c_EquityShare.LP))</f>
        <v>0</v>
      </c>
      <c r="K248" s="658">
        <f t="shared" ref="K248" si="1683">I248*c_Rate.Pref_MO</f>
        <v>0</v>
      </c>
      <c r="L248" s="658">
        <f t="shared" ref="L248:L311" si="1684">IF($G248=0,0,MAX(MIN($G248*$I$54,I248+K248-J248),0))</f>
        <v>0</v>
      </c>
      <c r="M248" s="658">
        <f t="shared" si="1157"/>
        <v>0</v>
      </c>
      <c r="N248" s="658">
        <f t="shared" si="1180"/>
        <v>0</v>
      </c>
      <c r="O248" s="658" cm="1">
        <f t="array" ref="O248">IF(I248=0,0,IF(G248&lt;0,N248/c_EquityShare.LP*i_EquityShare.GP,L248/c_EquityShare.LP*i_EquityShare.GP))</f>
        <v>0</v>
      </c>
      <c r="P248" s="658">
        <f t="shared" si="1158"/>
        <v>0</v>
      </c>
      <c r="Q248" s="658">
        <f t="shared" ref="Q248:Q311" si="1685">IF(E248=0,0,MAX(G248-P248,0))</f>
        <v>0</v>
      </c>
      <c r="R248" s="521"/>
      <c r="S248" s="660">
        <f t="shared" si="1159"/>
        <v>0</v>
      </c>
      <c r="T248" s="663" cm="1">
        <f t="array" ref="T248">IF($G248=0,0,-MIN(0,$G248*c_EquityShare.LP))</f>
        <v>0</v>
      </c>
      <c r="U248" s="663" cm="1">
        <f t="array" ref="U248">IF($D248=0,0,S248*c_Rate.Hurdle1.MO)</f>
        <v>0</v>
      </c>
      <c r="V248" s="660">
        <f t="shared" si="1181"/>
        <v>0</v>
      </c>
      <c r="W248" s="660">
        <f t="shared" si="1160"/>
        <v>0</v>
      </c>
      <c r="X248" s="663">
        <f t="shared" si="1182"/>
        <v>0</v>
      </c>
      <c r="Y248" s="663">
        <f t="shared" si="1161"/>
        <v>0</v>
      </c>
      <c r="Z248" s="663">
        <f t="shared" ref="Z248" si="1686">IF(S248=0,0,O248+W248/$J$17*c_Hurdle1.Share_GP)</f>
        <v>0</v>
      </c>
      <c r="AA248" s="663">
        <f t="shared" ref="AA248:AA311" si="1687">Y248+Z248</f>
        <v>0</v>
      </c>
      <c r="AB248" s="660">
        <f t="shared" si="1184"/>
        <v>0</v>
      </c>
      <c r="AC248" s="521"/>
      <c r="AD248" s="663">
        <f t="shared" si="1323"/>
        <v>0</v>
      </c>
      <c r="AE248" s="663">
        <f t="shared" ref="AE248" si="1688">IF($G248=0,0,-MIN(0,$G248*c_EquityShare.LP))</f>
        <v>0</v>
      </c>
      <c r="AF248" s="663" cm="1">
        <f t="array" ref="AF248">IF($D248=0,0,AD248*(c_Rate.Hurdle2.MO))</f>
        <v>0</v>
      </c>
      <c r="AG248" s="663">
        <f t="shared" ref="AG248:AG311" si="1689">V248+W248</f>
        <v>0</v>
      </c>
      <c r="AH248" s="663">
        <f t="shared" si="1164"/>
        <v>0</v>
      </c>
      <c r="AI248" s="663">
        <f t="shared" ref="AI248:AI311" si="1690">AD248+AF248+AE248-AG248-AH248</f>
        <v>0</v>
      </c>
      <c r="AJ248" s="664">
        <f t="shared" ref="AJ248:AJ311" si="1691">-AE248+AG248+AH248</f>
        <v>0</v>
      </c>
      <c r="AK248" s="660">
        <f t="shared" ref="AK248:AK311" si="1692">Y248+AH248</f>
        <v>0</v>
      </c>
      <c r="AL248" s="663">
        <f t="shared" ref="AL248" si="1693">IF(AD248=0,0,Z248+AH248/$J$18*c_Hurdle2.Share_GP)</f>
        <v>0</v>
      </c>
      <c r="AM248" s="663">
        <f t="shared" ref="AM248:AM311" si="1694">AK248+AL248</f>
        <v>0</v>
      </c>
      <c r="AN248" s="660">
        <f t="shared" si="1187"/>
        <v>0</v>
      </c>
      <c r="AO248" s="521"/>
      <c r="AP248" s="663">
        <f t="shared" si="1326"/>
        <v>0</v>
      </c>
      <c r="AQ248" s="663">
        <f t="shared" ref="AQ248" si="1695">IF($G248=0,0,-MIN(0,$G248*c_EquityShare.LP))</f>
        <v>0</v>
      </c>
      <c r="AR248" s="663" cm="1">
        <f t="array" ref="AR248">IF($D248=0,0,AP248*(c_Rate.Hurdle3.MO))</f>
        <v>0</v>
      </c>
      <c r="AS248" s="663">
        <f t="shared" ref="AS248:AS311" si="1696">AG248+AH248</f>
        <v>0</v>
      </c>
      <c r="AT248" s="663">
        <f t="shared" si="1167"/>
        <v>0</v>
      </c>
      <c r="AU248" s="663">
        <f t="shared" ref="AU248:AU311" si="1697">AP248+AR248+AQ248-AS248-AT248</f>
        <v>0</v>
      </c>
      <c r="AV248" s="664">
        <f t="shared" ref="AV248:AV311" si="1698">-AQ248+AS248+AT248</f>
        <v>0</v>
      </c>
      <c r="AW248" s="660">
        <f t="shared" si="1168"/>
        <v>0</v>
      </c>
      <c r="AX248" s="663">
        <f t="shared" ref="AX248" si="1699">IF(AP248=0,0,AL248+AT248/$J$19*c_Hurdle3.Share_GP)</f>
        <v>0</v>
      </c>
      <c r="AY248" s="663">
        <f t="shared" si="1170"/>
        <v>0</v>
      </c>
      <c r="AZ248" s="660">
        <f t="shared" si="1190"/>
        <v>0</v>
      </c>
      <c r="BA248" s="521"/>
      <c r="BB248" s="660">
        <f t="shared" si="590"/>
        <v>0</v>
      </c>
      <c r="BC248" s="660">
        <f t="shared" ref="BC248" si="1700">$AZ248*c_Residual.Share_GP</f>
        <v>0</v>
      </c>
      <c r="BD248" s="651"/>
      <c r="BE248" s="660">
        <f t="shared" si="1172"/>
        <v>0</v>
      </c>
      <c r="BF248" s="660">
        <f t="shared" si="1172"/>
        <v>0</v>
      </c>
      <c r="BG248" s="660">
        <f t="shared" ref="BG248:BG311" si="1701">SUM(BE248:BF248)</f>
        <v>0</v>
      </c>
      <c r="BI248" s="660">
        <v>0</v>
      </c>
      <c r="BJ248" s="660">
        <v>0</v>
      </c>
      <c r="BK248" s="660">
        <v>0</v>
      </c>
      <c r="BL248" s="660">
        <f t="shared" si="1173"/>
        <v>0</v>
      </c>
      <c r="BM248" s="660">
        <f t="shared" si="1173"/>
        <v>0</v>
      </c>
      <c r="BN248" s="660">
        <f t="shared" si="1174"/>
        <v>0</v>
      </c>
      <c r="BO248" s="660">
        <f t="shared" si="1174"/>
        <v>0</v>
      </c>
      <c r="BP248" s="660">
        <f t="shared" si="1175"/>
        <v>0</v>
      </c>
      <c r="BQ248" s="660">
        <f t="shared" si="1175"/>
        <v>0</v>
      </c>
      <c r="BR248" s="660">
        <v>0</v>
      </c>
      <c r="BS248" s="660">
        <v>0</v>
      </c>
      <c r="BT248" s="660">
        <f t="shared" ref="BT248:BU311" si="1702">BJ248+BL248+BN248+BP248+BR248</f>
        <v>0</v>
      </c>
      <c r="BU248" s="660">
        <f t="shared" si="1702"/>
        <v>0</v>
      </c>
      <c r="BX248" s="660">
        <v>0</v>
      </c>
      <c r="BY248" s="660">
        <f t="shared" si="1176"/>
        <v>0</v>
      </c>
      <c r="BZ248" s="660">
        <f t="shared" ref="BZ248:BZ311" si="1703">BL248+BM248</f>
        <v>0</v>
      </c>
      <c r="CA248" s="660">
        <f t="shared" ref="CA248:CA311" si="1704">BN248+BO248</f>
        <v>0</v>
      </c>
      <c r="CB248" s="660">
        <f t="shared" ref="CB248:CB311" si="1705">BP248+BQ248</f>
        <v>0</v>
      </c>
      <c r="CC248" s="660">
        <f t="shared" ref="CC248:CC311" si="1706">BR248+BS248</f>
        <v>0</v>
      </c>
      <c r="CD248" s="660">
        <f t="shared" si="1177"/>
        <v>0</v>
      </c>
    </row>
    <row r="249" spans="4:82" ht="16" hidden="1" thickTop="1" thickBot="1">
      <c r="D249" s="653"/>
      <c r="E249" s="654"/>
      <c r="F249" s="655" t="str">
        <f t="shared" ref="F249:F312" si="1707">IF(D249=0,"",MIN(INT(YEARFRAC(E$56,EDATE(E249,12),3))))</f>
        <v/>
      </c>
      <c r="G249" s="656"/>
      <c r="I249" s="658">
        <f t="shared" ref="I249:I312" si="1708">IF(D249=0,0,M248)</f>
        <v>0</v>
      </c>
      <c r="J249" s="658">
        <f t="shared" ref="J249" si="1709">IF($G249=0,0,-MIN(0,G249*c_EquityShare.LP))</f>
        <v>0</v>
      </c>
      <c r="K249" s="658">
        <f t="shared" ref="K249" si="1710">I249*c_Rate.Pref_MO</f>
        <v>0</v>
      </c>
      <c r="L249" s="658">
        <f t="shared" si="1684"/>
        <v>0</v>
      </c>
      <c r="M249" s="658">
        <f t="shared" ref="M249:M312" si="1711">I249+K249+J249-L249</f>
        <v>0</v>
      </c>
      <c r="N249" s="658">
        <f t="shared" si="1180"/>
        <v>0</v>
      </c>
      <c r="O249" s="658" cm="1">
        <f t="array" ref="O249">IF(I249=0,0,IF(G249&lt;0,N249/c_EquityShare.LP*i_EquityShare.GP,L249/c_EquityShare.LP*i_EquityShare.GP))</f>
        <v>0</v>
      </c>
      <c r="P249" s="658">
        <f t="shared" ref="P249:P312" si="1712">N249+O249</f>
        <v>0</v>
      </c>
      <c r="Q249" s="658">
        <f t="shared" si="1685"/>
        <v>0</v>
      </c>
      <c r="R249" s="521"/>
      <c r="S249" s="660">
        <f t="shared" ref="S249:S312" si="1713">X248</f>
        <v>0</v>
      </c>
      <c r="T249" s="663" cm="1">
        <f t="array" ref="T249">IF($G249=0,0,-MIN(0,$G249*c_EquityShare.LP))</f>
        <v>0</v>
      </c>
      <c r="U249" s="663" cm="1">
        <f t="array" ref="U249">IF($D249=0,0,S249*c_Rate.Hurdle1.MO)</f>
        <v>0</v>
      </c>
      <c r="V249" s="660">
        <f t="shared" si="1181"/>
        <v>0</v>
      </c>
      <c r="W249" s="660">
        <f t="shared" ref="W249:W312" si="1714">MIN(S249+U249-V249,Q249*S$54)</f>
        <v>0</v>
      </c>
      <c r="X249" s="663">
        <f t="shared" si="1182"/>
        <v>0</v>
      </c>
      <c r="Y249" s="663">
        <f t="shared" ref="Y249:Y312" si="1715">N249+W249</f>
        <v>0</v>
      </c>
      <c r="Z249" s="663">
        <f t="shared" ref="Z249" si="1716">IF(S249=0,0,O249+W249/$J$17*c_Hurdle1.Share_GP)</f>
        <v>0</v>
      </c>
      <c r="AA249" s="663">
        <f t="shared" si="1687"/>
        <v>0</v>
      </c>
      <c r="AB249" s="660">
        <f t="shared" si="1184"/>
        <v>0</v>
      </c>
      <c r="AC249" s="521"/>
      <c r="AD249" s="663">
        <f t="shared" si="1323"/>
        <v>0</v>
      </c>
      <c r="AE249" s="663">
        <f t="shared" ref="AE249" si="1717">IF($G249=0,0,-MIN(0,$G249*c_EquityShare.LP))</f>
        <v>0</v>
      </c>
      <c r="AF249" s="663" cm="1">
        <f t="array" ref="AF249">IF($D249=0,0,AD249*(c_Rate.Hurdle2.MO))</f>
        <v>0</v>
      </c>
      <c r="AG249" s="663">
        <f t="shared" si="1689"/>
        <v>0</v>
      </c>
      <c r="AH249" s="663">
        <f t="shared" ref="AH249:AH312" si="1718">IF(AB249=0,0,MIN(AD249+AE249+AF249-AG249,AB249*AD$54))</f>
        <v>0</v>
      </c>
      <c r="AI249" s="663">
        <f t="shared" si="1690"/>
        <v>0</v>
      </c>
      <c r="AJ249" s="664">
        <f t="shared" si="1691"/>
        <v>0</v>
      </c>
      <c r="AK249" s="660">
        <f t="shared" si="1692"/>
        <v>0</v>
      </c>
      <c r="AL249" s="663">
        <f t="shared" ref="AL249" si="1719">IF(AD249=0,0,Z249+AH249/$J$18*c_Hurdle2.Share_GP)</f>
        <v>0</v>
      </c>
      <c r="AM249" s="663">
        <f t="shared" si="1694"/>
        <v>0</v>
      </c>
      <c r="AN249" s="660">
        <f t="shared" si="1187"/>
        <v>0</v>
      </c>
      <c r="AO249" s="521"/>
      <c r="AP249" s="663">
        <f t="shared" si="1326"/>
        <v>0</v>
      </c>
      <c r="AQ249" s="663">
        <f t="shared" ref="AQ249" si="1720">IF($G249=0,0,-MIN(0,$G249*c_EquityShare.LP))</f>
        <v>0</v>
      </c>
      <c r="AR249" s="663" cm="1">
        <f t="array" ref="AR249">IF($D249=0,0,AP249*(c_Rate.Hurdle3.MO))</f>
        <v>0</v>
      </c>
      <c r="AS249" s="663">
        <f t="shared" si="1696"/>
        <v>0</v>
      </c>
      <c r="AT249" s="663">
        <f t="shared" ref="AT249:AT312" si="1721">IF(AP249=0,0,MIN(AP249+AQ249+AR249-AS249,AN249*AP$54))</f>
        <v>0</v>
      </c>
      <c r="AU249" s="663">
        <f t="shared" si="1697"/>
        <v>0</v>
      </c>
      <c r="AV249" s="664">
        <f t="shared" si="1698"/>
        <v>0</v>
      </c>
      <c r="AW249" s="660">
        <f t="shared" ref="AW249:AW312" si="1722">AK249+AT249</f>
        <v>0</v>
      </c>
      <c r="AX249" s="663">
        <f t="shared" ref="AX249" si="1723">IF(AP249=0,0,AL249+AT249/$J$19*c_Hurdle3.Share_GP)</f>
        <v>0</v>
      </c>
      <c r="AY249" s="663">
        <f t="shared" ref="AY249:AY312" si="1724">AW249+AX249</f>
        <v>0</v>
      </c>
      <c r="AZ249" s="660">
        <f t="shared" si="1190"/>
        <v>0</v>
      </c>
      <c r="BA249" s="521"/>
      <c r="BB249" s="660">
        <f t="shared" si="590"/>
        <v>0</v>
      </c>
      <c r="BC249" s="660">
        <f t="shared" ref="BC249" si="1725">$AZ249*c_Residual.Share_GP</f>
        <v>0</v>
      </c>
      <c r="BD249" s="651"/>
      <c r="BE249" s="660">
        <f t="shared" ref="BE249:BF312" si="1726">AW249+BB249</f>
        <v>0</v>
      </c>
      <c r="BF249" s="660">
        <f t="shared" si="1726"/>
        <v>0</v>
      </c>
      <c r="BG249" s="660">
        <f t="shared" si="1701"/>
        <v>0</v>
      </c>
      <c r="BI249" s="660">
        <v>0</v>
      </c>
      <c r="BJ249" s="660">
        <v>0</v>
      </c>
      <c r="BK249" s="660">
        <v>0</v>
      </c>
      <c r="BL249" s="660">
        <f t="shared" ref="BL249:BM312" si="1727">Y249-N249</f>
        <v>0</v>
      </c>
      <c r="BM249" s="660">
        <f t="shared" si="1727"/>
        <v>0</v>
      </c>
      <c r="BN249" s="660">
        <f t="shared" ref="BN249:BO312" si="1728">AK249-Y249</f>
        <v>0</v>
      </c>
      <c r="BO249" s="660">
        <f t="shared" si="1728"/>
        <v>0</v>
      </c>
      <c r="BP249" s="660">
        <f t="shared" ref="BP249:BQ312" si="1729">AW249-AK249</f>
        <v>0</v>
      </c>
      <c r="BQ249" s="660">
        <f t="shared" si="1729"/>
        <v>0</v>
      </c>
      <c r="BR249" s="660">
        <v>0</v>
      </c>
      <c r="BS249" s="660">
        <v>0</v>
      </c>
      <c r="BT249" s="660">
        <f t="shared" si="1702"/>
        <v>0</v>
      </c>
      <c r="BU249" s="660">
        <f t="shared" si="1702"/>
        <v>0</v>
      </c>
      <c r="BX249" s="660">
        <v>0</v>
      </c>
      <c r="BY249" s="660">
        <f t="shared" ref="BY249:BY312" si="1730">BJ249+BK249</f>
        <v>0</v>
      </c>
      <c r="BZ249" s="660">
        <f t="shared" si="1703"/>
        <v>0</v>
      </c>
      <c r="CA249" s="660">
        <f t="shared" si="1704"/>
        <v>0</v>
      </c>
      <c r="CB249" s="660">
        <f t="shared" si="1705"/>
        <v>0</v>
      </c>
      <c r="CC249" s="660">
        <f t="shared" si="1706"/>
        <v>0</v>
      </c>
      <c r="CD249" s="660">
        <f t="shared" ref="CD249:CD312" si="1731">SUM(BY249:CC249)</f>
        <v>0</v>
      </c>
    </row>
    <row r="250" spans="4:82" ht="16" hidden="1" thickTop="1" thickBot="1">
      <c r="D250" s="653"/>
      <c r="E250" s="654"/>
      <c r="F250" s="655" t="str">
        <f t="shared" si="1707"/>
        <v/>
      </c>
      <c r="G250" s="656"/>
      <c r="I250" s="658">
        <f t="shared" si="1708"/>
        <v>0</v>
      </c>
      <c r="J250" s="658">
        <f t="shared" ref="J250" si="1732">IF($G250=0,0,-MIN(0,G250*c_EquityShare.LP))</f>
        <v>0</v>
      </c>
      <c r="K250" s="658">
        <f t="shared" ref="K250" si="1733">I250*c_Rate.Pref_MO</f>
        <v>0</v>
      </c>
      <c r="L250" s="658">
        <f t="shared" si="1684"/>
        <v>0</v>
      </c>
      <c r="M250" s="658">
        <f t="shared" si="1711"/>
        <v>0</v>
      </c>
      <c r="N250" s="658">
        <f t="shared" ref="N250:N313" si="1734">L250-J250</f>
        <v>0</v>
      </c>
      <c r="O250" s="658" cm="1">
        <f t="array" ref="O250">IF(I250=0,0,IF(G250&lt;0,N250/c_EquityShare.LP*i_EquityShare.GP,L250/c_EquityShare.LP*i_EquityShare.GP))</f>
        <v>0</v>
      </c>
      <c r="P250" s="658">
        <f t="shared" si="1712"/>
        <v>0</v>
      </c>
      <c r="Q250" s="658">
        <f t="shared" si="1685"/>
        <v>0</v>
      </c>
      <c r="R250" s="521"/>
      <c r="S250" s="660">
        <f t="shared" si="1713"/>
        <v>0</v>
      </c>
      <c r="T250" s="663" cm="1">
        <f t="array" ref="T250">IF($G250=0,0,-MIN(0,$G250*c_EquityShare.LP))</f>
        <v>0</v>
      </c>
      <c r="U250" s="663" cm="1">
        <f t="array" ref="U250">IF($D250=0,0,S250*c_Rate.Hurdle1.MO)</f>
        <v>0</v>
      </c>
      <c r="V250" s="660">
        <f t="shared" ref="V250:V313" si="1735">L250</f>
        <v>0</v>
      </c>
      <c r="W250" s="660">
        <f t="shared" si="1714"/>
        <v>0</v>
      </c>
      <c r="X250" s="663">
        <f t="shared" ref="X250:X313" si="1736">S250+T250+U250-V250-W250</f>
        <v>0</v>
      </c>
      <c r="Y250" s="663">
        <f t="shared" si="1715"/>
        <v>0</v>
      </c>
      <c r="Z250" s="663">
        <f t="shared" ref="Z250" si="1737">IF(S250=0,0,O250+W250/$J$17*c_Hurdle1.Share_GP)</f>
        <v>0</v>
      </c>
      <c r="AA250" s="663">
        <f t="shared" si="1687"/>
        <v>0</v>
      </c>
      <c r="AB250" s="660">
        <f t="shared" ref="AB250:AB313" si="1738">IF(AA250&lt;0,0,MAX($G250-P250-AA250,0))</f>
        <v>0</v>
      </c>
      <c r="AC250" s="521"/>
      <c r="AD250" s="663">
        <f t="shared" si="1323"/>
        <v>0</v>
      </c>
      <c r="AE250" s="663">
        <f t="shared" ref="AE250" si="1739">IF($G250=0,0,-MIN(0,$G250*c_EquityShare.LP))</f>
        <v>0</v>
      </c>
      <c r="AF250" s="663" cm="1">
        <f t="array" ref="AF250">IF($D250=0,0,AD250*(c_Rate.Hurdle2.MO))</f>
        <v>0</v>
      </c>
      <c r="AG250" s="663">
        <f t="shared" si="1689"/>
        <v>0</v>
      </c>
      <c r="AH250" s="663">
        <f t="shared" si="1718"/>
        <v>0</v>
      </c>
      <c r="AI250" s="663">
        <f t="shared" si="1690"/>
        <v>0</v>
      </c>
      <c r="AJ250" s="664">
        <f t="shared" si="1691"/>
        <v>0</v>
      </c>
      <c r="AK250" s="660">
        <f t="shared" si="1692"/>
        <v>0</v>
      </c>
      <c r="AL250" s="663">
        <f t="shared" ref="AL250" si="1740">IF(AD250=0,0,Z250+AH250/$J$18*c_Hurdle2.Share_GP)</f>
        <v>0</v>
      </c>
      <c r="AM250" s="663">
        <f t="shared" si="1694"/>
        <v>0</v>
      </c>
      <c r="AN250" s="660">
        <f t="shared" ref="AN250:AN313" si="1741">IF(AM250&lt;0,0,MAX($G250-AA250-AM250,0))</f>
        <v>0</v>
      </c>
      <c r="AO250" s="521"/>
      <c r="AP250" s="663">
        <f t="shared" si="1326"/>
        <v>0</v>
      </c>
      <c r="AQ250" s="663">
        <f t="shared" ref="AQ250" si="1742">IF($G250=0,0,-MIN(0,$G250*c_EquityShare.LP))</f>
        <v>0</v>
      </c>
      <c r="AR250" s="663" cm="1">
        <f t="array" ref="AR250">IF($D250=0,0,AP250*(c_Rate.Hurdle3.MO))</f>
        <v>0</v>
      </c>
      <c r="AS250" s="663">
        <f t="shared" si="1696"/>
        <v>0</v>
      </c>
      <c r="AT250" s="663">
        <f t="shared" si="1721"/>
        <v>0</v>
      </c>
      <c r="AU250" s="663">
        <f t="shared" si="1697"/>
        <v>0</v>
      </c>
      <c r="AV250" s="664">
        <f t="shared" si="1698"/>
        <v>0</v>
      </c>
      <c r="AW250" s="660">
        <f t="shared" si="1722"/>
        <v>0</v>
      </c>
      <c r="AX250" s="663">
        <f t="shared" ref="AX250" si="1743">IF(AP250=0,0,AL250+AT250/$J$19*c_Hurdle3.Share_GP)</f>
        <v>0</v>
      </c>
      <c r="AY250" s="663">
        <f t="shared" si="1724"/>
        <v>0</v>
      </c>
      <c r="AZ250" s="660">
        <f t="shared" ref="AZ250:AZ313" si="1744">IF(AY250&lt;0,0,MAX($G250-AM250-AY250,0))</f>
        <v>0</v>
      </c>
      <c r="BA250" s="521"/>
      <c r="BB250" s="660">
        <f t="shared" si="590"/>
        <v>0</v>
      </c>
      <c r="BC250" s="660">
        <f t="shared" ref="BC250" si="1745">$AZ250*c_Residual.Share_GP</f>
        <v>0</v>
      </c>
      <c r="BD250" s="651"/>
      <c r="BE250" s="660">
        <f t="shared" si="1726"/>
        <v>0</v>
      </c>
      <c r="BF250" s="660">
        <f t="shared" si="1726"/>
        <v>0</v>
      </c>
      <c r="BG250" s="660">
        <f t="shared" si="1701"/>
        <v>0</v>
      </c>
      <c r="BI250" s="660">
        <v>0</v>
      </c>
      <c r="BJ250" s="660">
        <v>0</v>
      </c>
      <c r="BK250" s="660">
        <v>0</v>
      </c>
      <c r="BL250" s="660">
        <f t="shared" si="1727"/>
        <v>0</v>
      </c>
      <c r="BM250" s="660">
        <f t="shared" si="1727"/>
        <v>0</v>
      </c>
      <c r="BN250" s="660">
        <f t="shared" si="1728"/>
        <v>0</v>
      </c>
      <c r="BO250" s="660">
        <f t="shared" si="1728"/>
        <v>0</v>
      </c>
      <c r="BP250" s="660">
        <f t="shared" si="1729"/>
        <v>0</v>
      </c>
      <c r="BQ250" s="660">
        <f t="shared" si="1729"/>
        <v>0</v>
      </c>
      <c r="BR250" s="660">
        <v>0</v>
      </c>
      <c r="BS250" s="660">
        <v>0</v>
      </c>
      <c r="BT250" s="660">
        <f t="shared" si="1702"/>
        <v>0</v>
      </c>
      <c r="BU250" s="660">
        <f t="shared" si="1702"/>
        <v>0</v>
      </c>
      <c r="BX250" s="660">
        <v>0</v>
      </c>
      <c r="BY250" s="660">
        <f t="shared" si="1730"/>
        <v>0</v>
      </c>
      <c r="BZ250" s="660">
        <f t="shared" si="1703"/>
        <v>0</v>
      </c>
      <c r="CA250" s="660">
        <f t="shared" si="1704"/>
        <v>0</v>
      </c>
      <c r="CB250" s="660">
        <f t="shared" si="1705"/>
        <v>0</v>
      </c>
      <c r="CC250" s="660">
        <f t="shared" si="1706"/>
        <v>0</v>
      </c>
      <c r="CD250" s="660">
        <f t="shared" si="1731"/>
        <v>0</v>
      </c>
    </row>
    <row r="251" spans="4:82" ht="16" hidden="1" thickTop="1" thickBot="1">
      <c r="D251" s="653"/>
      <c r="E251" s="654"/>
      <c r="F251" s="655" t="str">
        <f t="shared" si="1707"/>
        <v/>
      </c>
      <c r="G251" s="656"/>
      <c r="I251" s="658">
        <f t="shared" si="1708"/>
        <v>0</v>
      </c>
      <c r="J251" s="658">
        <f t="shared" ref="J251" si="1746">IF($G251=0,0,-MIN(0,G251*c_EquityShare.LP))</f>
        <v>0</v>
      </c>
      <c r="K251" s="658">
        <f t="shared" ref="K251" si="1747">I251*c_Rate.Pref_MO</f>
        <v>0</v>
      </c>
      <c r="L251" s="658">
        <f t="shared" si="1684"/>
        <v>0</v>
      </c>
      <c r="M251" s="658">
        <f t="shared" si="1711"/>
        <v>0</v>
      </c>
      <c r="N251" s="658">
        <f t="shared" si="1734"/>
        <v>0</v>
      </c>
      <c r="O251" s="658" cm="1">
        <f t="array" ref="O251">IF(I251=0,0,IF(G251&lt;0,N251/c_EquityShare.LP*i_EquityShare.GP,L251/c_EquityShare.LP*i_EquityShare.GP))</f>
        <v>0</v>
      </c>
      <c r="P251" s="658">
        <f t="shared" si="1712"/>
        <v>0</v>
      </c>
      <c r="Q251" s="658">
        <f t="shared" si="1685"/>
        <v>0</v>
      </c>
      <c r="R251" s="521"/>
      <c r="S251" s="660">
        <f t="shared" si="1713"/>
        <v>0</v>
      </c>
      <c r="T251" s="663" cm="1">
        <f t="array" ref="T251">IF($G251=0,0,-MIN(0,$G251*c_EquityShare.LP))</f>
        <v>0</v>
      </c>
      <c r="U251" s="663" cm="1">
        <f t="array" ref="U251">IF($D251=0,0,S251*c_Rate.Hurdle1.MO)</f>
        <v>0</v>
      </c>
      <c r="V251" s="660">
        <f t="shared" si="1735"/>
        <v>0</v>
      </c>
      <c r="W251" s="660">
        <f t="shared" si="1714"/>
        <v>0</v>
      </c>
      <c r="X251" s="663">
        <f t="shared" si="1736"/>
        <v>0</v>
      </c>
      <c r="Y251" s="663">
        <f t="shared" si="1715"/>
        <v>0</v>
      </c>
      <c r="Z251" s="663">
        <f t="shared" ref="Z251" si="1748">IF(S251=0,0,O251+W251/$J$17*c_Hurdle1.Share_GP)</f>
        <v>0</v>
      </c>
      <c r="AA251" s="663">
        <f t="shared" si="1687"/>
        <v>0</v>
      </c>
      <c r="AB251" s="660">
        <f t="shared" si="1738"/>
        <v>0</v>
      </c>
      <c r="AC251" s="521"/>
      <c r="AD251" s="663">
        <f t="shared" si="1323"/>
        <v>0</v>
      </c>
      <c r="AE251" s="663">
        <f t="shared" ref="AE251" si="1749">IF($G251=0,0,-MIN(0,$G251*c_EquityShare.LP))</f>
        <v>0</v>
      </c>
      <c r="AF251" s="663" cm="1">
        <f t="array" ref="AF251">IF($D251=0,0,AD251*(c_Rate.Hurdle2.MO))</f>
        <v>0</v>
      </c>
      <c r="AG251" s="663">
        <f t="shared" si="1689"/>
        <v>0</v>
      </c>
      <c r="AH251" s="663">
        <f t="shared" si="1718"/>
        <v>0</v>
      </c>
      <c r="AI251" s="663">
        <f t="shared" si="1690"/>
        <v>0</v>
      </c>
      <c r="AJ251" s="664">
        <f t="shared" si="1691"/>
        <v>0</v>
      </c>
      <c r="AK251" s="660">
        <f t="shared" si="1692"/>
        <v>0</v>
      </c>
      <c r="AL251" s="663">
        <f t="shared" ref="AL251" si="1750">IF(AD251=0,0,Z251+AH251/$J$18*c_Hurdle2.Share_GP)</f>
        <v>0</v>
      </c>
      <c r="AM251" s="663">
        <f t="shared" si="1694"/>
        <v>0</v>
      </c>
      <c r="AN251" s="660">
        <f t="shared" si="1741"/>
        <v>0</v>
      </c>
      <c r="AO251" s="521"/>
      <c r="AP251" s="663">
        <f t="shared" si="1326"/>
        <v>0</v>
      </c>
      <c r="AQ251" s="663">
        <f t="shared" ref="AQ251" si="1751">IF($G251=0,0,-MIN(0,$G251*c_EquityShare.LP))</f>
        <v>0</v>
      </c>
      <c r="AR251" s="663" cm="1">
        <f t="array" ref="AR251">IF($D251=0,0,AP251*(c_Rate.Hurdle3.MO))</f>
        <v>0</v>
      </c>
      <c r="AS251" s="663">
        <f t="shared" si="1696"/>
        <v>0</v>
      </c>
      <c r="AT251" s="663">
        <f t="shared" si="1721"/>
        <v>0</v>
      </c>
      <c r="AU251" s="663">
        <f t="shared" si="1697"/>
        <v>0</v>
      </c>
      <c r="AV251" s="664">
        <f t="shared" si="1698"/>
        <v>0</v>
      </c>
      <c r="AW251" s="660">
        <f t="shared" si="1722"/>
        <v>0</v>
      </c>
      <c r="AX251" s="663">
        <f t="shared" ref="AX251" si="1752">IF(AP251=0,0,AL251+AT251/$J$19*c_Hurdle3.Share_GP)</f>
        <v>0</v>
      </c>
      <c r="AY251" s="663">
        <f t="shared" si="1724"/>
        <v>0</v>
      </c>
      <c r="AZ251" s="660">
        <f t="shared" si="1744"/>
        <v>0</v>
      </c>
      <c r="BA251" s="521"/>
      <c r="BB251" s="660">
        <f t="shared" si="590"/>
        <v>0</v>
      </c>
      <c r="BC251" s="660">
        <f t="shared" ref="BC251" si="1753">$AZ251*c_Residual.Share_GP</f>
        <v>0</v>
      </c>
      <c r="BD251" s="651"/>
      <c r="BE251" s="660">
        <f t="shared" si="1726"/>
        <v>0</v>
      </c>
      <c r="BF251" s="660">
        <f t="shared" si="1726"/>
        <v>0</v>
      </c>
      <c r="BG251" s="660">
        <f t="shared" si="1701"/>
        <v>0</v>
      </c>
      <c r="BI251" s="660">
        <v>0</v>
      </c>
      <c r="BJ251" s="660">
        <v>0</v>
      </c>
      <c r="BK251" s="660">
        <v>0</v>
      </c>
      <c r="BL251" s="660">
        <f t="shared" si="1727"/>
        <v>0</v>
      </c>
      <c r="BM251" s="660">
        <f t="shared" si="1727"/>
        <v>0</v>
      </c>
      <c r="BN251" s="660">
        <f t="shared" si="1728"/>
        <v>0</v>
      </c>
      <c r="BO251" s="660">
        <f t="shared" si="1728"/>
        <v>0</v>
      </c>
      <c r="BP251" s="660">
        <f t="shared" si="1729"/>
        <v>0</v>
      </c>
      <c r="BQ251" s="660">
        <f t="shared" si="1729"/>
        <v>0</v>
      </c>
      <c r="BR251" s="660">
        <v>0</v>
      </c>
      <c r="BS251" s="660">
        <v>0</v>
      </c>
      <c r="BT251" s="660">
        <f t="shared" si="1702"/>
        <v>0</v>
      </c>
      <c r="BU251" s="660">
        <f t="shared" si="1702"/>
        <v>0</v>
      </c>
      <c r="BX251" s="660">
        <v>0</v>
      </c>
      <c r="BY251" s="660">
        <f t="shared" si="1730"/>
        <v>0</v>
      </c>
      <c r="BZ251" s="660">
        <f t="shared" si="1703"/>
        <v>0</v>
      </c>
      <c r="CA251" s="660">
        <f t="shared" si="1704"/>
        <v>0</v>
      </c>
      <c r="CB251" s="660">
        <f t="shared" si="1705"/>
        <v>0</v>
      </c>
      <c r="CC251" s="660">
        <f t="shared" si="1706"/>
        <v>0</v>
      </c>
      <c r="CD251" s="660">
        <f t="shared" si="1731"/>
        <v>0</v>
      </c>
    </row>
    <row r="252" spans="4:82" ht="16" hidden="1" thickTop="1" thickBot="1">
      <c r="D252" s="653"/>
      <c r="E252" s="654"/>
      <c r="F252" s="655" t="str">
        <f t="shared" si="1707"/>
        <v/>
      </c>
      <c r="G252" s="656"/>
      <c r="I252" s="658">
        <f t="shared" si="1708"/>
        <v>0</v>
      </c>
      <c r="J252" s="658">
        <f t="shared" ref="J252" si="1754">IF($G252=0,0,-MIN(0,G252*c_EquityShare.LP))</f>
        <v>0</v>
      </c>
      <c r="K252" s="658">
        <f t="shared" ref="K252" si="1755">I252*c_Rate.Pref_MO</f>
        <v>0</v>
      </c>
      <c r="L252" s="658">
        <f t="shared" si="1684"/>
        <v>0</v>
      </c>
      <c r="M252" s="658">
        <f t="shared" si="1711"/>
        <v>0</v>
      </c>
      <c r="N252" s="658">
        <f t="shared" si="1734"/>
        <v>0</v>
      </c>
      <c r="O252" s="658" cm="1">
        <f t="array" ref="O252">IF(I252=0,0,IF(G252&lt;0,N252/c_EquityShare.LP*i_EquityShare.GP,L252/c_EquityShare.LP*i_EquityShare.GP))</f>
        <v>0</v>
      </c>
      <c r="P252" s="658">
        <f t="shared" si="1712"/>
        <v>0</v>
      </c>
      <c r="Q252" s="658">
        <f t="shared" si="1685"/>
        <v>0</v>
      </c>
      <c r="R252" s="521"/>
      <c r="S252" s="660">
        <f t="shared" si="1713"/>
        <v>0</v>
      </c>
      <c r="T252" s="663" cm="1">
        <f t="array" ref="T252">IF($G252=0,0,-MIN(0,$G252*c_EquityShare.LP))</f>
        <v>0</v>
      </c>
      <c r="U252" s="663" cm="1">
        <f t="array" ref="U252">IF($D252=0,0,S252*c_Rate.Hurdle1.MO)</f>
        <v>0</v>
      </c>
      <c r="V252" s="660">
        <f t="shared" si="1735"/>
        <v>0</v>
      </c>
      <c r="W252" s="660">
        <f t="shared" si="1714"/>
        <v>0</v>
      </c>
      <c r="X252" s="663">
        <f t="shared" si="1736"/>
        <v>0</v>
      </c>
      <c r="Y252" s="663">
        <f t="shared" si="1715"/>
        <v>0</v>
      </c>
      <c r="Z252" s="663">
        <f t="shared" ref="Z252" si="1756">IF(S252=0,0,O252+W252/$J$17*c_Hurdle1.Share_GP)</f>
        <v>0</v>
      </c>
      <c r="AA252" s="663">
        <f t="shared" si="1687"/>
        <v>0</v>
      </c>
      <c r="AB252" s="660">
        <f t="shared" si="1738"/>
        <v>0</v>
      </c>
      <c r="AC252" s="521"/>
      <c r="AD252" s="663">
        <f t="shared" si="1323"/>
        <v>0</v>
      </c>
      <c r="AE252" s="663">
        <f t="shared" ref="AE252" si="1757">IF($G252=0,0,-MIN(0,$G252*c_EquityShare.LP))</f>
        <v>0</v>
      </c>
      <c r="AF252" s="663" cm="1">
        <f t="array" ref="AF252">IF($D252=0,0,AD252*(c_Rate.Hurdle2.MO))</f>
        <v>0</v>
      </c>
      <c r="AG252" s="663">
        <f t="shared" si="1689"/>
        <v>0</v>
      </c>
      <c r="AH252" s="663">
        <f t="shared" si="1718"/>
        <v>0</v>
      </c>
      <c r="AI252" s="663">
        <f t="shared" si="1690"/>
        <v>0</v>
      </c>
      <c r="AJ252" s="664">
        <f t="shared" si="1691"/>
        <v>0</v>
      </c>
      <c r="AK252" s="660">
        <f t="shared" si="1692"/>
        <v>0</v>
      </c>
      <c r="AL252" s="663">
        <f t="shared" ref="AL252" si="1758">IF(AD252=0,0,Z252+AH252/$J$18*c_Hurdle2.Share_GP)</f>
        <v>0</v>
      </c>
      <c r="AM252" s="663">
        <f t="shared" si="1694"/>
        <v>0</v>
      </c>
      <c r="AN252" s="660">
        <f t="shared" si="1741"/>
        <v>0</v>
      </c>
      <c r="AO252" s="521"/>
      <c r="AP252" s="663">
        <f t="shared" si="1326"/>
        <v>0</v>
      </c>
      <c r="AQ252" s="663">
        <f t="shared" ref="AQ252" si="1759">IF($G252=0,0,-MIN(0,$G252*c_EquityShare.LP))</f>
        <v>0</v>
      </c>
      <c r="AR252" s="663" cm="1">
        <f t="array" ref="AR252">IF($D252=0,0,AP252*(c_Rate.Hurdle3.MO))</f>
        <v>0</v>
      </c>
      <c r="AS252" s="663">
        <f t="shared" si="1696"/>
        <v>0</v>
      </c>
      <c r="AT252" s="663">
        <f t="shared" si="1721"/>
        <v>0</v>
      </c>
      <c r="AU252" s="663">
        <f t="shared" si="1697"/>
        <v>0</v>
      </c>
      <c r="AV252" s="664">
        <f t="shared" si="1698"/>
        <v>0</v>
      </c>
      <c r="AW252" s="660">
        <f t="shared" si="1722"/>
        <v>0</v>
      </c>
      <c r="AX252" s="663">
        <f t="shared" ref="AX252" si="1760">IF(AP252=0,0,AL252+AT252/$J$19*c_Hurdle3.Share_GP)</f>
        <v>0</v>
      </c>
      <c r="AY252" s="663">
        <f t="shared" si="1724"/>
        <v>0</v>
      </c>
      <c r="AZ252" s="660">
        <f t="shared" si="1744"/>
        <v>0</v>
      </c>
      <c r="BA252" s="521"/>
      <c r="BB252" s="660">
        <f t="shared" si="590"/>
        <v>0</v>
      </c>
      <c r="BC252" s="660">
        <f t="shared" ref="BC252" si="1761">$AZ252*c_Residual.Share_GP</f>
        <v>0</v>
      </c>
      <c r="BD252" s="651"/>
      <c r="BE252" s="660">
        <f t="shared" si="1726"/>
        <v>0</v>
      </c>
      <c r="BF252" s="660">
        <f t="shared" si="1726"/>
        <v>0</v>
      </c>
      <c r="BG252" s="660">
        <f t="shared" si="1701"/>
        <v>0</v>
      </c>
      <c r="BI252" s="660">
        <v>0</v>
      </c>
      <c r="BJ252" s="660">
        <v>0</v>
      </c>
      <c r="BK252" s="660">
        <v>0</v>
      </c>
      <c r="BL252" s="660">
        <f t="shared" si="1727"/>
        <v>0</v>
      </c>
      <c r="BM252" s="660">
        <f t="shared" si="1727"/>
        <v>0</v>
      </c>
      <c r="BN252" s="660">
        <f t="shared" si="1728"/>
        <v>0</v>
      </c>
      <c r="BO252" s="660">
        <f t="shared" si="1728"/>
        <v>0</v>
      </c>
      <c r="BP252" s="660">
        <f t="shared" si="1729"/>
        <v>0</v>
      </c>
      <c r="BQ252" s="660">
        <f t="shared" si="1729"/>
        <v>0</v>
      </c>
      <c r="BR252" s="660">
        <v>0</v>
      </c>
      <c r="BS252" s="660">
        <v>0</v>
      </c>
      <c r="BT252" s="660">
        <f t="shared" si="1702"/>
        <v>0</v>
      </c>
      <c r="BU252" s="660">
        <f t="shared" si="1702"/>
        <v>0</v>
      </c>
      <c r="BX252" s="660">
        <v>0</v>
      </c>
      <c r="BY252" s="660">
        <f t="shared" si="1730"/>
        <v>0</v>
      </c>
      <c r="BZ252" s="660">
        <f t="shared" si="1703"/>
        <v>0</v>
      </c>
      <c r="CA252" s="660">
        <f t="shared" si="1704"/>
        <v>0</v>
      </c>
      <c r="CB252" s="660">
        <f t="shared" si="1705"/>
        <v>0</v>
      </c>
      <c r="CC252" s="660">
        <f t="shared" si="1706"/>
        <v>0</v>
      </c>
      <c r="CD252" s="660">
        <f t="shared" si="1731"/>
        <v>0</v>
      </c>
    </row>
    <row r="253" spans="4:82" ht="16" hidden="1" thickTop="1" thickBot="1">
      <c r="D253" s="653"/>
      <c r="E253" s="654"/>
      <c r="F253" s="655" t="str">
        <f t="shared" si="1707"/>
        <v/>
      </c>
      <c r="G253" s="656"/>
      <c r="I253" s="658">
        <f t="shared" si="1708"/>
        <v>0</v>
      </c>
      <c r="J253" s="658">
        <f t="shared" ref="J253" si="1762">IF($G253=0,0,-MIN(0,G253*c_EquityShare.LP))</f>
        <v>0</v>
      </c>
      <c r="K253" s="658">
        <f t="shared" ref="K253" si="1763">I253*c_Rate.Pref_MO</f>
        <v>0</v>
      </c>
      <c r="L253" s="658">
        <f t="shared" si="1684"/>
        <v>0</v>
      </c>
      <c r="M253" s="658">
        <f t="shared" si="1711"/>
        <v>0</v>
      </c>
      <c r="N253" s="658">
        <f t="shared" si="1734"/>
        <v>0</v>
      </c>
      <c r="O253" s="658" cm="1">
        <f t="array" ref="O253">IF(I253=0,0,IF(G253&lt;0,N253/c_EquityShare.LP*i_EquityShare.GP,L253/c_EquityShare.LP*i_EquityShare.GP))</f>
        <v>0</v>
      </c>
      <c r="P253" s="658">
        <f t="shared" si="1712"/>
        <v>0</v>
      </c>
      <c r="Q253" s="658">
        <f t="shared" si="1685"/>
        <v>0</v>
      </c>
      <c r="R253" s="521"/>
      <c r="S253" s="660">
        <f t="shared" si="1713"/>
        <v>0</v>
      </c>
      <c r="T253" s="663" cm="1">
        <f t="array" ref="T253">IF($G253=0,0,-MIN(0,$G253*c_EquityShare.LP))</f>
        <v>0</v>
      </c>
      <c r="U253" s="663" cm="1">
        <f t="array" ref="U253">IF($D253=0,0,S253*c_Rate.Hurdle1.MO)</f>
        <v>0</v>
      </c>
      <c r="V253" s="660">
        <f t="shared" si="1735"/>
        <v>0</v>
      </c>
      <c r="W253" s="660">
        <f t="shared" si="1714"/>
        <v>0</v>
      </c>
      <c r="X253" s="663">
        <f t="shared" si="1736"/>
        <v>0</v>
      </c>
      <c r="Y253" s="663">
        <f t="shared" si="1715"/>
        <v>0</v>
      </c>
      <c r="Z253" s="663">
        <f t="shared" ref="Z253" si="1764">IF(S253=0,0,O253+W253/$J$17*c_Hurdle1.Share_GP)</f>
        <v>0</v>
      </c>
      <c r="AA253" s="663">
        <f t="shared" si="1687"/>
        <v>0</v>
      </c>
      <c r="AB253" s="660">
        <f t="shared" si="1738"/>
        <v>0</v>
      </c>
      <c r="AC253" s="521"/>
      <c r="AD253" s="663">
        <f t="shared" si="1323"/>
        <v>0</v>
      </c>
      <c r="AE253" s="663">
        <f t="shared" ref="AE253" si="1765">IF($G253=0,0,-MIN(0,$G253*c_EquityShare.LP))</f>
        <v>0</v>
      </c>
      <c r="AF253" s="663" cm="1">
        <f t="array" ref="AF253">IF($D253=0,0,AD253*(c_Rate.Hurdle2.MO))</f>
        <v>0</v>
      </c>
      <c r="AG253" s="663">
        <f t="shared" si="1689"/>
        <v>0</v>
      </c>
      <c r="AH253" s="663">
        <f t="shared" si="1718"/>
        <v>0</v>
      </c>
      <c r="AI253" s="663">
        <f t="shared" si="1690"/>
        <v>0</v>
      </c>
      <c r="AJ253" s="664">
        <f t="shared" si="1691"/>
        <v>0</v>
      </c>
      <c r="AK253" s="660">
        <f t="shared" si="1692"/>
        <v>0</v>
      </c>
      <c r="AL253" s="663">
        <f t="shared" ref="AL253" si="1766">IF(AD253=0,0,Z253+AH253/$J$18*c_Hurdle2.Share_GP)</f>
        <v>0</v>
      </c>
      <c r="AM253" s="663">
        <f t="shared" si="1694"/>
        <v>0</v>
      </c>
      <c r="AN253" s="660">
        <f t="shared" si="1741"/>
        <v>0</v>
      </c>
      <c r="AO253" s="521"/>
      <c r="AP253" s="663">
        <f t="shared" si="1326"/>
        <v>0</v>
      </c>
      <c r="AQ253" s="663">
        <f t="shared" ref="AQ253" si="1767">IF($G253=0,0,-MIN(0,$G253*c_EquityShare.LP))</f>
        <v>0</v>
      </c>
      <c r="AR253" s="663" cm="1">
        <f t="array" ref="AR253">IF($D253=0,0,AP253*(c_Rate.Hurdle3.MO))</f>
        <v>0</v>
      </c>
      <c r="AS253" s="663">
        <f t="shared" si="1696"/>
        <v>0</v>
      </c>
      <c r="AT253" s="663">
        <f t="shared" si="1721"/>
        <v>0</v>
      </c>
      <c r="AU253" s="663">
        <f t="shared" si="1697"/>
        <v>0</v>
      </c>
      <c r="AV253" s="664">
        <f t="shared" si="1698"/>
        <v>0</v>
      </c>
      <c r="AW253" s="660">
        <f t="shared" si="1722"/>
        <v>0</v>
      </c>
      <c r="AX253" s="663">
        <f t="shared" ref="AX253" si="1768">IF(AP253=0,0,AL253+AT253/$J$19*c_Hurdle3.Share_GP)</f>
        <v>0</v>
      </c>
      <c r="AY253" s="663">
        <f t="shared" si="1724"/>
        <v>0</v>
      </c>
      <c r="AZ253" s="660">
        <f t="shared" si="1744"/>
        <v>0</v>
      </c>
      <c r="BA253" s="521"/>
      <c r="BB253" s="660">
        <f t="shared" si="590"/>
        <v>0</v>
      </c>
      <c r="BC253" s="660">
        <f t="shared" ref="BC253" si="1769">$AZ253*c_Residual.Share_GP</f>
        <v>0</v>
      </c>
      <c r="BD253" s="651"/>
      <c r="BE253" s="660">
        <f t="shared" si="1726"/>
        <v>0</v>
      </c>
      <c r="BF253" s="660">
        <f t="shared" si="1726"/>
        <v>0</v>
      </c>
      <c r="BG253" s="660">
        <f t="shared" si="1701"/>
        <v>0</v>
      </c>
      <c r="BI253" s="660">
        <v>0</v>
      </c>
      <c r="BJ253" s="660">
        <v>0</v>
      </c>
      <c r="BK253" s="660">
        <v>0</v>
      </c>
      <c r="BL253" s="660">
        <f t="shared" si="1727"/>
        <v>0</v>
      </c>
      <c r="BM253" s="660">
        <f t="shared" si="1727"/>
        <v>0</v>
      </c>
      <c r="BN253" s="660">
        <f t="shared" si="1728"/>
        <v>0</v>
      </c>
      <c r="BO253" s="660">
        <f t="shared" si="1728"/>
        <v>0</v>
      </c>
      <c r="BP253" s="660">
        <f t="shared" si="1729"/>
        <v>0</v>
      </c>
      <c r="BQ253" s="660">
        <f t="shared" si="1729"/>
        <v>0</v>
      </c>
      <c r="BR253" s="660">
        <v>0</v>
      </c>
      <c r="BS253" s="660">
        <v>0</v>
      </c>
      <c r="BT253" s="660">
        <f t="shared" si="1702"/>
        <v>0</v>
      </c>
      <c r="BU253" s="660">
        <f t="shared" si="1702"/>
        <v>0</v>
      </c>
      <c r="BX253" s="660">
        <v>0</v>
      </c>
      <c r="BY253" s="660">
        <f t="shared" si="1730"/>
        <v>0</v>
      </c>
      <c r="BZ253" s="660">
        <f t="shared" si="1703"/>
        <v>0</v>
      </c>
      <c r="CA253" s="660">
        <f t="shared" si="1704"/>
        <v>0</v>
      </c>
      <c r="CB253" s="660">
        <f t="shared" si="1705"/>
        <v>0</v>
      </c>
      <c r="CC253" s="660">
        <f t="shared" si="1706"/>
        <v>0</v>
      </c>
      <c r="CD253" s="660">
        <f t="shared" si="1731"/>
        <v>0</v>
      </c>
    </row>
    <row r="254" spans="4:82" ht="16" hidden="1" thickTop="1" thickBot="1">
      <c r="D254" s="653"/>
      <c r="E254" s="654"/>
      <c r="F254" s="655" t="str">
        <f t="shared" si="1707"/>
        <v/>
      </c>
      <c r="G254" s="656"/>
      <c r="I254" s="658">
        <f t="shared" si="1708"/>
        <v>0</v>
      </c>
      <c r="J254" s="658">
        <f t="shared" ref="J254" si="1770">IF($G254=0,0,-MIN(0,G254*c_EquityShare.LP))</f>
        <v>0</v>
      </c>
      <c r="K254" s="658">
        <f t="shared" ref="K254" si="1771">I254*c_Rate.Pref_MO</f>
        <v>0</v>
      </c>
      <c r="L254" s="658">
        <f t="shared" si="1684"/>
        <v>0</v>
      </c>
      <c r="M254" s="658">
        <f t="shared" si="1711"/>
        <v>0</v>
      </c>
      <c r="N254" s="658">
        <f t="shared" si="1734"/>
        <v>0</v>
      </c>
      <c r="O254" s="658" cm="1">
        <f t="array" ref="O254">IF(I254=0,0,IF(G254&lt;0,N254/c_EquityShare.LP*i_EquityShare.GP,L254/c_EquityShare.LP*i_EquityShare.GP))</f>
        <v>0</v>
      </c>
      <c r="P254" s="658">
        <f t="shared" si="1712"/>
        <v>0</v>
      </c>
      <c r="Q254" s="658">
        <f t="shared" si="1685"/>
        <v>0</v>
      </c>
      <c r="R254" s="521"/>
      <c r="S254" s="660">
        <f t="shared" si="1713"/>
        <v>0</v>
      </c>
      <c r="T254" s="663" cm="1">
        <f t="array" ref="T254">IF($G254=0,0,-MIN(0,$G254*c_EquityShare.LP))</f>
        <v>0</v>
      </c>
      <c r="U254" s="663" cm="1">
        <f t="array" ref="U254">IF($D254=0,0,S254*c_Rate.Hurdle1.MO)</f>
        <v>0</v>
      </c>
      <c r="V254" s="660">
        <f t="shared" si="1735"/>
        <v>0</v>
      </c>
      <c r="W254" s="660">
        <f t="shared" si="1714"/>
        <v>0</v>
      </c>
      <c r="X254" s="663">
        <f t="shared" si="1736"/>
        <v>0</v>
      </c>
      <c r="Y254" s="663">
        <f t="shared" si="1715"/>
        <v>0</v>
      </c>
      <c r="Z254" s="663">
        <f t="shared" ref="Z254" si="1772">IF(S254=0,0,O254+W254/$J$17*c_Hurdle1.Share_GP)</f>
        <v>0</v>
      </c>
      <c r="AA254" s="663">
        <f t="shared" si="1687"/>
        <v>0</v>
      </c>
      <c r="AB254" s="660">
        <f t="shared" si="1738"/>
        <v>0</v>
      </c>
      <c r="AC254" s="521"/>
      <c r="AD254" s="663">
        <f t="shared" si="1323"/>
        <v>0</v>
      </c>
      <c r="AE254" s="663">
        <f t="shared" ref="AE254" si="1773">IF($G254=0,0,-MIN(0,$G254*c_EquityShare.LP))</f>
        <v>0</v>
      </c>
      <c r="AF254" s="663" cm="1">
        <f t="array" ref="AF254">IF($D254=0,0,AD254*(c_Rate.Hurdle2.MO))</f>
        <v>0</v>
      </c>
      <c r="AG254" s="663">
        <f t="shared" si="1689"/>
        <v>0</v>
      </c>
      <c r="AH254" s="663">
        <f t="shared" si="1718"/>
        <v>0</v>
      </c>
      <c r="AI254" s="663">
        <f t="shared" si="1690"/>
        <v>0</v>
      </c>
      <c r="AJ254" s="664">
        <f t="shared" si="1691"/>
        <v>0</v>
      </c>
      <c r="AK254" s="660">
        <f t="shared" si="1692"/>
        <v>0</v>
      </c>
      <c r="AL254" s="663">
        <f t="shared" ref="AL254" si="1774">IF(AD254=0,0,Z254+AH254/$J$18*c_Hurdle2.Share_GP)</f>
        <v>0</v>
      </c>
      <c r="AM254" s="663">
        <f t="shared" si="1694"/>
        <v>0</v>
      </c>
      <c r="AN254" s="660">
        <f t="shared" si="1741"/>
        <v>0</v>
      </c>
      <c r="AO254" s="521"/>
      <c r="AP254" s="663">
        <f t="shared" si="1326"/>
        <v>0</v>
      </c>
      <c r="AQ254" s="663">
        <f t="shared" ref="AQ254" si="1775">IF($G254=0,0,-MIN(0,$G254*c_EquityShare.LP))</f>
        <v>0</v>
      </c>
      <c r="AR254" s="663" cm="1">
        <f t="array" ref="AR254">IF($D254=0,0,AP254*(c_Rate.Hurdle3.MO))</f>
        <v>0</v>
      </c>
      <c r="AS254" s="663">
        <f t="shared" si="1696"/>
        <v>0</v>
      </c>
      <c r="AT254" s="663">
        <f t="shared" si="1721"/>
        <v>0</v>
      </c>
      <c r="AU254" s="663">
        <f t="shared" si="1697"/>
        <v>0</v>
      </c>
      <c r="AV254" s="664">
        <f t="shared" si="1698"/>
        <v>0</v>
      </c>
      <c r="AW254" s="660">
        <f t="shared" si="1722"/>
        <v>0</v>
      </c>
      <c r="AX254" s="663">
        <f t="shared" ref="AX254" si="1776">IF(AP254=0,0,AL254+AT254/$J$19*c_Hurdle3.Share_GP)</f>
        <v>0</v>
      </c>
      <c r="AY254" s="663">
        <f t="shared" si="1724"/>
        <v>0</v>
      </c>
      <c r="AZ254" s="660">
        <f t="shared" si="1744"/>
        <v>0</v>
      </c>
      <c r="BA254" s="521"/>
      <c r="BB254" s="660">
        <f t="shared" si="590"/>
        <v>0</v>
      </c>
      <c r="BC254" s="660">
        <f t="shared" ref="BC254" si="1777">$AZ254*c_Residual.Share_GP</f>
        <v>0</v>
      </c>
      <c r="BD254" s="651"/>
      <c r="BE254" s="660">
        <f t="shared" si="1726"/>
        <v>0</v>
      </c>
      <c r="BF254" s="660">
        <f t="shared" si="1726"/>
        <v>0</v>
      </c>
      <c r="BG254" s="660">
        <f t="shared" si="1701"/>
        <v>0</v>
      </c>
      <c r="BI254" s="660">
        <v>0</v>
      </c>
      <c r="BJ254" s="660">
        <v>0</v>
      </c>
      <c r="BK254" s="660">
        <v>0</v>
      </c>
      <c r="BL254" s="660">
        <f t="shared" si="1727"/>
        <v>0</v>
      </c>
      <c r="BM254" s="660">
        <f t="shared" si="1727"/>
        <v>0</v>
      </c>
      <c r="BN254" s="660">
        <f t="shared" si="1728"/>
        <v>0</v>
      </c>
      <c r="BO254" s="660">
        <f t="shared" si="1728"/>
        <v>0</v>
      </c>
      <c r="BP254" s="660">
        <f t="shared" si="1729"/>
        <v>0</v>
      </c>
      <c r="BQ254" s="660">
        <f t="shared" si="1729"/>
        <v>0</v>
      </c>
      <c r="BR254" s="660">
        <v>0</v>
      </c>
      <c r="BS254" s="660">
        <v>0</v>
      </c>
      <c r="BT254" s="660">
        <f t="shared" si="1702"/>
        <v>0</v>
      </c>
      <c r="BU254" s="660">
        <f t="shared" si="1702"/>
        <v>0</v>
      </c>
      <c r="BX254" s="660">
        <v>0</v>
      </c>
      <c r="BY254" s="660">
        <f t="shared" si="1730"/>
        <v>0</v>
      </c>
      <c r="BZ254" s="660">
        <f t="shared" si="1703"/>
        <v>0</v>
      </c>
      <c r="CA254" s="660">
        <f t="shared" si="1704"/>
        <v>0</v>
      </c>
      <c r="CB254" s="660">
        <f t="shared" si="1705"/>
        <v>0</v>
      </c>
      <c r="CC254" s="660">
        <f t="shared" si="1706"/>
        <v>0</v>
      </c>
      <c r="CD254" s="660">
        <f t="shared" si="1731"/>
        <v>0</v>
      </c>
    </row>
    <row r="255" spans="4:82" ht="16" hidden="1" thickTop="1" thickBot="1">
      <c r="D255" s="653"/>
      <c r="E255" s="654"/>
      <c r="F255" s="655" t="str">
        <f t="shared" si="1707"/>
        <v/>
      </c>
      <c r="G255" s="656"/>
      <c r="I255" s="658">
        <f t="shared" si="1708"/>
        <v>0</v>
      </c>
      <c r="J255" s="658">
        <f t="shared" ref="J255" si="1778">IF($G255=0,0,-MIN(0,G255*c_EquityShare.LP))</f>
        <v>0</v>
      </c>
      <c r="K255" s="658">
        <f t="shared" ref="K255" si="1779">I255*c_Rate.Pref_MO</f>
        <v>0</v>
      </c>
      <c r="L255" s="658">
        <f t="shared" si="1684"/>
        <v>0</v>
      </c>
      <c r="M255" s="658">
        <f t="shared" si="1711"/>
        <v>0</v>
      </c>
      <c r="N255" s="658">
        <f t="shared" si="1734"/>
        <v>0</v>
      </c>
      <c r="O255" s="658" cm="1">
        <f t="array" ref="O255">IF(I255=0,0,IF(G255&lt;0,N255/c_EquityShare.LP*i_EquityShare.GP,L255/c_EquityShare.LP*i_EquityShare.GP))</f>
        <v>0</v>
      </c>
      <c r="P255" s="658">
        <f t="shared" si="1712"/>
        <v>0</v>
      </c>
      <c r="Q255" s="658">
        <f t="shared" si="1685"/>
        <v>0</v>
      </c>
      <c r="R255" s="521"/>
      <c r="S255" s="660">
        <f t="shared" si="1713"/>
        <v>0</v>
      </c>
      <c r="T255" s="663" cm="1">
        <f t="array" ref="T255">IF($G255=0,0,-MIN(0,$G255*c_EquityShare.LP))</f>
        <v>0</v>
      </c>
      <c r="U255" s="663" cm="1">
        <f t="array" ref="U255">IF($D255=0,0,S255*c_Rate.Hurdle1.MO)</f>
        <v>0</v>
      </c>
      <c r="V255" s="660">
        <f t="shared" si="1735"/>
        <v>0</v>
      </c>
      <c r="W255" s="660">
        <f t="shared" si="1714"/>
        <v>0</v>
      </c>
      <c r="X255" s="663">
        <f t="shared" si="1736"/>
        <v>0</v>
      </c>
      <c r="Y255" s="663">
        <f t="shared" si="1715"/>
        <v>0</v>
      </c>
      <c r="Z255" s="663">
        <f t="shared" ref="Z255" si="1780">IF(S255=0,0,O255+W255/$J$17*c_Hurdle1.Share_GP)</f>
        <v>0</v>
      </c>
      <c r="AA255" s="663">
        <f t="shared" si="1687"/>
        <v>0</v>
      </c>
      <c r="AB255" s="660">
        <f t="shared" si="1738"/>
        <v>0</v>
      </c>
      <c r="AC255" s="521"/>
      <c r="AD255" s="663">
        <f t="shared" si="1323"/>
        <v>0</v>
      </c>
      <c r="AE255" s="663">
        <f t="shared" ref="AE255" si="1781">IF($G255=0,0,-MIN(0,$G255*c_EquityShare.LP))</f>
        <v>0</v>
      </c>
      <c r="AF255" s="663" cm="1">
        <f t="array" ref="AF255">IF($D255=0,0,AD255*(c_Rate.Hurdle2.MO))</f>
        <v>0</v>
      </c>
      <c r="AG255" s="663">
        <f t="shared" si="1689"/>
        <v>0</v>
      </c>
      <c r="AH255" s="663">
        <f t="shared" si="1718"/>
        <v>0</v>
      </c>
      <c r="AI255" s="663">
        <f t="shared" si="1690"/>
        <v>0</v>
      </c>
      <c r="AJ255" s="664">
        <f t="shared" si="1691"/>
        <v>0</v>
      </c>
      <c r="AK255" s="660">
        <f t="shared" si="1692"/>
        <v>0</v>
      </c>
      <c r="AL255" s="663">
        <f t="shared" ref="AL255" si="1782">IF(AD255=0,0,Z255+AH255/$J$18*c_Hurdle2.Share_GP)</f>
        <v>0</v>
      </c>
      <c r="AM255" s="663">
        <f t="shared" si="1694"/>
        <v>0</v>
      </c>
      <c r="AN255" s="660">
        <f t="shared" si="1741"/>
        <v>0</v>
      </c>
      <c r="AO255" s="521"/>
      <c r="AP255" s="663">
        <f t="shared" si="1326"/>
        <v>0</v>
      </c>
      <c r="AQ255" s="663">
        <f t="shared" ref="AQ255" si="1783">IF($G255=0,0,-MIN(0,$G255*c_EquityShare.LP))</f>
        <v>0</v>
      </c>
      <c r="AR255" s="663" cm="1">
        <f t="array" ref="AR255">IF($D255=0,0,AP255*(c_Rate.Hurdle3.MO))</f>
        <v>0</v>
      </c>
      <c r="AS255" s="663">
        <f t="shared" si="1696"/>
        <v>0</v>
      </c>
      <c r="AT255" s="663">
        <f t="shared" si="1721"/>
        <v>0</v>
      </c>
      <c r="AU255" s="663">
        <f t="shared" si="1697"/>
        <v>0</v>
      </c>
      <c r="AV255" s="664">
        <f t="shared" si="1698"/>
        <v>0</v>
      </c>
      <c r="AW255" s="660">
        <f t="shared" si="1722"/>
        <v>0</v>
      </c>
      <c r="AX255" s="663">
        <f t="shared" ref="AX255" si="1784">IF(AP255=0,0,AL255+AT255/$J$19*c_Hurdle3.Share_GP)</f>
        <v>0</v>
      </c>
      <c r="AY255" s="663">
        <f t="shared" si="1724"/>
        <v>0</v>
      </c>
      <c r="AZ255" s="660">
        <f t="shared" si="1744"/>
        <v>0</v>
      </c>
      <c r="BA255" s="521"/>
      <c r="BB255" s="660">
        <f t="shared" si="590"/>
        <v>0</v>
      </c>
      <c r="BC255" s="660">
        <f t="shared" ref="BC255" si="1785">$AZ255*c_Residual.Share_GP</f>
        <v>0</v>
      </c>
      <c r="BD255" s="651"/>
      <c r="BE255" s="660">
        <f t="shared" si="1726"/>
        <v>0</v>
      </c>
      <c r="BF255" s="660">
        <f t="shared" si="1726"/>
        <v>0</v>
      </c>
      <c r="BG255" s="660">
        <f t="shared" si="1701"/>
        <v>0</v>
      </c>
      <c r="BI255" s="660">
        <v>0</v>
      </c>
      <c r="BJ255" s="660">
        <v>0</v>
      </c>
      <c r="BK255" s="660">
        <v>0</v>
      </c>
      <c r="BL255" s="660">
        <f t="shared" si="1727"/>
        <v>0</v>
      </c>
      <c r="BM255" s="660">
        <f t="shared" si="1727"/>
        <v>0</v>
      </c>
      <c r="BN255" s="660">
        <f t="shared" si="1728"/>
        <v>0</v>
      </c>
      <c r="BO255" s="660">
        <f t="shared" si="1728"/>
        <v>0</v>
      </c>
      <c r="BP255" s="660">
        <f t="shared" si="1729"/>
        <v>0</v>
      </c>
      <c r="BQ255" s="660">
        <f t="shared" si="1729"/>
        <v>0</v>
      </c>
      <c r="BR255" s="660">
        <v>0</v>
      </c>
      <c r="BS255" s="660">
        <v>0</v>
      </c>
      <c r="BT255" s="660">
        <f t="shared" si="1702"/>
        <v>0</v>
      </c>
      <c r="BU255" s="660">
        <f t="shared" si="1702"/>
        <v>0</v>
      </c>
      <c r="BX255" s="660">
        <v>0</v>
      </c>
      <c r="BY255" s="660">
        <f t="shared" si="1730"/>
        <v>0</v>
      </c>
      <c r="BZ255" s="660">
        <f t="shared" si="1703"/>
        <v>0</v>
      </c>
      <c r="CA255" s="660">
        <f t="shared" si="1704"/>
        <v>0</v>
      </c>
      <c r="CB255" s="660">
        <f t="shared" si="1705"/>
        <v>0</v>
      </c>
      <c r="CC255" s="660">
        <f t="shared" si="1706"/>
        <v>0</v>
      </c>
      <c r="CD255" s="660">
        <f t="shared" si="1731"/>
        <v>0</v>
      </c>
    </row>
    <row r="256" spans="4:82" ht="16" hidden="1" thickTop="1" thickBot="1">
      <c r="D256" s="653"/>
      <c r="E256" s="654"/>
      <c r="F256" s="655" t="str">
        <f t="shared" si="1707"/>
        <v/>
      </c>
      <c r="G256" s="656"/>
      <c r="I256" s="658">
        <f t="shared" si="1708"/>
        <v>0</v>
      </c>
      <c r="J256" s="658">
        <f t="shared" ref="J256" si="1786">IF($G256=0,0,-MIN(0,G256*c_EquityShare.LP))</f>
        <v>0</v>
      </c>
      <c r="K256" s="658">
        <f t="shared" ref="K256" si="1787">I256*c_Rate.Pref_MO</f>
        <v>0</v>
      </c>
      <c r="L256" s="658">
        <f t="shared" si="1684"/>
        <v>0</v>
      </c>
      <c r="M256" s="658">
        <f t="shared" si="1711"/>
        <v>0</v>
      </c>
      <c r="N256" s="658">
        <f t="shared" si="1734"/>
        <v>0</v>
      </c>
      <c r="O256" s="658" cm="1">
        <f t="array" ref="O256">IF(I256=0,0,IF(G256&lt;0,N256/c_EquityShare.LP*i_EquityShare.GP,L256/c_EquityShare.LP*i_EquityShare.GP))</f>
        <v>0</v>
      </c>
      <c r="P256" s="658">
        <f t="shared" si="1712"/>
        <v>0</v>
      </c>
      <c r="Q256" s="658">
        <f t="shared" si="1685"/>
        <v>0</v>
      </c>
      <c r="R256" s="521"/>
      <c r="S256" s="660">
        <f t="shared" si="1713"/>
        <v>0</v>
      </c>
      <c r="T256" s="663" cm="1">
        <f t="array" ref="T256">IF($G256=0,0,-MIN(0,$G256*c_EquityShare.LP))</f>
        <v>0</v>
      </c>
      <c r="U256" s="663" cm="1">
        <f t="array" ref="U256">IF($D256=0,0,S256*c_Rate.Hurdle1.MO)</f>
        <v>0</v>
      </c>
      <c r="V256" s="660">
        <f t="shared" si="1735"/>
        <v>0</v>
      </c>
      <c r="W256" s="660">
        <f t="shared" si="1714"/>
        <v>0</v>
      </c>
      <c r="X256" s="663">
        <f t="shared" si="1736"/>
        <v>0</v>
      </c>
      <c r="Y256" s="663">
        <f t="shared" si="1715"/>
        <v>0</v>
      </c>
      <c r="Z256" s="663">
        <f t="shared" ref="Z256" si="1788">IF(S256=0,0,O256+W256/$J$17*c_Hurdle1.Share_GP)</f>
        <v>0</v>
      </c>
      <c r="AA256" s="663">
        <f t="shared" si="1687"/>
        <v>0</v>
      </c>
      <c r="AB256" s="660">
        <f t="shared" si="1738"/>
        <v>0</v>
      </c>
      <c r="AC256" s="521"/>
      <c r="AD256" s="663">
        <f t="shared" si="1323"/>
        <v>0</v>
      </c>
      <c r="AE256" s="663">
        <f t="shared" ref="AE256" si="1789">IF($G256=0,0,-MIN(0,$G256*c_EquityShare.LP))</f>
        <v>0</v>
      </c>
      <c r="AF256" s="663" cm="1">
        <f t="array" ref="AF256">IF($D256=0,0,AD256*(c_Rate.Hurdle2.MO))</f>
        <v>0</v>
      </c>
      <c r="AG256" s="663">
        <f t="shared" si="1689"/>
        <v>0</v>
      </c>
      <c r="AH256" s="663">
        <f t="shared" si="1718"/>
        <v>0</v>
      </c>
      <c r="AI256" s="663">
        <f t="shared" si="1690"/>
        <v>0</v>
      </c>
      <c r="AJ256" s="664">
        <f t="shared" si="1691"/>
        <v>0</v>
      </c>
      <c r="AK256" s="660">
        <f t="shared" si="1692"/>
        <v>0</v>
      </c>
      <c r="AL256" s="663">
        <f t="shared" ref="AL256" si="1790">IF(AD256=0,0,Z256+AH256/$J$18*c_Hurdle2.Share_GP)</f>
        <v>0</v>
      </c>
      <c r="AM256" s="663">
        <f t="shared" si="1694"/>
        <v>0</v>
      </c>
      <c r="AN256" s="660">
        <f t="shared" si="1741"/>
        <v>0</v>
      </c>
      <c r="AO256" s="521"/>
      <c r="AP256" s="663">
        <f t="shared" si="1326"/>
        <v>0</v>
      </c>
      <c r="AQ256" s="663">
        <f t="shared" ref="AQ256" si="1791">IF($G256=0,0,-MIN(0,$G256*c_EquityShare.LP))</f>
        <v>0</v>
      </c>
      <c r="AR256" s="663" cm="1">
        <f t="array" ref="AR256">IF($D256=0,0,AP256*(c_Rate.Hurdle3.MO))</f>
        <v>0</v>
      </c>
      <c r="AS256" s="663">
        <f t="shared" si="1696"/>
        <v>0</v>
      </c>
      <c r="AT256" s="663">
        <f t="shared" si="1721"/>
        <v>0</v>
      </c>
      <c r="AU256" s="663">
        <f t="shared" si="1697"/>
        <v>0</v>
      </c>
      <c r="AV256" s="664">
        <f t="shared" si="1698"/>
        <v>0</v>
      </c>
      <c r="AW256" s="660">
        <f t="shared" si="1722"/>
        <v>0</v>
      </c>
      <c r="AX256" s="663">
        <f t="shared" ref="AX256" si="1792">IF(AP256=0,0,AL256+AT256/$J$19*c_Hurdle3.Share_GP)</f>
        <v>0</v>
      </c>
      <c r="AY256" s="663">
        <f t="shared" si="1724"/>
        <v>0</v>
      </c>
      <c r="AZ256" s="660">
        <f t="shared" si="1744"/>
        <v>0</v>
      </c>
      <c r="BA256" s="521"/>
      <c r="BB256" s="660">
        <f t="shared" si="590"/>
        <v>0</v>
      </c>
      <c r="BC256" s="660">
        <f t="shared" ref="BC256" si="1793">$AZ256*c_Residual.Share_GP</f>
        <v>0</v>
      </c>
      <c r="BD256" s="651"/>
      <c r="BE256" s="660">
        <f t="shared" si="1726"/>
        <v>0</v>
      </c>
      <c r="BF256" s="660">
        <f t="shared" si="1726"/>
        <v>0</v>
      </c>
      <c r="BG256" s="660">
        <f t="shared" si="1701"/>
        <v>0</v>
      </c>
      <c r="BI256" s="660">
        <v>0</v>
      </c>
      <c r="BJ256" s="660">
        <v>0</v>
      </c>
      <c r="BK256" s="660">
        <v>0</v>
      </c>
      <c r="BL256" s="660">
        <f t="shared" si="1727"/>
        <v>0</v>
      </c>
      <c r="BM256" s="660">
        <f t="shared" si="1727"/>
        <v>0</v>
      </c>
      <c r="BN256" s="660">
        <f t="shared" si="1728"/>
        <v>0</v>
      </c>
      <c r="BO256" s="660">
        <f t="shared" si="1728"/>
        <v>0</v>
      </c>
      <c r="BP256" s="660">
        <f t="shared" si="1729"/>
        <v>0</v>
      </c>
      <c r="BQ256" s="660">
        <f t="shared" si="1729"/>
        <v>0</v>
      </c>
      <c r="BR256" s="660">
        <v>0</v>
      </c>
      <c r="BS256" s="660">
        <v>0</v>
      </c>
      <c r="BT256" s="660">
        <f t="shared" si="1702"/>
        <v>0</v>
      </c>
      <c r="BU256" s="660">
        <f t="shared" si="1702"/>
        <v>0</v>
      </c>
      <c r="BX256" s="660">
        <v>0</v>
      </c>
      <c r="BY256" s="660">
        <f t="shared" si="1730"/>
        <v>0</v>
      </c>
      <c r="BZ256" s="660">
        <f t="shared" si="1703"/>
        <v>0</v>
      </c>
      <c r="CA256" s="660">
        <f t="shared" si="1704"/>
        <v>0</v>
      </c>
      <c r="CB256" s="660">
        <f t="shared" si="1705"/>
        <v>0</v>
      </c>
      <c r="CC256" s="660">
        <f t="shared" si="1706"/>
        <v>0</v>
      </c>
      <c r="CD256" s="660">
        <f t="shared" si="1731"/>
        <v>0</v>
      </c>
    </row>
    <row r="257" spans="4:82" ht="16" hidden="1" thickTop="1" thickBot="1">
      <c r="D257" s="653"/>
      <c r="E257" s="654"/>
      <c r="F257" s="655" t="str">
        <f t="shared" si="1707"/>
        <v/>
      </c>
      <c r="G257" s="656"/>
      <c r="I257" s="658">
        <f t="shared" si="1708"/>
        <v>0</v>
      </c>
      <c r="J257" s="658">
        <f t="shared" ref="J257" si="1794">IF($G257=0,0,-MIN(0,G257*c_EquityShare.LP))</f>
        <v>0</v>
      </c>
      <c r="K257" s="658">
        <f t="shared" ref="K257" si="1795">I257*c_Rate.Pref_MO</f>
        <v>0</v>
      </c>
      <c r="L257" s="658">
        <f t="shared" si="1684"/>
        <v>0</v>
      </c>
      <c r="M257" s="658">
        <f t="shared" si="1711"/>
        <v>0</v>
      </c>
      <c r="N257" s="658">
        <f t="shared" si="1734"/>
        <v>0</v>
      </c>
      <c r="O257" s="658" cm="1">
        <f t="array" ref="O257">IF(I257=0,0,IF(G257&lt;0,N257/c_EquityShare.LP*i_EquityShare.GP,L257/c_EquityShare.LP*i_EquityShare.GP))</f>
        <v>0</v>
      </c>
      <c r="P257" s="658">
        <f t="shared" si="1712"/>
        <v>0</v>
      </c>
      <c r="Q257" s="658">
        <f t="shared" si="1685"/>
        <v>0</v>
      </c>
      <c r="R257" s="521"/>
      <c r="S257" s="660">
        <f t="shared" si="1713"/>
        <v>0</v>
      </c>
      <c r="T257" s="663" cm="1">
        <f t="array" ref="T257">IF($G257=0,0,-MIN(0,$G257*c_EquityShare.LP))</f>
        <v>0</v>
      </c>
      <c r="U257" s="663" cm="1">
        <f t="array" ref="U257">IF($D257=0,0,S257*c_Rate.Hurdle1.MO)</f>
        <v>0</v>
      </c>
      <c r="V257" s="660">
        <f t="shared" si="1735"/>
        <v>0</v>
      </c>
      <c r="W257" s="660">
        <f t="shared" si="1714"/>
        <v>0</v>
      </c>
      <c r="X257" s="663">
        <f t="shared" si="1736"/>
        <v>0</v>
      </c>
      <c r="Y257" s="663">
        <f t="shared" si="1715"/>
        <v>0</v>
      </c>
      <c r="Z257" s="663">
        <f t="shared" ref="Z257" si="1796">IF(S257=0,0,O257+W257/$J$17*c_Hurdle1.Share_GP)</f>
        <v>0</v>
      </c>
      <c r="AA257" s="663">
        <f t="shared" si="1687"/>
        <v>0</v>
      </c>
      <c r="AB257" s="660">
        <f t="shared" si="1738"/>
        <v>0</v>
      </c>
      <c r="AC257" s="521"/>
      <c r="AD257" s="663">
        <f t="shared" si="1323"/>
        <v>0</v>
      </c>
      <c r="AE257" s="663">
        <f t="shared" ref="AE257" si="1797">IF($G257=0,0,-MIN(0,$G257*c_EquityShare.LP))</f>
        <v>0</v>
      </c>
      <c r="AF257" s="663" cm="1">
        <f t="array" ref="AF257">IF($D257=0,0,AD257*(c_Rate.Hurdle2.MO))</f>
        <v>0</v>
      </c>
      <c r="AG257" s="663">
        <f t="shared" si="1689"/>
        <v>0</v>
      </c>
      <c r="AH257" s="663">
        <f t="shared" si="1718"/>
        <v>0</v>
      </c>
      <c r="AI257" s="663">
        <f t="shared" si="1690"/>
        <v>0</v>
      </c>
      <c r="AJ257" s="664">
        <f t="shared" si="1691"/>
        <v>0</v>
      </c>
      <c r="AK257" s="660">
        <f t="shared" si="1692"/>
        <v>0</v>
      </c>
      <c r="AL257" s="663">
        <f t="shared" ref="AL257" si="1798">IF(AD257=0,0,Z257+AH257/$J$18*c_Hurdle2.Share_GP)</f>
        <v>0</v>
      </c>
      <c r="AM257" s="663">
        <f t="shared" si="1694"/>
        <v>0</v>
      </c>
      <c r="AN257" s="660">
        <f t="shared" si="1741"/>
        <v>0</v>
      </c>
      <c r="AO257" s="521"/>
      <c r="AP257" s="663">
        <f t="shared" si="1326"/>
        <v>0</v>
      </c>
      <c r="AQ257" s="663">
        <f t="shared" ref="AQ257" si="1799">IF($G257=0,0,-MIN(0,$G257*c_EquityShare.LP))</f>
        <v>0</v>
      </c>
      <c r="AR257" s="663" cm="1">
        <f t="array" ref="AR257">IF($D257=0,0,AP257*(c_Rate.Hurdle3.MO))</f>
        <v>0</v>
      </c>
      <c r="AS257" s="663">
        <f t="shared" si="1696"/>
        <v>0</v>
      </c>
      <c r="AT257" s="663">
        <f t="shared" si="1721"/>
        <v>0</v>
      </c>
      <c r="AU257" s="663">
        <f t="shared" si="1697"/>
        <v>0</v>
      </c>
      <c r="AV257" s="664">
        <f t="shared" si="1698"/>
        <v>0</v>
      </c>
      <c r="AW257" s="660">
        <f t="shared" si="1722"/>
        <v>0</v>
      </c>
      <c r="AX257" s="663">
        <f t="shared" ref="AX257" si="1800">IF(AP257=0,0,AL257+AT257/$J$19*c_Hurdle3.Share_GP)</f>
        <v>0</v>
      </c>
      <c r="AY257" s="663">
        <f t="shared" si="1724"/>
        <v>0</v>
      </c>
      <c r="AZ257" s="660">
        <f t="shared" si="1744"/>
        <v>0</v>
      </c>
      <c r="BA257" s="521"/>
      <c r="BB257" s="660">
        <f t="shared" si="590"/>
        <v>0</v>
      </c>
      <c r="BC257" s="660">
        <f t="shared" ref="BC257" si="1801">$AZ257*c_Residual.Share_GP</f>
        <v>0</v>
      </c>
      <c r="BD257" s="651"/>
      <c r="BE257" s="660">
        <f t="shared" si="1726"/>
        <v>0</v>
      </c>
      <c r="BF257" s="660">
        <f t="shared" si="1726"/>
        <v>0</v>
      </c>
      <c r="BG257" s="660">
        <f t="shared" si="1701"/>
        <v>0</v>
      </c>
      <c r="BI257" s="660">
        <v>0</v>
      </c>
      <c r="BJ257" s="660">
        <v>0</v>
      </c>
      <c r="BK257" s="660">
        <v>0</v>
      </c>
      <c r="BL257" s="660">
        <f t="shared" si="1727"/>
        <v>0</v>
      </c>
      <c r="BM257" s="660">
        <f t="shared" si="1727"/>
        <v>0</v>
      </c>
      <c r="BN257" s="660">
        <f t="shared" si="1728"/>
        <v>0</v>
      </c>
      <c r="BO257" s="660">
        <f t="shared" si="1728"/>
        <v>0</v>
      </c>
      <c r="BP257" s="660">
        <f t="shared" si="1729"/>
        <v>0</v>
      </c>
      <c r="BQ257" s="660">
        <f t="shared" si="1729"/>
        <v>0</v>
      </c>
      <c r="BR257" s="660">
        <v>0</v>
      </c>
      <c r="BS257" s="660">
        <v>0</v>
      </c>
      <c r="BT257" s="660">
        <f t="shared" si="1702"/>
        <v>0</v>
      </c>
      <c r="BU257" s="660">
        <f t="shared" si="1702"/>
        <v>0</v>
      </c>
      <c r="BX257" s="660">
        <v>0</v>
      </c>
      <c r="BY257" s="660">
        <f t="shared" si="1730"/>
        <v>0</v>
      </c>
      <c r="BZ257" s="660">
        <f t="shared" si="1703"/>
        <v>0</v>
      </c>
      <c r="CA257" s="660">
        <f t="shared" si="1704"/>
        <v>0</v>
      </c>
      <c r="CB257" s="660">
        <f t="shared" si="1705"/>
        <v>0</v>
      </c>
      <c r="CC257" s="660">
        <f t="shared" si="1706"/>
        <v>0</v>
      </c>
      <c r="CD257" s="660">
        <f t="shared" si="1731"/>
        <v>0</v>
      </c>
    </row>
    <row r="258" spans="4:82" ht="16" hidden="1" thickTop="1" thickBot="1">
      <c r="D258" s="653"/>
      <c r="E258" s="654"/>
      <c r="F258" s="655" t="str">
        <f t="shared" si="1707"/>
        <v/>
      </c>
      <c r="G258" s="656"/>
      <c r="I258" s="658">
        <f t="shared" si="1708"/>
        <v>0</v>
      </c>
      <c r="J258" s="658">
        <f t="shared" ref="J258" si="1802">IF($G258=0,0,-MIN(0,G258*c_EquityShare.LP))</f>
        <v>0</v>
      </c>
      <c r="K258" s="658">
        <f t="shared" ref="K258" si="1803">I258*c_Rate.Pref_MO</f>
        <v>0</v>
      </c>
      <c r="L258" s="658">
        <f t="shared" si="1684"/>
        <v>0</v>
      </c>
      <c r="M258" s="658">
        <f t="shared" si="1711"/>
        <v>0</v>
      </c>
      <c r="N258" s="658">
        <f t="shared" si="1734"/>
        <v>0</v>
      </c>
      <c r="O258" s="658" cm="1">
        <f t="array" ref="O258">IF(I258=0,0,IF(G258&lt;0,N258/c_EquityShare.LP*i_EquityShare.GP,L258/c_EquityShare.LP*i_EquityShare.GP))</f>
        <v>0</v>
      </c>
      <c r="P258" s="658">
        <f t="shared" si="1712"/>
        <v>0</v>
      </c>
      <c r="Q258" s="658">
        <f t="shared" si="1685"/>
        <v>0</v>
      </c>
      <c r="R258" s="521"/>
      <c r="S258" s="660">
        <f t="shared" si="1713"/>
        <v>0</v>
      </c>
      <c r="T258" s="663" cm="1">
        <f t="array" ref="T258">IF($G258=0,0,-MIN(0,$G258*c_EquityShare.LP))</f>
        <v>0</v>
      </c>
      <c r="U258" s="663" cm="1">
        <f t="array" ref="U258">IF($D258=0,0,S258*c_Rate.Hurdle1.MO)</f>
        <v>0</v>
      </c>
      <c r="V258" s="660">
        <f t="shared" si="1735"/>
        <v>0</v>
      </c>
      <c r="W258" s="660">
        <f t="shared" si="1714"/>
        <v>0</v>
      </c>
      <c r="X258" s="663">
        <f t="shared" si="1736"/>
        <v>0</v>
      </c>
      <c r="Y258" s="663">
        <f t="shared" si="1715"/>
        <v>0</v>
      </c>
      <c r="Z258" s="663">
        <f t="shared" ref="Z258" si="1804">IF(S258=0,0,O258+W258/$J$17*c_Hurdle1.Share_GP)</f>
        <v>0</v>
      </c>
      <c r="AA258" s="663">
        <f t="shared" si="1687"/>
        <v>0</v>
      </c>
      <c r="AB258" s="660">
        <f t="shared" si="1738"/>
        <v>0</v>
      </c>
      <c r="AC258" s="521"/>
      <c r="AD258" s="663">
        <f t="shared" si="1323"/>
        <v>0</v>
      </c>
      <c r="AE258" s="663">
        <f t="shared" ref="AE258" si="1805">IF($G258=0,0,-MIN(0,$G258*c_EquityShare.LP))</f>
        <v>0</v>
      </c>
      <c r="AF258" s="663" cm="1">
        <f t="array" ref="AF258">IF($D258=0,0,AD258*(c_Rate.Hurdle2.MO))</f>
        <v>0</v>
      </c>
      <c r="AG258" s="663">
        <f t="shared" si="1689"/>
        <v>0</v>
      </c>
      <c r="AH258" s="663">
        <f t="shared" si="1718"/>
        <v>0</v>
      </c>
      <c r="AI258" s="663">
        <f t="shared" si="1690"/>
        <v>0</v>
      </c>
      <c r="AJ258" s="664">
        <f t="shared" si="1691"/>
        <v>0</v>
      </c>
      <c r="AK258" s="660">
        <f t="shared" si="1692"/>
        <v>0</v>
      </c>
      <c r="AL258" s="663">
        <f t="shared" ref="AL258" si="1806">IF(AD258=0,0,Z258+AH258/$J$18*c_Hurdle2.Share_GP)</f>
        <v>0</v>
      </c>
      <c r="AM258" s="663">
        <f t="shared" si="1694"/>
        <v>0</v>
      </c>
      <c r="AN258" s="660">
        <f t="shared" si="1741"/>
        <v>0</v>
      </c>
      <c r="AO258" s="521"/>
      <c r="AP258" s="663">
        <f t="shared" si="1326"/>
        <v>0</v>
      </c>
      <c r="AQ258" s="663">
        <f t="shared" ref="AQ258" si="1807">IF($G258=0,0,-MIN(0,$G258*c_EquityShare.LP))</f>
        <v>0</v>
      </c>
      <c r="AR258" s="663" cm="1">
        <f t="array" ref="AR258">IF($D258=0,0,AP258*(c_Rate.Hurdle3.MO))</f>
        <v>0</v>
      </c>
      <c r="AS258" s="663">
        <f t="shared" si="1696"/>
        <v>0</v>
      </c>
      <c r="AT258" s="663">
        <f t="shared" si="1721"/>
        <v>0</v>
      </c>
      <c r="AU258" s="663">
        <f t="shared" si="1697"/>
        <v>0</v>
      </c>
      <c r="AV258" s="664">
        <f t="shared" si="1698"/>
        <v>0</v>
      </c>
      <c r="AW258" s="660">
        <f t="shared" si="1722"/>
        <v>0</v>
      </c>
      <c r="AX258" s="663">
        <f t="shared" ref="AX258" si="1808">IF(AP258=0,0,AL258+AT258/$J$19*c_Hurdle3.Share_GP)</f>
        <v>0</v>
      </c>
      <c r="AY258" s="663">
        <f t="shared" si="1724"/>
        <v>0</v>
      </c>
      <c r="AZ258" s="660">
        <f t="shared" si="1744"/>
        <v>0</v>
      </c>
      <c r="BA258" s="521"/>
      <c r="BB258" s="660">
        <f t="shared" si="590"/>
        <v>0</v>
      </c>
      <c r="BC258" s="660">
        <f t="shared" ref="BC258" si="1809">$AZ258*c_Residual.Share_GP</f>
        <v>0</v>
      </c>
      <c r="BD258" s="651"/>
      <c r="BE258" s="660">
        <f t="shared" si="1726"/>
        <v>0</v>
      </c>
      <c r="BF258" s="660">
        <f t="shared" si="1726"/>
        <v>0</v>
      </c>
      <c r="BG258" s="660">
        <f t="shared" si="1701"/>
        <v>0</v>
      </c>
      <c r="BI258" s="660">
        <v>0</v>
      </c>
      <c r="BJ258" s="660">
        <v>0</v>
      </c>
      <c r="BK258" s="660">
        <v>0</v>
      </c>
      <c r="BL258" s="660">
        <f t="shared" si="1727"/>
        <v>0</v>
      </c>
      <c r="BM258" s="660">
        <f t="shared" si="1727"/>
        <v>0</v>
      </c>
      <c r="BN258" s="660">
        <f t="shared" si="1728"/>
        <v>0</v>
      </c>
      <c r="BO258" s="660">
        <f t="shared" si="1728"/>
        <v>0</v>
      </c>
      <c r="BP258" s="660">
        <f t="shared" si="1729"/>
        <v>0</v>
      </c>
      <c r="BQ258" s="660">
        <f t="shared" si="1729"/>
        <v>0</v>
      </c>
      <c r="BR258" s="660">
        <v>0</v>
      </c>
      <c r="BS258" s="660">
        <v>0</v>
      </c>
      <c r="BT258" s="660">
        <f t="shared" si="1702"/>
        <v>0</v>
      </c>
      <c r="BU258" s="660">
        <f t="shared" si="1702"/>
        <v>0</v>
      </c>
      <c r="BX258" s="660">
        <v>0</v>
      </c>
      <c r="BY258" s="660">
        <f t="shared" si="1730"/>
        <v>0</v>
      </c>
      <c r="BZ258" s="660">
        <f t="shared" si="1703"/>
        <v>0</v>
      </c>
      <c r="CA258" s="660">
        <f t="shared" si="1704"/>
        <v>0</v>
      </c>
      <c r="CB258" s="660">
        <f t="shared" si="1705"/>
        <v>0</v>
      </c>
      <c r="CC258" s="660">
        <f t="shared" si="1706"/>
        <v>0</v>
      </c>
      <c r="CD258" s="660">
        <f t="shared" si="1731"/>
        <v>0</v>
      </c>
    </row>
    <row r="259" spans="4:82" ht="16" hidden="1" thickTop="1" thickBot="1">
      <c r="D259" s="653"/>
      <c r="E259" s="654"/>
      <c r="F259" s="655" t="str">
        <f t="shared" si="1707"/>
        <v/>
      </c>
      <c r="G259" s="656"/>
      <c r="I259" s="658">
        <f t="shared" si="1708"/>
        <v>0</v>
      </c>
      <c r="J259" s="658">
        <f t="shared" ref="J259" si="1810">IF($G259=0,0,-MIN(0,G259*c_EquityShare.LP))</f>
        <v>0</v>
      </c>
      <c r="K259" s="658">
        <f t="shared" ref="K259" si="1811">I259*c_Rate.Pref_MO</f>
        <v>0</v>
      </c>
      <c r="L259" s="658">
        <f t="shared" si="1684"/>
        <v>0</v>
      </c>
      <c r="M259" s="658">
        <f t="shared" si="1711"/>
        <v>0</v>
      </c>
      <c r="N259" s="658">
        <f t="shared" si="1734"/>
        <v>0</v>
      </c>
      <c r="O259" s="658" cm="1">
        <f t="array" ref="O259">IF(I259=0,0,IF(G259&lt;0,N259/c_EquityShare.LP*i_EquityShare.GP,L259/c_EquityShare.LP*i_EquityShare.GP))</f>
        <v>0</v>
      </c>
      <c r="P259" s="658">
        <f t="shared" si="1712"/>
        <v>0</v>
      </c>
      <c r="Q259" s="658">
        <f t="shared" si="1685"/>
        <v>0</v>
      </c>
      <c r="R259" s="521"/>
      <c r="S259" s="660">
        <f t="shared" si="1713"/>
        <v>0</v>
      </c>
      <c r="T259" s="663" cm="1">
        <f t="array" ref="T259">IF($G259=0,0,-MIN(0,$G259*c_EquityShare.LP))</f>
        <v>0</v>
      </c>
      <c r="U259" s="663" cm="1">
        <f t="array" ref="U259">IF($D259=0,0,S259*c_Rate.Hurdle1.MO)</f>
        <v>0</v>
      </c>
      <c r="V259" s="660">
        <f t="shared" si="1735"/>
        <v>0</v>
      </c>
      <c r="W259" s="660">
        <f t="shared" si="1714"/>
        <v>0</v>
      </c>
      <c r="X259" s="663">
        <f t="shared" si="1736"/>
        <v>0</v>
      </c>
      <c r="Y259" s="663">
        <f t="shared" si="1715"/>
        <v>0</v>
      </c>
      <c r="Z259" s="663">
        <f t="shared" ref="Z259" si="1812">IF(S259=0,0,O259+W259/$J$17*c_Hurdle1.Share_GP)</f>
        <v>0</v>
      </c>
      <c r="AA259" s="663">
        <f t="shared" si="1687"/>
        <v>0</v>
      </c>
      <c r="AB259" s="660">
        <f t="shared" si="1738"/>
        <v>0</v>
      </c>
      <c r="AC259" s="521"/>
      <c r="AD259" s="663">
        <f t="shared" si="1323"/>
        <v>0</v>
      </c>
      <c r="AE259" s="663">
        <f t="shared" ref="AE259" si="1813">IF($G259=0,0,-MIN(0,$G259*c_EquityShare.LP))</f>
        <v>0</v>
      </c>
      <c r="AF259" s="663" cm="1">
        <f t="array" ref="AF259">IF($D259=0,0,AD259*(c_Rate.Hurdle2.MO))</f>
        <v>0</v>
      </c>
      <c r="AG259" s="663">
        <f t="shared" si="1689"/>
        <v>0</v>
      </c>
      <c r="AH259" s="663">
        <f t="shared" si="1718"/>
        <v>0</v>
      </c>
      <c r="AI259" s="663">
        <f t="shared" si="1690"/>
        <v>0</v>
      </c>
      <c r="AJ259" s="664">
        <f t="shared" si="1691"/>
        <v>0</v>
      </c>
      <c r="AK259" s="660">
        <f t="shared" si="1692"/>
        <v>0</v>
      </c>
      <c r="AL259" s="663">
        <f t="shared" ref="AL259" si="1814">IF(AD259=0,0,Z259+AH259/$J$18*c_Hurdle2.Share_GP)</f>
        <v>0</v>
      </c>
      <c r="AM259" s="663">
        <f t="shared" si="1694"/>
        <v>0</v>
      </c>
      <c r="AN259" s="660">
        <f t="shared" si="1741"/>
        <v>0</v>
      </c>
      <c r="AO259" s="521"/>
      <c r="AP259" s="663">
        <f t="shared" si="1326"/>
        <v>0</v>
      </c>
      <c r="AQ259" s="663">
        <f t="shared" ref="AQ259" si="1815">IF($G259=0,0,-MIN(0,$G259*c_EquityShare.LP))</f>
        <v>0</v>
      </c>
      <c r="AR259" s="663" cm="1">
        <f t="array" ref="AR259">IF($D259=0,0,AP259*(c_Rate.Hurdle3.MO))</f>
        <v>0</v>
      </c>
      <c r="AS259" s="663">
        <f t="shared" si="1696"/>
        <v>0</v>
      </c>
      <c r="AT259" s="663">
        <f t="shared" si="1721"/>
        <v>0</v>
      </c>
      <c r="AU259" s="663">
        <f t="shared" si="1697"/>
        <v>0</v>
      </c>
      <c r="AV259" s="664">
        <f t="shared" si="1698"/>
        <v>0</v>
      </c>
      <c r="AW259" s="660">
        <f t="shared" si="1722"/>
        <v>0</v>
      </c>
      <c r="AX259" s="663">
        <f t="shared" ref="AX259" si="1816">IF(AP259=0,0,AL259+AT259/$J$19*c_Hurdle3.Share_GP)</f>
        <v>0</v>
      </c>
      <c r="AY259" s="663">
        <f t="shared" si="1724"/>
        <v>0</v>
      </c>
      <c r="AZ259" s="660">
        <f t="shared" si="1744"/>
        <v>0</v>
      </c>
      <c r="BA259" s="521"/>
      <c r="BB259" s="660">
        <f t="shared" si="590"/>
        <v>0</v>
      </c>
      <c r="BC259" s="660">
        <f t="shared" ref="BC259" si="1817">$AZ259*c_Residual.Share_GP</f>
        <v>0</v>
      </c>
      <c r="BD259" s="651"/>
      <c r="BE259" s="660">
        <f t="shared" si="1726"/>
        <v>0</v>
      </c>
      <c r="BF259" s="660">
        <f t="shared" si="1726"/>
        <v>0</v>
      </c>
      <c r="BG259" s="660">
        <f t="shared" si="1701"/>
        <v>0</v>
      </c>
      <c r="BI259" s="660">
        <v>0</v>
      </c>
      <c r="BJ259" s="660">
        <v>0</v>
      </c>
      <c r="BK259" s="660">
        <v>0</v>
      </c>
      <c r="BL259" s="660">
        <f t="shared" si="1727"/>
        <v>0</v>
      </c>
      <c r="BM259" s="660">
        <f t="shared" si="1727"/>
        <v>0</v>
      </c>
      <c r="BN259" s="660">
        <f t="shared" si="1728"/>
        <v>0</v>
      </c>
      <c r="BO259" s="660">
        <f t="shared" si="1728"/>
        <v>0</v>
      </c>
      <c r="BP259" s="660">
        <f t="shared" si="1729"/>
        <v>0</v>
      </c>
      <c r="BQ259" s="660">
        <f t="shared" si="1729"/>
        <v>0</v>
      </c>
      <c r="BR259" s="660">
        <v>0</v>
      </c>
      <c r="BS259" s="660">
        <v>0</v>
      </c>
      <c r="BT259" s="660">
        <f t="shared" si="1702"/>
        <v>0</v>
      </c>
      <c r="BU259" s="660">
        <f t="shared" si="1702"/>
        <v>0</v>
      </c>
      <c r="BX259" s="660">
        <v>0</v>
      </c>
      <c r="BY259" s="660">
        <f t="shared" si="1730"/>
        <v>0</v>
      </c>
      <c r="BZ259" s="660">
        <f t="shared" si="1703"/>
        <v>0</v>
      </c>
      <c r="CA259" s="660">
        <f t="shared" si="1704"/>
        <v>0</v>
      </c>
      <c r="CB259" s="660">
        <f t="shared" si="1705"/>
        <v>0</v>
      </c>
      <c r="CC259" s="660">
        <f t="shared" si="1706"/>
        <v>0</v>
      </c>
      <c r="CD259" s="660">
        <f t="shared" si="1731"/>
        <v>0</v>
      </c>
    </row>
    <row r="260" spans="4:82" ht="16" hidden="1" thickTop="1" thickBot="1">
      <c r="D260" s="653"/>
      <c r="E260" s="654"/>
      <c r="F260" s="655" t="str">
        <f t="shared" si="1707"/>
        <v/>
      </c>
      <c r="G260" s="656"/>
      <c r="I260" s="658">
        <f t="shared" si="1708"/>
        <v>0</v>
      </c>
      <c r="J260" s="658">
        <f t="shared" ref="J260" si="1818">IF($G260=0,0,-MIN(0,G260*c_EquityShare.LP))</f>
        <v>0</v>
      </c>
      <c r="K260" s="658">
        <f t="shared" ref="K260" si="1819">I260*c_Rate.Pref_MO</f>
        <v>0</v>
      </c>
      <c r="L260" s="658">
        <f t="shared" si="1684"/>
        <v>0</v>
      </c>
      <c r="M260" s="658">
        <f t="shared" si="1711"/>
        <v>0</v>
      </c>
      <c r="N260" s="658">
        <f t="shared" si="1734"/>
        <v>0</v>
      </c>
      <c r="O260" s="658" cm="1">
        <f t="array" ref="O260">IF(I260=0,0,IF(G260&lt;0,N260/c_EquityShare.LP*i_EquityShare.GP,L260/c_EquityShare.LP*i_EquityShare.GP))</f>
        <v>0</v>
      </c>
      <c r="P260" s="658">
        <f t="shared" si="1712"/>
        <v>0</v>
      </c>
      <c r="Q260" s="658">
        <f t="shared" si="1685"/>
        <v>0</v>
      </c>
      <c r="R260" s="521"/>
      <c r="S260" s="660">
        <f t="shared" si="1713"/>
        <v>0</v>
      </c>
      <c r="T260" s="663" cm="1">
        <f t="array" ref="T260">IF($G260=0,0,-MIN(0,$G260*c_EquityShare.LP))</f>
        <v>0</v>
      </c>
      <c r="U260" s="663" cm="1">
        <f t="array" ref="U260">IF($D260=0,0,S260*c_Rate.Hurdle1.MO)</f>
        <v>0</v>
      </c>
      <c r="V260" s="660">
        <f t="shared" si="1735"/>
        <v>0</v>
      </c>
      <c r="W260" s="660">
        <f t="shared" si="1714"/>
        <v>0</v>
      </c>
      <c r="X260" s="663">
        <f t="shared" si="1736"/>
        <v>0</v>
      </c>
      <c r="Y260" s="663">
        <f t="shared" si="1715"/>
        <v>0</v>
      </c>
      <c r="Z260" s="663">
        <f t="shared" ref="Z260" si="1820">IF(S260=0,0,O260+W260/$J$17*c_Hurdle1.Share_GP)</f>
        <v>0</v>
      </c>
      <c r="AA260" s="663">
        <f t="shared" si="1687"/>
        <v>0</v>
      </c>
      <c r="AB260" s="660">
        <f t="shared" si="1738"/>
        <v>0</v>
      </c>
      <c r="AC260" s="521"/>
      <c r="AD260" s="663">
        <f t="shared" si="1323"/>
        <v>0</v>
      </c>
      <c r="AE260" s="663">
        <f t="shared" ref="AE260" si="1821">IF($G260=0,0,-MIN(0,$G260*c_EquityShare.LP))</f>
        <v>0</v>
      </c>
      <c r="AF260" s="663" cm="1">
        <f t="array" ref="AF260">IF($D260=0,0,AD260*(c_Rate.Hurdle2.MO))</f>
        <v>0</v>
      </c>
      <c r="AG260" s="663">
        <f t="shared" si="1689"/>
        <v>0</v>
      </c>
      <c r="AH260" s="663">
        <f t="shared" si="1718"/>
        <v>0</v>
      </c>
      <c r="AI260" s="663">
        <f t="shared" si="1690"/>
        <v>0</v>
      </c>
      <c r="AJ260" s="664">
        <f t="shared" si="1691"/>
        <v>0</v>
      </c>
      <c r="AK260" s="660">
        <f t="shared" si="1692"/>
        <v>0</v>
      </c>
      <c r="AL260" s="663">
        <f t="shared" ref="AL260" si="1822">IF(AD260=0,0,Z260+AH260/$J$18*c_Hurdle2.Share_GP)</f>
        <v>0</v>
      </c>
      <c r="AM260" s="663">
        <f t="shared" si="1694"/>
        <v>0</v>
      </c>
      <c r="AN260" s="660">
        <f t="shared" si="1741"/>
        <v>0</v>
      </c>
      <c r="AO260" s="521"/>
      <c r="AP260" s="663">
        <f t="shared" si="1326"/>
        <v>0</v>
      </c>
      <c r="AQ260" s="663">
        <f t="shared" ref="AQ260" si="1823">IF($G260=0,0,-MIN(0,$G260*c_EquityShare.LP))</f>
        <v>0</v>
      </c>
      <c r="AR260" s="663" cm="1">
        <f t="array" ref="AR260">IF($D260=0,0,AP260*(c_Rate.Hurdle3.MO))</f>
        <v>0</v>
      </c>
      <c r="AS260" s="663">
        <f t="shared" si="1696"/>
        <v>0</v>
      </c>
      <c r="AT260" s="663">
        <f t="shared" si="1721"/>
        <v>0</v>
      </c>
      <c r="AU260" s="663">
        <f t="shared" si="1697"/>
        <v>0</v>
      </c>
      <c r="AV260" s="664">
        <f t="shared" si="1698"/>
        <v>0</v>
      </c>
      <c r="AW260" s="660">
        <f t="shared" si="1722"/>
        <v>0</v>
      </c>
      <c r="AX260" s="663">
        <f t="shared" ref="AX260" si="1824">IF(AP260=0,0,AL260+AT260/$J$19*c_Hurdle3.Share_GP)</f>
        <v>0</v>
      </c>
      <c r="AY260" s="663">
        <f t="shared" si="1724"/>
        <v>0</v>
      </c>
      <c r="AZ260" s="660">
        <f t="shared" si="1744"/>
        <v>0</v>
      </c>
      <c r="BA260" s="521"/>
      <c r="BB260" s="660">
        <f t="shared" si="590"/>
        <v>0</v>
      </c>
      <c r="BC260" s="660">
        <f t="shared" ref="BC260" si="1825">$AZ260*c_Residual.Share_GP</f>
        <v>0</v>
      </c>
      <c r="BD260" s="651"/>
      <c r="BE260" s="660">
        <f t="shared" si="1726"/>
        <v>0</v>
      </c>
      <c r="BF260" s="660">
        <f t="shared" si="1726"/>
        <v>0</v>
      </c>
      <c r="BG260" s="660">
        <f t="shared" si="1701"/>
        <v>0</v>
      </c>
      <c r="BI260" s="660">
        <v>0</v>
      </c>
      <c r="BJ260" s="660">
        <v>0</v>
      </c>
      <c r="BK260" s="660">
        <v>0</v>
      </c>
      <c r="BL260" s="660">
        <f t="shared" si="1727"/>
        <v>0</v>
      </c>
      <c r="BM260" s="660">
        <f t="shared" si="1727"/>
        <v>0</v>
      </c>
      <c r="BN260" s="660">
        <f t="shared" si="1728"/>
        <v>0</v>
      </c>
      <c r="BO260" s="660">
        <f t="shared" si="1728"/>
        <v>0</v>
      </c>
      <c r="BP260" s="660">
        <f t="shared" si="1729"/>
        <v>0</v>
      </c>
      <c r="BQ260" s="660">
        <f t="shared" si="1729"/>
        <v>0</v>
      </c>
      <c r="BR260" s="660">
        <v>0</v>
      </c>
      <c r="BS260" s="660">
        <v>0</v>
      </c>
      <c r="BT260" s="660">
        <f t="shared" si="1702"/>
        <v>0</v>
      </c>
      <c r="BU260" s="660">
        <f t="shared" si="1702"/>
        <v>0</v>
      </c>
      <c r="BX260" s="660">
        <v>0</v>
      </c>
      <c r="BY260" s="660">
        <f t="shared" si="1730"/>
        <v>0</v>
      </c>
      <c r="BZ260" s="660">
        <f t="shared" si="1703"/>
        <v>0</v>
      </c>
      <c r="CA260" s="660">
        <f t="shared" si="1704"/>
        <v>0</v>
      </c>
      <c r="CB260" s="660">
        <f t="shared" si="1705"/>
        <v>0</v>
      </c>
      <c r="CC260" s="660">
        <f t="shared" si="1706"/>
        <v>0</v>
      </c>
      <c r="CD260" s="660">
        <f t="shared" si="1731"/>
        <v>0</v>
      </c>
    </row>
    <row r="261" spans="4:82" ht="16" hidden="1" thickTop="1" thickBot="1">
      <c r="D261" s="653"/>
      <c r="E261" s="654"/>
      <c r="F261" s="655" t="str">
        <f t="shared" si="1707"/>
        <v/>
      </c>
      <c r="G261" s="656"/>
      <c r="I261" s="658">
        <f t="shared" si="1708"/>
        <v>0</v>
      </c>
      <c r="J261" s="658">
        <f t="shared" ref="J261" si="1826">IF($G261=0,0,-MIN(0,G261*c_EquityShare.LP))</f>
        <v>0</v>
      </c>
      <c r="K261" s="658">
        <f t="shared" ref="K261" si="1827">I261*c_Rate.Pref_MO</f>
        <v>0</v>
      </c>
      <c r="L261" s="658">
        <f t="shared" si="1684"/>
        <v>0</v>
      </c>
      <c r="M261" s="658">
        <f t="shared" si="1711"/>
        <v>0</v>
      </c>
      <c r="N261" s="658">
        <f t="shared" si="1734"/>
        <v>0</v>
      </c>
      <c r="O261" s="658" cm="1">
        <f t="array" ref="O261">IF(I261=0,0,IF(G261&lt;0,N261/c_EquityShare.LP*i_EquityShare.GP,L261/c_EquityShare.LP*i_EquityShare.GP))</f>
        <v>0</v>
      </c>
      <c r="P261" s="658">
        <f t="shared" si="1712"/>
        <v>0</v>
      </c>
      <c r="Q261" s="658">
        <f t="shared" si="1685"/>
        <v>0</v>
      </c>
      <c r="R261" s="521"/>
      <c r="S261" s="660">
        <f t="shared" si="1713"/>
        <v>0</v>
      </c>
      <c r="T261" s="663" cm="1">
        <f t="array" ref="T261">IF($G261=0,0,-MIN(0,$G261*c_EquityShare.LP))</f>
        <v>0</v>
      </c>
      <c r="U261" s="663" cm="1">
        <f t="array" ref="U261">IF($D261=0,0,S261*c_Rate.Hurdle1.MO)</f>
        <v>0</v>
      </c>
      <c r="V261" s="660">
        <f t="shared" si="1735"/>
        <v>0</v>
      </c>
      <c r="W261" s="660">
        <f t="shared" si="1714"/>
        <v>0</v>
      </c>
      <c r="X261" s="663">
        <f t="shared" si="1736"/>
        <v>0</v>
      </c>
      <c r="Y261" s="663">
        <f t="shared" si="1715"/>
        <v>0</v>
      </c>
      <c r="Z261" s="663">
        <f t="shared" ref="Z261" si="1828">IF(S261=0,0,O261+W261/$J$17*c_Hurdle1.Share_GP)</f>
        <v>0</v>
      </c>
      <c r="AA261" s="663">
        <f t="shared" si="1687"/>
        <v>0</v>
      </c>
      <c r="AB261" s="660">
        <f t="shared" si="1738"/>
        <v>0</v>
      </c>
      <c r="AC261" s="521"/>
      <c r="AD261" s="663">
        <f t="shared" si="1323"/>
        <v>0</v>
      </c>
      <c r="AE261" s="663">
        <f t="shared" ref="AE261" si="1829">IF($G261=0,0,-MIN(0,$G261*c_EquityShare.LP))</f>
        <v>0</v>
      </c>
      <c r="AF261" s="663" cm="1">
        <f t="array" ref="AF261">IF($D261=0,0,AD261*(c_Rate.Hurdle2.MO))</f>
        <v>0</v>
      </c>
      <c r="AG261" s="663">
        <f t="shared" si="1689"/>
        <v>0</v>
      </c>
      <c r="AH261" s="663">
        <f t="shared" si="1718"/>
        <v>0</v>
      </c>
      <c r="AI261" s="663">
        <f t="shared" si="1690"/>
        <v>0</v>
      </c>
      <c r="AJ261" s="664">
        <f t="shared" si="1691"/>
        <v>0</v>
      </c>
      <c r="AK261" s="660">
        <f t="shared" si="1692"/>
        <v>0</v>
      </c>
      <c r="AL261" s="663">
        <f t="shared" ref="AL261" si="1830">IF(AD261=0,0,Z261+AH261/$J$18*c_Hurdle2.Share_GP)</f>
        <v>0</v>
      </c>
      <c r="AM261" s="663">
        <f t="shared" si="1694"/>
        <v>0</v>
      </c>
      <c r="AN261" s="660">
        <f t="shared" si="1741"/>
        <v>0</v>
      </c>
      <c r="AO261" s="521"/>
      <c r="AP261" s="663">
        <f t="shared" si="1326"/>
        <v>0</v>
      </c>
      <c r="AQ261" s="663">
        <f t="shared" ref="AQ261" si="1831">IF($G261=0,0,-MIN(0,$G261*c_EquityShare.LP))</f>
        <v>0</v>
      </c>
      <c r="AR261" s="663" cm="1">
        <f t="array" ref="AR261">IF($D261=0,0,AP261*(c_Rate.Hurdle3.MO))</f>
        <v>0</v>
      </c>
      <c r="AS261" s="663">
        <f t="shared" si="1696"/>
        <v>0</v>
      </c>
      <c r="AT261" s="663">
        <f t="shared" si="1721"/>
        <v>0</v>
      </c>
      <c r="AU261" s="663">
        <f t="shared" si="1697"/>
        <v>0</v>
      </c>
      <c r="AV261" s="664">
        <f t="shared" si="1698"/>
        <v>0</v>
      </c>
      <c r="AW261" s="660">
        <f t="shared" si="1722"/>
        <v>0</v>
      </c>
      <c r="AX261" s="663">
        <f t="shared" ref="AX261" si="1832">IF(AP261=0,0,AL261+AT261/$J$19*c_Hurdle3.Share_GP)</f>
        <v>0</v>
      </c>
      <c r="AY261" s="663">
        <f t="shared" si="1724"/>
        <v>0</v>
      </c>
      <c r="AZ261" s="660">
        <f t="shared" si="1744"/>
        <v>0</v>
      </c>
      <c r="BA261" s="521"/>
      <c r="BB261" s="660">
        <f t="shared" si="590"/>
        <v>0</v>
      </c>
      <c r="BC261" s="660">
        <f t="shared" ref="BC261" si="1833">$AZ261*c_Residual.Share_GP</f>
        <v>0</v>
      </c>
      <c r="BD261" s="651"/>
      <c r="BE261" s="660">
        <f t="shared" si="1726"/>
        <v>0</v>
      </c>
      <c r="BF261" s="660">
        <f t="shared" si="1726"/>
        <v>0</v>
      </c>
      <c r="BG261" s="660">
        <f t="shared" si="1701"/>
        <v>0</v>
      </c>
      <c r="BI261" s="660">
        <v>0</v>
      </c>
      <c r="BJ261" s="660">
        <v>0</v>
      </c>
      <c r="BK261" s="660">
        <v>0</v>
      </c>
      <c r="BL261" s="660">
        <f t="shared" si="1727"/>
        <v>0</v>
      </c>
      <c r="BM261" s="660">
        <f t="shared" si="1727"/>
        <v>0</v>
      </c>
      <c r="BN261" s="660">
        <f t="shared" si="1728"/>
        <v>0</v>
      </c>
      <c r="BO261" s="660">
        <f t="shared" si="1728"/>
        <v>0</v>
      </c>
      <c r="BP261" s="660">
        <f t="shared" si="1729"/>
        <v>0</v>
      </c>
      <c r="BQ261" s="660">
        <f t="shared" si="1729"/>
        <v>0</v>
      </c>
      <c r="BR261" s="660">
        <v>0</v>
      </c>
      <c r="BS261" s="660">
        <v>0</v>
      </c>
      <c r="BT261" s="660">
        <f t="shared" si="1702"/>
        <v>0</v>
      </c>
      <c r="BU261" s="660">
        <f t="shared" si="1702"/>
        <v>0</v>
      </c>
      <c r="BX261" s="660">
        <v>0</v>
      </c>
      <c r="BY261" s="660">
        <f t="shared" si="1730"/>
        <v>0</v>
      </c>
      <c r="BZ261" s="660">
        <f t="shared" si="1703"/>
        <v>0</v>
      </c>
      <c r="CA261" s="660">
        <f t="shared" si="1704"/>
        <v>0</v>
      </c>
      <c r="CB261" s="660">
        <f t="shared" si="1705"/>
        <v>0</v>
      </c>
      <c r="CC261" s="660">
        <f t="shared" si="1706"/>
        <v>0</v>
      </c>
      <c r="CD261" s="660">
        <f t="shared" si="1731"/>
        <v>0</v>
      </c>
    </row>
    <row r="262" spans="4:82" ht="16" hidden="1" thickTop="1" thickBot="1">
      <c r="D262" s="653"/>
      <c r="E262" s="654"/>
      <c r="F262" s="655" t="str">
        <f t="shared" si="1707"/>
        <v/>
      </c>
      <c r="G262" s="656"/>
      <c r="I262" s="658">
        <f t="shared" si="1708"/>
        <v>0</v>
      </c>
      <c r="J262" s="658">
        <f t="shared" ref="J262" si="1834">IF($G262=0,0,-MIN(0,G262*c_EquityShare.LP))</f>
        <v>0</v>
      </c>
      <c r="K262" s="658">
        <f t="shared" ref="K262" si="1835">I262*c_Rate.Pref_MO</f>
        <v>0</v>
      </c>
      <c r="L262" s="658">
        <f t="shared" si="1684"/>
        <v>0</v>
      </c>
      <c r="M262" s="658">
        <f t="shared" si="1711"/>
        <v>0</v>
      </c>
      <c r="N262" s="658">
        <f t="shared" si="1734"/>
        <v>0</v>
      </c>
      <c r="O262" s="658" cm="1">
        <f t="array" ref="O262">IF(I262=0,0,IF(G262&lt;0,N262/c_EquityShare.LP*i_EquityShare.GP,L262/c_EquityShare.LP*i_EquityShare.GP))</f>
        <v>0</v>
      </c>
      <c r="P262" s="658">
        <f t="shared" si="1712"/>
        <v>0</v>
      </c>
      <c r="Q262" s="658">
        <f t="shared" si="1685"/>
        <v>0</v>
      </c>
      <c r="R262" s="521"/>
      <c r="S262" s="660">
        <f t="shared" si="1713"/>
        <v>0</v>
      </c>
      <c r="T262" s="663" cm="1">
        <f t="array" ref="T262">IF($G262=0,0,-MIN(0,$G262*c_EquityShare.LP))</f>
        <v>0</v>
      </c>
      <c r="U262" s="663" cm="1">
        <f t="array" ref="U262">IF($D262=0,0,S262*c_Rate.Hurdle1.MO)</f>
        <v>0</v>
      </c>
      <c r="V262" s="660">
        <f t="shared" si="1735"/>
        <v>0</v>
      </c>
      <c r="W262" s="660">
        <f t="shared" si="1714"/>
        <v>0</v>
      </c>
      <c r="X262" s="663">
        <f t="shared" si="1736"/>
        <v>0</v>
      </c>
      <c r="Y262" s="663">
        <f t="shared" si="1715"/>
        <v>0</v>
      </c>
      <c r="Z262" s="663">
        <f t="shared" ref="Z262" si="1836">IF(S262=0,0,O262+W262/$J$17*c_Hurdle1.Share_GP)</f>
        <v>0</v>
      </c>
      <c r="AA262" s="663">
        <f t="shared" si="1687"/>
        <v>0</v>
      </c>
      <c r="AB262" s="660">
        <f t="shared" si="1738"/>
        <v>0</v>
      </c>
      <c r="AC262" s="521"/>
      <c r="AD262" s="663">
        <f t="shared" si="1323"/>
        <v>0</v>
      </c>
      <c r="AE262" s="663">
        <f t="shared" ref="AE262" si="1837">IF($G262=0,0,-MIN(0,$G262*c_EquityShare.LP))</f>
        <v>0</v>
      </c>
      <c r="AF262" s="663" cm="1">
        <f t="array" ref="AF262">IF($D262=0,0,AD262*(c_Rate.Hurdle2.MO))</f>
        <v>0</v>
      </c>
      <c r="AG262" s="663">
        <f t="shared" si="1689"/>
        <v>0</v>
      </c>
      <c r="AH262" s="663">
        <f t="shared" si="1718"/>
        <v>0</v>
      </c>
      <c r="AI262" s="663">
        <f t="shared" si="1690"/>
        <v>0</v>
      </c>
      <c r="AJ262" s="664">
        <f t="shared" si="1691"/>
        <v>0</v>
      </c>
      <c r="AK262" s="660">
        <f t="shared" si="1692"/>
        <v>0</v>
      </c>
      <c r="AL262" s="663">
        <f t="shared" ref="AL262" si="1838">IF(AD262=0,0,Z262+AH262/$J$18*c_Hurdle2.Share_GP)</f>
        <v>0</v>
      </c>
      <c r="AM262" s="663">
        <f t="shared" si="1694"/>
        <v>0</v>
      </c>
      <c r="AN262" s="660">
        <f t="shared" si="1741"/>
        <v>0</v>
      </c>
      <c r="AO262" s="521"/>
      <c r="AP262" s="663">
        <f t="shared" si="1326"/>
        <v>0</v>
      </c>
      <c r="AQ262" s="663">
        <f t="shared" ref="AQ262" si="1839">IF($G262=0,0,-MIN(0,$G262*c_EquityShare.LP))</f>
        <v>0</v>
      </c>
      <c r="AR262" s="663" cm="1">
        <f t="array" ref="AR262">IF($D262=0,0,AP262*(c_Rate.Hurdle3.MO))</f>
        <v>0</v>
      </c>
      <c r="AS262" s="663">
        <f t="shared" si="1696"/>
        <v>0</v>
      </c>
      <c r="AT262" s="663">
        <f t="shared" si="1721"/>
        <v>0</v>
      </c>
      <c r="AU262" s="663">
        <f t="shared" si="1697"/>
        <v>0</v>
      </c>
      <c r="AV262" s="664">
        <f t="shared" si="1698"/>
        <v>0</v>
      </c>
      <c r="AW262" s="660">
        <f t="shared" si="1722"/>
        <v>0</v>
      </c>
      <c r="AX262" s="663">
        <f t="shared" ref="AX262" si="1840">IF(AP262=0,0,AL262+AT262/$J$19*c_Hurdle3.Share_GP)</f>
        <v>0</v>
      </c>
      <c r="AY262" s="663">
        <f t="shared" si="1724"/>
        <v>0</v>
      </c>
      <c r="AZ262" s="660">
        <f t="shared" si="1744"/>
        <v>0</v>
      </c>
      <c r="BA262" s="521"/>
      <c r="BB262" s="660">
        <f t="shared" si="590"/>
        <v>0</v>
      </c>
      <c r="BC262" s="660">
        <f t="shared" ref="BC262" si="1841">$AZ262*c_Residual.Share_GP</f>
        <v>0</v>
      </c>
      <c r="BD262" s="651"/>
      <c r="BE262" s="660">
        <f t="shared" si="1726"/>
        <v>0</v>
      </c>
      <c r="BF262" s="660">
        <f t="shared" si="1726"/>
        <v>0</v>
      </c>
      <c r="BG262" s="660">
        <f t="shared" si="1701"/>
        <v>0</v>
      </c>
      <c r="BI262" s="660">
        <v>0</v>
      </c>
      <c r="BJ262" s="660">
        <v>0</v>
      </c>
      <c r="BK262" s="660">
        <v>0</v>
      </c>
      <c r="BL262" s="660">
        <f t="shared" si="1727"/>
        <v>0</v>
      </c>
      <c r="BM262" s="660">
        <f t="shared" si="1727"/>
        <v>0</v>
      </c>
      <c r="BN262" s="660">
        <f t="shared" si="1728"/>
        <v>0</v>
      </c>
      <c r="BO262" s="660">
        <f t="shared" si="1728"/>
        <v>0</v>
      </c>
      <c r="BP262" s="660">
        <f t="shared" si="1729"/>
        <v>0</v>
      </c>
      <c r="BQ262" s="660">
        <f t="shared" si="1729"/>
        <v>0</v>
      </c>
      <c r="BR262" s="660">
        <v>0</v>
      </c>
      <c r="BS262" s="660">
        <v>0</v>
      </c>
      <c r="BT262" s="660">
        <f t="shared" si="1702"/>
        <v>0</v>
      </c>
      <c r="BU262" s="660">
        <f t="shared" si="1702"/>
        <v>0</v>
      </c>
      <c r="BX262" s="660">
        <v>0</v>
      </c>
      <c r="BY262" s="660">
        <f t="shared" si="1730"/>
        <v>0</v>
      </c>
      <c r="BZ262" s="660">
        <f t="shared" si="1703"/>
        <v>0</v>
      </c>
      <c r="CA262" s="660">
        <f t="shared" si="1704"/>
        <v>0</v>
      </c>
      <c r="CB262" s="660">
        <f t="shared" si="1705"/>
        <v>0</v>
      </c>
      <c r="CC262" s="660">
        <f t="shared" si="1706"/>
        <v>0</v>
      </c>
      <c r="CD262" s="660">
        <f t="shared" si="1731"/>
        <v>0</v>
      </c>
    </row>
    <row r="263" spans="4:82" ht="16" hidden="1" thickTop="1" thickBot="1">
      <c r="D263" s="653"/>
      <c r="E263" s="654"/>
      <c r="F263" s="655" t="str">
        <f t="shared" si="1707"/>
        <v/>
      </c>
      <c r="G263" s="656"/>
      <c r="I263" s="658">
        <f t="shared" si="1708"/>
        <v>0</v>
      </c>
      <c r="J263" s="658">
        <f t="shared" ref="J263" si="1842">IF($G263=0,0,-MIN(0,G263*c_EquityShare.LP))</f>
        <v>0</v>
      </c>
      <c r="K263" s="658">
        <f t="shared" ref="K263" si="1843">I263*c_Rate.Pref_MO</f>
        <v>0</v>
      </c>
      <c r="L263" s="658">
        <f t="shared" si="1684"/>
        <v>0</v>
      </c>
      <c r="M263" s="658">
        <f t="shared" si="1711"/>
        <v>0</v>
      </c>
      <c r="N263" s="658">
        <f t="shared" si="1734"/>
        <v>0</v>
      </c>
      <c r="O263" s="658" cm="1">
        <f t="array" ref="O263">IF(I263=0,0,IF(G263&lt;0,N263/c_EquityShare.LP*i_EquityShare.GP,L263/c_EquityShare.LP*i_EquityShare.GP))</f>
        <v>0</v>
      </c>
      <c r="P263" s="658">
        <f t="shared" si="1712"/>
        <v>0</v>
      </c>
      <c r="Q263" s="658">
        <f t="shared" si="1685"/>
        <v>0</v>
      </c>
      <c r="R263" s="521"/>
      <c r="S263" s="660">
        <f t="shared" si="1713"/>
        <v>0</v>
      </c>
      <c r="T263" s="663" cm="1">
        <f t="array" ref="T263">IF($G263=0,0,-MIN(0,$G263*c_EquityShare.LP))</f>
        <v>0</v>
      </c>
      <c r="U263" s="663" cm="1">
        <f t="array" ref="U263">IF($D263=0,0,S263*c_Rate.Hurdle1.MO)</f>
        <v>0</v>
      </c>
      <c r="V263" s="660">
        <f t="shared" si="1735"/>
        <v>0</v>
      </c>
      <c r="W263" s="660">
        <f t="shared" si="1714"/>
        <v>0</v>
      </c>
      <c r="X263" s="663">
        <f t="shared" si="1736"/>
        <v>0</v>
      </c>
      <c r="Y263" s="663">
        <f t="shared" si="1715"/>
        <v>0</v>
      </c>
      <c r="Z263" s="663">
        <f t="shared" ref="Z263" si="1844">IF(S263=0,0,O263+W263/$J$17*c_Hurdle1.Share_GP)</f>
        <v>0</v>
      </c>
      <c r="AA263" s="663">
        <f t="shared" si="1687"/>
        <v>0</v>
      </c>
      <c r="AB263" s="660">
        <f t="shared" si="1738"/>
        <v>0</v>
      </c>
      <c r="AC263" s="521"/>
      <c r="AD263" s="663">
        <f t="shared" si="1323"/>
        <v>0</v>
      </c>
      <c r="AE263" s="663">
        <f t="shared" ref="AE263" si="1845">IF($G263=0,0,-MIN(0,$G263*c_EquityShare.LP))</f>
        <v>0</v>
      </c>
      <c r="AF263" s="663" cm="1">
        <f t="array" ref="AF263">IF($D263=0,0,AD263*(c_Rate.Hurdle2.MO))</f>
        <v>0</v>
      </c>
      <c r="AG263" s="663">
        <f t="shared" si="1689"/>
        <v>0</v>
      </c>
      <c r="AH263" s="663">
        <f t="shared" si="1718"/>
        <v>0</v>
      </c>
      <c r="AI263" s="663">
        <f t="shared" si="1690"/>
        <v>0</v>
      </c>
      <c r="AJ263" s="664">
        <f t="shared" si="1691"/>
        <v>0</v>
      </c>
      <c r="AK263" s="660">
        <f t="shared" si="1692"/>
        <v>0</v>
      </c>
      <c r="AL263" s="663">
        <f t="shared" ref="AL263" si="1846">IF(AD263=0,0,Z263+AH263/$J$18*c_Hurdle2.Share_GP)</f>
        <v>0</v>
      </c>
      <c r="AM263" s="663">
        <f t="shared" si="1694"/>
        <v>0</v>
      </c>
      <c r="AN263" s="660">
        <f t="shared" si="1741"/>
        <v>0</v>
      </c>
      <c r="AO263" s="521"/>
      <c r="AP263" s="663">
        <f t="shared" si="1326"/>
        <v>0</v>
      </c>
      <c r="AQ263" s="663">
        <f t="shared" ref="AQ263" si="1847">IF($G263=0,0,-MIN(0,$G263*c_EquityShare.LP))</f>
        <v>0</v>
      </c>
      <c r="AR263" s="663" cm="1">
        <f t="array" ref="AR263">IF($D263=0,0,AP263*(c_Rate.Hurdle3.MO))</f>
        <v>0</v>
      </c>
      <c r="AS263" s="663">
        <f t="shared" si="1696"/>
        <v>0</v>
      </c>
      <c r="AT263" s="663">
        <f t="shared" si="1721"/>
        <v>0</v>
      </c>
      <c r="AU263" s="663">
        <f t="shared" si="1697"/>
        <v>0</v>
      </c>
      <c r="AV263" s="664">
        <f t="shared" si="1698"/>
        <v>0</v>
      </c>
      <c r="AW263" s="660">
        <f t="shared" si="1722"/>
        <v>0</v>
      </c>
      <c r="AX263" s="663">
        <f t="shared" ref="AX263" si="1848">IF(AP263=0,0,AL263+AT263/$J$19*c_Hurdle3.Share_GP)</f>
        <v>0</v>
      </c>
      <c r="AY263" s="663">
        <f t="shared" si="1724"/>
        <v>0</v>
      </c>
      <c r="AZ263" s="660">
        <f t="shared" si="1744"/>
        <v>0</v>
      </c>
      <c r="BA263" s="521"/>
      <c r="BB263" s="660">
        <f t="shared" si="590"/>
        <v>0</v>
      </c>
      <c r="BC263" s="660">
        <f t="shared" ref="BC263" si="1849">$AZ263*c_Residual.Share_GP</f>
        <v>0</v>
      </c>
      <c r="BD263" s="651"/>
      <c r="BE263" s="660">
        <f t="shared" si="1726"/>
        <v>0</v>
      </c>
      <c r="BF263" s="660">
        <f t="shared" si="1726"/>
        <v>0</v>
      </c>
      <c r="BG263" s="660">
        <f t="shared" si="1701"/>
        <v>0</v>
      </c>
      <c r="BI263" s="660">
        <v>0</v>
      </c>
      <c r="BJ263" s="660">
        <v>0</v>
      </c>
      <c r="BK263" s="660">
        <v>0</v>
      </c>
      <c r="BL263" s="660">
        <f t="shared" si="1727"/>
        <v>0</v>
      </c>
      <c r="BM263" s="660">
        <f t="shared" si="1727"/>
        <v>0</v>
      </c>
      <c r="BN263" s="660">
        <f t="shared" si="1728"/>
        <v>0</v>
      </c>
      <c r="BO263" s="660">
        <f t="shared" si="1728"/>
        <v>0</v>
      </c>
      <c r="BP263" s="660">
        <f t="shared" si="1729"/>
        <v>0</v>
      </c>
      <c r="BQ263" s="660">
        <f t="shared" si="1729"/>
        <v>0</v>
      </c>
      <c r="BR263" s="660">
        <v>0</v>
      </c>
      <c r="BS263" s="660">
        <v>0</v>
      </c>
      <c r="BT263" s="660">
        <f t="shared" si="1702"/>
        <v>0</v>
      </c>
      <c r="BU263" s="660">
        <f t="shared" si="1702"/>
        <v>0</v>
      </c>
      <c r="BX263" s="660">
        <v>0</v>
      </c>
      <c r="BY263" s="660">
        <f t="shared" si="1730"/>
        <v>0</v>
      </c>
      <c r="BZ263" s="660">
        <f t="shared" si="1703"/>
        <v>0</v>
      </c>
      <c r="CA263" s="660">
        <f t="shared" si="1704"/>
        <v>0</v>
      </c>
      <c r="CB263" s="660">
        <f t="shared" si="1705"/>
        <v>0</v>
      </c>
      <c r="CC263" s="660">
        <f t="shared" si="1706"/>
        <v>0</v>
      </c>
      <c r="CD263" s="660">
        <f t="shared" si="1731"/>
        <v>0</v>
      </c>
    </row>
    <row r="264" spans="4:82" ht="16" hidden="1" thickTop="1" thickBot="1">
      <c r="D264" s="653"/>
      <c r="E264" s="654"/>
      <c r="F264" s="655" t="str">
        <f t="shared" si="1707"/>
        <v/>
      </c>
      <c r="G264" s="656"/>
      <c r="I264" s="658">
        <f t="shared" si="1708"/>
        <v>0</v>
      </c>
      <c r="J264" s="658">
        <f t="shared" ref="J264" si="1850">IF($G264=0,0,-MIN(0,G264*c_EquityShare.LP))</f>
        <v>0</v>
      </c>
      <c r="K264" s="658">
        <f t="shared" ref="K264" si="1851">I264*c_Rate.Pref_MO</f>
        <v>0</v>
      </c>
      <c r="L264" s="658">
        <f t="shared" si="1684"/>
        <v>0</v>
      </c>
      <c r="M264" s="658">
        <f t="shared" si="1711"/>
        <v>0</v>
      </c>
      <c r="N264" s="658">
        <f t="shared" si="1734"/>
        <v>0</v>
      </c>
      <c r="O264" s="658" cm="1">
        <f t="array" ref="O264">IF(I264=0,0,IF(G264&lt;0,N264/c_EquityShare.LP*i_EquityShare.GP,L264/c_EquityShare.LP*i_EquityShare.GP))</f>
        <v>0</v>
      </c>
      <c r="P264" s="658">
        <f t="shared" si="1712"/>
        <v>0</v>
      </c>
      <c r="Q264" s="658">
        <f t="shared" si="1685"/>
        <v>0</v>
      </c>
      <c r="R264" s="521"/>
      <c r="S264" s="660">
        <f t="shared" si="1713"/>
        <v>0</v>
      </c>
      <c r="T264" s="663" cm="1">
        <f t="array" ref="T264">IF($G264=0,0,-MIN(0,$G264*c_EquityShare.LP))</f>
        <v>0</v>
      </c>
      <c r="U264" s="663" cm="1">
        <f t="array" ref="U264">IF($D264=0,0,S264*c_Rate.Hurdle1.MO)</f>
        <v>0</v>
      </c>
      <c r="V264" s="660">
        <f t="shared" si="1735"/>
        <v>0</v>
      </c>
      <c r="W264" s="660">
        <f t="shared" si="1714"/>
        <v>0</v>
      </c>
      <c r="X264" s="663">
        <f t="shared" si="1736"/>
        <v>0</v>
      </c>
      <c r="Y264" s="663">
        <f t="shared" si="1715"/>
        <v>0</v>
      </c>
      <c r="Z264" s="663">
        <f t="shared" ref="Z264" si="1852">IF(S264=0,0,O264+W264/$J$17*c_Hurdle1.Share_GP)</f>
        <v>0</v>
      </c>
      <c r="AA264" s="663">
        <f t="shared" si="1687"/>
        <v>0</v>
      </c>
      <c r="AB264" s="660">
        <f t="shared" si="1738"/>
        <v>0</v>
      </c>
      <c r="AC264" s="521"/>
      <c r="AD264" s="663">
        <f t="shared" si="1323"/>
        <v>0</v>
      </c>
      <c r="AE264" s="663">
        <f t="shared" ref="AE264" si="1853">IF($G264=0,0,-MIN(0,$G264*c_EquityShare.LP))</f>
        <v>0</v>
      </c>
      <c r="AF264" s="663" cm="1">
        <f t="array" ref="AF264">IF($D264=0,0,AD264*(c_Rate.Hurdle2.MO))</f>
        <v>0</v>
      </c>
      <c r="AG264" s="663">
        <f t="shared" si="1689"/>
        <v>0</v>
      </c>
      <c r="AH264" s="663">
        <f t="shared" si="1718"/>
        <v>0</v>
      </c>
      <c r="AI264" s="663">
        <f t="shared" si="1690"/>
        <v>0</v>
      </c>
      <c r="AJ264" s="664">
        <f t="shared" si="1691"/>
        <v>0</v>
      </c>
      <c r="AK264" s="660">
        <f t="shared" si="1692"/>
        <v>0</v>
      </c>
      <c r="AL264" s="663">
        <f t="shared" ref="AL264" si="1854">IF(AD264=0,0,Z264+AH264/$J$18*c_Hurdle2.Share_GP)</f>
        <v>0</v>
      </c>
      <c r="AM264" s="663">
        <f t="shared" si="1694"/>
        <v>0</v>
      </c>
      <c r="AN264" s="660">
        <f t="shared" si="1741"/>
        <v>0</v>
      </c>
      <c r="AO264" s="521"/>
      <c r="AP264" s="663">
        <f t="shared" si="1326"/>
        <v>0</v>
      </c>
      <c r="AQ264" s="663">
        <f t="shared" ref="AQ264" si="1855">IF($G264=0,0,-MIN(0,$G264*c_EquityShare.LP))</f>
        <v>0</v>
      </c>
      <c r="AR264" s="663" cm="1">
        <f t="array" ref="AR264">IF($D264=0,0,AP264*(c_Rate.Hurdle3.MO))</f>
        <v>0</v>
      </c>
      <c r="AS264" s="663">
        <f t="shared" si="1696"/>
        <v>0</v>
      </c>
      <c r="AT264" s="663">
        <f t="shared" si="1721"/>
        <v>0</v>
      </c>
      <c r="AU264" s="663">
        <f t="shared" si="1697"/>
        <v>0</v>
      </c>
      <c r="AV264" s="664">
        <f t="shared" si="1698"/>
        <v>0</v>
      </c>
      <c r="AW264" s="660">
        <f t="shared" si="1722"/>
        <v>0</v>
      </c>
      <c r="AX264" s="663">
        <f t="shared" ref="AX264" si="1856">IF(AP264=0,0,AL264+AT264/$J$19*c_Hurdle3.Share_GP)</f>
        <v>0</v>
      </c>
      <c r="AY264" s="663">
        <f t="shared" si="1724"/>
        <v>0</v>
      </c>
      <c r="AZ264" s="660">
        <f t="shared" si="1744"/>
        <v>0</v>
      </c>
      <c r="BA264" s="521"/>
      <c r="BB264" s="660">
        <f t="shared" si="590"/>
        <v>0</v>
      </c>
      <c r="BC264" s="660">
        <f t="shared" ref="BC264" si="1857">$AZ264*c_Residual.Share_GP</f>
        <v>0</v>
      </c>
      <c r="BD264" s="651"/>
      <c r="BE264" s="660">
        <f t="shared" si="1726"/>
        <v>0</v>
      </c>
      <c r="BF264" s="660">
        <f t="shared" si="1726"/>
        <v>0</v>
      </c>
      <c r="BG264" s="660">
        <f t="shared" si="1701"/>
        <v>0</v>
      </c>
      <c r="BI264" s="660">
        <v>0</v>
      </c>
      <c r="BJ264" s="660">
        <v>0</v>
      </c>
      <c r="BK264" s="660">
        <v>0</v>
      </c>
      <c r="BL264" s="660">
        <f t="shared" si="1727"/>
        <v>0</v>
      </c>
      <c r="BM264" s="660">
        <f t="shared" si="1727"/>
        <v>0</v>
      </c>
      <c r="BN264" s="660">
        <f t="shared" si="1728"/>
        <v>0</v>
      </c>
      <c r="BO264" s="660">
        <f t="shared" si="1728"/>
        <v>0</v>
      </c>
      <c r="BP264" s="660">
        <f t="shared" si="1729"/>
        <v>0</v>
      </c>
      <c r="BQ264" s="660">
        <f t="shared" si="1729"/>
        <v>0</v>
      </c>
      <c r="BR264" s="660">
        <v>0</v>
      </c>
      <c r="BS264" s="660">
        <v>0</v>
      </c>
      <c r="BT264" s="660">
        <f t="shared" si="1702"/>
        <v>0</v>
      </c>
      <c r="BU264" s="660">
        <f t="shared" si="1702"/>
        <v>0</v>
      </c>
      <c r="BX264" s="660">
        <v>0</v>
      </c>
      <c r="BY264" s="660">
        <f t="shared" si="1730"/>
        <v>0</v>
      </c>
      <c r="BZ264" s="660">
        <f t="shared" si="1703"/>
        <v>0</v>
      </c>
      <c r="CA264" s="660">
        <f t="shared" si="1704"/>
        <v>0</v>
      </c>
      <c r="CB264" s="660">
        <f t="shared" si="1705"/>
        <v>0</v>
      </c>
      <c r="CC264" s="660">
        <f t="shared" si="1706"/>
        <v>0</v>
      </c>
      <c r="CD264" s="660">
        <f t="shared" si="1731"/>
        <v>0</v>
      </c>
    </row>
    <row r="265" spans="4:82" ht="16" hidden="1" thickTop="1" thickBot="1">
      <c r="D265" s="653"/>
      <c r="E265" s="654"/>
      <c r="F265" s="655" t="str">
        <f t="shared" si="1707"/>
        <v/>
      </c>
      <c r="G265" s="656"/>
      <c r="I265" s="658">
        <f t="shared" si="1708"/>
        <v>0</v>
      </c>
      <c r="J265" s="658">
        <f t="shared" ref="J265" si="1858">IF($G265=0,0,-MIN(0,G265*c_EquityShare.LP))</f>
        <v>0</v>
      </c>
      <c r="K265" s="658">
        <f t="shared" ref="K265" si="1859">I265*c_Rate.Pref_MO</f>
        <v>0</v>
      </c>
      <c r="L265" s="658">
        <f t="shared" si="1684"/>
        <v>0</v>
      </c>
      <c r="M265" s="658">
        <f t="shared" si="1711"/>
        <v>0</v>
      </c>
      <c r="N265" s="658">
        <f t="shared" si="1734"/>
        <v>0</v>
      </c>
      <c r="O265" s="658" cm="1">
        <f t="array" ref="O265">IF(I265=0,0,IF(G265&lt;0,N265/c_EquityShare.LP*i_EquityShare.GP,L265/c_EquityShare.LP*i_EquityShare.GP))</f>
        <v>0</v>
      </c>
      <c r="P265" s="658">
        <f t="shared" si="1712"/>
        <v>0</v>
      </c>
      <c r="Q265" s="658">
        <f t="shared" si="1685"/>
        <v>0</v>
      </c>
      <c r="R265" s="521"/>
      <c r="S265" s="660">
        <f t="shared" si="1713"/>
        <v>0</v>
      </c>
      <c r="T265" s="663" cm="1">
        <f t="array" ref="T265">IF($G265=0,0,-MIN(0,$G265*c_EquityShare.LP))</f>
        <v>0</v>
      </c>
      <c r="U265" s="663" cm="1">
        <f t="array" ref="U265">IF($D265=0,0,S265*c_Rate.Hurdle1.MO)</f>
        <v>0</v>
      </c>
      <c r="V265" s="660">
        <f t="shared" si="1735"/>
        <v>0</v>
      </c>
      <c r="W265" s="660">
        <f t="shared" si="1714"/>
        <v>0</v>
      </c>
      <c r="X265" s="663">
        <f t="shared" si="1736"/>
        <v>0</v>
      </c>
      <c r="Y265" s="663">
        <f t="shared" si="1715"/>
        <v>0</v>
      </c>
      <c r="Z265" s="663">
        <f t="shared" ref="Z265" si="1860">IF(S265=0,0,O265+W265/$J$17*c_Hurdle1.Share_GP)</f>
        <v>0</v>
      </c>
      <c r="AA265" s="663">
        <f t="shared" si="1687"/>
        <v>0</v>
      </c>
      <c r="AB265" s="660">
        <f t="shared" si="1738"/>
        <v>0</v>
      </c>
      <c r="AC265" s="521"/>
      <c r="AD265" s="663">
        <f t="shared" si="1323"/>
        <v>0</v>
      </c>
      <c r="AE265" s="663">
        <f t="shared" ref="AE265" si="1861">IF($G265=0,0,-MIN(0,$G265*c_EquityShare.LP))</f>
        <v>0</v>
      </c>
      <c r="AF265" s="663" cm="1">
        <f t="array" ref="AF265">IF($D265=0,0,AD265*(c_Rate.Hurdle2.MO))</f>
        <v>0</v>
      </c>
      <c r="AG265" s="663">
        <f t="shared" si="1689"/>
        <v>0</v>
      </c>
      <c r="AH265" s="663">
        <f t="shared" si="1718"/>
        <v>0</v>
      </c>
      <c r="AI265" s="663">
        <f t="shared" si="1690"/>
        <v>0</v>
      </c>
      <c r="AJ265" s="664">
        <f t="shared" si="1691"/>
        <v>0</v>
      </c>
      <c r="AK265" s="660">
        <f t="shared" si="1692"/>
        <v>0</v>
      </c>
      <c r="AL265" s="663">
        <f t="shared" ref="AL265" si="1862">IF(AD265=0,0,Z265+AH265/$J$18*c_Hurdle2.Share_GP)</f>
        <v>0</v>
      </c>
      <c r="AM265" s="663">
        <f t="shared" si="1694"/>
        <v>0</v>
      </c>
      <c r="AN265" s="660">
        <f t="shared" si="1741"/>
        <v>0</v>
      </c>
      <c r="AO265" s="521"/>
      <c r="AP265" s="663">
        <f t="shared" si="1326"/>
        <v>0</v>
      </c>
      <c r="AQ265" s="663">
        <f t="shared" ref="AQ265" si="1863">IF($G265=0,0,-MIN(0,$G265*c_EquityShare.LP))</f>
        <v>0</v>
      </c>
      <c r="AR265" s="663" cm="1">
        <f t="array" ref="AR265">IF($D265=0,0,AP265*(c_Rate.Hurdle3.MO))</f>
        <v>0</v>
      </c>
      <c r="AS265" s="663">
        <f t="shared" si="1696"/>
        <v>0</v>
      </c>
      <c r="AT265" s="663">
        <f t="shared" si="1721"/>
        <v>0</v>
      </c>
      <c r="AU265" s="663">
        <f t="shared" si="1697"/>
        <v>0</v>
      </c>
      <c r="AV265" s="664">
        <f t="shared" si="1698"/>
        <v>0</v>
      </c>
      <c r="AW265" s="660">
        <f t="shared" si="1722"/>
        <v>0</v>
      </c>
      <c r="AX265" s="663">
        <f t="shared" ref="AX265" si="1864">IF(AP265=0,0,AL265+AT265/$J$19*c_Hurdle3.Share_GP)</f>
        <v>0</v>
      </c>
      <c r="AY265" s="663">
        <f t="shared" si="1724"/>
        <v>0</v>
      </c>
      <c r="AZ265" s="660">
        <f t="shared" si="1744"/>
        <v>0</v>
      </c>
      <c r="BA265" s="521"/>
      <c r="BB265" s="660">
        <f t="shared" si="590"/>
        <v>0</v>
      </c>
      <c r="BC265" s="660">
        <f t="shared" ref="BC265" si="1865">$AZ265*c_Residual.Share_GP</f>
        <v>0</v>
      </c>
      <c r="BD265" s="651"/>
      <c r="BE265" s="660">
        <f t="shared" si="1726"/>
        <v>0</v>
      </c>
      <c r="BF265" s="660">
        <f t="shared" si="1726"/>
        <v>0</v>
      </c>
      <c r="BG265" s="660">
        <f t="shared" si="1701"/>
        <v>0</v>
      </c>
      <c r="BI265" s="660">
        <v>0</v>
      </c>
      <c r="BJ265" s="660">
        <v>0</v>
      </c>
      <c r="BK265" s="660">
        <v>0</v>
      </c>
      <c r="BL265" s="660">
        <f t="shared" si="1727"/>
        <v>0</v>
      </c>
      <c r="BM265" s="660">
        <f t="shared" si="1727"/>
        <v>0</v>
      </c>
      <c r="BN265" s="660">
        <f t="shared" si="1728"/>
        <v>0</v>
      </c>
      <c r="BO265" s="660">
        <f t="shared" si="1728"/>
        <v>0</v>
      </c>
      <c r="BP265" s="660">
        <f t="shared" si="1729"/>
        <v>0</v>
      </c>
      <c r="BQ265" s="660">
        <f t="shared" si="1729"/>
        <v>0</v>
      </c>
      <c r="BR265" s="660">
        <v>0</v>
      </c>
      <c r="BS265" s="660">
        <v>0</v>
      </c>
      <c r="BT265" s="660">
        <f t="shared" si="1702"/>
        <v>0</v>
      </c>
      <c r="BU265" s="660">
        <f t="shared" si="1702"/>
        <v>0</v>
      </c>
      <c r="BX265" s="660">
        <v>0</v>
      </c>
      <c r="BY265" s="660">
        <f t="shared" si="1730"/>
        <v>0</v>
      </c>
      <c r="BZ265" s="660">
        <f t="shared" si="1703"/>
        <v>0</v>
      </c>
      <c r="CA265" s="660">
        <f t="shared" si="1704"/>
        <v>0</v>
      </c>
      <c r="CB265" s="660">
        <f t="shared" si="1705"/>
        <v>0</v>
      </c>
      <c r="CC265" s="660">
        <f t="shared" si="1706"/>
        <v>0</v>
      </c>
      <c r="CD265" s="660">
        <f t="shared" si="1731"/>
        <v>0</v>
      </c>
    </row>
    <row r="266" spans="4:82" ht="16" hidden="1" thickTop="1" thickBot="1">
      <c r="D266" s="653"/>
      <c r="E266" s="654"/>
      <c r="F266" s="655" t="str">
        <f t="shared" si="1707"/>
        <v/>
      </c>
      <c r="G266" s="656"/>
      <c r="I266" s="658">
        <f t="shared" si="1708"/>
        <v>0</v>
      </c>
      <c r="J266" s="658">
        <f t="shared" ref="J266" si="1866">IF($G266=0,0,-MIN(0,G266*c_EquityShare.LP))</f>
        <v>0</v>
      </c>
      <c r="K266" s="658">
        <f t="shared" ref="K266" si="1867">I266*c_Rate.Pref_MO</f>
        <v>0</v>
      </c>
      <c r="L266" s="658">
        <f t="shared" si="1684"/>
        <v>0</v>
      </c>
      <c r="M266" s="658">
        <f t="shared" si="1711"/>
        <v>0</v>
      </c>
      <c r="N266" s="658">
        <f t="shared" si="1734"/>
        <v>0</v>
      </c>
      <c r="O266" s="658" cm="1">
        <f t="array" ref="O266">IF(I266=0,0,IF(G266&lt;0,N266/c_EquityShare.LP*i_EquityShare.GP,L266/c_EquityShare.LP*i_EquityShare.GP))</f>
        <v>0</v>
      </c>
      <c r="P266" s="658">
        <f t="shared" si="1712"/>
        <v>0</v>
      </c>
      <c r="Q266" s="658">
        <f t="shared" si="1685"/>
        <v>0</v>
      </c>
      <c r="R266" s="521"/>
      <c r="S266" s="660">
        <f t="shared" si="1713"/>
        <v>0</v>
      </c>
      <c r="T266" s="663" cm="1">
        <f t="array" ref="T266">IF($G266=0,0,-MIN(0,$G266*c_EquityShare.LP))</f>
        <v>0</v>
      </c>
      <c r="U266" s="663" cm="1">
        <f t="array" ref="U266">IF($D266=0,0,S266*c_Rate.Hurdle1.MO)</f>
        <v>0</v>
      </c>
      <c r="V266" s="660">
        <f t="shared" si="1735"/>
        <v>0</v>
      </c>
      <c r="W266" s="660">
        <f t="shared" si="1714"/>
        <v>0</v>
      </c>
      <c r="X266" s="663">
        <f t="shared" si="1736"/>
        <v>0</v>
      </c>
      <c r="Y266" s="663">
        <f t="shared" si="1715"/>
        <v>0</v>
      </c>
      <c r="Z266" s="663">
        <f t="shared" ref="Z266" si="1868">IF(S266=0,0,O266+W266/$J$17*c_Hurdle1.Share_GP)</f>
        <v>0</v>
      </c>
      <c r="AA266" s="663">
        <f t="shared" si="1687"/>
        <v>0</v>
      </c>
      <c r="AB266" s="660">
        <f t="shared" si="1738"/>
        <v>0</v>
      </c>
      <c r="AC266" s="521"/>
      <c r="AD266" s="663">
        <f t="shared" si="1323"/>
        <v>0</v>
      </c>
      <c r="AE266" s="663">
        <f t="shared" ref="AE266" si="1869">IF($G266=0,0,-MIN(0,$G266*c_EquityShare.LP))</f>
        <v>0</v>
      </c>
      <c r="AF266" s="663" cm="1">
        <f t="array" ref="AF266">IF($D266=0,0,AD266*(c_Rate.Hurdle2.MO))</f>
        <v>0</v>
      </c>
      <c r="AG266" s="663">
        <f t="shared" si="1689"/>
        <v>0</v>
      </c>
      <c r="AH266" s="663">
        <f t="shared" si="1718"/>
        <v>0</v>
      </c>
      <c r="AI266" s="663">
        <f t="shared" si="1690"/>
        <v>0</v>
      </c>
      <c r="AJ266" s="664">
        <f t="shared" si="1691"/>
        <v>0</v>
      </c>
      <c r="AK266" s="660">
        <f t="shared" si="1692"/>
        <v>0</v>
      </c>
      <c r="AL266" s="663">
        <f t="shared" ref="AL266" si="1870">IF(AD266=0,0,Z266+AH266/$J$18*c_Hurdle2.Share_GP)</f>
        <v>0</v>
      </c>
      <c r="AM266" s="663">
        <f t="shared" si="1694"/>
        <v>0</v>
      </c>
      <c r="AN266" s="660">
        <f t="shared" si="1741"/>
        <v>0</v>
      </c>
      <c r="AO266" s="521"/>
      <c r="AP266" s="663">
        <f t="shared" si="1326"/>
        <v>0</v>
      </c>
      <c r="AQ266" s="663">
        <f t="shared" ref="AQ266" si="1871">IF($G266=0,0,-MIN(0,$G266*c_EquityShare.LP))</f>
        <v>0</v>
      </c>
      <c r="AR266" s="663" cm="1">
        <f t="array" ref="AR266">IF($D266=0,0,AP266*(c_Rate.Hurdle3.MO))</f>
        <v>0</v>
      </c>
      <c r="AS266" s="663">
        <f t="shared" si="1696"/>
        <v>0</v>
      </c>
      <c r="AT266" s="663">
        <f t="shared" si="1721"/>
        <v>0</v>
      </c>
      <c r="AU266" s="663">
        <f t="shared" si="1697"/>
        <v>0</v>
      </c>
      <c r="AV266" s="664">
        <f t="shared" si="1698"/>
        <v>0</v>
      </c>
      <c r="AW266" s="660">
        <f t="shared" si="1722"/>
        <v>0</v>
      </c>
      <c r="AX266" s="663">
        <f t="shared" ref="AX266" si="1872">IF(AP266=0,0,AL266+AT266/$J$19*c_Hurdle3.Share_GP)</f>
        <v>0</v>
      </c>
      <c r="AY266" s="663">
        <f t="shared" si="1724"/>
        <v>0</v>
      </c>
      <c r="AZ266" s="660">
        <f t="shared" si="1744"/>
        <v>0</v>
      </c>
      <c r="BA266" s="521"/>
      <c r="BB266" s="660">
        <f t="shared" si="590"/>
        <v>0</v>
      </c>
      <c r="BC266" s="660">
        <f t="shared" ref="BC266" si="1873">$AZ266*c_Residual.Share_GP</f>
        <v>0</v>
      </c>
      <c r="BD266" s="651"/>
      <c r="BE266" s="660">
        <f t="shared" si="1726"/>
        <v>0</v>
      </c>
      <c r="BF266" s="660">
        <f t="shared" si="1726"/>
        <v>0</v>
      </c>
      <c r="BG266" s="660">
        <f t="shared" si="1701"/>
        <v>0</v>
      </c>
      <c r="BI266" s="660">
        <v>0</v>
      </c>
      <c r="BJ266" s="660">
        <v>0</v>
      </c>
      <c r="BK266" s="660">
        <v>0</v>
      </c>
      <c r="BL266" s="660">
        <f t="shared" si="1727"/>
        <v>0</v>
      </c>
      <c r="BM266" s="660">
        <f t="shared" si="1727"/>
        <v>0</v>
      </c>
      <c r="BN266" s="660">
        <f t="shared" si="1728"/>
        <v>0</v>
      </c>
      <c r="BO266" s="660">
        <f t="shared" si="1728"/>
        <v>0</v>
      </c>
      <c r="BP266" s="660">
        <f t="shared" si="1729"/>
        <v>0</v>
      </c>
      <c r="BQ266" s="660">
        <f t="shared" si="1729"/>
        <v>0</v>
      </c>
      <c r="BR266" s="660">
        <v>0</v>
      </c>
      <c r="BS266" s="660">
        <v>0</v>
      </c>
      <c r="BT266" s="660">
        <f t="shared" si="1702"/>
        <v>0</v>
      </c>
      <c r="BU266" s="660">
        <f t="shared" si="1702"/>
        <v>0</v>
      </c>
      <c r="BX266" s="660">
        <v>0</v>
      </c>
      <c r="BY266" s="660">
        <f t="shared" si="1730"/>
        <v>0</v>
      </c>
      <c r="BZ266" s="660">
        <f t="shared" si="1703"/>
        <v>0</v>
      </c>
      <c r="CA266" s="660">
        <f t="shared" si="1704"/>
        <v>0</v>
      </c>
      <c r="CB266" s="660">
        <f t="shared" si="1705"/>
        <v>0</v>
      </c>
      <c r="CC266" s="660">
        <f t="shared" si="1706"/>
        <v>0</v>
      </c>
      <c r="CD266" s="660">
        <f t="shared" si="1731"/>
        <v>0</v>
      </c>
    </row>
    <row r="267" spans="4:82" ht="16" hidden="1" thickTop="1" thickBot="1">
      <c r="D267" s="653"/>
      <c r="E267" s="654"/>
      <c r="F267" s="655" t="str">
        <f t="shared" si="1707"/>
        <v/>
      </c>
      <c r="G267" s="656"/>
      <c r="I267" s="658">
        <f t="shared" si="1708"/>
        <v>0</v>
      </c>
      <c r="J267" s="658">
        <f t="shared" ref="J267" si="1874">IF($G267=0,0,-MIN(0,G267*c_EquityShare.LP))</f>
        <v>0</v>
      </c>
      <c r="K267" s="658">
        <f t="shared" ref="K267" si="1875">I267*c_Rate.Pref_MO</f>
        <v>0</v>
      </c>
      <c r="L267" s="658">
        <f t="shared" si="1684"/>
        <v>0</v>
      </c>
      <c r="M267" s="658">
        <f t="shared" si="1711"/>
        <v>0</v>
      </c>
      <c r="N267" s="658">
        <f t="shared" si="1734"/>
        <v>0</v>
      </c>
      <c r="O267" s="658" cm="1">
        <f t="array" ref="O267">IF(I267=0,0,IF(G267&lt;0,N267/c_EquityShare.LP*i_EquityShare.GP,L267/c_EquityShare.LP*i_EquityShare.GP))</f>
        <v>0</v>
      </c>
      <c r="P267" s="658">
        <f t="shared" si="1712"/>
        <v>0</v>
      </c>
      <c r="Q267" s="658">
        <f t="shared" si="1685"/>
        <v>0</v>
      </c>
      <c r="R267" s="521"/>
      <c r="S267" s="660">
        <f t="shared" si="1713"/>
        <v>0</v>
      </c>
      <c r="T267" s="663" cm="1">
        <f t="array" ref="T267">IF($G267=0,0,-MIN(0,$G267*c_EquityShare.LP))</f>
        <v>0</v>
      </c>
      <c r="U267" s="663" cm="1">
        <f t="array" ref="U267">IF($D267=0,0,S267*c_Rate.Hurdle1.MO)</f>
        <v>0</v>
      </c>
      <c r="V267" s="660">
        <f t="shared" si="1735"/>
        <v>0</v>
      </c>
      <c r="W267" s="660">
        <f t="shared" si="1714"/>
        <v>0</v>
      </c>
      <c r="X267" s="663">
        <f t="shared" si="1736"/>
        <v>0</v>
      </c>
      <c r="Y267" s="663">
        <f t="shared" si="1715"/>
        <v>0</v>
      </c>
      <c r="Z267" s="663">
        <f t="shared" ref="Z267" si="1876">IF(S267=0,0,O267+W267/$J$17*c_Hurdle1.Share_GP)</f>
        <v>0</v>
      </c>
      <c r="AA267" s="663">
        <f t="shared" si="1687"/>
        <v>0</v>
      </c>
      <c r="AB267" s="660">
        <f t="shared" si="1738"/>
        <v>0</v>
      </c>
      <c r="AC267" s="521"/>
      <c r="AD267" s="663">
        <f t="shared" ref="AD267:AD330" si="1877">AI266</f>
        <v>0</v>
      </c>
      <c r="AE267" s="663">
        <f t="shared" ref="AE267" si="1878">IF($G267=0,0,-MIN(0,$G267*c_EquityShare.LP))</f>
        <v>0</v>
      </c>
      <c r="AF267" s="663" cm="1">
        <f t="array" ref="AF267">IF($D267=0,0,AD267*(c_Rate.Hurdle2.MO))</f>
        <v>0</v>
      </c>
      <c r="AG267" s="663">
        <f t="shared" si="1689"/>
        <v>0</v>
      </c>
      <c r="AH267" s="663">
        <f t="shared" si="1718"/>
        <v>0</v>
      </c>
      <c r="AI267" s="663">
        <f t="shared" si="1690"/>
        <v>0</v>
      </c>
      <c r="AJ267" s="664">
        <f t="shared" si="1691"/>
        <v>0</v>
      </c>
      <c r="AK267" s="660">
        <f t="shared" si="1692"/>
        <v>0</v>
      </c>
      <c r="AL267" s="663">
        <f t="shared" ref="AL267" si="1879">IF(AD267=0,0,Z267+AH267/$J$18*c_Hurdle2.Share_GP)</f>
        <v>0</v>
      </c>
      <c r="AM267" s="663">
        <f t="shared" si="1694"/>
        <v>0</v>
      </c>
      <c r="AN267" s="660">
        <f t="shared" si="1741"/>
        <v>0</v>
      </c>
      <c r="AO267" s="521"/>
      <c r="AP267" s="663">
        <f t="shared" ref="AP267:AP330" si="1880">AU266</f>
        <v>0</v>
      </c>
      <c r="AQ267" s="663">
        <f t="shared" ref="AQ267" si="1881">IF($G267=0,0,-MIN(0,$G267*c_EquityShare.LP))</f>
        <v>0</v>
      </c>
      <c r="AR267" s="663" cm="1">
        <f t="array" ref="AR267">IF($D267=0,0,AP267*(c_Rate.Hurdle3.MO))</f>
        <v>0</v>
      </c>
      <c r="AS267" s="663">
        <f t="shared" si="1696"/>
        <v>0</v>
      </c>
      <c r="AT267" s="663">
        <f t="shared" si="1721"/>
        <v>0</v>
      </c>
      <c r="AU267" s="663">
        <f t="shared" si="1697"/>
        <v>0</v>
      </c>
      <c r="AV267" s="664">
        <f t="shared" si="1698"/>
        <v>0</v>
      </c>
      <c r="AW267" s="660">
        <f t="shared" si="1722"/>
        <v>0</v>
      </c>
      <c r="AX267" s="663">
        <f t="shared" ref="AX267" si="1882">IF(AP267=0,0,AL267+AT267/$J$19*c_Hurdle3.Share_GP)</f>
        <v>0</v>
      </c>
      <c r="AY267" s="663">
        <f t="shared" si="1724"/>
        <v>0</v>
      </c>
      <c r="AZ267" s="660">
        <f t="shared" si="1744"/>
        <v>0</v>
      </c>
      <c r="BA267" s="521"/>
      <c r="BB267" s="660">
        <f t="shared" si="590"/>
        <v>0</v>
      </c>
      <c r="BC267" s="660">
        <f t="shared" ref="BC267" si="1883">$AZ267*c_Residual.Share_GP</f>
        <v>0</v>
      </c>
      <c r="BD267" s="651"/>
      <c r="BE267" s="660">
        <f t="shared" si="1726"/>
        <v>0</v>
      </c>
      <c r="BF267" s="660">
        <f t="shared" si="1726"/>
        <v>0</v>
      </c>
      <c r="BG267" s="660">
        <f t="shared" si="1701"/>
        <v>0</v>
      </c>
      <c r="BI267" s="660">
        <v>0</v>
      </c>
      <c r="BJ267" s="660">
        <v>0</v>
      </c>
      <c r="BK267" s="660">
        <v>0</v>
      </c>
      <c r="BL267" s="660">
        <f t="shared" si="1727"/>
        <v>0</v>
      </c>
      <c r="BM267" s="660">
        <f t="shared" si="1727"/>
        <v>0</v>
      </c>
      <c r="BN267" s="660">
        <f t="shared" si="1728"/>
        <v>0</v>
      </c>
      <c r="BO267" s="660">
        <f t="shared" si="1728"/>
        <v>0</v>
      </c>
      <c r="BP267" s="660">
        <f t="shared" si="1729"/>
        <v>0</v>
      </c>
      <c r="BQ267" s="660">
        <f t="shared" si="1729"/>
        <v>0</v>
      </c>
      <c r="BR267" s="660">
        <v>0</v>
      </c>
      <c r="BS267" s="660">
        <v>0</v>
      </c>
      <c r="BT267" s="660">
        <f t="shared" si="1702"/>
        <v>0</v>
      </c>
      <c r="BU267" s="660">
        <f t="shared" si="1702"/>
        <v>0</v>
      </c>
      <c r="BX267" s="660">
        <v>0</v>
      </c>
      <c r="BY267" s="660">
        <f t="shared" si="1730"/>
        <v>0</v>
      </c>
      <c r="BZ267" s="660">
        <f t="shared" si="1703"/>
        <v>0</v>
      </c>
      <c r="CA267" s="660">
        <f t="shared" si="1704"/>
        <v>0</v>
      </c>
      <c r="CB267" s="660">
        <f t="shared" si="1705"/>
        <v>0</v>
      </c>
      <c r="CC267" s="660">
        <f t="shared" si="1706"/>
        <v>0</v>
      </c>
      <c r="CD267" s="660">
        <f t="shared" si="1731"/>
        <v>0</v>
      </c>
    </row>
    <row r="268" spans="4:82" ht="16" hidden="1" thickTop="1" thickBot="1">
      <c r="D268" s="653"/>
      <c r="E268" s="654"/>
      <c r="F268" s="655" t="str">
        <f t="shared" si="1707"/>
        <v/>
      </c>
      <c r="G268" s="656"/>
      <c r="I268" s="658">
        <f t="shared" si="1708"/>
        <v>0</v>
      </c>
      <c r="J268" s="658">
        <f t="shared" ref="J268" si="1884">IF($G268=0,0,-MIN(0,G268*c_EquityShare.LP))</f>
        <v>0</v>
      </c>
      <c r="K268" s="658">
        <f t="shared" ref="K268" si="1885">I268*c_Rate.Pref_MO</f>
        <v>0</v>
      </c>
      <c r="L268" s="658">
        <f t="shared" si="1684"/>
        <v>0</v>
      </c>
      <c r="M268" s="658">
        <f t="shared" si="1711"/>
        <v>0</v>
      </c>
      <c r="N268" s="658">
        <f t="shared" si="1734"/>
        <v>0</v>
      </c>
      <c r="O268" s="658" cm="1">
        <f t="array" ref="O268">IF(I268=0,0,IF(G268&lt;0,N268/c_EquityShare.LP*i_EquityShare.GP,L268/c_EquityShare.LP*i_EquityShare.GP))</f>
        <v>0</v>
      </c>
      <c r="P268" s="658">
        <f t="shared" si="1712"/>
        <v>0</v>
      </c>
      <c r="Q268" s="658">
        <f t="shared" si="1685"/>
        <v>0</v>
      </c>
      <c r="R268" s="521"/>
      <c r="S268" s="660">
        <f t="shared" si="1713"/>
        <v>0</v>
      </c>
      <c r="T268" s="663" cm="1">
        <f t="array" ref="T268">IF($G268=0,0,-MIN(0,$G268*c_EquityShare.LP))</f>
        <v>0</v>
      </c>
      <c r="U268" s="663" cm="1">
        <f t="array" ref="U268">IF($D268=0,0,S268*c_Rate.Hurdle1.MO)</f>
        <v>0</v>
      </c>
      <c r="V268" s="660">
        <f t="shared" si="1735"/>
        <v>0</v>
      </c>
      <c r="W268" s="660">
        <f t="shared" si="1714"/>
        <v>0</v>
      </c>
      <c r="X268" s="663">
        <f t="shared" si="1736"/>
        <v>0</v>
      </c>
      <c r="Y268" s="663">
        <f t="shared" si="1715"/>
        <v>0</v>
      </c>
      <c r="Z268" s="663">
        <f t="shared" ref="Z268" si="1886">IF(S268=0,0,O268+W268/$J$17*c_Hurdle1.Share_GP)</f>
        <v>0</v>
      </c>
      <c r="AA268" s="663">
        <f t="shared" si="1687"/>
        <v>0</v>
      </c>
      <c r="AB268" s="660">
        <f t="shared" si="1738"/>
        <v>0</v>
      </c>
      <c r="AC268" s="521"/>
      <c r="AD268" s="663">
        <f t="shared" si="1877"/>
        <v>0</v>
      </c>
      <c r="AE268" s="663">
        <f t="shared" ref="AE268" si="1887">IF($G268=0,0,-MIN(0,$G268*c_EquityShare.LP))</f>
        <v>0</v>
      </c>
      <c r="AF268" s="663" cm="1">
        <f t="array" ref="AF268">IF($D268=0,0,AD268*(c_Rate.Hurdle2.MO))</f>
        <v>0</v>
      </c>
      <c r="AG268" s="663">
        <f t="shared" si="1689"/>
        <v>0</v>
      </c>
      <c r="AH268" s="663">
        <f t="shared" si="1718"/>
        <v>0</v>
      </c>
      <c r="AI268" s="663">
        <f t="shared" si="1690"/>
        <v>0</v>
      </c>
      <c r="AJ268" s="664">
        <f t="shared" si="1691"/>
        <v>0</v>
      </c>
      <c r="AK268" s="660">
        <f t="shared" si="1692"/>
        <v>0</v>
      </c>
      <c r="AL268" s="663">
        <f t="shared" ref="AL268" si="1888">IF(AD268=0,0,Z268+AH268/$J$18*c_Hurdle2.Share_GP)</f>
        <v>0</v>
      </c>
      <c r="AM268" s="663">
        <f t="shared" si="1694"/>
        <v>0</v>
      </c>
      <c r="AN268" s="660">
        <f t="shared" si="1741"/>
        <v>0</v>
      </c>
      <c r="AO268" s="521"/>
      <c r="AP268" s="663">
        <f t="shared" si="1880"/>
        <v>0</v>
      </c>
      <c r="AQ268" s="663">
        <f t="shared" ref="AQ268" si="1889">IF($G268=0,0,-MIN(0,$G268*c_EquityShare.LP))</f>
        <v>0</v>
      </c>
      <c r="AR268" s="663" cm="1">
        <f t="array" ref="AR268">IF($D268=0,0,AP268*(c_Rate.Hurdle3.MO))</f>
        <v>0</v>
      </c>
      <c r="AS268" s="663">
        <f t="shared" si="1696"/>
        <v>0</v>
      </c>
      <c r="AT268" s="663">
        <f t="shared" si="1721"/>
        <v>0</v>
      </c>
      <c r="AU268" s="663">
        <f t="shared" si="1697"/>
        <v>0</v>
      </c>
      <c r="AV268" s="664">
        <f t="shared" si="1698"/>
        <v>0</v>
      </c>
      <c r="AW268" s="660">
        <f t="shared" si="1722"/>
        <v>0</v>
      </c>
      <c r="AX268" s="663">
        <f t="shared" ref="AX268" si="1890">IF(AP268=0,0,AL268+AT268/$J$19*c_Hurdle3.Share_GP)</f>
        <v>0</v>
      </c>
      <c r="AY268" s="663">
        <f t="shared" si="1724"/>
        <v>0</v>
      </c>
      <c r="AZ268" s="660">
        <f t="shared" si="1744"/>
        <v>0</v>
      </c>
      <c r="BA268" s="521"/>
      <c r="BB268" s="660">
        <f t="shared" si="590"/>
        <v>0</v>
      </c>
      <c r="BC268" s="660">
        <f t="shared" ref="BC268" si="1891">$AZ268*c_Residual.Share_GP</f>
        <v>0</v>
      </c>
      <c r="BD268" s="651"/>
      <c r="BE268" s="660">
        <f t="shared" si="1726"/>
        <v>0</v>
      </c>
      <c r="BF268" s="660">
        <f t="shared" si="1726"/>
        <v>0</v>
      </c>
      <c r="BG268" s="660">
        <f t="shared" si="1701"/>
        <v>0</v>
      </c>
      <c r="BI268" s="660">
        <v>0</v>
      </c>
      <c r="BJ268" s="660">
        <v>0</v>
      </c>
      <c r="BK268" s="660">
        <v>0</v>
      </c>
      <c r="BL268" s="660">
        <f t="shared" si="1727"/>
        <v>0</v>
      </c>
      <c r="BM268" s="660">
        <f t="shared" si="1727"/>
        <v>0</v>
      </c>
      <c r="BN268" s="660">
        <f t="shared" si="1728"/>
        <v>0</v>
      </c>
      <c r="BO268" s="660">
        <f t="shared" si="1728"/>
        <v>0</v>
      </c>
      <c r="BP268" s="660">
        <f t="shared" si="1729"/>
        <v>0</v>
      </c>
      <c r="BQ268" s="660">
        <f t="shared" si="1729"/>
        <v>0</v>
      </c>
      <c r="BR268" s="660">
        <v>0</v>
      </c>
      <c r="BS268" s="660">
        <v>0</v>
      </c>
      <c r="BT268" s="660">
        <f t="shared" si="1702"/>
        <v>0</v>
      </c>
      <c r="BU268" s="660">
        <f t="shared" si="1702"/>
        <v>0</v>
      </c>
      <c r="BX268" s="660">
        <v>0</v>
      </c>
      <c r="BY268" s="660">
        <f t="shared" si="1730"/>
        <v>0</v>
      </c>
      <c r="BZ268" s="660">
        <f t="shared" si="1703"/>
        <v>0</v>
      </c>
      <c r="CA268" s="660">
        <f t="shared" si="1704"/>
        <v>0</v>
      </c>
      <c r="CB268" s="660">
        <f t="shared" si="1705"/>
        <v>0</v>
      </c>
      <c r="CC268" s="660">
        <f t="shared" si="1706"/>
        <v>0</v>
      </c>
      <c r="CD268" s="660">
        <f t="shared" si="1731"/>
        <v>0</v>
      </c>
    </row>
    <row r="269" spans="4:82" ht="16" hidden="1" thickTop="1" thickBot="1">
      <c r="D269" s="653"/>
      <c r="E269" s="654"/>
      <c r="F269" s="655" t="str">
        <f t="shared" si="1707"/>
        <v/>
      </c>
      <c r="G269" s="656"/>
      <c r="I269" s="658">
        <f t="shared" si="1708"/>
        <v>0</v>
      </c>
      <c r="J269" s="658">
        <f t="shared" ref="J269" si="1892">IF($G269=0,0,-MIN(0,G269*c_EquityShare.LP))</f>
        <v>0</v>
      </c>
      <c r="K269" s="658">
        <f t="shared" ref="K269" si="1893">I269*c_Rate.Pref_MO</f>
        <v>0</v>
      </c>
      <c r="L269" s="658">
        <f t="shared" si="1684"/>
        <v>0</v>
      </c>
      <c r="M269" s="658">
        <f t="shared" si="1711"/>
        <v>0</v>
      </c>
      <c r="N269" s="658">
        <f t="shared" si="1734"/>
        <v>0</v>
      </c>
      <c r="O269" s="658" cm="1">
        <f t="array" ref="O269">IF(I269=0,0,IF(G269&lt;0,N269/c_EquityShare.LP*i_EquityShare.GP,L269/c_EquityShare.LP*i_EquityShare.GP))</f>
        <v>0</v>
      </c>
      <c r="P269" s="658">
        <f t="shared" si="1712"/>
        <v>0</v>
      </c>
      <c r="Q269" s="658">
        <f t="shared" si="1685"/>
        <v>0</v>
      </c>
      <c r="R269" s="521"/>
      <c r="S269" s="660">
        <f t="shared" si="1713"/>
        <v>0</v>
      </c>
      <c r="T269" s="663" cm="1">
        <f t="array" ref="T269">IF($G269=0,0,-MIN(0,$G269*c_EquityShare.LP))</f>
        <v>0</v>
      </c>
      <c r="U269" s="663" cm="1">
        <f t="array" ref="U269">IF($D269=0,0,S269*c_Rate.Hurdle1.MO)</f>
        <v>0</v>
      </c>
      <c r="V269" s="660">
        <f t="shared" si="1735"/>
        <v>0</v>
      </c>
      <c r="W269" s="660">
        <f t="shared" si="1714"/>
        <v>0</v>
      </c>
      <c r="X269" s="663">
        <f t="shared" si="1736"/>
        <v>0</v>
      </c>
      <c r="Y269" s="663">
        <f t="shared" si="1715"/>
        <v>0</v>
      </c>
      <c r="Z269" s="663">
        <f t="shared" ref="Z269" si="1894">IF(S269=0,0,O269+W269/$J$17*c_Hurdle1.Share_GP)</f>
        <v>0</v>
      </c>
      <c r="AA269" s="663">
        <f t="shared" si="1687"/>
        <v>0</v>
      </c>
      <c r="AB269" s="660">
        <f t="shared" si="1738"/>
        <v>0</v>
      </c>
      <c r="AC269" s="521"/>
      <c r="AD269" s="663">
        <f t="shared" si="1877"/>
        <v>0</v>
      </c>
      <c r="AE269" s="663">
        <f t="shared" ref="AE269" si="1895">IF($G269=0,0,-MIN(0,$G269*c_EquityShare.LP))</f>
        <v>0</v>
      </c>
      <c r="AF269" s="663" cm="1">
        <f t="array" ref="AF269">IF($D269=0,0,AD269*(c_Rate.Hurdle2.MO))</f>
        <v>0</v>
      </c>
      <c r="AG269" s="663">
        <f t="shared" si="1689"/>
        <v>0</v>
      </c>
      <c r="AH269" s="663">
        <f t="shared" si="1718"/>
        <v>0</v>
      </c>
      <c r="AI269" s="663">
        <f t="shared" si="1690"/>
        <v>0</v>
      </c>
      <c r="AJ269" s="664">
        <f t="shared" si="1691"/>
        <v>0</v>
      </c>
      <c r="AK269" s="660">
        <f t="shared" si="1692"/>
        <v>0</v>
      </c>
      <c r="AL269" s="663">
        <f t="shared" ref="AL269" si="1896">IF(AD269=0,0,Z269+AH269/$J$18*c_Hurdle2.Share_GP)</f>
        <v>0</v>
      </c>
      <c r="AM269" s="663">
        <f t="shared" si="1694"/>
        <v>0</v>
      </c>
      <c r="AN269" s="660">
        <f t="shared" si="1741"/>
        <v>0</v>
      </c>
      <c r="AO269" s="521"/>
      <c r="AP269" s="663">
        <f t="shared" si="1880"/>
        <v>0</v>
      </c>
      <c r="AQ269" s="663">
        <f t="shared" ref="AQ269" si="1897">IF($G269=0,0,-MIN(0,$G269*c_EquityShare.LP))</f>
        <v>0</v>
      </c>
      <c r="AR269" s="663" cm="1">
        <f t="array" ref="AR269">IF($D269=0,0,AP269*(c_Rate.Hurdle3.MO))</f>
        <v>0</v>
      </c>
      <c r="AS269" s="663">
        <f t="shared" si="1696"/>
        <v>0</v>
      </c>
      <c r="AT269" s="663">
        <f t="shared" si="1721"/>
        <v>0</v>
      </c>
      <c r="AU269" s="663">
        <f t="shared" si="1697"/>
        <v>0</v>
      </c>
      <c r="AV269" s="664">
        <f t="shared" si="1698"/>
        <v>0</v>
      </c>
      <c r="AW269" s="660">
        <f t="shared" si="1722"/>
        <v>0</v>
      </c>
      <c r="AX269" s="663">
        <f t="shared" ref="AX269" si="1898">IF(AP269=0,0,AL269+AT269/$J$19*c_Hurdle3.Share_GP)</f>
        <v>0</v>
      </c>
      <c r="AY269" s="663">
        <f t="shared" si="1724"/>
        <v>0</v>
      </c>
      <c r="AZ269" s="660">
        <f t="shared" si="1744"/>
        <v>0</v>
      </c>
      <c r="BA269" s="521"/>
      <c r="BB269" s="660">
        <f t="shared" si="590"/>
        <v>0</v>
      </c>
      <c r="BC269" s="660">
        <f t="shared" ref="BC269" si="1899">$AZ269*c_Residual.Share_GP</f>
        <v>0</v>
      </c>
      <c r="BD269" s="651"/>
      <c r="BE269" s="660">
        <f t="shared" si="1726"/>
        <v>0</v>
      </c>
      <c r="BF269" s="660">
        <f t="shared" si="1726"/>
        <v>0</v>
      </c>
      <c r="BG269" s="660">
        <f t="shared" si="1701"/>
        <v>0</v>
      </c>
      <c r="BI269" s="660">
        <v>0</v>
      </c>
      <c r="BJ269" s="660">
        <v>0</v>
      </c>
      <c r="BK269" s="660">
        <v>0</v>
      </c>
      <c r="BL269" s="660">
        <f t="shared" si="1727"/>
        <v>0</v>
      </c>
      <c r="BM269" s="660">
        <f t="shared" si="1727"/>
        <v>0</v>
      </c>
      <c r="BN269" s="660">
        <f t="shared" si="1728"/>
        <v>0</v>
      </c>
      <c r="BO269" s="660">
        <f t="shared" si="1728"/>
        <v>0</v>
      </c>
      <c r="BP269" s="660">
        <f t="shared" si="1729"/>
        <v>0</v>
      </c>
      <c r="BQ269" s="660">
        <f t="shared" si="1729"/>
        <v>0</v>
      </c>
      <c r="BR269" s="660">
        <v>0</v>
      </c>
      <c r="BS269" s="660">
        <v>0</v>
      </c>
      <c r="BT269" s="660">
        <f t="shared" si="1702"/>
        <v>0</v>
      </c>
      <c r="BU269" s="660">
        <f t="shared" si="1702"/>
        <v>0</v>
      </c>
      <c r="BX269" s="660">
        <v>0</v>
      </c>
      <c r="BY269" s="660">
        <f t="shared" si="1730"/>
        <v>0</v>
      </c>
      <c r="BZ269" s="660">
        <f t="shared" si="1703"/>
        <v>0</v>
      </c>
      <c r="CA269" s="660">
        <f t="shared" si="1704"/>
        <v>0</v>
      </c>
      <c r="CB269" s="660">
        <f t="shared" si="1705"/>
        <v>0</v>
      </c>
      <c r="CC269" s="660">
        <f t="shared" si="1706"/>
        <v>0</v>
      </c>
      <c r="CD269" s="660">
        <f t="shared" si="1731"/>
        <v>0</v>
      </c>
    </row>
    <row r="270" spans="4:82" ht="16" hidden="1" thickTop="1" thickBot="1">
      <c r="D270" s="653"/>
      <c r="E270" s="654"/>
      <c r="F270" s="655" t="str">
        <f t="shared" si="1707"/>
        <v/>
      </c>
      <c r="G270" s="656"/>
      <c r="I270" s="658">
        <f t="shared" si="1708"/>
        <v>0</v>
      </c>
      <c r="J270" s="658">
        <f t="shared" ref="J270" si="1900">IF($G270=0,0,-MIN(0,G270*c_EquityShare.LP))</f>
        <v>0</v>
      </c>
      <c r="K270" s="658">
        <f t="shared" ref="K270" si="1901">I270*c_Rate.Pref_MO</f>
        <v>0</v>
      </c>
      <c r="L270" s="658">
        <f t="shared" si="1684"/>
        <v>0</v>
      </c>
      <c r="M270" s="658">
        <f t="shared" si="1711"/>
        <v>0</v>
      </c>
      <c r="N270" s="658">
        <f t="shared" si="1734"/>
        <v>0</v>
      </c>
      <c r="O270" s="658" cm="1">
        <f t="array" ref="O270">IF(I270=0,0,IF(G270&lt;0,N270/c_EquityShare.LP*i_EquityShare.GP,L270/c_EquityShare.LP*i_EquityShare.GP))</f>
        <v>0</v>
      </c>
      <c r="P270" s="658">
        <f t="shared" si="1712"/>
        <v>0</v>
      </c>
      <c r="Q270" s="658">
        <f t="shared" si="1685"/>
        <v>0</v>
      </c>
      <c r="R270" s="521"/>
      <c r="S270" s="660">
        <f t="shared" si="1713"/>
        <v>0</v>
      </c>
      <c r="T270" s="663" cm="1">
        <f t="array" ref="T270">IF($G270=0,0,-MIN(0,$G270*c_EquityShare.LP))</f>
        <v>0</v>
      </c>
      <c r="U270" s="663" cm="1">
        <f t="array" ref="U270">IF($D270=0,0,S270*c_Rate.Hurdle1.MO)</f>
        <v>0</v>
      </c>
      <c r="V270" s="660">
        <f t="shared" si="1735"/>
        <v>0</v>
      </c>
      <c r="W270" s="660">
        <f t="shared" si="1714"/>
        <v>0</v>
      </c>
      <c r="X270" s="663">
        <f t="shared" si="1736"/>
        <v>0</v>
      </c>
      <c r="Y270" s="663">
        <f t="shared" si="1715"/>
        <v>0</v>
      </c>
      <c r="Z270" s="663">
        <f t="shared" ref="Z270" si="1902">IF(S270=0,0,O270+W270/$J$17*c_Hurdle1.Share_GP)</f>
        <v>0</v>
      </c>
      <c r="AA270" s="663">
        <f t="shared" si="1687"/>
        <v>0</v>
      </c>
      <c r="AB270" s="660">
        <f t="shared" si="1738"/>
        <v>0</v>
      </c>
      <c r="AC270" s="521"/>
      <c r="AD270" s="663">
        <f t="shared" si="1877"/>
        <v>0</v>
      </c>
      <c r="AE270" s="663">
        <f t="shared" ref="AE270" si="1903">IF($G270=0,0,-MIN(0,$G270*c_EquityShare.LP))</f>
        <v>0</v>
      </c>
      <c r="AF270" s="663" cm="1">
        <f t="array" ref="AF270">IF($D270=0,0,AD270*(c_Rate.Hurdle2.MO))</f>
        <v>0</v>
      </c>
      <c r="AG270" s="663">
        <f t="shared" si="1689"/>
        <v>0</v>
      </c>
      <c r="AH270" s="663">
        <f t="shared" si="1718"/>
        <v>0</v>
      </c>
      <c r="AI270" s="663">
        <f t="shared" si="1690"/>
        <v>0</v>
      </c>
      <c r="AJ270" s="664">
        <f t="shared" si="1691"/>
        <v>0</v>
      </c>
      <c r="AK270" s="660">
        <f t="shared" si="1692"/>
        <v>0</v>
      </c>
      <c r="AL270" s="663">
        <f t="shared" ref="AL270" si="1904">IF(AD270=0,0,Z270+AH270/$J$18*c_Hurdle2.Share_GP)</f>
        <v>0</v>
      </c>
      <c r="AM270" s="663">
        <f t="shared" si="1694"/>
        <v>0</v>
      </c>
      <c r="AN270" s="660">
        <f t="shared" si="1741"/>
        <v>0</v>
      </c>
      <c r="AO270" s="521"/>
      <c r="AP270" s="663">
        <f t="shared" si="1880"/>
        <v>0</v>
      </c>
      <c r="AQ270" s="663">
        <f t="shared" ref="AQ270" si="1905">IF($G270=0,0,-MIN(0,$G270*c_EquityShare.LP))</f>
        <v>0</v>
      </c>
      <c r="AR270" s="663" cm="1">
        <f t="array" ref="AR270">IF($D270=0,0,AP270*(c_Rate.Hurdle3.MO))</f>
        <v>0</v>
      </c>
      <c r="AS270" s="663">
        <f t="shared" si="1696"/>
        <v>0</v>
      </c>
      <c r="AT270" s="663">
        <f t="shared" si="1721"/>
        <v>0</v>
      </c>
      <c r="AU270" s="663">
        <f t="shared" si="1697"/>
        <v>0</v>
      </c>
      <c r="AV270" s="664">
        <f t="shared" si="1698"/>
        <v>0</v>
      </c>
      <c r="AW270" s="660">
        <f t="shared" si="1722"/>
        <v>0</v>
      </c>
      <c r="AX270" s="663">
        <f t="shared" ref="AX270" si="1906">IF(AP270=0,0,AL270+AT270/$J$19*c_Hurdle3.Share_GP)</f>
        <v>0</v>
      </c>
      <c r="AY270" s="663">
        <f t="shared" si="1724"/>
        <v>0</v>
      </c>
      <c r="AZ270" s="660">
        <f t="shared" si="1744"/>
        <v>0</v>
      </c>
      <c r="BA270" s="521"/>
      <c r="BB270" s="660">
        <f t="shared" si="590"/>
        <v>0</v>
      </c>
      <c r="BC270" s="660">
        <f t="shared" ref="BC270" si="1907">$AZ270*c_Residual.Share_GP</f>
        <v>0</v>
      </c>
      <c r="BD270" s="651"/>
      <c r="BE270" s="660">
        <f t="shared" si="1726"/>
        <v>0</v>
      </c>
      <c r="BF270" s="660">
        <f t="shared" si="1726"/>
        <v>0</v>
      </c>
      <c r="BG270" s="660">
        <f t="shared" si="1701"/>
        <v>0</v>
      </c>
      <c r="BI270" s="660">
        <v>0</v>
      </c>
      <c r="BJ270" s="660">
        <v>0</v>
      </c>
      <c r="BK270" s="660">
        <v>0</v>
      </c>
      <c r="BL270" s="660">
        <f t="shared" si="1727"/>
        <v>0</v>
      </c>
      <c r="BM270" s="660">
        <f t="shared" si="1727"/>
        <v>0</v>
      </c>
      <c r="BN270" s="660">
        <f t="shared" si="1728"/>
        <v>0</v>
      </c>
      <c r="BO270" s="660">
        <f t="shared" si="1728"/>
        <v>0</v>
      </c>
      <c r="BP270" s="660">
        <f t="shared" si="1729"/>
        <v>0</v>
      </c>
      <c r="BQ270" s="660">
        <f t="shared" si="1729"/>
        <v>0</v>
      </c>
      <c r="BR270" s="660">
        <v>0</v>
      </c>
      <c r="BS270" s="660">
        <v>0</v>
      </c>
      <c r="BT270" s="660">
        <f t="shared" si="1702"/>
        <v>0</v>
      </c>
      <c r="BU270" s="660">
        <f t="shared" si="1702"/>
        <v>0</v>
      </c>
      <c r="BX270" s="660">
        <v>0</v>
      </c>
      <c r="BY270" s="660">
        <f t="shared" si="1730"/>
        <v>0</v>
      </c>
      <c r="BZ270" s="660">
        <f t="shared" si="1703"/>
        <v>0</v>
      </c>
      <c r="CA270" s="660">
        <f t="shared" si="1704"/>
        <v>0</v>
      </c>
      <c r="CB270" s="660">
        <f t="shared" si="1705"/>
        <v>0</v>
      </c>
      <c r="CC270" s="660">
        <f t="shared" si="1706"/>
        <v>0</v>
      </c>
      <c r="CD270" s="660">
        <f t="shared" si="1731"/>
        <v>0</v>
      </c>
    </row>
    <row r="271" spans="4:82" ht="16" hidden="1" thickTop="1" thickBot="1">
      <c r="D271" s="653"/>
      <c r="E271" s="654"/>
      <c r="F271" s="655" t="str">
        <f t="shared" si="1707"/>
        <v/>
      </c>
      <c r="G271" s="656"/>
      <c r="I271" s="658">
        <f t="shared" si="1708"/>
        <v>0</v>
      </c>
      <c r="J271" s="658">
        <f t="shared" ref="J271" si="1908">IF($G271=0,0,-MIN(0,G271*c_EquityShare.LP))</f>
        <v>0</v>
      </c>
      <c r="K271" s="658">
        <f t="shared" ref="K271" si="1909">I271*c_Rate.Pref_MO</f>
        <v>0</v>
      </c>
      <c r="L271" s="658">
        <f t="shared" si="1684"/>
        <v>0</v>
      </c>
      <c r="M271" s="658">
        <f t="shared" si="1711"/>
        <v>0</v>
      </c>
      <c r="N271" s="658">
        <f t="shared" si="1734"/>
        <v>0</v>
      </c>
      <c r="O271" s="658" cm="1">
        <f t="array" ref="O271">IF(I271=0,0,IF(G271&lt;0,N271/c_EquityShare.LP*i_EquityShare.GP,L271/c_EquityShare.LP*i_EquityShare.GP))</f>
        <v>0</v>
      </c>
      <c r="P271" s="658">
        <f t="shared" si="1712"/>
        <v>0</v>
      </c>
      <c r="Q271" s="658">
        <f t="shared" si="1685"/>
        <v>0</v>
      </c>
      <c r="R271" s="521"/>
      <c r="S271" s="660">
        <f t="shared" si="1713"/>
        <v>0</v>
      </c>
      <c r="T271" s="663" cm="1">
        <f t="array" ref="T271">IF($G271=0,0,-MIN(0,$G271*c_EquityShare.LP))</f>
        <v>0</v>
      </c>
      <c r="U271" s="663" cm="1">
        <f t="array" ref="U271">IF($D271=0,0,S271*c_Rate.Hurdle1.MO)</f>
        <v>0</v>
      </c>
      <c r="V271" s="660">
        <f t="shared" si="1735"/>
        <v>0</v>
      </c>
      <c r="W271" s="660">
        <f t="shared" si="1714"/>
        <v>0</v>
      </c>
      <c r="X271" s="663">
        <f t="shared" si="1736"/>
        <v>0</v>
      </c>
      <c r="Y271" s="663">
        <f t="shared" si="1715"/>
        <v>0</v>
      </c>
      <c r="Z271" s="663">
        <f t="shared" ref="Z271" si="1910">IF(S271=0,0,O271+W271/$J$17*c_Hurdle1.Share_GP)</f>
        <v>0</v>
      </c>
      <c r="AA271" s="663">
        <f t="shared" si="1687"/>
        <v>0</v>
      </c>
      <c r="AB271" s="660">
        <f t="shared" si="1738"/>
        <v>0</v>
      </c>
      <c r="AC271" s="521"/>
      <c r="AD271" s="663">
        <f t="shared" si="1877"/>
        <v>0</v>
      </c>
      <c r="AE271" s="663">
        <f t="shared" ref="AE271" si="1911">IF($G271=0,0,-MIN(0,$G271*c_EquityShare.LP))</f>
        <v>0</v>
      </c>
      <c r="AF271" s="663" cm="1">
        <f t="array" ref="AF271">IF($D271=0,0,AD271*(c_Rate.Hurdle2.MO))</f>
        <v>0</v>
      </c>
      <c r="AG271" s="663">
        <f t="shared" si="1689"/>
        <v>0</v>
      </c>
      <c r="AH271" s="663">
        <f t="shared" si="1718"/>
        <v>0</v>
      </c>
      <c r="AI271" s="663">
        <f t="shared" si="1690"/>
        <v>0</v>
      </c>
      <c r="AJ271" s="664">
        <f t="shared" si="1691"/>
        <v>0</v>
      </c>
      <c r="AK271" s="660">
        <f t="shared" si="1692"/>
        <v>0</v>
      </c>
      <c r="AL271" s="663">
        <f t="shared" ref="AL271" si="1912">IF(AD271=0,0,Z271+AH271/$J$18*c_Hurdle2.Share_GP)</f>
        <v>0</v>
      </c>
      <c r="AM271" s="663">
        <f t="shared" si="1694"/>
        <v>0</v>
      </c>
      <c r="AN271" s="660">
        <f t="shared" si="1741"/>
        <v>0</v>
      </c>
      <c r="AO271" s="521"/>
      <c r="AP271" s="663">
        <f t="shared" si="1880"/>
        <v>0</v>
      </c>
      <c r="AQ271" s="663">
        <f t="shared" ref="AQ271" si="1913">IF($G271=0,0,-MIN(0,$G271*c_EquityShare.LP))</f>
        <v>0</v>
      </c>
      <c r="AR271" s="663" cm="1">
        <f t="array" ref="AR271">IF($D271=0,0,AP271*(c_Rate.Hurdle3.MO))</f>
        <v>0</v>
      </c>
      <c r="AS271" s="663">
        <f t="shared" si="1696"/>
        <v>0</v>
      </c>
      <c r="AT271" s="663">
        <f t="shared" si="1721"/>
        <v>0</v>
      </c>
      <c r="AU271" s="663">
        <f t="shared" si="1697"/>
        <v>0</v>
      </c>
      <c r="AV271" s="664">
        <f t="shared" si="1698"/>
        <v>0</v>
      </c>
      <c r="AW271" s="660">
        <f t="shared" si="1722"/>
        <v>0</v>
      </c>
      <c r="AX271" s="663">
        <f t="shared" ref="AX271" si="1914">IF(AP271=0,0,AL271+AT271/$J$19*c_Hurdle3.Share_GP)</f>
        <v>0</v>
      </c>
      <c r="AY271" s="663">
        <f t="shared" si="1724"/>
        <v>0</v>
      </c>
      <c r="AZ271" s="660">
        <f t="shared" si="1744"/>
        <v>0</v>
      </c>
      <c r="BA271" s="521"/>
      <c r="BB271" s="660">
        <f t="shared" si="590"/>
        <v>0</v>
      </c>
      <c r="BC271" s="660">
        <f t="shared" ref="BC271" si="1915">$AZ271*c_Residual.Share_GP</f>
        <v>0</v>
      </c>
      <c r="BD271" s="651"/>
      <c r="BE271" s="660">
        <f t="shared" si="1726"/>
        <v>0</v>
      </c>
      <c r="BF271" s="660">
        <f t="shared" si="1726"/>
        <v>0</v>
      </c>
      <c r="BG271" s="660">
        <f t="shared" si="1701"/>
        <v>0</v>
      </c>
      <c r="BI271" s="660">
        <v>0</v>
      </c>
      <c r="BJ271" s="660">
        <v>0</v>
      </c>
      <c r="BK271" s="660">
        <v>0</v>
      </c>
      <c r="BL271" s="660">
        <f t="shared" si="1727"/>
        <v>0</v>
      </c>
      <c r="BM271" s="660">
        <f t="shared" si="1727"/>
        <v>0</v>
      </c>
      <c r="BN271" s="660">
        <f t="shared" si="1728"/>
        <v>0</v>
      </c>
      <c r="BO271" s="660">
        <f t="shared" si="1728"/>
        <v>0</v>
      </c>
      <c r="BP271" s="660">
        <f t="shared" si="1729"/>
        <v>0</v>
      </c>
      <c r="BQ271" s="660">
        <f t="shared" si="1729"/>
        <v>0</v>
      </c>
      <c r="BR271" s="660">
        <v>0</v>
      </c>
      <c r="BS271" s="660">
        <v>0</v>
      </c>
      <c r="BT271" s="660">
        <f t="shared" si="1702"/>
        <v>0</v>
      </c>
      <c r="BU271" s="660">
        <f t="shared" si="1702"/>
        <v>0</v>
      </c>
      <c r="BX271" s="660">
        <v>0</v>
      </c>
      <c r="BY271" s="660">
        <f t="shared" si="1730"/>
        <v>0</v>
      </c>
      <c r="BZ271" s="660">
        <f t="shared" si="1703"/>
        <v>0</v>
      </c>
      <c r="CA271" s="660">
        <f t="shared" si="1704"/>
        <v>0</v>
      </c>
      <c r="CB271" s="660">
        <f t="shared" si="1705"/>
        <v>0</v>
      </c>
      <c r="CC271" s="660">
        <f t="shared" si="1706"/>
        <v>0</v>
      </c>
      <c r="CD271" s="660">
        <f t="shared" si="1731"/>
        <v>0</v>
      </c>
    </row>
    <row r="272" spans="4:82" ht="16" hidden="1" thickTop="1" thickBot="1">
      <c r="D272" s="653"/>
      <c r="E272" s="654"/>
      <c r="F272" s="655" t="str">
        <f t="shared" si="1707"/>
        <v/>
      </c>
      <c r="G272" s="656"/>
      <c r="I272" s="658">
        <f t="shared" si="1708"/>
        <v>0</v>
      </c>
      <c r="J272" s="658">
        <f t="shared" ref="J272" si="1916">IF($G272=0,0,-MIN(0,G272*c_EquityShare.LP))</f>
        <v>0</v>
      </c>
      <c r="K272" s="658">
        <f t="shared" ref="K272" si="1917">I272*c_Rate.Pref_MO</f>
        <v>0</v>
      </c>
      <c r="L272" s="658">
        <f t="shared" si="1684"/>
        <v>0</v>
      </c>
      <c r="M272" s="658">
        <f t="shared" si="1711"/>
        <v>0</v>
      </c>
      <c r="N272" s="658">
        <f t="shared" si="1734"/>
        <v>0</v>
      </c>
      <c r="O272" s="658" cm="1">
        <f t="array" ref="O272">IF(I272=0,0,IF(G272&lt;0,N272/c_EquityShare.LP*i_EquityShare.GP,L272/c_EquityShare.LP*i_EquityShare.GP))</f>
        <v>0</v>
      </c>
      <c r="P272" s="658">
        <f t="shared" si="1712"/>
        <v>0</v>
      </c>
      <c r="Q272" s="658">
        <f t="shared" si="1685"/>
        <v>0</v>
      </c>
      <c r="R272" s="521"/>
      <c r="S272" s="660">
        <f t="shared" si="1713"/>
        <v>0</v>
      </c>
      <c r="T272" s="663" cm="1">
        <f t="array" ref="T272">IF($G272=0,0,-MIN(0,$G272*c_EquityShare.LP))</f>
        <v>0</v>
      </c>
      <c r="U272" s="663" cm="1">
        <f t="array" ref="U272">IF($D272=0,0,S272*c_Rate.Hurdle1.MO)</f>
        <v>0</v>
      </c>
      <c r="V272" s="660">
        <f t="shared" si="1735"/>
        <v>0</v>
      </c>
      <c r="W272" s="660">
        <f t="shared" si="1714"/>
        <v>0</v>
      </c>
      <c r="X272" s="663">
        <f t="shared" si="1736"/>
        <v>0</v>
      </c>
      <c r="Y272" s="663">
        <f t="shared" si="1715"/>
        <v>0</v>
      </c>
      <c r="Z272" s="663">
        <f t="shared" ref="Z272" si="1918">IF(S272=0,0,O272+W272/$J$17*c_Hurdle1.Share_GP)</f>
        <v>0</v>
      </c>
      <c r="AA272" s="663">
        <f t="shared" si="1687"/>
        <v>0</v>
      </c>
      <c r="AB272" s="660">
        <f t="shared" si="1738"/>
        <v>0</v>
      </c>
      <c r="AC272" s="521"/>
      <c r="AD272" s="663">
        <f t="shared" si="1877"/>
        <v>0</v>
      </c>
      <c r="AE272" s="663">
        <f t="shared" ref="AE272" si="1919">IF($G272=0,0,-MIN(0,$G272*c_EquityShare.LP))</f>
        <v>0</v>
      </c>
      <c r="AF272" s="663" cm="1">
        <f t="array" ref="AF272">IF($D272=0,0,AD272*(c_Rate.Hurdle2.MO))</f>
        <v>0</v>
      </c>
      <c r="AG272" s="663">
        <f t="shared" si="1689"/>
        <v>0</v>
      </c>
      <c r="AH272" s="663">
        <f t="shared" si="1718"/>
        <v>0</v>
      </c>
      <c r="AI272" s="663">
        <f t="shared" si="1690"/>
        <v>0</v>
      </c>
      <c r="AJ272" s="664">
        <f t="shared" si="1691"/>
        <v>0</v>
      </c>
      <c r="AK272" s="660">
        <f t="shared" si="1692"/>
        <v>0</v>
      </c>
      <c r="AL272" s="663">
        <f t="shared" ref="AL272" si="1920">IF(AD272=0,0,Z272+AH272/$J$18*c_Hurdle2.Share_GP)</f>
        <v>0</v>
      </c>
      <c r="AM272" s="663">
        <f t="shared" si="1694"/>
        <v>0</v>
      </c>
      <c r="AN272" s="660">
        <f t="shared" si="1741"/>
        <v>0</v>
      </c>
      <c r="AO272" s="521"/>
      <c r="AP272" s="663">
        <f t="shared" si="1880"/>
        <v>0</v>
      </c>
      <c r="AQ272" s="663">
        <f t="shared" ref="AQ272" si="1921">IF($G272=0,0,-MIN(0,$G272*c_EquityShare.LP))</f>
        <v>0</v>
      </c>
      <c r="AR272" s="663" cm="1">
        <f t="array" ref="AR272">IF($D272=0,0,AP272*(c_Rate.Hurdle3.MO))</f>
        <v>0</v>
      </c>
      <c r="AS272" s="663">
        <f t="shared" si="1696"/>
        <v>0</v>
      </c>
      <c r="AT272" s="663">
        <f t="shared" si="1721"/>
        <v>0</v>
      </c>
      <c r="AU272" s="663">
        <f t="shared" si="1697"/>
        <v>0</v>
      </c>
      <c r="AV272" s="664">
        <f t="shared" si="1698"/>
        <v>0</v>
      </c>
      <c r="AW272" s="660">
        <f t="shared" si="1722"/>
        <v>0</v>
      </c>
      <c r="AX272" s="663">
        <f t="shared" ref="AX272" si="1922">IF(AP272=0,0,AL272+AT272/$J$19*c_Hurdle3.Share_GP)</f>
        <v>0</v>
      </c>
      <c r="AY272" s="663">
        <f t="shared" si="1724"/>
        <v>0</v>
      </c>
      <c r="AZ272" s="660">
        <f t="shared" si="1744"/>
        <v>0</v>
      </c>
      <c r="BA272" s="521"/>
      <c r="BB272" s="660">
        <f t="shared" si="590"/>
        <v>0</v>
      </c>
      <c r="BC272" s="660">
        <f t="shared" ref="BC272" si="1923">$AZ272*c_Residual.Share_GP</f>
        <v>0</v>
      </c>
      <c r="BD272" s="651"/>
      <c r="BE272" s="660">
        <f t="shared" si="1726"/>
        <v>0</v>
      </c>
      <c r="BF272" s="660">
        <f t="shared" si="1726"/>
        <v>0</v>
      </c>
      <c r="BG272" s="660">
        <f t="shared" si="1701"/>
        <v>0</v>
      </c>
      <c r="BI272" s="660">
        <v>0</v>
      </c>
      <c r="BJ272" s="660">
        <v>0</v>
      </c>
      <c r="BK272" s="660">
        <v>0</v>
      </c>
      <c r="BL272" s="660">
        <f t="shared" si="1727"/>
        <v>0</v>
      </c>
      <c r="BM272" s="660">
        <f t="shared" si="1727"/>
        <v>0</v>
      </c>
      <c r="BN272" s="660">
        <f t="shared" si="1728"/>
        <v>0</v>
      </c>
      <c r="BO272" s="660">
        <f t="shared" si="1728"/>
        <v>0</v>
      </c>
      <c r="BP272" s="660">
        <f t="shared" si="1729"/>
        <v>0</v>
      </c>
      <c r="BQ272" s="660">
        <f t="shared" si="1729"/>
        <v>0</v>
      </c>
      <c r="BR272" s="660">
        <v>0</v>
      </c>
      <c r="BS272" s="660">
        <v>0</v>
      </c>
      <c r="BT272" s="660">
        <f t="shared" si="1702"/>
        <v>0</v>
      </c>
      <c r="BU272" s="660">
        <f t="shared" si="1702"/>
        <v>0</v>
      </c>
      <c r="BX272" s="660">
        <v>0</v>
      </c>
      <c r="BY272" s="660">
        <f t="shared" si="1730"/>
        <v>0</v>
      </c>
      <c r="BZ272" s="660">
        <f t="shared" si="1703"/>
        <v>0</v>
      </c>
      <c r="CA272" s="660">
        <f t="shared" si="1704"/>
        <v>0</v>
      </c>
      <c r="CB272" s="660">
        <f t="shared" si="1705"/>
        <v>0</v>
      </c>
      <c r="CC272" s="660">
        <f t="shared" si="1706"/>
        <v>0</v>
      </c>
      <c r="CD272" s="660">
        <f t="shared" si="1731"/>
        <v>0</v>
      </c>
    </row>
    <row r="273" spans="4:82" ht="16" hidden="1" thickTop="1" thickBot="1">
      <c r="D273" s="653"/>
      <c r="E273" s="654"/>
      <c r="F273" s="655" t="str">
        <f t="shared" si="1707"/>
        <v/>
      </c>
      <c r="G273" s="656"/>
      <c r="I273" s="658">
        <f t="shared" si="1708"/>
        <v>0</v>
      </c>
      <c r="J273" s="658">
        <f t="shared" ref="J273" si="1924">IF($G273=0,0,-MIN(0,G273*c_EquityShare.LP))</f>
        <v>0</v>
      </c>
      <c r="K273" s="658">
        <f t="shared" ref="K273" si="1925">I273*c_Rate.Pref_MO</f>
        <v>0</v>
      </c>
      <c r="L273" s="658">
        <f t="shared" si="1684"/>
        <v>0</v>
      </c>
      <c r="M273" s="658">
        <f t="shared" si="1711"/>
        <v>0</v>
      </c>
      <c r="N273" s="658">
        <f t="shared" si="1734"/>
        <v>0</v>
      </c>
      <c r="O273" s="658" cm="1">
        <f t="array" ref="O273">IF(I273=0,0,IF(G273&lt;0,N273/c_EquityShare.LP*i_EquityShare.GP,L273/c_EquityShare.LP*i_EquityShare.GP))</f>
        <v>0</v>
      </c>
      <c r="P273" s="658">
        <f t="shared" si="1712"/>
        <v>0</v>
      </c>
      <c r="Q273" s="658">
        <f t="shared" si="1685"/>
        <v>0</v>
      </c>
      <c r="R273" s="521"/>
      <c r="S273" s="660">
        <f t="shared" si="1713"/>
        <v>0</v>
      </c>
      <c r="T273" s="663" cm="1">
        <f t="array" ref="T273">IF($G273=0,0,-MIN(0,$G273*c_EquityShare.LP))</f>
        <v>0</v>
      </c>
      <c r="U273" s="663" cm="1">
        <f t="array" ref="U273">IF($D273=0,0,S273*c_Rate.Hurdle1.MO)</f>
        <v>0</v>
      </c>
      <c r="V273" s="660">
        <f t="shared" si="1735"/>
        <v>0</v>
      </c>
      <c r="W273" s="660">
        <f t="shared" si="1714"/>
        <v>0</v>
      </c>
      <c r="X273" s="663">
        <f t="shared" si="1736"/>
        <v>0</v>
      </c>
      <c r="Y273" s="663">
        <f t="shared" si="1715"/>
        <v>0</v>
      </c>
      <c r="Z273" s="663">
        <f t="shared" ref="Z273" si="1926">IF(S273=0,0,O273+W273/$J$17*c_Hurdle1.Share_GP)</f>
        <v>0</v>
      </c>
      <c r="AA273" s="663">
        <f t="shared" si="1687"/>
        <v>0</v>
      </c>
      <c r="AB273" s="660">
        <f t="shared" si="1738"/>
        <v>0</v>
      </c>
      <c r="AC273" s="521"/>
      <c r="AD273" s="663">
        <f t="shared" si="1877"/>
        <v>0</v>
      </c>
      <c r="AE273" s="663">
        <f t="shared" ref="AE273" si="1927">IF($G273=0,0,-MIN(0,$G273*c_EquityShare.LP))</f>
        <v>0</v>
      </c>
      <c r="AF273" s="663" cm="1">
        <f t="array" ref="AF273">IF($D273=0,0,AD273*(c_Rate.Hurdle2.MO))</f>
        <v>0</v>
      </c>
      <c r="AG273" s="663">
        <f t="shared" si="1689"/>
        <v>0</v>
      </c>
      <c r="AH273" s="663">
        <f t="shared" si="1718"/>
        <v>0</v>
      </c>
      <c r="AI273" s="663">
        <f t="shared" si="1690"/>
        <v>0</v>
      </c>
      <c r="AJ273" s="664">
        <f t="shared" si="1691"/>
        <v>0</v>
      </c>
      <c r="AK273" s="660">
        <f t="shared" si="1692"/>
        <v>0</v>
      </c>
      <c r="AL273" s="663">
        <f t="shared" ref="AL273" si="1928">IF(AD273=0,0,Z273+AH273/$J$18*c_Hurdle2.Share_GP)</f>
        <v>0</v>
      </c>
      <c r="AM273" s="663">
        <f t="shared" si="1694"/>
        <v>0</v>
      </c>
      <c r="AN273" s="660">
        <f t="shared" si="1741"/>
        <v>0</v>
      </c>
      <c r="AO273" s="521"/>
      <c r="AP273" s="663">
        <f t="shared" si="1880"/>
        <v>0</v>
      </c>
      <c r="AQ273" s="663">
        <f t="shared" ref="AQ273" si="1929">IF($G273=0,0,-MIN(0,$G273*c_EquityShare.LP))</f>
        <v>0</v>
      </c>
      <c r="AR273" s="663" cm="1">
        <f t="array" ref="AR273">IF($D273=0,0,AP273*(c_Rate.Hurdle3.MO))</f>
        <v>0</v>
      </c>
      <c r="AS273" s="663">
        <f t="shared" si="1696"/>
        <v>0</v>
      </c>
      <c r="AT273" s="663">
        <f t="shared" si="1721"/>
        <v>0</v>
      </c>
      <c r="AU273" s="663">
        <f t="shared" si="1697"/>
        <v>0</v>
      </c>
      <c r="AV273" s="664">
        <f t="shared" si="1698"/>
        <v>0</v>
      </c>
      <c r="AW273" s="660">
        <f t="shared" si="1722"/>
        <v>0</v>
      </c>
      <c r="AX273" s="663">
        <f t="shared" ref="AX273" si="1930">IF(AP273=0,0,AL273+AT273/$J$19*c_Hurdle3.Share_GP)</f>
        <v>0</v>
      </c>
      <c r="AY273" s="663">
        <f t="shared" si="1724"/>
        <v>0</v>
      </c>
      <c r="AZ273" s="660">
        <f t="shared" si="1744"/>
        <v>0</v>
      </c>
      <c r="BA273" s="521"/>
      <c r="BB273" s="660">
        <f t="shared" si="590"/>
        <v>0</v>
      </c>
      <c r="BC273" s="660">
        <f t="shared" ref="BC273" si="1931">$AZ273*c_Residual.Share_GP</f>
        <v>0</v>
      </c>
      <c r="BD273" s="651"/>
      <c r="BE273" s="660">
        <f t="shared" si="1726"/>
        <v>0</v>
      </c>
      <c r="BF273" s="660">
        <f t="shared" si="1726"/>
        <v>0</v>
      </c>
      <c r="BG273" s="660">
        <f t="shared" si="1701"/>
        <v>0</v>
      </c>
      <c r="BI273" s="660">
        <v>0</v>
      </c>
      <c r="BJ273" s="660">
        <v>0</v>
      </c>
      <c r="BK273" s="660">
        <v>0</v>
      </c>
      <c r="BL273" s="660">
        <f t="shared" si="1727"/>
        <v>0</v>
      </c>
      <c r="BM273" s="660">
        <f t="shared" si="1727"/>
        <v>0</v>
      </c>
      <c r="BN273" s="660">
        <f t="shared" si="1728"/>
        <v>0</v>
      </c>
      <c r="BO273" s="660">
        <f t="shared" si="1728"/>
        <v>0</v>
      </c>
      <c r="BP273" s="660">
        <f t="shared" si="1729"/>
        <v>0</v>
      </c>
      <c r="BQ273" s="660">
        <f t="shared" si="1729"/>
        <v>0</v>
      </c>
      <c r="BR273" s="660">
        <v>0</v>
      </c>
      <c r="BS273" s="660">
        <v>0</v>
      </c>
      <c r="BT273" s="660">
        <f t="shared" si="1702"/>
        <v>0</v>
      </c>
      <c r="BU273" s="660">
        <f t="shared" si="1702"/>
        <v>0</v>
      </c>
      <c r="BX273" s="660">
        <v>0</v>
      </c>
      <c r="BY273" s="660">
        <f t="shared" si="1730"/>
        <v>0</v>
      </c>
      <c r="BZ273" s="660">
        <f t="shared" si="1703"/>
        <v>0</v>
      </c>
      <c r="CA273" s="660">
        <f t="shared" si="1704"/>
        <v>0</v>
      </c>
      <c r="CB273" s="660">
        <f t="shared" si="1705"/>
        <v>0</v>
      </c>
      <c r="CC273" s="660">
        <f t="shared" si="1706"/>
        <v>0</v>
      </c>
      <c r="CD273" s="660">
        <f t="shared" si="1731"/>
        <v>0</v>
      </c>
    </row>
    <row r="274" spans="4:82" ht="16" hidden="1" thickTop="1" thickBot="1">
      <c r="D274" s="653"/>
      <c r="E274" s="654"/>
      <c r="F274" s="655" t="str">
        <f t="shared" si="1707"/>
        <v/>
      </c>
      <c r="G274" s="656"/>
      <c r="I274" s="658">
        <f t="shared" si="1708"/>
        <v>0</v>
      </c>
      <c r="J274" s="658">
        <f t="shared" ref="J274" si="1932">IF($G274=0,0,-MIN(0,G274*c_EquityShare.LP))</f>
        <v>0</v>
      </c>
      <c r="K274" s="658">
        <f t="shared" ref="K274" si="1933">I274*c_Rate.Pref_MO</f>
        <v>0</v>
      </c>
      <c r="L274" s="658">
        <f t="shared" si="1684"/>
        <v>0</v>
      </c>
      <c r="M274" s="658">
        <f t="shared" si="1711"/>
        <v>0</v>
      </c>
      <c r="N274" s="658">
        <f t="shared" si="1734"/>
        <v>0</v>
      </c>
      <c r="O274" s="658" cm="1">
        <f t="array" ref="O274">IF(I274=0,0,IF(G274&lt;0,N274/c_EquityShare.LP*i_EquityShare.GP,L274/c_EquityShare.LP*i_EquityShare.GP))</f>
        <v>0</v>
      </c>
      <c r="P274" s="658">
        <f t="shared" si="1712"/>
        <v>0</v>
      </c>
      <c r="Q274" s="658">
        <f t="shared" si="1685"/>
        <v>0</v>
      </c>
      <c r="R274" s="521"/>
      <c r="S274" s="660">
        <f t="shared" si="1713"/>
        <v>0</v>
      </c>
      <c r="T274" s="663" cm="1">
        <f t="array" ref="T274">IF($G274=0,0,-MIN(0,$G274*c_EquityShare.LP))</f>
        <v>0</v>
      </c>
      <c r="U274" s="663" cm="1">
        <f t="array" ref="U274">IF($D274=0,0,S274*c_Rate.Hurdle1.MO)</f>
        <v>0</v>
      </c>
      <c r="V274" s="660">
        <f t="shared" si="1735"/>
        <v>0</v>
      </c>
      <c r="W274" s="660">
        <f t="shared" si="1714"/>
        <v>0</v>
      </c>
      <c r="X274" s="663">
        <f t="shared" si="1736"/>
        <v>0</v>
      </c>
      <c r="Y274" s="663">
        <f t="shared" si="1715"/>
        <v>0</v>
      </c>
      <c r="Z274" s="663">
        <f t="shared" ref="Z274" si="1934">IF(S274=0,0,O274+W274/$J$17*c_Hurdle1.Share_GP)</f>
        <v>0</v>
      </c>
      <c r="AA274" s="663">
        <f t="shared" si="1687"/>
        <v>0</v>
      </c>
      <c r="AB274" s="660">
        <f t="shared" si="1738"/>
        <v>0</v>
      </c>
      <c r="AC274" s="521"/>
      <c r="AD274" s="663">
        <f t="shared" si="1877"/>
        <v>0</v>
      </c>
      <c r="AE274" s="663">
        <f t="shared" ref="AE274" si="1935">IF($G274=0,0,-MIN(0,$G274*c_EquityShare.LP))</f>
        <v>0</v>
      </c>
      <c r="AF274" s="663" cm="1">
        <f t="array" ref="AF274">IF($D274=0,0,AD274*(c_Rate.Hurdle2.MO))</f>
        <v>0</v>
      </c>
      <c r="AG274" s="663">
        <f t="shared" si="1689"/>
        <v>0</v>
      </c>
      <c r="AH274" s="663">
        <f t="shared" si="1718"/>
        <v>0</v>
      </c>
      <c r="AI274" s="663">
        <f t="shared" si="1690"/>
        <v>0</v>
      </c>
      <c r="AJ274" s="664">
        <f t="shared" si="1691"/>
        <v>0</v>
      </c>
      <c r="AK274" s="660">
        <f t="shared" si="1692"/>
        <v>0</v>
      </c>
      <c r="AL274" s="663">
        <f t="shared" ref="AL274" si="1936">IF(AD274=0,0,Z274+AH274/$J$18*c_Hurdle2.Share_GP)</f>
        <v>0</v>
      </c>
      <c r="AM274" s="663">
        <f t="shared" si="1694"/>
        <v>0</v>
      </c>
      <c r="AN274" s="660">
        <f t="shared" si="1741"/>
        <v>0</v>
      </c>
      <c r="AO274" s="521"/>
      <c r="AP274" s="663">
        <f t="shared" si="1880"/>
        <v>0</v>
      </c>
      <c r="AQ274" s="663">
        <f t="shared" ref="AQ274" si="1937">IF($G274=0,0,-MIN(0,$G274*c_EquityShare.LP))</f>
        <v>0</v>
      </c>
      <c r="AR274" s="663" cm="1">
        <f t="array" ref="AR274">IF($D274=0,0,AP274*(c_Rate.Hurdle3.MO))</f>
        <v>0</v>
      </c>
      <c r="AS274" s="663">
        <f t="shared" si="1696"/>
        <v>0</v>
      </c>
      <c r="AT274" s="663">
        <f t="shared" si="1721"/>
        <v>0</v>
      </c>
      <c r="AU274" s="663">
        <f t="shared" si="1697"/>
        <v>0</v>
      </c>
      <c r="AV274" s="664">
        <f t="shared" si="1698"/>
        <v>0</v>
      </c>
      <c r="AW274" s="660">
        <f t="shared" si="1722"/>
        <v>0</v>
      </c>
      <c r="AX274" s="663">
        <f t="shared" ref="AX274" si="1938">IF(AP274=0,0,AL274+AT274/$J$19*c_Hurdle3.Share_GP)</f>
        <v>0</v>
      </c>
      <c r="AY274" s="663">
        <f t="shared" si="1724"/>
        <v>0</v>
      </c>
      <c r="AZ274" s="660">
        <f t="shared" si="1744"/>
        <v>0</v>
      </c>
      <c r="BA274" s="521"/>
      <c r="BB274" s="660">
        <f t="shared" ref="BB274:BB337" si="1939">$AZ274-BC274</f>
        <v>0</v>
      </c>
      <c r="BC274" s="660">
        <f t="shared" ref="BC274" si="1940">$AZ274*c_Residual.Share_GP</f>
        <v>0</v>
      </c>
      <c r="BD274" s="651"/>
      <c r="BE274" s="660">
        <f t="shared" si="1726"/>
        <v>0</v>
      </c>
      <c r="BF274" s="660">
        <f t="shared" si="1726"/>
        <v>0</v>
      </c>
      <c r="BG274" s="660">
        <f t="shared" si="1701"/>
        <v>0</v>
      </c>
      <c r="BI274" s="660">
        <v>0</v>
      </c>
      <c r="BJ274" s="660">
        <v>0</v>
      </c>
      <c r="BK274" s="660">
        <v>0</v>
      </c>
      <c r="BL274" s="660">
        <f t="shared" si="1727"/>
        <v>0</v>
      </c>
      <c r="BM274" s="660">
        <f t="shared" si="1727"/>
        <v>0</v>
      </c>
      <c r="BN274" s="660">
        <f t="shared" si="1728"/>
        <v>0</v>
      </c>
      <c r="BO274" s="660">
        <f t="shared" si="1728"/>
        <v>0</v>
      </c>
      <c r="BP274" s="660">
        <f t="shared" si="1729"/>
        <v>0</v>
      </c>
      <c r="BQ274" s="660">
        <f t="shared" si="1729"/>
        <v>0</v>
      </c>
      <c r="BR274" s="660">
        <v>0</v>
      </c>
      <c r="BS274" s="660">
        <v>0</v>
      </c>
      <c r="BT274" s="660">
        <f t="shared" si="1702"/>
        <v>0</v>
      </c>
      <c r="BU274" s="660">
        <f t="shared" si="1702"/>
        <v>0</v>
      </c>
      <c r="BX274" s="660">
        <v>0</v>
      </c>
      <c r="BY274" s="660">
        <f t="shared" si="1730"/>
        <v>0</v>
      </c>
      <c r="BZ274" s="660">
        <f t="shared" si="1703"/>
        <v>0</v>
      </c>
      <c r="CA274" s="660">
        <f t="shared" si="1704"/>
        <v>0</v>
      </c>
      <c r="CB274" s="660">
        <f t="shared" si="1705"/>
        <v>0</v>
      </c>
      <c r="CC274" s="660">
        <f t="shared" si="1706"/>
        <v>0</v>
      </c>
      <c r="CD274" s="660">
        <f t="shared" si="1731"/>
        <v>0</v>
      </c>
    </row>
    <row r="275" spans="4:82" ht="16" hidden="1" thickTop="1" thickBot="1">
      <c r="D275" s="653"/>
      <c r="E275" s="654"/>
      <c r="F275" s="655" t="str">
        <f t="shared" si="1707"/>
        <v/>
      </c>
      <c r="G275" s="656"/>
      <c r="I275" s="658">
        <f t="shared" si="1708"/>
        <v>0</v>
      </c>
      <c r="J275" s="658">
        <f t="shared" ref="J275" si="1941">IF($G275=0,0,-MIN(0,G275*c_EquityShare.LP))</f>
        <v>0</v>
      </c>
      <c r="K275" s="658">
        <f t="shared" ref="K275" si="1942">I275*c_Rate.Pref_MO</f>
        <v>0</v>
      </c>
      <c r="L275" s="658">
        <f t="shared" si="1684"/>
        <v>0</v>
      </c>
      <c r="M275" s="658">
        <f t="shared" si="1711"/>
        <v>0</v>
      </c>
      <c r="N275" s="658">
        <f t="shared" si="1734"/>
        <v>0</v>
      </c>
      <c r="O275" s="658" cm="1">
        <f t="array" ref="O275">IF(I275=0,0,IF(G275&lt;0,N275/c_EquityShare.LP*i_EquityShare.GP,L275/c_EquityShare.LP*i_EquityShare.GP))</f>
        <v>0</v>
      </c>
      <c r="P275" s="658">
        <f t="shared" si="1712"/>
        <v>0</v>
      </c>
      <c r="Q275" s="658">
        <f t="shared" si="1685"/>
        <v>0</v>
      </c>
      <c r="R275" s="521"/>
      <c r="S275" s="660">
        <f t="shared" si="1713"/>
        <v>0</v>
      </c>
      <c r="T275" s="663" cm="1">
        <f t="array" ref="T275">IF($G275=0,0,-MIN(0,$G275*c_EquityShare.LP))</f>
        <v>0</v>
      </c>
      <c r="U275" s="663" cm="1">
        <f t="array" ref="U275">IF($D275=0,0,S275*c_Rate.Hurdle1.MO)</f>
        <v>0</v>
      </c>
      <c r="V275" s="660">
        <f t="shared" si="1735"/>
        <v>0</v>
      </c>
      <c r="W275" s="660">
        <f t="shared" si="1714"/>
        <v>0</v>
      </c>
      <c r="X275" s="663">
        <f t="shared" si="1736"/>
        <v>0</v>
      </c>
      <c r="Y275" s="663">
        <f t="shared" si="1715"/>
        <v>0</v>
      </c>
      <c r="Z275" s="663">
        <f t="shared" ref="Z275" si="1943">IF(S275=0,0,O275+W275/$J$17*c_Hurdle1.Share_GP)</f>
        <v>0</v>
      </c>
      <c r="AA275" s="663">
        <f t="shared" si="1687"/>
        <v>0</v>
      </c>
      <c r="AB275" s="660">
        <f t="shared" si="1738"/>
        <v>0</v>
      </c>
      <c r="AC275" s="521"/>
      <c r="AD275" s="663">
        <f t="shared" si="1877"/>
        <v>0</v>
      </c>
      <c r="AE275" s="663">
        <f t="shared" ref="AE275" si="1944">IF($G275=0,0,-MIN(0,$G275*c_EquityShare.LP))</f>
        <v>0</v>
      </c>
      <c r="AF275" s="663" cm="1">
        <f t="array" ref="AF275">IF($D275=0,0,AD275*(c_Rate.Hurdle2.MO))</f>
        <v>0</v>
      </c>
      <c r="AG275" s="663">
        <f t="shared" si="1689"/>
        <v>0</v>
      </c>
      <c r="AH275" s="663">
        <f t="shared" si="1718"/>
        <v>0</v>
      </c>
      <c r="AI275" s="663">
        <f t="shared" si="1690"/>
        <v>0</v>
      </c>
      <c r="AJ275" s="664">
        <f t="shared" si="1691"/>
        <v>0</v>
      </c>
      <c r="AK275" s="660">
        <f t="shared" si="1692"/>
        <v>0</v>
      </c>
      <c r="AL275" s="663">
        <f t="shared" ref="AL275" si="1945">IF(AD275=0,0,Z275+AH275/$J$18*c_Hurdle2.Share_GP)</f>
        <v>0</v>
      </c>
      <c r="AM275" s="663">
        <f t="shared" si="1694"/>
        <v>0</v>
      </c>
      <c r="AN275" s="660">
        <f t="shared" si="1741"/>
        <v>0</v>
      </c>
      <c r="AO275" s="521"/>
      <c r="AP275" s="663">
        <f t="shared" si="1880"/>
        <v>0</v>
      </c>
      <c r="AQ275" s="663">
        <f t="shared" ref="AQ275" si="1946">IF($G275=0,0,-MIN(0,$G275*c_EquityShare.LP))</f>
        <v>0</v>
      </c>
      <c r="AR275" s="663" cm="1">
        <f t="array" ref="AR275">IF($D275=0,0,AP275*(c_Rate.Hurdle3.MO))</f>
        <v>0</v>
      </c>
      <c r="AS275" s="663">
        <f t="shared" si="1696"/>
        <v>0</v>
      </c>
      <c r="AT275" s="663">
        <f t="shared" si="1721"/>
        <v>0</v>
      </c>
      <c r="AU275" s="663">
        <f t="shared" si="1697"/>
        <v>0</v>
      </c>
      <c r="AV275" s="664">
        <f t="shared" si="1698"/>
        <v>0</v>
      </c>
      <c r="AW275" s="660">
        <f t="shared" si="1722"/>
        <v>0</v>
      </c>
      <c r="AX275" s="663">
        <f t="shared" ref="AX275" si="1947">IF(AP275=0,0,AL275+AT275/$J$19*c_Hurdle3.Share_GP)</f>
        <v>0</v>
      </c>
      <c r="AY275" s="663">
        <f t="shared" si="1724"/>
        <v>0</v>
      </c>
      <c r="AZ275" s="660">
        <f t="shared" si="1744"/>
        <v>0</v>
      </c>
      <c r="BA275" s="521"/>
      <c r="BB275" s="660">
        <f t="shared" si="1939"/>
        <v>0</v>
      </c>
      <c r="BC275" s="660">
        <f t="shared" ref="BC275" si="1948">$AZ275*c_Residual.Share_GP</f>
        <v>0</v>
      </c>
      <c r="BD275" s="651"/>
      <c r="BE275" s="660">
        <f t="shared" si="1726"/>
        <v>0</v>
      </c>
      <c r="BF275" s="660">
        <f t="shared" si="1726"/>
        <v>0</v>
      </c>
      <c r="BG275" s="660">
        <f t="shared" si="1701"/>
        <v>0</v>
      </c>
      <c r="BI275" s="660">
        <v>0</v>
      </c>
      <c r="BJ275" s="660">
        <v>0</v>
      </c>
      <c r="BK275" s="660">
        <v>0</v>
      </c>
      <c r="BL275" s="660">
        <f t="shared" si="1727"/>
        <v>0</v>
      </c>
      <c r="BM275" s="660">
        <f t="shared" si="1727"/>
        <v>0</v>
      </c>
      <c r="BN275" s="660">
        <f t="shared" si="1728"/>
        <v>0</v>
      </c>
      <c r="BO275" s="660">
        <f t="shared" si="1728"/>
        <v>0</v>
      </c>
      <c r="BP275" s="660">
        <f t="shared" si="1729"/>
        <v>0</v>
      </c>
      <c r="BQ275" s="660">
        <f t="shared" si="1729"/>
        <v>0</v>
      </c>
      <c r="BR275" s="660">
        <v>0</v>
      </c>
      <c r="BS275" s="660">
        <v>0</v>
      </c>
      <c r="BT275" s="660">
        <f t="shared" si="1702"/>
        <v>0</v>
      </c>
      <c r="BU275" s="660">
        <f t="shared" si="1702"/>
        <v>0</v>
      </c>
      <c r="BX275" s="660">
        <v>0</v>
      </c>
      <c r="BY275" s="660">
        <f t="shared" si="1730"/>
        <v>0</v>
      </c>
      <c r="BZ275" s="660">
        <f t="shared" si="1703"/>
        <v>0</v>
      </c>
      <c r="CA275" s="660">
        <f t="shared" si="1704"/>
        <v>0</v>
      </c>
      <c r="CB275" s="660">
        <f t="shared" si="1705"/>
        <v>0</v>
      </c>
      <c r="CC275" s="660">
        <f t="shared" si="1706"/>
        <v>0</v>
      </c>
      <c r="CD275" s="660">
        <f t="shared" si="1731"/>
        <v>0</v>
      </c>
    </row>
    <row r="276" spans="4:82" ht="16" hidden="1" thickTop="1" thickBot="1">
      <c r="D276" s="653"/>
      <c r="E276" s="654"/>
      <c r="F276" s="655" t="str">
        <f t="shared" si="1707"/>
        <v/>
      </c>
      <c r="G276" s="656"/>
      <c r="I276" s="658">
        <f t="shared" si="1708"/>
        <v>0</v>
      </c>
      <c r="J276" s="658">
        <f t="shared" ref="J276" si="1949">IF($G276=0,0,-MIN(0,G276*c_EquityShare.LP))</f>
        <v>0</v>
      </c>
      <c r="K276" s="658">
        <f t="shared" ref="K276" si="1950">I276*c_Rate.Pref_MO</f>
        <v>0</v>
      </c>
      <c r="L276" s="658">
        <f t="shared" si="1684"/>
        <v>0</v>
      </c>
      <c r="M276" s="658">
        <f t="shared" si="1711"/>
        <v>0</v>
      </c>
      <c r="N276" s="658">
        <f t="shared" si="1734"/>
        <v>0</v>
      </c>
      <c r="O276" s="658" cm="1">
        <f t="array" ref="O276">IF(I276=0,0,IF(G276&lt;0,N276/c_EquityShare.LP*i_EquityShare.GP,L276/c_EquityShare.LP*i_EquityShare.GP))</f>
        <v>0</v>
      </c>
      <c r="P276" s="658">
        <f t="shared" si="1712"/>
        <v>0</v>
      </c>
      <c r="Q276" s="658">
        <f t="shared" si="1685"/>
        <v>0</v>
      </c>
      <c r="R276" s="521"/>
      <c r="S276" s="660">
        <f t="shared" si="1713"/>
        <v>0</v>
      </c>
      <c r="T276" s="663" cm="1">
        <f t="array" ref="T276">IF($G276=0,0,-MIN(0,$G276*c_EquityShare.LP))</f>
        <v>0</v>
      </c>
      <c r="U276" s="663" cm="1">
        <f t="array" ref="U276">IF($D276=0,0,S276*c_Rate.Hurdle1.MO)</f>
        <v>0</v>
      </c>
      <c r="V276" s="660">
        <f t="shared" si="1735"/>
        <v>0</v>
      </c>
      <c r="W276" s="660">
        <f t="shared" si="1714"/>
        <v>0</v>
      </c>
      <c r="X276" s="663">
        <f t="shared" si="1736"/>
        <v>0</v>
      </c>
      <c r="Y276" s="663">
        <f t="shared" si="1715"/>
        <v>0</v>
      </c>
      <c r="Z276" s="663">
        <f t="shared" ref="Z276" si="1951">IF(S276=0,0,O276+W276/$J$17*c_Hurdle1.Share_GP)</f>
        <v>0</v>
      </c>
      <c r="AA276" s="663">
        <f t="shared" si="1687"/>
        <v>0</v>
      </c>
      <c r="AB276" s="660">
        <f t="shared" si="1738"/>
        <v>0</v>
      </c>
      <c r="AC276" s="521"/>
      <c r="AD276" s="663">
        <f t="shared" si="1877"/>
        <v>0</v>
      </c>
      <c r="AE276" s="663">
        <f t="shared" ref="AE276" si="1952">IF($G276=0,0,-MIN(0,$G276*c_EquityShare.LP))</f>
        <v>0</v>
      </c>
      <c r="AF276" s="663" cm="1">
        <f t="array" ref="AF276">IF($D276=0,0,AD276*(c_Rate.Hurdle2.MO))</f>
        <v>0</v>
      </c>
      <c r="AG276" s="663">
        <f t="shared" si="1689"/>
        <v>0</v>
      </c>
      <c r="AH276" s="663">
        <f t="shared" si="1718"/>
        <v>0</v>
      </c>
      <c r="AI276" s="663">
        <f t="shared" si="1690"/>
        <v>0</v>
      </c>
      <c r="AJ276" s="664">
        <f t="shared" si="1691"/>
        <v>0</v>
      </c>
      <c r="AK276" s="660">
        <f t="shared" si="1692"/>
        <v>0</v>
      </c>
      <c r="AL276" s="663">
        <f t="shared" ref="AL276" si="1953">IF(AD276=0,0,Z276+AH276/$J$18*c_Hurdle2.Share_GP)</f>
        <v>0</v>
      </c>
      <c r="AM276" s="663">
        <f t="shared" si="1694"/>
        <v>0</v>
      </c>
      <c r="AN276" s="660">
        <f t="shared" si="1741"/>
        <v>0</v>
      </c>
      <c r="AO276" s="521"/>
      <c r="AP276" s="663">
        <f t="shared" si="1880"/>
        <v>0</v>
      </c>
      <c r="AQ276" s="663">
        <f t="shared" ref="AQ276" si="1954">IF($G276=0,0,-MIN(0,$G276*c_EquityShare.LP))</f>
        <v>0</v>
      </c>
      <c r="AR276" s="663" cm="1">
        <f t="array" ref="AR276">IF($D276=0,0,AP276*(c_Rate.Hurdle3.MO))</f>
        <v>0</v>
      </c>
      <c r="AS276" s="663">
        <f t="shared" si="1696"/>
        <v>0</v>
      </c>
      <c r="AT276" s="663">
        <f t="shared" si="1721"/>
        <v>0</v>
      </c>
      <c r="AU276" s="663">
        <f t="shared" si="1697"/>
        <v>0</v>
      </c>
      <c r="AV276" s="664">
        <f t="shared" si="1698"/>
        <v>0</v>
      </c>
      <c r="AW276" s="660">
        <f t="shared" si="1722"/>
        <v>0</v>
      </c>
      <c r="AX276" s="663">
        <f t="shared" ref="AX276" si="1955">IF(AP276=0,0,AL276+AT276/$J$19*c_Hurdle3.Share_GP)</f>
        <v>0</v>
      </c>
      <c r="AY276" s="663">
        <f t="shared" si="1724"/>
        <v>0</v>
      </c>
      <c r="AZ276" s="660">
        <f t="shared" si="1744"/>
        <v>0</v>
      </c>
      <c r="BA276" s="521"/>
      <c r="BB276" s="660">
        <f t="shared" si="1939"/>
        <v>0</v>
      </c>
      <c r="BC276" s="660">
        <f t="shared" ref="BC276" si="1956">$AZ276*c_Residual.Share_GP</f>
        <v>0</v>
      </c>
      <c r="BD276" s="651"/>
      <c r="BE276" s="660">
        <f t="shared" si="1726"/>
        <v>0</v>
      </c>
      <c r="BF276" s="660">
        <f t="shared" si="1726"/>
        <v>0</v>
      </c>
      <c r="BG276" s="660">
        <f t="shared" si="1701"/>
        <v>0</v>
      </c>
      <c r="BI276" s="660">
        <v>0</v>
      </c>
      <c r="BJ276" s="660">
        <v>0</v>
      </c>
      <c r="BK276" s="660">
        <v>0</v>
      </c>
      <c r="BL276" s="660">
        <f t="shared" si="1727"/>
        <v>0</v>
      </c>
      <c r="BM276" s="660">
        <f t="shared" si="1727"/>
        <v>0</v>
      </c>
      <c r="BN276" s="660">
        <f t="shared" si="1728"/>
        <v>0</v>
      </c>
      <c r="BO276" s="660">
        <f t="shared" si="1728"/>
        <v>0</v>
      </c>
      <c r="BP276" s="660">
        <f t="shared" si="1729"/>
        <v>0</v>
      </c>
      <c r="BQ276" s="660">
        <f t="shared" si="1729"/>
        <v>0</v>
      </c>
      <c r="BR276" s="660">
        <v>0</v>
      </c>
      <c r="BS276" s="660">
        <v>0</v>
      </c>
      <c r="BT276" s="660">
        <f t="shared" si="1702"/>
        <v>0</v>
      </c>
      <c r="BU276" s="660">
        <f t="shared" si="1702"/>
        <v>0</v>
      </c>
      <c r="BX276" s="660">
        <v>0</v>
      </c>
      <c r="BY276" s="660">
        <f t="shared" si="1730"/>
        <v>0</v>
      </c>
      <c r="BZ276" s="660">
        <f t="shared" si="1703"/>
        <v>0</v>
      </c>
      <c r="CA276" s="660">
        <f t="shared" si="1704"/>
        <v>0</v>
      </c>
      <c r="CB276" s="660">
        <f t="shared" si="1705"/>
        <v>0</v>
      </c>
      <c r="CC276" s="660">
        <f t="shared" si="1706"/>
        <v>0</v>
      </c>
      <c r="CD276" s="660">
        <f t="shared" si="1731"/>
        <v>0</v>
      </c>
    </row>
    <row r="277" spans="4:82" ht="16" hidden="1" thickTop="1" thickBot="1">
      <c r="D277" s="653"/>
      <c r="E277" s="654"/>
      <c r="F277" s="655" t="str">
        <f t="shared" si="1707"/>
        <v/>
      </c>
      <c r="G277" s="656"/>
      <c r="I277" s="658">
        <f t="shared" si="1708"/>
        <v>0</v>
      </c>
      <c r="J277" s="658">
        <f t="shared" ref="J277" si="1957">IF($G277=0,0,-MIN(0,G277*c_EquityShare.LP))</f>
        <v>0</v>
      </c>
      <c r="K277" s="658">
        <f t="shared" ref="K277" si="1958">I277*c_Rate.Pref_MO</f>
        <v>0</v>
      </c>
      <c r="L277" s="658">
        <f t="shared" si="1684"/>
        <v>0</v>
      </c>
      <c r="M277" s="658">
        <f t="shared" si="1711"/>
        <v>0</v>
      </c>
      <c r="N277" s="658">
        <f t="shared" si="1734"/>
        <v>0</v>
      </c>
      <c r="O277" s="658" cm="1">
        <f t="array" ref="O277">IF(I277=0,0,IF(G277&lt;0,N277/c_EquityShare.LP*i_EquityShare.GP,L277/c_EquityShare.LP*i_EquityShare.GP))</f>
        <v>0</v>
      </c>
      <c r="P277" s="658">
        <f t="shared" si="1712"/>
        <v>0</v>
      </c>
      <c r="Q277" s="658">
        <f t="shared" si="1685"/>
        <v>0</v>
      </c>
      <c r="R277" s="521"/>
      <c r="S277" s="660">
        <f t="shared" si="1713"/>
        <v>0</v>
      </c>
      <c r="T277" s="663" cm="1">
        <f t="array" ref="T277">IF($G277=0,0,-MIN(0,$G277*c_EquityShare.LP))</f>
        <v>0</v>
      </c>
      <c r="U277" s="663" cm="1">
        <f t="array" ref="U277">IF($D277=0,0,S277*c_Rate.Hurdle1.MO)</f>
        <v>0</v>
      </c>
      <c r="V277" s="660">
        <f t="shared" si="1735"/>
        <v>0</v>
      </c>
      <c r="W277" s="660">
        <f t="shared" si="1714"/>
        <v>0</v>
      </c>
      <c r="X277" s="663">
        <f t="shared" si="1736"/>
        <v>0</v>
      </c>
      <c r="Y277" s="663">
        <f t="shared" si="1715"/>
        <v>0</v>
      </c>
      <c r="Z277" s="663">
        <f t="shared" ref="Z277" si="1959">IF(S277=0,0,O277+W277/$J$17*c_Hurdle1.Share_GP)</f>
        <v>0</v>
      </c>
      <c r="AA277" s="663">
        <f t="shared" si="1687"/>
        <v>0</v>
      </c>
      <c r="AB277" s="660">
        <f t="shared" si="1738"/>
        <v>0</v>
      </c>
      <c r="AC277" s="521"/>
      <c r="AD277" s="663">
        <f t="shared" si="1877"/>
        <v>0</v>
      </c>
      <c r="AE277" s="663">
        <f t="shared" ref="AE277" si="1960">IF($G277=0,0,-MIN(0,$G277*c_EquityShare.LP))</f>
        <v>0</v>
      </c>
      <c r="AF277" s="663" cm="1">
        <f t="array" ref="AF277">IF($D277=0,0,AD277*(c_Rate.Hurdle2.MO))</f>
        <v>0</v>
      </c>
      <c r="AG277" s="663">
        <f t="shared" si="1689"/>
        <v>0</v>
      </c>
      <c r="AH277" s="663">
        <f t="shared" si="1718"/>
        <v>0</v>
      </c>
      <c r="AI277" s="663">
        <f t="shared" si="1690"/>
        <v>0</v>
      </c>
      <c r="AJ277" s="664">
        <f t="shared" si="1691"/>
        <v>0</v>
      </c>
      <c r="AK277" s="660">
        <f t="shared" si="1692"/>
        <v>0</v>
      </c>
      <c r="AL277" s="663">
        <f t="shared" ref="AL277" si="1961">IF(AD277=0,0,Z277+AH277/$J$18*c_Hurdle2.Share_GP)</f>
        <v>0</v>
      </c>
      <c r="AM277" s="663">
        <f t="shared" si="1694"/>
        <v>0</v>
      </c>
      <c r="AN277" s="660">
        <f t="shared" si="1741"/>
        <v>0</v>
      </c>
      <c r="AO277" s="521"/>
      <c r="AP277" s="663">
        <f t="shared" si="1880"/>
        <v>0</v>
      </c>
      <c r="AQ277" s="663">
        <f t="shared" ref="AQ277" si="1962">IF($G277=0,0,-MIN(0,$G277*c_EquityShare.LP))</f>
        <v>0</v>
      </c>
      <c r="AR277" s="663" cm="1">
        <f t="array" ref="AR277">IF($D277=0,0,AP277*(c_Rate.Hurdle3.MO))</f>
        <v>0</v>
      </c>
      <c r="AS277" s="663">
        <f t="shared" si="1696"/>
        <v>0</v>
      </c>
      <c r="AT277" s="663">
        <f t="shared" si="1721"/>
        <v>0</v>
      </c>
      <c r="AU277" s="663">
        <f t="shared" si="1697"/>
        <v>0</v>
      </c>
      <c r="AV277" s="664">
        <f t="shared" si="1698"/>
        <v>0</v>
      </c>
      <c r="AW277" s="660">
        <f t="shared" si="1722"/>
        <v>0</v>
      </c>
      <c r="AX277" s="663">
        <f t="shared" ref="AX277" si="1963">IF(AP277=0,0,AL277+AT277/$J$19*c_Hurdle3.Share_GP)</f>
        <v>0</v>
      </c>
      <c r="AY277" s="663">
        <f t="shared" si="1724"/>
        <v>0</v>
      </c>
      <c r="AZ277" s="660">
        <f t="shared" si="1744"/>
        <v>0</v>
      </c>
      <c r="BA277" s="521"/>
      <c r="BB277" s="660">
        <f t="shared" si="1939"/>
        <v>0</v>
      </c>
      <c r="BC277" s="660">
        <f t="shared" ref="BC277" si="1964">$AZ277*c_Residual.Share_GP</f>
        <v>0</v>
      </c>
      <c r="BD277" s="651"/>
      <c r="BE277" s="660">
        <f t="shared" si="1726"/>
        <v>0</v>
      </c>
      <c r="BF277" s="660">
        <f t="shared" si="1726"/>
        <v>0</v>
      </c>
      <c r="BG277" s="660">
        <f t="shared" si="1701"/>
        <v>0</v>
      </c>
      <c r="BI277" s="660">
        <v>0</v>
      </c>
      <c r="BJ277" s="660">
        <v>0</v>
      </c>
      <c r="BK277" s="660">
        <v>0</v>
      </c>
      <c r="BL277" s="660">
        <f t="shared" si="1727"/>
        <v>0</v>
      </c>
      <c r="BM277" s="660">
        <f t="shared" si="1727"/>
        <v>0</v>
      </c>
      <c r="BN277" s="660">
        <f t="shared" si="1728"/>
        <v>0</v>
      </c>
      <c r="BO277" s="660">
        <f t="shared" si="1728"/>
        <v>0</v>
      </c>
      <c r="BP277" s="660">
        <f t="shared" si="1729"/>
        <v>0</v>
      </c>
      <c r="BQ277" s="660">
        <f t="shared" si="1729"/>
        <v>0</v>
      </c>
      <c r="BR277" s="660">
        <v>0</v>
      </c>
      <c r="BS277" s="660">
        <v>0</v>
      </c>
      <c r="BT277" s="660">
        <f t="shared" si="1702"/>
        <v>0</v>
      </c>
      <c r="BU277" s="660">
        <f t="shared" si="1702"/>
        <v>0</v>
      </c>
      <c r="BX277" s="660">
        <v>0</v>
      </c>
      <c r="BY277" s="660">
        <f t="shared" si="1730"/>
        <v>0</v>
      </c>
      <c r="BZ277" s="660">
        <f t="shared" si="1703"/>
        <v>0</v>
      </c>
      <c r="CA277" s="660">
        <f t="shared" si="1704"/>
        <v>0</v>
      </c>
      <c r="CB277" s="660">
        <f t="shared" si="1705"/>
        <v>0</v>
      </c>
      <c r="CC277" s="660">
        <f t="shared" si="1706"/>
        <v>0</v>
      </c>
      <c r="CD277" s="660">
        <f t="shared" si="1731"/>
        <v>0</v>
      </c>
    </row>
    <row r="278" spans="4:82" ht="16" hidden="1" thickTop="1" thickBot="1">
      <c r="D278" s="653"/>
      <c r="E278" s="654"/>
      <c r="F278" s="655" t="str">
        <f t="shared" si="1707"/>
        <v/>
      </c>
      <c r="G278" s="656"/>
      <c r="I278" s="658">
        <f t="shared" si="1708"/>
        <v>0</v>
      </c>
      <c r="J278" s="658">
        <f t="shared" ref="J278" si="1965">IF($G278=0,0,-MIN(0,G278*c_EquityShare.LP))</f>
        <v>0</v>
      </c>
      <c r="K278" s="658">
        <f t="shared" ref="K278" si="1966">I278*c_Rate.Pref_MO</f>
        <v>0</v>
      </c>
      <c r="L278" s="658">
        <f t="shared" si="1684"/>
        <v>0</v>
      </c>
      <c r="M278" s="658">
        <f t="shared" si="1711"/>
        <v>0</v>
      </c>
      <c r="N278" s="658">
        <f t="shared" si="1734"/>
        <v>0</v>
      </c>
      <c r="O278" s="658" cm="1">
        <f t="array" ref="O278">IF(I278=0,0,IF(G278&lt;0,N278/c_EquityShare.LP*i_EquityShare.GP,L278/c_EquityShare.LP*i_EquityShare.GP))</f>
        <v>0</v>
      </c>
      <c r="P278" s="658">
        <f t="shared" si="1712"/>
        <v>0</v>
      </c>
      <c r="Q278" s="658">
        <f t="shared" si="1685"/>
        <v>0</v>
      </c>
      <c r="R278" s="521"/>
      <c r="S278" s="660">
        <f t="shared" si="1713"/>
        <v>0</v>
      </c>
      <c r="T278" s="663" cm="1">
        <f t="array" ref="T278">IF($G278=0,0,-MIN(0,$G278*c_EquityShare.LP))</f>
        <v>0</v>
      </c>
      <c r="U278" s="663" cm="1">
        <f t="array" ref="U278">IF($D278=0,0,S278*c_Rate.Hurdle1.MO)</f>
        <v>0</v>
      </c>
      <c r="V278" s="660">
        <f t="shared" si="1735"/>
        <v>0</v>
      </c>
      <c r="W278" s="660">
        <f t="shared" si="1714"/>
        <v>0</v>
      </c>
      <c r="X278" s="663">
        <f t="shared" si="1736"/>
        <v>0</v>
      </c>
      <c r="Y278" s="663">
        <f t="shared" si="1715"/>
        <v>0</v>
      </c>
      <c r="Z278" s="663">
        <f t="shared" ref="Z278" si="1967">IF(S278=0,0,O278+W278/$J$17*c_Hurdle1.Share_GP)</f>
        <v>0</v>
      </c>
      <c r="AA278" s="663">
        <f t="shared" si="1687"/>
        <v>0</v>
      </c>
      <c r="AB278" s="660">
        <f t="shared" si="1738"/>
        <v>0</v>
      </c>
      <c r="AC278" s="521"/>
      <c r="AD278" s="663">
        <f t="shared" si="1877"/>
        <v>0</v>
      </c>
      <c r="AE278" s="663">
        <f t="shared" ref="AE278" si="1968">IF($G278=0,0,-MIN(0,$G278*c_EquityShare.LP))</f>
        <v>0</v>
      </c>
      <c r="AF278" s="663" cm="1">
        <f t="array" ref="AF278">IF($D278=0,0,AD278*(c_Rate.Hurdle2.MO))</f>
        <v>0</v>
      </c>
      <c r="AG278" s="663">
        <f t="shared" si="1689"/>
        <v>0</v>
      </c>
      <c r="AH278" s="663">
        <f t="shared" si="1718"/>
        <v>0</v>
      </c>
      <c r="AI278" s="663">
        <f t="shared" si="1690"/>
        <v>0</v>
      </c>
      <c r="AJ278" s="664">
        <f t="shared" si="1691"/>
        <v>0</v>
      </c>
      <c r="AK278" s="660">
        <f t="shared" si="1692"/>
        <v>0</v>
      </c>
      <c r="AL278" s="663">
        <f t="shared" ref="AL278" si="1969">IF(AD278=0,0,Z278+AH278/$J$18*c_Hurdle2.Share_GP)</f>
        <v>0</v>
      </c>
      <c r="AM278" s="663">
        <f t="shared" si="1694"/>
        <v>0</v>
      </c>
      <c r="AN278" s="660">
        <f t="shared" si="1741"/>
        <v>0</v>
      </c>
      <c r="AO278" s="521"/>
      <c r="AP278" s="663">
        <f t="shared" si="1880"/>
        <v>0</v>
      </c>
      <c r="AQ278" s="663">
        <f t="shared" ref="AQ278" si="1970">IF($G278=0,0,-MIN(0,$G278*c_EquityShare.LP))</f>
        <v>0</v>
      </c>
      <c r="AR278" s="663" cm="1">
        <f t="array" ref="AR278">IF($D278=0,0,AP278*(c_Rate.Hurdle3.MO))</f>
        <v>0</v>
      </c>
      <c r="AS278" s="663">
        <f t="shared" si="1696"/>
        <v>0</v>
      </c>
      <c r="AT278" s="663">
        <f t="shared" si="1721"/>
        <v>0</v>
      </c>
      <c r="AU278" s="663">
        <f t="shared" si="1697"/>
        <v>0</v>
      </c>
      <c r="AV278" s="664">
        <f t="shared" si="1698"/>
        <v>0</v>
      </c>
      <c r="AW278" s="660">
        <f t="shared" si="1722"/>
        <v>0</v>
      </c>
      <c r="AX278" s="663">
        <f t="shared" ref="AX278" si="1971">IF(AP278=0,0,AL278+AT278/$J$19*c_Hurdle3.Share_GP)</f>
        <v>0</v>
      </c>
      <c r="AY278" s="663">
        <f t="shared" si="1724"/>
        <v>0</v>
      </c>
      <c r="AZ278" s="660">
        <f t="shared" si="1744"/>
        <v>0</v>
      </c>
      <c r="BA278" s="521"/>
      <c r="BB278" s="660">
        <f t="shared" si="1939"/>
        <v>0</v>
      </c>
      <c r="BC278" s="660">
        <f t="shared" ref="BC278" si="1972">$AZ278*c_Residual.Share_GP</f>
        <v>0</v>
      </c>
      <c r="BD278" s="651"/>
      <c r="BE278" s="660">
        <f t="shared" si="1726"/>
        <v>0</v>
      </c>
      <c r="BF278" s="660">
        <f t="shared" si="1726"/>
        <v>0</v>
      </c>
      <c r="BG278" s="660">
        <f t="shared" si="1701"/>
        <v>0</v>
      </c>
      <c r="BI278" s="660">
        <v>0</v>
      </c>
      <c r="BJ278" s="660">
        <v>0</v>
      </c>
      <c r="BK278" s="660">
        <v>0</v>
      </c>
      <c r="BL278" s="660">
        <f t="shared" si="1727"/>
        <v>0</v>
      </c>
      <c r="BM278" s="660">
        <f t="shared" si="1727"/>
        <v>0</v>
      </c>
      <c r="BN278" s="660">
        <f t="shared" si="1728"/>
        <v>0</v>
      </c>
      <c r="BO278" s="660">
        <f t="shared" si="1728"/>
        <v>0</v>
      </c>
      <c r="BP278" s="660">
        <f t="shared" si="1729"/>
        <v>0</v>
      </c>
      <c r="BQ278" s="660">
        <f t="shared" si="1729"/>
        <v>0</v>
      </c>
      <c r="BR278" s="660">
        <v>0</v>
      </c>
      <c r="BS278" s="660">
        <v>0</v>
      </c>
      <c r="BT278" s="660">
        <f t="shared" si="1702"/>
        <v>0</v>
      </c>
      <c r="BU278" s="660">
        <f t="shared" si="1702"/>
        <v>0</v>
      </c>
      <c r="BX278" s="660">
        <v>0</v>
      </c>
      <c r="BY278" s="660">
        <f t="shared" si="1730"/>
        <v>0</v>
      </c>
      <c r="BZ278" s="660">
        <f t="shared" si="1703"/>
        <v>0</v>
      </c>
      <c r="CA278" s="660">
        <f t="shared" si="1704"/>
        <v>0</v>
      </c>
      <c r="CB278" s="660">
        <f t="shared" si="1705"/>
        <v>0</v>
      </c>
      <c r="CC278" s="660">
        <f t="shared" si="1706"/>
        <v>0</v>
      </c>
      <c r="CD278" s="660">
        <f t="shared" si="1731"/>
        <v>0</v>
      </c>
    </row>
    <row r="279" spans="4:82" ht="16" hidden="1" thickTop="1" thickBot="1">
      <c r="D279" s="653"/>
      <c r="E279" s="654"/>
      <c r="F279" s="655" t="str">
        <f t="shared" si="1707"/>
        <v/>
      </c>
      <c r="G279" s="656"/>
      <c r="I279" s="658">
        <f t="shared" si="1708"/>
        <v>0</v>
      </c>
      <c r="J279" s="658">
        <f t="shared" ref="J279" si="1973">IF($G279=0,0,-MIN(0,G279*c_EquityShare.LP))</f>
        <v>0</v>
      </c>
      <c r="K279" s="658">
        <f t="shared" ref="K279" si="1974">I279*c_Rate.Pref_MO</f>
        <v>0</v>
      </c>
      <c r="L279" s="658">
        <f t="shared" si="1684"/>
        <v>0</v>
      </c>
      <c r="M279" s="658">
        <f t="shared" si="1711"/>
        <v>0</v>
      </c>
      <c r="N279" s="658">
        <f t="shared" si="1734"/>
        <v>0</v>
      </c>
      <c r="O279" s="658" cm="1">
        <f t="array" ref="O279">IF(I279=0,0,IF(G279&lt;0,N279/c_EquityShare.LP*i_EquityShare.GP,L279/c_EquityShare.LP*i_EquityShare.GP))</f>
        <v>0</v>
      </c>
      <c r="P279" s="658">
        <f t="shared" si="1712"/>
        <v>0</v>
      </c>
      <c r="Q279" s="658">
        <f t="shared" si="1685"/>
        <v>0</v>
      </c>
      <c r="R279" s="521"/>
      <c r="S279" s="660">
        <f t="shared" si="1713"/>
        <v>0</v>
      </c>
      <c r="T279" s="663" cm="1">
        <f t="array" ref="T279">IF($G279=0,0,-MIN(0,$G279*c_EquityShare.LP))</f>
        <v>0</v>
      </c>
      <c r="U279" s="663" cm="1">
        <f t="array" ref="U279">IF($D279=0,0,S279*c_Rate.Hurdle1.MO)</f>
        <v>0</v>
      </c>
      <c r="V279" s="660">
        <f t="shared" si="1735"/>
        <v>0</v>
      </c>
      <c r="W279" s="660">
        <f t="shared" si="1714"/>
        <v>0</v>
      </c>
      <c r="X279" s="663">
        <f t="shared" si="1736"/>
        <v>0</v>
      </c>
      <c r="Y279" s="663">
        <f t="shared" si="1715"/>
        <v>0</v>
      </c>
      <c r="Z279" s="663">
        <f t="shared" ref="Z279" si="1975">IF(S279=0,0,O279+W279/$J$17*c_Hurdle1.Share_GP)</f>
        <v>0</v>
      </c>
      <c r="AA279" s="663">
        <f t="shared" si="1687"/>
        <v>0</v>
      </c>
      <c r="AB279" s="660">
        <f t="shared" si="1738"/>
        <v>0</v>
      </c>
      <c r="AC279" s="521"/>
      <c r="AD279" s="663">
        <f t="shared" si="1877"/>
        <v>0</v>
      </c>
      <c r="AE279" s="663">
        <f t="shared" ref="AE279" si="1976">IF($G279=0,0,-MIN(0,$G279*c_EquityShare.LP))</f>
        <v>0</v>
      </c>
      <c r="AF279" s="663" cm="1">
        <f t="array" ref="AF279">IF($D279=0,0,AD279*(c_Rate.Hurdle2.MO))</f>
        <v>0</v>
      </c>
      <c r="AG279" s="663">
        <f t="shared" si="1689"/>
        <v>0</v>
      </c>
      <c r="AH279" s="663">
        <f t="shared" si="1718"/>
        <v>0</v>
      </c>
      <c r="AI279" s="663">
        <f t="shared" si="1690"/>
        <v>0</v>
      </c>
      <c r="AJ279" s="664">
        <f t="shared" si="1691"/>
        <v>0</v>
      </c>
      <c r="AK279" s="660">
        <f t="shared" si="1692"/>
        <v>0</v>
      </c>
      <c r="AL279" s="663">
        <f t="shared" ref="AL279" si="1977">IF(AD279=0,0,Z279+AH279/$J$18*c_Hurdle2.Share_GP)</f>
        <v>0</v>
      </c>
      <c r="AM279" s="663">
        <f t="shared" si="1694"/>
        <v>0</v>
      </c>
      <c r="AN279" s="660">
        <f t="shared" si="1741"/>
        <v>0</v>
      </c>
      <c r="AO279" s="521"/>
      <c r="AP279" s="663">
        <f t="shared" si="1880"/>
        <v>0</v>
      </c>
      <c r="AQ279" s="663">
        <f t="shared" ref="AQ279" si="1978">IF($G279=0,0,-MIN(0,$G279*c_EquityShare.LP))</f>
        <v>0</v>
      </c>
      <c r="AR279" s="663" cm="1">
        <f t="array" ref="AR279">IF($D279=0,0,AP279*(c_Rate.Hurdle3.MO))</f>
        <v>0</v>
      </c>
      <c r="AS279" s="663">
        <f t="shared" si="1696"/>
        <v>0</v>
      </c>
      <c r="AT279" s="663">
        <f t="shared" si="1721"/>
        <v>0</v>
      </c>
      <c r="AU279" s="663">
        <f t="shared" si="1697"/>
        <v>0</v>
      </c>
      <c r="AV279" s="664">
        <f t="shared" si="1698"/>
        <v>0</v>
      </c>
      <c r="AW279" s="660">
        <f t="shared" si="1722"/>
        <v>0</v>
      </c>
      <c r="AX279" s="663">
        <f t="shared" ref="AX279" si="1979">IF(AP279=0,0,AL279+AT279/$J$19*c_Hurdle3.Share_GP)</f>
        <v>0</v>
      </c>
      <c r="AY279" s="663">
        <f t="shared" si="1724"/>
        <v>0</v>
      </c>
      <c r="AZ279" s="660">
        <f t="shared" si="1744"/>
        <v>0</v>
      </c>
      <c r="BA279" s="521"/>
      <c r="BB279" s="660">
        <f t="shared" si="1939"/>
        <v>0</v>
      </c>
      <c r="BC279" s="660">
        <f t="shared" ref="BC279" si="1980">$AZ279*c_Residual.Share_GP</f>
        <v>0</v>
      </c>
      <c r="BD279" s="651"/>
      <c r="BE279" s="660">
        <f t="shared" si="1726"/>
        <v>0</v>
      </c>
      <c r="BF279" s="660">
        <f t="shared" si="1726"/>
        <v>0</v>
      </c>
      <c r="BG279" s="660">
        <f t="shared" si="1701"/>
        <v>0</v>
      </c>
      <c r="BI279" s="660">
        <v>0</v>
      </c>
      <c r="BJ279" s="660">
        <v>0</v>
      </c>
      <c r="BK279" s="660">
        <v>0</v>
      </c>
      <c r="BL279" s="660">
        <f t="shared" si="1727"/>
        <v>0</v>
      </c>
      <c r="BM279" s="660">
        <f t="shared" si="1727"/>
        <v>0</v>
      </c>
      <c r="BN279" s="660">
        <f t="shared" si="1728"/>
        <v>0</v>
      </c>
      <c r="BO279" s="660">
        <f t="shared" si="1728"/>
        <v>0</v>
      </c>
      <c r="BP279" s="660">
        <f t="shared" si="1729"/>
        <v>0</v>
      </c>
      <c r="BQ279" s="660">
        <f t="shared" si="1729"/>
        <v>0</v>
      </c>
      <c r="BR279" s="660">
        <v>0</v>
      </c>
      <c r="BS279" s="660">
        <v>0</v>
      </c>
      <c r="BT279" s="660">
        <f t="shared" si="1702"/>
        <v>0</v>
      </c>
      <c r="BU279" s="660">
        <f t="shared" si="1702"/>
        <v>0</v>
      </c>
      <c r="BX279" s="660">
        <v>0</v>
      </c>
      <c r="BY279" s="660">
        <f t="shared" si="1730"/>
        <v>0</v>
      </c>
      <c r="BZ279" s="660">
        <f t="shared" si="1703"/>
        <v>0</v>
      </c>
      <c r="CA279" s="660">
        <f t="shared" si="1704"/>
        <v>0</v>
      </c>
      <c r="CB279" s="660">
        <f t="shared" si="1705"/>
        <v>0</v>
      </c>
      <c r="CC279" s="660">
        <f t="shared" si="1706"/>
        <v>0</v>
      </c>
      <c r="CD279" s="660">
        <f t="shared" si="1731"/>
        <v>0</v>
      </c>
    </row>
    <row r="280" spans="4:82" ht="16" hidden="1" thickTop="1" thickBot="1">
      <c r="D280" s="653"/>
      <c r="E280" s="654"/>
      <c r="F280" s="655" t="str">
        <f t="shared" si="1707"/>
        <v/>
      </c>
      <c r="G280" s="656"/>
      <c r="I280" s="658">
        <f t="shared" si="1708"/>
        <v>0</v>
      </c>
      <c r="J280" s="658">
        <f t="shared" ref="J280" si="1981">IF($G280=0,0,-MIN(0,G280*c_EquityShare.LP))</f>
        <v>0</v>
      </c>
      <c r="K280" s="658">
        <f t="shared" ref="K280" si="1982">I280*c_Rate.Pref_MO</f>
        <v>0</v>
      </c>
      <c r="L280" s="658">
        <f t="shared" si="1684"/>
        <v>0</v>
      </c>
      <c r="M280" s="658">
        <f t="shared" si="1711"/>
        <v>0</v>
      </c>
      <c r="N280" s="658">
        <f t="shared" si="1734"/>
        <v>0</v>
      </c>
      <c r="O280" s="658" cm="1">
        <f t="array" ref="O280">IF(I280=0,0,IF(G280&lt;0,N280/c_EquityShare.LP*i_EquityShare.GP,L280/c_EquityShare.LP*i_EquityShare.GP))</f>
        <v>0</v>
      </c>
      <c r="P280" s="658">
        <f t="shared" si="1712"/>
        <v>0</v>
      </c>
      <c r="Q280" s="658">
        <f t="shared" si="1685"/>
        <v>0</v>
      </c>
      <c r="R280" s="521"/>
      <c r="S280" s="660">
        <f t="shared" si="1713"/>
        <v>0</v>
      </c>
      <c r="T280" s="663" cm="1">
        <f t="array" ref="T280">IF($G280=0,0,-MIN(0,$G280*c_EquityShare.LP))</f>
        <v>0</v>
      </c>
      <c r="U280" s="663" cm="1">
        <f t="array" ref="U280">IF($D280=0,0,S280*c_Rate.Hurdle1.MO)</f>
        <v>0</v>
      </c>
      <c r="V280" s="660">
        <f t="shared" si="1735"/>
        <v>0</v>
      </c>
      <c r="W280" s="660">
        <f t="shared" si="1714"/>
        <v>0</v>
      </c>
      <c r="X280" s="663">
        <f t="shared" si="1736"/>
        <v>0</v>
      </c>
      <c r="Y280" s="663">
        <f t="shared" si="1715"/>
        <v>0</v>
      </c>
      <c r="Z280" s="663">
        <f t="shared" ref="Z280" si="1983">IF(S280=0,0,O280+W280/$J$17*c_Hurdle1.Share_GP)</f>
        <v>0</v>
      </c>
      <c r="AA280" s="663">
        <f t="shared" si="1687"/>
        <v>0</v>
      </c>
      <c r="AB280" s="660">
        <f t="shared" si="1738"/>
        <v>0</v>
      </c>
      <c r="AC280" s="521"/>
      <c r="AD280" s="663">
        <f t="shared" si="1877"/>
        <v>0</v>
      </c>
      <c r="AE280" s="663">
        <f t="shared" ref="AE280" si="1984">IF($G280=0,0,-MIN(0,$G280*c_EquityShare.LP))</f>
        <v>0</v>
      </c>
      <c r="AF280" s="663" cm="1">
        <f t="array" ref="AF280">IF($D280=0,0,AD280*(c_Rate.Hurdle2.MO))</f>
        <v>0</v>
      </c>
      <c r="AG280" s="663">
        <f t="shared" si="1689"/>
        <v>0</v>
      </c>
      <c r="AH280" s="663">
        <f t="shared" si="1718"/>
        <v>0</v>
      </c>
      <c r="AI280" s="663">
        <f t="shared" si="1690"/>
        <v>0</v>
      </c>
      <c r="AJ280" s="664">
        <f t="shared" si="1691"/>
        <v>0</v>
      </c>
      <c r="AK280" s="660">
        <f t="shared" si="1692"/>
        <v>0</v>
      </c>
      <c r="AL280" s="663">
        <f t="shared" ref="AL280" si="1985">IF(AD280=0,0,Z280+AH280/$J$18*c_Hurdle2.Share_GP)</f>
        <v>0</v>
      </c>
      <c r="AM280" s="663">
        <f t="shared" si="1694"/>
        <v>0</v>
      </c>
      <c r="AN280" s="660">
        <f t="shared" si="1741"/>
        <v>0</v>
      </c>
      <c r="AO280" s="521"/>
      <c r="AP280" s="663">
        <f t="shared" si="1880"/>
        <v>0</v>
      </c>
      <c r="AQ280" s="663">
        <f t="shared" ref="AQ280" si="1986">IF($G280=0,0,-MIN(0,$G280*c_EquityShare.LP))</f>
        <v>0</v>
      </c>
      <c r="AR280" s="663" cm="1">
        <f t="array" ref="AR280">IF($D280=0,0,AP280*(c_Rate.Hurdle3.MO))</f>
        <v>0</v>
      </c>
      <c r="AS280" s="663">
        <f t="shared" si="1696"/>
        <v>0</v>
      </c>
      <c r="AT280" s="663">
        <f t="shared" si="1721"/>
        <v>0</v>
      </c>
      <c r="AU280" s="663">
        <f t="shared" si="1697"/>
        <v>0</v>
      </c>
      <c r="AV280" s="664">
        <f t="shared" si="1698"/>
        <v>0</v>
      </c>
      <c r="AW280" s="660">
        <f t="shared" si="1722"/>
        <v>0</v>
      </c>
      <c r="AX280" s="663">
        <f t="shared" ref="AX280" si="1987">IF(AP280=0,0,AL280+AT280/$J$19*c_Hurdle3.Share_GP)</f>
        <v>0</v>
      </c>
      <c r="AY280" s="663">
        <f t="shared" si="1724"/>
        <v>0</v>
      </c>
      <c r="AZ280" s="660">
        <f t="shared" si="1744"/>
        <v>0</v>
      </c>
      <c r="BA280" s="521"/>
      <c r="BB280" s="660">
        <f t="shared" si="1939"/>
        <v>0</v>
      </c>
      <c r="BC280" s="660">
        <f t="shared" ref="BC280" si="1988">$AZ280*c_Residual.Share_GP</f>
        <v>0</v>
      </c>
      <c r="BD280" s="651"/>
      <c r="BE280" s="660">
        <f t="shared" si="1726"/>
        <v>0</v>
      </c>
      <c r="BF280" s="660">
        <f t="shared" si="1726"/>
        <v>0</v>
      </c>
      <c r="BG280" s="660">
        <f t="shared" si="1701"/>
        <v>0</v>
      </c>
      <c r="BI280" s="660">
        <v>0</v>
      </c>
      <c r="BJ280" s="660">
        <v>0</v>
      </c>
      <c r="BK280" s="660">
        <v>0</v>
      </c>
      <c r="BL280" s="660">
        <f t="shared" si="1727"/>
        <v>0</v>
      </c>
      <c r="BM280" s="660">
        <f t="shared" si="1727"/>
        <v>0</v>
      </c>
      <c r="BN280" s="660">
        <f t="shared" si="1728"/>
        <v>0</v>
      </c>
      <c r="BO280" s="660">
        <f t="shared" si="1728"/>
        <v>0</v>
      </c>
      <c r="BP280" s="660">
        <f t="shared" si="1729"/>
        <v>0</v>
      </c>
      <c r="BQ280" s="660">
        <f t="shared" si="1729"/>
        <v>0</v>
      </c>
      <c r="BR280" s="660">
        <v>0</v>
      </c>
      <c r="BS280" s="660">
        <v>0</v>
      </c>
      <c r="BT280" s="660">
        <f t="shared" si="1702"/>
        <v>0</v>
      </c>
      <c r="BU280" s="660">
        <f t="shared" si="1702"/>
        <v>0</v>
      </c>
      <c r="BX280" s="660">
        <v>0</v>
      </c>
      <c r="BY280" s="660">
        <f t="shared" si="1730"/>
        <v>0</v>
      </c>
      <c r="BZ280" s="660">
        <f t="shared" si="1703"/>
        <v>0</v>
      </c>
      <c r="CA280" s="660">
        <f t="shared" si="1704"/>
        <v>0</v>
      </c>
      <c r="CB280" s="660">
        <f t="shared" si="1705"/>
        <v>0</v>
      </c>
      <c r="CC280" s="660">
        <f t="shared" si="1706"/>
        <v>0</v>
      </c>
      <c r="CD280" s="660">
        <f t="shared" si="1731"/>
        <v>0</v>
      </c>
    </row>
    <row r="281" spans="4:82" ht="16" hidden="1" thickTop="1" thickBot="1">
      <c r="D281" s="653"/>
      <c r="E281" s="654"/>
      <c r="F281" s="655" t="str">
        <f t="shared" si="1707"/>
        <v/>
      </c>
      <c r="G281" s="656"/>
      <c r="I281" s="658">
        <f t="shared" si="1708"/>
        <v>0</v>
      </c>
      <c r="J281" s="658">
        <f t="shared" ref="J281" si="1989">IF($G281=0,0,-MIN(0,G281*c_EquityShare.LP))</f>
        <v>0</v>
      </c>
      <c r="K281" s="658">
        <f t="shared" ref="K281" si="1990">I281*c_Rate.Pref_MO</f>
        <v>0</v>
      </c>
      <c r="L281" s="658">
        <f t="shared" si="1684"/>
        <v>0</v>
      </c>
      <c r="M281" s="658">
        <f t="shared" si="1711"/>
        <v>0</v>
      </c>
      <c r="N281" s="658">
        <f t="shared" si="1734"/>
        <v>0</v>
      </c>
      <c r="O281" s="658" cm="1">
        <f t="array" ref="O281">IF(I281=0,0,IF(G281&lt;0,N281/c_EquityShare.LP*i_EquityShare.GP,L281/c_EquityShare.LP*i_EquityShare.GP))</f>
        <v>0</v>
      </c>
      <c r="P281" s="658">
        <f t="shared" si="1712"/>
        <v>0</v>
      </c>
      <c r="Q281" s="658">
        <f t="shared" si="1685"/>
        <v>0</v>
      </c>
      <c r="R281" s="521"/>
      <c r="S281" s="660">
        <f t="shared" si="1713"/>
        <v>0</v>
      </c>
      <c r="T281" s="663" cm="1">
        <f t="array" ref="T281">IF($G281=0,0,-MIN(0,$G281*c_EquityShare.LP))</f>
        <v>0</v>
      </c>
      <c r="U281" s="663" cm="1">
        <f t="array" ref="U281">IF($D281=0,0,S281*c_Rate.Hurdle1.MO)</f>
        <v>0</v>
      </c>
      <c r="V281" s="660">
        <f t="shared" si="1735"/>
        <v>0</v>
      </c>
      <c r="W281" s="660">
        <f t="shared" si="1714"/>
        <v>0</v>
      </c>
      <c r="X281" s="663">
        <f t="shared" si="1736"/>
        <v>0</v>
      </c>
      <c r="Y281" s="663">
        <f t="shared" si="1715"/>
        <v>0</v>
      </c>
      <c r="Z281" s="663">
        <f t="shared" ref="Z281" si="1991">IF(S281=0,0,O281+W281/$J$17*c_Hurdle1.Share_GP)</f>
        <v>0</v>
      </c>
      <c r="AA281" s="663">
        <f t="shared" si="1687"/>
        <v>0</v>
      </c>
      <c r="AB281" s="660">
        <f t="shared" si="1738"/>
        <v>0</v>
      </c>
      <c r="AC281" s="521"/>
      <c r="AD281" s="663">
        <f t="shared" si="1877"/>
        <v>0</v>
      </c>
      <c r="AE281" s="663">
        <f t="shared" ref="AE281" si="1992">IF($G281=0,0,-MIN(0,$G281*c_EquityShare.LP))</f>
        <v>0</v>
      </c>
      <c r="AF281" s="663" cm="1">
        <f t="array" ref="AF281">IF($D281=0,0,AD281*(c_Rate.Hurdle2.MO))</f>
        <v>0</v>
      </c>
      <c r="AG281" s="663">
        <f t="shared" si="1689"/>
        <v>0</v>
      </c>
      <c r="AH281" s="663">
        <f t="shared" si="1718"/>
        <v>0</v>
      </c>
      <c r="AI281" s="663">
        <f t="shared" si="1690"/>
        <v>0</v>
      </c>
      <c r="AJ281" s="664">
        <f t="shared" si="1691"/>
        <v>0</v>
      </c>
      <c r="AK281" s="660">
        <f t="shared" si="1692"/>
        <v>0</v>
      </c>
      <c r="AL281" s="663">
        <f t="shared" ref="AL281" si="1993">IF(AD281=0,0,Z281+AH281/$J$18*c_Hurdle2.Share_GP)</f>
        <v>0</v>
      </c>
      <c r="AM281" s="663">
        <f t="shared" si="1694"/>
        <v>0</v>
      </c>
      <c r="AN281" s="660">
        <f t="shared" si="1741"/>
        <v>0</v>
      </c>
      <c r="AO281" s="521"/>
      <c r="AP281" s="663">
        <f t="shared" si="1880"/>
        <v>0</v>
      </c>
      <c r="AQ281" s="663">
        <f t="shared" ref="AQ281" si="1994">IF($G281=0,0,-MIN(0,$G281*c_EquityShare.LP))</f>
        <v>0</v>
      </c>
      <c r="AR281" s="663" cm="1">
        <f t="array" ref="AR281">IF($D281=0,0,AP281*(c_Rate.Hurdle3.MO))</f>
        <v>0</v>
      </c>
      <c r="AS281" s="663">
        <f t="shared" si="1696"/>
        <v>0</v>
      </c>
      <c r="AT281" s="663">
        <f t="shared" si="1721"/>
        <v>0</v>
      </c>
      <c r="AU281" s="663">
        <f t="shared" si="1697"/>
        <v>0</v>
      </c>
      <c r="AV281" s="664">
        <f t="shared" si="1698"/>
        <v>0</v>
      </c>
      <c r="AW281" s="660">
        <f t="shared" si="1722"/>
        <v>0</v>
      </c>
      <c r="AX281" s="663">
        <f t="shared" ref="AX281" si="1995">IF(AP281=0,0,AL281+AT281/$J$19*c_Hurdle3.Share_GP)</f>
        <v>0</v>
      </c>
      <c r="AY281" s="663">
        <f t="shared" si="1724"/>
        <v>0</v>
      </c>
      <c r="AZ281" s="660">
        <f t="shared" si="1744"/>
        <v>0</v>
      </c>
      <c r="BA281" s="521"/>
      <c r="BB281" s="660">
        <f t="shared" si="1939"/>
        <v>0</v>
      </c>
      <c r="BC281" s="660">
        <f t="shared" ref="BC281" si="1996">$AZ281*c_Residual.Share_GP</f>
        <v>0</v>
      </c>
      <c r="BD281" s="651"/>
      <c r="BE281" s="660">
        <f t="shared" si="1726"/>
        <v>0</v>
      </c>
      <c r="BF281" s="660">
        <f t="shared" si="1726"/>
        <v>0</v>
      </c>
      <c r="BG281" s="660">
        <f t="shared" si="1701"/>
        <v>0</v>
      </c>
      <c r="BI281" s="660">
        <v>0</v>
      </c>
      <c r="BJ281" s="660">
        <v>0</v>
      </c>
      <c r="BK281" s="660">
        <v>0</v>
      </c>
      <c r="BL281" s="660">
        <f t="shared" si="1727"/>
        <v>0</v>
      </c>
      <c r="BM281" s="660">
        <f t="shared" si="1727"/>
        <v>0</v>
      </c>
      <c r="BN281" s="660">
        <f t="shared" si="1728"/>
        <v>0</v>
      </c>
      <c r="BO281" s="660">
        <f t="shared" si="1728"/>
        <v>0</v>
      </c>
      <c r="BP281" s="660">
        <f t="shared" si="1729"/>
        <v>0</v>
      </c>
      <c r="BQ281" s="660">
        <f t="shared" si="1729"/>
        <v>0</v>
      </c>
      <c r="BR281" s="660">
        <v>0</v>
      </c>
      <c r="BS281" s="660">
        <v>0</v>
      </c>
      <c r="BT281" s="660">
        <f t="shared" si="1702"/>
        <v>0</v>
      </c>
      <c r="BU281" s="660">
        <f t="shared" si="1702"/>
        <v>0</v>
      </c>
      <c r="BX281" s="660">
        <v>0</v>
      </c>
      <c r="BY281" s="660">
        <f t="shared" si="1730"/>
        <v>0</v>
      </c>
      <c r="BZ281" s="660">
        <f t="shared" si="1703"/>
        <v>0</v>
      </c>
      <c r="CA281" s="660">
        <f t="shared" si="1704"/>
        <v>0</v>
      </c>
      <c r="CB281" s="660">
        <f t="shared" si="1705"/>
        <v>0</v>
      </c>
      <c r="CC281" s="660">
        <f t="shared" si="1706"/>
        <v>0</v>
      </c>
      <c r="CD281" s="660">
        <f t="shared" si="1731"/>
        <v>0</v>
      </c>
    </row>
    <row r="282" spans="4:82" ht="16" hidden="1" thickTop="1" thickBot="1">
      <c r="D282" s="653"/>
      <c r="E282" s="654"/>
      <c r="F282" s="655" t="str">
        <f t="shared" si="1707"/>
        <v/>
      </c>
      <c r="G282" s="656"/>
      <c r="I282" s="658">
        <f t="shared" si="1708"/>
        <v>0</v>
      </c>
      <c r="J282" s="658">
        <f t="shared" ref="J282" si="1997">IF($G282=0,0,-MIN(0,G282*c_EquityShare.LP))</f>
        <v>0</v>
      </c>
      <c r="K282" s="658">
        <f t="shared" ref="K282" si="1998">I282*c_Rate.Pref_MO</f>
        <v>0</v>
      </c>
      <c r="L282" s="658">
        <f t="shared" si="1684"/>
        <v>0</v>
      </c>
      <c r="M282" s="658">
        <f t="shared" si="1711"/>
        <v>0</v>
      </c>
      <c r="N282" s="658">
        <f t="shared" si="1734"/>
        <v>0</v>
      </c>
      <c r="O282" s="658" cm="1">
        <f t="array" ref="O282">IF(I282=0,0,IF(G282&lt;0,N282/c_EquityShare.LP*i_EquityShare.GP,L282/c_EquityShare.LP*i_EquityShare.GP))</f>
        <v>0</v>
      </c>
      <c r="P282" s="658">
        <f t="shared" si="1712"/>
        <v>0</v>
      </c>
      <c r="Q282" s="658">
        <f t="shared" si="1685"/>
        <v>0</v>
      </c>
      <c r="R282" s="521"/>
      <c r="S282" s="660">
        <f t="shared" si="1713"/>
        <v>0</v>
      </c>
      <c r="T282" s="663" cm="1">
        <f t="array" ref="T282">IF($G282=0,0,-MIN(0,$G282*c_EquityShare.LP))</f>
        <v>0</v>
      </c>
      <c r="U282" s="663" cm="1">
        <f t="array" ref="U282">IF($D282=0,0,S282*c_Rate.Hurdle1.MO)</f>
        <v>0</v>
      </c>
      <c r="V282" s="660">
        <f t="shared" si="1735"/>
        <v>0</v>
      </c>
      <c r="W282" s="660">
        <f t="shared" si="1714"/>
        <v>0</v>
      </c>
      <c r="X282" s="663">
        <f t="shared" si="1736"/>
        <v>0</v>
      </c>
      <c r="Y282" s="663">
        <f t="shared" si="1715"/>
        <v>0</v>
      </c>
      <c r="Z282" s="663">
        <f t="shared" ref="Z282" si="1999">IF(S282=0,0,O282+W282/$J$17*c_Hurdle1.Share_GP)</f>
        <v>0</v>
      </c>
      <c r="AA282" s="663">
        <f t="shared" si="1687"/>
        <v>0</v>
      </c>
      <c r="AB282" s="660">
        <f t="shared" si="1738"/>
        <v>0</v>
      </c>
      <c r="AC282" s="521"/>
      <c r="AD282" s="663">
        <f t="shared" si="1877"/>
        <v>0</v>
      </c>
      <c r="AE282" s="663">
        <f t="shared" ref="AE282" si="2000">IF($G282=0,0,-MIN(0,$G282*c_EquityShare.LP))</f>
        <v>0</v>
      </c>
      <c r="AF282" s="663" cm="1">
        <f t="array" ref="AF282">IF($D282=0,0,AD282*(c_Rate.Hurdle2.MO))</f>
        <v>0</v>
      </c>
      <c r="AG282" s="663">
        <f t="shared" si="1689"/>
        <v>0</v>
      </c>
      <c r="AH282" s="663">
        <f t="shared" si="1718"/>
        <v>0</v>
      </c>
      <c r="AI282" s="663">
        <f t="shared" si="1690"/>
        <v>0</v>
      </c>
      <c r="AJ282" s="664">
        <f t="shared" si="1691"/>
        <v>0</v>
      </c>
      <c r="AK282" s="660">
        <f t="shared" si="1692"/>
        <v>0</v>
      </c>
      <c r="AL282" s="663">
        <f t="shared" ref="AL282" si="2001">IF(AD282=0,0,Z282+AH282/$J$18*c_Hurdle2.Share_GP)</f>
        <v>0</v>
      </c>
      <c r="AM282" s="663">
        <f t="shared" si="1694"/>
        <v>0</v>
      </c>
      <c r="AN282" s="660">
        <f t="shared" si="1741"/>
        <v>0</v>
      </c>
      <c r="AO282" s="521"/>
      <c r="AP282" s="663">
        <f t="shared" si="1880"/>
        <v>0</v>
      </c>
      <c r="AQ282" s="663">
        <f t="shared" ref="AQ282" si="2002">IF($G282=0,0,-MIN(0,$G282*c_EquityShare.LP))</f>
        <v>0</v>
      </c>
      <c r="AR282" s="663" cm="1">
        <f t="array" ref="AR282">IF($D282=0,0,AP282*(c_Rate.Hurdle3.MO))</f>
        <v>0</v>
      </c>
      <c r="AS282" s="663">
        <f t="shared" si="1696"/>
        <v>0</v>
      </c>
      <c r="AT282" s="663">
        <f t="shared" si="1721"/>
        <v>0</v>
      </c>
      <c r="AU282" s="663">
        <f t="shared" si="1697"/>
        <v>0</v>
      </c>
      <c r="AV282" s="664">
        <f t="shared" si="1698"/>
        <v>0</v>
      </c>
      <c r="AW282" s="660">
        <f t="shared" si="1722"/>
        <v>0</v>
      </c>
      <c r="AX282" s="663">
        <f t="shared" ref="AX282" si="2003">IF(AP282=0,0,AL282+AT282/$J$19*c_Hurdle3.Share_GP)</f>
        <v>0</v>
      </c>
      <c r="AY282" s="663">
        <f t="shared" si="1724"/>
        <v>0</v>
      </c>
      <c r="AZ282" s="660">
        <f t="shared" si="1744"/>
        <v>0</v>
      </c>
      <c r="BA282" s="521"/>
      <c r="BB282" s="660">
        <f t="shared" si="1939"/>
        <v>0</v>
      </c>
      <c r="BC282" s="660">
        <f t="shared" ref="BC282" si="2004">$AZ282*c_Residual.Share_GP</f>
        <v>0</v>
      </c>
      <c r="BD282" s="651"/>
      <c r="BE282" s="660">
        <f t="shared" si="1726"/>
        <v>0</v>
      </c>
      <c r="BF282" s="660">
        <f t="shared" si="1726"/>
        <v>0</v>
      </c>
      <c r="BG282" s="660">
        <f t="shared" si="1701"/>
        <v>0</v>
      </c>
      <c r="BI282" s="660">
        <v>0</v>
      </c>
      <c r="BJ282" s="660">
        <v>0</v>
      </c>
      <c r="BK282" s="660">
        <v>0</v>
      </c>
      <c r="BL282" s="660">
        <f t="shared" si="1727"/>
        <v>0</v>
      </c>
      <c r="BM282" s="660">
        <f t="shared" si="1727"/>
        <v>0</v>
      </c>
      <c r="BN282" s="660">
        <f t="shared" si="1728"/>
        <v>0</v>
      </c>
      <c r="BO282" s="660">
        <f t="shared" si="1728"/>
        <v>0</v>
      </c>
      <c r="BP282" s="660">
        <f t="shared" si="1729"/>
        <v>0</v>
      </c>
      <c r="BQ282" s="660">
        <f t="shared" si="1729"/>
        <v>0</v>
      </c>
      <c r="BR282" s="660">
        <v>0</v>
      </c>
      <c r="BS282" s="660">
        <v>0</v>
      </c>
      <c r="BT282" s="660">
        <f t="shared" si="1702"/>
        <v>0</v>
      </c>
      <c r="BU282" s="660">
        <f t="shared" si="1702"/>
        <v>0</v>
      </c>
      <c r="BX282" s="660">
        <v>0</v>
      </c>
      <c r="BY282" s="660">
        <f t="shared" si="1730"/>
        <v>0</v>
      </c>
      <c r="BZ282" s="660">
        <f t="shared" si="1703"/>
        <v>0</v>
      </c>
      <c r="CA282" s="660">
        <f t="shared" si="1704"/>
        <v>0</v>
      </c>
      <c r="CB282" s="660">
        <f t="shared" si="1705"/>
        <v>0</v>
      </c>
      <c r="CC282" s="660">
        <f t="shared" si="1706"/>
        <v>0</v>
      </c>
      <c r="CD282" s="660">
        <f t="shared" si="1731"/>
        <v>0</v>
      </c>
    </row>
    <row r="283" spans="4:82" ht="16" hidden="1" thickTop="1" thickBot="1">
      <c r="D283" s="653"/>
      <c r="E283" s="654"/>
      <c r="F283" s="655" t="str">
        <f t="shared" si="1707"/>
        <v/>
      </c>
      <c r="G283" s="656"/>
      <c r="I283" s="658">
        <f t="shared" si="1708"/>
        <v>0</v>
      </c>
      <c r="J283" s="658">
        <f t="shared" ref="J283" si="2005">IF($G283=0,0,-MIN(0,G283*c_EquityShare.LP))</f>
        <v>0</v>
      </c>
      <c r="K283" s="658">
        <f t="shared" ref="K283" si="2006">I283*c_Rate.Pref_MO</f>
        <v>0</v>
      </c>
      <c r="L283" s="658">
        <f t="shared" si="1684"/>
        <v>0</v>
      </c>
      <c r="M283" s="658">
        <f t="shared" si="1711"/>
        <v>0</v>
      </c>
      <c r="N283" s="658">
        <f t="shared" si="1734"/>
        <v>0</v>
      </c>
      <c r="O283" s="658" cm="1">
        <f t="array" ref="O283">IF(I283=0,0,IF(G283&lt;0,N283/c_EquityShare.LP*i_EquityShare.GP,L283/c_EquityShare.LP*i_EquityShare.GP))</f>
        <v>0</v>
      </c>
      <c r="P283" s="658">
        <f t="shared" si="1712"/>
        <v>0</v>
      </c>
      <c r="Q283" s="658">
        <f t="shared" si="1685"/>
        <v>0</v>
      </c>
      <c r="R283" s="521"/>
      <c r="S283" s="660">
        <f t="shared" si="1713"/>
        <v>0</v>
      </c>
      <c r="T283" s="663" cm="1">
        <f t="array" ref="T283">IF($G283=0,0,-MIN(0,$G283*c_EquityShare.LP))</f>
        <v>0</v>
      </c>
      <c r="U283" s="663" cm="1">
        <f t="array" ref="U283">IF($D283=0,0,S283*c_Rate.Hurdle1.MO)</f>
        <v>0</v>
      </c>
      <c r="V283" s="660">
        <f t="shared" si="1735"/>
        <v>0</v>
      </c>
      <c r="W283" s="660">
        <f t="shared" si="1714"/>
        <v>0</v>
      </c>
      <c r="X283" s="663">
        <f t="shared" si="1736"/>
        <v>0</v>
      </c>
      <c r="Y283" s="663">
        <f t="shared" si="1715"/>
        <v>0</v>
      </c>
      <c r="Z283" s="663">
        <f t="shared" ref="Z283" si="2007">IF(S283=0,0,O283+W283/$J$17*c_Hurdle1.Share_GP)</f>
        <v>0</v>
      </c>
      <c r="AA283" s="663">
        <f t="shared" si="1687"/>
        <v>0</v>
      </c>
      <c r="AB283" s="660">
        <f t="shared" si="1738"/>
        <v>0</v>
      </c>
      <c r="AC283" s="521"/>
      <c r="AD283" s="663">
        <f t="shared" si="1877"/>
        <v>0</v>
      </c>
      <c r="AE283" s="663">
        <f t="shared" ref="AE283" si="2008">IF($G283=0,0,-MIN(0,$G283*c_EquityShare.LP))</f>
        <v>0</v>
      </c>
      <c r="AF283" s="663" cm="1">
        <f t="array" ref="AF283">IF($D283=0,0,AD283*(c_Rate.Hurdle2.MO))</f>
        <v>0</v>
      </c>
      <c r="AG283" s="663">
        <f t="shared" si="1689"/>
        <v>0</v>
      </c>
      <c r="AH283" s="663">
        <f t="shared" si="1718"/>
        <v>0</v>
      </c>
      <c r="AI283" s="663">
        <f t="shared" si="1690"/>
        <v>0</v>
      </c>
      <c r="AJ283" s="664">
        <f t="shared" si="1691"/>
        <v>0</v>
      </c>
      <c r="AK283" s="660">
        <f t="shared" si="1692"/>
        <v>0</v>
      </c>
      <c r="AL283" s="663">
        <f t="shared" ref="AL283" si="2009">IF(AD283=0,0,Z283+AH283/$J$18*c_Hurdle2.Share_GP)</f>
        <v>0</v>
      </c>
      <c r="AM283" s="663">
        <f t="shared" si="1694"/>
        <v>0</v>
      </c>
      <c r="AN283" s="660">
        <f t="shared" si="1741"/>
        <v>0</v>
      </c>
      <c r="AO283" s="521"/>
      <c r="AP283" s="663">
        <f t="shared" si="1880"/>
        <v>0</v>
      </c>
      <c r="AQ283" s="663">
        <f t="shared" ref="AQ283" si="2010">IF($G283=0,0,-MIN(0,$G283*c_EquityShare.LP))</f>
        <v>0</v>
      </c>
      <c r="AR283" s="663" cm="1">
        <f t="array" ref="AR283">IF($D283=0,0,AP283*(c_Rate.Hurdle3.MO))</f>
        <v>0</v>
      </c>
      <c r="AS283" s="663">
        <f t="shared" si="1696"/>
        <v>0</v>
      </c>
      <c r="AT283" s="663">
        <f t="shared" si="1721"/>
        <v>0</v>
      </c>
      <c r="AU283" s="663">
        <f t="shared" si="1697"/>
        <v>0</v>
      </c>
      <c r="AV283" s="664">
        <f t="shared" si="1698"/>
        <v>0</v>
      </c>
      <c r="AW283" s="660">
        <f t="shared" si="1722"/>
        <v>0</v>
      </c>
      <c r="AX283" s="663">
        <f t="shared" ref="AX283" si="2011">IF(AP283=0,0,AL283+AT283/$J$19*c_Hurdle3.Share_GP)</f>
        <v>0</v>
      </c>
      <c r="AY283" s="663">
        <f t="shared" si="1724"/>
        <v>0</v>
      </c>
      <c r="AZ283" s="660">
        <f t="shared" si="1744"/>
        <v>0</v>
      </c>
      <c r="BA283" s="521"/>
      <c r="BB283" s="660">
        <f t="shared" si="1939"/>
        <v>0</v>
      </c>
      <c r="BC283" s="660">
        <f t="shared" ref="BC283" si="2012">$AZ283*c_Residual.Share_GP</f>
        <v>0</v>
      </c>
      <c r="BD283" s="651"/>
      <c r="BE283" s="660">
        <f t="shared" si="1726"/>
        <v>0</v>
      </c>
      <c r="BF283" s="660">
        <f t="shared" si="1726"/>
        <v>0</v>
      </c>
      <c r="BG283" s="660">
        <f t="shared" si="1701"/>
        <v>0</v>
      </c>
      <c r="BI283" s="660">
        <v>0</v>
      </c>
      <c r="BJ283" s="660">
        <v>0</v>
      </c>
      <c r="BK283" s="660">
        <v>0</v>
      </c>
      <c r="BL283" s="660">
        <f t="shared" si="1727"/>
        <v>0</v>
      </c>
      <c r="BM283" s="660">
        <f t="shared" si="1727"/>
        <v>0</v>
      </c>
      <c r="BN283" s="660">
        <f t="shared" si="1728"/>
        <v>0</v>
      </c>
      <c r="BO283" s="660">
        <f t="shared" si="1728"/>
        <v>0</v>
      </c>
      <c r="BP283" s="660">
        <f t="shared" si="1729"/>
        <v>0</v>
      </c>
      <c r="BQ283" s="660">
        <f t="shared" si="1729"/>
        <v>0</v>
      </c>
      <c r="BR283" s="660">
        <v>0</v>
      </c>
      <c r="BS283" s="660">
        <v>0</v>
      </c>
      <c r="BT283" s="660">
        <f t="shared" si="1702"/>
        <v>0</v>
      </c>
      <c r="BU283" s="660">
        <f t="shared" si="1702"/>
        <v>0</v>
      </c>
      <c r="BX283" s="660">
        <v>0</v>
      </c>
      <c r="BY283" s="660">
        <f t="shared" si="1730"/>
        <v>0</v>
      </c>
      <c r="BZ283" s="660">
        <f t="shared" si="1703"/>
        <v>0</v>
      </c>
      <c r="CA283" s="660">
        <f t="shared" si="1704"/>
        <v>0</v>
      </c>
      <c r="CB283" s="660">
        <f t="shared" si="1705"/>
        <v>0</v>
      </c>
      <c r="CC283" s="660">
        <f t="shared" si="1706"/>
        <v>0</v>
      </c>
      <c r="CD283" s="660">
        <f t="shared" si="1731"/>
        <v>0</v>
      </c>
    </row>
    <row r="284" spans="4:82" ht="16" hidden="1" thickTop="1" thickBot="1">
      <c r="D284" s="653"/>
      <c r="E284" s="654"/>
      <c r="F284" s="655" t="str">
        <f t="shared" si="1707"/>
        <v/>
      </c>
      <c r="G284" s="656"/>
      <c r="I284" s="658">
        <f t="shared" si="1708"/>
        <v>0</v>
      </c>
      <c r="J284" s="658">
        <f t="shared" ref="J284" si="2013">IF($G284=0,0,-MIN(0,G284*c_EquityShare.LP))</f>
        <v>0</v>
      </c>
      <c r="K284" s="658">
        <f t="shared" ref="K284" si="2014">I284*c_Rate.Pref_MO</f>
        <v>0</v>
      </c>
      <c r="L284" s="658">
        <f t="shared" si="1684"/>
        <v>0</v>
      </c>
      <c r="M284" s="658">
        <f t="shared" si="1711"/>
        <v>0</v>
      </c>
      <c r="N284" s="658">
        <f t="shared" si="1734"/>
        <v>0</v>
      </c>
      <c r="O284" s="658" cm="1">
        <f t="array" ref="O284">IF(I284=0,0,IF(G284&lt;0,N284/c_EquityShare.LP*i_EquityShare.GP,L284/c_EquityShare.LP*i_EquityShare.GP))</f>
        <v>0</v>
      </c>
      <c r="P284" s="658">
        <f t="shared" si="1712"/>
        <v>0</v>
      </c>
      <c r="Q284" s="658">
        <f t="shared" si="1685"/>
        <v>0</v>
      </c>
      <c r="R284" s="521"/>
      <c r="S284" s="660">
        <f t="shared" si="1713"/>
        <v>0</v>
      </c>
      <c r="T284" s="663" cm="1">
        <f t="array" ref="T284">IF($G284=0,0,-MIN(0,$G284*c_EquityShare.LP))</f>
        <v>0</v>
      </c>
      <c r="U284" s="663" cm="1">
        <f t="array" ref="U284">IF($D284=0,0,S284*c_Rate.Hurdle1.MO)</f>
        <v>0</v>
      </c>
      <c r="V284" s="660">
        <f t="shared" si="1735"/>
        <v>0</v>
      </c>
      <c r="W284" s="660">
        <f t="shared" si="1714"/>
        <v>0</v>
      </c>
      <c r="X284" s="663">
        <f t="shared" si="1736"/>
        <v>0</v>
      </c>
      <c r="Y284" s="663">
        <f t="shared" si="1715"/>
        <v>0</v>
      </c>
      <c r="Z284" s="663">
        <f t="shared" ref="Z284" si="2015">IF(S284=0,0,O284+W284/$J$17*c_Hurdle1.Share_GP)</f>
        <v>0</v>
      </c>
      <c r="AA284" s="663">
        <f t="shared" si="1687"/>
        <v>0</v>
      </c>
      <c r="AB284" s="660">
        <f t="shared" si="1738"/>
        <v>0</v>
      </c>
      <c r="AC284" s="521"/>
      <c r="AD284" s="663">
        <f t="shared" si="1877"/>
        <v>0</v>
      </c>
      <c r="AE284" s="663">
        <f t="shared" ref="AE284" si="2016">IF($G284=0,0,-MIN(0,$G284*c_EquityShare.LP))</f>
        <v>0</v>
      </c>
      <c r="AF284" s="663" cm="1">
        <f t="array" ref="AF284">IF($D284=0,0,AD284*(c_Rate.Hurdle2.MO))</f>
        <v>0</v>
      </c>
      <c r="AG284" s="663">
        <f t="shared" si="1689"/>
        <v>0</v>
      </c>
      <c r="AH284" s="663">
        <f t="shared" si="1718"/>
        <v>0</v>
      </c>
      <c r="AI284" s="663">
        <f t="shared" si="1690"/>
        <v>0</v>
      </c>
      <c r="AJ284" s="664">
        <f t="shared" si="1691"/>
        <v>0</v>
      </c>
      <c r="AK284" s="660">
        <f t="shared" si="1692"/>
        <v>0</v>
      </c>
      <c r="AL284" s="663">
        <f t="shared" ref="AL284" si="2017">IF(AD284=0,0,Z284+AH284/$J$18*c_Hurdle2.Share_GP)</f>
        <v>0</v>
      </c>
      <c r="AM284" s="663">
        <f t="shared" si="1694"/>
        <v>0</v>
      </c>
      <c r="AN284" s="660">
        <f t="shared" si="1741"/>
        <v>0</v>
      </c>
      <c r="AO284" s="521"/>
      <c r="AP284" s="663">
        <f t="shared" si="1880"/>
        <v>0</v>
      </c>
      <c r="AQ284" s="663">
        <f t="shared" ref="AQ284" si="2018">IF($G284=0,0,-MIN(0,$G284*c_EquityShare.LP))</f>
        <v>0</v>
      </c>
      <c r="AR284" s="663" cm="1">
        <f t="array" ref="AR284">IF($D284=0,0,AP284*(c_Rate.Hurdle3.MO))</f>
        <v>0</v>
      </c>
      <c r="AS284" s="663">
        <f t="shared" si="1696"/>
        <v>0</v>
      </c>
      <c r="AT284" s="663">
        <f t="shared" si="1721"/>
        <v>0</v>
      </c>
      <c r="AU284" s="663">
        <f t="shared" si="1697"/>
        <v>0</v>
      </c>
      <c r="AV284" s="664">
        <f t="shared" si="1698"/>
        <v>0</v>
      </c>
      <c r="AW284" s="660">
        <f t="shared" si="1722"/>
        <v>0</v>
      </c>
      <c r="AX284" s="663">
        <f t="shared" ref="AX284" si="2019">IF(AP284=0,0,AL284+AT284/$J$19*c_Hurdle3.Share_GP)</f>
        <v>0</v>
      </c>
      <c r="AY284" s="663">
        <f t="shared" si="1724"/>
        <v>0</v>
      </c>
      <c r="AZ284" s="660">
        <f t="shared" si="1744"/>
        <v>0</v>
      </c>
      <c r="BA284" s="521"/>
      <c r="BB284" s="660">
        <f t="shared" si="1939"/>
        <v>0</v>
      </c>
      <c r="BC284" s="660">
        <f t="shared" ref="BC284" si="2020">$AZ284*c_Residual.Share_GP</f>
        <v>0</v>
      </c>
      <c r="BD284" s="651"/>
      <c r="BE284" s="660">
        <f t="shared" si="1726"/>
        <v>0</v>
      </c>
      <c r="BF284" s="660">
        <f t="shared" si="1726"/>
        <v>0</v>
      </c>
      <c r="BG284" s="660">
        <f t="shared" si="1701"/>
        <v>0</v>
      </c>
      <c r="BI284" s="660">
        <v>0</v>
      </c>
      <c r="BJ284" s="660">
        <v>0</v>
      </c>
      <c r="BK284" s="660">
        <v>0</v>
      </c>
      <c r="BL284" s="660">
        <f t="shared" si="1727"/>
        <v>0</v>
      </c>
      <c r="BM284" s="660">
        <f t="shared" si="1727"/>
        <v>0</v>
      </c>
      <c r="BN284" s="660">
        <f t="shared" si="1728"/>
        <v>0</v>
      </c>
      <c r="BO284" s="660">
        <f t="shared" si="1728"/>
        <v>0</v>
      </c>
      <c r="BP284" s="660">
        <f t="shared" si="1729"/>
        <v>0</v>
      </c>
      <c r="BQ284" s="660">
        <f t="shared" si="1729"/>
        <v>0</v>
      </c>
      <c r="BR284" s="660">
        <v>0</v>
      </c>
      <c r="BS284" s="660">
        <v>0</v>
      </c>
      <c r="BT284" s="660">
        <f t="shared" si="1702"/>
        <v>0</v>
      </c>
      <c r="BU284" s="660">
        <f t="shared" si="1702"/>
        <v>0</v>
      </c>
      <c r="BX284" s="660">
        <v>0</v>
      </c>
      <c r="BY284" s="660">
        <f t="shared" si="1730"/>
        <v>0</v>
      </c>
      <c r="BZ284" s="660">
        <f t="shared" si="1703"/>
        <v>0</v>
      </c>
      <c r="CA284" s="660">
        <f t="shared" si="1704"/>
        <v>0</v>
      </c>
      <c r="CB284" s="660">
        <f t="shared" si="1705"/>
        <v>0</v>
      </c>
      <c r="CC284" s="660">
        <f t="shared" si="1706"/>
        <v>0</v>
      </c>
      <c r="CD284" s="660">
        <f t="shared" si="1731"/>
        <v>0</v>
      </c>
    </row>
    <row r="285" spans="4:82" ht="16" hidden="1" thickTop="1" thickBot="1">
      <c r="D285" s="653"/>
      <c r="E285" s="654"/>
      <c r="F285" s="655" t="str">
        <f t="shared" si="1707"/>
        <v/>
      </c>
      <c r="G285" s="656"/>
      <c r="I285" s="658">
        <f t="shared" si="1708"/>
        <v>0</v>
      </c>
      <c r="J285" s="658">
        <f t="shared" ref="J285" si="2021">IF($G285=0,0,-MIN(0,G285*c_EquityShare.LP))</f>
        <v>0</v>
      </c>
      <c r="K285" s="658">
        <f t="shared" ref="K285" si="2022">I285*c_Rate.Pref_MO</f>
        <v>0</v>
      </c>
      <c r="L285" s="658">
        <f t="shared" si="1684"/>
        <v>0</v>
      </c>
      <c r="M285" s="658">
        <f t="shared" si="1711"/>
        <v>0</v>
      </c>
      <c r="N285" s="658">
        <f t="shared" si="1734"/>
        <v>0</v>
      </c>
      <c r="O285" s="658" cm="1">
        <f t="array" ref="O285">IF(I285=0,0,IF(G285&lt;0,N285/c_EquityShare.LP*i_EquityShare.GP,L285/c_EquityShare.LP*i_EquityShare.GP))</f>
        <v>0</v>
      </c>
      <c r="P285" s="658">
        <f t="shared" si="1712"/>
        <v>0</v>
      </c>
      <c r="Q285" s="658">
        <f t="shared" si="1685"/>
        <v>0</v>
      </c>
      <c r="R285" s="521"/>
      <c r="S285" s="660">
        <f t="shared" si="1713"/>
        <v>0</v>
      </c>
      <c r="T285" s="663" cm="1">
        <f t="array" ref="T285">IF($G285=0,0,-MIN(0,$G285*c_EquityShare.LP))</f>
        <v>0</v>
      </c>
      <c r="U285" s="663" cm="1">
        <f t="array" ref="U285">IF($D285=0,0,S285*c_Rate.Hurdle1.MO)</f>
        <v>0</v>
      </c>
      <c r="V285" s="660">
        <f t="shared" si="1735"/>
        <v>0</v>
      </c>
      <c r="W285" s="660">
        <f t="shared" si="1714"/>
        <v>0</v>
      </c>
      <c r="X285" s="663">
        <f t="shared" si="1736"/>
        <v>0</v>
      </c>
      <c r="Y285" s="663">
        <f t="shared" si="1715"/>
        <v>0</v>
      </c>
      <c r="Z285" s="663">
        <f t="shared" ref="Z285" si="2023">IF(S285=0,0,O285+W285/$J$17*c_Hurdle1.Share_GP)</f>
        <v>0</v>
      </c>
      <c r="AA285" s="663">
        <f t="shared" si="1687"/>
        <v>0</v>
      </c>
      <c r="AB285" s="660">
        <f t="shared" si="1738"/>
        <v>0</v>
      </c>
      <c r="AC285" s="521"/>
      <c r="AD285" s="663">
        <f t="shared" si="1877"/>
        <v>0</v>
      </c>
      <c r="AE285" s="663">
        <f t="shared" ref="AE285" si="2024">IF($G285=0,0,-MIN(0,$G285*c_EquityShare.LP))</f>
        <v>0</v>
      </c>
      <c r="AF285" s="663" cm="1">
        <f t="array" ref="AF285">IF($D285=0,0,AD285*(c_Rate.Hurdle2.MO))</f>
        <v>0</v>
      </c>
      <c r="AG285" s="663">
        <f t="shared" si="1689"/>
        <v>0</v>
      </c>
      <c r="AH285" s="663">
        <f t="shared" si="1718"/>
        <v>0</v>
      </c>
      <c r="AI285" s="663">
        <f t="shared" si="1690"/>
        <v>0</v>
      </c>
      <c r="AJ285" s="664">
        <f t="shared" si="1691"/>
        <v>0</v>
      </c>
      <c r="AK285" s="660">
        <f t="shared" si="1692"/>
        <v>0</v>
      </c>
      <c r="AL285" s="663">
        <f t="shared" ref="AL285" si="2025">IF(AD285=0,0,Z285+AH285/$J$18*c_Hurdle2.Share_GP)</f>
        <v>0</v>
      </c>
      <c r="AM285" s="663">
        <f t="shared" si="1694"/>
        <v>0</v>
      </c>
      <c r="AN285" s="660">
        <f t="shared" si="1741"/>
        <v>0</v>
      </c>
      <c r="AO285" s="521"/>
      <c r="AP285" s="663">
        <f t="shared" si="1880"/>
        <v>0</v>
      </c>
      <c r="AQ285" s="663">
        <f t="shared" ref="AQ285" si="2026">IF($G285=0,0,-MIN(0,$G285*c_EquityShare.LP))</f>
        <v>0</v>
      </c>
      <c r="AR285" s="663" cm="1">
        <f t="array" ref="AR285">IF($D285=0,0,AP285*(c_Rate.Hurdle3.MO))</f>
        <v>0</v>
      </c>
      <c r="AS285" s="663">
        <f t="shared" si="1696"/>
        <v>0</v>
      </c>
      <c r="AT285" s="663">
        <f t="shared" si="1721"/>
        <v>0</v>
      </c>
      <c r="AU285" s="663">
        <f t="shared" si="1697"/>
        <v>0</v>
      </c>
      <c r="AV285" s="664">
        <f t="shared" si="1698"/>
        <v>0</v>
      </c>
      <c r="AW285" s="660">
        <f t="shared" si="1722"/>
        <v>0</v>
      </c>
      <c r="AX285" s="663">
        <f t="shared" ref="AX285" si="2027">IF(AP285=0,0,AL285+AT285/$J$19*c_Hurdle3.Share_GP)</f>
        <v>0</v>
      </c>
      <c r="AY285" s="663">
        <f t="shared" si="1724"/>
        <v>0</v>
      </c>
      <c r="AZ285" s="660">
        <f t="shared" si="1744"/>
        <v>0</v>
      </c>
      <c r="BA285" s="521"/>
      <c r="BB285" s="660">
        <f t="shared" si="1939"/>
        <v>0</v>
      </c>
      <c r="BC285" s="660">
        <f t="shared" ref="BC285" si="2028">$AZ285*c_Residual.Share_GP</f>
        <v>0</v>
      </c>
      <c r="BD285" s="651"/>
      <c r="BE285" s="660">
        <f t="shared" si="1726"/>
        <v>0</v>
      </c>
      <c r="BF285" s="660">
        <f t="shared" si="1726"/>
        <v>0</v>
      </c>
      <c r="BG285" s="660">
        <f t="shared" si="1701"/>
        <v>0</v>
      </c>
      <c r="BI285" s="660">
        <v>0</v>
      </c>
      <c r="BJ285" s="660">
        <v>0</v>
      </c>
      <c r="BK285" s="660">
        <v>0</v>
      </c>
      <c r="BL285" s="660">
        <f t="shared" si="1727"/>
        <v>0</v>
      </c>
      <c r="BM285" s="660">
        <f t="shared" si="1727"/>
        <v>0</v>
      </c>
      <c r="BN285" s="660">
        <f t="shared" si="1728"/>
        <v>0</v>
      </c>
      <c r="BO285" s="660">
        <f t="shared" si="1728"/>
        <v>0</v>
      </c>
      <c r="BP285" s="660">
        <f t="shared" si="1729"/>
        <v>0</v>
      </c>
      <c r="BQ285" s="660">
        <f t="shared" si="1729"/>
        <v>0</v>
      </c>
      <c r="BR285" s="660">
        <v>0</v>
      </c>
      <c r="BS285" s="660">
        <v>0</v>
      </c>
      <c r="BT285" s="660">
        <f t="shared" si="1702"/>
        <v>0</v>
      </c>
      <c r="BU285" s="660">
        <f t="shared" si="1702"/>
        <v>0</v>
      </c>
      <c r="BX285" s="660">
        <v>0</v>
      </c>
      <c r="BY285" s="660">
        <f t="shared" si="1730"/>
        <v>0</v>
      </c>
      <c r="BZ285" s="660">
        <f t="shared" si="1703"/>
        <v>0</v>
      </c>
      <c r="CA285" s="660">
        <f t="shared" si="1704"/>
        <v>0</v>
      </c>
      <c r="CB285" s="660">
        <f t="shared" si="1705"/>
        <v>0</v>
      </c>
      <c r="CC285" s="660">
        <f t="shared" si="1706"/>
        <v>0</v>
      </c>
      <c r="CD285" s="660">
        <f t="shared" si="1731"/>
        <v>0</v>
      </c>
    </row>
    <row r="286" spans="4:82" ht="16" hidden="1" thickTop="1" thickBot="1">
      <c r="D286" s="653"/>
      <c r="E286" s="654"/>
      <c r="F286" s="655" t="str">
        <f t="shared" si="1707"/>
        <v/>
      </c>
      <c r="G286" s="656"/>
      <c r="I286" s="658">
        <f t="shared" si="1708"/>
        <v>0</v>
      </c>
      <c r="J286" s="658">
        <f t="shared" ref="J286" si="2029">IF($G286=0,0,-MIN(0,G286*c_EquityShare.LP))</f>
        <v>0</v>
      </c>
      <c r="K286" s="658">
        <f t="shared" ref="K286" si="2030">I286*c_Rate.Pref_MO</f>
        <v>0</v>
      </c>
      <c r="L286" s="658">
        <f t="shared" si="1684"/>
        <v>0</v>
      </c>
      <c r="M286" s="658">
        <f t="shared" si="1711"/>
        <v>0</v>
      </c>
      <c r="N286" s="658">
        <f t="shared" si="1734"/>
        <v>0</v>
      </c>
      <c r="O286" s="658" cm="1">
        <f t="array" ref="O286">IF(I286=0,0,IF(G286&lt;0,N286/c_EquityShare.LP*i_EquityShare.GP,L286/c_EquityShare.LP*i_EquityShare.GP))</f>
        <v>0</v>
      </c>
      <c r="P286" s="658">
        <f t="shared" si="1712"/>
        <v>0</v>
      </c>
      <c r="Q286" s="658">
        <f t="shared" si="1685"/>
        <v>0</v>
      </c>
      <c r="R286" s="521"/>
      <c r="S286" s="660">
        <f t="shared" si="1713"/>
        <v>0</v>
      </c>
      <c r="T286" s="663" cm="1">
        <f t="array" ref="T286">IF($G286=0,0,-MIN(0,$G286*c_EquityShare.LP))</f>
        <v>0</v>
      </c>
      <c r="U286" s="663" cm="1">
        <f t="array" ref="U286">IF($D286=0,0,S286*c_Rate.Hurdle1.MO)</f>
        <v>0</v>
      </c>
      <c r="V286" s="660">
        <f t="shared" si="1735"/>
        <v>0</v>
      </c>
      <c r="W286" s="660">
        <f t="shared" si="1714"/>
        <v>0</v>
      </c>
      <c r="X286" s="663">
        <f t="shared" si="1736"/>
        <v>0</v>
      </c>
      <c r="Y286" s="663">
        <f t="shared" si="1715"/>
        <v>0</v>
      </c>
      <c r="Z286" s="663">
        <f t="shared" ref="Z286" si="2031">IF(S286=0,0,O286+W286/$J$17*c_Hurdle1.Share_GP)</f>
        <v>0</v>
      </c>
      <c r="AA286" s="663">
        <f t="shared" si="1687"/>
        <v>0</v>
      </c>
      <c r="AB286" s="660">
        <f t="shared" si="1738"/>
        <v>0</v>
      </c>
      <c r="AC286" s="521"/>
      <c r="AD286" s="663">
        <f t="shared" si="1877"/>
        <v>0</v>
      </c>
      <c r="AE286" s="663">
        <f t="shared" ref="AE286" si="2032">IF($G286=0,0,-MIN(0,$G286*c_EquityShare.LP))</f>
        <v>0</v>
      </c>
      <c r="AF286" s="663" cm="1">
        <f t="array" ref="AF286">IF($D286=0,0,AD286*(c_Rate.Hurdle2.MO))</f>
        <v>0</v>
      </c>
      <c r="AG286" s="663">
        <f t="shared" si="1689"/>
        <v>0</v>
      </c>
      <c r="AH286" s="663">
        <f t="shared" si="1718"/>
        <v>0</v>
      </c>
      <c r="AI286" s="663">
        <f t="shared" si="1690"/>
        <v>0</v>
      </c>
      <c r="AJ286" s="664">
        <f t="shared" si="1691"/>
        <v>0</v>
      </c>
      <c r="AK286" s="660">
        <f t="shared" si="1692"/>
        <v>0</v>
      </c>
      <c r="AL286" s="663">
        <f t="shared" ref="AL286" si="2033">IF(AD286=0,0,Z286+AH286/$J$18*c_Hurdle2.Share_GP)</f>
        <v>0</v>
      </c>
      <c r="AM286" s="663">
        <f t="shared" si="1694"/>
        <v>0</v>
      </c>
      <c r="AN286" s="660">
        <f t="shared" si="1741"/>
        <v>0</v>
      </c>
      <c r="AO286" s="521"/>
      <c r="AP286" s="663">
        <f t="shared" si="1880"/>
        <v>0</v>
      </c>
      <c r="AQ286" s="663">
        <f t="shared" ref="AQ286" si="2034">IF($G286=0,0,-MIN(0,$G286*c_EquityShare.LP))</f>
        <v>0</v>
      </c>
      <c r="AR286" s="663" cm="1">
        <f t="array" ref="AR286">IF($D286=0,0,AP286*(c_Rate.Hurdle3.MO))</f>
        <v>0</v>
      </c>
      <c r="AS286" s="663">
        <f t="shared" si="1696"/>
        <v>0</v>
      </c>
      <c r="AT286" s="663">
        <f t="shared" si="1721"/>
        <v>0</v>
      </c>
      <c r="AU286" s="663">
        <f t="shared" si="1697"/>
        <v>0</v>
      </c>
      <c r="AV286" s="664">
        <f t="shared" si="1698"/>
        <v>0</v>
      </c>
      <c r="AW286" s="660">
        <f t="shared" si="1722"/>
        <v>0</v>
      </c>
      <c r="AX286" s="663">
        <f t="shared" ref="AX286" si="2035">IF(AP286=0,0,AL286+AT286/$J$19*c_Hurdle3.Share_GP)</f>
        <v>0</v>
      </c>
      <c r="AY286" s="663">
        <f t="shared" si="1724"/>
        <v>0</v>
      </c>
      <c r="AZ286" s="660">
        <f t="shared" si="1744"/>
        <v>0</v>
      </c>
      <c r="BA286" s="521"/>
      <c r="BB286" s="660">
        <f t="shared" si="1939"/>
        <v>0</v>
      </c>
      <c r="BC286" s="660">
        <f t="shared" ref="BC286" si="2036">$AZ286*c_Residual.Share_GP</f>
        <v>0</v>
      </c>
      <c r="BD286" s="651"/>
      <c r="BE286" s="660">
        <f t="shared" si="1726"/>
        <v>0</v>
      </c>
      <c r="BF286" s="660">
        <f t="shared" si="1726"/>
        <v>0</v>
      </c>
      <c r="BG286" s="660">
        <f t="shared" si="1701"/>
        <v>0</v>
      </c>
      <c r="BI286" s="660">
        <v>0</v>
      </c>
      <c r="BJ286" s="660">
        <v>0</v>
      </c>
      <c r="BK286" s="660">
        <v>0</v>
      </c>
      <c r="BL286" s="660">
        <f t="shared" si="1727"/>
        <v>0</v>
      </c>
      <c r="BM286" s="660">
        <f t="shared" si="1727"/>
        <v>0</v>
      </c>
      <c r="BN286" s="660">
        <f t="shared" si="1728"/>
        <v>0</v>
      </c>
      <c r="BO286" s="660">
        <f t="shared" si="1728"/>
        <v>0</v>
      </c>
      <c r="BP286" s="660">
        <f t="shared" si="1729"/>
        <v>0</v>
      </c>
      <c r="BQ286" s="660">
        <f t="shared" si="1729"/>
        <v>0</v>
      </c>
      <c r="BR286" s="660">
        <v>0</v>
      </c>
      <c r="BS286" s="660">
        <v>0</v>
      </c>
      <c r="BT286" s="660">
        <f t="shared" si="1702"/>
        <v>0</v>
      </c>
      <c r="BU286" s="660">
        <f t="shared" si="1702"/>
        <v>0</v>
      </c>
      <c r="BX286" s="660">
        <v>0</v>
      </c>
      <c r="BY286" s="660">
        <f t="shared" si="1730"/>
        <v>0</v>
      </c>
      <c r="BZ286" s="660">
        <f t="shared" si="1703"/>
        <v>0</v>
      </c>
      <c r="CA286" s="660">
        <f t="shared" si="1704"/>
        <v>0</v>
      </c>
      <c r="CB286" s="660">
        <f t="shared" si="1705"/>
        <v>0</v>
      </c>
      <c r="CC286" s="660">
        <f t="shared" si="1706"/>
        <v>0</v>
      </c>
      <c r="CD286" s="660">
        <f t="shared" si="1731"/>
        <v>0</v>
      </c>
    </row>
    <row r="287" spans="4:82" ht="16" hidden="1" thickTop="1" thickBot="1">
      <c r="D287" s="653"/>
      <c r="E287" s="654"/>
      <c r="F287" s="655" t="str">
        <f t="shared" si="1707"/>
        <v/>
      </c>
      <c r="G287" s="656"/>
      <c r="I287" s="658">
        <f t="shared" si="1708"/>
        <v>0</v>
      </c>
      <c r="J287" s="658">
        <f t="shared" ref="J287" si="2037">IF($G287=0,0,-MIN(0,G287*c_EquityShare.LP))</f>
        <v>0</v>
      </c>
      <c r="K287" s="658">
        <f t="shared" ref="K287" si="2038">I287*c_Rate.Pref_MO</f>
        <v>0</v>
      </c>
      <c r="L287" s="658">
        <f t="shared" si="1684"/>
        <v>0</v>
      </c>
      <c r="M287" s="658">
        <f t="shared" si="1711"/>
        <v>0</v>
      </c>
      <c r="N287" s="658">
        <f t="shared" si="1734"/>
        <v>0</v>
      </c>
      <c r="O287" s="658" cm="1">
        <f t="array" ref="O287">IF(I287=0,0,IF(G287&lt;0,N287/c_EquityShare.LP*i_EquityShare.GP,L287/c_EquityShare.LP*i_EquityShare.GP))</f>
        <v>0</v>
      </c>
      <c r="P287" s="658">
        <f t="shared" si="1712"/>
        <v>0</v>
      </c>
      <c r="Q287" s="658">
        <f t="shared" si="1685"/>
        <v>0</v>
      </c>
      <c r="R287" s="521"/>
      <c r="S287" s="660">
        <f t="shared" si="1713"/>
        <v>0</v>
      </c>
      <c r="T287" s="663" cm="1">
        <f t="array" ref="T287">IF($G287=0,0,-MIN(0,$G287*c_EquityShare.LP))</f>
        <v>0</v>
      </c>
      <c r="U287" s="663" cm="1">
        <f t="array" ref="U287">IF($D287=0,0,S287*c_Rate.Hurdle1.MO)</f>
        <v>0</v>
      </c>
      <c r="V287" s="660">
        <f t="shared" si="1735"/>
        <v>0</v>
      </c>
      <c r="W287" s="660">
        <f t="shared" si="1714"/>
        <v>0</v>
      </c>
      <c r="X287" s="663">
        <f t="shared" si="1736"/>
        <v>0</v>
      </c>
      <c r="Y287" s="663">
        <f t="shared" si="1715"/>
        <v>0</v>
      </c>
      <c r="Z287" s="663">
        <f t="shared" ref="Z287" si="2039">IF(S287=0,0,O287+W287/$J$17*c_Hurdle1.Share_GP)</f>
        <v>0</v>
      </c>
      <c r="AA287" s="663">
        <f t="shared" si="1687"/>
        <v>0</v>
      </c>
      <c r="AB287" s="660">
        <f t="shared" si="1738"/>
        <v>0</v>
      </c>
      <c r="AC287" s="521"/>
      <c r="AD287" s="663">
        <f t="shared" si="1877"/>
        <v>0</v>
      </c>
      <c r="AE287" s="663">
        <f t="shared" ref="AE287" si="2040">IF($G287=0,0,-MIN(0,$G287*c_EquityShare.LP))</f>
        <v>0</v>
      </c>
      <c r="AF287" s="663" cm="1">
        <f t="array" ref="AF287">IF($D287=0,0,AD287*(c_Rate.Hurdle2.MO))</f>
        <v>0</v>
      </c>
      <c r="AG287" s="663">
        <f t="shared" si="1689"/>
        <v>0</v>
      </c>
      <c r="AH287" s="663">
        <f t="shared" si="1718"/>
        <v>0</v>
      </c>
      <c r="AI287" s="663">
        <f t="shared" si="1690"/>
        <v>0</v>
      </c>
      <c r="AJ287" s="664">
        <f t="shared" si="1691"/>
        <v>0</v>
      </c>
      <c r="AK287" s="660">
        <f t="shared" si="1692"/>
        <v>0</v>
      </c>
      <c r="AL287" s="663">
        <f t="shared" ref="AL287" si="2041">IF(AD287=0,0,Z287+AH287/$J$18*c_Hurdle2.Share_GP)</f>
        <v>0</v>
      </c>
      <c r="AM287" s="663">
        <f t="shared" si="1694"/>
        <v>0</v>
      </c>
      <c r="AN287" s="660">
        <f t="shared" si="1741"/>
        <v>0</v>
      </c>
      <c r="AO287" s="521"/>
      <c r="AP287" s="663">
        <f t="shared" si="1880"/>
        <v>0</v>
      </c>
      <c r="AQ287" s="663">
        <f t="shared" ref="AQ287" si="2042">IF($G287=0,0,-MIN(0,$G287*c_EquityShare.LP))</f>
        <v>0</v>
      </c>
      <c r="AR287" s="663" cm="1">
        <f t="array" ref="AR287">IF($D287=0,0,AP287*(c_Rate.Hurdle3.MO))</f>
        <v>0</v>
      </c>
      <c r="AS287" s="663">
        <f t="shared" si="1696"/>
        <v>0</v>
      </c>
      <c r="AT287" s="663">
        <f t="shared" si="1721"/>
        <v>0</v>
      </c>
      <c r="AU287" s="663">
        <f t="shared" si="1697"/>
        <v>0</v>
      </c>
      <c r="AV287" s="664">
        <f t="shared" si="1698"/>
        <v>0</v>
      </c>
      <c r="AW287" s="660">
        <f t="shared" si="1722"/>
        <v>0</v>
      </c>
      <c r="AX287" s="663">
        <f t="shared" ref="AX287" si="2043">IF(AP287=0,0,AL287+AT287/$J$19*c_Hurdle3.Share_GP)</f>
        <v>0</v>
      </c>
      <c r="AY287" s="663">
        <f t="shared" si="1724"/>
        <v>0</v>
      </c>
      <c r="AZ287" s="660">
        <f t="shared" si="1744"/>
        <v>0</v>
      </c>
      <c r="BA287" s="521"/>
      <c r="BB287" s="660">
        <f t="shared" si="1939"/>
        <v>0</v>
      </c>
      <c r="BC287" s="660">
        <f t="shared" ref="BC287" si="2044">$AZ287*c_Residual.Share_GP</f>
        <v>0</v>
      </c>
      <c r="BD287" s="651"/>
      <c r="BE287" s="660">
        <f t="shared" si="1726"/>
        <v>0</v>
      </c>
      <c r="BF287" s="660">
        <f t="shared" si="1726"/>
        <v>0</v>
      </c>
      <c r="BG287" s="660">
        <f t="shared" si="1701"/>
        <v>0</v>
      </c>
      <c r="BI287" s="660">
        <v>0</v>
      </c>
      <c r="BJ287" s="660">
        <v>0</v>
      </c>
      <c r="BK287" s="660">
        <v>0</v>
      </c>
      <c r="BL287" s="660">
        <f t="shared" si="1727"/>
        <v>0</v>
      </c>
      <c r="BM287" s="660">
        <f t="shared" si="1727"/>
        <v>0</v>
      </c>
      <c r="BN287" s="660">
        <f t="shared" si="1728"/>
        <v>0</v>
      </c>
      <c r="BO287" s="660">
        <f t="shared" si="1728"/>
        <v>0</v>
      </c>
      <c r="BP287" s="660">
        <f t="shared" si="1729"/>
        <v>0</v>
      </c>
      <c r="BQ287" s="660">
        <f t="shared" si="1729"/>
        <v>0</v>
      </c>
      <c r="BR287" s="660">
        <v>0</v>
      </c>
      <c r="BS287" s="660">
        <v>0</v>
      </c>
      <c r="BT287" s="660">
        <f t="shared" si="1702"/>
        <v>0</v>
      </c>
      <c r="BU287" s="660">
        <f t="shared" si="1702"/>
        <v>0</v>
      </c>
      <c r="BX287" s="660">
        <v>0</v>
      </c>
      <c r="BY287" s="660">
        <f t="shared" si="1730"/>
        <v>0</v>
      </c>
      <c r="BZ287" s="660">
        <f t="shared" si="1703"/>
        <v>0</v>
      </c>
      <c r="CA287" s="660">
        <f t="shared" si="1704"/>
        <v>0</v>
      </c>
      <c r="CB287" s="660">
        <f t="shared" si="1705"/>
        <v>0</v>
      </c>
      <c r="CC287" s="660">
        <f t="shared" si="1706"/>
        <v>0</v>
      </c>
      <c r="CD287" s="660">
        <f t="shared" si="1731"/>
        <v>0</v>
      </c>
    </row>
    <row r="288" spans="4:82" ht="16" hidden="1" thickTop="1" thickBot="1">
      <c r="D288" s="653"/>
      <c r="E288" s="654"/>
      <c r="F288" s="655" t="str">
        <f t="shared" si="1707"/>
        <v/>
      </c>
      <c r="G288" s="656"/>
      <c r="I288" s="658">
        <f t="shared" si="1708"/>
        <v>0</v>
      </c>
      <c r="J288" s="658">
        <f t="shared" ref="J288" si="2045">IF($G288=0,0,-MIN(0,G288*c_EquityShare.LP))</f>
        <v>0</v>
      </c>
      <c r="K288" s="658">
        <f t="shared" ref="K288" si="2046">I288*c_Rate.Pref_MO</f>
        <v>0</v>
      </c>
      <c r="L288" s="658">
        <f t="shared" si="1684"/>
        <v>0</v>
      </c>
      <c r="M288" s="658">
        <f t="shared" si="1711"/>
        <v>0</v>
      </c>
      <c r="N288" s="658">
        <f t="shared" si="1734"/>
        <v>0</v>
      </c>
      <c r="O288" s="658" cm="1">
        <f t="array" ref="O288">IF(I288=0,0,IF(G288&lt;0,N288/c_EquityShare.LP*i_EquityShare.GP,L288/c_EquityShare.LP*i_EquityShare.GP))</f>
        <v>0</v>
      </c>
      <c r="P288" s="658">
        <f t="shared" si="1712"/>
        <v>0</v>
      </c>
      <c r="Q288" s="658">
        <f t="shared" si="1685"/>
        <v>0</v>
      </c>
      <c r="R288" s="521"/>
      <c r="S288" s="660">
        <f t="shared" si="1713"/>
        <v>0</v>
      </c>
      <c r="T288" s="663" cm="1">
        <f t="array" ref="T288">IF($G288=0,0,-MIN(0,$G288*c_EquityShare.LP))</f>
        <v>0</v>
      </c>
      <c r="U288" s="663" cm="1">
        <f t="array" ref="U288">IF($D288=0,0,S288*c_Rate.Hurdle1.MO)</f>
        <v>0</v>
      </c>
      <c r="V288" s="660">
        <f t="shared" si="1735"/>
        <v>0</v>
      </c>
      <c r="W288" s="660">
        <f t="shared" si="1714"/>
        <v>0</v>
      </c>
      <c r="X288" s="663">
        <f t="shared" si="1736"/>
        <v>0</v>
      </c>
      <c r="Y288" s="663">
        <f t="shared" si="1715"/>
        <v>0</v>
      </c>
      <c r="Z288" s="663">
        <f t="shared" ref="Z288" si="2047">IF(S288=0,0,O288+W288/$J$17*c_Hurdle1.Share_GP)</f>
        <v>0</v>
      </c>
      <c r="AA288" s="663">
        <f t="shared" si="1687"/>
        <v>0</v>
      </c>
      <c r="AB288" s="660">
        <f t="shared" si="1738"/>
        <v>0</v>
      </c>
      <c r="AC288" s="521"/>
      <c r="AD288" s="663">
        <f t="shared" si="1877"/>
        <v>0</v>
      </c>
      <c r="AE288" s="663">
        <f t="shared" ref="AE288" si="2048">IF($G288=0,0,-MIN(0,$G288*c_EquityShare.LP))</f>
        <v>0</v>
      </c>
      <c r="AF288" s="663" cm="1">
        <f t="array" ref="AF288">IF($D288=0,0,AD288*(c_Rate.Hurdle2.MO))</f>
        <v>0</v>
      </c>
      <c r="AG288" s="663">
        <f t="shared" si="1689"/>
        <v>0</v>
      </c>
      <c r="AH288" s="663">
        <f t="shared" si="1718"/>
        <v>0</v>
      </c>
      <c r="AI288" s="663">
        <f t="shared" si="1690"/>
        <v>0</v>
      </c>
      <c r="AJ288" s="664">
        <f t="shared" si="1691"/>
        <v>0</v>
      </c>
      <c r="AK288" s="660">
        <f t="shared" si="1692"/>
        <v>0</v>
      </c>
      <c r="AL288" s="663">
        <f t="shared" ref="AL288" si="2049">IF(AD288=0,0,Z288+AH288/$J$18*c_Hurdle2.Share_GP)</f>
        <v>0</v>
      </c>
      <c r="AM288" s="663">
        <f t="shared" si="1694"/>
        <v>0</v>
      </c>
      <c r="AN288" s="660">
        <f t="shared" si="1741"/>
        <v>0</v>
      </c>
      <c r="AO288" s="521"/>
      <c r="AP288" s="663">
        <f t="shared" si="1880"/>
        <v>0</v>
      </c>
      <c r="AQ288" s="663">
        <f t="shared" ref="AQ288" si="2050">IF($G288=0,0,-MIN(0,$G288*c_EquityShare.LP))</f>
        <v>0</v>
      </c>
      <c r="AR288" s="663" cm="1">
        <f t="array" ref="AR288">IF($D288=0,0,AP288*(c_Rate.Hurdle3.MO))</f>
        <v>0</v>
      </c>
      <c r="AS288" s="663">
        <f t="shared" si="1696"/>
        <v>0</v>
      </c>
      <c r="AT288" s="663">
        <f t="shared" si="1721"/>
        <v>0</v>
      </c>
      <c r="AU288" s="663">
        <f t="shared" si="1697"/>
        <v>0</v>
      </c>
      <c r="AV288" s="664">
        <f t="shared" si="1698"/>
        <v>0</v>
      </c>
      <c r="AW288" s="660">
        <f t="shared" si="1722"/>
        <v>0</v>
      </c>
      <c r="AX288" s="663">
        <f t="shared" ref="AX288" si="2051">IF(AP288=0,0,AL288+AT288/$J$19*c_Hurdle3.Share_GP)</f>
        <v>0</v>
      </c>
      <c r="AY288" s="663">
        <f t="shared" si="1724"/>
        <v>0</v>
      </c>
      <c r="AZ288" s="660">
        <f t="shared" si="1744"/>
        <v>0</v>
      </c>
      <c r="BA288" s="521"/>
      <c r="BB288" s="660">
        <f t="shared" si="1939"/>
        <v>0</v>
      </c>
      <c r="BC288" s="660">
        <f t="shared" ref="BC288" si="2052">$AZ288*c_Residual.Share_GP</f>
        <v>0</v>
      </c>
      <c r="BD288" s="651"/>
      <c r="BE288" s="660">
        <f t="shared" si="1726"/>
        <v>0</v>
      </c>
      <c r="BF288" s="660">
        <f t="shared" si="1726"/>
        <v>0</v>
      </c>
      <c r="BG288" s="660">
        <f t="shared" si="1701"/>
        <v>0</v>
      </c>
      <c r="BI288" s="660">
        <v>0</v>
      </c>
      <c r="BJ288" s="660">
        <v>0</v>
      </c>
      <c r="BK288" s="660">
        <v>0</v>
      </c>
      <c r="BL288" s="660">
        <f t="shared" si="1727"/>
        <v>0</v>
      </c>
      <c r="BM288" s="660">
        <f t="shared" si="1727"/>
        <v>0</v>
      </c>
      <c r="BN288" s="660">
        <f t="shared" si="1728"/>
        <v>0</v>
      </c>
      <c r="BO288" s="660">
        <f t="shared" si="1728"/>
        <v>0</v>
      </c>
      <c r="BP288" s="660">
        <f t="shared" si="1729"/>
        <v>0</v>
      </c>
      <c r="BQ288" s="660">
        <f t="shared" si="1729"/>
        <v>0</v>
      </c>
      <c r="BR288" s="660">
        <v>0</v>
      </c>
      <c r="BS288" s="660">
        <v>0</v>
      </c>
      <c r="BT288" s="660">
        <f t="shared" si="1702"/>
        <v>0</v>
      </c>
      <c r="BU288" s="660">
        <f t="shared" si="1702"/>
        <v>0</v>
      </c>
      <c r="BX288" s="660">
        <v>0</v>
      </c>
      <c r="BY288" s="660">
        <f t="shared" si="1730"/>
        <v>0</v>
      </c>
      <c r="BZ288" s="660">
        <f t="shared" si="1703"/>
        <v>0</v>
      </c>
      <c r="CA288" s="660">
        <f t="shared" si="1704"/>
        <v>0</v>
      </c>
      <c r="CB288" s="660">
        <f t="shared" si="1705"/>
        <v>0</v>
      </c>
      <c r="CC288" s="660">
        <f t="shared" si="1706"/>
        <v>0</v>
      </c>
      <c r="CD288" s="660">
        <f t="shared" si="1731"/>
        <v>0</v>
      </c>
    </row>
    <row r="289" spans="4:82" ht="16" hidden="1" thickTop="1" thickBot="1">
      <c r="D289" s="653"/>
      <c r="E289" s="654"/>
      <c r="F289" s="655" t="str">
        <f t="shared" si="1707"/>
        <v/>
      </c>
      <c r="G289" s="656"/>
      <c r="I289" s="658">
        <f t="shared" si="1708"/>
        <v>0</v>
      </c>
      <c r="J289" s="658">
        <f t="shared" ref="J289" si="2053">IF($G289=0,0,-MIN(0,G289*c_EquityShare.LP))</f>
        <v>0</v>
      </c>
      <c r="K289" s="658">
        <f t="shared" ref="K289" si="2054">I289*c_Rate.Pref_MO</f>
        <v>0</v>
      </c>
      <c r="L289" s="658">
        <f t="shared" si="1684"/>
        <v>0</v>
      </c>
      <c r="M289" s="658">
        <f t="shared" si="1711"/>
        <v>0</v>
      </c>
      <c r="N289" s="658">
        <f t="shared" si="1734"/>
        <v>0</v>
      </c>
      <c r="O289" s="658" cm="1">
        <f t="array" ref="O289">IF(I289=0,0,IF(G289&lt;0,N289/c_EquityShare.LP*i_EquityShare.GP,L289/c_EquityShare.LP*i_EquityShare.GP))</f>
        <v>0</v>
      </c>
      <c r="P289" s="658">
        <f t="shared" si="1712"/>
        <v>0</v>
      </c>
      <c r="Q289" s="658">
        <f t="shared" si="1685"/>
        <v>0</v>
      </c>
      <c r="R289" s="521"/>
      <c r="S289" s="660">
        <f t="shared" si="1713"/>
        <v>0</v>
      </c>
      <c r="T289" s="663" cm="1">
        <f t="array" ref="T289">IF($G289=0,0,-MIN(0,$G289*c_EquityShare.LP))</f>
        <v>0</v>
      </c>
      <c r="U289" s="663" cm="1">
        <f t="array" ref="U289">IF($D289=0,0,S289*c_Rate.Hurdle1.MO)</f>
        <v>0</v>
      </c>
      <c r="V289" s="660">
        <f t="shared" si="1735"/>
        <v>0</v>
      </c>
      <c r="W289" s="660">
        <f t="shared" si="1714"/>
        <v>0</v>
      </c>
      <c r="X289" s="663">
        <f t="shared" si="1736"/>
        <v>0</v>
      </c>
      <c r="Y289" s="663">
        <f t="shared" si="1715"/>
        <v>0</v>
      </c>
      <c r="Z289" s="663">
        <f t="shared" ref="Z289" si="2055">IF(S289=0,0,O289+W289/$J$17*c_Hurdle1.Share_GP)</f>
        <v>0</v>
      </c>
      <c r="AA289" s="663">
        <f t="shared" si="1687"/>
        <v>0</v>
      </c>
      <c r="AB289" s="660">
        <f t="shared" si="1738"/>
        <v>0</v>
      </c>
      <c r="AC289" s="521"/>
      <c r="AD289" s="663">
        <f t="shared" si="1877"/>
        <v>0</v>
      </c>
      <c r="AE289" s="663">
        <f t="shared" ref="AE289" si="2056">IF($G289=0,0,-MIN(0,$G289*c_EquityShare.LP))</f>
        <v>0</v>
      </c>
      <c r="AF289" s="663" cm="1">
        <f t="array" ref="AF289">IF($D289=0,0,AD289*(c_Rate.Hurdle2.MO))</f>
        <v>0</v>
      </c>
      <c r="AG289" s="663">
        <f t="shared" si="1689"/>
        <v>0</v>
      </c>
      <c r="AH289" s="663">
        <f t="shared" si="1718"/>
        <v>0</v>
      </c>
      <c r="AI289" s="663">
        <f t="shared" si="1690"/>
        <v>0</v>
      </c>
      <c r="AJ289" s="664">
        <f t="shared" si="1691"/>
        <v>0</v>
      </c>
      <c r="AK289" s="660">
        <f t="shared" si="1692"/>
        <v>0</v>
      </c>
      <c r="AL289" s="663">
        <f t="shared" ref="AL289" si="2057">IF(AD289=0,0,Z289+AH289/$J$18*c_Hurdle2.Share_GP)</f>
        <v>0</v>
      </c>
      <c r="AM289" s="663">
        <f t="shared" si="1694"/>
        <v>0</v>
      </c>
      <c r="AN289" s="660">
        <f t="shared" si="1741"/>
        <v>0</v>
      </c>
      <c r="AO289" s="521"/>
      <c r="AP289" s="663">
        <f t="shared" si="1880"/>
        <v>0</v>
      </c>
      <c r="AQ289" s="663">
        <f t="shared" ref="AQ289" si="2058">IF($G289=0,0,-MIN(0,$G289*c_EquityShare.LP))</f>
        <v>0</v>
      </c>
      <c r="AR289" s="663" cm="1">
        <f t="array" ref="AR289">IF($D289=0,0,AP289*(c_Rate.Hurdle3.MO))</f>
        <v>0</v>
      </c>
      <c r="AS289" s="663">
        <f t="shared" si="1696"/>
        <v>0</v>
      </c>
      <c r="AT289" s="663">
        <f t="shared" si="1721"/>
        <v>0</v>
      </c>
      <c r="AU289" s="663">
        <f t="shared" si="1697"/>
        <v>0</v>
      </c>
      <c r="AV289" s="664">
        <f t="shared" si="1698"/>
        <v>0</v>
      </c>
      <c r="AW289" s="660">
        <f t="shared" si="1722"/>
        <v>0</v>
      </c>
      <c r="AX289" s="663">
        <f t="shared" ref="AX289" si="2059">IF(AP289=0,0,AL289+AT289/$J$19*c_Hurdle3.Share_GP)</f>
        <v>0</v>
      </c>
      <c r="AY289" s="663">
        <f t="shared" si="1724"/>
        <v>0</v>
      </c>
      <c r="AZ289" s="660">
        <f t="shared" si="1744"/>
        <v>0</v>
      </c>
      <c r="BA289" s="521"/>
      <c r="BB289" s="660">
        <f t="shared" si="1939"/>
        <v>0</v>
      </c>
      <c r="BC289" s="660">
        <f t="shared" ref="BC289" si="2060">$AZ289*c_Residual.Share_GP</f>
        <v>0</v>
      </c>
      <c r="BD289" s="651"/>
      <c r="BE289" s="660">
        <f t="shared" si="1726"/>
        <v>0</v>
      </c>
      <c r="BF289" s="660">
        <f t="shared" si="1726"/>
        <v>0</v>
      </c>
      <c r="BG289" s="660">
        <f t="shared" si="1701"/>
        <v>0</v>
      </c>
      <c r="BI289" s="660">
        <v>0</v>
      </c>
      <c r="BJ289" s="660">
        <v>0</v>
      </c>
      <c r="BK289" s="660">
        <v>0</v>
      </c>
      <c r="BL289" s="660">
        <f t="shared" si="1727"/>
        <v>0</v>
      </c>
      <c r="BM289" s="660">
        <f t="shared" si="1727"/>
        <v>0</v>
      </c>
      <c r="BN289" s="660">
        <f t="shared" si="1728"/>
        <v>0</v>
      </c>
      <c r="BO289" s="660">
        <f t="shared" si="1728"/>
        <v>0</v>
      </c>
      <c r="BP289" s="660">
        <f t="shared" si="1729"/>
        <v>0</v>
      </c>
      <c r="BQ289" s="660">
        <f t="shared" si="1729"/>
        <v>0</v>
      </c>
      <c r="BR289" s="660">
        <v>0</v>
      </c>
      <c r="BS289" s="660">
        <v>0</v>
      </c>
      <c r="BT289" s="660">
        <f t="shared" si="1702"/>
        <v>0</v>
      </c>
      <c r="BU289" s="660">
        <f t="shared" si="1702"/>
        <v>0</v>
      </c>
      <c r="BX289" s="660">
        <v>0</v>
      </c>
      <c r="BY289" s="660">
        <f t="shared" si="1730"/>
        <v>0</v>
      </c>
      <c r="BZ289" s="660">
        <f t="shared" si="1703"/>
        <v>0</v>
      </c>
      <c r="CA289" s="660">
        <f t="shared" si="1704"/>
        <v>0</v>
      </c>
      <c r="CB289" s="660">
        <f t="shared" si="1705"/>
        <v>0</v>
      </c>
      <c r="CC289" s="660">
        <f t="shared" si="1706"/>
        <v>0</v>
      </c>
      <c r="CD289" s="660">
        <f t="shared" si="1731"/>
        <v>0</v>
      </c>
    </row>
    <row r="290" spans="4:82" ht="16" hidden="1" thickTop="1" thickBot="1">
      <c r="D290" s="653"/>
      <c r="E290" s="654"/>
      <c r="F290" s="655" t="str">
        <f t="shared" si="1707"/>
        <v/>
      </c>
      <c r="G290" s="656"/>
      <c r="I290" s="658">
        <f t="shared" si="1708"/>
        <v>0</v>
      </c>
      <c r="J290" s="658">
        <f t="shared" ref="J290" si="2061">IF($G290=0,0,-MIN(0,G290*c_EquityShare.LP))</f>
        <v>0</v>
      </c>
      <c r="K290" s="658">
        <f t="shared" ref="K290" si="2062">I290*c_Rate.Pref_MO</f>
        <v>0</v>
      </c>
      <c r="L290" s="658">
        <f t="shared" si="1684"/>
        <v>0</v>
      </c>
      <c r="M290" s="658">
        <f t="shared" si="1711"/>
        <v>0</v>
      </c>
      <c r="N290" s="658">
        <f t="shared" si="1734"/>
        <v>0</v>
      </c>
      <c r="O290" s="658" cm="1">
        <f t="array" ref="O290">IF(I290=0,0,IF(G290&lt;0,N290/c_EquityShare.LP*i_EquityShare.GP,L290/c_EquityShare.LP*i_EquityShare.GP))</f>
        <v>0</v>
      </c>
      <c r="P290" s="658">
        <f t="shared" si="1712"/>
        <v>0</v>
      </c>
      <c r="Q290" s="658">
        <f t="shared" si="1685"/>
        <v>0</v>
      </c>
      <c r="R290" s="521"/>
      <c r="S290" s="660">
        <f t="shared" si="1713"/>
        <v>0</v>
      </c>
      <c r="T290" s="663" cm="1">
        <f t="array" ref="T290">IF($G290=0,0,-MIN(0,$G290*c_EquityShare.LP))</f>
        <v>0</v>
      </c>
      <c r="U290" s="663" cm="1">
        <f t="array" ref="U290">IF($D290=0,0,S290*c_Rate.Hurdle1.MO)</f>
        <v>0</v>
      </c>
      <c r="V290" s="660">
        <f t="shared" si="1735"/>
        <v>0</v>
      </c>
      <c r="W290" s="660">
        <f t="shared" si="1714"/>
        <v>0</v>
      </c>
      <c r="X290" s="663">
        <f t="shared" si="1736"/>
        <v>0</v>
      </c>
      <c r="Y290" s="663">
        <f t="shared" si="1715"/>
        <v>0</v>
      </c>
      <c r="Z290" s="663">
        <f t="shared" ref="Z290" si="2063">IF(S290=0,0,O290+W290/$J$17*c_Hurdle1.Share_GP)</f>
        <v>0</v>
      </c>
      <c r="AA290" s="663">
        <f t="shared" si="1687"/>
        <v>0</v>
      </c>
      <c r="AB290" s="660">
        <f t="shared" si="1738"/>
        <v>0</v>
      </c>
      <c r="AC290" s="521"/>
      <c r="AD290" s="663">
        <f t="shared" si="1877"/>
        <v>0</v>
      </c>
      <c r="AE290" s="663">
        <f t="shared" ref="AE290" si="2064">IF($G290=0,0,-MIN(0,$G290*c_EquityShare.LP))</f>
        <v>0</v>
      </c>
      <c r="AF290" s="663" cm="1">
        <f t="array" ref="AF290">IF($D290=0,0,AD290*(c_Rate.Hurdle2.MO))</f>
        <v>0</v>
      </c>
      <c r="AG290" s="663">
        <f t="shared" si="1689"/>
        <v>0</v>
      </c>
      <c r="AH290" s="663">
        <f t="shared" si="1718"/>
        <v>0</v>
      </c>
      <c r="AI290" s="663">
        <f t="shared" si="1690"/>
        <v>0</v>
      </c>
      <c r="AJ290" s="664">
        <f t="shared" si="1691"/>
        <v>0</v>
      </c>
      <c r="AK290" s="660">
        <f t="shared" si="1692"/>
        <v>0</v>
      </c>
      <c r="AL290" s="663">
        <f t="shared" ref="AL290" si="2065">IF(AD290=0,0,Z290+AH290/$J$18*c_Hurdle2.Share_GP)</f>
        <v>0</v>
      </c>
      <c r="AM290" s="663">
        <f t="shared" si="1694"/>
        <v>0</v>
      </c>
      <c r="AN290" s="660">
        <f t="shared" si="1741"/>
        <v>0</v>
      </c>
      <c r="AO290" s="521"/>
      <c r="AP290" s="663">
        <f t="shared" si="1880"/>
        <v>0</v>
      </c>
      <c r="AQ290" s="663">
        <f t="shared" ref="AQ290" si="2066">IF($G290=0,0,-MIN(0,$G290*c_EquityShare.LP))</f>
        <v>0</v>
      </c>
      <c r="AR290" s="663" cm="1">
        <f t="array" ref="AR290">IF($D290=0,0,AP290*(c_Rate.Hurdle3.MO))</f>
        <v>0</v>
      </c>
      <c r="AS290" s="663">
        <f t="shared" si="1696"/>
        <v>0</v>
      </c>
      <c r="AT290" s="663">
        <f t="shared" si="1721"/>
        <v>0</v>
      </c>
      <c r="AU290" s="663">
        <f t="shared" si="1697"/>
        <v>0</v>
      </c>
      <c r="AV290" s="664">
        <f t="shared" si="1698"/>
        <v>0</v>
      </c>
      <c r="AW290" s="660">
        <f t="shared" si="1722"/>
        <v>0</v>
      </c>
      <c r="AX290" s="663">
        <f t="shared" ref="AX290" si="2067">IF(AP290=0,0,AL290+AT290/$J$19*c_Hurdle3.Share_GP)</f>
        <v>0</v>
      </c>
      <c r="AY290" s="663">
        <f t="shared" si="1724"/>
        <v>0</v>
      </c>
      <c r="AZ290" s="660">
        <f t="shared" si="1744"/>
        <v>0</v>
      </c>
      <c r="BA290" s="521"/>
      <c r="BB290" s="660">
        <f t="shared" si="1939"/>
        <v>0</v>
      </c>
      <c r="BC290" s="660">
        <f t="shared" ref="BC290" si="2068">$AZ290*c_Residual.Share_GP</f>
        <v>0</v>
      </c>
      <c r="BD290" s="651"/>
      <c r="BE290" s="660">
        <f t="shared" si="1726"/>
        <v>0</v>
      </c>
      <c r="BF290" s="660">
        <f t="shared" si="1726"/>
        <v>0</v>
      </c>
      <c r="BG290" s="660">
        <f t="shared" si="1701"/>
        <v>0</v>
      </c>
      <c r="BI290" s="660">
        <v>0</v>
      </c>
      <c r="BJ290" s="660">
        <v>0</v>
      </c>
      <c r="BK290" s="660">
        <v>0</v>
      </c>
      <c r="BL290" s="660">
        <f t="shared" si="1727"/>
        <v>0</v>
      </c>
      <c r="BM290" s="660">
        <f t="shared" si="1727"/>
        <v>0</v>
      </c>
      <c r="BN290" s="660">
        <f t="shared" si="1728"/>
        <v>0</v>
      </c>
      <c r="BO290" s="660">
        <f t="shared" si="1728"/>
        <v>0</v>
      </c>
      <c r="BP290" s="660">
        <f t="shared" si="1729"/>
        <v>0</v>
      </c>
      <c r="BQ290" s="660">
        <f t="shared" si="1729"/>
        <v>0</v>
      </c>
      <c r="BR290" s="660">
        <v>0</v>
      </c>
      <c r="BS290" s="660">
        <v>0</v>
      </c>
      <c r="BT290" s="660">
        <f t="shared" si="1702"/>
        <v>0</v>
      </c>
      <c r="BU290" s="660">
        <f t="shared" si="1702"/>
        <v>0</v>
      </c>
      <c r="BX290" s="660">
        <v>0</v>
      </c>
      <c r="BY290" s="660">
        <f t="shared" si="1730"/>
        <v>0</v>
      </c>
      <c r="BZ290" s="660">
        <f t="shared" si="1703"/>
        <v>0</v>
      </c>
      <c r="CA290" s="660">
        <f t="shared" si="1704"/>
        <v>0</v>
      </c>
      <c r="CB290" s="660">
        <f t="shared" si="1705"/>
        <v>0</v>
      </c>
      <c r="CC290" s="660">
        <f t="shared" si="1706"/>
        <v>0</v>
      </c>
      <c r="CD290" s="660">
        <f t="shared" si="1731"/>
        <v>0</v>
      </c>
    </row>
    <row r="291" spans="4:82" ht="16" hidden="1" thickTop="1" thickBot="1">
      <c r="D291" s="653"/>
      <c r="E291" s="654"/>
      <c r="F291" s="655" t="str">
        <f t="shared" si="1707"/>
        <v/>
      </c>
      <c r="G291" s="656"/>
      <c r="I291" s="658">
        <f t="shared" si="1708"/>
        <v>0</v>
      </c>
      <c r="J291" s="658">
        <f t="shared" ref="J291" si="2069">IF($G291=0,0,-MIN(0,G291*c_EquityShare.LP))</f>
        <v>0</v>
      </c>
      <c r="K291" s="658">
        <f t="shared" ref="K291" si="2070">I291*c_Rate.Pref_MO</f>
        <v>0</v>
      </c>
      <c r="L291" s="658">
        <f t="shared" si="1684"/>
        <v>0</v>
      </c>
      <c r="M291" s="658">
        <f t="shared" si="1711"/>
        <v>0</v>
      </c>
      <c r="N291" s="658">
        <f t="shared" si="1734"/>
        <v>0</v>
      </c>
      <c r="O291" s="658" cm="1">
        <f t="array" ref="O291">IF(I291=0,0,IF(G291&lt;0,N291/c_EquityShare.LP*i_EquityShare.GP,L291/c_EquityShare.LP*i_EquityShare.GP))</f>
        <v>0</v>
      </c>
      <c r="P291" s="658">
        <f t="shared" si="1712"/>
        <v>0</v>
      </c>
      <c r="Q291" s="658">
        <f t="shared" si="1685"/>
        <v>0</v>
      </c>
      <c r="R291" s="521"/>
      <c r="S291" s="660">
        <f t="shared" si="1713"/>
        <v>0</v>
      </c>
      <c r="T291" s="663" cm="1">
        <f t="array" ref="T291">IF($G291=0,0,-MIN(0,$G291*c_EquityShare.LP))</f>
        <v>0</v>
      </c>
      <c r="U291" s="663" cm="1">
        <f t="array" ref="U291">IF($D291=0,0,S291*c_Rate.Hurdle1.MO)</f>
        <v>0</v>
      </c>
      <c r="V291" s="660">
        <f t="shared" si="1735"/>
        <v>0</v>
      </c>
      <c r="W291" s="660">
        <f t="shared" si="1714"/>
        <v>0</v>
      </c>
      <c r="X291" s="663">
        <f t="shared" si="1736"/>
        <v>0</v>
      </c>
      <c r="Y291" s="663">
        <f t="shared" si="1715"/>
        <v>0</v>
      </c>
      <c r="Z291" s="663">
        <f t="shared" ref="Z291" si="2071">IF(S291=0,0,O291+W291/$J$17*c_Hurdle1.Share_GP)</f>
        <v>0</v>
      </c>
      <c r="AA291" s="663">
        <f t="shared" si="1687"/>
        <v>0</v>
      </c>
      <c r="AB291" s="660">
        <f t="shared" si="1738"/>
        <v>0</v>
      </c>
      <c r="AC291" s="521"/>
      <c r="AD291" s="663">
        <f t="shared" si="1877"/>
        <v>0</v>
      </c>
      <c r="AE291" s="663">
        <f t="shared" ref="AE291" si="2072">IF($G291=0,0,-MIN(0,$G291*c_EquityShare.LP))</f>
        <v>0</v>
      </c>
      <c r="AF291" s="663" cm="1">
        <f t="array" ref="AF291">IF($D291=0,0,AD291*(c_Rate.Hurdle2.MO))</f>
        <v>0</v>
      </c>
      <c r="AG291" s="663">
        <f t="shared" si="1689"/>
        <v>0</v>
      </c>
      <c r="AH291" s="663">
        <f t="shared" si="1718"/>
        <v>0</v>
      </c>
      <c r="AI291" s="663">
        <f t="shared" si="1690"/>
        <v>0</v>
      </c>
      <c r="AJ291" s="664">
        <f t="shared" si="1691"/>
        <v>0</v>
      </c>
      <c r="AK291" s="660">
        <f t="shared" si="1692"/>
        <v>0</v>
      </c>
      <c r="AL291" s="663">
        <f t="shared" ref="AL291" si="2073">IF(AD291=0,0,Z291+AH291/$J$18*c_Hurdle2.Share_GP)</f>
        <v>0</v>
      </c>
      <c r="AM291" s="663">
        <f t="shared" si="1694"/>
        <v>0</v>
      </c>
      <c r="AN291" s="660">
        <f t="shared" si="1741"/>
        <v>0</v>
      </c>
      <c r="AO291" s="521"/>
      <c r="AP291" s="663">
        <f t="shared" si="1880"/>
        <v>0</v>
      </c>
      <c r="AQ291" s="663">
        <f t="shared" ref="AQ291" si="2074">IF($G291=0,0,-MIN(0,$G291*c_EquityShare.LP))</f>
        <v>0</v>
      </c>
      <c r="AR291" s="663" cm="1">
        <f t="array" ref="AR291">IF($D291=0,0,AP291*(c_Rate.Hurdle3.MO))</f>
        <v>0</v>
      </c>
      <c r="AS291" s="663">
        <f t="shared" si="1696"/>
        <v>0</v>
      </c>
      <c r="AT291" s="663">
        <f t="shared" si="1721"/>
        <v>0</v>
      </c>
      <c r="AU291" s="663">
        <f t="shared" si="1697"/>
        <v>0</v>
      </c>
      <c r="AV291" s="664">
        <f t="shared" si="1698"/>
        <v>0</v>
      </c>
      <c r="AW291" s="660">
        <f t="shared" si="1722"/>
        <v>0</v>
      </c>
      <c r="AX291" s="663">
        <f t="shared" ref="AX291" si="2075">IF(AP291=0,0,AL291+AT291/$J$19*c_Hurdle3.Share_GP)</f>
        <v>0</v>
      </c>
      <c r="AY291" s="663">
        <f t="shared" si="1724"/>
        <v>0</v>
      </c>
      <c r="AZ291" s="660">
        <f t="shared" si="1744"/>
        <v>0</v>
      </c>
      <c r="BA291" s="521"/>
      <c r="BB291" s="660">
        <f t="shared" si="1939"/>
        <v>0</v>
      </c>
      <c r="BC291" s="660">
        <f t="shared" ref="BC291" si="2076">$AZ291*c_Residual.Share_GP</f>
        <v>0</v>
      </c>
      <c r="BD291" s="651"/>
      <c r="BE291" s="660">
        <f t="shared" si="1726"/>
        <v>0</v>
      </c>
      <c r="BF291" s="660">
        <f t="shared" si="1726"/>
        <v>0</v>
      </c>
      <c r="BG291" s="660">
        <f t="shared" si="1701"/>
        <v>0</v>
      </c>
      <c r="BI291" s="660">
        <v>0</v>
      </c>
      <c r="BJ291" s="660">
        <v>0</v>
      </c>
      <c r="BK291" s="660">
        <v>0</v>
      </c>
      <c r="BL291" s="660">
        <f t="shared" si="1727"/>
        <v>0</v>
      </c>
      <c r="BM291" s="660">
        <f t="shared" si="1727"/>
        <v>0</v>
      </c>
      <c r="BN291" s="660">
        <f t="shared" si="1728"/>
        <v>0</v>
      </c>
      <c r="BO291" s="660">
        <f t="shared" si="1728"/>
        <v>0</v>
      </c>
      <c r="BP291" s="660">
        <f t="shared" si="1729"/>
        <v>0</v>
      </c>
      <c r="BQ291" s="660">
        <f t="shared" si="1729"/>
        <v>0</v>
      </c>
      <c r="BR291" s="660">
        <v>0</v>
      </c>
      <c r="BS291" s="660">
        <v>0</v>
      </c>
      <c r="BT291" s="660">
        <f t="shared" si="1702"/>
        <v>0</v>
      </c>
      <c r="BU291" s="660">
        <f t="shared" si="1702"/>
        <v>0</v>
      </c>
      <c r="BX291" s="660">
        <v>0</v>
      </c>
      <c r="BY291" s="660">
        <f t="shared" si="1730"/>
        <v>0</v>
      </c>
      <c r="BZ291" s="660">
        <f t="shared" si="1703"/>
        <v>0</v>
      </c>
      <c r="CA291" s="660">
        <f t="shared" si="1704"/>
        <v>0</v>
      </c>
      <c r="CB291" s="660">
        <f t="shared" si="1705"/>
        <v>0</v>
      </c>
      <c r="CC291" s="660">
        <f t="shared" si="1706"/>
        <v>0</v>
      </c>
      <c r="CD291" s="660">
        <f t="shared" si="1731"/>
        <v>0</v>
      </c>
    </row>
    <row r="292" spans="4:82" ht="16" hidden="1" thickTop="1" thickBot="1">
      <c r="D292" s="653"/>
      <c r="E292" s="654"/>
      <c r="F292" s="655" t="str">
        <f t="shared" si="1707"/>
        <v/>
      </c>
      <c r="G292" s="656"/>
      <c r="I292" s="658">
        <f t="shared" si="1708"/>
        <v>0</v>
      </c>
      <c r="J292" s="658">
        <f t="shared" ref="J292" si="2077">IF($G292=0,0,-MIN(0,G292*c_EquityShare.LP))</f>
        <v>0</v>
      </c>
      <c r="K292" s="658">
        <f t="shared" ref="K292" si="2078">I292*c_Rate.Pref_MO</f>
        <v>0</v>
      </c>
      <c r="L292" s="658">
        <f t="shared" si="1684"/>
        <v>0</v>
      </c>
      <c r="M292" s="658">
        <f t="shared" si="1711"/>
        <v>0</v>
      </c>
      <c r="N292" s="658">
        <f t="shared" si="1734"/>
        <v>0</v>
      </c>
      <c r="O292" s="658" cm="1">
        <f t="array" ref="O292">IF(I292=0,0,IF(G292&lt;0,N292/c_EquityShare.LP*i_EquityShare.GP,L292/c_EquityShare.LP*i_EquityShare.GP))</f>
        <v>0</v>
      </c>
      <c r="P292" s="658">
        <f t="shared" si="1712"/>
        <v>0</v>
      </c>
      <c r="Q292" s="658">
        <f t="shared" si="1685"/>
        <v>0</v>
      </c>
      <c r="R292" s="521"/>
      <c r="S292" s="660">
        <f t="shared" si="1713"/>
        <v>0</v>
      </c>
      <c r="T292" s="663" cm="1">
        <f t="array" ref="T292">IF($G292=0,0,-MIN(0,$G292*c_EquityShare.LP))</f>
        <v>0</v>
      </c>
      <c r="U292" s="663" cm="1">
        <f t="array" ref="U292">IF($D292=0,0,S292*c_Rate.Hurdle1.MO)</f>
        <v>0</v>
      </c>
      <c r="V292" s="660">
        <f t="shared" si="1735"/>
        <v>0</v>
      </c>
      <c r="W292" s="660">
        <f t="shared" si="1714"/>
        <v>0</v>
      </c>
      <c r="X292" s="663">
        <f t="shared" si="1736"/>
        <v>0</v>
      </c>
      <c r="Y292" s="663">
        <f t="shared" si="1715"/>
        <v>0</v>
      </c>
      <c r="Z292" s="663">
        <f t="shared" ref="Z292" si="2079">IF(S292=0,0,O292+W292/$J$17*c_Hurdle1.Share_GP)</f>
        <v>0</v>
      </c>
      <c r="AA292" s="663">
        <f t="shared" si="1687"/>
        <v>0</v>
      </c>
      <c r="AB292" s="660">
        <f t="shared" si="1738"/>
        <v>0</v>
      </c>
      <c r="AC292" s="521"/>
      <c r="AD292" s="663">
        <f t="shared" si="1877"/>
        <v>0</v>
      </c>
      <c r="AE292" s="663">
        <f t="shared" ref="AE292" si="2080">IF($G292=0,0,-MIN(0,$G292*c_EquityShare.LP))</f>
        <v>0</v>
      </c>
      <c r="AF292" s="663" cm="1">
        <f t="array" ref="AF292">IF($D292=0,0,AD292*(c_Rate.Hurdle2.MO))</f>
        <v>0</v>
      </c>
      <c r="AG292" s="663">
        <f t="shared" si="1689"/>
        <v>0</v>
      </c>
      <c r="AH292" s="663">
        <f t="shared" si="1718"/>
        <v>0</v>
      </c>
      <c r="AI292" s="663">
        <f t="shared" si="1690"/>
        <v>0</v>
      </c>
      <c r="AJ292" s="664">
        <f t="shared" si="1691"/>
        <v>0</v>
      </c>
      <c r="AK292" s="660">
        <f t="shared" si="1692"/>
        <v>0</v>
      </c>
      <c r="AL292" s="663">
        <f t="shared" ref="AL292" si="2081">IF(AD292=0,0,Z292+AH292/$J$18*c_Hurdle2.Share_GP)</f>
        <v>0</v>
      </c>
      <c r="AM292" s="663">
        <f t="shared" si="1694"/>
        <v>0</v>
      </c>
      <c r="AN292" s="660">
        <f t="shared" si="1741"/>
        <v>0</v>
      </c>
      <c r="AO292" s="521"/>
      <c r="AP292" s="663">
        <f t="shared" si="1880"/>
        <v>0</v>
      </c>
      <c r="AQ292" s="663">
        <f t="shared" ref="AQ292" si="2082">IF($G292=0,0,-MIN(0,$G292*c_EquityShare.LP))</f>
        <v>0</v>
      </c>
      <c r="AR292" s="663" cm="1">
        <f t="array" ref="AR292">IF($D292=0,0,AP292*(c_Rate.Hurdle3.MO))</f>
        <v>0</v>
      </c>
      <c r="AS292" s="663">
        <f t="shared" si="1696"/>
        <v>0</v>
      </c>
      <c r="AT292" s="663">
        <f t="shared" si="1721"/>
        <v>0</v>
      </c>
      <c r="AU292" s="663">
        <f t="shared" si="1697"/>
        <v>0</v>
      </c>
      <c r="AV292" s="664">
        <f t="shared" si="1698"/>
        <v>0</v>
      </c>
      <c r="AW292" s="660">
        <f t="shared" si="1722"/>
        <v>0</v>
      </c>
      <c r="AX292" s="663">
        <f t="shared" ref="AX292" si="2083">IF(AP292=0,0,AL292+AT292/$J$19*c_Hurdle3.Share_GP)</f>
        <v>0</v>
      </c>
      <c r="AY292" s="663">
        <f t="shared" si="1724"/>
        <v>0</v>
      </c>
      <c r="AZ292" s="660">
        <f t="shared" si="1744"/>
        <v>0</v>
      </c>
      <c r="BA292" s="521"/>
      <c r="BB292" s="660">
        <f t="shared" si="1939"/>
        <v>0</v>
      </c>
      <c r="BC292" s="660">
        <f t="shared" ref="BC292" si="2084">$AZ292*c_Residual.Share_GP</f>
        <v>0</v>
      </c>
      <c r="BD292" s="651"/>
      <c r="BE292" s="660">
        <f t="shared" si="1726"/>
        <v>0</v>
      </c>
      <c r="BF292" s="660">
        <f t="shared" si="1726"/>
        <v>0</v>
      </c>
      <c r="BG292" s="660">
        <f t="shared" si="1701"/>
        <v>0</v>
      </c>
      <c r="BI292" s="660">
        <v>0</v>
      </c>
      <c r="BJ292" s="660">
        <v>0</v>
      </c>
      <c r="BK292" s="660">
        <v>0</v>
      </c>
      <c r="BL292" s="660">
        <f t="shared" si="1727"/>
        <v>0</v>
      </c>
      <c r="BM292" s="660">
        <f t="shared" si="1727"/>
        <v>0</v>
      </c>
      <c r="BN292" s="660">
        <f t="shared" si="1728"/>
        <v>0</v>
      </c>
      <c r="BO292" s="660">
        <f t="shared" si="1728"/>
        <v>0</v>
      </c>
      <c r="BP292" s="660">
        <f t="shared" si="1729"/>
        <v>0</v>
      </c>
      <c r="BQ292" s="660">
        <f t="shared" si="1729"/>
        <v>0</v>
      </c>
      <c r="BR292" s="660">
        <v>0</v>
      </c>
      <c r="BS292" s="660">
        <v>0</v>
      </c>
      <c r="BT292" s="660">
        <f t="shared" si="1702"/>
        <v>0</v>
      </c>
      <c r="BU292" s="660">
        <f t="shared" si="1702"/>
        <v>0</v>
      </c>
      <c r="BX292" s="660">
        <v>0</v>
      </c>
      <c r="BY292" s="660">
        <f t="shared" si="1730"/>
        <v>0</v>
      </c>
      <c r="BZ292" s="660">
        <f t="shared" si="1703"/>
        <v>0</v>
      </c>
      <c r="CA292" s="660">
        <f t="shared" si="1704"/>
        <v>0</v>
      </c>
      <c r="CB292" s="660">
        <f t="shared" si="1705"/>
        <v>0</v>
      </c>
      <c r="CC292" s="660">
        <f t="shared" si="1706"/>
        <v>0</v>
      </c>
      <c r="CD292" s="660">
        <f t="shared" si="1731"/>
        <v>0</v>
      </c>
    </row>
    <row r="293" spans="4:82" ht="16" hidden="1" thickTop="1" thickBot="1">
      <c r="D293" s="653"/>
      <c r="E293" s="654"/>
      <c r="F293" s="655" t="str">
        <f t="shared" si="1707"/>
        <v/>
      </c>
      <c r="G293" s="656"/>
      <c r="I293" s="658">
        <f t="shared" si="1708"/>
        <v>0</v>
      </c>
      <c r="J293" s="658">
        <f t="shared" ref="J293" si="2085">IF($G293=0,0,-MIN(0,G293*c_EquityShare.LP))</f>
        <v>0</v>
      </c>
      <c r="K293" s="658">
        <f t="shared" ref="K293" si="2086">I293*c_Rate.Pref_MO</f>
        <v>0</v>
      </c>
      <c r="L293" s="658">
        <f t="shared" si="1684"/>
        <v>0</v>
      </c>
      <c r="M293" s="658">
        <f t="shared" si="1711"/>
        <v>0</v>
      </c>
      <c r="N293" s="658">
        <f t="shared" si="1734"/>
        <v>0</v>
      </c>
      <c r="O293" s="658" cm="1">
        <f t="array" ref="O293">IF(I293=0,0,IF(G293&lt;0,N293/c_EquityShare.LP*i_EquityShare.GP,L293/c_EquityShare.LP*i_EquityShare.GP))</f>
        <v>0</v>
      </c>
      <c r="P293" s="658">
        <f t="shared" si="1712"/>
        <v>0</v>
      </c>
      <c r="Q293" s="658">
        <f t="shared" si="1685"/>
        <v>0</v>
      </c>
      <c r="R293" s="521"/>
      <c r="S293" s="660">
        <f t="shared" si="1713"/>
        <v>0</v>
      </c>
      <c r="T293" s="663" cm="1">
        <f t="array" ref="T293">IF($G293=0,0,-MIN(0,$G293*c_EquityShare.LP))</f>
        <v>0</v>
      </c>
      <c r="U293" s="663" cm="1">
        <f t="array" ref="U293">IF($D293=0,0,S293*c_Rate.Hurdle1.MO)</f>
        <v>0</v>
      </c>
      <c r="V293" s="660">
        <f t="shared" si="1735"/>
        <v>0</v>
      </c>
      <c r="W293" s="660">
        <f t="shared" si="1714"/>
        <v>0</v>
      </c>
      <c r="X293" s="663">
        <f t="shared" si="1736"/>
        <v>0</v>
      </c>
      <c r="Y293" s="663">
        <f t="shared" si="1715"/>
        <v>0</v>
      </c>
      <c r="Z293" s="663">
        <f t="shared" ref="Z293" si="2087">IF(S293=0,0,O293+W293/$J$17*c_Hurdle1.Share_GP)</f>
        <v>0</v>
      </c>
      <c r="AA293" s="663">
        <f t="shared" si="1687"/>
        <v>0</v>
      </c>
      <c r="AB293" s="660">
        <f t="shared" si="1738"/>
        <v>0</v>
      </c>
      <c r="AC293" s="521"/>
      <c r="AD293" s="663">
        <f t="shared" si="1877"/>
        <v>0</v>
      </c>
      <c r="AE293" s="663">
        <f t="shared" ref="AE293" si="2088">IF($G293=0,0,-MIN(0,$G293*c_EquityShare.LP))</f>
        <v>0</v>
      </c>
      <c r="AF293" s="663" cm="1">
        <f t="array" ref="AF293">IF($D293=0,0,AD293*(c_Rate.Hurdle2.MO))</f>
        <v>0</v>
      </c>
      <c r="AG293" s="663">
        <f t="shared" si="1689"/>
        <v>0</v>
      </c>
      <c r="AH293" s="663">
        <f t="shared" si="1718"/>
        <v>0</v>
      </c>
      <c r="AI293" s="663">
        <f t="shared" si="1690"/>
        <v>0</v>
      </c>
      <c r="AJ293" s="664">
        <f t="shared" si="1691"/>
        <v>0</v>
      </c>
      <c r="AK293" s="660">
        <f t="shared" si="1692"/>
        <v>0</v>
      </c>
      <c r="AL293" s="663">
        <f t="shared" ref="AL293" si="2089">IF(AD293=0,0,Z293+AH293/$J$18*c_Hurdle2.Share_GP)</f>
        <v>0</v>
      </c>
      <c r="AM293" s="663">
        <f t="shared" si="1694"/>
        <v>0</v>
      </c>
      <c r="AN293" s="660">
        <f t="shared" si="1741"/>
        <v>0</v>
      </c>
      <c r="AO293" s="521"/>
      <c r="AP293" s="663">
        <f t="shared" si="1880"/>
        <v>0</v>
      </c>
      <c r="AQ293" s="663">
        <f t="shared" ref="AQ293" si="2090">IF($G293=0,0,-MIN(0,$G293*c_EquityShare.LP))</f>
        <v>0</v>
      </c>
      <c r="AR293" s="663" cm="1">
        <f t="array" ref="AR293">IF($D293=0,0,AP293*(c_Rate.Hurdle3.MO))</f>
        <v>0</v>
      </c>
      <c r="AS293" s="663">
        <f t="shared" si="1696"/>
        <v>0</v>
      </c>
      <c r="AT293" s="663">
        <f t="shared" si="1721"/>
        <v>0</v>
      </c>
      <c r="AU293" s="663">
        <f t="shared" si="1697"/>
        <v>0</v>
      </c>
      <c r="AV293" s="664">
        <f t="shared" si="1698"/>
        <v>0</v>
      </c>
      <c r="AW293" s="660">
        <f t="shared" si="1722"/>
        <v>0</v>
      </c>
      <c r="AX293" s="663">
        <f t="shared" ref="AX293" si="2091">IF(AP293=0,0,AL293+AT293/$J$19*c_Hurdle3.Share_GP)</f>
        <v>0</v>
      </c>
      <c r="AY293" s="663">
        <f t="shared" si="1724"/>
        <v>0</v>
      </c>
      <c r="AZ293" s="660">
        <f t="shared" si="1744"/>
        <v>0</v>
      </c>
      <c r="BA293" s="521"/>
      <c r="BB293" s="660">
        <f t="shared" si="1939"/>
        <v>0</v>
      </c>
      <c r="BC293" s="660">
        <f t="shared" ref="BC293" si="2092">$AZ293*c_Residual.Share_GP</f>
        <v>0</v>
      </c>
      <c r="BD293" s="651"/>
      <c r="BE293" s="660">
        <f t="shared" si="1726"/>
        <v>0</v>
      </c>
      <c r="BF293" s="660">
        <f t="shared" si="1726"/>
        <v>0</v>
      </c>
      <c r="BG293" s="660">
        <f t="shared" si="1701"/>
        <v>0</v>
      </c>
      <c r="BI293" s="660">
        <v>0</v>
      </c>
      <c r="BJ293" s="660">
        <v>0</v>
      </c>
      <c r="BK293" s="660">
        <v>0</v>
      </c>
      <c r="BL293" s="660">
        <f t="shared" si="1727"/>
        <v>0</v>
      </c>
      <c r="BM293" s="660">
        <f t="shared" si="1727"/>
        <v>0</v>
      </c>
      <c r="BN293" s="660">
        <f t="shared" si="1728"/>
        <v>0</v>
      </c>
      <c r="BO293" s="660">
        <f t="shared" si="1728"/>
        <v>0</v>
      </c>
      <c r="BP293" s="660">
        <f t="shared" si="1729"/>
        <v>0</v>
      </c>
      <c r="BQ293" s="660">
        <f t="shared" si="1729"/>
        <v>0</v>
      </c>
      <c r="BR293" s="660">
        <v>0</v>
      </c>
      <c r="BS293" s="660">
        <v>0</v>
      </c>
      <c r="BT293" s="660">
        <f t="shared" si="1702"/>
        <v>0</v>
      </c>
      <c r="BU293" s="660">
        <f t="shared" si="1702"/>
        <v>0</v>
      </c>
      <c r="BX293" s="660">
        <v>0</v>
      </c>
      <c r="BY293" s="660">
        <f t="shared" si="1730"/>
        <v>0</v>
      </c>
      <c r="BZ293" s="660">
        <f t="shared" si="1703"/>
        <v>0</v>
      </c>
      <c r="CA293" s="660">
        <f t="shared" si="1704"/>
        <v>0</v>
      </c>
      <c r="CB293" s="660">
        <f t="shared" si="1705"/>
        <v>0</v>
      </c>
      <c r="CC293" s="660">
        <f t="shared" si="1706"/>
        <v>0</v>
      </c>
      <c r="CD293" s="660">
        <f t="shared" si="1731"/>
        <v>0</v>
      </c>
    </row>
    <row r="294" spans="4:82" ht="16" hidden="1" thickTop="1" thickBot="1">
      <c r="D294" s="653"/>
      <c r="E294" s="654"/>
      <c r="F294" s="655" t="str">
        <f t="shared" si="1707"/>
        <v/>
      </c>
      <c r="G294" s="656"/>
      <c r="I294" s="658">
        <f t="shared" si="1708"/>
        <v>0</v>
      </c>
      <c r="J294" s="658">
        <f t="shared" ref="J294" si="2093">IF($G294=0,0,-MIN(0,G294*c_EquityShare.LP))</f>
        <v>0</v>
      </c>
      <c r="K294" s="658">
        <f t="shared" ref="K294" si="2094">I294*c_Rate.Pref_MO</f>
        <v>0</v>
      </c>
      <c r="L294" s="658">
        <f t="shared" si="1684"/>
        <v>0</v>
      </c>
      <c r="M294" s="658">
        <f t="shared" si="1711"/>
        <v>0</v>
      </c>
      <c r="N294" s="658">
        <f t="shared" si="1734"/>
        <v>0</v>
      </c>
      <c r="O294" s="658" cm="1">
        <f t="array" ref="O294">IF(I294=0,0,IF(G294&lt;0,N294/c_EquityShare.LP*i_EquityShare.GP,L294/c_EquityShare.LP*i_EquityShare.GP))</f>
        <v>0</v>
      </c>
      <c r="P294" s="658">
        <f t="shared" si="1712"/>
        <v>0</v>
      </c>
      <c r="Q294" s="658">
        <f t="shared" si="1685"/>
        <v>0</v>
      </c>
      <c r="R294" s="521"/>
      <c r="S294" s="660">
        <f t="shared" si="1713"/>
        <v>0</v>
      </c>
      <c r="T294" s="663" cm="1">
        <f t="array" ref="T294">IF($G294=0,0,-MIN(0,$G294*c_EquityShare.LP))</f>
        <v>0</v>
      </c>
      <c r="U294" s="663" cm="1">
        <f t="array" ref="U294">IF($D294=0,0,S294*c_Rate.Hurdle1.MO)</f>
        <v>0</v>
      </c>
      <c r="V294" s="660">
        <f t="shared" si="1735"/>
        <v>0</v>
      </c>
      <c r="W294" s="660">
        <f t="shared" si="1714"/>
        <v>0</v>
      </c>
      <c r="X294" s="663">
        <f t="shared" si="1736"/>
        <v>0</v>
      </c>
      <c r="Y294" s="663">
        <f t="shared" si="1715"/>
        <v>0</v>
      </c>
      <c r="Z294" s="663">
        <f t="shared" ref="Z294" si="2095">IF(S294=0,0,O294+W294/$J$17*c_Hurdle1.Share_GP)</f>
        <v>0</v>
      </c>
      <c r="AA294" s="663">
        <f t="shared" si="1687"/>
        <v>0</v>
      </c>
      <c r="AB294" s="660">
        <f t="shared" si="1738"/>
        <v>0</v>
      </c>
      <c r="AC294" s="521"/>
      <c r="AD294" s="663">
        <f t="shared" si="1877"/>
        <v>0</v>
      </c>
      <c r="AE294" s="663">
        <f t="shared" ref="AE294" si="2096">IF($G294=0,0,-MIN(0,$G294*c_EquityShare.LP))</f>
        <v>0</v>
      </c>
      <c r="AF294" s="663" cm="1">
        <f t="array" ref="AF294">IF($D294=0,0,AD294*(c_Rate.Hurdle2.MO))</f>
        <v>0</v>
      </c>
      <c r="AG294" s="663">
        <f t="shared" si="1689"/>
        <v>0</v>
      </c>
      <c r="AH294" s="663">
        <f t="shared" si="1718"/>
        <v>0</v>
      </c>
      <c r="AI294" s="663">
        <f t="shared" si="1690"/>
        <v>0</v>
      </c>
      <c r="AJ294" s="664">
        <f t="shared" si="1691"/>
        <v>0</v>
      </c>
      <c r="AK294" s="660">
        <f t="shared" si="1692"/>
        <v>0</v>
      </c>
      <c r="AL294" s="663">
        <f t="shared" ref="AL294" si="2097">IF(AD294=0,0,Z294+AH294/$J$18*c_Hurdle2.Share_GP)</f>
        <v>0</v>
      </c>
      <c r="AM294" s="663">
        <f t="shared" si="1694"/>
        <v>0</v>
      </c>
      <c r="AN294" s="660">
        <f t="shared" si="1741"/>
        <v>0</v>
      </c>
      <c r="AO294" s="521"/>
      <c r="AP294" s="663">
        <f t="shared" si="1880"/>
        <v>0</v>
      </c>
      <c r="AQ294" s="663">
        <f t="shared" ref="AQ294" si="2098">IF($G294=0,0,-MIN(0,$G294*c_EquityShare.LP))</f>
        <v>0</v>
      </c>
      <c r="AR294" s="663" cm="1">
        <f t="array" ref="AR294">IF($D294=0,0,AP294*(c_Rate.Hurdle3.MO))</f>
        <v>0</v>
      </c>
      <c r="AS294" s="663">
        <f t="shared" si="1696"/>
        <v>0</v>
      </c>
      <c r="AT294" s="663">
        <f t="shared" si="1721"/>
        <v>0</v>
      </c>
      <c r="AU294" s="663">
        <f t="shared" si="1697"/>
        <v>0</v>
      </c>
      <c r="AV294" s="664">
        <f t="shared" si="1698"/>
        <v>0</v>
      </c>
      <c r="AW294" s="660">
        <f t="shared" si="1722"/>
        <v>0</v>
      </c>
      <c r="AX294" s="663">
        <f t="shared" ref="AX294" si="2099">IF(AP294=0,0,AL294+AT294/$J$19*c_Hurdle3.Share_GP)</f>
        <v>0</v>
      </c>
      <c r="AY294" s="663">
        <f t="shared" si="1724"/>
        <v>0</v>
      </c>
      <c r="AZ294" s="660">
        <f t="shared" si="1744"/>
        <v>0</v>
      </c>
      <c r="BA294" s="521"/>
      <c r="BB294" s="660">
        <f t="shared" si="1939"/>
        <v>0</v>
      </c>
      <c r="BC294" s="660">
        <f t="shared" ref="BC294" si="2100">$AZ294*c_Residual.Share_GP</f>
        <v>0</v>
      </c>
      <c r="BD294" s="651"/>
      <c r="BE294" s="660">
        <f t="shared" si="1726"/>
        <v>0</v>
      </c>
      <c r="BF294" s="660">
        <f t="shared" si="1726"/>
        <v>0</v>
      </c>
      <c r="BG294" s="660">
        <f t="shared" si="1701"/>
        <v>0</v>
      </c>
      <c r="BI294" s="660">
        <v>0</v>
      </c>
      <c r="BJ294" s="660">
        <v>0</v>
      </c>
      <c r="BK294" s="660">
        <v>0</v>
      </c>
      <c r="BL294" s="660">
        <f t="shared" si="1727"/>
        <v>0</v>
      </c>
      <c r="BM294" s="660">
        <f t="shared" si="1727"/>
        <v>0</v>
      </c>
      <c r="BN294" s="660">
        <f t="shared" si="1728"/>
        <v>0</v>
      </c>
      <c r="BO294" s="660">
        <f t="shared" si="1728"/>
        <v>0</v>
      </c>
      <c r="BP294" s="660">
        <f t="shared" si="1729"/>
        <v>0</v>
      </c>
      <c r="BQ294" s="660">
        <f t="shared" si="1729"/>
        <v>0</v>
      </c>
      <c r="BR294" s="660">
        <v>0</v>
      </c>
      <c r="BS294" s="660">
        <v>0</v>
      </c>
      <c r="BT294" s="660">
        <f t="shared" si="1702"/>
        <v>0</v>
      </c>
      <c r="BU294" s="660">
        <f t="shared" si="1702"/>
        <v>0</v>
      </c>
      <c r="BX294" s="660">
        <v>0</v>
      </c>
      <c r="BY294" s="660">
        <f t="shared" si="1730"/>
        <v>0</v>
      </c>
      <c r="BZ294" s="660">
        <f t="shared" si="1703"/>
        <v>0</v>
      </c>
      <c r="CA294" s="660">
        <f t="shared" si="1704"/>
        <v>0</v>
      </c>
      <c r="CB294" s="660">
        <f t="shared" si="1705"/>
        <v>0</v>
      </c>
      <c r="CC294" s="660">
        <f t="shared" si="1706"/>
        <v>0</v>
      </c>
      <c r="CD294" s="660">
        <f t="shared" si="1731"/>
        <v>0</v>
      </c>
    </row>
    <row r="295" spans="4:82" ht="16" hidden="1" thickTop="1" thickBot="1">
      <c r="D295" s="653"/>
      <c r="E295" s="654"/>
      <c r="F295" s="655" t="str">
        <f t="shared" si="1707"/>
        <v/>
      </c>
      <c r="G295" s="656"/>
      <c r="I295" s="658">
        <f t="shared" si="1708"/>
        <v>0</v>
      </c>
      <c r="J295" s="658">
        <f t="shared" ref="J295" si="2101">IF($G295=0,0,-MIN(0,G295*c_EquityShare.LP))</f>
        <v>0</v>
      </c>
      <c r="K295" s="658">
        <f t="shared" ref="K295" si="2102">I295*c_Rate.Pref_MO</f>
        <v>0</v>
      </c>
      <c r="L295" s="658">
        <f t="shared" si="1684"/>
        <v>0</v>
      </c>
      <c r="M295" s="658">
        <f t="shared" si="1711"/>
        <v>0</v>
      </c>
      <c r="N295" s="658">
        <f t="shared" si="1734"/>
        <v>0</v>
      </c>
      <c r="O295" s="658" cm="1">
        <f t="array" ref="O295">IF(I295=0,0,IF(G295&lt;0,N295/c_EquityShare.LP*i_EquityShare.GP,L295/c_EquityShare.LP*i_EquityShare.GP))</f>
        <v>0</v>
      </c>
      <c r="P295" s="658">
        <f t="shared" si="1712"/>
        <v>0</v>
      </c>
      <c r="Q295" s="658">
        <f t="shared" si="1685"/>
        <v>0</v>
      </c>
      <c r="R295" s="521"/>
      <c r="S295" s="660">
        <f t="shared" si="1713"/>
        <v>0</v>
      </c>
      <c r="T295" s="663" cm="1">
        <f t="array" ref="T295">IF($G295=0,0,-MIN(0,$G295*c_EquityShare.LP))</f>
        <v>0</v>
      </c>
      <c r="U295" s="663" cm="1">
        <f t="array" ref="U295">IF($D295=0,0,S295*c_Rate.Hurdle1.MO)</f>
        <v>0</v>
      </c>
      <c r="V295" s="660">
        <f t="shared" si="1735"/>
        <v>0</v>
      </c>
      <c r="W295" s="660">
        <f t="shared" si="1714"/>
        <v>0</v>
      </c>
      <c r="X295" s="663">
        <f t="shared" si="1736"/>
        <v>0</v>
      </c>
      <c r="Y295" s="663">
        <f t="shared" si="1715"/>
        <v>0</v>
      </c>
      <c r="Z295" s="663">
        <f t="shared" ref="Z295" si="2103">IF(S295=0,0,O295+W295/$J$17*c_Hurdle1.Share_GP)</f>
        <v>0</v>
      </c>
      <c r="AA295" s="663">
        <f t="shared" si="1687"/>
        <v>0</v>
      </c>
      <c r="AB295" s="660">
        <f t="shared" si="1738"/>
        <v>0</v>
      </c>
      <c r="AC295" s="521"/>
      <c r="AD295" s="663">
        <f t="shared" si="1877"/>
        <v>0</v>
      </c>
      <c r="AE295" s="663">
        <f t="shared" ref="AE295" si="2104">IF($G295=0,0,-MIN(0,$G295*c_EquityShare.LP))</f>
        <v>0</v>
      </c>
      <c r="AF295" s="663" cm="1">
        <f t="array" ref="AF295">IF($D295=0,0,AD295*(c_Rate.Hurdle2.MO))</f>
        <v>0</v>
      </c>
      <c r="AG295" s="663">
        <f t="shared" si="1689"/>
        <v>0</v>
      </c>
      <c r="AH295" s="663">
        <f t="shared" si="1718"/>
        <v>0</v>
      </c>
      <c r="AI295" s="663">
        <f t="shared" si="1690"/>
        <v>0</v>
      </c>
      <c r="AJ295" s="664">
        <f t="shared" si="1691"/>
        <v>0</v>
      </c>
      <c r="AK295" s="660">
        <f t="shared" si="1692"/>
        <v>0</v>
      </c>
      <c r="AL295" s="663">
        <f t="shared" ref="AL295" si="2105">IF(AD295=0,0,Z295+AH295/$J$18*c_Hurdle2.Share_GP)</f>
        <v>0</v>
      </c>
      <c r="AM295" s="663">
        <f t="shared" si="1694"/>
        <v>0</v>
      </c>
      <c r="AN295" s="660">
        <f t="shared" si="1741"/>
        <v>0</v>
      </c>
      <c r="AO295" s="521"/>
      <c r="AP295" s="663">
        <f t="shared" si="1880"/>
        <v>0</v>
      </c>
      <c r="AQ295" s="663">
        <f t="shared" ref="AQ295" si="2106">IF($G295=0,0,-MIN(0,$G295*c_EquityShare.LP))</f>
        <v>0</v>
      </c>
      <c r="AR295" s="663" cm="1">
        <f t="array" ref="AR295">IF($D295=0,0,AP295*(c_Rate.Hurdle3.MO))</f>
        <v>0</v>
      </c>
      <c r="AS295" s="663">
        <f t="shared" si="1696"/>
        <v>0</v>
      </c>
      <c r="AT295" s="663">
        <f t="shared" si="1721"/>
        <v>0</v>
      </c>
      <c r="AU295" s="663">
        <f t="shared" si="1697"/>
        <v>0</v>
      </c>
      <c r="AV295" s="664">
        <f t="shared" si="1698"/>
        <v>0</v>
      </c>
      <c r="AW295" s="660">
        <f t="shared" si="1722"/>
        <v>0</v>
      </c>
      <c r="AX295" s="663">
        <f t="shared" ref="AX295" si="2107">IF(AP295=0,0,AL295+AT295/$J$19*c_Hurdle3.Share_GP)</f>
        <v>0</v>
      </c>
      <c r="AY295" s="663">
        <f t="shared" si="1724"/>
        <v>0</v>
      </c>
      <c r="AZ295" s="660">
        <f t="shared" si="1744"/>
        <v>0</v>
      </c>
      <c r="BA295" s="521"/>
      <c r="BB295" s="660">
        <f t="shared" si="1939"/>
        <v>0</v>
      </c>
      <c r="BC295" s="660">
        <f t="shared" ref="BC295" si="2108">$AZ295*c_Residual.Share_GP</f>
        <v>0</v>
      </c>
      <c r="BD295" s="651"/>
      <c r="BE295" s="660">
        <f t="shared" si="1726"/>
        <v>0</v>
      </c>
      <c r="BF295" s="660">
        <f t="shared" si="1726"/>
        <v>0</v>
      </c>
      <c r="BG295" s="660">
        <f t="shared" si="1701"/>
        <v>0</v>
      </c>
      <c r="BI295" s="660">
        <v>0</v>
      </c>
      <c r="BJ295" s="660">
        <v>0</v>
      </c>
      <c r="BK295" s="660">
        <v>0</v>
      </c>
      <c r="BL295" s="660">
        <f t="shared" si="1727"/>
        <v>0</v>
      </c>
      <c r="BM295" s="660">
        <f t="shared" si="1727"/>
        <v>0</v>
      </c>
      <c r="BN295" s="660">
        <f t="shared" si="1728"/>
        <v>0</v>
      </c>
      <c r="BO295" s="660">
        <f t="shared" si="1728"/>
        <v>0</v>
      </c>
      <c r="BP295" s="660">
        <f t="shared" si="1729"/>
        <v>0</v>
      </c>
      <c r="BQ295" s="660">
        <f t="shared" si="1729"/>
        <v>0</v>
      </c>
      <c r="BR295" s="660">
        <v>0</v>
      </c>
      <c r="BS295" s="660">
        <v>0</v>
      </c>
      <c r="BT295" s="660">
        <f t="shared" si="1702"/>
        <v>0</v>
      </c>
      <c r="BU295" s="660">
        <f t="shared" si="1702"/>
        <v>0</v>
      </c>
      <c r="BX295" s="660">
        <v>0</v>
      </c>
      <c r="BY295" s="660">
        <f t="shared" si="1730"/>
        <v>0</v>
      </c>
      <c r="BZ295" s="660">
        <f t="shared" si="1703"/>
        <v>0</v>
      </c>
      <c r="CA295" s="660">
        <f t="shared" si="1704"/>
        <v>0</v>
      </c>
      <c r="CB295" s="660">
        <f t="shared" si="1705"/>
        <v>0</v>
      </c>
      <c r="CC295" s="660">
        <f t="shared" si="1706"/>
        <v>0</v>
      </c>
      <c r="CD295" s="660">
        <f t="shared" si="1731"/>
        <v>0</v>
      </c>
    </row>
    <row r="296" spans="4:82" ht="16" hidden="1" thickTop="1" thickBot="1">
      <c r="D296" s="653"/>
      <c r="E296" s="654"/>
      <c r="F296" s="655" t="str">
        <f t="shared" si="1707"/>
        <v/>
      </c>
      <c r="G296" s="656"/>
      <c r="I296" s="658">
        <f t="shared" si="1708"/>
        <v>0</v>
      </c>
      <c r="J296" s="658">
        <f t="shared" ref="J296" si="2109">IF($G296=0,0,-MIN(0,G296*c_EquityShare.LP))</f>
        <v>0</v>
      </c>
      <c r="K296" s="658">
        <f t="shared" ref="K296" si="2110">I296*c_Rate.Pref_MO</f>
        <v>0</v>
      </c>
      <c r="L296" s="658">
        <f t="shared" si="1684"/>
        <v>0</v>
      </c>
      <c r="M296" s="658">
        <f t="shared" si="1711"/>
        <v>0</v>
      </c>
      <c r="N296" s="658">
        <f t="shared" si="1734"/>
        <v>0</v>
      </c>
      <c r="O296" s="658" cm="1">
        <f t="array" ref="O296">IF(I296=0,0,IF(G296&lt;0,N296/c_EquityShare.LP*i_EquityShare.GP,L296/c_EquityShare.LP*i_EquityShare.GP))</f>
        <v>0</v>
      </c>
      <c r="P296" s="658">
        <f t="shared" si="1712"/>
        <v>0</v>
      </c>
      <c r="Q296" s="658">
        <f t="shared" si="1685"/>
        <v>0</v>
      </c>
      <c r="R296" s="521"/>
      <c r="S296" s="660">
        <f t="shared" si="1713"/>
        <v>0</v>
      </c>
      <c r="T296" s="663" cm="1">
        <f t="array" ref="T296">IF($G296=0,0,-MIN(0,$G296*c_EquityShare.LP))</f>
        <v>0</v>
      </c>
      <c r="U296" s="663" cm="1">
        <f t="array" ref="U296">IF($D296=0,0,S296*c_Rate.Hurdle1.MO)</f>
        <v>0</v>
      </c>
      <c r="V296" s="660">
        <f t="shared" si="1735"/>
        <v>0</v>
      </c>
      <c r="W296" s="660">
        <f t="shared" si="1714"/>
        <v>0</v>
      </c>
      <c r="X296" s="663">
        <f t="shared" si="1736"/>
        <v>0</v>
      </c>
      <c r="Y296" s="663">
        <f t="shared" si="1715"/>
        <v>0</v>
      </c>
      <c r="Z296" s="663">
        <f t="shared" ref="Z296" si="2111">IF(S296=0,0,O296+W296/$J$17*c_Hurdle1.Share_GP)</f>
        <v>0</v>
      </c>
      <c r="AA296" s="663">
        <f t="shared" si="1687"/>
        <v>0</v>
      </c>
      <c r="AB296" s="660">
        <f t="shared" si="1738"/>
        <v>0</v>
      </c>
      <c r="AC296" s="521"/>
      <c r="AD296" s="663">
        <f t="shared" si="1877"/>
        <v>0</v>
      </c>
      <c r="AE296" s="663">
        <f t="shared" ref="AE296" si="2112">IF($G296=0,0,-MIN(0,$G296*c_EquityShare.LP))</f>
        <v>0</v>
      </c>
      <c r="AF296" s="663" cm="1">
        <f t="array" ref="AF296">IF($D296=0,0,AD296*(c_Rate.Hurdle2.MO))</f>
        <v>0</v>
      </c>
      <c r="AG296" s="663">
        <f t="shared" si="1689"/>
        <v>0</v>
      </c>
      <c r="AH296" s="663">
        <f t="shared" si="1718"/>
        <v>0</v>
      </c>
      <c r="AI296" s="663">
        <f t="shared" si="1690"/>
        <v>0</v>
      </c>
      <c r="AJ296" s="664">
        <f t="shared" si="1691"/>
        <v>0</v>
      </c>
      <c r="AK296" s="660">
        <f t="shared" si="1692"/>
        <v>0</v>
      </c>
      <c r="AL296" s="663">
        <f t="shared" ref="AL296" si="2113">IF(AD296=0,0,Z296+AH296/$J$18*c_Hurdle2.Share_GP)</f>
        <v>0</v>
      </c>
      <c r="AM296" s="663">
        <f t="shared" si="1694"/>
        <v>0</v>
      </c>
      <c r="AN296" s="660">
        <f t="shared" si="1741"/>
        <v>0</v>
      </c>
      <c r="AO296" s="521"/>
      <c r="AP296" s="663">
        <f t="shared" si="1880"/>
        <v>0</v>
      </c>
      <c r="AQ296" s="663">
        <f t="shared" ref="AQ296" si="2114">IF($G296=0,0,-MIN(0,$G296*c_EquityShare.LP))</f>
        <v>0</v>
      </c>
      <c r="AR296" s="663" cm="1">
        <f t="array" ref="AR296">IF($D296=0,0,AP296*(c_Rate.Hurdle3.MO))</f>
        <v>0</v>
      </c>
      <c r="AS296" s="663">
        <f t="shared" si="1696"/>
        <v>0</v>
      </c>
      <c r="AT296" s="663">
        <f t="shared" si="1721"/>
        <v>0</v>
      </c>
      <c r="AU296" s="663">
        <f t="shared" si="1697"/>
        <v>0</v>
      </c>
      <c r="AV296" s="664">
        <f t="shared" si="1698"/>
        <v>0</v>
      </c>
      <c r="AW296" s="660">
        <f t="shared" si="1722"/>
        <v>0</v>
      </c>
      <c r="AX296" s="663">
        <f t="shared" ref="AX296" si="2115">IF(AP296=0,0,AL296+AT296/$J$19*c_Hurdle3.Share_GP)</f>
        <v>0</v>
      </c>
      <c r="AY296" s="663">
        <f t="shared" si="1724"/>
        <v>0</v>
      </c>
      <c r="AZ296" s="660">
        <f t="shared" si="1744"/>
        <v>0</v>
      </c>
      <c r="BA296" s="521"/>
      <c r="BB296" s="660">
        <f t="shared" si="1939"/>
        <v>0</v>
      </c>
      <c r="BC296" s="660">
        <f t="shared" ref="BC296" si="2116">$AZ296*c_Residual.Share_GP</f>
        <v>0</v>
      </c>
      <c r="BD296" s="651"/>
      <c r="BE296" s="660">
        <f t="shared" si="1726"/>
        <v>0</v>
      </c>
      <c r="BF296" s="660">
        <f t="shared" si="1726"/>
        <v>0</v>
      </c>
      <c r="BG296" s="660">
        <f t="shared" si="1701"/>
        <v>0</v>
      </c>
      <c r="BI296" s="660">
        <v>0</v>
      </c>
      <c r="BJ296" s="660">
        <v>0</v>
      </c>
      <c r="BK296" s="660">
        <v>0</v>
      </c>
      <c r="BL296" s="660">
        <f t="shared" si="1727"/>
        <v>0</v>
      </c>
      <c r="BM296" s="660">
        <f t="shared" si="1727"/>
        <v>0</v>
      </c>
      <c r="BN296" s="660">
        <f t="shared" si="1728"/>
        <v>0</v>
      </c>
      <c r="BO296" s="660">
        <f t="shared" si="1728"/>
        <v>0</v>
      </c>
      <c r="BP296" s="660">
        <f t="shared" si="1729"/>
        <v>0</v>
      </c>
      <c r="BQ296" s="660">
        <f t="shared" si="1729"/>
        <v>0</v>
      </c>
      <c r="BR296" s="660">
        <v>0</v>
      </c>
      <c r="BS296" s="660">
        <v>0</v>
      </c>
      <c r="BT296" s="660">
        <f t="shared" si="1702"/>
        <v>0</v>
      </c>
      <c r="BU296" s="660">
        <f t="shared" si="1702"/>
        <v>0</v>
      </c>
      <c r="BX296" s="660">
        <v>0</v>
      </c>
      <c r="BY296" s="660">
        <f t="shared" si="1730"/>
        <v>0</v>
      </c>
      <c r="BZ296" s="660">
        <f t="shared" si="1703"/>
        <v>0</v>
      </c>
      <c r="CA296" s="660">
        <f t="shared" si="1704"/>
        <v>0</v>
      </c>
      <c r="CB296" s="660">
        <f t="shared" si="1705"/>
        <v>0</v>
      </c>
      <c r="CC296" s="660">
        <f t="shared" si="1706"/>
        <v>0</v>
      </c>
      <c r="CD296" s="660">
        <f t="shared" si="1731"/>
        <v>0</v>
      </c>
    </row>
    <row r="297" spans="4:82" ht="16" hidden="1" thickTop="1" thickBot="1">
      <c r="D297" s="653"/>
      <c r="E297" s="654"/>
      <c r="F297" s="655" t="str">
        <f t="shared" si="1707"/>
        <v/>
      </c>
      <c r="G297" s="656"/>
      <c r="I297" s="658">
        <f t="shared" si="1708"/>
        <v>0</v>
      </c>
      <c r="J297" s="658">
        <f t="shared" ref="J297" si="2117">IF($G297=0,0,-MIN(0,G297*c_EquityShare.LP))</f>
        <v>0</v>
      </c>
      <c r="K297" s="658">
        <f t="shared" ref="K297" si="2118">I297*c_Rate.Pref_MO</f>
        <v>0</v>
      </c>
      <c r="L297" s="658">
        <f t="shared" si="1684"/>
        <v>0</v>
      </c>
      <c r="M297" s="658">
        <f t="shared" si="1711"/>
        <v>0</v>
      </c>
      <c r="N297" s="658">
        <f t="shared" si="1734"/>
        <v>0</v>
      </c>
      <c r="O297" s="658" cm="1">
        <f t="array" ref="O297">IF(I297=0,0,IF(G297&lt;0,N297/c_EquityShare.LP*i_EquityShare.GP,L297/c_EquityShare.LP*i_EquityShare.GP))</f>
        <v>0</v>
      </c>
      <c r="P297" s="658">
        <f t="shared" si="1712"/>
        <v>0</v>
      </c>
      <c r="Q297" s="658">
        <f t="shared" si="1685"/>
        <v>0</v>
      </c>
      <c r="R297" s="521"/>
      <c r="S297" s="660">
        <f t="shared" si="1713"/>
        <v>0</v>
      </c>
      <c r="T297" s="663" cm="1">
        <f t="array" ref="T297">IF($G297=0,0,-MIN(0,$G297*c_EquityShare.LP))</f>
        <v>0</v>
      </c>
      <c r="U297" s="663" cm="1">
        <f t="array" ref="U297">IF($D297=0,0,S297*c_Rate.Hurdle1.MO)</f>
        <v>0</v>
      </c>
      <c r="V297" s="660">
        <f t="shared" si="1735"/>
        <v>0</v>
      </c>
      <c r="W297" s="660">
        <f t="shared" si="1714"/>
        <v>0</v>
      </c>
      <c r="X297" s="663">
        <f t="shared" si="1736"/>
        <v>0</v>
      </c>
      <c r="Y297" s="663">
        <f t="shared" si="1715"/>
        <v>0</v>
      </c>
      <c r="Z297" s="663">
        <f t="shared" ref="Z297" si="2119">IF(S297=0,0,O297+W297/$J$17*c_Hurdle1.Share_GP)</f>
        <v>0</v>
      </c>
      <c r="AA297" s="663">
        <f t="shared" si="1687"/>
        <v>0</v>
      </c>
      <c r="AB297" s="660">
        <f t="shared" si="1738"/>
        <v>0</v>
      </c>
      <c r="AC297" s="521"/>
      <c r="AD297" s="663">
        <f t="shared" si="1877"/>
        <v>0</v>
      </c>
      <c r="AE297" s="663">
        <f t="shared" ref="AE297" si="2120">IF($G297=0,0,-MIN(0,$G297*c_EquityShare.LP))</f>
        <v>0</v>
      </c>
      <c r="AF297" s="663" cm="1">
        <f t="array" ref="AF297">IF($D297=0,0,AD297*(c_Rate.Hurdle2.MO))</f>
        <v>0</v>
      </c>
      <c r="AG297" s="663">
        <f t="shared" si="1689"/>
        <v>0</v>
      </c>
      <c r="AH297" s="663">
        <f t="shared" si="1718"/>
        <v>0</v>
      </c>
      <c r="AI297" s="663">
        <f t="shared" si="1690"/>
        <v>0</v>
      </c>
      <c r="AJ297" s="664">
        <f t="shared" si="1691"/>
        <v>0</v>
      </c>
      <c r="AK297" s="660">
        <f t="shared" si="1692"/>
        <v>0</v>
      </c>
      <c r="AL297" s="663">
        <f t="shared" ref="AL297" si="2121">IF(AD297=0,0,Z297+AH297/$J$18*c_Hurdle2.Share_GP)</f>
        <v>0</v>
      </c>
      <c r="AM297" s="663">
        <f t="shared" si="1694"/>
        <v>0</v>
      </c>
      <c r="AN297" s="660">
        <f t="shared" si="1741"/>
        <v>0</v>
      </c>
      <c r="AO297" s="521"/>
      <c r="AP297" s="663">
        <f t="shared" si="1880"/>
        <v>0</v>
      </c>
      <c r="AQ297" s="663">
        <f t="shared" ref="AQ297" si="2122">IF($G297=0,0,-MIN(0,$G297*c_EquityShare.LP))</f>
        <v>0</v>
      </c>
      <c r="AR297" s="663" cm="1">
        <f t="array" ref="AR297">IF($D297=0,0,AP297*(c_Rate.Hurdle3.MO))</f>
        <v>0</v>
      </c>
      <c r="AS297" s="663">
        <f t="shared" si="1696"/>
        <v>0</v>
      </c>
      <c r="AT297" s="663">
        <f t="shared" si="1721"/>
        <v>0</v>
      </c>
      <c r="AU297" s="663">
        <f t="shared" si="1697"/>
        <v>0</v>
      </c>
      <c r="AV297" s="664">
        <f t="shared" si="1698"/>
        <v>0</v>
      </c>
      <c r="AW297" s="660">
        <f t="shared" si="1722"/>
        <v>0</v>
      </c>
      <c r="AX297" s="663">
        <f t="shared" ref="AX297" si="2123">IF(AP297=0,0,AL297+AT297/$J$19*c_Hurdle3.Share_GP)</f>
        <v>0</v>
      </c>
      <c r="AY297" s="663">
        <f t="shared" si="1724"/>
        <v>0</v>
      </c>
      <c r="AZ297" s="660">
        <f t="shared" si="1744"/>
        <v>0</v>
      </c>
      <c r="BA297" s="521"/>
      <c r="BB297" s="660">
        <f t="shared" si="1939"/>
        <v>0</v>
      </c>
      <c r="BC297" s="660">
        <f t="shared" ref="BC297" si="2124">$AZ297*c_Residual.Share_GP</f>
        <v>0</v>
      </c>
      <c r="BD297" s="651"/>
      <c r="BE297" s="660">
        <f t="shared" si="1726"/>
        <v>0</v>
      </c>
      <c r="BF297" s="660">
        <f t="shared" si="1726"/>
        <v>0</v>
      </c>
      <c r="BG297" s="660">
        <f t="shared" si="1701"/>
        <v>0</v>
      </c>
      <c r="BI297" s="660">
        <v>0</v>
      </c>
      <c r="BJ297" s="660">
        <v>0</v>
      </c>
      <c r="BK297" s="660">
        <v>0</v>
      </c>
      <c r="BL297" s="660">
        <f t="shared" si="1727"/>
        <v>0</v>
      </c>
      <c r="BM297" s="660">
        <f t="shared" si="1727"/>
        <v>0</v>
      </c>
      <c r="BN297" s="660">
        <f t="shared" si="1728"/>
        <v>0</v>
      </c>
      <c r="BO297" s="660">
        <f t="shared" si="1728"/>
        <v>0</v>
      </c>
      <c r="BP297" s="660">
        <f t="shared" si="1729"/>
        <v>0</v>
      </c>
      <c r="BQ297" s="660">
        <f t="shared" si="1729"/>
        <v>0</v>
      </c>
      <c r="BR297" s="660">
        <v>0</v>
      </c>
      <c r="BS297" s="660">
        <v>0</v>
      </c>
      <c r="BT297" s="660">
        <f t="shared" si="1702"/>
        <v>0</v>
      </c>
      <c r="BU297" s="660">
        <f t="shared" si="1702"/>
        <v>0</v>
      </c>
      <c r="BX297" s="660">
        <v>0</v>
      </c>
      <c r="BY297" s="660">
        <f t="shared" si="1730"/>
        <v>0</v>
      </c>
      <c r="BZ297" s="660">
        <f t="shared" si="1703"/>
        <v>0</v>
      </c>
      <c r="CA297" s="660">
        <f t="shared" si="1704"/>
        <v>0</v>
      </c>
      <c r="CB297" s="660">
        <f t="shared" si="1705"/>
        <v>0</v>
      </c>
      <c r="CC297" s="660">
        <f t="shared" si="1706"/>
        <v>0</v>
      </c>
      <c r="CD297" s="660">
        <f t="shared" si="1731"/>
        <v>0</v>
      </c>
    </row>
    <row r="298" spans="4:82" ht="16" hidden="1" thickTop="1" thickBot="1">
      <c r="D298" s="653"/>
      <c r="E298" s="654"/>
      <c r="F298" s="655" t="str">
        <f t="shared" si="1707"/>
        <v/>
      </c>
      <c r="G298" s="656"/>
      <c r="I298" s="658">
        <f t="shared" si="1708"/>
        <v>0</v>
      </c>
      <c r="J298" s="658">
        <f t="shared" ref="J298" si="2125">IF($G298=0,0,-MIN(0,G298*c_EquityShare.LP))</f>
        <v>0</v>
      </c>
      <c r="K298" s="658">
        <f t="shared" ref="K298" si="2126">I298*c_Rate.Pref_MO</f>
        <v>0</v>
      </c>
      <c r="L298" s="658">
        <f t="shared" si="1684"/>
        <v>0</v>
      </c>
      <c r="M298" s="658">
        <f t="shared" si="1711"/>
        <v>0</v>
      </c>
      <c r="N298" s="658">
        <f t="shared" si="1734"/>
        <v>0</v>
      </c>
      <c r="O298" s="658" cm="1">
        <f t="array" ref="O298">IF(I298=0,0,IF(G298&lt;0,N298/c_EquityShare.LP*i_EquityShare.GP,L298/c_EquityShare.LP*i_EquityShare.GP))</f>
        <v>0</v>
      </c>
      <c r="P298" s="658">
        <f t="shared" si="1712"/>
        <v>0</v>
      </c>
      <c r="Q298" s="658">
        <f t="shared" si="1685"/>
        <v>0</v>
      </c>
      <c r="R298" s="521"/>
      <c r="S298" s="660">
        <f t="shared" si="1713"/>
        <v>0</v>
      </c>
      <c r="T298" s="663" cm="1">
        <f t="array" ref="T298">IF($G298=0,0,-MIN(0,$G298*c_EquityShare.LP))</f>
        <v>0</v>
      </c>
      <c r="U298" s="663" cm="1">
        <f t="array" ref="U298">IF($D298=0,0,S298*c_Rate.Hurdle1.MO)</f>
        <v>0</v>
      </c>
      <c r="V298" s="660">
        <f t="shared" si="1735"/>
        <v>0</v>
      </c>
      <c r="W298" s="660">
        <f t="shared" si="1714"/>
        <v>0</v>
      </c>
      <c r="X298" s="663">
        <f t="shared" si="1736"/>
        <v>0</v>
      </c>
      <c r="Y298" s="663">
        <f t="shared" si="1715"/>
        <v>0</v>
      </c>
      <c r="Z298" s="663">
        <f t="shared" ref="Z298" si="2127">IF(S298=0,0,O298+W298/$J$17*c_Hurdle1.Share_GP)</f>
        <v>0</v>
      </c>
      <c r="AA298" s="663">
        <f t="shared" si="1687"/>
        <v>0</v>
      </c>
      <c r="AB298" s="660">
        <f t="shared" si="1738"/>
        <v>0</v>
      </c>
      <c r="AC298" s="521"/>
      <c r="AD298" s="663">
        <f t="shared" si="1877"/>
        <v>0</v>
      </c>
      <c r="AE298" s="663">
        <f t="shared" ref="AE298" si="2128">IF($G298=0,0,-MIN(0,$G298*c_EquityShare.LP))</f>
        <v>0</v>
      </c>
      <c r="AF298" s="663" cm="1">
        <f t="array" ref="AF298">IF($D298=0,0,AD298*(c_Rate.Hurdle2.MO))</f>
        <v>0</v>
      </c>
      <c r="AG298" s="663">
        <f t="shared" si="1689"/>
        <v>0</v>
      </c>
      <c r="AH298" s="663">
        <f t="shared" si="1718"/>
        <v>0</v>
      </c>
      <c r="AI298" s="663">
        <f t="shared" si="1690"/>
        <v>0</v>
      </c>
      <c r="AJ298" s="664">
        <f t="shared" si="1691"/>
        <v>0</v>
      </c>
      <c r="AK298" s="660">
        <f t="shared" si="1692"/>
        <v>0</v>
      </c>
      <c r="AL298" s="663">
        <f t="shared" ref="AL298" si="2129">IF(AD298=0,0,Z298+AH298/$J$18*c_Hurdle2.Share_GP)</f>
        <v>0</v>
      </c>
      <c r="AM298" s="663">
        <f t="shared" si="1694"/>
        <v>0</v>
      </c>
      <c r="AN298" s="660">
        <f t="shared" si="1741"/>
        <v>0</v>
      </c>
      <c r="AO298" s="521"/>
      <c r="AP298" s="663">
        <f t="shared" si="1880"/>
        <v>0</v>
      </c>
      <c r="AQ298" s="663">
        <f t="shared" ref="AQ298" si="2130">IF($G298=0,0,-MIN(0,$G298*c_EquityShare.LP))</f>
        <v>0</v>
      </c>
      <c r="AR298" s="663" cm="1">
        <f t="array" ref="AR298">IF($D298=0,0,AP298*(c_Rate.Hurdle3.MO))</f>
        <v>0</v>
      </c>
      <c r="AS298" s="663">
        <f t="shared" si="1696"/>
        <v>0</v>
      </c>
      <c r="AT298" s="663">
        <f t="shared" si="1721"/>
        <v>0</v>
      </c>
      <c r="AU298" s="663">
        <f t="shared" si="1697"/>
        <v>0</v>
      </c>
      <c r="AV298" s="664">
        <f t="shared" si="1698"/>
        <v>0</v>
      </c>
      <c r="AW298" s="660">
        <f t="shared" si="1722"/>
        <v>0</v>
      </c>
      <c r="AX298" s="663">
        <f t="shared" ref="AX298" si="2131">IF(AP298=0,0,AL298+AT298/$J$19*c_Hurdle3.Share_GP)</f>
        <v>0</v>
      </c>
      <c r="AY298" s="663">
        <f t="shared" si="1724"/>
        <v>0</v>
      </c>
      <c r="AZ298" s="660">
        <f t="shared" si="1744"/>
        <v>0</v>
      </c>
      <c r="BA298" s="521"/>
      <c r="BB298" s="660">
        <f t="shared" si="1939"/>
        <v>0</v>
      </c>
      <c r="BC298" s="660">
        <f t="shared" ref="BC298" si="2132">$AZ298*c_Residual.Share_GP</f>
        <v>0</v>
      </c>
      <c r="BD298" s="651"/>
      <c r="BE298" s="660">
        <f t="shared" si="1726"/>
        <v>0</v>
      </c>
      <c r="BF298" s="660">
        <f t="shared" si="1726"/>
        <v>0</v>
      </c>
      <c r="BG298" s="660">
        <f t="shared" si="1701"/>
        <v>0</v>
      </c>
      <c r="BI298" s="660">
        <v>0</v>
      </c>
      <c r="BJ298" s="660">
        <v>0</v>
      </c>
      <c r="BK298" s="660">
        <v>0</v>
      </c>
      <c r="BL298" s="660">
        <f t="shared" si="1727"/>
        <v>0</v>
      </c>
      <c r="BM298" s="660">
        <f t="shared" si="1727"/>
        <v>0</v>
      </c>
      <c r="BN298" s="660">
        <f t="shared" si="1728"/>
        <v>0</v>
      </c>
      <c r="BO298" s="660">
        <f t="shared" si="1728"/>
        <v>0</v>
      </c>
      <c r="BP298" s="660">
        <f t="shared" si="1729"/>
        <v>0</v>
      </c>
      <c r="BQ298" s="660">
        <f t="shared" si="1729"/>
        <v>0</v>
      </c>
      <c r="BR298" s="660">
        <v>0</v>
      </c>
      <c r="BS298" s="660">
        <v>0</v>
      </c>
      <c r="BT298" s="660">
        <f t="shared" si="1702"/>
        <v>0</v>
      </c>
      <c r="BU298" s="660">
        <f t="shared" si="1702"/>
        <v>0</v>
      </c>
      <c r="BX298" s="660">
        <v>0</v>
      </c>
      <c r="BY298" s="660">
        <f t="shared" si="1730"/>
        <v>0</v>
      </c>
      <c r="BZ298" s="660">
        <f t="shared" si="1703"/>
        <v>0</v>
      </c>
      <c r="CA298" s="660">
        <f t="shared" si="1704"/>
        <v>0</v>
      </c>
      <c r="CB298" s="660">
        <f t="shared" si="1705"/>
        <v>0</v>
      </c>
      <c r="CC298" s="660">
        <f t="shared" si="1706"/>
        <v>0</v>
      </c>
      <c r="CD298" s="660">
        <f t="shared" si="1731"/>
        <v>0</v>
      </c>
    </row>
    <row r="299" spans="4:82" ht="16" hidden="1" thickTop="1" thickBot="1">
      <c r="D299" s="653"/>
      <c r="E299" s="654"/>
      <c r="F299" s="655" t="str">
        <f t="shared" si="1707"/>
        <v/>
      </c>
      <c r="G299" s="656"/>
      <c r="I299" s="658">
        <f t="shared" si="1708"/>
        <v>0</v>
      </c>
      <c r="J299" s="658">
        <f t="shared" ref="J299" si="2133">IF($G299=0,0,-MIN(0,G299*c_EquityShare.LP))</f>
        <v>0</v>
      </c>
      <c r="K299" s="658">
        <f t="shared" ref="K299" si="2134">I299*c_Rate.Pref_MO</f>
        <v>0</v>
      </c>
      <c r="L299" s="658">
        <f t="shared" si="1684"/>
        <v>0</v>
      </c>
      <c r="M299" s="658">
        <f t="shared" si="1711"/>
        <v>0</v>
      </c>
      <c r="N299" s="658">
        <f t="shared" si="1734"/>
        <v>0</v>
      </c>
      <c r="O299" s="658" cm="1">
        <f t="array" ref="O299">IF(I299=0,0,IF(G299&lt;0,N299/c_EquityShare.LP*i_EquityShare.GP,L299/c_EquityShare.LP*i_EquityShare.GP))</f>
        <v>0</v>
      </c>
      <c r="P299" s="658">
        <f t="shared" si="1712"/>
        <v>0</v>
      </c>
      <c r="Q299" s="658">
        <f t="shared" si="1685"/>
        <v>0</v>
      </c>
      <c r="R299" s="521"/>
      <c r="S299" s="660">
        <f t="shared" si="1713"/>
        <v>0</v>
      </c>
      <c r="T299" s="663" cm="1">
        <f t="array" ref="T299">IF($G299=0,0,-MIN(0,$G299*c_EquityShare.LP))</f>
        <v>0</v>
      </c>
      <c r="U299" s="663" cm="1">
        <f t="array" ref="U299">IF($D299=0,0,S299*c_Rate.Hurdle1.MO)</f>
        <v>0</v>
      </c>
      <c r="V299" s="660">
        <f t="shared" si="1735"/>
        <v>0</v>
      </c>
      <c r="W299" s="660">
        <f t="shared" si="1714"/>
        <v>0</v>
      </c>
      <c r="X299" s="663">
        <f t="shared" si="1736"/>
        <v>0</v>
      </c>
      <c r="Y299" s="663">
        <f t="shared" si="1715"/>
        <v>0</v>
      </c>
      <c r="Z299" s="663">
        <f t="shared" ref="Z299" si="2135">IF(S299=0,0,O299+W299/$J$17*c_Hurdle1.Share_GP)</f>
        <v>0</v>
      </c>
      <c r="AA299" s="663">
        <f t="shared" si="1687"/>
        <v>0</v>
      </c>
      <c r="AB299" s="660">
        <f t="shared" si="1738"/>
        <v>0</v>
      </c>
      <c r="AC299" s="521"/>
      <c r="AD299" s="663">
        <f t="shared" si="1877"/>
        <v>0</v>
      </c>
      <c r="AE299" s="663">
        <f t="shared" ref="AE299" si="2136">IF($G299=0,0,-MIN(0,$G299*c_EquityShare.LP))</f>
        <v>0</v>
      </c>
      <c r="AF299" s="663" cm="1">
        <f t="array" ref="AF299">IF($D299=0,0,AD299*(c_Rate.Hurdle2.MO))</f>
        <v>0</v>
      </c>
      <c r="AG299" s="663">
        <f t="shared" si="1689"/>
        <v>0</v>
      </c>
      <c r="AH299" s="663">
        <f t="shared" si="1718"/>
        <v>0</v>
      </c>
      <c r="AI299" s="663">
        <f t="shared" si="1690"/>
        <v>0</v>
      </c>
      <c r="AJ299" s="664">
        <f t="shared" si="1691"/>
        <v>0</v>
      </c>
      <c r="AK299" s="660">
        <f t="shared" si="1692"/>
        <v>0</v>
      </c>
      <c r="AL299" s="663">
        <f t="shared" ref="AL299" si="2137">IF(AD299=0,0,Z299+AH299/$J$18*c_Hurdle2.Share_GP)</f>
        <v>0</v>
      </c>
      <c r="AM299" s="663">
        <f t="shared" si="1694"/>
        <v>0</v>
      </c>
      <c r="AN299" s="660">
        <f t="shared" si="1741"/>
        <v>0</v>
      </c>
      <c r="AO299" s="521"/>
      <c r="AP299" s="663">
        <f t="shared" si="1880"/>
        <v>0</v>
      </c>
      <c r="AQ299" s="663">
        <f t="shared" ref="AQ299" si="2138">IF($G299=0,0,-MIN(0,$G299*c_EquityShare.LP))</f>
        <v>0</v>
      </c>
      <c r="AR299" s="663" cm="1">
        <f t="array" ref="AR299">IF($D299=0,0,AP299*(c_Rate.Hurdle3.MO))</f>
        <v>0</v>
      </c>
      <c r="AS299" s="663">
        <f t="shared" si="1696"/>
        <v>0</v>
      </c>
      <c r="AT299" s="663">
        <f t="shared" si="1721"/>
        <v>0</v>
      </c>
      <c r="AU299" s="663">
        <f t="shared" si="1697"/>
        <v>0</v>
      </c>
      <c r="AV299" s="664">
        <f t="shared" si="1698"/>
        <v>0</v>
      </c>
      <c r="AW299" s="660">
        <f t="shared" si="1722"/>
        <v>0</v>
      </c>
      <c r="AX299" s="663">
        <f t="shared" ref="AX299" si="2139">IF(AP299=0,0,AL299+AT299/$J$19*c_Hurdle3.Share_GP)</f>
        <v>0</v>
      </c>
      <c r="AY299" s="663">
        <f t="shared" si="1724"/>
        <v>0</v>
      </c>
      <c r="AZ299" s="660">
        <f t="shared" si="1744"/>
        <v>0</v>
      </c>
      <c r="BA299" s="521"/>
      <c r="BB299" s="660">
        <f t="shared" si="1939"/>
        <v>0</v>
      </c>
      <c r="BC299" s="660">
        <f t="shared" ref="BC299" si="2140">$AZ299*c_Residual.Share_GP</f>
        <v>0</v>
      </c>
      <c r="BD299" s="651"/>
      <c r="BE299" s="660">
        <f t="shared" si="1726"/>
        <v>0</v>
      </c>
      <c r="BF299" s="660">
        <f t="shared" si="1726"/>
        <v>0</v>
      </c>
      <c r="BG299" s="660">
        <f t="shared" si="1701"/>
        <v>0</v>
      </c>
      <c r="BI299" s="660">
        <v>0</v>
      </c>
      <c r="BJ299" s="660">
        <v>0</v>
      </c>
      <c r="BK299" s="660">
        <v>0</v>
      </c>
      <c r="BL299" s="660">
        <f t="shared" si="1727"/>
        <v>0</v>
      </c>
      <c r="BM299" s="660">
        <f t="shared" si="1727"/>
        <v>0</v>
      </c>
      <c r="BN299" s="660">
        <f t="shared" si="1728"/>
        <v>0</v>
      </c>
      <c r="BO299" s="660">
        <f t="shared" si="1728"/>
        <v>0</v>
      </c>
      <c r="BP299" s="660">
        <f t="shared" si="1729"/>
        <v>0</v>
      </c>
      <c r="BQ299" s="660">
        <f t="shared" si="1729"/>
        <v>0</v>
      </c>
      <c r="BR299" s="660">
        <v>0</v>
      </c>
      <c r="BS299" s="660">
        <v>0</v>
      </c>
      <c r="BT299" s="660">
        <f t="shared" si="1702"/>
        <v>0</v>
      </c>
      <c r="BU299" s="660">
        <f t="shared" si="1702"/>
        <v>0</v>
      </c>
      <c r="BX299" s="660">
        <v>0</v>
      </c>
      <c r="BY299" s="660">
        <f t="shared" si="1730"/>
        <v>0</v>
      </c>
      <c r="BZ299" s="660">
        <f t="shared" si="1703"/>
        <v>0</v>
      </c>
      <c r="CA299" s="660">
        <f t="shared" si="1704"/>
        <v>0</v>
      </c>
      <c r="CB299" s="660">
        <f t="shared" si="1705"/>
        <v>0</v>
      </c>
      <c r="CC299" s="660">
        <f t="shared" si="1706"/>
        <v>0</v>
      </c>
      <c r="CD299" s="660">
        <f t="shared" si="1731"/>
        <v>0</v>
      </c>
    </row>
    <row r="300" spans="4:82" ht="16" hidden="1" thickTop="1" thickBot="1">
      <c r="D300" s="653"/>
      <c r="E300" s="654"/>
      <c r="F300" s="655" t="str">
        <f t="shared" si="1707"/>
        <v/>
      </c>
      <c r="G300" s="656"/>
      <c r="I300" s="658">
        <f t="shared" si="1708"/>
        <v>0</v>
      </c>
      <c r="J300" s="658">
        <f t="shared" ref="J300" si="2141">IF($G300=0,0,-MIN(0,G300*c_EquityShare.LP))</f>
        <v>0</v>
      </c>
      <c r="K300" s="658">
        <f t="shared" ref="K300" si="2142">I300*c_Rate.Pref_MO</f>
        <v>0</v>
      </c>
      <c r="L300" s="658">
        <f t="shared" si="1684"/>
        <v>0</v>
      </c>
      <c r="M300" s="658">
        <f t="shared" si="1711"/>
        <v>0</v>
      </c>
      <c r="N300" s="658">
        <f t="shared" si="1734"/>
        <v>0</v>
      </c>
      <c r="O300" s="658" cm="1">
        <f t="array" ref="O300">IF(I300=0,0,IF(G300&lt;0,N300/c_EquityShare.LP*i_EquityShare.GP,L300/c_EquityShare.LP*i_EquityShare.GP))</f>
        <v>0</v>
      </c>
      <c r="P300" s="658">
        <f t="shared" si="1712"/>
        <v>0</v>
      </c>
      <c r="Q300" s="658">
        <f t="shared" si="1685"/>
        <v>0</v>
      </c>
      <c r="R300" s="521"/>
      <c r="S300" s="660">
        <f t="shared" si="1713"/>
        <v>0</v>
      </c>
      <c r="T300" s="663" cm="1">
        <f t="array" ref="T300">IF($G300=0,0,-MIN(0,$G300*c_EquityShare.LP))</f>
        <v>0</v>
      </c>
      <c r="U300" s="663" cm="1">
        <f t="array" ref="U300">IF($D300=0,0,S300*c_Rate.Hurdle1.MO)</f>
        <v>0</v>
      </c>
      <c r="V300" s="660">
        <f t="shared" si="1735"/>
        <v>0</v>
      </c>
      <c r="W300" s="660">
        <f t="shared" si="1714"/>
        <v>0</v>
      </c>
      <c r="X300" s="663">
        <f t="shared" si="1736"/>
        <v>0</v>
      </c>
      <c r="Y300" s="663">
        <f t="shared" si="1715"/>
        <v>0</v>
      </c>
      <c r="Z300" s="663">
        <f t="shared" ref="Z300" si="2143">IF(S300=0,0,O300+W300/$J$17*c_Hurdle1.Share_GP)</f>
        <v>0</v>
      </c>
      <c r="AA300" s="663">
        <f t="shared" si="1687"/>
        <v>0</v>
      </c>
      <c r="AB300" s="660">
        <f t="shared" si="1738"/>
        <v>0</v>
      </c>
      <c r="AC300" s="521"/>
      <c r="AD300" s="663">
        <f t="shared" si="1877"/>
        <v>0</v>
      </c>
      <c r="AE300" s="663">
        <f t="shared" ref="AE300" si="2144">IF($G300=0,0,-MIN(0,$G300*c_EquityShare.LP))</f>
        <v>0</v>
      </c>
      <c r="AF300" s="663" cm="1">
        <f t="array" ref="AF300">IF($D300=0,0,AD300*(c_Rate.Hurdle2.MO))</f>
        <v>0</v>
      </c>
      <c r="AG300" s="663">
        <f t="shared" si="1689"/>
        <v>0</v>
      </c>
      <c r="AH300" s="663">
        <f t="shared" si="1718"/>
        <v>0</v>
      </c>
      <c r="AI300" s="663">
        <f t="shared" si="1690"/>
        <v>0</v>
      </c>
      <c r="AJ300" s="664">
        <f t="shared" si="1691"/>
        <v>0</v>
      </c>
      <c r="AK300" s="660">
        <f t="shared" si="1692"/>
        <v>0</v>
      </c>
      <c r="AL300" s="663">
        <f t="shared" ref="AL300" si="2145">IF(AD300=0,0,Z300+AH300/$J$18*c_Hurdle2.Share_GP)</f>
        <v>0</v>
      </c>
      <c r="AM300" s="663">
        <f t="shared" si="1694"/>
        <v>0</v>
      </c>
      <c r="AN300" s="660">
        <f t="shared" si="1741"/>
        <v>0</v>
      </c>
      <c r="AO300" s="521"/>
      <c r="AP300" s="663">
        <f t="shared" si="1880"/>
        <v>0</v>
      </c>
      <c r="AQ300" s="663">
        <f t="shared" ref="AQ300" si="2146">IF($G300=0,0,-MIN(0,$G300*c_EquityShare.LP))</f>
        <v>0</v>
      </c>
      <c r="AR300" s="663" cm="1">
        <f t="array" ref="AR300">IF($D300=0,0,AP300*(c_Rate.Hurdle3.MO))</f>
        <v>0</v>
      </c>
      <c r="AS300" s="663">
        <f t="shared" si="1696"/>
        <v>0</v>
      </c>
      <c r="AT300" s="663">
        <f t="shared" si="1721"/>
        <v>0</v>
      </c>
      <c r="AU300" s="663">
        <f t="shared" si="1697"/>
        <v>0</v>
      </c>
      <c r="AV300" s="664">
        <f t="shared" si="1698"/>
        <v>0</v>
      </c>
      <c r="AW300" s="660">
        <f t="shared" si="1722"/>
        <v>0</v>
      </c>
      <c r="AX300" s="663">
        <f t="shared" ref="AX300" si="2147">IF(AP300=0,0,AL300+AT300/$J$19*c_Hurdle3.Share_GP)</f>
        <v>0</v>
      </c>
      <c r="AY300" s="663">
        <f t="shared" si="1724"/>
        <v>0</v>
      </c>
      <c r="AZ300" s="660">
        <f t="shared" si="1744"/>
        <v>0</v>
      </c>
      <c r="BA300" s="521"/>
      <c r="BB300" s="660">
        <f t="shared" si="1939"/>
        <v>0</v>
      </c>
      <c r="BC300" s="660">
        <f t="shared" ref="BC300" si="2148">$AZ300*c_Residual.Share_GP</f>
        <v>0</v>
      </c>
      <c r="BD300" s="651"/>
      <c r="BE300" s="660">
        <f t="shared" si="1726"/>
        <v>0</v>
      </c>
      <c r="BF300" s="660">
        <f t="shared" si="1726"/>
        <v>0</v>
      </c>
      <c r="BG300" s="660">
        <f t="shared" si="1701"/>
        <v>0</v>
      </c>
      <c r="BI300" s="660">
        <v>0</v>
      </c>
      <c r="BJ300" s="660">
        <v>0</v>
      </c>
      <c r="BK300" s="660">
        <v>0</v>
      </c>
      <c r="BL300" s="660">
        <f t="shared" si="1727"/>
        <v>0</v>
      </c>
      <c r="BM300" s="660">
        <f t="shared" si="1727"/>
        <v>0</v>
      </c>
      <c r="BN300" s="660">
        <f t="shared" si="1728"/>
        <v>0</v>
      </c>
      <c r="BO300" s="660">
        <f t="shared" si="1728"/>
        <v>0</v>
      </c>
      <c r="BP300" s="660">
        <f t="shared" si="1729"/>
        <v>0</v>
      </c>
      <c r="BQ300" s="660">
        <f t="shared" si="1729"/>
        <v>0</v>
      </c>
      <c r="BR300" s="660">
        <v>0</v>
      </c>
      <c r="BS300" s="660">
        <v>0</v>
      </c>
      <c r="BT300" s="660">
        <f t="shared" si="1702"/>
        <v>0</v>
      </c>
      <c r="BU300" s="660">
        <f t="shared" si="1702"/>
        <v>0</v>
      </c>
      <c r="BX300" s="660">
        <v>0</v>
      </c>
      <c r="BY300" s="660">
        <f t="shared" si="1730"/>
        <v>0</v>
      </c>
      <c r="BZ300" s="660">
        <f t="shared" si="1703"/>
        <v>0</v>
      </c>
      <c r="CA300" s="660">
        <f t="shared" si="1704"/>
        <v>0</v>
      </c>
      <c r="CB300" s="660">
        <f t="shared" si="1705"/>
        <v>0</v>
      </c>
      <c r="CC300" s="660">
        <f t="shared" si="1706"/>
        <v>0</v>
      </c>
      <c r="CD300" s="660">
        <f t="shared" si="1731"/>
        <v>0</v>
      </c>
    </row>
    <row r="301" spans="4:82" ht="16" hidden="1" thickTop="1" thickBot="1">
      <c r="D301" s="653"/>
      <c r="E301" s="654"/>
      <c r="F301" s="655" t="str">
        <f t="shared" si="1707"/>
        <v/>
      </c>
      <c r="G301" s="656"/>
      <c r="I301" s="658">
        <f t="shared" si="1708"/>
        <v>0</v>
      </c>
      <c r="J301" s="658">
        <f t="shared" ref="J301" si="2149">IF($G301=0,0,-MIN(0,G301*c_EquityShare.LP))</f>
        <v>0</v>
      </c>
      <c r="K301" s="658">
        <f t="shared" ref="K301" si="2150">I301*c_Rate.Pref_MO</f>
        <v>0</v>
      </c>
      <c r="L301" s="658">
        <f t="shared" si="1684"/>
        <v>0</v>
      </c>
      <c r="M301" s="658">
        <f t="shared" si="1711"/>
        <v>0</v>
      </c>
      <c r="N301" s="658">
        <f t="shared" si="1734"/>
        <v>0</v>
      </c>
      <c r="O301" s="658" cm="1">
        <f t="array" ref="O301">IF(I301=0,0,IF(G301&lt;0,N301/c_EquityShare.LP*i_EquityShare.GP,L301/c_EquityShare.LP*i_EquityShare.GP))</f>
        <v>0</v>
      </c>
      <c r="P301" s="658">
        <f t="shared" si="1712"/>
        <v>0</v>
      </c>
      <c r="Q301" s="658">
        <f t="shared" si="1685"/>
        <v>0</v>
      </c>
      <c r="R301" s="521"/>
      <c r="S301" s="660">
        <f t="shared" si="1713"/>
        <v>0</v>
      </c>
      <c r="T301" s="663" cm="1">
        <f t="array" ref="T301">IF($G301=0,0,-MIN(0,$G301*c_EquityShare.LP))</f>
        <v>0</v>
      </c>
      <c r="U301" s="663" cm="1">
        <f t="array" ref="U301">IF($D301=0,0,S301*c_Rate.Hurdle1.MO)</f>
        <v>0</v>
      </c>
      <c r="V301" s="660">
        <f t="shared" si="1735"/>
        <v>0</v>
      </c>
      <c r="W301" s="660">
        <f t="shared" si="1714"/>
        <v>0</v>
      </c>
      <c r="X301" s="663">
        <f t="shared" si="1736"/>
        <v>0</v>
      </c>
      <c r="Y301" s="663">
        <f t="shared" si="1715"/>
        <v>0</v>
      </c>
      <c r="Z301" s="663">
        <f t="shared" ref="Z301" si="2151">IF(S301=0,0,O301+W301/$J$17*c_Hurdle1.Share_GP)</f>
        <v>0</v>
      </c>
      <c r="AA301" s="663">
        <f t="shared" si="1687"/>
        <v>0</v>
      </c>
      <c r="AB301" s="660">
        <f t="shared" si="1738"/>
        <v>0</v>
      </c>
      <c r="AC301" s="521"/>
      <c r="AD301" s="663">
        <f t="shared" si="1877"/>
        <v>0</v>
      </c>
      <c r="AE301" s="663">
        <f t="shared" ref="AE301" si="2152">IF($G301=0,0,-MIN(0,$G301*c_EquityShare.LP))</f>
        <v>0</v>
      </c>
      <c r="AF301" s="663" cm="1">
        <f t="array" ref="AF301">IF($D301=0,0,AD301*(c_Rate.Hurdle2.MO))</f>
        <v>0</v>
      </c>
      <c r="AG301" s="663">
        <f t="shared" si="1689"/>
        <v>0</v>
      </c>
      <c r="AH301" s="663">
        <f t="shared" si="1718"/>
        <v>0</v>
      </c>
      <c r="AI301" s="663">
        <f t="shared" si="1690"/>
        <v>0</v>
      </c>
      <c r="AJ301" s="664">
        <f t="shared" si="1691"/>
        <v>0</v>
      </c>
      <c r="AK301" s="660">
        <f t="shared" si="1692"/>
        <v>0</v>
      </c>
      <c r="AL301" s="663">
        <f t="shared" ref="AL301" si="2153">IF(AD301=0,0,Z301+AH301/$J$18*c_Hurdle2.Share_GP)</f>
        <v>0</v>
      </c>
      <c r="AM301" s="663">
        <f t="shared" si="1694"/>
        <v>0</v>
      </c>
      <c r="AN301" s="660">
        <f t="shared" si="1741"/>
        <v>0</v>
      </c>
      <c r="AO301" s="521"/>
      <c r="AP301" s="663">
        <f t="shared" si="1880"/>
        <v>0</v>
      </c>
      <c r="AQ301" s="663">
        <f t="shared" ref="AQ301" si="2154">IF($G301=0,0,-MIN(0,$G301*c_EquityShare.LP))</f>
        <v>0</v>
      </c>
      <c r="AR301" s="663" cm="1">
        <f t="array" ref="AR301">IF($D301=0,0,AP301*(c_Rate.Hurdle3.MO))</f>
        <v>0</v>
      </c>
      <c r="AS301" s="663">
        <f t="shared" si="1696"/>
        <v>0</v>
      </c>
      <c r="AT301" s="663">
        <f t="shared" si="1721"/>
        <v>0</v>
      </c>
      <c r="AU301" s="663">
        <f t="shared" si="1697"/>
        <v>0</v>
      </c>
      <c r="AV301" s="664">
        <f t="shared" si="1698"/>
        <v>0</v>
      </c>
      <c r="AW301" s="660">
        <f t="shared" si="1722"/>
        <v>0</v>
      </c>
      <c r="AX301" s="663">
        <f t="shared" ref="AX301" si="2155">IF(AP301=0,0,AL301+AT301/$J$19*c_Hurdle3.Share_GP)</f>
        <v>0</v>
      </c>
      <c r="AY301" s="663">
        <f t="shared" si="1724"/>
        <v>0</v>
      </c>
      <c r="AZ301" s="660">
        <f t="shared" si="1744"/>
        <v>0</v>
      </c>
      <c r="BA301" s="521"/>
      <c r="BB301" s="660">
        <f t="shared" si="1939"/>
        <v>0</v>
      </c>
      <c r="BC301" s="660">
        <f t="shared" ref="BC301" si="2156">$AZ301*c_Residual.Share_GP</f>
        <v>0</v>
      </c>
      <c r="BD301" s="651"/>
      <c r="BE301" s="660">
        <f t="shared" si="1726"/>
        <v>0</v>
      </c>
      <c r="BF301" s="660">
        <f t="shared" si="1726"/>
        <v>0</v>
      </c>
      <c r="BG301" s="660">
        <f t="shared" si="1701"/>
        <v>0</v>
      </c>
      <c r="BI301" s="660">
        <v>0</v>
      </c>
      <c r="BJ301" s="660">
        <v>0</v>
      </c>
      <c r="BK301" s="660">
        <v>0</v>
      </c>
      <c r="BL301" s="660">
        <f t="shared" si="1727"/>
        <v>0</v>
      </c>
      <c r="BM301" s="660">
        <f t="shared" si="1727"/>
        <v>0</v>
      </c>
      <c r="BN301" s="660">
        <f t="shared" si="1728"/>
        <v>0</v>
      </c>
      <c r="BO301" s="660">
        <f t="shared" si="1728"/>
        <v>0</v>
      </c>
      <c r="BP301" s="660">
        <f t="shared" si="1729"/>
        <v>0</v>
      </c>
      <c r="BQ301" s="660">
        <f t="shared" si="1729"/>
        <v>0</v>
      </c>
      <c r="BR301" s="660">
        <v>0</v>
      </c>
      <c r="BS301" s="660">
        <v>0</v>
      </c>
      <c r="BT301" s="660">
        <f t="shared" si="1702"/>
        <v>0</v>
      </c>
      <c r="BU301" s="660">
        <f t="shared" si="1702"/>
        <v>0</v>
      </c>
      <c r="BX301" s="660">
        <v>0</v>
      </c>
      <c r="BY301" s="660">
        <f t="shared" si="1730"/>
        <v>0</v>
      </c>
      <c r="BZ301" s="660">
        <f t="shared" si="1703"/>
        <v>0</v>
      </c>
      <c r="CA301" s="660">
        <f t="shared" si="1704"/>
        <v>0</v>
      </c>
      <c r="CB301" s="660">
        <f t="shared" si="1705"/>
        <v>0</v>
      </c>
      <c r="CC301" s="660">
        <f t="shared" si="1706"/>
        <v>0</v>
      </c>
      <c r="CD301" s="660">
        <f t="shared" si="1731"/>
        <v>0</v>
      </c>
    </row>
    <row r="302" spans="4:82" ht="16" hidden="1" thickTop="1" thickBot="1">
      <c r="D302" s="653"/>
      <c r="E302" s="654"/>
      <c r="F302" s="655" t="str">
        <f t="shared" si="1707"/>
        <v/>
      </c>
      <c r="G302" s="656"/>
      <c r="I302" s="658">
        <f t="shared" si="1708"/>
        <v>0</v>
      </c>
      <c r="J302" s="658">
        <f t="shared" ref="J302" si="2157">IF($G302=0,0,-MIN(0,G302*c_EquityShare.LP))</f>
        <v>0</v>
      </c>
      <c r="K302" s="658">
        <f t="shared" ref="K302" si="2158">I302*c_Rate.Pref_MO</f>
        <v>0</v>
      </c>
      <c r="L302" s="658">
        <f t="shared" si="1684"/>
        <v>0</v>
      </c>
      <c r="M302" s="658">
        <f t="shared" si="1711"/>
        <v>0</v>
      </c>
      <c r="N302" s="658">
        <f t="shared" si="1734"/>
        <v>0</v>
      </c>
      <c r="O302" s="658" cm="1">
        <f t="array" ref="O302">IF(I302=0,0,IF(G302&lt;0,N302/c_EquityShare.LP*i_EquityShare.GP,L302/c_EquityShare.LP*i_EquityShare.GP))</f>
        <v>0</v>
      </c>
      <c r="P302" s="658">
        <f t="shared" si="1712"/>
        <v>0</v>
      </c>
      <c r="Q302" s="658">
        <f t="shared" si="1685"/>
        <v>0</v>
      </c>
      <c r="R302" s="521"/>
      <c r="S302" s="660">
        <f t="shared" si="1713"/>
        <v>0</v>
      </c>
      <c r="T302" s="663" cm="1">
        <f t="array" ref="T302">IF($G302=0,0,-MIN(0,$G302*c_EquityShare.LP))</f>
        <v>0</v>
      </c>
      <c r="U302" s="663" cm="1">
        <f t="array" ref="U302">IF($D302=0,0,S302*c_Rate.Hurdle1.MO)</f>
        <v>0</v>
      </c>
      <c r="V302" s="660">
        <f t="shared" si="1735"/>
        <v>0</v>
      </c>
      <c r="W302" s="660">
        <f t="shared" si="1714"/>
        <v>0</v>
      </c>
      <c r="X302" s="663">
        <f t="shared" si="1736"/>
        <v>0</v>
      </c>
      <c r="Y302" s="663">
        <f t="shared" si="1715"/>
        <v>0</v>
      </c>
      <c r="Z302" s="663">
        <f t="shared" ref="Z302" si="2159">IF(S302=0,0,O302+W302/$J$17*c_Hurdle1.Share_GP)</f>
        <v>0</v>
      </c>
      <c r="AA302" s="663">
        <f t="shared" si="1687"/>
        <v>0</v>
      </c>
      <c r="AB302" s="660">
        <f t="shared" si="1738"/>
        <v>0</v>
      </c>
      <c r="AC302" s="521"/>
      <c r="AD302" s="663">
        <f t="shared" si="1877"/>
        <v>0</v>
      </c>
      <c r="AE302" s="663">
        <f t="shared" ref="AE302" si="2160">IF($G302=0,0,-MIN(0,$G302*c_EquityShare.LP))</f>
        <v>0</v>
      </c>
      <c r="AF302" s="663" cm="1">
        <f t="array" ref="AF302">IF($D302=0,0,AD302*(c_Rate.Hurdle2.MO))</f>
        <v>0</v>
      </c>
      <c r="AG302" s="663">
        <f t="shared" si="1689"/>
        <v>0</v>
      </c>
      <c r="AH302" s="663">
        <f t="shared" si="1718"/>
        <v>0</v>
      </c>
      <c r="AI302" s="663">
        <f t="shared" si="1690"/>
        <v>0</v>
      </c>
      <c r="AJ302" s="664">
        <f t="shared" si="1691"/>
        <v>0</v>
      </c>
      <c r="AK302" s="660">
        <f t="shared" si="1692"/>
        <v>0</v>
      </c>
      <c r="AL302" s="663">
        <f t="shared" ref="AL302" si="2161">IF(AD302=0,0,Z302+AH302/$J$18*c_Hurdle2.Share_GP)</f>
        <v>0</v>
      </c>
      <c r="AM302" s="663">
        <f t="shared" si="1694"/>
        <v>0</v>
      </c>
      <c r="AN302" s="660">
        <f t="shared" si="1741"/>
        <v>0</v>
      </c>
      <c r="AO302" s="521"/>
      <c r="AP302" s="663">
        <f t="shared" si="1880"/>
        <v>0</v>
      </c>
      <c r="AQ302" s="663">
        <f t="shared" ref="AQ302" si="2162">IF($G302=0,0,-MIN(0,$G302*c_EquityShare.LP))</f>
        <v>0</v>
      </c>
      <c r="AR302" s="663" cm="1">
        <f t="array" ref="AR302">IF($D302=0,0,AP302*(c_Rate.Hurdle3.MO))</f>
        <v>0</v>
      </c>
      <c r="AS302" s="663">
        <f t="shared" si="1696"/>
        <v>0</v>
      </c>
      <c r="AT302" s="663">
        <f t="shared" si="1721"/>
        <v>0</v>
      </c>
      <c r="AU302" s="663">
        <f t="shared" si="1697"/>
        <v>0</v>
      </c>
      <c r="AV302" s="664">
        <f t="shared" si="1698"/>
        <v>0</v>
      </c>
      <c r="AW302" s="660">
        <f t="shared" si="1722"/>
        <v>0</v>
      </c>
      <c r="AX302" s="663">
        <f t="shared" ref="AX302" si="2163">IF(AP302=0,0,AL302+AT302/$J$19*c_Hurdle3.Share_GP)</f>
        <v>0</v>
      </c>
      <c r="AY302" s="663">
        <f t="shared" si="1724"/>
        <v>0</v>
      </c>
      <c r="AZ302" s="660">
        <f t="shared" si="1744"/>
        <v>0</v>
      </c>
      <c r="BA302" s="521"/>
      <c r="BB302" s="660">
        <f t="shared" si="1939"/>
        <v>0</v>
      </c>
      <c r="BC302" s="660">
        <f t="shared" ref="BC302" si="2164">$AZ302*c_Residual.Share_GP</f>
        <v>0</v>
      </c>
      <c r="BD302" s="651"/>
      <c r="BE302" s="660">
        <f t="shared" si="1726"/>
        <v>0</v>
      </c>
      <c r="BF302" s="660">
        <f t="shared" si="1726"/>
        <v>0</v>
      </c>
      <c r="BG302" s="660">
        <f t="shared" si="1701"/>
        <v>0</v>
      </c>
      <c r="BI302" s="660">
        <v>0</v>
      </c>
      <c r="BJ302" s="660">
        <v>0</v>
      </c>
      <c r="BK302" s="660">
        <v>0</v>
      </c>
      <c r="BL302" s="660">
        <f t="shared" si="1727"/>
        <v>0</v>
      </c>
      <c r="BM302" s="660">
        <f t="shared" si="1727"/>
        <v>0</v>
      </c>
      <c r="BN302" s="660">
        <f t="shared" si="1728"/>
        <v>0</v>
      </c>
      <c r="BO302" s="660">
        <f t="shared" si="1728"/>
        <v>0</v>
      </c>
      <c r="BP302" s="660">
        <f t="shared" si="1729"/>
        <v>0</v>
      </c>
      <c r="BQ302" s="660">
        <f t="shared" si="1729"/>
        <v>0</v>
      </c>
      <c r="BR302" s="660">
        <v>0</v>
      </c>
      <c r="BS302" s="660">
        <v>0</v>
      </c>
      <c r="BT302" s="660">
        <f t="shared" si="1702"/>
        <v>0</v>
      </c>
      <c r="BU302" s="660">
        <f t="shared" si="1702"/>
        <v>0</v>
      </c>
      <c r="BX302" s="660">
        <v>0</v>
      </c>
      <c r="BY302" s="660">
        <f t="shared" si="1730"/>
        <v>0</v>
      </c>
      <c r="BZ302" s="660">
        <f t="shared" si="1703"/>
        <v>0</v>
      </c>
      <c r="CA302" s="660">
        <f t="shared" si="1704"/>
        <v>0</v>
      </c>
      <c r="CB302" s="660">
        <f t="shared" si="1705"/>
        <v>0</v>
      </c>
      <c r="CC302" s="660">
        <f t="shared" si="1706"/>
        <v>0</v>
      </c>
      <c r="CD302" s="660">
        <f t="shared" si="1731"/>
        <v>0</v>
      </c>
    </row>
    <row r="303" spans="4:82" ht="16" hidden="1" thickTop="1" thickBot="1">
      <c r="D303" s="653"/>
      <c r="E303" s="654"/>
      <c r="F303" s="655" t="str">
        <f t="shared" si="1707"/>
        <v/>
      </c>
      <c r="G303" s="656"/>
      <c r="I303" s="658">
        <f t="shared" si="1708"/>
        <v>0</v>
      </c>
      <c r="J303" s="658">
        <f t="shared" ref="J303" si="2165">IF($G303=0,0,-MIN(0,G303*c_EquityShare.LP))</f>
        <v>0</v>
      </c>
      <c r="K303" s="658">
        <f t="shared" ref="K303" si="2166">I303*c_Rate.Pref_MO</f>
        <v>0</v>
      </c>
      <c r="L303" s="658">
        <f t="shared" si="1684"/>
        <v>0</v>
      </c>
      <c r="M303" s="658">
        <f t="shared" si="1711"/>
        <v>0</v>
      </c>
      <c r="N303" s="658">
        <f t="shared" si="1734"/>
        <v>0</v>
      </c>
      <c r="O303" s="658" cm="1">
        <f t="array" ref="O303">IF(I303=0,0,IF(G303&lt;0,N303/c_EquityShare.LP*i_EquityShare.GP,L303/c_EquityShare.LP*i_EquityShare.GP))</f>
        <v>0</v>
      </c>
      <c r="P303" s="658">
        <f t="shared" si="1712"/>
        <v>0</v>
      </c>
      <c r="Q303" s="658">
        <f t="shared" si="1685"/>
        <v>0</v>
      </c>
      <c r="R303" s="521"/>
      <c r="S303" s="660">
        <f t="shared" si="1713"/>
        <v>0</v>
      </c>
      <c r="T303" s="663" cm="1">
        <f t="array" ref="T303">IF($G303=0,0,-MIN(0,$G303*c_EquityShare.LP))</f>
        <v>0</v>
      </c>
      <c r="U303" s="663" cm="1">
        <f t="array" ref="U303">IF($D303=0,0,S303*c_Rate.Hurdle1.MO)</f>
        <v>0</v>
      </c>
      <c r="V303" s="660">
        <f t="shared" si="1735"/>
        <v>0</v>
      </c>
      <c r="W303" s="660">
        <f t="shared" si="1714"/>
        <v>0</v>
      </c>
      <c r="X303" s="663">
        <f t="shared" si="1736"/>
        <v>0</v>
      </c>
      <c r="Y303" s="663">
        <f t="shared" si="1715"/>
        <v>0</v>
      </c>
      <c r="Z303" s="663">
        <f t="shared" ref="Z303" si="2167">IF(S303=0,0,O303+W303/$J$17*c_Hurdle1.Share_GP)</f>
        <v>0</v>
      </c>
      <c r="AA303" s="663">
        <f t="shared" si="1687"/>
        <v>0</v>
      </c>
      <c r="AB303" s="660">
        <f t="shared" si="1738"/>
        <v>0</v>
      </c>
      <c r="AC303" s="521"/>
      <c r="AD303" s="663">
        <f t="shared" si="1877"/>
        <v>0</v>
      </c>
      <c r="AE303" s="663">
        <f t="shared" ref="AE303" si="2168">IF($G303=0,0,-MIN(0,$G303*c_EquityShare.LP))</f>
        <v>0</v>
      </c>
      <c r="AF303" s="663" cm="1">
        <f t="array" ref="AF303">IF($D303=0,0,AD303*(c_Rate.Hurdle2.MO))</f>
        <v>0</v>
      </c>
      <c r="AG303" s="663">
        <f t="shared" si="1689"/>
        <v>0</v>
      </c>
      <c r="AH303" s="663">
        <f t="shared" si="1718"/>
        <v>0</v>
      </c>
      <c r="AI303" s="663">
        <f t="shared" si="1690"/>
        <v>0</v>
      </c>
      <c r="AJ303" s="664">
        <f t="shared" si="1691"/>
        <v>0</v>
      </c>
      <c r="AK303" s="660">
        <f t="shared" si="1692"/>
        <v>0</v>
      </c>
      <c r="AL303" s="663">
        <f t="shared" ref="AL303" si="2169">IF(AD303=0,0,Z303+AH303/$J$18*c_Hurdle2.Share_GP)</f>
        <v>0</v>
      </c>
      <c r="AM303" s="663">
        <f t="shared" si="1694"/>
        <v>0</v>
      </c>
      <c r="AN303" s="660">
        <f t="shared" si="1741"/>
        <v>0</v>
      </c>
      <c r="AO303" s="521"/>
      <c r="AP303" s="663">
        <f t="shared" si="1880"/>
        <v>0</v>
      </c>
      <c r="AQ303" s="663">
        <f t="shared" ref="AQ303" si="2170">IF($G303=0,0,-MIN(0,$G303*c_EquityShare.LP))</f>
        <v>0</v>
      </c>
      <c r="AR303" s="663" cm="1">
        <f t="array" ref="AR303">IF($D303=0,0,AP303*(c_Rate.Hurdle3.MO))</f>
        <v>0</v>
      </c>
      <c r="AS303" s="663">
        <f t="shared" si="1696"/>
        <v>0</v>
      </c>
      <c r="AT303" s="663">
        <f t="shared" si="1721"/>
        <v>0</v>
      </c>
      <c r="AU303" s="663">
        <f t="shared" si="1697"/>
        <v>0</v>
      </c>
      <c r="AV303" s="664">
        <f t="shared" si="1698"/>
        <v>0</v>
      </c>
      <c r="AW303" s="660">
        <f t="shared" si="1722"/>
        <v>0</v>
      </c>
      <c r="AX303" s="663">
        <f t="shared" ref="AX303" si="2171">IF(AP303=0,0,AL303+AT303/$J$19*c_Hurdle3.Share_GP)</f>
        <v>0</v>
      </c>
      <c r="AY303" s="663">
        <f t="shared" si="1724"/>
        <v>0</v>
      </c>
      <c r="AZ303" s="660">
        <f t="shared" si="1744"/>
        <v>0</v>
      </c>
      <c r="BA303" s="521"/>
      <c r="BB303" s="660">
        <f t="shared" si="1939"/>
        <v>0</v>
      </c>
      <c r="BC303" s="660">
        <f t="shared" ref="BC303" si="2172">$AZ303*c_Residual.Share_GP</f>
        <v>0</v>
      </c>
      <c r="BD303" s="651"/>
      <c r="BE303" s="660">
        <f t="shared" si="1726"/>
        <v>0</v>
      </c>
      <c r="BF303" s="660">
        <f t="shared" si="1726"/>
        <v>0</v>
      </c>
      <c r="BG303" s="660">
        <f t="shared" si="1701"/>
        <v>0</v>
      </c>
      <c r="BI303" s="660">
        <v>0</v>
      </c>
      <c r="BJ303" s="660">
        <v>0</v>
      </c>
      <c r="BK303" s="660">
        <v>0</v>
      </c>
      <c r="BL303" s="660">
        <f t="shared" si="1727"/>
        <v>0</v>
      </c>
      <c r="BM303" s="660">
        <f t="shared" si="1727"/>
        <v>0</v>
      </c>
      <c r="BN303" s="660">
        <f t="shared" si="1728"/>
        <v>0</v>
      </c>
      <c r="BO303" s="660">
        <f t="shared" si="1728"/>
        <v>0</v>
      </c>
      <c r="BP303" s="660">
        <f t="shared" si="1729"/>
        <v>0</v>
      </c>
      <c r="BQ303" s="660">
        <f t="shared" si="1729"/>
        <v>0</v>
      </c>
      <c r="BR303" s="660">
        <v>0</v>
      </c>
      <c r="BS303" s="660">
        <v>0</v>
      </c>
      <c r="BT303" s="660">
        <f t="shared" si="1702"/>
        <v>0</v>
      </c>
      <c r="BU303" s="660">
        <f t="shared" si="1702"/>
        <v>0</v>
      </c>
      <c r="BX303" s="660">
        <v>0</v>
      </c>
      <c r="BY303" s="660">
        <f t="shared" si="1730"/>
        <v>0</v>
      </c>
      <c r="BZ303" s="660">
        <f t="shared" si="1703"/>
        <v>0</v>
      </c>
      <c r="CA303" s="660">
        <f t="shared" si="1704"/>
        <v>0</v>
      </c>
      <c r="CB303" s="660">
        <f t="shared" si="1705"/>
        <v>0</v>
      </c>
      <c r="CC303" s="660">
        <f t="shared" si="1706"/>
        <v>0</v>
      </c>
      <c r="CD303" s="660">
        <f t="shared" si="1731"/>
        <v>0</v>
      </c>
    </row>
    <row r="304" spans="4:82" ht="16" hidden="1" thickTop="1" thickBot="1">
      <c r="D304" s="653"/>
      <c r="E304" s="654"/>
      <c r="F304" s="655" t="str">
        <f t="shared" si="1707"/>
        <v/>
      </c>
      <c r="G304" s="656"/>
      <c r="I304" s="658">
        <f t="shared" si="1708"/>
        <v>0</v>
      </c>
      <c r="J304" s="658">
        <f t="shared" ref="J304" si="2173">IF($G304=0,0,-MIN(0,G304*c_EquityShare.LP))</f>
        <v>0</v>
      </c>
      <c r="K304" s="658">
        <f t="shared" ref="K304" si="2174">I304*c_Rate.Pref_MO</f>
        <v>0</v>
      </c>
      <c r="L304" s="658">
        <f t="shared" si="1684"/>
        <v>0</v>
      </c>
      <c r="M304" s="658">
        <f t="shared" si="1711"/>
        <v>0</v>
      </c>
      <c r="N304" s="658">
        <f t="shared" si="1734"/>
        <v>0</v>
      </c>
      <c r="O304" s="658" cm="1">
        <f t="array" ref="O304">IF(I304=0,0,IF(G304&lt;0,N304/c_EquityShare.LP*i_EquityShare.GP,L304/c_EquityShare.LP*i_EquityShare.GP))</f>
        <v>0</v>
      </c>
      <c r="P304" s="658">
        <f t="shared" si="1712"/>
        <v>0</v>
      </c>
      <c r="Q304" s="658">
        <f t="shared" si="1685"/>
        <v>0</v>
      </c>
      <c r="R304" s="521"/>
      <c r="S304" s="660">
        <f t="shared" si="1713"/>
        <v>0</v>
      </c>
      <c r="T304" s="663" cm="1">
        <f t="array" ref="T304">IF($G304=0,0,-MIN(0,$G304*c_EquityShare.LP))</f>
        <v>0</v>
      </c>
      <c r="U304" s="663" cm="1">
        <f t="array" ref="U304">IF($D304=0,0,S304*c_Rate.Hurdle1.MO)</f>
        <v>0</v>
      </c>
      <c r="V304" s="660">
        <f t="shared" si="1735"/>
        <v>0</v>
      </c>
      <c r="W304" s="660">
        <f t="shared" si="1714"/>
        <v>0</v>
      </c>
      <c r="X304" s="663">
        <f t="shared" si="1736"/>
        <v>0</v>
      </c>
      <c r="Y304" s="663">
        <f t="shared" si="1715"/>
        <v>0</v>
      </c>
      <c r="Z304" s="663">
        <f t="shared" ref="Z304" si="2175">IF(S304=0,0,O304+W304/$J$17*c_Hurdle1.Share_GP)</f>
        <v>0</v>
      </c>
      <c r="AA304" s="663">
        <f t="shared" si="1687"/>
        <v>0</v>
      </c>
      <c r="AB304" s="660">
        <f t="shared" si="1738"/>
        <v>0</v>
      </c>
      <c r="AC304" s="521"/>
      <c r="AD304" s="663">
        <f t="shared" si="1877"/>
        <v>0</v>
      </c>
      <c r="AE304" s="663">
        <f t="shared" ref="AE304" si="2176">IF($G304=0,0,-MIN(0,$G304*c_EquityShare.LP))</f>
        <v>0</v>
      </c>
      <c r="AF304" s="663" cm="1">
        <f t="array" ref="AF304">IF($D304=0,0,AD304*(c_Rate.Hurdle2.MO))</f>
        <v>0</v>
      </c>
      <c r="AG304" s="663">
        <f t="shared" si="1689"/>
        <v>0</v>
      </c>
      <c r="AH304" s="663">
        <f t="shared" si="1718"/>
        <v>0</v>
      </c>
      <c r="AI304" s="663">
        <f t="shared" si="1690"/>
        <v>0</v>
      </c>
      <c r="AJ304" s="664">
        <f t="shared" si="1691"/>
        <v>0</v>
      </c>
      <c r="AK304" s="660">
        <f t="shared" si="1692"/>
        <v>0</v>
      </c>
      <c r="AL304" s="663">
        <f t="shared" ref="AL304" si="2177">IF(AD304=0,0,Z304+AH304/$J$18*c_Hurdle2.Share_GP)</f>
        <v>0</v>
      </c>
      <c r="AM304" s="663">
        <f t="shared" si="1694"/>
        <v>0</v>
      </c>
      <c r="AN304" s="660">
        <f t="shared" si="1741"/>
        <v>0</v>
      </c>
      <c r="AO304" s="521"/>
      <c r="AP304" s="663">
        <f t="shared" si="1880"/>
        <v>0</v>
      </c>
      <c r="AQ304" s="663">
        <f t="shared" ref="AQ304" si="2178">IF($G304=0,0,-MIN(0,$G304*c_EquityShare.LP))</f>
        <v>0</v>
      </c>
      <c r="AR304" s="663" cm="1">
        <f t="array" ref="AR304">IF($D304=0,0,AP304*(c_Rate.Hurdle3.MO))</f>
        <v>0</v>
      </c>
      <c r="AS304" s="663">
        <f t="shared" si="1696"/>
        <v>0</v>
      </c>
      <c r="AT304" s="663">
        <f t="shared" si="1721"/>
        <v>0</v>
      </c>
      <c r="AU304" s="663">
        <f t="shared" si="1697"/>
        <v>0</v>
      </c>
      <c r="AV304" s="664">
        <f t="shared" si="1698"/>
        <v>0</v>
      </c>
      <c r="AW304" s="660">
        <f t="shared" si="1722"/>
        <v>0</v>
      </c>
      <c r="AX304" s="663">
        <f t="shared" ref="AX304" si="2179">IF(AP304=0,0,AL304+AT304/$J$19*c_Hurdle3.Share_GP)</f>
        <v>0</v>
      </c>
      <c r="AY304" s="663">
        <f t="shared" si="1724"/>
        <v>0</v>
      </c>
      <c r="AZ304" s="660">
        <f t="shared" si="1744"/>
        <v>0</v>
      </c>
      <c r="BA304" s="521"/>
      <c r="BB304" s="660">
        <f t="shared" si="1939"/>
        <v>0</v>
      </c>
      <c r="BC304" s="660">
        <f t="shared" ref="BC304" si="2180">$AZ304*c_Residual.Share_GP</f>
        <v>0</v>
      </c>
      <c r="BD304" s="651"/>
      <c r="BE304" s="660">
        <f t="shared" si="1726"/>
        <v>0</v>
      </c>
      <c r="BF304" s="660">
        <f t="shared" si="1726"/>
        <v>0</v>
      </c>
      <c r="BG304" s="660">
        <f t="shared" si="1701"/>
        <v>0</v>
      </c>
      <c r="BI304" s="660">
        <v>0</v>
      </c>
      <c r="BJ304" s="660">
        <v>0</v>
      </c>
      <c r="BK304" s="660">
        <v>0</v>
      </c>
      <c r="BL304" s="660">
        <f t="shared" si="1727"/>
        <v>0</v>
      </c>
      <c r="BM304" s="660">
        <f t="shared" si="1727"/>
        <v>0</v>
      </c>
      <c r="BN304" s="660">
        <f t="shared" si="1728"/>
        <v>0</v>
      </c>
      <c r="BO304" s="660">
        <f t="shared" si="1728"/>
        <v>0</v>
      </c>
      <c r="BP304" s="660">
        <f t="shared" si="1729"/>
        <v>0</v>
      </c>
      <c r="BQ304" s="660">
        <f t="shared" si="1729"/>
        <v>0</v>
      </c>
      <c r="BR304" s="660">
        <v>0</v>
      </c>
      <c r="BS304" s="660">
        <v>0</v>
      </c>
      <c r="BT304" s="660">
        <f t="shared" si="1702"/>
        <v>0</v>
      </c>
      <c r="BU304" s="660">
        <f t="shared" si="1702"/>
        <v>0</v>
      </c>
      <c r="BX304" s="660">
        <v>0</v>
      </c>
      <c r="BY304" s="660">
        <f t="shared" si="1730"/>
        <v>0</v>
      </c>
      <c r="BZ304" s="660">
        <f t="shared" si="1703"/>
        <v>0</v>
      </c>
      <c r="CA304" s="660">
        <f t="shared" si="1704"/>
        <v>0</v>
      </c>
      <c r="CB304" s="660">
        <f t="shared" si="1705"/>
        <v>0</v>
      </c>
      <c r="CC304" s="660">
        <f t="shared" si="1706"/>
        <v>0</v>
      </c>
      <c r="CD304" s="660">
        <f t="shared" si="1731"/>
        <v>0</v>
      </c>
    </row>
    <row r="305" spans="4:82" ht="16" hidden="1" thickTop="1" thickBot="1">
      <c r="D305" s="653"/>
      <c r="E305" s="654"/>
      <c r="F305" s="655" t="str">
        <f t="shared" si="1707"/>
        <v/>
      </c>
      <c r="G305" s="656"/>
      <c r="I305" s="658">
        <f t="shared" si="1708"/>
        <v>0</v>
      </c>
      <c r="J305" s="658">
        <f t="shared" ref="J305" si="2181">IF($G305=0,0,-MIN(0,G305*c_EquityShare.LP))</f>
        <v>0</v>
      </c>
      <c r="K305" s="658">
        <f t="shared" ref="K305" si="2182">I305*c_Rate.Pref_MO</f>
        <v>0</v>
      </c>
      <c r="L305" s="658">
        <f t="shared" si="1684"/>
        <v>0</v>
      </c>
      <c r="M305" s="658">
        <f t="shared" si="1711"/>
        <v>0</v>
      </c>
      <c r="N305" s="658">
        <f t="shared" si="1734"/>
        <v>0</v>
      </c>
      <c r="O305" s="658" cm="1">
        <f t="array" ref="O305">IF(I305=0,0,IF(G305&lt;0,N305/c_EquityShare.LP*i_EquityShare.GP,L305/c_EquityShare.LP*i_EquityShare.GP))</f>
        <v>0</v>
      </c>
      <c r="P305" s="658">
        <f t="shared" si="1712"/>
        <v>0</v>
      </c>
      <c r="Q305" s="658">
        <f t="shared" si="1685"/>
        <v>0</v>
      </c>
      <c r="R305" s="521"/>
      <c r="S305" s="660">
        <f t="shared" si="1713"/>
        <v>0</v>
      </c>
      <c r="T305" s="663" cm="1">
        <f t="array" ref="T305">IF($G305=0,0,-MIN(0,$G305*c_EquityShare.LP))</f>
        <v>0</v>
      </c>
      <c r="U305" s="663" cm="1">
        <f t="array" ref="U305">IF($D305=0,0,S305*c_Rate.Hurdle1.MO)</f>
        <v>0</v>
      </c>
      <c r="V305" s="660">
        <f t="shared" si="1735"/>
        <v>0</v>
      </c>
      <c r="W305" s="660">
        <f t="shared" si="1714"/>
        <v>0</v>
      </c>
      <c r="X305" s="663">
        <f t="shared" si="1736"/>
        <v>0</v>
      </c>
      <c r="Y305" s="663">
        <f t="shared" si="1715"/>
        <v>0</v>
      </c>
      <c r="Z305" s="663">
        <f t="shared" ref="Z305" si="2183">IF(S305=0,0,O305+W305/$J$17*c_Hurdle1.Share_GP)</f>
        <v>0</v>
      </c>
      <c r="AA305" s="663">
        <f t="shared" si="1687"/>
        <v>0</v>
      </c>
      <c r="AB305" s="660">
        <f t="shared" si="1738"/>
        <v>0</v>
      </c>
      <c r="AC305" s="521"/>
      <c r="AD305" s="663">
        <f t="shared" si="1877"/>
        <v>0</v>
      </c>
      <c r="AE305" s="663">
        <f t="shared" ref="AE305" si="2184">IF($G305=0,0,-MIN(0,$G305*c_EquityShare.LP))</f>
        <v>0</v>
      </c>
      <c r="AF305" s="663" cm="1">
        <f t="array" ref="AF305">IF($D305=0,0,AD305*(c_Rate.Hurdle2.MO))</f>
        <v>0</v>
      </c>
      <c r="AG305" s="663">
        <f t="shared" si="1689"/>
        <v>0</v>
      </c>
      <c r="AH305" s="663">
        <f t="shared" si="1718"/>
        <v>0</v>
      </c>
      <c r="AI305" s="663">
        <f t="shared" si="1690"/>
        <v>0</v>
      </c>
      <c r="AJ305" s="664">
        <f t="shared" si="1691"/>
        <v>0</v>
      </c>
      <c r="AK305" s="660">
        <f t="shared" si="1692"/>
        <v>0</v>
      </c>
      <c r="AL305" s="663">
        <f t="shared" ref="AL305" si="2185">IF(AD305=0,0,Z305+AH305/$J$18*c_Hurdle2.Share_GP)</f>
        <v>0</v>
      </c>
      <c r="AM305" s="663">
        <f t="shared" si="1694"/>
        <v>0</v>
      </c>
      <c r="AN305" s="660">
        <f t="shared" si="1741"/>
        <v>0</v>
      </c>
      <c r="AO305" s="521"/>
      <c r="AP305" s="663">
        <f t="shared" si="1880"/>
        <v>0</v>
      </c>
      <c r="AQ305" s="663">
        <f t="shared" ref="AQ305" si="2186">IF($G305=0,0,-MIN(0,$G305*c_EquityShare.LP))</f>
        <v>0</v>
      </c>
      <c r="AR305" s="663" cm="1">
        <f t="array" ref="AR305">IF($D305=0,0,AP305*(c_Rate.Hurdle3.MO))</f>
        <v>0</v>
      </c>
      <c r="AS305" s="663">
        <f t="shared" si="1696"/>
        <v>0</v>
      </c>
      <c r="AT305" s="663">
        <f t="shared" si="1721"/>
        <v>0</v>
      </c>
      <c r="AU305" s="663">
        <f t="shared" si="1697"/>
        <v>0</v>
      </c>
      <c r="AV305" s="664">
        <f t="shared" si="1698"/>
        <v>0</v>
      </c>
      <c r="AW305" s="660">
        <f t="shared" si="1722"/>
        <v>0</v>
      </c>
      <c r="AX305" s="663">
        <f t="shared" ref="AX305" si="2187">IF(AP305=0,0,AL305+AT305/$J$19*c_Hurdle3.Share_GP)</f>
        <v>0</v>
      </c>
      <c r="AY305" s="663">
        <f t="shared" si="1724"/>
        <v>0</v>
      </c>
      <c r="AZ305" s="660">
        <f t="shared" si="1744"/>
        <v>0</v>
      </c>
      <c r="BA305" s="521"/>
      <c r="BB305" s="660">
        <f t="shared" si="1939"/>
        <v>0</v>
      </c>
      <c r="BC305" s="660">
        <f t="shared" ref="BC305" si="2188">$AZ305*c_Residual.Share_GP</f>
        <v>0</v>
      </c>
      <c r="BD305" s="651"/>
      <c r="BE305" s="660">
        <f t="shared" si="1726"/>
        <v>0</v>
      </c>
      <c r="BF305" s="660">
        <f t="shared" si="1726"/>
        <v>0</v>
      </c>
      <c r="BG305" s="660">
        <f t="shared" si="1701"/>
        <v>0</v>
      </c>
      <c r="BI305" s="660">
        <v>0</v>
      </c>
      <c r="BJ305" s="660">
        <v>0</v>
      </c>
      <c r="BK305" s="660">
        <v>0</v>
      </c>
      <c r="BL305" s="660">
        <f t="shared" si="1727"/>
        <v>0</v>
      </c>
      <c r="BM305" s="660">
        <f t="shared" si="1727"/>
        <v>0</v>
      </c>
      <c r="BN305" s="660">
        <f t="shared" si="1728"/>
        <v>0</v>
      </c>
      <c r="BO305" s="660">
        <f t="shared" si="1728"/>
        <v>0</v>
      </c>
      <c r="BP305" s="660">
        <f t="shared" si="1729"/>
        <v>0</v>
      </c>
      <c r="BQ305" s="660">
        <f t="shared" si="1729"/>
        <v>0</v>
      </c>
      <c r="BR305" s="660">
        <v>0</v>
      </c>
      <c r="BS305" s="660">
        <v>0</v>
      </c>
      <c r="BT305" s="660">
        <f t="shared" si="1702"/>
        <v>0</v>
      </c>
      <c r="BU305" s="660">
        <f t="shared" si="1702"/>
        <v>0</v>
      </c>
      <c r="BX305" s="660">
        <v>0</v>
      </c>
      <c r="BY305" s="660">
        <f t="shared" si="1730"/>
        <v>0</v>
      </c>
      <c r="BZ305" s="660">
        <f t="shared" si="1703"/>
        <v>0</v>
      </c>
      <c r="CA305" s="660">
        <f t="shared" si="1704"/>
        <v>0</v>
      </c>
      <c r="CB305" s="660">
        <f t="shared" si="1705"/>
        <v>0</v>
      </c>
      <c r="CC305" s="660">
        <f t="shared" si="1706"/>
        <v>0</v>
      </c>
      <c r="CD305" s="660">
        <f t="shared" si="1731"/>
        <v>0</v>
      </c>
    </row>
    <row r="306" spans="4:82" ht="16" hidden="1" thickTop="1" thickBot="1">
      <c r="D306" s="653"/>
      <c r="E306" s="654"/>
      <c r="F306" s="655" t="str">
        <f t="shared" si="1707"/>
        <v/>
      </c>
      <c r="G306" s="656"/>
      <c r="I306" s="658">
        <f t="shared" si="1708"/>
        <v>0</v>
      </c>
      <c r="J306" s="658">
        <f t="shared" ref="J306" si="2189">IF($G306=0,0,-MIN(0,G306*c_EquityShare.LP))</f>
        <v>0</v>
      </c>
      <c r="K306" s="658">
        <f t="shared" ref="K306" si="2190">I306*c_Rate.Pref_MO</f>
        <v>0</v>
      </c>
      <c r="L306" s="658">
        <f t="shared" si="1684"/>
        <v>0</v>
      </c>
      <c r="M306" s="658">
        <f t="shared" si="1711"/>
        <v>0</v>
      </c>
      <c r="N306" s="658">
        <f t="shared" si="1734"/>
        <v>0</v>
      </c>
      <c r="O306" s="658" cm="1">
        <f t="array" ref="O306">IF(I306=0,0,IF(G306&lt;0,N306/c_EquityShare.LP*i_EquityShare.GP,L306/c_EquityShare.LP*i_EquityShare.GP))</f>
        <v>0</v>
      </c>
      <c r="P306" s="658">
        <f t="shared" si="1712"/>
        <v>0</v>
      </c>
      <c r="Q306" s="658">
        <f t="shared" si="1685"/>
        <v>0</v>
      </c>
      <c r="R306" s="521"/>
      <c r="S306" s="660">
        <f t="shared" si="1713"/>
        <v>0</v>
      </c>
      <c r="T306" s="663" cm="1">
        <f t="array" ref="T306">IF($G306=0,0,-MIN(0,$G306*c_EquityShare.LP))</f>
        <v>0</v>
      </c>
      <c r="U306" s="663" cm="1">
        <f t="array" ref="U306">IF($D306=0,0,S306*c_Rate.Hurdle1.MO)</f>
        <v>0</v>
      </c>
      <c r="V306" s="660">
        <f t="shared" si="1735"/>
        <v>0</v>
      </c>
      <c r="W306" s="660">
        <f t="shared" si="1714"/>
        <v>0</v>
      </c>
      <c r="X306" s="663">
        <f t="shared" si="1736"/>
        <v>0</v>
      </c>
      <c r="Y306" s="663">
        <f t="shared" si="1715"/>
        <v>0</v>
      </c>
      <c r="Z306" s="663">
        <f t="shared" ref="Z306" si="2191">IF(S306=0,0,O306+W306/$J$17*c_Hurdle1.Share_GP)</f>
        <v>0</v>
      </c>
      <c r="AA306" s="663">
        <f t="shared" si="1687"/>
        <v>0</v>
      </c>
      <c r="AB306" s="660">
        <f t="shared" si="1738"/>
        <v>0</v>
      </c>
      <c r="AC306" s="521"/>
      <c r="AD306" s="663">
        <f t="shared" si="1877"/>
        <v>0</v>
      </c>
      <c r="AE306" s="663">
        <f t="shared" ref="AE306" si="2192">IF($G306=0,0,-MIN(0,$G306*c_EquityShare.LP))</f>
        <v>0</v>
      </c>
      <c r="AF306" s="663" cm="1">
        <f t="array" ref="AF306">IF($D306=0,0,AD306*(c_Rate.Hurdle2.MO))</f>
        <v>0</v>
      </c>
      <c r="AG306" s="663">
        <f t="shared" si="1689"/>
        <v>0</v>
      </c>
      <c r="AH306" s="663">
        <f t="shared" si="1718"/>
        <v>0</v>
      </c>
      <c r="AI306" s="663">
        <f t="shared" si="1690"/>
        <v>0</v>
      </c>
      <c r="AJ306" s="664">
        <f t="shared" si="1691"/>
        <v>0</v>
      </c>
      <c r="AK306" s="660">
        <f t="shared" si="1692"/>
        <v>0</v>
      </c>
      <c r="AL306" s="663">
        <f t="shared" ref="AL306" si="2193">IF(AD306=0,0,Z306+AH306/$J$18*c_Hurdle2.Share_GP)</f>
        <v>0</v>
      </c>
      <c r="AM306" s="663">
        <f t="shared" si="1694"/>
        <v>0</v>
      </c>
      <c r="AN306" s="660">
        <f t="shared" si="1741"/>
        <v>0</v>
      </c>
      <c r="AO306" s="521"/>
      <c r="AP306" s="663">
        <f t="shared" si="1880"/>
        <v>0</v>
      </c>
      <c r="AQ306" s="663">
        <f t="shared" ref="AQ306" si="2194">IF($G306=0,0,-MIN(0,$G306*c_EquityShare.LP))</f>
        <v>0</v>
      </c>
      <c r="AR306" s="663" cm="1">
        <f t="array" ref="AR306">IF($D306=0,0,AP306*(c_Rate.Hurdle3.MO))</f>
        <v>0</v>
      </c>
      <c r="AS306" s="663">
        <f t="shared" si="1696"/>
        <v>0</v>
      </c>
      <c r="AT306" s="663">
        <f t="shared" si="1721"/>
        <v>0</v>
      </c>
      <c r="AU306" s="663">
        <f t="shared" si="1697"/>
        <v>0</v>
      </c>
      <c r="AV306" s="664">
        <f t="shared" si="1698"/>
        <v>0</v>
      </c>
      <c r="AW306" s="660">
        <f t="shared" si="1722"/>
        <v>0</v>
      </c>
      <c r="AX306" s="663">
        <f t="shared" ref="AX306" si="2195">IF(AP306=0,0,AL306+AT306/$J$19*c_Hurdle3.Share_GP)</f>
        <v>0</v>
      </c>
      <c r="AY306" s="663">
        <f t="shared" si="1724"/>
        <v>0</v>
      </c>
      <c r="AZ306" s="660">
        <f t="shared" si="1744"/>
        <v>0</v>
      </c>
      <c r="BA306" s="521"/>
      <c r="BB306" s="660">
        <f t="shared" si="1939"/>
        <v>0</v>
      </c>
      <c r="BC306" s="660">
        <f t="shared" ref="BC306" si="2196">$AZ306*c_Residual.Share_GP</f>
        <v>0</v>
      </c>
      <c r="BD306" s="651"/>
      <c r="BE306" s="660">
        <f t="shared" si="1726"/>
        <v>0</v>
      </c>
      <c r="BF306" s="660">
        <f t="shared" si="1726"/>
        <v>0</v>
      </c>
      <c r="BG306" s="660">
        <f t="shared" si="1701"/>
        <v>0</v>
      </c>
      <c r="BI306" s="660">
        <v>0</v>
      </c>
      <c r="BJ306" s="660">
        <v>0</v>
      </c>
      <c r="BK306" s="660">
        <v>0</v>
      </c>
      <c r="BL306" s="660">
        <f t="shared" si="1727"/>
        <v>0</v>
      </c>
      <c r="BM306" s="660">
        <f t="shared" si="1727"/>
        <v>0</v>
      </c>
      <c r="BN306" s="660">
        <f t="shared" si="1728"/>
        <v>0</v>
      </c>
      <c r="BO306" s="660">
        <f t="shared" si="1728"/>
        <v>0</v>
      </c>
      <c r="BP306" s="660">
        <f t="shared" si="1729"/>
        <v>0</v>
      </c>
      <c r="BQ306" s="660">
        <f t="shared" si="1729"/>
        <v>0</v>
      </c>
      <c r="BR306" s="660">
        <v>0</v>
      </c>
      <c r="BS306" s="660">
        <v>0</v>
      </c>
      <c r="BT306" s="660">
        <f t="shared" si="1702"/>
        <v>0</v>
      </c>
      <c r="BU306" s="660">
        <f t="shared" si="1702"/>
        <v>0</v>
      </c>
      <c r="BX306" s="660">
        <v>0</v>
      </c>
      <c r="BY306" s="660">
        <f t="shared" si="1730"/>
        <v>0</v>
      </c>
      <c r="BZ306" s="660">
        <f t="shared" si="1703"/>
        <v>0</v>
      </c>
      <c r="CA306" s="660">
        <f t="shared" si="1704"/>
        <v>0</v>
      </c>
      <c r="CB306" s="660">
        <f t="shared" si="1705"/>
        <v>0</v>
      </c>
      <c r="CC306" s="660">
        <f t="shared" si="1706"/>
        <v>0</v>
      </c>
      <c r="CD306" s="660">
        <f t="shared" si="1731"/>
        <v>0</v>
      </c>
    </row>
    <row r="307" spans="4:82" ht="16" hidden="1" thickTop="1" thickBot="1">
      <c r="D307" s="653"/>
      <c r="E307" s="654"/>
      <c r="F307" s="655" t="str">
        <f t="shared" si="1707"/>
        <v/>
      </c>
      <c r="G307" s="656"/>
      <c r="I307" s="658">
        <f t="shared" si="1708"/>
        <v>0</v>
      </c>
      <c r="J307" s="658">
        <f t="shared" ref="J307" si="2197">IF($G307=0,0,-MIN(0,G307*c_EquityShare.LP))</f>
        <v>0</v>
      </c>
      <c r="K307" s="658">
        <f t="shared" ref="K307" si="2198">I307*c_Rate.Pref_MO</f>
        <v>0</v>
      </c>
      <c r="L307" s="658">
        <f t="shared" si="1684"/>
        <v>0</v>
      </c>
      <c r="M307" s="658">
        <f t="shared" si="1711"/>
        <v>0</v>
      </c>
      <c r="N307" s="658">
        <f t="shared" si="1734"/>
        <v>0</v>
      </c>
      <c r="O307" s="658" cm="1">
        <f t="array" ref="O307">IF(I307=0,0,IF(G307&lt;0,N307/c_EquityShare.LP*i_EquityShare.GP,L307/c_EquityShare.LP*i_EquityShare.GP))</f>
        <v>0</v>
      </c>
      <c r="P307" s="658">
        <f t="shared" si="1712"/>
        <v>0</v>
      </c>
      <c r="Q307" s="658">
        <f t="shared" si="1685"/>
        <v>0</v>
      </c>
      <c r="R307" s="521"/>
      <c r="S307" s="660">
        <f t="shared" si="1713"/>
        <v>0</v>
      </c>
      <c r="T307" s="663" cm="1">
        <f t="array" ref="T307">IF($G307=0,0,-MIN(0,$G307*c_EquityShare.LP))</f>
        <v>0</v>
      </c>
      <c r="U307" s="663" cm="1">
        <f t="array" ref="U307">IF($D307=0,0,S307*c_Rate.Hurdle1.MO)</f>
        <v>0</v>
      </c>
      <c r="V307" s="660">
        <f t="shared" si="1735"/>
        <v>0</v>
      </c>
      <c r="W307" s="660">
        <f t="shared" si="1714"/>
        <v>0</v>
      </c>
      <c r="X307" s="663">
        <f t="shared" si="1736"/>
        <v>0</v>
      </c>
      <c r="Y307" s="663">
        <f t="shared" si="1715"/>
        <v>0</v>
      </c>
      <c r="Z307" s="663">
        <f t="shared" ref="Z307" si="2199">IF(S307=0,0,O307+W307/$J$17*c_Hurdle1.Share_GP)</f>
        <v>0</v>
      </c>
      <c r="AA307" s="663">
        <f t="shared" si="1687"/>
        <v>0</v>
      </c>
      <c r="AB307" s="660">
        <f t="shared" si="1738"/>
        <v>0</v>
      </c>
      <c r="AC307" s="521"/>
      <c r="AD307" s="663">
        <f t="shared" si="1877"/>
        <v>0</v>
      </c>
      <c r="AE307" s="663">
        <f t="shared" ref="AE307" si="2200">IF($G307=0,0,-MIN(0,$G307*c_EquityShare.LP))</f>
        <v>0</v>
      </c>
      <c r="AF307" s="663" cm="1">
        <f t="array" ref="AF307">IF($D307=0,0,AD307*(c_Rate.Hurdle2.MO))</f>
        <v>0</v>
      </c>
      <c r="AG307" s="663">
        <f t="shared" si="1689"/>
        <v>0</v>
      </c>
      <c r="AH307" s="663">
        <f t="shared" si="1718"/>
        <v>0</v>
      </c>
      <c r="AI307" s="663">
        <f t="shared" si="1690"/>
        <v>0</v>
      </c>
      <c r="AJ307" s="664">
        <f t="shared" si="1691"/>
        <v>0</v>
      </c>
      <c r="AK307" s="660">
        <f t="shared" si="1692"/>
        <v>0</v>
      </c>
      <c r="AL307" s="663">
        <f t="shared" ref="AL307" si="2201">IF(AD307=0,0,Z307+AH307/$J$18*c_Hurdle2.Share_GP)</f>
        <v>0</v>
      </c>
      <c r="AM307" s="663">
        <f t="shared" si="1694"/>
        <v>0</v>
      </c>
      <c r="AN307" s="660">
        <f t="shared" si="1741"/>
        <v>0</v>
      </c>
      <c r="AO307" s="521"/>
      <c r="AP307" s="663">
        <f t="shared" si="1880"/>
        <v>0</v>
      </c>
      <c r="AQ307" s="663">
        <f t="shared" ref="AQ307" si="2202">IF($G307=0,0,-MIN(0,$G307*c_EquityShare.LP))</f>
        <v>0</v>
      </c>
      <c r="AR307" s="663" cm="1">
        <f t="array" ref="AR307">IF($D307=0,0,AP307*(c_Rate.Hurdle3.MO))</f>
        <v>0</v>
      </c>
      <c r="AS307" s="663">
        <f t="shared" si="1696"/>
        <v>0</v>
      </c>
      <c r="AT307" s="663">
        <f t="shared" si="1721"/>
        <v>0</v>
      </c>
      <c r="AU307" s="663">
        <f t="shared" si="1697"/>
        <v>0</v>
      </c>
      <c r="AV307" s="664">
        <f t="shared" si="1698"/>
        <v>0</v>
      </c>
      <c r="AW307" s="660">
        <f t="shared" si="1722"/>
        <v>0</v>
      </c>
      <c r="AX307" s="663">
        <f t="shared" ref="AX307" si="2203">IF(AP307=0,0,AL307+AT307/$J$19*c_Hurdle3.Share_GP)</f>
        <v>0</v>
      </c>
      <c r="AY307" s="663">
        <f t="shared" si="1724"/>
        <v>0</v>
      </c>
      <c r="AZ307" s="660">
        <f t="shared" si="1744"/>
        <v>0</v>
      </c>
      <c r="BA307" s="521"/>
      <c r="BB307" s="660">
        <f t="shared" si="1939"/>
        <v>0</v>
      </c>
      <c r="BC307" s="660">
        <f t="shared" ref="BC307" si="2204">$AZ307*c_Residual.Share_GP</f>
        <v>0</v>
      </c>
      <c r="BD307" s="651"/>
      <c r="BE307" s="660">
        <f t="shared" si="1726"/>
        <v>0</v>
      </c>
      <c r="BF307" s="660">
        <f t="shared" si="1726"/>
        <v>0</v>
      </c>
      <c r="BG307" s="660">
        <f t="shared" si="1701"/>
        <v>0</v>
      </c>
      <c r="BI307" s="660">
        <v>0</v>
      </c>
      <c r="BJ307" s="660">
        <v>0</v>
      </c>
      <c r="BK307" s="660">
        <v>0</v>
      </c>
      <c r="BL307" s="660">
        <f t="shared" si="1727"/>
        <v>0</v>
      </c>
      <c r="BM307" s="660">
        <f t="shared" si="1727"/>
        <v>0</v>
      </c>
      <c r="BN307" s="660">
        <f t="shared" si="1728"/>
        <v>0</v>
      </c>
      <c r="BO307" s="660">
        <f t="shared" si="1728"/>
        <v>0</v>
      </c>
      <c r="BP307" s="660">
        <f t="shared" si="1729"/>
        <v>0</v>
      </c>
      <c r="BQ307" s="660">
        <f t="shared" si="1729"/>
        <v>0</v>
      </c>
      <c r="BR307" s="660">
        <v>0</v>
      </c>
      <c r="BS307" s="660">
        <v>0</v>
      </c>
      <c r="BT307" s="660">
        <f t="shared" si="1702"/>
        <v>0</v>
      </c>
      <c r="BU307" s="660">
        <f t="shared" si="1702"/>
        <v>0</v>
      </c>
      <c r="BX307" s="660">
        <v>0</v>
      </c>
      <c r="BY307" s="660">
        <f t="shared" si="1730"/>
        <v>0</v>
      </c>
      <c r="BZ307" s="660">
        <f t="shared" si="1703"/>
        <v>0</v>
      </c>
      <c r="CA307" s="660">
        <f t="shared" si="1704"/>
        <v>0</v>
      </c>
      <c r="CB307" s="660">
        <f t="shared" si="1705"/>
        <v>0</v>
      </c>
      <c r="CC307" s="660">
        <f t="shared" si="1706"/>
        <v>0</v>
      </c>
      <c r="CD307" s="660">
        <f t="shared" si="1731"/>
        <v>0</v>
      </c>
    </row>
    <row r="308" spans="4:82" ht="16" hidden="1" thickTop="1" thickBot="1">
      <c r="D308" s="653"/>
      <c r="E308" s="654"/>
      <c r="F308" s="655" t="str">
        <f t="shared" si="1707"/>
        <v/>
      </c>
      <c r="G308" s="656"/>
      <c r="I308" s="658">
        <f t="shared" si="1708"/>
        <v>0</v>
      </c>
      <c r="J308" s="658">
        <f t="shared" ref="J308" si="2205">IF($G308=0,0,-MIN(0,G308*c_EquityShare.LP))</f>
        <v>0</v>
      </c>
      <c r="K308" s="658">
        <f t="shared" ref="K308" si="2206">I308*c_Rate.Pref_MO</f>
        <v>0</v>
      </c>
      <c r="L308" s="658">
        <f t="shared" si="1684"/>
        <v>0</v>
      </c>
      <c r="M308" s="658">
        <f t="shared" si="1711"/>
        <v>0</v>
      </c>
      <c r="N308" s="658">
        <f t="shared" si="1734"/>
        <v>0</v>
      </c>
      <c r="O308" s="658" cm="1">
        <f t="array" ref="O308">IF(I308=0,0,IF(G308&lt;0,N308/c_EquityShare.LP*i_EquityShare.GP,L308/c_EquityShare.LP*i_EquityShare.GP))</f>
        <v>0</v>
      </c>
      <c r="P308" s="658">
        <f t="shared" si="1712"/>
        <v>0</v>
      </c>
      <c r="Q308" s="658">
        <f t="shared" si="1685"/>
        <v>0</v>
      </c>
      <c r="R308" s="521"/>
      <c r="S308" s="660">
        <f t="shared" si="1713"/>
        <v>0</v>
      </c>
      <c r="T308" s="663" cm="1">
        <f t="array" ref="T308">IF($G308=0,0,-MIN(0,$G308*c_EquityShare.LP))</f>
        <v>0</v>
      </c>
      <c r="U308" s="663" cm="1">
        <f t="array" ref="U308">IF($D308=0,0,S308*c_Rate.Hurdle1.MO)</f>
        <v>0</v>
      </c>
      <c r="V308" s="660">
        <f t="shared" si="1735"/>
        <v>0</v>
      </c>
      <c r="W308" s="660">
        <f t="shared" si="1714"/>
        <v>0</v>
      </c>
      <c r="X308" s="663">
        <f t="shared" si="1736"/>
        <v>0</v>
      </c>
      <c r="Y308" s="663">
        <f t="shared" si="1715"/>
        <v>0</v>
      </c>
      <c r="Z308" s="663">
        <f t="shared" ref="Z308" si="2207">IF(S308=0,0,O308+W308/$J$17*c_Hurdle1.Share_GP)</f>
        <v>0</v>
      </c>
      <c r="AA308" s="663">
        <f t="shared" si="1687"/>
        <v>0</v>
      </c>
      <c r="AB308" s="660">
        <f t="shared" si="1738"/>
        <v>0</v>
      </c>
      <c r="AC308" s="521"/>
      <c r="AD308" s="663">
        <f t="shared" si="1877"/>
        <v>0</v>
      </c>
      <c r="AE308" s="663">
        <f t="shared" ref="AE308" si="2208">IF($G308=0,0,-MIN(0,$G308*c_EquityShare.LP))</f>
        <v>0</v>
      </c>
      <c r="AF308" s="663" cm="1">
        <f t="array" ref="AF308">IF($D308=0,0,AD308*(c_Rate.Hurdle2.MO))</f>
        <v>0</v>
      </c>
      <c r="AG308" s="663">
        <f t="shared" si="1689"/>
        <v>0</v>
      </c>
      <c r="AH308" s="663">
        <f t="shared" si="1718"/>
        <v>0</v>
      </c>
      <c r="AI308" s="663">
        <f t="shared" si="1690"/>
        <v>0</v>
      </c>
      <c r="AJ308" s="664">
        <f t="shared" si="1691"/>
        <v>0</v>
      </c>
      <c r="AK308" s="660">
        <f t="shared" si="1692"/>
        <v>0</v>
      </c>
      <c r="AL308" s="663">
        <f t="shared" ref="AL308" si="2209">IF(AD308=0,0,Z308+AH308/$J$18*c_Hurdle2.Share_GP)</f>
        <v>0</v>
      </c>
      <c r="AM308" s="663">
        <f t="shared" si="1694"/>
        <v>0</v>
      </c>
      <c r="AN308" s="660">
        <f t="shared" si="1741"/>
        <v>0</v>
      </c>
      <c r="AO308" s="521"/>
      <c r="AP308" s="663">
        <f t="shared" si="1880"/>
        <v>0</v>
      </c>
      <c r="AQ308" s="663">
        <f t="shared" ref="AQ308" si="2210">IF($G308=0,0,-MIN(0,$G308*c_EquityShare.LP))</f>
        <v>0</v>
      </c>
      <c r="AR308" s="663" cm="1">
        <f t="array" ref="AR308">IF($D308=0,0,AP308*(c_Rate.Hurdle3.MO))</f>
        <v>0</v>
      </c>
      <c r="AS308" s="663">
        <f t="shared" si="1696"/>
        <v>0</v>
      </c>
      <c r="AT308" s="663">
        <f t="shared" si="1721"/>
        <v>0</v>
      </c>
      <c r="AU308" s="663">
        <f t="shared" si="1697"/>
        <v>0</v>
      </c>
      <c r="AV308" s="664">
        <f t="shared" si="1698"/>
        <v>0</v>
      </c>
      <c r="AW308" s="660">
        <f t="shared" si="1722"/>
        <v>0</v>
      </c>
      <c r="AX308" s="663">
        <f t="shared" ref="AX308" si="2211">IF(AP308=0,0,AL308+AT308/$J$19*c_Hurdle3.Share_GP)</f>
        <v>0</v>
      </c>
      <c r="AY308" s="663">
        <f t="shared" si="1724"/>
        <v>0</v>
      </c>
      <c r="AZ308" s="660">
        <f t="shared" si="1744"/>
        <v>0</v>
      </c>
      <c r="BA308" s="521"/>
      <c r="BB308" s="660">
        <f t="shared" si="1939"/>
        <v>0</v>
      </c>
      <c r="BC308" s="660">
        <f t="shared" ref="BC308" si="2212">$AZ308*c_Residual.Share_GP</f>
        <v>0</v>
      </c>
      <c r="BD308" s="651"/>
      <c r="BE308" s="660">
        <f t="shared" si="1726"/>
        <v>0</v>
      </c>
      <c r="BF308" s="660">
        <f t="shared" si="1726"/>
        <v>0</v>
      </c>
      <c r="BG308" s="660">
        <f t="shared" si="1701"/>
        <v>0</v>
      </c>
      <c r="BI308" s="660">
        <v>0</v>
      </c>
      <c r="BJ308" s="660">
        <v>0</v>
      </c>
      <c r="BK308" s="660">
        <v>0</v>
      </c>
      <c r="BL308" s="660">
        <f t="shared" si="1727"/>
        <v>0</v>
      </c>
      <c r="BM308" s="660">
        <f t="shared" si="1727"/>
        <v>0</v>
      </c>
      <c r="BN308" s="660">
        <f t="shared" si="1728"/>
        <v>0</v>
      </c>
      <c r="BO308" s="660">
        <f t="shared" si="1728"/>
        <v>0</v>
      </c>
      <c r="BP308" s="660">
        <f t="shared" si="1729"/>
        <v>0</v>
      </c>
      <c r="BQ308" s="660">
        <f t="shared" si="1729"/>
        <v>0</v>
      </c>
      <c r="BR308" s="660">
        <v>0</v>
      </c>
      <c r="BS308" s="660">
        <v>0</v>
      </c>
      <c r="BT308" s="660">
        <f t="shared" si="1702"/>
        <v>0</v>
      </c>
      <c r="BU308" s="660">
        <f t="shared" si="1702"/>
        <v>0</v>
      </c>
      <c r="BX308" s="660">
        <v>0</v>
      </c>
      <c r="BY308" s="660">
        <f t="shared" si="1730"/>
        <v>0</v>
      </c>
      <c r="BZ308" s="660">
        <f t="shared" si="1703"/>
        <v>0</v>
      </c>
      <c r="CA308" s="660">
        <f t="shared" si="1704"/>
        <v>0</v>
      </c>
      <c r="CB308" s="660">
        <f t="shared" si="1705"/>
        <v>0</v>
      </c>
      <c r="CC308" s="660">
        <f t="shared" si="1706"/>
        <v>0</v>
      </c>
      <c r="CD308" s="660">
        <f t="shared" si="1731"/>
        <v>0</v>
      </c>
    </row>
    <row r="309" spans="4:82" ht="16" hidden="1" thickTop="1" thickBot="1">
      <c r="D309" s="653"/>
      <c r="E309" s="654"/>
      <c r="F309" s="655" t="str">
        <f t="shared" si="1707"/>
        <v/>
      </c>
      <c r="G309" s="656"/>
      <c r="I309" s="658">
        <f t="shared" si="1708"/>
        <v>0</v>
      </c>
      <c r="J309" s="658">
        <f t="shared" ref="J309" si="2213">IF($G309=0,0,-MIN(0,G309*c_EquityShare.LP))</f>
        <v>0</v>
      </c>
      <c r="K309" s="658">
        <f t="shared" ref="K309" si="2214">I309*c_Rate.Pref_MO</f>
        <v>0</v>
      </c>
      <c r="L309" s="658">
        <f t="shared" si="1684"/>
        <v>0</v>
      </c>
      <c r="M309" s="658">
        <f t="shared" si="1711"/>
        <v>0</v>
      </c>
      <c r="N309" s="658">
        <f t="shared" si="1734"/>
        <v>0</v>
      </c>
      <c r="O309" s="658" cm="1">
        <f t="array" ref="O309">IF(I309=0,0,IF(G309&lt;0,N309/c_EquityShare.LP*i_EquityShare.GP,L309/c_EquityShare.LP*i_EquityShare.GP))</f>
        <v>0</v>
      </c>
      <c r="P309" s="658">
        <f t="shared" si="1712"/>
        <v>0</v>
      </c>
      <c r="Q309" s="658">
        <f t="shared" si="1685"/>
        <v>0</v>
      </c>
      <c r="R309" s="521"/>
      <c r="S309" s="660">
        <f t="shared" si="1713"/>
        <v>0</v>
      </c>
      <c r="T309" s="663" cm="1">
        <f t="array" ref="T309">IF($G309=0,0,-MIN(0,$G309*c_EquityShare.LP))</f>
        <v>0</v>
      </c>
      <c r="U309" s="663" cm="1">
        <f t="array" ref="U309">IF($D309=0,0,S309*c_Rate.Hurdle1.MO)</f>
        <v>0</v>
      </c>
      <c r="V309" s="660">
        <f t="shared" si="1735"/>
        <v>0</v>
      </c>
      <c r="W309" s="660">
        <f t="shared" si="1714"/>
        <v>0</v>
      </c>
      <c r="X309" s="663">
        <f t="shared" si="1736"/>
        <v>0</v>
      </c>
      <c r="Y309" s="663">
        <f t="shared" si="1715"/>
        <v>0</v>
      </c>
      <c r="Z309" s="663">
        <f t="shared" ref="Z309" si="2215">IF(S309=0,0,O309+W309/$J$17*c_Hurdle1.Share_GP)</f>
        <v>0</v>
      </c>
      <c r="AA309" s="663">
        <f t="shared" si="1687"/>
        <v>0</v>
      </c>
      <c r="AB309" s="660">
        <f t="shared" si="1738"/>
        <v>0</v>
      </c>
      <c r="AC309" s="521"/>
      <c r="AD309" s="663">
        <f t="shared" si="1877"/>
        <v>0</v>
      </c>
      <c r="AE309" s="663">
        <f t="shared" ref="AE309" si="2216">IF($G309=0,0,-MIN(0,$G309*c_EquityShare.LP))</f>
        <v>0</v>
      </c>
      <c r="AF309" s="663" cm="1">
        <f t="array" ref="AF309">IF($D309=0,0,AD309*(c_Rate.Hurdle2.MO))</f>
        <v>0</v>
      </c>
      <c r="AG309" s="663">
        <f t="shared" si="1689"/>
        <v>0</v>
      </c>
      <c r="AH309" s="663">
        <f t="shared" si="1718"/>
        <v>0</v>
      </c>
      <c r="AI309" s="663">
        <f t="shared" si="1690"/>
        <v>0</v>
      </c>
      <c r="AJ309" s="664">
        <f t="shared" si="1691"/>
        <v>0</v>
      </c>
      <c r="AK309" s="660">
        <f t="shared" si="1692"/>
        <v>0</v>
      </c>
      <c r="AL309" s="663">
        <f t="shared" ref="AL309" si="2217">IF(AD309=0,0,Z309+AH309/$J$18*c_Hurdle2.Share_GP)</f>
        <v>0</v>
      </c>
      <c r="AM309" s="663">
        <f t="shared" si="1694"/>
        <v>0</v>
      </c>
      <c r="AN309" s="660">
        <f t="shared" si="1741"/>
        <v>0</v>
      </c>
      <c r="AO309" s="521"/>
      <c r="AP309" s="663">
        <f t="shared" si="1880"/>
        <v>0</v>
      </c>
      <c r="AQ309" s="663">
        <f t="shared" ref="AQ309" si="2218">IF($G309=0,0,-MIN(0,$G309*c_EquityShare.LP))</f>
        <v>0</v>
      </c>
      <c r="AR309" s="663" cm="1">
        <f t="array" ref="AR309">IF($D309=0,0,AP309*(c_Rate.Hurdle3.MO))</f>
        <v>0</v>
      </c>
      <c r="AS309" s="663">
        <f t="shared" si="1696"/>
        <v>0</v>
      </c>
      <c r="AT309" s="663">
        <f t="shared" si="1721"/>
        <v>0</v>
      </c>
      <c r="AU309" s="663">
        <f t="shared" si="1697"/>
        <v>0</v>
      </c>
      <c r="AV309" s="664">
        <f t="shared" si="1698"/>
        <v>0</v>
      </c>
      <c r="AW309" s="660">
        <f t="shared" si="1722"/>
        <v>0</v>
      </c>
      <c r="AX309" s="663">
        <f t="shared" ref="AX309" si="2219">IF(AP309=0,0,AL309+AT309/$J$19*c_Hurdle3.Share_GP)</f>
        <v>0</v>
      </c>
      <c r="AY309" s="663">
        <f t="shared" si="1724"/>
        <v>0</v>
      </c>
      <c r="AZ309" s="660">
        <f t="shared" si="1744"/>
        <v>0</v>
      </c>
      <c r="BA309" s="521"/>
      <c r="BB309" s="660">
        <f t="shared" si="1939"/>
        <v>0</v>
      </c>
      <c r="BC309" s="660">
        <f t="shared" ref="BC309" si="2220">$AZ309*c_Residual.Share_GP</f>
        <v>0</v>
      </c>
      <c r="BD309" s="651"/>
      <c r="BE309" s="660">
        <f t="shared" si="1726"/>
        <v>0</v>
      </c>
      <c r="BF309" s="660">
        <f t="shared" si="1726"/>
        <v>0</v>
      </c>
      <c r="BG309" s="660">
        <f t="shared" si="1701"/>
        <v>0</v>
      </c>
      <c r="BI309" s="660">
        <v>0</v>
      </c>
      <c r="BJ309" s="660">
        <v>0</v>
      </c>
      <c r="BK309" s="660">
        <v>0</v>
      </c>
      <c r="BL309" s="660">
        <f t="shared" si="1727"/>
        <v>0</v>
      </c>
      <c r="BM309" s="660">
        <f t="shared" si="1727"/>
        <v>0</v>
      </c>
      <c r="BN309" s="660">
        <f t="shared" si="1728"/>
        <v>0</v>
      </c>
      <c r="BO309" s="660">
        <f t="shared" si="1728"/>
        <v>0</v>
      </c>
      <c r="BP309" s="660">
        <f t="shared" si="1729"/>
        <v>0</v>
      </c>
      <c r="BQ309" s="660">
        <f t="shared" si="1729"/>
        <v>0</v>
      </c>
      <c r="BR309" s="660">
        <v>0</v>
      </c>
      <c r="BS309" s="660">
        <v>0</v>
      </c>
      <c r="BT309" s="660">
        <f t="shared" si="1702"/>
        <v>0</v>
      </c>
      <c r="BU309" s="660">
        <f t="shared" si="1702"/>
        <v>0</v>
      </c>
      <c r="BX309" s="660">
        <v>0</v>
      </c>
      <c r="BY309" s="660">
        <f t="shared" si="1730"/>
        <v>0</v>
      </c>
      <c r="BZ309" s="660">
        <f t="shared" si="1703"/>
        <v>0</v>
      </c>
      <c r="CA309" s="660">
        <f t="shared" si="1704"/>
        <v>0</v>
      </c>
      <c r="CB309" s="660">
        <f t="shared" si="1705"/>
        <v>0</v>
      </c>
      <c r="CC309" s="660">
        <f t="shared" si="1706"/>
        <v>0</v>
      </c>
      <c r="CD309" s="660">
        <f t="shared" si="1731"/>
        <v>0</v>
      </c>
    </row>
    <row r="310" spans="4:82" ht="16" hidden="1" thickTop="1" thickBot="1">
      <c r="D310" s="653"/>
      <c r="E310" s="654"/>
      <c r="F310" s="655" t="str">
        <f t="shared" si="1707"/>
        <v/>
      </c>
      <c r="G310" s="656"/>
      <c r="I310" s="658">
        <f t="shared" si="1708"/>
        <v>0</v>
      </c>
      <c r="J310" s="658">
        <f t="shared" ref="J310" si="2221">IF($G310=0,0,-MIN(0,G310*c_EquityShare.LP))</f>
        <v>0</v>
      </c>
      <c r="K310" s="658">
        <f t="shared" ref="K310" si="2222">I310*c_Rate.Pref_MO</f>
        <v>0</v>
      </c>
      <c r="L310" s="658">
        <f t="shared" si="1684"/>
        <v>0</v>
      </c>
      <c r="M310" s="658">
        <f t="shared" si="1711"/>
        <v>0</v>
      </c>
      <c r="N310" s="658">
        <f t="shared" si="1734"/>
        <v>0</v>
      </c>
      <c r="O310" s="658" cm="1">
        <f t="array" ref="O310">IF(I310=0,0,IF(G310&lt;0,N310/c_EquityShare.LP*i_EquityShare.GP,L310/c_EquityShare.LP*i_EquityShare.GP))</f>
        <v>0</v>
      </c>
      <c r="P310" s="658">
        <f t="shared" si="1712"/>
        <v>0</v>
      </c>
      <c r="Q310" s="658">
        <f t="shared" si="1685"/>
        <v>0</v>
      </c>
      <c r="R310" s="521"/>
      <c r="S310" s="660">
        <f t="shared" si="1713"/>
        <v>0</v>
      </c>
      <c r="T310" s="663" cm="1">
        <f t="array" ref="T310">IF($G310=0,0,-MIN(0,$G310*c_EquityShare.LP))</f>
        <v>0</v>
      </c>
      <c r="U310" s="663" cm="1">
        <f t="array" ref="U310">IF($D310=0,0,S310*c_Rate.Hurdle1.MO)</f>
        <v>0</v>
      </c>
      <c r="V310" s="660">
        <f t="shared" si="1735"/>
        <v>0</v>
      </c>
      <c r="W310" s="660">
        <f t="shared" si="1714"/>
        <v>0</v>
      </c>
      <c r="X310" s="663">
        <f t="shared" si="1736"/>
        <v>0</v>
      </c>
      <c r="Y310" s="663">
        <f t="shared" si="1715"/>
        <v>0</v>
      </c>
      <c r="Z310" s="663">
        <f t="shared" ref="Z310" si="2223">IF(S310=0,0,O310+W310/$J$17*c_Hurdle1.Share_GP)</f>
        <v>0</v>
      </c>
      <c r="AA310" s="663">
        <f t="shared" si="1687"/>
        <v>0</v>
      </c>
      <c r="AB310" s="660">
        <f t="shared" si="1738"/>
        <v>0</v>
      </c>
      <c r="AC310" s="521"/>
      <c r="AD310" s="663">
        <f t="shared" si="1877"/>
        <v>0</v>
      </c>
      <c r="AE310" s="663">
        <f t="shared" ref="AE310" si="2224">IF($G310=0,0,-MIN(0,$G310*c_EquityShare.LP))</f>
        <v>0</v>
      </c>
      <c r="AF310" s="663" cm="1">
        <f t="array" ref="AF310">IF($D310=0,0,AD310*(c_Rate.Hurdle2.MO))</f>
        <v>0</v>
      </c>
      <c r="AG310" s="663">
        <f t="shared" si="1689"/>
        <v>0</v>
      </c>
      <c r="AH310" s="663">
        <f t="shared" si="1718"/>
        <v>0</v>
      </c>
      <c r="AI310" s="663">
        <f t="shared" si="1690"/>
        <v>0</v>
      </c>
      <c r="AJ310" s="664">
        <f t="shared" si="1691"/>
        <v>0</v>
      </c>
      <c r="AK310" s="660">
        <f t="shared" si="1692"/>
        <v>0</v>
      </c>
      <c r="AL310" s="663">
        <f t="shared" ref="AL310" si="2225">IF(AD310=0,0,Z310+AH310/$J$18*c_Hurdle2.Share_GP)</f>
        <v>0</v>
      </c>
      <c r="AM310" s="663">
        <f t="shared" si="1694"/>
        <v>0</v>
      </c>
      <c r="AN310" s="660">
        <f t="shared" si="1741"/>
        <v>0</v>
      </c>
      <c r="AO310" s="521"/>
      <c r="AP310" s="663">
        <f t="shared" si="1880"/>
        <v>0</v>
      </c>
      <c r="AQ310" s="663">
        <f t="shared" ref="AQ310" si="2226">IF($G310=0,0,-MIN(0,$G310*c_EquityShare.LP))</f>
        <v>0</v>
      </c>
      <c r="AR310" s="663" cm="1">
        <f t="array" ref="AR310">IF($D310=0,0,AP310*(c_Rate.Hurdle3.MO))</f>
        <v>0</v>
      </c>
      <c r="AS310" s="663">
        <f t="shared" si="1696"/>
        <v>0</v>
      </c>
      <c r="AT310" s="663">
        <f t="shared" si="1721"/>
        <v>0</v>
      </c>
      <c r="AU310" s="663">
        <f t="shared" si="1697"/>
        <v>0</v>
      </c>
      <c r="AV310" s="664">
        <f t="shared" si="1698"/>
        <v>0</v>
      </c>
      <c r="AW310" s="660">
        <f t="shared" si="1722"/>
        <v>0</v>
      </c>
      <c r="AX310" s="663">
        <f t="shared" ref="AX310" si="2227">IF(AP310=0,0,AL310+AT310/$J$19*c_Hurdle3.Share_GP)</f>
        <v>0</v>
      </c>
      <c r="AY310" s="663">
        <f t="shared" si="1724"/>
        <v>0</v>
      </c>
      <c r="AZ310" s="660">
        <f t="shared" si="1744"/>
        <v>0</v>
      </c>
      <c r="BA310" s="521"/>
      <c r="BB310" s="660">
        <f t="shared" si="1939"/>
        <v>0</v>
      </c>
      <c r="BC310" s="660">
        <f t="shared" ref="BC310" si="2228">$AZ310*c_Residual.Share_GP</f>
        <v>0</v>
      </c>
      <c r="BD310" s="651"/>
      <c r="BE310" s="660">
        <f t="shared" si="1726"/>
        <v>0</v>
      </c>
      <c r="BF310" s="660">
        <f t="shared" si="1726"/>
        <v>0</v>
      </c>
      <c r="BG310" s="660">
        <f t="shared" si="1701"/>
        <v>0</v>
      </c>
      <c r="BI310" s="660">
        <v>0</v>
      </c>
      <c r="BJ310" s="660">
        <v>0</v>
      </c>
      <c r="BK310" s="660">
        <v>0</v>
      </c>
      <c r="BL310" s="660">
        <f t="shared" si="1727"/>
        <v>0</v>
      </c>
      <c r="BM310" s="660">
        <f t="shared" si="1727"/>
        <v>0</v>
      </c>
      <c r="BN310" s="660">
        <f t="shared" si="1728"/>
        <v>0</v>
      </c>
      <c r="BO310" s="660">
        <f t="shared" si="1728"/>
        <v>0</v>
      </c>
      <c r="BP310" s="660">
        <f t="shared" si="1729"/>
        <v>0</v>
      </c>
      <c r="BQ310" s="660">
        <f t="shared" si="1729"/>
        <v>0</v>
      </c>
      <c r="BR310" s="660">
        <v>0</v>
      </c>
      <c r="BS310" s="660">
        <v>0</v>
      </c>
      <c r="BT310" s="660">
        <f t="shared" si="1702"/>
        <v>0</v>
      </c>
      <c r="BU310" s="660">
        <f t="shared" si="1702"/>
        <v>0</v>
      </c>
      <c r="BX310" s="660">
        <v>0</v>
      </c>
      <c r="BY310" s="660">
        <f t="shared" si="1730"/>
        <v>0</v>
      </c>
      <c r="BZ310" s="660">
        <f t="shared" si="1703"/>
        <v>0</v>
      </c>
      <c r="CA310" s="660">
        <f t="shared" si="1704"/>
        <v>0</v>
      </c>
      <c r="CB310" s="660">
        <f t="shared" si="1705"/>
        <v>0</v>
      </c>
      <c r="CC310" s="660">
        <f t="shared" si="1706"/>
        <v>0</v>
      </c>
      <c r="CD310" s="660">
        <f t="shared" si="1731"/>
        <v>0</v>
      </c>
    </row>
    <row r="311" spans="4:82" ht="16" hidden="1" thickTop="1" thickBot="1">
      <c r="D311" s="653"/>
      <c r="E311" s="654"/>
      <c r="F311" s="655" t="str">
        <f t="shared" si="1707"/>
        <v/>
      </c>
      <c r="G311" s="656"/>
      <c r="I311" s="658">
        <f t="shared" si="1708"/>
        <v>0</v>
      </c>
      <c r="J311" s="658">
        <f t="shared" ref="J311" si="2229">IF($G311=0,0,-MIN(0,G311*c_EquityShare.LP))</f>
        <v>0</v>
      </c>
      <c r="K311" s="658">
        <f t="shared" ref="K311" si="2230">I311*c_Rate.Pref_MO</f>
        <v>0</v>
      </c>
      <c r="L311" s="658">
        <f t="shared" si="1684"/>
        <v>0</v>
      </c>
      <c r="M311" s="658">
        <f t="shared" si="1711"/>
        <v>0</v>
      </c>
      <c r="N311" s="658">
        <f t="shared" si="1734"/>
        <v>0</v>
      </c>
      <c r="O311" s="658" cm="1">
        <f t="array" ref="O311">IF(I311=0,0,IF(G311&lt;0,N311/c_EquityShare.LP*i_EquityShare.GP,L311/c_EquityShare.LP*i_EquityShare.GP))</f>
        <v>0</v>
      </c>
      <c r="P311" s="658">
        <f t="shared" si="1712"/>
        <v>0</v>
      </c>
      <c r="Q311" s="658">
        <f t="shared" si="1685"/>
        <v>0</v>
      </c>
      <c r="R311" s="521"/>
      <c r="S311" s="660">
        <f t="shared" si="1713"/>
        <v>0</v>
      </c>
      <c r="T311" s="663" cm="1">
        <f t="array" ref="T311">IF($G311=0,0,-MIN(0,$G311*c_EquityShare.LP))</f>
        <v>0</v>
      </c>
      <c r="U311" s="663" cm="1">
        <f t="array" ref="U311">IF($D311=0,0,S311*c_Rate.Hurdle1.MO)</f>
        <v>0</v>
      </c>
      <c r="V311" s="660">
        <f t="shared" si="1735"/>
        <v>0</v>
      </c>
      <c r="W311" s="660">
        <f t="shared" si="1714"/>
        <v>0</v>
      </c>
      <c r="X311" s="663">
        <f t="shared" si="1736"/>
        <v>0</v>
      </c>
      <c r="Y311" s="663">
        <f t="shared" si="1715"/>
        <v>0</v>
      </c>
      <c r="Z311" s="663">
        <f t="shared" ref="Z311" si="2231">IF(S311=0,0,O311+W311/$J$17*c_Hurdle1.Share_GP)</f>
        <v>0</v>
      </c>
      <c r="AA311" s="663">
        <f t="shared" si="1687"/>
        <v>0</v>
      </c>
      <c r="AB311" s="660">
        <f t="shared" si="1738"/>
        <v>0</v>
      </c>
      <c r="AC311" s="521"/>
      <c r="AD311" s="663">
        <f t="shared" si="1877"/>
        <v>0</v>
      </c>
      <c r="AE311" s="663">
        <f t="shared" ref="AE311" si="2232">IF($G311=0,0,-MIN(0,$G311*c_EquityShare.LP))</f>
        <v>0</v>
      </c>
      <c r="AF311" s="663" cm="1">
        <f t="array" ref="AF311">IF($D311=0,0,AD311*(c_Rate.Hurdle2.MO))</f>
        <v>0</v>
      </c>
      <c r="AG311" s="663">
        <f t="shared" si="1689"/>
        <v>0</v>
      </c>
      <c r="AH311" s="663">
        <f t="shared" si="1718"/>
        <v>0</v>
      </c>
      <c r="AI311" s="663">
        <f t="shared" si="1690"/>
        <v>0</v>
      </c>
      <c r="AJ311" s="664">
        <f t="shared" si="1691"/>
        <v>0</v>
      </c>
      <c r="AK311" s="660">
        <f t="shared" si="1692"/>
        <v>0</v>
      </c>
      <c r="AL311" s="663">
        <f t="shared" ref="AL311" si="2233">IF(AD311=0,0,Z311+AH311/$J$18*c_Hurdle2.Share_GP)</f>
        <v>0</v>
      </c>
      <c r="AM311" s="663">
        <f t="shared" si="1694"/>
        <v>0</v>
      </c>
      <c r="AN311" s="660">
        <f t="shared" si="1741"/>
        <v>0</v>
      </c>
      <c r="AO311" s="521"/>
      <c r="AP311" s="663">
        <f t="shared" si="1880"/>
        <v>0</v>
      </c>
      <c r="AQ311" s="663">
        <f t="shared" ref="AQ311" si="2234">IF($G311=0,0,-MIN(0,$G311*c_EquityShare.LP))</f>
        <v>0</v>
      </c>
      <c r="AR311" s="663" cm="1">
        <f t="array" ref="AR311">IF($D311=0,0,AP311*(c_Rate.Hurdle3.MO))</f>
        <v>0</v>
      </c>
      <c r="AS311" s="663">
        <f t="shared" si="1696"/>
        <v>0</v>
      </c>
      <c r="AT311" s="663">
        <f t="shared" si="1721"/>
        <v>0</v>
      </c>
      <c r="AU311" s="663">
        <f t="shared" si="1697"/>
        <v>0</v>
      </c>
      <c r="AV311" s="664">
        <f t="shared" si="1698"/>
        <v>0</v>
      </c>
      <c r="AW311" s="660">
        <f t="shared" si="1722"/>
        <v>0</v>
      </c>
      <c r="AX311" s="663">
        <f t="shared" ref="AX311" si="2235">IF(AP311=0,0,AL311+AT311/$J$19*c_Hurdle3.Share_GP)</f>
        <v>0</v>
      </c>
      <c r="AY311" s="663">
        <f t="shared" si="1724"/>
        <v>0</v>
      </c>
      <c r="AZ311" s="660">
        <f t="shared" si="1744"/>
        <v>0</v>
      </c>
      <c r="BA311" s="521"/>
      <c r="BB311" s="660">
        <f t="shared" si="1939"/>
        <v>0</v>
      </c>
      <c r="BC311" s="660">
        <f t="shared" ref="BC311" si="2236">$AZ311*c_Residual.Share_GP</f>
        <v>0</v>
      </c>
      <c r="BD311" s="651"/>
      <c r="BE311" s="660">
        <f t="shared" si="1726"/>
        <v>0</v>
      </c>
      <c r="BF311" s="660">
        <f t="shared" si="1726"/>
        <v>0</v>
      </c>
      <c r="BG311" s="660">
        <f t="shared" si="1701"/>
        <v>0</v>
      </c>
      <c r="BI311" s="660">
        <v>0</v>
      </c>
      <c r="BJ311" s="660">
        <v>0</v>
      </c>
      <c r="BK311" s="660">
        <v>0</v>
      </c>
      <c r="BL311" s="660">
        <f t="shared" si="1727"/>
        <v>0</v>
      </c>
      <c r="BM311" s="660">
        <f t="shared" si="1727"/>
        <v>0</v>
      </c>
      <c r="BN311" s="660">
        <f t="shared" si="1728"/>
        <v>0</v>
      </c>
      <c r="BO311" s="660">
        <f t="shared" si="1728"/>
        <v>0</v>
      </c>
      <c r="BP311" s="660">
        <f t="shared" si="1729"/>
        <v>0</v>
      </c>
      <c r="BQ311" s="660">
        <f t="shared" si="1729"/>
        <v>0</v>
      </c>
      <c r="BR311" s="660">
        <v>0</v>
      </c>
      <c r="BS311" s="660">
        <v>0</v>
      </c>
      <c r="BT311" s="660">
        <f t="shared" si="1702"/>
        <v>0</v>
      </c>
      <c r="BU311" s="660">
        <f t="shared" si="1702"/>
        <v>0</v>
      </c>
      <c r="BX311" s="660">
        <v>0</v>
      </c>
      <c r="BY311" s="660">
        <f t="shared" si="1730"/>
        <v>0</v>
      </c>
      <c r="BZ311" s="660">
        <f t="shared" si="1703"/>
        <v>0</v>
      </c>
      <c r="CA311" s="660">
        <f t="shared" si="1704"/>
        <v>0</v>
      </c>
      <c r="CB311" s="660">
        <f t="shared" si="1705"/>
        <v>0</v>
      </c>
      <c r="CC311" s="660">
        <f t="shared" si="1706"/>
        <v>0</v>
      </c>
      <c r="CD311" s="660">
        <f t="shared" si="1731"/>
        <v>0</v>
      </c>
    </row>
    <row r="312" spans="4:82" ht="16" hidden="1" thickTop="1" thickBot="1">
      <c r="D312" s="653"/>
      <c r="E312" s="654"/>
      <c r="F312" s="655" t="str">
        <f t="shared" si="1707"/>
        <v/>
      </c>
      <c r="G312" s="656"/>
      <c r="I312" s="658">
        <f t="shared" si="1708"/>
        <v>0</v>
      </c>
      <c r="J312" s="658">
        <f t="shared" ref="J312" si="2237">IF($G312=0,0,-MIN(0,G312*c_EquityShare.LP))</f>
        <v>0</v>
      </c>
      <c r="K312" s="658">
        <f t="shared" ref="K312" si="2238">I312*c_Rate.Pref_MO</f>
        <v>0</v>
      </c>
      <c r="L312" s="658">
        <f t="shared" ref="L312:L375" si="2239">IF($G312=0,0,MAX(MIN($G312*$I$54,I312+K312-J312),0))</f>
        <v>0</v>
      </c>
      <c r="M312" s="658">
        <f t="shared" si="1711"/>
        <v>0</v>
      </c>
      <c r="N312" s="658">
        <f t="shared" si="1734"/>
        <v>0</v>
      </c>
      <c r="O312" s="658" cm="1">
        <f t="array" ref="O312">IF(I312=0,0,IF(G312&lt;0,N312/c_EquityShare.LP*i_EquityShare.GP,L312/c_EquityShare.LP*i_EquityShare.GP))</f>
        <v>0</v>
      </c>
      <c r="P312" s="658">
        <f t="shared" si="1712"/>
        <v>0</v>
      </c>
      <c r="Q312" s="658">
        <f t="shared" ref="Q312:Q375" si="2240">IF(E312=0,0,MAX(G312-P312,0))</f>
        <v>0</v>
      </c>
      <c r="R312" s="521"/>
      <c r="S312" s="660">
        <f t="shared" si="1713"/>
        <v>0</v>
      </c>
      <c r="T312" s="663" cm="1">
        <f t="array" ref="T312">IF($G312=0,0,-MIN(0,$G312*c_EquityShare.LP))</f>
        <v>0</v>
      </c>
      <c r="U312" s="663" cm="1">
        <f t="array" ref="U312">IF($D312=0,0,S312*c_Rate.Hurdle1.MO)</f>
        <v>0</v>
      </c>
      <c r="V312" s="660">
        <f t="shared" si="1735"/>
        <v>0</v>
      </c>
      <c r="W312" s="660">
        <f t="shared" si="1714"/>
        <v>0</v>
      </c>
      <c r="X312" s="663">
        <f t="shared" si="1736"/>
        <v>0</v>
      </c>
      <c r="Y312" s="663">
        <f t="shared" si="1715"/>
        <v>0</v>
      </c>
      <c r="Z312" s="663">
        <f t="shared" ref="Z312" si="2241">IF(S312=0,0,O312+W312/$J$17*c_Hurdle1.Share_GP)</f>
        <v>0</v>
      </c>
      <c r="AA312" s="663">
        <f t="shared" ref="AA312:AA375" si="2242">Y312+Z312</f>
        <v>0</v>
      </c>
      <c r="AB312" s="660">
        <f t="shared" si="1738"/>
        <v>0</v>
      </c>
      <c r="AC312" s="521"/>
      <c r="AD312" s="663">
        <f t="shared" si="1877"/>
        <v>0</v>
      </c>
      <c r="AE312" s="663">
        <f t="shared" ref="AE312" si="2243">IF($G312=0,0,-MIN(0,$G312*c_EquityShare.LP))</f>
        <v>0</v>
      </c>
      <c r="AF312" s="663" cm="1">
        <f t="array" ref="AF312">IF($D312=0,0,AD312*(c_Rate.Hurdle2.MO))</f>
        <v>0</v>
      </c>
      <c r="AG312" s="663">
        <f t="shared" ref="AG312:AG375" si="2244">V312+W312</f>
        <v>0</v>
      </c>
      <c r="AH312" s="663">
        <f t="shared" si="1718"/>
        <v>0</v>
      </c>
      <c r="AI312" s="663">
        <f t="shared" ref="AI312:AI375" si="2245">AD312+AF312+AE312-AG312-AH312</f>
        <v>0</v>
      </c>
      <c r="AJ312" s="664">
        <f t="shared" ref="AJ312:AJ375" si="2246">-AE312+AG312+AH312</f>
        <v>0</v>
      </c>
      <c r="AK312" s="660">
        <f t="shared" ref="AK312:AK375" si="2247">Y312+AH312</f>
        <v>0</v>
      </c>
      <c r="AL312" s="663">
        <f t="shared" ref="AL312" si="2248">IF(AD312=0,0,Z312+AH312/$J$18*c_Hurdle2.Share_GP)</f>
        <v>0</v>
      </c>
      <c r="AM312" s="663">
        <f t="shared" ref="AM312:AM375" si="2249">AK312+AL312</f>
        <v>0</v>
      </c>
      <c r="AN312" s="660">
        <f t="shared" si="1741"/>
        <v>0</v>
      </c>
      <c r="AO312" s="521"/>
      <c r="AP312" s="663">
        <f t="shared" si="1880"/>
        <v>0</v>
      </c>
      <c r="AQ312" s="663">
        <f t="shared" ref="AQ312" si="2250">IF($G312=0,0,-MIN(0,$G312*c_EquityShare.LP))</f>
        <v>0</v>
      </c>
      <c r="AR312" s="663" cm="1">
        <f t="array" ref="AR312">IF($D312=0,0,AP312*(c_Rate.Hurdle3.MO))</f>
        <v>0</v>
      </c>
      <c r="AS312" s="663">
        <f t="shared" ref="AS312:AS375" si="2251">AG312+AH312</f>
        <v>0</v>
      </c>
      <c r="AT312" s="663">
        <f t="shared" si="1721"/>
        <v>0</v>
      </c>
      <c r="AU312" s="663">
        <f t="shared" ref="AU312:AU375" si="2252">AP312+AR312+AQ312-AS312-AT312</f>
        <v>0</v>
      </c>
      <c r="AV312" s="664">
        <f t="shared" ref="AV312:AV375" si="2253">-AQ312+AS312+AT312</f>
        <v>0</v>
      </c>
      <c r="AW312" s="660">
        <f t="shared" si="1722"/>
        <v>0</v>
      </c>
      <c r="AX312" s="663">
        <f t="shared" ref="AX312" si="2254">IF(AP312=0,0,AL312+AT312/$J$19*c_Hurdle3.Share_GP)</f>
        <v>0</v>
      </c>
      <c r="AY312" s="663">
        <f t="shared" si="1724"/>
        <v>0</v>
      </c>
      <c r="AZ312" s="660">
        <f t="shared" si="1744"/>
        <v>0</v>
      </c>
      <c r="BA312" s="521"/>
      <c r="BB312" s="660">
        <f t="shared" si="1939"/>
        <v>0</v>
      </c>
      <c r="BC312" s="660">
        <f t="shared" ref="BC312" si="2255">$AZ312*c_Residual.Share_GP</f>
        <v>0</v>
      </c>
      <c r="BD312" s="651"/>
      <c r="BE312" s="660">
        <f t="shared" si="1726"/>
        <v>0</v>
      </c>
      <c r="BF312" s="660">
        <f t="shared" si="1726"/>
        <v>0</v>
      </c>
      <c r="BG312" s="660">
        <f t="shared" ref="BG312:BG375" si="2256">SUM(BE312:BF312)</f>
        <v>0</v>
      </c>
      <c r="BI312" s="660">
        <v>0</v>
      </c>
      <c r="BJ312" s="660">
        <v>0</v>
      </c>
      <c r="BK312" s="660">
        <v>0</v>
      </c>
      <c r="BL312" s="660">
        <f t="shared" si="1727"/>
        <v>0</v>
      </c>
      <c r="BM312" s="660">
        <f t="shared" si="1727"/>
        <v>0</v>
      </c>
      <c r="BN312" s="660">
        <f t="shared" si="1728"/>
        <v>0</v>
      </c>
      <c r="BO312" s="660">
        <f t="shared" si="1728"/>
        <v>0</v>
      </c>
      <c r="BP312" s="660">
        <f t="shared" si="1729"/>
        <v>0</v>
      </c>
      <c r="BQ312" s="660">
        <f t="shared" si="1729"/>
        <v>0</v>
      </c>
      <c r="BR312" s="660">
        <v>0</v>
      </c>
      <c r="BS312" s="660">
        <v>0</v>
      </c>
      <c r="BT312" s="660">
        <f t="shared" ref="BT312:BU375" si="2257">BJ312+BL312+BN312+BP312+BR312</f>
        <v>0</v>
      </c>
      <c r="BU312" s="660">
        <f t="shared" si="2257"/>
        <v>0</v>
      </c>
      <c r="BX312" s="660">
        <v>0</v>
      </c>
      <c r="BY312" s="660">
        <f t="shared" si="1730"/>
        <v>0</v>
      </c>
      <c r="BZ312" s="660">
        <f t="shared" ref="BZ312:BZ375" si="2258">BL312+BM312</f>
        <v>0</v>
      </c>
      <c r="CA312" s="660">
        <f t="shared" ref="CA312:CA375" si="2259">BN312+BO312</f>
        <v>0</v>
      </c>
      <c r="CB312" s="660">
        <f t="shared" ref="CB312:CB375" si="2260">BP312+BQ312</f>
        <v>0</v>
      </c>
      <c r="CC312" s="660">
        <f t="shared" ref="CC312:CC375" si="2261">BR312+BS312</f>
        <v>0</v>
      </c>
      <c r="CD312" s="660">
        <f t="shared" si="1731"/>
        <v>0</v>
      </c>
    </row>
    <row r="313" spans="4:82" ht="16" hidden="1" thickTop="1" thickBot="1">
      <c r="D313" s="653"/>
      <c r="E313" s="654"/>
      <c r="F313" s="655" t="str">
        <f t="shared" ref="F313:F376" si="2262">IF(D313=0,"",MIN(INT(YEARFRAC(E$56,EDATE(E313,12),3))))</f>
        <v/>
      </c>
      <c r="G313" s="656"/>
      <c r="I313" s="658">
        <f t="shared" ref="I313:I376" si="2263">IF(D313=0,0,M312)</f>
        <v>0</v>
      </c>
      <c r="J313" s="658">
        <f t="shared" ref="J313" si="2264">IF($G313=0,0,-MIN(0,G313*c_EquityShare.LP))</f>
        <v>0</v>
      </c>
      <c r="K313" s="658">
        <f t="shared" ref="K313" si="2265">I313*c_Rate.Pref_MO</f>
        <v>0</v>
      </c>
      <c r="L313" s="658">
        <f t="shared" si="2239"/>
        <v>0</v>
      </c>
      <c r="M313" s="658">
        <f t="shared" ref="M313:M376" si="2266">I313+K313+J313-L313</f>
        <v>0</v>
      </c>
      <c r="N313" s="658">
        <f t="shared" si="1734"/>
        <v>0</v>
      </c>
      <c r="O313" s="658" cm="1">
        <f t="array" ref="O313">IF(I313=0,0,IF(G313&lt;0,N313/c_EquityShare.LP*i_EquityShare.GP,L313/c_EquityShare.LP*i_EquityShare.GP))</f>
        <v>0</v>
      </c>
      <c r="P313" s="658">
        <f t="shared" ref="P313:P376" si="2267">N313+O313</f>
        <v>0</v>
      </c>
      <c r="Q313" s="658">
        <f t="shared" si="2240"/>
        <v>0</v>
      </c>
      <c r="R313" s="521"/>
      <c r="S313" s="660">
        <f t="shared" ref="S313:S376" si="2268">X312</f>
        <v>0</v>
      </c>
      <c r="T313" s="663" cm="1">
        <f t="array" ref="T313">IF($G313=0,0,-MIN(0,$G313*c_EquityShare.LP))</f>
        <v>0</v>
      </c>
      <c r="U313" s="663" cm="1">
        <f t="array" ref="U313">IF($D313=0,0,S313*c_Rate.Hurdle1.MO)</f>
        <v>0</v>
      </c>
      <c r="V313" s="660">
        <f t="shared" si="1735"/>
        <v>0</v>
      </c>
      <c r="W313" s="660">
        <f t="shared" ref="W313:W376" si="2269">MIN(S313+U313-V313,Q313*S$54)</f>
        <v>0</v>
      </c>
      <c r="X313" s="663">
        <f t="shared" si="1736"/>
        <v>0</v>
      </c>
      <c r="Y313" s="663">
        <f t="shared" ref="Y313:Y376" si="2270">N313+W313</f>
        <v>0</v>
      </c>
      <c r="Z313" s="663">
        <f t="shared" ref="Z313" si="2271">IF(S313=0,0,O313+W313/$J$17*c_Hurdle1.Share_GP)</f>
        <v>0</v>
      </c>
      <c r="AA313" s="663">
        <f t="shared" si="2242"/>
        <v>0</v>
      </c>
      <c r="AB313" s="660">
        <f t="shared" si="1738"/>
        <v>0</v>
      </c>
      <c r="AC313" s="521"/>
      <c r="AD313" s="663">
        <f t="shared" si="1877"/>
        <v>0</v>
      </c>
      <c r="AE313" s="663">
        <f t="shared" ref="AE313" si="2272">IF($G313=0,0,-MIN(0,$G313*c_EquityShare.LP))</f>
        <v>0</v>
      </c>
      <c r="AF313" s="663" cm="1">
        <f t="array" ref="AF313">IF($D313=0,0,AD313*(c_Rate.Hurdle2.MO))</f>
        <v>0</v>
      </c>
      <c r="AG313" s="663">
        <f t="shared" si="2244"/>
        <v>0</v>
      </c>
      <c r="AH313" s="663">
        <f t="shared" ref="AH313:AH376" si="2273">IF(AB313=0,0,MIN(AD313+AE313+AF313-AG313,AB313*AD$54))</f>
        <v>0</v>
      </c>
      <c r="AI313" s="663">
        <f t="shared" si="2245"/>
        <v>0</v>
      </c>
      <c r="AJ313" s="664">
        <f t="shared" si="2246"/>
        <v>0</v>
      </c>
      <c r="AK313" s="660">
        <f t="shared" si="2247"/>
        <v>0</v>
      </c>
      <c r="AL313" s="663">
        <f t="shared" ref="AL313" si="2274">IF(AD313=0,0,Z313+AH313/$J$18*c_Hurdle2.Share_GP)</f>
        <v>0</v>
      </c>
      <c r="AM313" s="663">
        <f t="shared" si="2249"/>
        <v>0</v>
      </c>
      <c r="AN313" s="660">
        <f t="shared" si="1741"/>
        <v>0</v>
      </c>
      <c r="AO313" s="521"/>
      <c r="AP313" s="663">
        <f t="shared" si="1880"/>
        <v>0</v>
      </c>
      <c r="AQ313" s="663">
        <f t="shared" ref="AQ313" si="2275">IF($G313=0,0,-MIN(0,$G313*c_EquityShare.LP))</f>
        <v>0</v>
      </c>
      <c r="AR313" s="663" cm="1">
        <f t="array" ref="AR313">IF($D313=0,0,AP313*(c_Rate.Hurdle3.MO))</f>
        <v>0</v>
      </c>
      <c r="AS313" s="663">
        <f t="shared" si="2251"/>
        <v>0</v>
      </c>
      <c r="AT313" s="663">
        <f t="shared" ref="AT313:AT376" si="2276">IF(AP313=0,0,MIN(AP313+AQ313+AR313-AS313,AN313*AP$54))</f>
        <v>0</v>
      </c>
      <c r="AU313" s="663">
        <f t="shared" si="2252"/>
        <v>0</v>
      </c>
      <c r="AV313" s="664">
        <f t="shared" si="2253"/>
        <v>0</v>
      </c>
      <c r="AW313" s="660">
        <f t="shared" ref="AW313:AW376" si="2277">AK313+AT313</f>
        <v>0</v>
      </c>
      <c r="AX313" s="663">
        <f t="shared" ref="AX313" si="2278">IF(AP313=0,0,AL313+AT313/$J$19*c_Hurdle3.Share_GP)</f>
        <v>0</v>
      </c>
      <c r="AY313" s="663">
        <f t="shared" ref="AY313:AY376" si="2279">AW313+AX313</f>
        <v>0</v>
      </c>
      <c r="AZ313" s="660">
        <f t="shared" si="1744"/>
        <v>0</v>
      </c>
      <c r="BA313" s="521"/>
      <c r="BB313" s="660">
        <f t="shared" si="1939"/>
        <v>0</v>
      </c>
      <c r="BC313" s="660">
        <f t="shared" ref="BC313" si="2280">$AZ313*c_Residual.Share_GP</f>
        <v>0</v>
      </c>
      <c r="BD313" s="651"/>
      <c r="BE313" s="660">
        <f t="shared" ref="BE313:BF376" si="2281">AW313+BB313</f>
        <v>0</v>
      </c>
      <c r="BF313" s="660">
        <f t="shared" si="2281"/>
        <v>0</v>
      </c>
      <c r="BG313" s="660">
        <f t="shared" si="2256"/>
        <v>0</v>
      </c>
      <c r="BI313" s="660">
        <v>0</v>
      </c>
      <c r="BJ313" s="660">
        <v>0</v>
      </c>
      <c r="BK313" s="660">
        <v>0</v>
      </c>
      <c r="BL313" s="660">
        <f t="shared" ref="BL313:BM376" si="2282">Y313-N313</f>
        <v>0</v>
      </c>
      <c r="BM313" s="660">
        <f t="shared" si="2282"/>
        <v>0</v>
      </c>
      <c r="BN313" s="660">
        <f t="shared" ref="BN313:BO376" si="2283">AK313-Y313</f>
        <v>0</v>
      </c>
      <c r="BO313" s="660">
        <f t="shared" si="2283"/>
        <v>0</v>
      </c>
      <c r="BP313" s="660">
        <f t="shared" ref="BP313:BQ376" si="2284">AW313-AK313</f>
        <v>0</v>
      </c>
      <c r="BQ313" s="660">
        <f t="shared" si="2284"/>
        <v>0</v>
      </c>
      <c r="BR313" s="660">
        <v>0</v>
      </c>
      <c r="BS313" s="660">
        <v>0</v>
      </c>
      <c r="BT313" s="660">
        <f t="shared" si="2257"/>
        <v>0</v>
      </c>
      <c r="BU313" s="660">
        <f t="shared" si="2257"/>
        <v>0</v>
      </c>
      <c r="BX313" s="660">
        <v>0</v>
      </c>
      <c r="BY313" s="660">
        <f t="shared" ref="BY313:BY376" si="2285">BJ313+BK313</f>
        <v>0</v>
      </c>
      <c r="BZ313" s="660">
        <f t="shared" si="2258"/>
        <v>0</v>
      </c>
      <c r="CA313" s="660">
        <f t="shared" si="2259"/>
        <v>0</v>
      </c>
      <c r="CB313" s="660">
        <f t="shared" si="2260"/>
        <v>0</v>
      </c>
      <c r="CC313" s="660">
        <f t="shared" si="2261"/>
        <v>0</v>
      </c>
      <c r="CD313" s="660">
        <f t="shared" ref="CD313:CD376" si="2286">SUM(BY313:CC313)</f>
        <v>0</v>
      </c>
    </row>
    <row r="314" spans="4:82" ht="16" hidden="1" thickTop="1" thickBot="1">
      <c r="D314" s="653"/>
      <c r="E314" s="654"/>
      <c r="F314" s="655" t="str">
        <f t="shared" si="2262"/>
        <v/>
      </c>
      <c r="G314" s="656"/>
      <c r="I314" s="658">
        <f t="shared" si="2263"/>
        <v>0</v>
      </c>
      <c r="J314" s="658">
        <f t="shared" ref="J314" si="2287">IF($G314=0,0,-MIN(0,G314*c_EquityShare.LP))</f>
        <v>0</v>
      </c>
      <c r="K314" s="658">
        <f t="shared" ref="K314" si="2288">I314*c_Rate.Pref_MO</f>
        <v>0</v>
      </c>
      <c r="L314" s="658">
        <f t="shared" si="2239"/>
        <v>0</v>
      </c>
      <c r="M314" s="658">
        <f t="shared" si="2266"/>
        <v>0</v>
      </c>
      <c r="N314" s="658">
        <f t="shared" ref="N314:N377" si="2289">L314-J314</f>
        <v>0</v>
      </c>
      <c r="O314" s="658" cm="1">
        <f t="array" ref="O314">IF(I314=0,0,IF(G314&lt;0,N314/c_EquityShare.LP*i_EquityShare.GP,L314/c_EquityShare.LP*i_EquityShare.GP))</f>
        <v>0</v>
      </c>
      <c r="P314" s="658">
        <f t="shared" si="2267"/>
        <v>0</v>
      </c>
      <c r="Q314" s="658">
        <f t="shared" si="2240"/>
        <v>0</v>
      </c>
      <c r="R314" s="521"/>
      <c r="S314" s="660">
        <f t="shared" si="2268"/>
        <v>0</v>
      </c>
      <c r="T314" s="663" cm="1">
        <f t="array" ref="T314">IF($G314=0,0,-MIN(0,$G314*c_EquityShare.LP))</f>
        <v>0</v>
      </c>
      <c r="U314" s="663" cm="1">
        <f t="array" ref="U314">IF($D314=0,0,S314*c_Rate.Hurdle1.MO)</f>
        <v>0</v>
      </c>
      <c r="V314" s="660">
        <f t="shared" ref="V314:V377" si="2290">L314</f>
        <v>0</v>
      </c>
      <c r="W314" s="660">
        <f t="shared" si="2269"/>
        <v>0</v>
      </c>
      <c r="X314" s="663">
        <f t="shared" ref="X314:X377" si="2291">S314+T314+U314-V314-W314</f>
        <v>0</v>
      </c>
      <c r="Y314" s="663">
        <f t="shared" si="2270"/>
        <v>0</v>
      </c>
      <c r="Z314" s="663">
        <f t="shared" ref="Z314" si="2292">IF(S314=0,0,O314+W314/$J$17*c_Hurdle1.Share_GP)</f>
        <v>0</v>
      </c>
      <c r="AA314" s="663">
        <f t="shared" si="2242"/>
        <v>0</v>
      </c>
      <c r="AB314" s="660">
        <f t="shared" ref="AB314:AB377" si="2293">IF(AA314&lt;0,0,MAX($G314-P314-AA314,0))</f>
        <v>0</v>
      </c>
      <c r="AC314" s="521"/>
      <c r="AD314" s="663">
        <f t="shared" si="1877"/>
        <v>0</v>
      </c>
      <c r="AE314" s="663">
        <f t="shared" ref="AE314" si="2294">IF($G314=0,0,-MIN(0,$G314*c_EquityShare.LP))</f>
        <v>0</v>
      </c>
      <c r="AF314" s="663" cm="1">
        <f t="array" ref="AF314">IF($D314=0,0,AD314*(c_Rate.Hurdle2.MO))</f>
        <v>0</v>
      </c>
      <c r="AG314" s="663">
        <f t="shared" si="2244"/>
        <v>0</v>
      </c>
      <c r="AH314" s="663">
        <f t="shared" si="2273"/>
        <v>0</v>
      </c>
      <c r="AI314" s="663">
        <f t="shared" si="2245"/>
        <v>0</v>
      </c>
      <c r="AJ314" s="664">
        <f t="shared" si="2246"/>
        <v>0</v>
      </c>
      <c r="AK314" s="660">
        <f t="shared" si="2247"/>
        <v>0</v>
      </c>
      <c r="AL314" s="663">
        <f t="shared" ref="AL314" si="2295">IF(AD314=0,0,Z314+AH314/$J$18*c_Hurdle2.Share_GP)</f>
        <v>0</v>
      </c>
      <c r="AM314" s="663">
        <f t="shared" si="2249"/>
        <v>0</v>
      </c>
      <c r="AN314" s="660">
        <f t="shared" ref="AN314:AN377" si="2296">IF(AM314&lt;0,0,MAX($G314-AA314-AM314,0))</f>
        <v>0</v>
      </c>
      <c r="AO314" s="521"/>
      <c r="AP314" s="663">
        <f t="shared" si="1880"/>
        <v>0</v>
      </c>
      <c r="AQ314" s="663">
        <f t="shared" ref="AQ314" si="2297">IF($G314=0,0,-MIN(0,$G314*c_EquityShare.LP))</f>
        <v>0</v>
      </c>
      <c r="AR314" s="663" cm="1">
        <f t="array" ref="AR314">IF($D314=0,0,AP314*(c_Rate.Hurdle3.MO))</f>
        <v>0</v>
      </c>
      <c r="AS314" s="663">
        <f t="shared" si="2251"/>
        <v>0</v>
      </c>
      <c r="AT314" s="663">
        <f t="shared" si="2276"/>
        <v>0</v>
      </c>
      <c r="AU314" s="663">
        <f t="shared" si="2252"/>
        <v>0</v>
      </c>
      <c r="AV314" s="664">
        <f t="shared" si="2253"/>
        <v>0</v>
      </c>
      <c r="AW314" s="660">
        <f t="shared" si="2277"/>
        <v>0</v>
      </c>
      <c r="AX314" s="663">
        <f t="shared" ref="AX314" si="2298">IF(AP314=0,0,AL314+AT314/$J$19*c_Hurdle3.Share_GP)</f>
        <v>0</v>
      </c>
      <c r="AY314" s="663">
        <f t="shared" si="2279"/>
        <v>0</v>
      </c>
      <c r="AZ314" s="660">
        <f t="shared" ref="AZ314:AZ377" si="2299">IF(AY314&lt;0,0,MAX($G314-AM314-AY314,0))</f>
        <v>0</v>
      </c>
      <c r="BA314" s="521"/>
      <c r="BB314" s="660">
        <f t="shared" si="1939"/>
        <v>0</v>
      </c>
      <c r="BC314" s="660">
        <f t="shared" ref="BC314" si="2300">$AZ314*c_Residual.Share_GP</f>
        <v>0</v>
      </c>
      <c r="BD314" s="651"/>
      <c r="BE314" s="660">
        <f t="shared" si="2281"/>
        <v>0</v>
      </c>
      <c r="BF314" s="660">
        <f t="shared" si="2281"/>
        <v>0</v>
      </c>
      <c r="BG314" s="660">
        <f t="shared" si="2256"/>
        <v>0</v>
      </c>
      <c r="BI314" s="660">
        <v>0</v>
      </c>
      <c r="BJ314" s="660">
        <v>0</v>
      </c>
      <c r="BK314" s="660">
        <v>0</v>
      </c>
      <c r="BL314" s="660">
        <f t="shared" si="2282"/>
        <v>0</v>
      </c>
      <c r="BM314" s="660">
        <f t="shared" si="2282"/>
        <v>0</v>
      </c>
      <c r="BN314" s="660">
        <f t="shared" si="2283"/>
        <v>0</v>
      </c>
      <c r="BO314" s="660">
        <f t="shared" si="2283"/>
        <v>0</v>
      </c>
      <c r="BP314" s="660">
        <f t="shared" si="2284"/>
        <v>0</v>
      </c>
      <c r="BQ314" s="660">
        <f t="shared" si="2284"/>
        <v>0</v>
      </c>
      <c r="BR314" s="660">
        <v>0</v>
      </c>
      <c r="BS314" s="660">
        <v>0</v>
      </c>
      <c r="BT314" s="660">
        <f t="shared" si="2257"/>
        <v>0</v>
      </c>
      <c r="BU314" s="660">
        <f t="shared" si="2257"/>
        <v>0</v>
      </c>
      <c r="BX314" s="660">
        <v>0</v>
      </c>
      <c r="BY314" s="660">
        <f t="shared" si="2285"/>
        <v>0</v>
      </c>
      <c r="BZ314" s="660">
        <f t="shared" si="2258"/>
        <v>0</v>
      </c>
      <c r="CA314" s="660">
        <f t="shared" si="2259"/>
        <v>0</v>
      </c>
      <c r="CB314" s="660">
        <f t="shared" si="2260"/>
        <v>0</v>
      </c>
      <c r="CC314" s="660">
        <f t="shared" si="2261"/>
        <v>0</v>
      </c>
      <c r="CD314" s="660">
        <f t="shared" si="2286"/>
        <v>0</v>
      </c>
    </row>
    <row r="315" spans="4:82" ht="16" hidden="1" thickTop="1" thickBot="1">
      <c r="D315" s="653"/>
      <c r="E315" s="654"/>
      <c r="F315" s="655" t="str">
        <f t="shared" si="2262"/>
        <v/>
      </c>
      <c r="G315" s="656"/>
      <c r="I315" s="658">
        <f t="shared" si="2263"/>
        <v>0</v>
      </c>
      <c r="J315" s="658">
        <f t="shared" ref="J315" si="2301">IF($G315=0,0,-MIN(0,G315*c_EquityShare.LP))</f>
        <v>0</v>
      </c>
      <c r="K315" s="658">
        <f t="shared" ref="K315" si="2302">I315*c_Rate.Pref_MO</f>
        <v>0</v>
      </c>
      <c r="L315" s="658">
        <f t="shared" si="2239"/>
        <v>0</v>
      </c>
      <c r="M315" s="658">
        <f t="shared" si="2266"/>
        <v>0</v>
      </c>
      <c r="N315" s="658">
        <f t="shared" si="2289"/>
        <v>0</v>
      </c>
      <c r="O315" s="658" cm="1">
        <f t="array" ref="O315">IF(I315=0,0,IF(G315&lt;0,N315/c_EquityShare.LP*i_EquityShare.GP,L315/c_EquityShare.LP*i_EquityShare.GP))</f>
        <v>0</v>
      </c>
      <c r="P315" s="658">
        <f t="shared" si="2267"/>
        <v>0</v>
      </c>
      <c r="Q315" s="658">
        <f t="shared" si="2240"/>
        <v>0</v>
      </c>
      <c r="R315" s="521"/>
      <c r="S315" s="660">
        <f t="shared" si="2268"/>
        <v>0</v>
      </c>
      <c r="T315" s="663" cm="1">
        <f t="array" ref="T315">IF($G315=0,0,-MIN(0,$G315*c_EquityShare.LP))</f>
        <v>0</v>
      </c>
      <c r="U315" s="663" cm="1">
        <f t="array" ref="U315">IF($D315=0,0,S315*c_Rate.Hurdle1.MO)</f>
        <v>0</v>
      </c>
      <c r="V315" s="660">
        <f t="shared" si="2290"/>
        <v>0</v>
      </c>
      <c r="W315" s="660">
        <f t="shared" si="2269"/>
        <v>0</v>
      </c>
      <c r="X315" s="663">
        <f t="shared" si="2291"/>
        <v>0</v>
      </c>
      <c r="Y315" s="663">
        <f t="shared" si="2270"/>
        <v>0</v>
      </c>
      <c r="Z315" s="663">
        <f t="shared" ref="Z315" si="2303">IF(S315=0,0,O315+W315/$J$17*c_Hurdle1.Share_GP)</f>
        <v>0</v>
      </c>
      <c r="AA315" s="663">
        <f t="shared" si="2242"/>
        <v>0</v>
      </c>
      <c r="AB315" s="660">
        <f t="shared" si="2293"/>
        <v>0</v>
      </c>
      <c r="AC315" s="521"/>
      <c r="AD315" s="663">
        <f t="shared" si="1877"/>
        <v>0</v>
      </c>
      <c r="AE315" s="663">
        <f t="shared" ref="AE315" si="2304">IF($G315=0,0,-MIN(0,$G315*c_EquityShare.LP))</f>
        <v>0</v>
      </c>
      <c r="AF315" s="663" cm="1">
        <f t="array" ref="AF315">IF($D315=0,0,AD315*(c_Rate.Hurdle2.MO))</f>
        <v>0</v>
      </c>
      <c r="AG315" s="663">
        <f t="shared" si="2244"/>
        <v>0</v>
      </c>
      <c r="AH315" s="663">
        <f t="shared" si="2273"/>
        <v>0</v>
      </c>
      <c r="AI315" s="663">
        <f t="shared" si="2245"/>
        <v>0</v>
      </c>
      <c r="AJ315" s="664">
        <f t="shared" si="2246"/>
        <v>0</v>
      </c>
      <c r="AK315" s="660">
        <f t="shared" si="2247"/>
        <v>0</v>
      </c>
      <c r="AL315" s="663">
        <f t="shared" ref="AL315" si="2305">IF(AD315=0,0,Z315+AH315/$J$18*c_Hurdle2.Share_GP)</f>
        <v>0</v>
      </c>
      <c r="AM315" s="663">
        <f t="shared" si="2249"/>
        <v>0</v>
      </c>
      <c r="AN315" s="660">
        <f t="shared" si="2296"/>
        <v>0</v>
      </c>
      <c r="AO315" s="521"/>
      <c r="AP315" s="663">
        <f t="shared" si="1880"/>
        <v>0</v>
      </c>
      <c r="AQ315" s="663">
        <f t="shared" ref="AQ315" si="2306">IF($G315=0,0,-MIN(0,$G315*c_EquityShare.LP))</f>
        <v>0</v>
      </c>
      <c r="AR315" s="663" cm="1">
        <f t="array" ref="AR315">IF($D315=0,0,AP315*(c_Rate.Hurdle3.MO))</f>
        <v>0</v>
      </c>
      <c r="AS315" s="663">
        <f t="shared" si="2251"/>
        <v>0</v>
      </c>
      <c r="AT315" s="663">
        <f t="shared" si="2276"/>
        <v>0</v>
      </c>
      <c r="AU315" s="663">
        <f t="shared" si="2252"/>
        <v>0</v>
      </c>
      <c r="AV315" s="664">
        <f t="shared" si="2253"/>
        <v>0</v>
      </c>
      <c r="AW315" s="660">
        <f t="shared" si="2277"/>
        <v>0</v>
      </c>
      <c r="AX315" s="663">
        <f t="shared" ref="AX315" si="2307">IF(AP315=0,0,AL315+AT315/$J$19*c_Hurdle3.Share_GP)</f>
        <v>0</v>
      </c>
      <c r="AY315" s="663">
        <f t="shared" si="2279"/>
        <v>0</v>
      </c>
      <c r="AZ315" s="660">
        <f t="shared" si="2299"/>
        <v>0</v>
      </c>
      <c r="BA315" s="521"/>
      <c r="BB315" s="660">
        <f t="shared" si="1939"/>
        <v>0</v>
      </c>
      <c r="BC315" s="660">
        <f t="shared" ref="BC315" si="2308">$AZ315*c_Residual.Share_GP</f>
        <v>0</v>
      </c>
      <c r="BD315" s="651"/>
      <c r="BE315" s="660">
        <f t="shared" si="2281"/>
        <v>0</v>
      </c>
      <c r="BF315" s="660">
        <f t="shared" si="2281"/>
        <v>0</v>
      </c>
      <c r="BG315" s="660">
        <f t="shared" si="2256"/>
        <v>0</v>
      </c>
      <c r="BI315" s="660">
        <v>0</v>
      </c>
      <c r="BJ315" s="660">
        <v>0</v>
      </c>
      <c r="BK315" s="660">
        <v>0</v>
      </c>
      <c r="BL315" s="660">
        <f t="shared" si="2282"/>
        <v>0</v>
      </c>
      <c r="BM315" s="660">
        <f t="shared" si="2282"/>
        <v>0</v>
      </c>
      <c r="BN315" s="660">
        <f t="shared" si="2283"/>
        <v>0</v>
      </c>
      <c r="BO315" s="660">
        <f t="shared" si="2283"/>
        <v>0</v>
      </c>
      <c r="BP315" s="660">
        <f t="shared" si="2284"/>
        <v>0</v>
      </c>
      <c r="BQ315" s="660">
        <f t="shared" si="2284"/>
        <v>0</v>
      </c>
      <c r="BR315" s="660">
        <v>0</v>
      </c>
      <c r="BS315" s="660">
        <v>0</v>
      </c>
      <c r="BT315" s="660">
        <f t="shared" si="2257"/>
        <v>0</v>
      </c>
      <c r="BU315" s="660">
        <f t="shared" si="2257"/>
        <v>0</v>
      </c>
      <c r="BX315" s="660">
        <v>0</v>
      </c>
      <c r="BY315" s="660">
        <f t="shared" si="2285"/>
        <v>0</v>
      </c>
      <c r="BZ315" s="660">
        <f t="shared" si="2258"/>
        <v>0</v>
      </c>
      <c r="CA315" s="660">
        <f t="shared" si="2259"/>
        <v>0</v>
      </c>
      <c r="CB315" s="660">
        <f t="shared" si="2260"/>
        <v>0</v>
      </c>
      <c r="CC315" s="660">
        <f t="shared" si="2261"/>
        <v>0</v>
      </c>
      <c r="CD315" s="660">
        <f t="shared" si="2286"/>
        <v>0</v>
      </c>
    </row>
    <row r="316" spans="4:82" ht="16" hidden="1" thickTop="1" thickBot="1">
      <c r="D316" s="653"/>
      <c r="E316" s="654"/>
      <c r="F316" s="655" t="str">
        <f t="shared" si="2262"/>
        <v/>
      </c>
      <c r="G316" s="656"/>
      <c r="I316" s="658">
        <f t="shared" si="2263"/>
        <v>0</v>
      </c>
      <c r="J316" s="658">
        <f t="shared" ref="J316" si="2309">IF($G316=0,0,-MIN(0,G316*c_EquityShare.LP))</f>
        <v>0</v>
      </c>
      <c r="K316" s="658">
        <f t="shared" ref="K316" si="2310">I316*c_Rate.Pref_MO</f>
        <v>0</v>
      </c>
      <c r="L316" s="658">
        <f t="shared" si="2239"/>
        <v>0</v>
      </c>
      <c r="M316" s="658">
        <f t="shared" si="2266"/>
        <v>0</v>
      </c>
      <c r="N316" s="658">
        <f t="shared" si="2289"/>
        <v>0</v>
      </c>
      <c r="O316" s="658" cm="1">
        <f t="array" ref="O316">IF(I316=0,0,IF(G316&lt;0,N316/c_EquityShare.LP*i_EquityShare.GP,L316/c_EquityShare.LP*i_EquityShare.GP))</f>
        <v>0</v>
      </c>
      <c r="P316" s="658">
        <f t="shared" si="2267"/>
        <v>0</v>
      </c>
      <c r="Q316" s="658">
        <f t="shared" si="2240"/>
        <v>0</v>
      </c>
      <c r="R316" s="521"/>
      <c r="S316" s="660">
        <f t="shared" si="2268"/>
        <v>0</v>
      </c>
      <c r="T316" s="663" cm="1">
        <f t="array" ref="T316">IF($G316=0,0,-MIN(0,$G316*c_EquityShare.LP))</f>
        <v>0</v>
      </c>
      <c r="U316" s="663" cm="1">
        <f t="array" ref="U316">IF($D316=0,0,S316*c_Rate.Hurdle1.MO)</f>
        <v>0</v>
      </c>
      <c r="V316" s="660">
        <f t="shared" si="2290"/>
        <v>0</v>
      </c>
      <c r="W316" s="660">
        <f t="shared" si="2269"/>
        <v>0</v>
      </c>
      <c r="X316" s="663">
        <f t="shared" si="2291"/>
        <v>0</v>
      </c>
      <c r="Y316" s="663">
        <f t="shared" si="2270"/>
        <v>0</v>
      </c>
      <c r="Z316" s="663">
        <f t="shared" ref="Z316" si="2311">IF(S316=0,0,O316+W316/$J$17*c_Hurdle1.Share_GP)</f>
        <v>0</v>
      </c>
      <c r="AA316" s="663">
        <f t="shared" si="2242"/>
        <v>0</v>
      </c>
      <c r="AB316" s="660">
        <f t="shared" si="2293"/>
        <v>0</v>
      </c>
      <c r="AC316" s="521"/>
      <c r="AD316" s="663">
        <f t="shared" si="1877"/>
        <v>0</v>
      </c>
      <c r="AE316" s="663">
        <f t="shared" ref="AE316" si="2312">IF($G316=0,0,-MIN(0,$G316*c_EquityShare.LP))</f>
        <v>0</v>
      </c>
      <c r="AF316" s="663" cm="1">
        <f t="array" ref="AF316">IF($D316=0,0,AD316*(c_Rate.Hurdle2.MO))</f>
        <v>0</v>
      </c>
      <c r="AG316" s="663">
        <f t="shared" si="2244"/>
        <v>0</v>
      </c>
      <c r="AH316" s="663">
        <f t="shared" si="2273"/>
        <v>0</v>
      </c>
      <c r="AI316" s="663">
        <f t="shared" si="2245"/>
        <v>0</v>
      </c>
      <c r="AJ316" s="664">
        <f t="shared" si="2246"/>
        <v>0</v>
      </c>
      <c r="AK316" s="660">
        <f t="shared" si="2247"/>
        <v>0</v>
      </c>
      <c r="AL316" s="663">
        <f t="shared" ref="AL316" si="2313">IF(AD316=0,0,Z316+AH316/$J$18*c_Hurdle2.Share_GP)</f>
        <v>0</v>
      </c>
      <c r="AM316" s="663">
        <f t="shared" si="2249"/>
        <v>0</v>
      </c>
      <c r="AN316" s="660">
        <f t="shared" si="2296"/>
        <v>0</v>
      </c>
      <c r="AO316" s="521"/>
      <c r="AP316" s="663">
        <f t="shared" si="1880"/>
        <v>0</v>
      </c>
      <c r="AQ316" s="663">
        <f t="shared" ref="AQ316" si="2314">IF($G316=0,0,-MIN(0,$G316*c_EquityShare.LP))</f>
        <v>0</v>
      </c>
      <c r="AR316" s="663" cm="1">
        <f t="array" ref="AR316">IF($D316=0,0,AP316*(c_Rate.Hurdle3.MO))</f>
        <v>0</v>
      </c>
      <c r="AS316" s="663">
        <f t="shared" si="2251"/>
        <v>0</v>
      </c>
      <c r="AT316" s="663">
        <f t="shared" si="2276"/>
        <v>0</v>
      </c>
      <c r="AU316" s="663">
        <f t="shared" si="2252"/>
        <v>0</v>
      </c>
      <c r="AV316" s="664">
        <f t="shared" si="2253"/>
        <v>0</v>
      </c>
      <c r="AW316" s="660">
        <f t="shared" si="2277"/>
        <v>0</v>
      </c>
      <c r="AX316" s="663">
        <f t="shared" ref="AX316" si="2315">IF(AP316=0,0,AL316+AT316/$J$19*c_Hurdle3.Share_GP)</f>
        <v>0</v>
      </c>
      <c r="AY316" s="663">
        <f t="shared" si="2279"/>
        <v>0</v>
      </c>
      <c r="AZ316" s="660">
        <f t="shared" si="2299"/>
        <v>0</v>
      </c>
      <c r="BA316" s="521"/>
      <c r="BB316" s="660">
        <f t="shared" si="1939"/>
        <v>0</v>
      </c>
      <c r="BC316" s="660">
        <f t="shared" ref="BC316" si="2316">$AZ316*c_Residual.Share_GP</f>
        <v>0</v>
      </c>
      <c r="BD316" s="651"/>
      <c r="BE316" s="660">
        <f t="shared" si="2281"/>
        <v>0</v>
      </c>
      <c r="BF316" s="660">
        <f t="shared" si="2281"/>
        <v>0</v>
      </c>
      <c r="BG316" s="660">
        <f t="shared" si="2256"/>
        <v>0</v>
      </c>
      <c r="BI316" s="660">
        <v>0</v>
      </c>
      <c r="BJ316" s="660">
        <v>0</v>
      </c>
      <c r="BK316" s="660">
        <v>0</v>
      </c>
      <c r="BL316" s="660">
        <f t="shared" si="2282"/>
        <v>0</v>
      </c>
      <c r="BM316" s="660">
        <f t="shared" si="2282"/>
        <v>0</v>
      </c>
      <c r="BN316" s="660">
        <f t="shared" si="2283"/>
        <v>0</v>
      </c>
      <c r="BO316" s="660">
        <f t="shared" si="2283"/>
        <v>0</v>
      </c>
      <c r="BP316" s="660">
        <f t="shared" si="2284"/>
        <v>0</v>
      </c>
      <c r="BQ316" s="660">
        <f t="shared" si="2284"/>
        <v>0</v>
      </c>
      <c r="BR316" s="660">
        <v>0</v>
      </c>
      <c r="BS316" s="660">
        <v>0</v>
      </c>
      <c r="BT316" s="660">
        <f t="shared" si="2257"/>
        <v>0</v>
      </c>
      <c r="BU316" s="660">
        <f t="shared" si="2257"/>
        <v>0</v>
      </c>
      <c r="BX316" s="660">
        <v>0</v>
      </c>
      <c r="BY316" s="660">
        <f t="shared" si="2285"/>
        <v>0</v>
      </c>
      <c r="BZ316" s="660">
        <f t="shared" si="2258"/>
        <v>0</v>
      </c>
      <c r="CA316" s="660">
        <f t="shared" si="2259"/>
        <v>0</v>
      </c>
      <c r="CB316" s="660">
        <f t="shared" si="2260"/>
        <v>0</v>
      </c>
      <c r="CC316" s="660">
        <f t="shared" si="2261"/>
        <v>0</v>
      </c>
      <c r="CD316" s="660">
        <f t="shared" si="2286"/>
        <v>0</v>
      </c>
    </row>
    <row r="317" spans="4:82" ht="16" hidden="1" thickTop="1" thickBot="1">
      <c r="D317" s="653"/>
      <c r="E317" s="654"/>
      <c r="F317" s="655" t="str">
        <f t="shared" si="2262"/>
        <v/>
      </c>
      <c r="G317" s="656"/>
      <c r="I317" s="658">
        <f t="shared" si="2263"/>
        <v>0</v>
      </c>
      <c r="J317" s="658">
        <f t="shared" ref="J317" si="2317">IF($G317=0,0,-MIN(0,G317*c_EquityShare.LP))</f>
        <v>0</v>
      </c>
      <c r="K317" s="658">
        <f t="shared" ref="K317" si="2318">I317*c_Rate.Pref_MO</f>
        <v>0</v>
      </c>
      <c r="L317" s="658">
        <f t="shared" si="2239"/>
        <v>0</v>
      </c>
      <c r="M317" s="658">
        <f t="shared" si="2266"/>
        <v>0</v>
      </c>
      <c r="N317" s="658">
        <f t="shared" si="2289"/>
        <v>0</v>
      </c>
      <c r="O317" s="658" cm="1">
        <f t="array" ref="O317">IF(I317=0,0,IF(G317&lt;0,N317/c_EquityShare.LP*i_EquityShare.GP,L317/c_EquityShare.LP*i_EquityShare.GP))</f>
        <v>0</v>
      </c>
      <c r="P317" s="658">
        <f t="shared" si="2267"/>
        <v>0</v>
      </c>
      <c r="Q317" s="658">
        <f t="shared" si="2240"/>
        <v>0</v>
      </c>
      <c r="R317" s="521"/>
      <c r="S317" s="660">
        <f t="shared" si="2268"/>
        <v>0</v>
      </c>
      <c r="T317" s="663" cm="1">
        <f t="array" ref="T317">IF($G317=0,0,-MIN(0,$G317*c_EquityShare.LP))</f>
        <v>0</v>
      </c>
      <c r="U317" s="663" cm="1">
        <f t="array" ref="U317">IF($D317=0,0,S317*c_Rate.Hurdle1.MO)</f>
        <v>0</v>
      </c>
      <c r="V317" s="660">
        <f t="shared" si="2290"/>
        <v>0</v>
      </c>
      <c r="W317" s="660">
        <f t="shared" si="2269"/>
        <v>0</v>
      </c>
      <c r="X317" s="663">
        <f t="shared" si="2291"/>
        <v>0</v>
      </c>
      <c r="Y317" s="663">
        <f t="shared" si="2270"/>
        <v>0</v>
      </c>
      <c r="Z317" s="663">
        <f t="shared" ref="Z317" si="2319">IF(S317=0,0,O317+W317/$J$17*c_Hurdle1.Share_GP)</f>
        <v>0</v>
      </c>
      <c r="AA317" s="663">
        <f t="shared" si="2242"/>
        <v>0</v>
      </c>
      <c r="AB317" s="660">
        <f t="shared" si="2293"/>
        <v>0</v>
      </c>
      <c r="AC317" s="521"/>
      <c r="AD317" s="663">
        <f t="shared" si="1877"/>
        <v>0</v>
      </c>
      <c r="AE317" s="663">
        <f t="shared" ref="AE317" si="2320">IF($G317=0,0,-MIN(0,$G317*c_EquityShare.LP))</f>
        <v>0</v>
      </c>
      <c r="AF317" s="663" cm="1">
        <f t="array" ref="AF317">IF($D317=0,0,AD317*(c_Rate.Hurdle2.MO))</f>
        <v>0</v>
      </c>
      <c r="AG317" s="663">
        <f t="shared" si="2244"/>
        <v>0</v>
      </c>
      <c r="AH317" s="663">
        <f t="shared" si="2273"/>
        <v>0</v>
      </c>
      <c r="AI317" s="663">
        <f t="shared" si="2245"/>
        <v>0</v>
      </c>
      <c r="AJ317" s="664">
        <f t="shared" si="2246"/>
        <v>0</v>
      </c>
      <c r="AK317" s="660">
        <f t="shared" si="2247"/>
        <v>0</v>
      </c>
      <c r="AL317" s="663">
        <f t="shared" ref="AL317" si="2321">IF(AD317=0,0,Z317+AH317/$J$18*c_Hurdle2.Share_GP)</f>
        <v>0</v>
      </c>
      <c r="AM317" s="663">
        <f t="shared" si="2249"/>
        <v>0</v>
      </c>
      <c r="AN317" s="660">
        <f t="shared" si="2296"/>
        <v>0</v>
      </c>
      <c r="AO317" s="521"/>
      <c r="AP317" s="663">
        <f t="shared" si="1880"/>
        <v>0</v>
      </c>
      <c r="AQ317" s="663">
        <f t="shared" ref="AQ317" si="2322">IF($G317=0,0,-MIN(0,$G317*c_EquityShare.LP))</f>
        <v>0</v>
      </c>
      <c r="AR317" s="663" cm="1">
        <f t="array" ref="AR317">IF($D317=0,0,AP317*(c_Rate.Hurdle3.MO))</f>
        <v>0</v>
      </c>
      <c r="AS317" s="663">
        <f t="shared" si="2251"/>
        <v>0</v>
      </c>
      <c r="AT317" s="663">
        <f t="shared" si="2276"/>
        <v>0</v>
      </c>
      <c r="AU317" s="663">
        <f t="shared" si="2252"/>
        <v>0</v>
      </c>
      <c r="AV317" s="664">
        <f t="shared" si="2253"/>
        <v>0</v>
      </c>
      <c r="AW317" s="660">
        <f t="shared" si="2277"/>
        <v>0</v>
      </c>
      <c r="AX317" s="663">
        <f t="shared" ref="AX317" si="2323">IF(AP317=0,0,AL317+AT317/$J$19*c_Hurdle3.Share_GP)</f>
        <v>0</v>
      </c>
      <c r="AY317" s="663">
        <f t="shared" si="2279"/>
        <v>0</v>
      </c>
      <c r="AZ317" s="660">
        <f t="shared" si="2299"/>
        <v>0</v>
      </c>
      <c r="BA317" s="521"/>
      <c r="BB317" s="660">
        <f t="shared" si="1939"/>
        <v>0</v>
      </c>
      <c r="BC317" s="660">
        <f t="shared" ref="BC317" si="2324">$AZ317*c_Residual.Share_GP</f>
        <v>0</v>
      </c>
      <c r="BD317" s="651"/>
      <c r="BE317" s="660">
        <f t="shared" si="2281"/>
        <v>0</v>
      </c>
      <c r="BF317" s="660">
        <f t="shared" si="2281"/>
        <v>0</v>
      </c>
      <c r="BG317" s="660">
        <f t="shared" si="2256"/>
        <v>0</v>
      </c>
      <c r="BI317" s="660">
        <v>0</v>
      </c>
      <c r="BJ317" s="660">
        <v>0</v>
      </c>
      <c r="BK317" s="660">
        <v>0</v>
      </c>
      <c r="BL317" s="660">
        <f t="shared" si="2282"/>
        <v>0</v>
      </c>
      <c r="BM317" s="660">
        <f t="shared" si="2282"/>
        <v>0</v>
      </c>
      <c r="BN317" s="660">
        <f t="shared" si="2283"/>
        <v>0</v>
      </c>
      <c r="BO317" s="660">
        <f t="shared" si="2283"/>
        <v>0</v>
      </c>
      <c r="BP317" s="660">
        <f t="shared" si="2284"/>
        <v>0</v>
      </c>
      <c r="BQ317" s="660">
        <f t="shared" si="2284"/>
        <v>0</v>
      </c>
      <c r="BR317" s="660">
        <v>0</v>
      </c>
      <c r="BS317" s="660">
        <v>0</v>
      </c>
      <c r="BT317" s="660">
        <f t="shared" si="2257"/>
        <v>0</v>
      </c>
      <c r="BU317" s="660">
        <f t="shared" si="2257"/>
        <v>0</v>
      </c>
      <c r="BX317" s="660">
        <v>0</v>
      </c>
      <c r="BY317" s="660">
        <f t="shared" si="2285"/>
        <v>0</v>
      </c>
      <c r="BZ317" s="660">
        <f t="shared" si="2258"/>
        <v>0</v>
      </c>
      <c r="CA317" s="660">
        <f t="shared" si="2259"/>
        <v>0</v>
      </c>
      <c r="CB317" s="660">
        <f t="shared" si="2260"/>
        <v>0</v>
      </c>
      <c r="CC317" s="660">
        <f t="shared" si="2261"/>
        <v>0</v>
      </c>
      <c r="CD317" s="660">
        <f t="shared" si="2286"/>
        <v>0</v>
      </c>
    </row>
    <row r="318" spans="4:82" ht="16" hidden="1" thickTop="1" thickBot="1">
      <c r="D318" s="653"/>
      <c r="E318" s="654"/>
      <c r="F318" s="655" t="str">
        <f t="shared" si="2262"/>
        <v/>
      </c>
      <c r="G318" s="656"/>
      <c r="I318" s="658">
        <f t="shared" si="2263"/>
        <v>0</v>
      </c>
      <c r="J318" s="658">
        <f t="shared" ref="J318" si="2325">IF($G318=0,0,-MIN(0,G318*c_EquityShare.LP))</f>
        <v>0</v>
      </c>
      <c r="K318" s="658">
        <f t="shared" ref="K318" si="2326">I318*c_Rate.Pref_MO</f>
        <v>0</v>
      </c>
      <c r="L318" s="658">
        <f t="shared" si="2239"/>
        <v>0</v>
      </c>
      <c r="M318" s="658">
        <f t="shared" si="2266"/>
        <v>0</v>
      </c>
      <c r="N318" s="658">
        <f t="shared" si="2289"/>
        <v>0</v>
      </c>
      <c r="O318" s="658" cm="1">
        <f t="array" ref="O318">IF(I318=0,0,IF(G318&lt;0,N318/c_EquityShare.LP*i_EquityShare.GP,L318/c_EquityShare.LP*i_EquityShare.GP))</f>
        <v>0</v>
      </c>
      <c r="P318" s="658">
        <f t="shared" si="2267"/>
        <v>0</v>
      </c>
      <c r="Q318" s="658">
        <f t="shared" si="2240"/>
        <v>0</v>
      </c>
      <c r="R318" s="521"/>
      <c r="S318" s="660">
        <f t="shared" si="2268"/>
        <v>0</v>
      </c>
      <c r="T318" s="663" cm="1">
        <f t="array" ref="T318">IF($G318=0,0,-MIN(0,$G318*c_EquityShare.LP))</f>
        <v>0</v>
      </c>
      <c r="U318" s="663" cm="1">
        <f t="array" ref="U318">IF($D318=0,0,S318*c_Rate.Hurdle1.MO)</f>
        <v>0</v>
      </c>
      <c r="V318" s="660">
        <f t="shared" si="2290"/>
        <v>0</v>
      </c>
      <c r="W318" s="660">
        <f t="shared" si="2269"/>
        <v>0</v>
      </c>
      <c r="X318" s="663">
        <f t="shared" si="2291"/>
        <v>0</v>
      </c>
      <c r="Y318" s="663">
        <f t="shared" si="2270"/>
        <v>0</v>
      </c>
      <c r="Z318" s="663">
        <f t="shared" ref="Z318" si="2327">IF(S318=0,0,O318+W318/$J$17*c_Hurdle1.Share_GP)</f>
        <v>0</v>
      </c>
      <c r="AA318" s="663">
        <f t="shared" si="2242"/>
        <v>0</v>
      </c>
      <c r="AB318" s="660">
        <f t="shared" si="2293"/>
        <v>0</v>
      </c>
      <c r="AC318" s="521"/>
      <c r="AD318" s="663">
        <f t="shared" si="1877"/>
        <v>0</v>
      </c>
      <c r="AE318" s="663">
        <f t="shared" ref="AE318" si="2328">IF($G318=0,0,-MIN(0,$G318*c_EquityShare.LP))</f>
        <v>0</v>
      </c>
      <c r="AF318" s="663" cm="1">
        <f t="array" ref="AF318">IF($D318=0,0,AD318*(c_Rate.Hurdle2.MO))</f>
        <v>0</v>
      </c>
      <c r="AG318" s="663">
        <f t="shared" si="2244"/>
        <v>0</v>
      </c>
      <c r="AH318" s="663">
        <f t="shared" si="2273"/>
        <v>0</v>
      </c>
      <c r="AI318" s="663">
        <f t="shared" si="2245"/>
        <v>0</v>
      </c>
      <c r="AJ318" s="664">
        <f t="shared" si="2246"/>
        <v>0</v>
      </c>
      <c r="AK318" s="660">
        <f t="shared" si="2247"/>
        <v>0</v>
      </c>
      <c r="AL318" s="663">
        <f t="shared" ref="AL318" si="2329">IF(AD318=0,0,Z318+AH318/$J$18*c_Hurdle2.Share_GP)</f>
        <v>0</v>
      </c>
      <c r="AM318" s="663">
        <f t="shared" si="2249"/>
        <v>0</v>
      </c>
      <c r="AN318" s="660">
        <f t="shared" si="2296"/>
        <v>0</v>
      </c>
      <c r="AO318" s="521"/>
      <c r="AP318" s="663">
        <f t="shared" si="1880"/>
        <v>0</v>
      </c>
      <c r="AQ318" s="663">
        <f t="shared" ref="AQ318" si="2330">IF($G318=0,0,-MIN(0,$G318*c_EquityShare.LP))</f>
        <v>0</v>
      </c>
      <c r="AR318" s="663" cm="1">
        <f t="array" ref="AR318">IF($D318=0,0,AP318*(c_Rate.Hurdle3.MO))</f>
        <v>0</v>
      </c>
      <c r="AS318" s="663">
        <f t="shared" si="2251"/>
        <v>0</v>
      </c>
      <c r="AT318" s="663">
        <f t="shared" si="2276"/>
        <v>0</v>
      </c>
      <c r="AU318" s="663">
        <f t="shared" si="2252"/>
        <v>0</v>
      </c>
      <c r="AV318" s="664">
        <f t="shared" si="2253"/>
        <v>0</v>
      </c>
      <c r="AW318" s="660">
        <f t="shared" si="2277"/>
        <v>0</v>
      </c>
      <c r="AX318" s="663">
        <f t="shared" ref="AX318" si="2331">IF(AP318=0,0,AL318+AT318/$J$19*c_Hurdle3.Share_GP)</f>
        <v>0</v>
      </c>
      <c r="AY318" s="663">
        <f t="shared" si="2279"/>
        <v>0</v>
      </c>
      <c r="AZ318" s="660">
        <f t="shared" si="2299"/>
        <v>0</v>
      </c>
      <c r="BA318" s="521"/>
      <c r="BB318" s="660">
        <f t="shared" si="1939"/>
        <v>0</v>
      </c>
      <c r="BC318" s="660">
        <f t="shared" ref="BC318" si="2332">$AZ318*c_Residual.Share_GP</f>
        <v>0</v>
      </c>
      <c r="BD318" s="651"/>
      <c r="BE318" s="660">
        <f t="shared" si="2281"/>
        <v>0</v>
      </c>
      <c r="BF318" s="660">
        <f t="shared" si="2281"/>
        <v>0</v>
      </c>
      <c r="BG318" s="660">
        <f t="shared" si="2256"/>
        <v>0</v>
      </c>
      <c r="BI318" s="660">
        <v>0</v>
      </c>
      <c r="BJ318" s="660">
        <v>0</v>
      </c>
      <c r="BK318" s="660">
        <v>0</v>
      </c>
      <c r="BL318" s="660">
        <f t="shared" si="2282"/>
        <v>0</v>
      </c>
      <c r="BM318" s="660">
        <f t="shared" si="2282"/>
        <v>0</v>
      </c>
      <c r="BN318" s="660">
        <f t="shared" si="2283"/>
        <v>0</v>
      </c>
      <c r="BO318" s="660">
        <f t="shared" si="2283"/>
        <v>0</v>
      </c>
      <c r="BP318" s="660">
        <f t="shared" si="2284"/>
        <v>0</v>
      </c>
      <c r="BQ318" s="660">
        <f t="shared" si="2284"/>
        <v>0</v>
      </c>
      <c r="BR318" s="660">
        <v>0</v>
      </c>
      <c r="BS318" s="660">
        <v>0</v>
      </c>
      <c r="BT318" s="660">
        <f t="shared" si="2257"/>
        <v>0</v>
      </c>
      <c r="BU318" s="660">
        <f t="shared" si="2257"/>
        <v>0</v>
      </c>
      <c r="BX318" s="660">
        <v>0</v>
      </c>
      <c r="BY318" s="660">
        <f t="shared" si="2285"/>
        <v>0</v>
      </c>
      <c r="BZ318" s="660">
        <f t="shared" si="2258"/>
        <v>0</v>
      </c>
      <c r="CA318" s="660">
        <f t="shared" si="2259"/>
        <v>0</v>
      </c>
      <c r="CB318" s="660">
        <f t="shared" si="2260"/>
        <v>0</v>
      </c>
      <c r="CC318" s="660">
        <f t="shared" si="2261"/>
        <v>0</v>
      </c>
      <c r="CD318" s="660">
        <f t="shared" si="2286"/>
        <v>0</v>
      </c>
    </row>
    <row r="319" spans="4:82" ht="16" hidden="1" thickTop="1" thickBot="1">
      <c r="D319" s="653"/>
      <c r="E319" s="654"/>
      <c r="F319" s="655" t="str">
        <f t="shared" si="2262"/>
        <v/>
      </c>
      <c r="G319" s="656"/>
      <c r="I319" s="658">
        <f t="shared" si="2263"/>
        <v>0</v>
      </c>
      <c r="J319" s="658">
        <f t="shared" ref="J319" si="2333">IF($G319=0,0,-MIN(0,G319*c_EquityShare.LP))</f>
        <v>0</v>
      </c>
      <c r="K319" s="658">
        <f t="shared" ref="K319" si="2334">I319*c_Rate.Pref_MO</f>
        <v>0</v>
      </c>
      <c r="L319" s="658">
        <f t="shared" si="2239"/>
        <v>0</v>
      </c>
      <c r="M319" s="658">
        <f t="shared" si="2266"/>
        <v>0</v>
      </c>
      <c r="N319" s="658">
        <f t="shared" si="2289"/>
        <v>0</v>
      </c>
      <c r="O319" s="658" cm="1">
        <f t="array" ref="O319">IF(I319=0,0,IF(G319&lt;0,N319/c_EquityShare.LP*i_EquityShare.GP,L319/c_EquityShare.LP*i_EquityShare.GP))</f>
        <v>0</v>
      </c>
      <c r="P319" s="658">
        <f t="shared" si="2267"/>
        <v>0</v>
      </c>
      <c r="Q319" s="658">
        <f t="shared" si="2240"/>
        <v>0</v>
      </c>
      <c r="R319" s="521"/>
      <c r="S319" s="660">
        <f t="shared" si="2268"/>
        <v>0</v>
      </c>
      <c r="T319" s="663" cm="1">
        <f t="array" ref="T319">IF($G319=0,0,-MIN(0,$G319*c_EquityShare.LP))</f>
        <v>0</v>
      </c>
      <c r="U319" s="663" cm="1">
        <f t="array" ref="U319">IF($D319=0,0,S319*c_Rate.Hurdle1.MO)</f>
        <v>0</v>
      </c>
      <c r="V319" s="660">
        <f t="shared" si="2290"/>
        <v>0</v>
      </c>
      <c r="W319" s="660">
        <f t="shared" si="2269"/>
        <v>0</v>
      </c>
      <c r="X319" s="663">
        <f t="shared" si="2291"/>
        <v>0</v>
      </c>
      <c r="Y319" s="663">
        <f t="shared" si="2270"/>
        <v>0</v>
      </c>
      <c r="Z319" s="663">
        <f t="shared" ref="Z319" si="2335">IF(S319=0,0,O319+W319/$J$17*c_Hurdle1.Share_GP)</f>
        <v>0</v>
      </c>
      <c r="AA319" s="663">
        <f t="shared" si="2242"/>
        <v>0</v>
      </c>
      <c r="AB319" s="660">
        <f t="shared" si="2293"/>
        <v>0</v>
      </c>
      <c r="AC319" s="521"/>
      <c r="AD319" s="663">
        <f t="shared" si="1877"/>
        <v>0</v>
      </c>
      <c r="AE319" s="663">
        <f t="shared" ref="AE319" si="2336">IF($G319=0,0,-MIN(0,$G319*c_EquityShare.LP))</f>
        <v>0</v>
      </c>
      <c r="AF319" s="663" cm="1">
        <f t="array" ref="AF319">IF($D319=0,0,AD319*(c_Rate.Hurdle2.MO))</f>
        <v>0</v>
      </c>
      <c r="AG319" s="663">
        <f t="shared" si="2244"/>
        <v>0</v>
      </c>
      <c r="AH319" s="663">
        <f t="shared" si="2273"/>
        <v>0</v>
      </c>
      <c r="AI319" s="663">
        <f t="shared" si="2245"/>
        <v>0</v>
      </c>
      <c r="AJ319" s="664">
        <f t="shared" si="2246"/>
        <v>0</v>
      </c>
      <c r="AK319" s="660">
        <f t="shared" si="2247"/>
        <v>0</v>
      </c>
      <c r="AL319" s="663">
        <f t="shared" ref="AL319" si="2337">IF(AD319=0,0,Z319+AH319/$J$18*c_Hurdle2.Share_GP)</f>
        <v>0</v>
      </c>
      <c r="AM319" s="663">
        <f t="shared" si="2249"/>
        <v>0</v>
      </c>
      <c r="AN319" s="660">
        <f t="shared" si="2296"/>
        <v>0</v>
      </c>
      <c r="AO319" s="521"/>
      <c r="AP319" s="663">
        <f t="shared" si="1880"/>
        <v>0</v>
      </c>
      <c r="AQ319" s="663">
        <f t="shared" ref="AQ319" si="2338">IF($G319=0,0,-MIN(0,$G319*c_EquityShare.LP))</f>
        <v>0</v>
      </c>
      <c r="AR319" s="663" cm="1">
        <f t="array" ref="AR319">IF($D319=0,0,AP319*(c_Rate.Hurdle3.MO))</f>
        <v>0</v>
      </c>
      <c r="AS319" s="663">
        <f t="shared" si="2251"/>
        <v>0</v>
      </c>
      <c r="AT319" s="663">
        <f t="shared" si="2276"/>
        <v>0</v>
      </c>
      <c r="AU319" s="663">
        <f t="shared" si="2252"/>
        <v>0</v>
      </c>
      <c r="AV319" s="664">
        <f t="shared" si="2253"/>
        <v>0</v>
      </c>
      <c r="AW319" s="660">
        <f t="shared" si="2277"/>
        <v>0</v>
      </c>
      <c r="AX319" s="663">
        <f t="shared" ref="AX319" si="2339">IF(AP319=0,0,AL319+AT319/$J$19*c_Hurdle3.Share_GP)</f>
        <v>0</v>
      </c>
      <c r="AY319" s="663">
        <f t="shared" si="2279"/>
        <v>0</v>
      </c>
      <c r="AZ319" s="660">
        <f t="shared" si="2299"/>
        <v>0</v>
      </c>
      <c r="BA319" s="521"/>
      <c r="BB319" s="660">
        <f t="shared" si="1939"/>
        <v>0</v>
      </c>
      <c r="BC319" s="660">
        <f t="shared" ref="BC319" si="2340">$AZ319*c_Residual.Share_GP</f>
        <v>0</v>
      </c>
      <c r="BD319" s="651"/>
      <c r="BE319" s="660">
        <f t="shared" si="2281"/>
        <v>0</v>
      </c>
      <c r="BF319" s="660">
        <f t="shared" si="2281"/>
        <v>0</v>
      </c>
      <c r="BG319" s="660">
        <f t="shared" si="2256"/>
        <v>0</v>
      </c>
      <c r="BI319" s="660">
        <v>0</v>
      </c>
      <c r="BJ319" s="660">
        <v>0</v>
      </c>
      <c r="BK319" s="660">
        <v>0</v>
      </c>
      <c r="BL319" s="660">
        <f t="shared" si="2282"/>
        <v>0</v>
      </c>
      <c r="BM319" s="660">
        <f t="shared" si="2282"/>
        <v>0</v>
      </c>
      <c r="BN319" s="660">
        <f t="shared" si="2283"/>
        <v>0</v>
      </c>
      <c r="BO319" s="660">
        <f t="shared" si="2283"/>
        <v>0</v>
      </c>
      <c r="BP319" s="660">
        <f t="shared" si="2284"/>
        <v>0</v>
      </c>
      <c r="BQ319" s="660">
        <f t="shared" si="2284"/>
        <v>0</v>
      </c>
      <c r="BR319" s="660">
        <v>0</v>
      </c>
      <c r="BS319" s="660">
        <v>0</v>
      </c>
      <c r="BT319" s="660">
        <f t="shared" si="2257"/>
        <v>0</v>
      </c>
      <c r="BU319" s="660">
        <f t="shared" si="2257"/>
        <v>0</v>
      </c>
      <c r="BX319" s="660">
        <v>0</v>
      </c>
      <c r="BY319" s="660">
        <f t="shared" si="2285"/>
        <v>0</v>
      </c>
      <c r="BZ319" s="660">
        <f t="shared" si="2258"/>
        <v>0</v>
      </c>
      <c r="CA319" s="660">
        <f t="shared" si="2259"/>
        <v>0</v>
      </c>
      <c r="CB319" s="660">
        <f t="shared" si="2260"/>
        <v>0</v>
      </c>
      <c r="CC319" s="660">
        <f t="shared" si="2261"/>
        <v>0</v>
      </c>
      <c r="CD319" s="660">
        <f t="shared" si="2286"/>
        <v>0</v>
      </c>
    </row>
    <row r="320" spans="4:82" ht="16" hidden="1" thickTop="1" thickBot="1">
      <c r="D320" s="653"/>
      <c r="E320" s="654"/>
      <c r="F320" s="655" t="str">
        <f t="shared" si="2262"/>
        <v/>
      </c>
      <c r="G320" s="656"/>
      <c r="I320" s="658">
        <f t="shared" si="2263"/>
        <v>0</v>
      </c>
      <c r="J320" s="658">
        <f t="shared" ref="J320" si="2341">IF($G320=0,0,-MIN(0,G320*c_EquityShare.LP))</f>
        <v>0</v>
      </c>
      <c r="K320" s="658">
        <f t="shared" ref="K320" si="2342">I320*c_Rate.Pref_MO</f>
        <v>0</v>
      </c>
      <c r="L320" s="658">
        <f t="shared" si="2239"/>
        <v>0</v>
      </c>
      <c r="M320" s="658">
        <f t="shared" si="2266"/>
        <v>0</v>
      </c>
      <c r="N320" s="658">
        <f t="shared" si="2289"/>
        <v>0</v>
      </c>
      <c r="O320" s="658" cm="1">
        <f t="array" ref="O320">IF(I320=0,0,IF(G320&lt;0,N320/c_EquityShare.LP*i_EquityShare.GP,L320/c_EquityShare.LP*i_EquityShare.GP))</f>
        <v>0</v>
      </c>
      <c r="P320" s="658">
        <f t="shared" si="2267"/>
        <v>0</v>
      </c>
      <c r="Q320" s="658">
        <f t="shared" si="2240"/>
        <v>0</v>
      </c>
      <c r="R320" s="521"/>
      <c r="S320" s="660">
        <f t="shared" si="2268"/>
        <v>0</v>
      </c>
      <c r="T320" s="663" cm="1">
        <f t="array" ref="T320">IF($G320=0,0,-MIN(0,$G320*c_EquityShare.LP))</f>
        <v>0</v>
      </c>
      <c r="U320" s="663" cm="1">
        <f t="array" ref="U320">IF($D320=0,0,S320*c_Rate.Hurdle1.MO)</f>
        <v>0</v>
      </c>
      <c r="V320" s="660">
        <f t="shared" si="2290"/>
        <v>0</v>
      </c>
      <c r="W320" s="660">
        <f t="shared" si="2269"/>
        <v>0</v>
      </c>
      <c r="X320" s="663">
        <f t="shared" si="2291"/>
        <v>0</v>
      </c>
      <c r="Y320" s="663">
        <f t="shared" si="2270"/>
        <v>0</v>
      </c>
      <c r="Z320" s="663">
        <f t="shared" ref="Z320" si="2343">IF(S320=0,0,O320+W320/$J$17*c_Hurdle1.Share_GP)</f>
        <v>0</v>
      </c>
      <c r="AA320" s="663">
        <f t="shared" si="2242"/>
        <v>0</v>
      </c>
      <c r="AB320" s="660">
        <f t="shared" si="2293"/>
        <v>0</v>
      </c>
      <c r="AC320" s="521"/>
      <c r="AD320" s="663">
        <f t="shared" si="1877"/>
        <v>0</v>
      </c>
      <c r="AE320" s="663">
        <f t="shared" ref="AE320" si="2344">IF($G320=0,0,-MIN(0,$G320*c_EquityShare.LP))</f>
        <v>0</v>
      </c>
      <c r="AF320" s="663" cm="1">
        <f t="array" ref="AF320">IF($D320=0,0,AD320*(c_Rate.Hurdle2.MO))</f>
        <v>0</v>
      </c>
      <c r="AG320" s="663">
        <f t="shared" si="2244"/>
        <v>0</v>
      </c>
      <c r="AH320" s="663">
        <f t="shared" si="2273"/>
        <v>0</v>
      </c>
      <c r="AI320" s="663">
        <f t="shared" si="2245"/>
        <v>0</v>
      </c>
      <c r="AJ320" s="664">
        <f t="shared" si="2246"/>
        <v>0</v>
      </c>
      <c r="AK320" s="660">
        <f t="shared" si="2247"/>
        <v>0</v>
      </c>
      <c r="AL320" s="663">
        <f t="shared" ref="AL320" si="2345">IF(AD320=0,0,Z320+AH320/$J$18*c_Hurdle2.Share_GP)</f>
        <v>0</v>
      </c>
      <c r="AM320" s="663">
        <f t="shared" si="2249"/>
        <v>0</v>
      </c>
      <c r="AN320" s="660">
        <f t="shared" si="2296"/>
        <v>0</v>
      </c>
      <c r="AO320" s="521"/>
      <c r="AP320" s="663">
        <f t="shared" si="1880"/>
        <v>0</v>
      </c>
      <c r="AQ320" s="663">
        <f t="shared" ref="AQ320" si="2346">IF($G320=0,0,-MIN(0,$G320*c_EquityShare.LP))</f>
        <v>0</v>
      </c>
      <c r="AR320" s="663" cm="1">
        <f t="array" ref="AR320">IF($D320=0,0,AP320*(c_Rate.Hurdle3.MO))</f>
        <v>0</v>
      </c>
      <c r="AS320" s="663">
        <f t="shared" si="2251"/>
        <v>0</v>
      </c>
      <c r="AT320" s="663">
        <f t="shared" si="2276"/>
        <v>0</v>
      </c>
      <c r="AU320" s="663">
        <f t="shared" si="2252"/>
        <v>0</v>
      </c>
      <c r="AV320" s="664">
        <f t="shared" si="2253"/>
        <v>0</v>
      </c>
      <c r="AW320" s="660">
        <f t="shared" si="2277"/>
        <v>0</v>
      </c>
      <c r="AX320" s="663">
        <f t="shared" ref="AX320" si="2347">IF(AP320=0,0,AL320+AT320/$J$19*c_Hurdle3.Share_GP)</f>
        <v>0</v>
      </c>
      <c r="AY320" s="663">
        <f t="shared" si="2279"/>
        <v>0</v>
      </c>
      <c r="AZ320" s="660">
        <f t="shared" si="2299"/>
        <v>0</v>
      </c>
      <c r="BA320" s="521"/>
      <c r="BB320" s="660">
        <f t="shared" si="1939"/>
        <v>0</v>
      </c>
      <c r="BC320" s="660">
        <f t="shared" ref="BC320" si="2348">$AZ320*c_Residual.Share_GP</f>
        <v>0</v>
      </c>
      <c r="BD320" s="651"/>
      <c r="BE320" s="660">
        <f t="shared" si="2281"/>
        <v>0</v>
      </c>
      <c r="BF320" s="660">
        <f t="shared" si="2281"/>
        <v>0</v>
      </c>
      <c r="BG320" s="660">
        <f t="shared" si="2256"/>
        <v>0</v>
      </c>
      <c r="BI320" s="660">
        <v>0</v>
      </c>
      <c r="BJ320" s="660">
        <v>0</v>
      </c>
      <c r="BK320" s="660">
        <v>0</v>
      </c>
      <c r="BL320" s="660">
        <f t="shared" si="2282"/>
        <v>0</v>
      </c>
      <c r="BM320" s="660">
        <f t="shared" si="2282"/>
        <v>0</v>
      </c>
      <c r="BN320" s="660">
        <f t="shared" si="2283"/>
        <v>0</v>
      </c>
      <c r="BO320" s="660">
        <f t="shared" si="2283"/>
        <v>0</v>
      </c>
      <c r="BP320" s="660">
        <f t="shared" si="2284"/>
        <v>0</v>
      </c>
      <c r="BQ320" s="660">
        <f t="shared" si="2284"/>
        <v>0</v>
      </c>
      <c r="BR320" s="660">
        <v>0</v>
      </c>
      <c r="BS320" s="660">
        <v>0</v>
      </c>
      <c r="BT320" s="660">
        <f t="shared" si="2257"/>
        <v>0</v>
      </c>
      <c r="BU320" s="660">
        <f t="shared" si="2257"/>
        <v>0</v>
      </c>
      <c r="BX320" s="660">
        <v>0</v>
      </c>
      <c r="BY320" s="660">
        <f t="shared" si="2285"/>
        <v>0</v>
      </c>
      <c r="BZ320" s="660">
        <f t="shared" si="2258"/>
        <v>0</v>
      </c>
      <c r="CA320" s="660">
        <f t="shared" si="2259"/>
        <v>0</v>
      </c>
      <c r="CB320" s="660">
        <f t="shared" si="2260"/>
        <v>0</v>
      </c>
      <c r="CC320" s="660">
        <f t="shared" si="2261"/>
        <v>0</v>
      </c>
      <c r="CD320" s="660">
        <f t="shared" si="2286"/>
        <v>0</v>
      </c>
    </row>
    <row r="321" spans="4:82" ht="16" hidden="1" thickTop="1" thickBot="1">
      <c r="D321" s="653"/>
      <c r="E321" s="654"/>
      <c r="F321" s="655" t="str">
        <f t="shared" si="2262"/>
        <v/>
      </c>
      <c r="G321" s="656"/>
      <c r="I321" s="658">
        <f t="shared" si="2263"/>
        <v>0</v>
      </c>
      <c r="J321" s="658">
        <f t="shared" ref="J321" si="2349">IF($G321=0,0,-MIN(0,G321*c_EquityShare.LP))</f>
        <v>0</v>
      </c>
      <c r="K321" s="658">
        <f t="shared" ref="K321" si="2350">I321*c_Rate.Pref_MO</f>
        <v>0</v>
      </c>
      <c r="L321" s="658">
        <f t="shared" si="2239"/>
        <v>0</v>
      </c>
      <c r="M321" s="658">
        <f t="shared" si="2266"/>
        <v>0</v>
      </c>
      <c r="N321" s="658">
        <f t="shared" si="2289"/>
        <v>0</v>
      </c>
      <c r="O321" s="658" cm="1">
        <f t="array" ref="O321">IF(I321=0,0,IF(G321&lt;0,N321/c_EquityShare.LP*i_EquityShare.GP,L321/c_EquityShare.LP*i_EquityShare.GP))</f>
        <v>0</v>
      </c>
      <c r="P321" s="658">
        <f t="shared" si="2267"/>
        <v>0</v>
      </c>
      <c r="Q321" s="658">
        <f t="shared" si="2240"/>
        <v>0</v>
      </c>
      <c r="R321" s="521"/>
      <c r="S321" s="660">
        <f t="shared" si="2268"/>
        <v>0</v>
      </c>
      <c r="T321" s="663" cm="1">
        <f t="array" ref="T321">IF($G321=0,0,-MIN(0,$G321*c_EquityShare.LP))</f>
        <v>0</v>
      </c>
      <c r="U321" s="663" cm="1">
        <f t="array" ref="U321">IF($D321=0,0,S321*c_Rate.Hurdle1.MO)</f>
        <v>0</v>
      </c>
      <c r="V321" s="660">
        <f t="shared" si="2290"/>
        <v>0</v>
      </c>
      <c r="W321" s="660">
        <f t="shared" si="2269"/>
        <v>0</v>
      </c>
      <c r="X321" s="663">
        <f t="shared" si="2291"/>
        <v>0</v>
      </c>
      <c r="Y321" s="663">
        <f t="shared" si="2270"/>
        <v>0</v>
      </c>
      <c r="Z321" s="663">
        <f t="shared" ref="Z321" si="2351">IF(S321=0,0,O321+W321/$J$17*c_Hurdle1.Share_GP)</f>
        <v>0</v>
      </c>
      <c r="AA321" s="663">
        <f t="shared" si="2242"/>
        <v>0</v>
      </c>
      <c r="AB321" s="660">
        <f t="shared" si="2293"/>
        <v>0</v>
      </c>
      <c r="AC321" s="521"/>
      <c r="AD321" s="663">
        <f t="shared" si="1877"/>
        <v>0</v>
      </c>
      <c r="AE321" s="663">
        <f t="shared" ref="AE321" si="2352">IF($G321=0,0,-MIN(0,$G321*c_EquityShare.LP))</f>
        <v>0</v>
      </c>
      <c r="AF321" s="663" cm="1">
        <f t="array" ref="AF321">IF($D321=0,0,AD321*(c_Rate.Hurdle2.MO))</f>
        <v>0</v>
      </c>
      <c r="AG321" s="663">
        <f t="shared" si="2244"/>
        <v>0</v>
      </c>
      <c r="AH321" s="663">
        <f t="shared" si="2273"/>
        <v>0</v>
      </c>
      <c r="AI321" s="663">
        <f t="shared" si="2245"/>
        <v>0</v>
      </c>
      <c r="AJ321" s="664">
        <f t="shared" si="2246"/>
        <v>0</v>
      </c>
      <c r="AK321" s="660">
        <f t="shared" si="2247"/>
        <v>0</v>
      </c>
      <c r="AL321" s="663">
        <f t="shared" ref="AL321" si="2353">IF(AD321=0,0,Z321+AH321/$J$18*c_Hurdle2.Share_GP)</f>
        <v>0</v>
      </c>
      <c r="AM321" s="663">
        <f t="shared" si="2249"/>
        <v>0</v>
      </c>
      <c r="AN321" s="660">
        <f t="shared" si="2296"/>
        <v>0</v>
      </c>
      <c r="AO321" s="521"/>
      <c r="AP321" s="663">
        <f t="shared" si="1880"/>
        <v>0</v>
      </c>
      <c r="AQ321" s="663">
        <f t="shared" ref="AQ321" si="2354">IF($G321=0,0,-MIN(0,$G321*c_EquityShare.LP))</f>
        <v>0</v>
      </c>
      <c r="AR321" s="663" cm="1">
        <f t="array" ref="AR321">IF($D321=0,0,AP321*(c_Rate.Hurdle3.MO))</f>
        <v>0</v>
      </c>
      <c r="AS321" s="663">
        <f t="shared" si="2251"/>
        <v>0</v>
      </c>
      <c r="AT321" s="663">
        <f t="shared" si="2276"/>
        <v>0</v>
      </c>
      <c r="AU321" s="663">
        <f t="shared" si="2252"/>
        <v>0</v>
      </c>
      <c r="AV321" s="664">
        <f t="shared" si="2253"/>
        <v>0</v>
      </c>
      <c r="AW321" s="660">
        <f t="shared" si="2277"/>
        <v>0</v>
      </c>
      <c r="AX321" s="663">
        <f t="shared" ref="AX321" si="2355">IF(AP321=0,0,AL321+AT321/$J$19*c_Hurdle3.Share_GP)</f>
        <v>0</v>
      </c>
      <c r="AY321" s="663">
        <f t="shared" si="2279"/>
        <v>0</v>
      </c>
      <c r="AZ321" s="660">
        <f t="shared" si="2299"/>
        <v>0</v>
      </c>
      <c r="BA321" s="521"/>
      <c r="BB321" s="660">
        <f t="shared" si="1939"/>
        <v>0</v>
      </c>
      <c r="BC321" s="660">
        <f t="shared" ref="BC321" si="2356">$AZ321*c_Residual.Share_GP</f>
        <v>0</v>
      </c>
      <c r="BD321" s="651"/>
      <c r="BE321" s="660">
        <f t="shared" si="2281"/>
        <v>0</v>
      </c>
      <c r="BF321" s="660">
        <f t="shared" si="2281"/>
        <v>0</v>
      </c>
      <c r="BG321" s="660">
        <f t="shared" si="2256"/>
        <v>0</v>
      </c>
      <c r="BI321" s="660">
        <v>0</v>
      </c>
      <c r="BJ321" s="660">
        <v>0</v>
      </c>
      <c r="BK321" s="660">
        <v>0</v>
      </c>
      <c r="BL321" s="660">
        <f t="shared" si="2282"/>
        <v>0</v>
      </c>
      <c r="BM321" s="660">
        <f t="shared" si="2282"/>
        <v>0</v>
      </c>
      <c r="BN321" s="660">
        <f t="shared" si="2283"/>
        <v>0</v>
      </c>
      <c r="BO321" s="660">
        <f t="shared" si="2283"/>
        <v>0</v>
      </c>
      <c r="BP321" s="660">
        <f t="shared" si="2284"/>
        <v>0</v>
      </c>
      <c r="BQ321" s="660">
        <f t="shared" si="2284"/>
        <v>0</v>
      </c>
      <c r="BR321" s="660">
        <v>0</v>
      </c>
      <c r="BS321" s="660">
        <v>0</v>
      </c>
      <c r="BT321" s="660">
        <f t="shared" si="2257"/>
        <v>0</v>
      </c>
      <c r="BU321" s="660">
        <f t="shared" si="2257"/>
        <v>0</v>
      </c>
      <c r="BX321" s="660">
        <v>0</v>
      </c>
      <c r="BY321" s="660">
        <f t="shared" si="2285"/>
        <v>0</v>
      </c>
      <c r="BZ321" s="660">
        <f t="shared" si="2258"/>
        <v>0</v>
      </c>
      <c r="CA321" s="660">
        <f t="shared" si="2259"/>
        <v>0</v>
      </c>
      <c r="CB321" s="660">
        <f t="shared" si="2260"/>
        <v>0</v>
      </c>
      <c r="CC321" s="660">
        <f t="shared" si="2261"/>
        <v>0</v>
      </c>
      <c r="CD321" s="660">
        <f t="shared" si="2286"/>
        <v>0</v>
      </c>
    </row>
    <row r="322" spans="4:82" ht="16" hidden="1" thickTop="1" thickBot="1">
      <c r="D322" s="653"/>
      <c r="E322" s="654"/>
      <c r="F322" s="655" t="str">
        <f t="shared" si="2262"/>
        <v/>
      </c>
      <c r="G322" s="656"/>
      <c r="I322" s="658">
        <f t="shared" si="2263"/>
        <v>0</v>
      </c>
      <c r="J322" s="658">
        <f t="shared" ref="J322" si="2357">IF($G322=0,0,-MIN(0,G322*c_EquityShare.LP))</f>
        <v>0</v>
      </c>
      <c r="K322" s="658">
        <f t="shared" ref="K322" si="2358">I322*c_Rate.Pref_MO</f>
        <v>0</v>
      </c>
      <c r="L322" s="658">
        <f t="shared" si="2239"/>
        <v>0</v>
      </c>
      <c r="M322" s="658">
        <f t="shared" si="2266"/>
        <v>0</v>
      </c>
      <c r="N322" s="658">
        <f t="shared" si="2289"/>
        <v>0</v>
      </c>
      <c r="O322" s="658" cm="1">
        <f t="array" ref="O322">IF(I322=0,0,IF(G322&lt;0,N322/c_EquityShare.LP*i_EquityShare.GP,L322/c_EquityShare.LP*i_EquityShare.GP))</f>
        <v>0</v>
      </c>
      <c r="P322" s="658">
        <f t="shared" si="2267"/>
        <v>0</v>
      </c>
      <c r="Q322" s="658">
        <f t="shared" si="2240"/>
        <v>0</v>
      </c>
      <c r="R322" s="521"/>
      <c r="S322" s="660">
        <f t="shared" si="2268"/>
        <v>0</v>
      </c>
      <c r="T322" s="663" cm="1">
        <f t="array" ref="T322">IF($G322=0,0,-MIN(0,$G322*c_EquityShare.LP))</f>
        <v>0</v>
      </c>
      <c r="U322" s="663" cm="1">
        <f t="array" ref="U322">IF($D322=0,0,S322*c_Rate.Hurdle1.MO)</f>
        <v>0</v>
      </c>
      <c r="V322" s="660">
        <f t="shared" si="2290"/>
        <v>0</v>
      </c>
      <c r="W322" s="660">
        <f t="shared" si="2269"/>
        <v>0</v>
      </c>
      <c r="X322" s="663">
        <f t="shared" si="2291"/>
        <v>0</v>
      </c>
      <c r="Y322" s="663">
        <f t="shared" si="2270"/>
        <v>0</v>
      </c>
      <c r="Z322" s="663">
        <f t="shared" ref="Z322" si="2359">IF(S322=0,0,O322+W322/$J$17*c_Hurdle1.Share_GP)</f>
        <v>0</v>
      </c>
      <c r="AA322" s="663">
        <f t="shared" si="2242"/>
        <v>0</v>
      </c>
      <c r="AB322" s="660">
        <f t="shared" si="2293"/>
        <v>0</v>
      </c>
      <c r="AC322" s="521"/>
      <c r="AD322" s="663">
        <f t="shared" si="1877"/>
        <v>0</v>
      </c>
      <c r="AE322" s="663">
        <f t="shared" ref="AE322" si="2360">IF($G322=0,0,-MIN(0,$G322*c_EquityShare.LP))</f>
        <v>0</v>
      </c>
      <c r="AF322" s="663" cm="1">
        <f t="array" ref="AF322">IF($D322=0,0,AD322*(c_Rate.Hurdle2.MO))</f>
        <v>0</v>
      </c>
      <c r="AG322" s="663">
        <f t="shared" si="2244"/>
        <v>0</v>
      </c>
      <c r="AH322" s="663">
        <f t="shared" si="2273"/>
        <v>0</v>
      </c>
      <c r="AI322" s="663">
        <f t="shared" si="2245"/>
        <v>0</v>
      </c>
      <c r="AJ322" s="664">
        <f t="shared" si="2246"/>
        <v>0</v>
      </c>
      <c r="AK322" s="660">
        <f t="shared" si="2247"/>
        <v>0</v>
      </c>
      <c r="AL322" s="663">
        <f t="shared" ref="AL322" si="2361">IF(AD322=0,0,Z322+AH322/$J$18*c_Hurdle2.Share_GP)</f>
        <v>0</v>
      </c>
      <c r="AM322" s="663">
        <f t="shared" si="2249"/>
        <v>0</v>
      </c>
      <c r="AN322" s="660">
        <f t="shared" si="2296"/>
        <v>0</v>
      </c>
      <c r="AO322" s="521"/>
      <c r="AP322" s="663">
        <f t="shared" si="1880"/>
        <v>0</v>
      </c>
      <c r="AQ322" s="663">
        <f t="shared" ref="AQ322" si="2362">IF($G322=0,0,-MIN(0,$G322*c_EquityShare.LP))</f>
        <v>0</v>
      </c>
      <c r="AR322" s="663" cm="1">
        <f t="array" ref="AR322">IF($D322=0,0,AP322*(c_Rate.Hurdle3.MO))</f>
        <v>0</v>
      </c>
      <c r="AS322" s="663">
        <f t="shared" si="2251"/>
        <v>0</v>
      </c>
      <c r="AT322" s="663">
        <f t="shared" si="2276"/>
        <v>0</v>
      </c>
      <c r="AU322" s="663">
        <f t="shared" si="2252"/>
        <v>0</v>
      </c>
      <c r="AV322" s="664">
        <f t="shared" si="2253"/>
        <v>0</v>
      </c>
      <c r="AW322" s="660">
        <f t="shared" si="2277"/>
        <v>0</v>
      </c>
      <c r="AX322" s="663">
        <f t="shared" ref="AX322" si="2363">IF(AP322=0,0,AL322+AT322/$J$19*c_Hurdle3.Share_GP)</f>
        <v>0</v>
      </c>
      <c r="AY322" s="663">
        <f t="shared" si="2279"/>
        <v>0</v>
      </c>
      <c r="AZ322" s="660">
        <f t="shared" si="2299"/>
        <v>0</v>
      </c>
      <c r="BA322" s="521"/>
      <c r="BB322" s="660">
        <f t="shared" si="1939"/>
        <v>0</v>
      </c>
      <c r="BC322" s="660">
        <f t="shared" ref="BC322" si="2364">$AZ322*c_Residual.Share_GP</f>
        <v>0</v>
      </c>
      <c r="BD322" s="651"/>
      <c r="BE322" s="660">
        <f t="shared" si="2281"/>
        <v>0</v>
      </c>
      <c r="BF322" s="660">
        <f t="shared" si="2281"/>
        <v>0</v>
      </c>
      <c r="BG322" s="660">
        <f t="shared" si="2256"/>
        <v>0</v>
      </c>
      <c r="BI322" s="660">
        <v>0</v>
      </c>
      <c r="BJ322" s="660">
        <v>0</v>
      </c>
      <c r="BK322" s="660">
        <v>0</v>
      </c>
      <c r="BL322" s="660">
        <f t="shared" si="2282"/>
        <v>0</v>
      </c>
      <c r="BM322" s="660">
        <f t="shared" si="2282"/>
        <v>0</v>
      </c>
      <c r="BN322" s="660">
        <f t="shared" si="2283"/>
        <v>0</v>
      </c>
      <c r="BO322" s="660">
        <f t="shared" si="2283"/>
        <v>0</v>
      </c>
      <c r="BP322" s="660">
        <f t="shared" si="2284"/>
        <v>0</v>
      </c>
      <c r="BQ322" s="660">
        <f t="shared" si="2284"/>
        <v>0</v>
      </c>
      <c r="BR322" s="660">
        <v>0</v>
      </c>
      <c r="BS322" s="660">
        <v>0</v>
      </c>
      <c r="BT322" s="660">
        <f t="shared" si="2257"/>
        <v>0</v>
      </c>
      <c r="BU322" s="660">
        <f t="shared" si="2257"/>
        <v>0</v>
      </c>
      <c r="BX322" s="660">
        <v>0</v>
      </c>
      <c r="BY322" s="660">
        <f t="shared" si="2285"/>
        <v>0</v>
      </c>
      <c r="BZ322" s="660">
        <f t="shared" si="2258"/>
        <v>0</v>
      </c>
      <c r="CA322" s="660">
        <f t="shared" si="2259"/>
        <v>0</v>
      </c>
      <c r="CB322" s="660">
        <f t="shared" si="2260"/>
        <v>0</v>
      </c>
      <c r="CC322" s="660">
        <f t="shared" si="2261"/>
        <v>0</v>
      </c>
      <c r="CD322" s="660">
        <f t="shared" si="2286"/>
        <v>0</v>
      </c>
    </row>
    <row r="323" spans="4:82" ht="16" hidden="1" thickTop="1" thickBot="1">
      <c r="D323" s="653"/>
      <c r="E323" s="654"/>
      <c r="F323" s="655" t="str">
        <f t="shared" si="2262"/>
        <v/>
      </c>
      <c r="G323" s="656"/>
      <c r="I323" s="658">
        <f t="shared" si="2263"/>
        <v>0</v>
      </c>
      <c r="J323" s="658">
        <f t="shared" ref="J323" si="2365">IF($G323=0,0,-MIN(0,G323*c_EquityShare.LP))</f>
        <v>0</v>
      </c>
      <c r="K323" s="658">
        <f t="shared" ref="K323" si="2366">I323*c_Rate.Pref_MO</f>
        <v>0</v>
      </c>
      <c r="L323" s="658">
        <f t="shared" si="2239"/>
        <v>0</v>
      </c>
      <c r="M323" s="658">
        <f t="shared" si="2266"/>
        <v>0</v>
      </c>
      <c r="N323" s="658">
        <f t="shared" si="2289"/>
        <v>0</v>
      </c>
      <c r="O323" s="658" cm="1">
        <f t="array" ref="O323">IF(I323=0,0,IF(G323&lt;0,N323/c_EquityShare.LP*i_EquityShare.GP,L323/c_EquityShare.LP*i_EquityShare.GP))</f>
        <v>0</v>
      </c>
      <c r="P323" s="658">
        <f t="shared" si="2267"/>
        <v>0</v>
      </c>
      <c r="Q323" s="658">
        <f t="shared" si="2240"/>
        <v>0</v>
      </c>
      <c r="R323" s="521"/>
      <c r="S323" s="660">
        <f t="shared" si="2268"/>
        <v>0</v>
      </c>
      <c r="T323" s="663" cm="1">
        <f t="array" ref="T323">IF($G323=0,0,-MIN(0,$G323*c_EquityShare.LP))</f>
        <v>0</v>
      </c>
      <c r="U323" s="663" cm="1">
        <f t="array" ref="U323">IF($D323=0,0,S323*c_Rate.Hurdle1.MO)</f>
        <v>0</v>
      </c>
      <c r="V323" s="660">
        <f t="shared" si="2290"/>
        <v>0</v>
      </c>
      <c r="W323" s="660">
        <f t="shared" si="2269"/>
        <v>0</v>
      </c>
      <c r="X323" s="663">
        <f t="shared" si="2291"/>
        <v>0</v>
      </c>
      <c r="Y323" s="663">
        <f t="shared" si="2270"/>
        <v>0</v>
      </c>
      <c r="Z323" s="663">
        <f t="shared" ref="Z323" si="2367">IF(S323=0,0,O323+W323/$J$17*c_Hurdle1.Share_GP)</f>
        <v>0</v>
      </c>
      <c r="AA323" s="663">
        <f t="shared" si="2242"/>
        <v>0</v>
      </c>
      <c r="AB323" s="660">
        <f t="shared" si="2293"/>
        <v>0</v>
      </c>
      <c r="AC323" s="521"/>
      <c r="AD323" s="663">
        <f t="shared" si="1877"/>
        <v>0</v>
      </c>
      <c r="AE323" s="663">
        <f t="shared" ref="AE323" si="2368">IF($G323=0,0,-MIN(0,$G323*c_EquityShare.LP))</f>
        <v>0</v>
      </c>
      <c r="AF323" s="663" cm="1">
        <f t="array" ref="AF323">IF($D323=0,0,AD323*(c_Rate.Hurdle2.MO))</f>
        <v>0</v>
      </c>
      <c r="AG323" s="663">
        <f t="shared" si="2244"/>
        <v>0</v>
      </c>
      <c r="AH323" s="663">
        <f t="shared" si="2273"/>
        <v>0</v>
      </c>
      <c r="AI323" s="663">
        <f t="shared" si="2245"/>
        <v>0</v>
      </c>
      <c r="AJ323" s="664">
        <f t="shared" si="2246"/>
        <v>0</v>
      </c>
      <c r="AK323" s="660">
        <f t="shared" si="2247"/>
        <v>0</v>
      </c>
      <c r="AL323" s="663">
        <f t="shared" ref="AL323" si="2369">IF(AD323=0,0,Z323+AH323/$J$18*c_Hurdle2.Share_GP)</f>
        <v>0</v>
      </c>
      <c r="AM323" s="663">
        <f t="shared" si="2249"/>
        <v>0</v>
      </c>
      <c r="AN323" s="660">
        <f t="shared" si="2296"/>
        <v>0</v>
      </c>
      <c r="AO323" s="521"/>
      <c r="AP323" s="663">
        <f t="shared" si="1880"/>
        <v>0</v>
      </c>
      <c r="AQ323" s="663">
        <f t="shared" ref="AQ323" si="2370">IF($G323=0,0,-MIN(0,$G323*c_EquityShare.LP))</f>
        <v>0</v>
      </c>
      <c r="AR323" s="663" cm="1">
        <f t="array" ref="AR323">IF($D323=0,0,AP323*(c_Rate.Hurdle3.MO))</f>
        <v>0</v>
      </c>
      <c r="AS323" s="663">
        <f t="shared" si="2251"/>
        <v>0</v>
      </c>
      <c r="AT323" s="663">
        <f t="shared" si="2276"/>
        <v>0</v>
      </c>
      <c r="AU323" s="663">
        <f t="shared" si="2252"/>
        <v>0</v>
      </c>
      <c r="AV323" s="664">
        <f t="shared" si="2253"/>
        <v>0</v>
      </c>
      <c r="AW323" s="660">
        <f t="shared" si="2277"/>
        <v>0</v>
      </c>
      <c r="AX323" s="663">
        <f t="shared" ref="AX323" si="2371">IF(AP323=0,0,AL323+AT323/$J$19*c_Hurdle3.Share_GP)</f>
        <v>0</v>
      </c>
      <c r="AY323" s="663">
        <f t="shared" si="2279"/>
        <v>0</v>
      </c>
      <c r="AZ323" s="660">
        <f t="shared" si="2299"/>
        <v>0</v>
      </c>
      <c r="BA323" s="521"/>
      <c r="BB323" s="660">
        <f t="shared" si="1939"/>
        <v>0</v>
      </c>
      <c r="BC323" s="660">
        <f t="shared" ref="BC323" si="2372">$AZ323*c_Residual.Share_GP</f>
        <v>0</v>
      </c>
      <c r="BD323" s="651"/>
      <c r="BE323" s="660">
        <f t="shared" si="2281"/>
        <v>0</v>
      </c>
      <c r="BF323" s="660">
        <f t="shared" si="2281"/>
        <v>0</v>
      </c>
      <c r="BG323" s="660">
        <f t="shared" si="2256"/>
        <v>0</v>
      </c>
      <c r="BI323" s="660">
        <v>0</v>
      </c>
      <c r="BJ323" s="660">
        <v>0</v>
      </c>
      <c r="BK323" s="660">
        <v>0</v>
      </c>
      <c r="BL323" s="660">
        <f t="shared" si="2282"/>
        <v>0</v>
      </c>
      <c r="BM323" s="660">
        <f t="shared" si="2282"/>
        <v>0</v>
      </c>
      <c r="BN323" s="660">
        <f t="shared" si="2283"/>
        <v>0</v>
      </c>
      <c r="BO323" s="660">
        <f t="shared" si="2283"/>
        <v>0</v>
      </c>
      <c r="BP323" s="660">
        <f t="shared" si="2284"/>
        <v>0</v>
      </c>
      <c r="BQ323" s="660">
        <f t="shared" si="2284"/>
        <v>0</v>
      </c>
      <c r="BR323" s="660">
        <v>0</v>
      </c>
      <c r="BS323" s="660">
        <v>0</v>
      </c>
      <c r="BT323" s="660">
        <f t="shared" si="2257"/>
        <v>0</v>
      </c>
      <c r="BU323" s="660">
        <f t="shared" si="2257"/>
        <v>0</v>
      </c>
      <c r="BX323" s="660">
        <v>0</v>
      </c>
      <c r="BY323" s="660">
        <f t="shared" si="2285"/>
        <v>0</v>
      </c>
      <c r="BZ323" s="660">
        <f t="shared" si="2258"/>
        <v>0</v>
      </c>
      <c r="CA323" s="660">
        <f t="shared" si="2259"/>
        <v>0</v>
      </c>
      <c r="CB323" s="660">
        <f t="shared" si="2260"/>
        <v>0</v>
      </c>
      <c r="CC323" s="660">
        <f t="shared" si="2261"/>
        <v>0</v>
      </c>
      <c r="CD323" s="660">
        <f t="shared" si="2286"/>
        <v>0</v>
      </c>
    </row>
    <row r="324" spans="4:82" ht="16" hidden="1" thickTop="1" thickBot="1">
      <c r="D324" s="653"/>
      <c r="E324" s="654"/>
      <c r="F324" s="655" t="str">
        <f t="shared" si="2262"/>
        <v/>
      </c>
      <c r="G324" s="656"/>
      <c r="I324" s="658">
        <f t="shared" si="2263"/>
        <v>0</v>
      </c>
      <c r="J324" s="658">
        <f t="shared" ref="J324" si="2373">IF($G324=0,0,-MIN(0,G324*c_EquityShare.LP))</f>
        <v>0</v>
      </c>
      <c r="K324" s="658">
        <f t="shared" ref="K324" si="2374">I324*c_Rate.Pref_MO</f>
        <v>0</v>
      </c>
      <c r="L324" s="658">
        <f t="shared" si="2239"/>
        <v>0</v>
      </c>
      <c r="M324" s="658">
        <f t="shared" si="2266"/>
        <v>0</v>
      </c>
      <c r="N324" s="658">
        <f t="shared" si="2289"/>
        <v>0</v>
      </c>
      <c r="O324" s="658" cm="1">
        <f t="array" ref="O324">IF(I324=0,0,IF(G324&lt;0,N324/c_EquityShare.LP*i_EquityShare.GP,L324/c_EquityShare.LP*i_EquityShare.GP))</f>
        <v>0</v>
      </c>
      <c r="P324" s="658">
        <f t="shared" si="2267"/>
        <v>0</v>
      </c>
      <c r="Q324" s="658">
        <f t="shared" si="2240"/>
        <v>0</v>
      </c>
      <c r="R324" s="521"/>
      <c r="S324" s="660">
        <f t="shared" si="2268"/>
        <v>0</v>
      </c>
      <c r="T324" s="663" cm="1">
        <f t="array" ref="T324">IF($G324=0,0,-MIN(0,$G324*c_EquityShare.LP))</f>
        <v>0</v>
      </c>
      <c r="U324" s="663" cm="1">
        <f t="array" ref="U324">IF($D324=0,0,S324*c_Rate.Hurdle1.MO)</f>
        <v>0</v>
      </c>
      <c r="V324" s="660">
        <f t="shared" si="2290"/>
        <v>0</v>
      </c>
      <c r="W324" s="660">
        <f t="shared" si="2269"/>
        <v>0</v>
      </c>
      <c r="X324" s="663">
        <f t="shared" si="2291"/>
        <v>0</v>
      </c>
      <c r="Y324" s="663">
        <f t="shared" si="2270"/>
        <v>0</v>
      </c>
      <c r="Z324" s="663">
        <f t="shared" ref="Z324" si="2375">IF(S324=0,0,O324+W324/$J$17*c_Hurdle1.Share_GP)</f>
        <v>0</v>
      </c>
      <c r="AA324" s="663">
        <f t="shared" si="2242"/>
        <v>0</v>
      </c>
      <c r="AB324" s="660">
        <f t="shared" si="2293"/>
        <v>0</v>
      </c>
      <c r="AC324" s="521"/>
      <c r="AD324" s="663">
        <f t="shared" si="1877"/>
        <v>0</v>
      </c>
      <c r="AE324" s="663">
        <f t="shared" ref="AE324" si="2376">IF($G324=0,0,-MIN(0,$G324*c_EquityShare.LP))</f>
        <v>0</v>
      </c>
      <c r="AF324" s="663" cm="1">
        <f t="array" ref="AF324">IF($D324=0,0,AD324*(c_Rate.Hurdle2.MO))</f>
        <v>0</v>
      </c>
      <c r="AG324" s="663">
        <f t="shared" si="2244"/>
        <v>0</v>
      </c>
      <c r="AH324" s="663">
        <f t="shared" si="2273"/>
        <v>0</v>
      </c>
      <c r="AI324" s="663">
        <f t="shared" si="2245"/>
        <v>0</v>
      </c>
      <c r="AJ324" s="664">
        <f t="shared" si="2246"/>
        <v>0</v>
      </c>
      <c r="AK324" s="660">
        <f t="shared" si="2247"/>
        <v>0</v>
      </c>
      <c r="AL324" s="663">
        <f t="shared" ref="AL324" si="2377">IF(AD324=0,0,Z324+AH324/$J$18*c_Hurdle2.Share_GP)</f>
        <v>0</v>
      </c>
      <c r="AM324" s="663">
        <f t="shared" si="2249"/>
        <v>0</v>
      </c>
      <c r="AN324" s="660">
        <f t="shared" si="2296"/>
        <v>0</v>
      </c>
      <c r="AO324" s="521"/>
      <c r="AP324" s="663">
        <f t="shared" si="1880"/>
        <v>0</v>
      </c>
      <c r="AQ324" s="663">
        <f t="shared" ref="AQ324" si="2378">IF($G324=0,0,-MIN(0,$G324*c_EquityShare.LP))</f>
        <v>0</v>
      </c>
      <c r="AR324" s="663" cm="1">
        <f t="array" ref="AR324">IF($D324=0,0,AP324*(c_Rate.Hurdle3.MO))</f>
        <v>0</v>
      </c>
      <c r="AS324" s="663">
        <f t="shared" si="2251"/>
        <v>0</v>
      </c>
      <c r="AT324" s="663">
        <f t="shared" si="2276"/>
        <v>0</v>
      </c>
      <c r="AU324" s="663">
        <f t="shared" si="2252"/>
        <v>0</v>
      </c>
      <c r="AV324" s="664">
        <f t="shared" si="2253"/>
        <v>0</v>
      </c>
      <c r="AW324" s="660">
        <f t="shared" si="2277"/>
        <v>0</v>
      </c>
      <c r="AX324" s="663">
        <f t="shared" ref="AX324" si="2379">IF(AP324=0,0,AL324+AT324/$J$19*c_Hurdle3.Share_GP)</f>
        <v>0</v>
      </c>
      <c r="AY324" s="663">
        <f t="shared" si="2279"/>
        <v>0</v>
      </c>
      <c r="AZ324" s="660">
        <f t="shared" si="2299"/>
        <v>0</v>
      </c>
      <c r="BA324" s="521"/>
      <c r="BB324" s="660">
        <f t="shared" si="1939"/>
        <v>0</v>
      </c>
      <c r="BC324" s="660">
        <f t="shared" ref="BC324" si="2380">$AZ324*c_Residual.Share_GP</f>
        <v>0</v>
      </c>
      <c r="BD324" s="651"/>
      <c r="BE324" s="660">
        <f t="shared" si="2281"/>
        <v>0</v>
      </c>
      <c r="BF324" s="660">
        <f t="shared" si="2281"/>
        <v>0</v>
      </c>
      <c r="BG324" s="660">
        <f t="shared" si="2256"/>
        <v>0</v>
      </c>
      <c r="BI324" s="660">
        <v>0</v>
      </c>
      <c r="BJ324" s="660">
        <v>0</v>
      </c>
      <c r="BK324" s="660">
        <v>0</v>
      </c>
      <c r="BL324" s="660">
        <f t="shared" si="2282"/>
        <v>0</v>
      </c>
      <c r="BM324" s="660">
        <f t="shared" si="2282"/>
        <v>0</v>
      </c>
      <c r="BN324" s="660">
        <f t="shared" si="2283"/>
        <v>0</v>
      </c>
      <c r="BO324" s="660">
        <f t="shared" si="2283"/>
        <v>0</v>
      </c>
      <c r="BP324" s="660">
        <f t="shared" si="2284"/>
        <v>0</v>
      </c>
      <c r="BQ324" s="660">
        <f t="shared" si="2284"/>
        <v>0</v>
      </c>
      <c r="BR324" s="660">
        <v>0</v>
      </c>
      <c r="BS324" s="660">
        <v>0</v>
      </c>
      <c r="BT324" s="660">
        <f t="shared" si="2257"/>
        <v>0</v>
      </c>
      <c r="BU324" s="660">
        <f t="shared" si="2257"/>
        <v>0</v>
      </c>
      <c r="BX324" s="660">
        <v>0</v>
      </c>
      <c r="BY324" s="660">
        <f t="shared" si="2285"/>
        <v>0</v>
      </c>
      <c r="BZ324" s="660">
        <f t="shared" si="2258"/>
        <v>0</v>
      </c>
      <c r="CA324" s="660">
        <f t="shared" si="2259"/>
        <v>0</v>
      </c>
      <c r="CB324" s="660">
        <f t="shared" si="2260"/>
        <v>0</v>
      </c>
      <c r="CC324" s="660">
        <f t="shared" si="2261"/>
        <v>0</v>
      </c>
      <c r="CD324" s="660">
        <f t="shared" si="2286"/>
        <v>0</v>
      </c>
    </row>
    <row r="325" spans="4:82" ht="16" hidden="1" thickTop="1" thickBot="1">
      <c r="D325" s="653"/>
      <c r="E325" s="654"/>
      <c r="F325" s="655" t="str">
        <f t="shared" si="2262"/>
        <v/>
      </c>
      <c r="G325" s="656"/>
      <c r="I325" s="658">
        <f t="shared" si="2263"/>
        <v>0</v>
      </c>
      <c r="J325" s="658">
        <f t="shared" ref="J325" si="2381">IF($G325=0,0,-MIN(0,G325*c_EquityShare.LP))</f>
        <v>0</v>
      </c>
      <c r="K325" s="658">
        <f t="shared" ref="K325" si="2382">I325*c_Rate.Pref_MO</f>
        <v>0</v>
      </c>
      <c r="L325" s="658">
        <f t="shared" si="2239"/>
        <v>0</v>
      </c>
      <c r="M325" s="658">
        <f t="shared" si="2266"/>
        <v>0</v>
      </c>
      <c r="N325" s="658">
        <f t="shared" si="2289"/>
        <v>0</v>
      </c>
      <c r="O325" s="658" cm="1">
        <f t="array" ref="O325">IF(I325=0,0,IF(G325&lt;0,N325/c_EquityShare.LP*i_EquityShare.GP,L325/c_EquityShare.LP*i_EquityShare.GP))</f>
        <v>0</v>
      </c>
      <c r="P325" s="658">
        <f t="shared" si="2267"/>
        <v>0</v>
      </c>
      <c r="Q325" s="658">
        <f t="shared" si="2240"/>
        <v>0</v>
      </c>
      <c r="R325" s="521"/>
      <c r="S325" s="660">
        <f t="shared" si="2268"/>
        <v>0</v>
      </c>
      <c r="T325" s="663" cm="1">
        <f t="array" ref="T325">IF($G325=0,0,-MIN(0,$G325*c_EquityShare.LP))</f>
        <v>0</v>
      </c>
      <c r="U325" s="663" cm="1">
        <f t="array" ref="U325">IF($D325=0,0,S325*c_Rate.Hurdle1.MO)</f>
        <v>0</v>
      </c>
      <c r="V325" s="660">
        <f t="shared" si="2290"/>
        <v>0</v>
      </c>
      <c r="W325" s="660">
        <f t="shared" si="2269"/>
        <v>0</v>
      </c>
      <c r="X325" s="663">
        <f t="shared" si="2291"/>
        <v>0</v>
      </c>
      <c r="Y325" s="663">
        <f t="shared" si="2270"/>
        <v>0</v>
      </c>
      <c r="Z325" s="663">
        <f t="shared" ref="Z325" si="2383">IF(S325=0,0,O325+W325/$J$17*c_Hurdle1.Share_GP)</f>
        <v>0</v>
      </c>
      <c r="AA325" s="663">
        <f t="shared" si="2242"/>
        <v>0</v>
      </c>
      <c r="AB325" s="660">
        <f t="shared" si="2293"/>
        <v>0</v>
      </c>
      <c r="AC325" s="521"/>
      <c r="AD325" s="663">
        <f t="shared" si="1877"/>
        <v>0</v>
      </c>
      <c r="AE325" s="663">
        <f t="shared" ref="AE325" si="2384">IF($G325=0,0,-MIN(0,$G325*c_EquityShare.LP))</f>
        <v>0</v>
      </c>
      <c r="AF325" s="663" cm="1">
        <f t="array" ref="AF325">IF($D325=0,0,AD325*(c_Rate.Hurdle2.MO))</f>
        <v>0</v>
      </c>
      <c r="AG325" s="663">
        <f t="shared" si="2244"/>
        <v>0</v>
      </c>
      <c r="AH325" s="663">
        <f t="shared" si="2273"/>
        <v>0</v>
      </c>
      <c r="AI325" s="663">
        <f t="shared" si="2245"/>
        <v>0</v>
      </c>
      <c r="AJ325" s="664">
        <f t="shared" si="2246"/>
        <v>0</v>
      </c>
      <c r="AK325" s="660">
        <f t="shared" si="2247"/>
        <v>0</v>
      </c>
      <c r="AL325" s="663">
        <f t="shared" ref="AL325" si="2385">IF(AD325=0,0,Z325+AH325/$J$18*c_Hurdle2.Share_GP)</f>
        <v>0</v>
      </c>
      <c r="AM325" s="663">
        <f t="shared" si="2249"/>
        <v>0</v>
      </c>
      <c r="AN325" s="660">
        <f t="shared" si="2296"/>
        <v>0</v>
      </c>
      <c r="AO325" s="521"/>
      <c r="AP325" s="663">
        <f t="shared" si="1880"/>
        <v>0</v>
      </c>
      <c r="AQ325" s="663">
        <f t="shared" ref="AQ325" si="2386">IF($G325=0,0,-MIN(0,$G325*c_EquityShare.LP))</f>
        <v>0</v>
      </c>
      <c r="AR325" s="663" cm="1">
        <f t="array" ref="AR325">IF($D325=0,0,AP325*(c_Rate.Hurdle3.MO))</f>
        <v>0</v>
      </c>
      <c r="AS325" s="663">
        <f t="shared" si="2251"/>
        <v>0</v>
      </c>
      <c r="AT325" s="663">
        <f t="shared" si="2276"/>
        <v>0</v>
      </c>
      <c r="AU325" s="663">
        <f t="shared" si="2252"/>
        <v>0</v>
      </c>
      <c r="AV325" s="664">
        <f t="shared" si="2253"/>
        <v>0</v>
      </c>
      <c r="AW325" s="660">
        <f t="shared" si="2277"/>
        <v>0</v>
      </c>
      <c r="AX325" s="663">
        <f t="shared" ref="AX325" si="2387">IF(AP325=0,0,AL325+AT325/$J$19*c_Hurdle3.Share_GP)</f>
        <v>0</v>
      </c>
      <c r="AY325" s="663">
        <f t="shared" si="2279"/>
        <v>0</v>
      </c>
      <c r="AZ325" s="660">
        <f t="shared" si="2299"/>
        <v>0</v>
      </c>
      <c r="BA325" s="521"/>
      <c r="BB325" s="660">
        <f t="shared" si="1939"/>
        <v>0</v>
      </c>
      <c r="BC325" s="660">
        <f t="shared" ref="BC325" si="2388">$AZ325*c_Residual.Share_GP</f>
        <v>0</v>
      </c>
      <c r="BD325" s="651"/>
      <c r="BE325" s="660">
        <f t="shared" si="2281"/>
        <v>0</v>
      </c>
      <c r="BF325" s="660">
        <f t="shared" si="2281"/>
        <v>0</v>
      </c>
      <c r="BG325" s="660">
        <f t="shared" si="2256"/>
        <v>0</v>
      </c>
      <c r="BI325" s="660">
        <v>0</v>
      </c>
      <c r="BJ325" s="660">
        <v>0</v>
      </c>
      <c r="BK325" s="660">
        <v>0</v>
      </c>
      <c r="BL325" s="660">
        <f t="shared" si="2282"/>
        <v>0</v>
      </c>
      <c r="BM325" s="660">
        <f t="shared" si="2282"/>
        <v>0</v>
      </c>
      <c r="BN325" s="660">
        <f t="shared" si="2283"/>
        <v>0</v>
      </c>
      <c r="BO325" s="660">
        <f t="shared" si="2283"/>
        <v>0</v>
      </c>
      <c r="BP325" s="660">
        <f t="shared" si="2284"/>
        <v>0</v>
      </c>
      <c r="BQ325" s="660">
        <f t="shared" si="2284"/>
        <v>0</v>
      </c>
      <c r="BR325" s="660">
        <v>0</v>
      </c>
      <c r="BS325" s="660">
        <v>0</v>
      </c>
      <c r="BT325" s="660">
        <f t="shared" si="2257"/>
        <v>0</v>
      </c>
      <c r="BU325" s="660">
        <f t="shared" si="2257"/>
        <v>0</v>
      </c>
      <c r="BX325" s="660">
        <v>0</v>
      </c>
      <c r="BY325" s="660">
        <f t="shared" si="2285"/>
        <v>0</v>
      </c>
      <c r="BZ325" s="660">
        <f t="shared" si="2258"/>
        <v>0</v>
      </c>
      <c r="CA325" s="660">
        <f t="shared" si="2259"/>
        <v>0</v>
      </c>
      <c r="CB325" s="660">
        <f t="shared" si="2260"/>
        <v>0</v>
      </c>
      <c r="CC325" s="660">
        <f t="shared" si="2261"/>
        <v>0</v>
      </c>
      <c r="CD325" s="660">
        <f t="shared" si="2286"/>
        <v>0</v>
      </c>
    </row>
    <row r="326" spans="4:82" ht="16" hidden="1" thickTop="1" thickBot="1">
      <c r="D326" s="653"/>
      <c r="E326" s="654"/>
      <c r="F326" s="655" t="str">
        <f t="shared" si="2262"/>
        <v/>
      </c>
      <c r="G326" s="656"/>
      <c r="I326" s="658">
        <f t="shared" si="2263"/>
        <v>0</v>
      </c>
      <c r="J326" s="658">
        <f t="shared" ref="J326" si="2389">IF($G326=0,0,-MIN(0,G326*c_EquityShare.LP))</f>
        <v>0</v>
      </c>
      <c r="K326" s="658">
        <f t="shared" ref="K326" si="2390">I326*c_Rate.Pref_MO</f>
        <v>0</v>
      </c>
      <c r="L326" s="658">
        <f t="shared" si="2239"/>
        <v>0</v>
      </c>
      <c r="M326" s="658">
        <f t="shared" si="2266"/>
        <v>0</v>
      </c>
      <c r="N326" s="658">
        <f t="shared" si="2289"/>
        <v>0</v>
      </c>
      <c r="O326" s="658" cm="1">
        <f t="array" ref="O326">IF(I326=0,0,IF(G326&lt;0,N326/c_EquityShare.LP*i_EquityShare.GP,L326/c_EquityShare.LP*i_EquityShare.GP))</f>
        <v>0</v>
      </c>
      <c r="P326" s="658">
        <f t="shared" si="2267"/>
        <v>0</v>
      </c>
      <c r="Q326" s="658">
        <f t="shared" si="2240"/>
        <v>0</v>
      </c>
      <c r="R326" s="521"/>
      <c r="S326" s="660">
        <f t="shared" si="2268"/>
        <v>0</v>
      </c>
      <c r="T326" s="663" cm="1">
        <f t="array" ref="T326">IF($G326=0,0,-MIN(0,$G326*c_EquityShare.LP))</f>
        <v>0</v>
      </c>
      <c r="U326" s="663" cm="1">
        <f t="array" ref="U326">IF($D326=0,0,S326*c_Rate.Hurdle1.MO)</f>
        <v>0</v>
      </c>
      <c r="V326" s="660">
        <f t="shared" si="2290"/>
        <v>0</v>
      </c>
      <c r="W326" s="660">
        <f t="shared" si="2269"/>
        <v>0</v>
      </c>
      <c r="X326" s="663">
        <f t="shared" si="2291"/>
        <v>0</v>
      </c>
      <c r="Y326" s="663">
        <f t="shared" si="2270"/>
        <v>0</v>
      </c>
      <c r="Z326" s="663">
        <f t="shared" ref="Z326" si="2391">IF(S326=0,0,O326+W326/$J$17*c_Hurdle1.Share_GP)</f>
        <v>0</v>
      </c>
      <c r="AA326" s="663">
        <f t="shared" si="2242"/>
        <v>0</v>
      </c>
      <c r="AB326" s="660">
        <f t="shared" si="2293"/>
        <v>0</v>
      </c>
      <c r="AC326" s="521"/>
      <c r="AD326" s="663">
        <f t="shared" si="1877"/>
        <v>0</v>
      </c>
      <c r="AE326" s="663">
        <f t="shared" ref="AE326" si="2392">IF($G326=0,0,-MIN(0,$G326*c_EquityShare.LP))</f>
        <v>0</v>
      </c>
      <c r="AF326" s="663" cm="1">
        <f t="array" ref="AF326">IF($D326=0,0,AD326*(c_Rate.Hurdle2.MO))</f>
        <v>0</v>
      </c>
      <c r="AG326" s="663">
        <f t="shared" si="2244"/>
        <v>0</v>
      </c>
      <c r="AH326" s="663">
        <f t="shared" si="2273"/>
        <v>0</v>
      </c>
      <c r="AI326" s="663">
        <f t="shared" si="2245"/>
        <v>0</v>
      </c>
      <c r="AJ326" s="664">
        <f t="shared" si="2246"/>
        <v>0</v>
      </c>
      <c r="AK326" s="660">
        <f t="shared" si="2247"/>
        <v>0</v>
      </c>
      <c r="AL326" s="663">
        <f t="shared" ref="AL326" si="2393">IF(AD326=0,0,Z326+AH326/$J$18*c_Hurdle2.Share_GP)</f>
        <v>0</v>
      </c>
      <c r="AM326" s="663">
        <f t="shared" si="2249"/>
        <v>0</v>
      </c>
      <c r="AN326" s="660">
        <f t="shared" si="2296"/>
        <v>0</v>
      </c>
      <c r="AO326" s="521"/>
      <c r="AP326" s="663">
        <f t="shared" si="1880"/>
        <v>0</v>
      </c>
      <c r="AQ326" s="663">
        <f t="shared" ref="AQ326" si="2394">IF($G326=0,0,-MIN(0,$G326*c_EquityShare.LP))</f>
        <v>0</v>
      </c>
      <c r="AR326" s="663" cm="1">
        <f t="array" ref="AR326">IF($D326=0,0,AP326*(c_Rate.Hurdle3.MO))</f>
        <v>0</v>
      </c>
      <c r="AS326" s="663">
        <f t="shared" si="2251"/>
        <v>0</v>
      </c>
      <c r="AT326" s="663">
        <f t="shared" si="2276"/>
        <v>0</v>
      </c>
      <c r="AU326" s="663">
        <f t="shared" si="2252"/>
        <v>0</v>
      </c>
      <c r="AV326" s="664">
        <f t="shared" si="2253"/>
        <v>0</v>
      </c>
      <c r="AW326" s="660">
        <f t="shared" si="2277"/>
        <v>0</v>
      </c>
      <c r="AX326" s="663">
        <f t="shared" ref="AX326" si="2395">IF(AP326=0,0,AL326+AT326/$J$19*c_Hurdle3.Share_GP)</f>
        <v>0</v>
      </c>
      <c r="AY326" s="663">
        <f t="shared" si="2279"/>
        <v>0</v>
      </c>
      <c r="AZ326" s="660">
        <f t="shared" si="2299"/>
        <v>0</v>
      </c>
      <c r="BA326" s="521"/>
      <c r="BB326" s="660">
        <f t="shared" si="1939"/>
        <v>0</v>
      </c>
      <c r="BC326" s="660">
        <f t="shared" ref="BC326" si="2396">$AZ326*c_Residual.Share_GP</f>
        <v>0</v>
      </c>
      <c r="BD326" s="651"/>
      <c r="BE326" s="660">
        <f t="shared" si="2281"/>
        <v>0</v>
      </c>
      <c r="BF326" s="660">
        <f t="shared" si="2281"/>
        <v>0</v>
      </c>
      <c r="BG326" s="660">
        <f t="shared" si="2256"/>
        <v>0</v>
      </c>
      <c r="BI326" s="660">
        <v>0</v>
      </c>
      <c r="BJ326" s="660">
        <v>0</v>
      </c>
      <c r="BK326" s="660">
        <v>0</v>
      </c>
      <c r="BL326" s="660">
        <f t="shared" si="2282"/>
        <v>0</v>
      </c>
      <c r="BM326" s="660">
        <f t="shared" si="2282"/>
        <v>0</v>
      </c>
      <c r="BN326" s="660">
        <f t="shared" si="2283"/>
        <v>0</v>
      </c>
      <c r="BO326" s="660">
        <f t="shared" si="2283"/>
        <v>0</v>
      </c>
      <c r="BP326" s="660">
        <f t="shared" si="2284"/>
        <v>0</v>
      </c>
      <c r="BQ326" s="660">
        <f t="shared" si="2284"/>
        <v>0</v>
      </c>
      <c r="BR326" s="660">
        <v>0</v>
      </c>
      <c r="BS326" s="660">
        <v>0</v>
      </c>
      <c r="BT326" s="660">
        <f t="shared" si="2257"/>
        <v>0</v>
      </c>
      <c r="BU326" s="660">
        <f t="shared" si="2257"/>
        <v>0</v>
      </c>
      <c r="BX326" s="660">
        <v>0</v>
      </c>
      <c r="BY326" s="660">
        <f t="shared" si="2285"/>
        <v>0</v>
      </c>
      <c r="BZ326" s="660">
        <f t="shared" si="2258"/>
        <v>0</v>
      </c>
      <c r="CA326" s="660">
        <f t="shared" si="2259"/>
        <v>0</v>
      </c>
      <c r="CB326" s="660">
        <f t="shared" si="2260"/>
        <v>0</v>
      </c>
      <c r="CC326" s="660">
        <f t="shared" si="2261"/>
        <v>0</v>
      </c>
      <c r="CD326" s="660">
        <f t="shared" si="2286"/>
        <v>0</v>
      </c>
    </row>
    <row r="327" spans="4:82" ht="16" hidden="1" thickTop="1" thickBot="1">
      <c r="D327" s="653"/>
      <c r="E327" s="654"/>
      <c r="F327" s="655" t="str">
        <f t="shared" si="2262"/>
        <v/>
      </c>
      <c r="G327" s="656"/>
      <c r="I327" s="658">
        <f t="shared" si="2263"/>
        <v>0</v>
      </c>
      <c r="J327" s="658">
        <f t="shared" ref="J327" si="2397">IF($G327=0,0,-MIN(0,G327*c_EquityShare.LP))</f>
        <v>0</v>
      </c>
      <c r="K327" s="658">
        <f t="shared" ref="K327" si="2398">I327*c_Rate.Pref_MO</f>
        <v>0</v>
      </c>
      <c r="L327" s="658">
        <f t="shared" si="2239"/>
        <v>0</v>
      </c>
      <c r="M327" s="658">
        <f t="shared" si="2266"/>
        <v>0</v>
      </c>
      <c r="N327" s="658">
        <f t="shared" si="2289"/>
        <v>0</v>
      </c>
      <c r="O327" s="658" cm="1">
        <f t="array" ref="O327">IF(I327=0,0,IF(G327&lt;0,N327/c_EquityShare.LP*i_EquityShare.GP,L327/c_EquityShare.LP*i_EquityShare.GP))</f>
        <v>0</v>
      </c>
      <c r="P327" s="658">
        <f t="shared" si="2267"/>
        <v>0</v>
      </c>
      <c r="Q327" s="658">
        <f t="shared" si="2240"/>
        <v>0</v>
      </c>
      <c r="R327" s="521"/>
      <c r="S327" s="660">
        <f t="shared" si="2268"/>
        <v>0</v>
      </c>
      <c r="T327" s="663" cm="1">
        <f t="array" ref="T327">IF($G327=0,0,-MIN(0,$G327*c_EquityShare.LP))</f>
        <v>0</v>
      </c>
      <c r="U327" s="663" cm="1">
        <f t="array" ref="U327">IF($D327=0,0,S327*c_Rate.Hurdle1.MO)</f>
        <v>0</v>
      </c>
      <c r="V327" s="660">
        <f t="shared" si="2290"/>
        <v>0</v>
      </c>
      <c r="W327" s="660">
        <f t="shared" si="2269"/>
        <v>0</v>
      </c>
      <c r="X327" s="663">
        <f t="shared" si="2291"/>
        <v>0</v>
      </c>
      <c r="Y327" s="663">
        <f t="shared" si="2270"/>
        <v>0</v>
      </c>
      <c r="Z327" s="663">
        <f t="shared" ref="Z327" si="2399">IF(S327=0,0,O327+W327/$J$17*c_Hurdle1.Share_GP)</f>
        <v>0</v>
      </c>
      <c r="AA327" s="663">
        <f t="shared" si="2242"/>
        <v>0</v>
      </c>
      <c r="AB327" s="660">
        <f t="shared" si="2293"/>
        <v>0</v>
      </c>
      <c r="AC327" s="521"/>
      <c r="AD327" s="663">
        <f t="shared" si="1877"/>
        <v>0</v>
      </c>
      <c r="AE327" s="663">
        <f t="shared" ref="AE327" si="2400">IF($G327=0,0,-MIN(0,$G327*c_EquityShare.LP))</f>
        <v>0</v>
      </c>
      <c r="AF327" s="663" cm="1">
        <f t="array" ref="AF327">IF($D327=0,0,AD327*(c_Rate.Hurdle2.MO))</f>
        <v>0</v>
      </c>
      <c r="AG327" s="663">
        <f t="shared" si="2244"/>
        <v>0</v>
      </c>
      <c r="AH327" s="663">
        <f t="shared" si="2273"/>
        <v>0</v>
      </c>
      <c r="AI327" s="663">
        <f t="shared" si="2245"/>
        <v>0</v>
      </c>
      <c r="AJ327" s="664">
        <f t="shared" si="2246"/>
        <v>0</v>
      </c>
      <c r="AK327" s="660">
        <f t="shared" si="2247"/>
        <v>0</v>
      </c>
      <c r="AL327" s="663">
        <f t="shared" ref="AL327" si="2401">IF(AD327=0,0,Z327+AH327/$J$18*c_Hurdle2.Share_GP)</f>
        <v>0</v>
      </c>
      <c r="AM327" s="663">
        <f t="shared" si="2249"/>
        <v>0</v>
      </c>
      <c r="AN327" s="660">
        <f t="shared" si="2296"/>
        <v>0</v>
      </c>
      <c r="AO327" s="521"/>
      <c r="AP327" s="663">
        <f t="shared" si="1880"/>
        <v>0</v>
      </c>
      <c r="AQ327" s="663">
        <f t="shared" ref="AQ327" si="2402">IF($G327=0,0,-MIN(0,$G327*c_EquityShare.LP))</f>
        <v>0</v>
      </c>
      <c r="AR327" s="663" cm="1">
        <f t="array" ref="AR327">IF($D327=0,0,AP327*(c_Rate.Hurdle3.MO))</f>
        <v>0</v>
      </c>
      <c r="AS327" s="663">
        <f t="shared" si="2251"/>
        <v>0</v>
      </c>
      <c r="AT327" s="663">
        <f t="shared" si="2276"/>
        <v>0</v>
      </c>
      <c r="AU327" s="663">
        <f t="shared" si="2252"/>
        <v>0</v>
      </c>
      <c r="AV327" s="664">
        <f t="shared" si="2253"/>
        <v>0</v>
      </c>
      <c r="AW327" s="660">
        <f t="shared" si="2277"/>
        <v>0</v>
      </c>
      <c r="AX327" s="663">
        <f t="shared" ref="AX327" si="2403">IF(AP327=0,0,AL327+AT327/$J$19*c_Hurdle3.Share_GP)</f>
        <v>0</v>
      </c>
      <c r="AY327" s="663">
        <f t="shared" si="2279"/>
        <v>0</v>
      </c>
      <c r="AZ327" s="660">
        <f t="shared" si="2299"/>
        <v>0</v>
      </c>
      <c r="BA327" s="521"/>
      <c r="BB327" s="660">
        <f t="shared" si="1939"/>
        <v>0</v>
      </c>
      <c r="BC327" s="660">
        <f t="shared" ref="BC327" si="2404">$AZ327*c_Residual.Share_GP</f>
        <v>0</v>
      </c>
      <c r="BD327" s="651"/>
      <c r="BE327" s="660">
        <f t="shared" si="2281"/>
        <v>0</v>
      </c>
      <c r="BF327" s="660">
        <f t="shared" si="2281"/>
        <v>0</v>
      </c>
      <c r="BG327" s="660">
        <f t="shared" si="2256"/>
        <v>0</v>
      </c>
      <c r="BI327" s="660">
        <v>0</v>
      </c>
      <c r="BJ327" s="660">
        <v>0</v>
      </c>
      <c r="BK327" s="660">
        <v>0</v>
      </c>
      <c r="BL327" s="660">
        <f t="shared" si="2282"/>
        <v>0</v>
      </c>
      <c r="BM327" s="660">
        <f t="shared" si="2282"/>
        <v>0</v>
      </c>
      <c r="BN327" s="660">
        <f t="shared" si="2283"/>
        <v>0</v>
      </c>
      <c r="BO327" s="660">
        <f t="shared" si="2283"/>
        <v>0</v>
      </c>
      <c r="BP327" s="660">
        <f t="shared" si="2284"/>
        <v>0</v>
      </c>
      <c r="BQ327" s="660">
        <f t="shared" si="2284"/>
        <v>0</v>
      </c>
      <c r="BR327" s="660">
        <v>0</v>
      </c>
      <c r="BS327" s="660">
        <v>0</v>
      </c>
      <c r="BT327" s="660">
        <f t="shared" si="2257"/>
        <v>0</v>
      </c>
      <c r="BU327" s="660">
        <f t="shared" si="2257"/>
        <v>0</v>
      </c>
      <c r="BX327" s="660">
        <v>0</v>
      </c>
      <c r="BY327" s="660">
        <f t="shared" si="2285"/>
        <v>0</v>
      </c>
      <c r="BZ327" s="660">
        <f t="shared" si="2258"/>
        <v>0</v>
      </c>
      <c r="CA327" s="660">
        <f t="shared" si="2259"/>
        <v>0</v>
      </c>
      <c r="CB327" s="660">
        <f t="shared" si="2260"/>
        <v>0</v>
      </c>
      <c r="CC327" s="660">
        <f t="shared" si="2261"/>
        <v>0</v>
      </c>
      <c r="CD327" s="660">
        <f t="shared" si="2286"/>
        <v>0</v>
      </c>
    </row>
    <row r="328" spans="4:82" ht="16" hidden="1" thickTop="1" thickBot="1">
      <c r="D328" s="653"/>
      <c r="E328" s="654"/>
      <c r="F328" s="655" t="str">
        <f t="shared" si="2262"/>
        <v/>
      </c>
      <c r="G328" s="656"/>
      <c r="I328" s="658">
        <f t="shared" si="2263"/>
        <v>0</v>
      </c>
      <c r="J328" s="658">
        <f t="shared" ref="J328" si="2405">IF($G328=0,0,-MIN(0,G328*c_EquityShare.LP))</f>
        <v>0</v>
      </c>
      <c r="K328" s="658">
        <f t="shared" ref="K328" si="2406">I328*c_Rate.Pref_MO</f>
        <v>0</v>
      </c>
      <c r="L328" s="658">
        <f t="shared" si="2239"/>
        <v>0</v>
      </c>
      <c r="M328" s="658">
        <f t="shared" si="2266"/>
        <v>0</v>
      </c>
      <c r="N328" s="658">
        <f t="shared" si="2289"/>
        <v>0</v>
      </c>
      <c r="O328" s="658" cm="1">
        <f t="array" ref="O328">IF(I328=0,0,IF(G328&lt;0,N328/c_EquityShare.LP*i_EquityShare.GP,L328/c_EquityShare.LP*i_EquityShare.GP))</f>
        <v>0</v>
      </c>
      <c r="P328" s="658">
        <f t="shared" si="2267"/>
        <v>0</v>
      </c>
      <c r="Q328" s="658">
        <f t="shared" si="2240"/>
        <v>0</v>
      </c>
      <c r="R328" s="521"/>
      <c r="S328" s="660">
        <f t="shared" si="2268"/>
        <v>0</v>
      </c>
      <c r="T328" s="663" cm="1">
        <f t="array" ref="T328">IF($G328=0,0,-MIN(0,$G328*c_EquityShare.LP))</f>
        <v>0</v>
      </c>
      <c r="U328" s="663" cm="1">
        <f t="array" ref="U328">IF($D328=0,0,S328*c_Rate.Hurdle1.MO)</f>
        <v>0</v>
      </c>
      <c r="V328" s="660">
        <f t="shared" si="2290"/>
        <v>0</v>
      </c>
      <c r="W328" s="660">
        <f t="shared" si="2269"/>
        <v>0</v>
      </c>
      <c r="X328" s="663">
        <f t="shared" si="2291"/>
        <v>0</v>
      </c>
      <c r="Y328" s="663">
        <f t="shared" si="2270"/>
        <v>0</v>
      </c>
      <c r="Z328" s="663">
        <f t="shared" ref="Z328" si="2407">IF(S328=0,0,O328+W328/$J$17*c_Hurdle1.Share_GP)</f>
        <v>0</v>
      </c>
      <c r="AA328" s="663">
        <f t="shared" si="2242"/>
        <v>0</v>
      </c>
      <c r="AB328" s="660">
        <f t="shared" si="2293"/>
        <v>0</v>
      </c>
      <c r="AC328" s="521"/>
      <c r="AD328" s="663">
        <f t="shared" si="1877"/>
        <v>0</v>
      </c>
      <c r="AE328" s="663">
        <f t="shared" ref="AE328" si="2408">IF($G328=0,0,-MIN(0,$G328*c_EquityShare.LP))</f>
        <v>0</v>
      </c>
      <c r="AF328" s="663" cm="1">
        <f t="array" ref="AF328">IF($D328=0,0,AD328*(c_Rate.Hurdle2.MO))</f>
        <v>0</v>
      </c>
      <c r="AG328" s="663">
        <f t="shared" si="2244"/>
        <v>0</v>
      </c>
      <c r="AH328" s="663">
        <f t="shared" si="2273"/>
        <v>0</v>
      </c>
      <c r="AI328" s="663">
        <f t="shared" si="2245"/>
        <v>0</v>
      </c>
      <c r="AJ328" s="664">
        <f t="shared" si="2246"/>
        <v>0</v>
      </c>
      <c r="AK328" s="660">
        <f t="shared" si="2247"/>
        <v>0</v>
      </c>
      <c r="AL328" s="663">
        <f t="shared" ref="AL328" si="2409">IF(AD328=0,0,Z328+AH328/$J$18*c_Hurdle2.Share_GP)</f>
        <v>0</v>
      </c>
      <c r="AM328" s="663">
        <f t="shared" si="2249"/>
        <v>0</v>
      </c>
      <c r="AN328" s="660">
        <f t="shared" si="2296"/>
        <v>0</v>
      </c>
      <c r="AO328" s="521"/>
      <c r="AP328" s="663">
        <f t="shared" si="1880"/>
        <v>0</v>
      </c>
      <c r="AQ328" s="663">
        <f t="shared" ref="AQ328" si="2410">IF($G328=0,0,-MIN(0,$G328*c_EquityShare.LP))</f>
        <v>0</v>
      </c>
      <c r="AR328" s="663" cm="1">
        <f t="array" ref="AR328">IF($D328=0,0,AP328*(c_Rate.Hurdle3.MO))</f>
        <v>0</v>
      </c>
      <c r="AS328" s="663">
        <f t="shared" si="2251"/>
        <v>0</v>
      </c>
      <c r="AT328" s="663">
        <f t="shared" si="2276"/>
        <v>0</v>
      </c>
      <c r="AU328" s="663">
        <f t="shared" si="2252"/>
        <v>0</v>
      </c>
      <c r="AV328" s="664">
        <f t="shared" si="2253"/>
        <v>0</v>
      </c>
      <c r="AW328" s="660">
        <f t="shared" si="2277"/>
        <v>0</v>
      </c>
      <c r="AX328" s="663">
        <f t="shared" ref="AX328" si="2411">IF(AP328=0,0,AL328+AT328/$J$19*c_Hurdle3.Share_GP)</f>
        <v>0</v>
      </c>
      <c r="AY328" s="663">
        <f t="shared" si="2279"/>
        <v>0</v>
      </c>
      <c r="AZ328" s="660">
        <f t="shared" si="2299"/>
        <v>0</v>
      </c>
      <c r="BA328" s="521"/>
      <c r="BB328" s="660">
        <f t="shared" si="1939"/>
        <v>0</v>
      </c>
      <c r="BC328" s="660">
        <f t="shared" ref="BC328" si="2412">$AZ328*c_Residual.Share_GP</f>
        <v>0</v>
      </c>
      <c r="BD328" s="651"/>
      <c r="BE328" s="660">
        <f t="shared" si="2281"/>
        <v>0</v>
      </c>
      <c r="BF328" s="660">
        <f t="shared" si="2281"/>
        <v>0</v>
      </c>
      <c r="BG328" s="660">
        <f t="shared" si="2256"/>
        <v>0</v>
      </c>
      <c r="BI328" s="660">
        <v>0</v>
      </c>
      <c r="BJ328" s="660">
        <v>0</v>
      </c>
      <c r="BK328" s="660">
        <v>0</v>
      </c>
      <c r="BL328" s="660">
        <f t="shared" si="2282"/>
        <v>0</v>
      </c>
      <c r="BM328" s="660">
        <f t="shared" si="2282"/>
        <v>0</v>
      </c>
      <c r="BN328" s="660">
        <f t="shared" si="2283"/>
        <v>0</v>
      </c>
      <c r="BO328" s="660">
        <f t="shared" si="2283"/>
        <v>0</v>
      </c>
      <c r="BP328" s="660">
        <f t="shared" si="2284"/>
        <v>0</v>
      </c>
      <c r="BQ328" s="660">
        <f t="shared" si="2284"/>
        <v>0</v>
      </c>
      <c r="BR328" s="660">
        <v>0</v>
      </c>
      <c r="BS328" s="660">
        <v>0</v>
      </c>
      <c r="BT328" s="660">
        <f t="shared" si="2257"/>
        <v>0</v>
      </c>
      <c r="BU328" s="660">
        <f t="shared" si="2257"/>
        <v>0</v>
      </c>
      <c r="BX328" s="660">
        <v>0</v>
      </c>
      <c r="BY328" s="660">
        <f t="shared" si="2285"/>
        <v>0</v>
      </c>
      <c r="BZ328" s="660">
        <f t="shared" si="2258"/>
        <v>0</v>
      </c>
      <c r="CA328" s="660">
        <f t="shared" si="2259"/>
        <v>0</v>
      </c>
      <c r="CB328" s="660">
        <f t="shared" si="2260"/>
        <v>0</v>
      </c>
      <c r="CC328" s="660">
        <f t="shared" si="2261"/>
        <v>0</v>
      </c>
      <c r="CD328" s="660">
        <f t="shared" si="2286"/>
        <v>0</v>
      </c>
    </row>
    <row r="329" spans="4:82" ht="16" hidden="1" thickTop="1" thickBot="1">
      <c r="D329" s="653"/>
      <c r="E329" s="654"/>
      <c r="F329" s="655" t="str">
        <f t="shared" si="2262"/>
        <v/>
      </c>
      <c r="G329" s="656"/>
      <c r="I329" s="658">
        <f t="shared" si="2263"/>
        <v>0</v>
      </c>
      <c r="J329" s="658">
        <f t="shared" ref="J329" si="2413">IF($G329=0,0,-MIN(0,G329*c_EquityShare.LP))</f>
        <v>0</v>
      </c>
      <c r="K329" s="658">
        <f t="shared" ref="K329" si="2414">I329*c_Rate.Pref_MO</f>
        <v>0</v>
      </c>
      <c r="L329" s="658">
        <f t="shared" si="2239"/>
        <v>0</v>
      </c>
      <c r="M329" s="658">
        <f t="shared" si="2266"/>
        <v>0</v>
      </c>
      <c r="N329" s="658">
        <f t="shared" si="2289"/>
        <v>0</v>
      </c>
      <c r="O329" s="658" cm="1">
        <f t="array" ref="O329">IF(I329=0,0,IF(G329&lt;0,N329/c_EquityShare.LP*i_EquityShare.GP,L329/c_EquityShare.LP*i_EquityShare.GP))</f>
        <v>0</v>
      </c>
      <c r="P329" s="658">
        <f t="shared" si="2267"/>
        <v>0</v>
      </c>
      <c r="Q329" s="658">
        <f t="shared" si="2240"/>
        <v>0</v>
      </c>
      <c r="R329" s="521"/>
      <c r="S329" s="660">
        <f t="shared" si="2268"/>
        <v>0</v>
      </c>
      <c r="T329" s="663" cm="1">
        <f t="array" ref="T329">IF($G329=0,0,-MIN(0,$G329*c_EquityShare.LP))</f>
        <v>0</v>
      </c>
      <c r="U329" s="663" cm="1">
        <f t="array" ref="U329">IF($D329=0,0,S329*c_Rate.Hurdle1.MO)</f>
        <v>0</v>
      </c>
      <c r="V329" s="660">
        <f t="shared" si="2290"/>
        <v>0</v>
      </c>
      <c r="W329" s="660">
        <f t="shared" si="2269"/>
        <v>0</v>
      </c>
      <c r="X329" s="663">
        <f t="shared" si="2291"/>
        <v>0</v>
      </c>
      <c r="Y329" s="663">
        <f t="shared" si="2270"/>
        <v>0</v>
      </c>
      <c r="Z329" s="663">
        <f t="shared" ref="Z329" si="2415">IF(S329=0,0,O329+W329/$J$17*c_Hurdle1.Share_GP)</f>
        <v>0</v>
      </c>
      <c r="AA329" s="663">
        <f t="shared" si="2242"/>
        <v>0</v>
      </c>
      <c r="AB329" s="660">
        <f t="shared" si="2293"/>
        <v>0</v>
      </c>
      <c r="AC329" s="521"/>
      <c r="AD329" s="663">
        <f t="shared" si="1877"/>
        <v>0</v>
      </c>
      <c r="AE329" s="663">
        <f t="shared" ref="AE329" si="2416">IF($G329=0,0,-MIN(0,$G329*c_EquityShare.LP))</f>
        <v>0</v>
      </c>
      <c r="AF329" s="663" cm="1">
        <f t="array" ref="AF329">IF($D329=0,0,AD329*(c_Rate.Hurdle2.MO))</f>
        <v>0</v>
      </c>
      <c r="AG329" s="663">
        <f t="shared" si="2244"/>
        <v>0</v>
      </c>
      <c r="AH329" s="663">
        <f t="shared" si="2273"/>
        <v>0</v>
      </c>
      <c r="AI329" s="663">
        <f t="shared" si="2245"/>
        <v>0</v>
      </c>
      <c r="AJ329" s="664">
        <f t="shared" si="2246"/>
        <v>0</v>
      </c>
      <c r="AK329" s="660">
        <f t="shared" si="2247"/>
        <v>0</v>
      </c>
      <c r="AL329" s="663">
        <f t="shared" ref="AL329" si="2417">IF(AD329=0,0,Z329+AH329/$J$18*c_Hurdle2.Share_GP)</f>
        <v>0</v>
      </c>
      <c r="AM329" s="663">
        <f t="shared" si="2249"/>
        <v>0</v>
      </c>
      <c r="AN329" s="660">
        <f t="shared" si="2296"/>
        <v>0</v>
      </c>
      <c r="AO329" s="521"/>
      <c r="AP329" s="663">
        <f t="shared" si="1880"/>
        <v>0</v>
      </c>
      <c r="AQ329" s="663">
        <f t="shared" ref="AQ329" si="2418">IF($G329=0,0,-MIN(0,$G329*c_EquityShare.LP))</f>
        <v>0</v>
      </c>
      <c r="AR329" s="663" cm="1">
        <f t="array" ref="AR329">IF($D329=0,0,AP329*(c_Rate.Hurdle3.MO))</f>
        <v>0</v>
      </c>
      <c r="AS329" s="663">
        <f t="shared" si="2251"/>
        <v>0</v>
      </c>
      <c r="AT329" s="663">
        <f t="shared" si="2276"/>
        <v>0</v>
      </c>
      <c r="AU329" s="663">
        <f t="shared" si="2252"/>
        <v>0</v>
      </c>
      <c r="AV329" s="664">
        <f t="shared" si="2253"/>
        <v>0</v>
      </c>
      <c r="AW329" s="660">
        <f t="shared" si="2277"/>
        <v>0</v>
      </c>
      <c r="AX329" s="663">
        <f t="shared" ref="AX329" si="2419">IF(AP329=0,0,AL329+AT329/$J$19*c_Hurdle3.Share_GP)</f>
        <v>0</v>
      </c>
      <c r="AY329" s="663">
        <f t="shared" si="2279"/>
        <v>0</v>
      </c>
      <c r="AZ329" s="660">
        <f t="shared" si="2299"/>
        <v>0</v>
      </c>
      <c r="BA329" s="521"/>
      <c r="BB329" s="660">
        <f t="shared" si="1939"/>
        <v>0</v>
      </c>
      <c r="BC329" s="660">
        <f t="shared" ref="BC329" si="2420">$AZ329*c_Residual.Share_GP</f>
        <v>0</v>
      </c>
      <c r="BD329" s="651"/>
      <c r="BE329" s="660">
        <f t="shared" si="2281"/>
        <v>0</v>
      </c>
      <c r="BF329" s="660">
        <f t="shared" si="2281"/>
        <v>0</v>
      </c>
      <c r="BG329" s="660">
        <f t="shared" si="2256"/>
        <v>0</v>
      </c>
      <c r="BI329" s="660">
        <v>0</v>
      </c>
      <c r="BJ329" s="660">
        <v>0</v>
      </c>
      <c r="BK329" s="660">
        <v>0</v>
      </c>
      <c r="BL329" s="660">
        <f t="shared" si="2282"/>
        <v>0</v>
      </c>
      <c r="BM329" s="660">
        <f t="shared" si="2282"/>
        <v>0</v>
      </c>
      <c r="BN329" s="660">
        <f t="shared" si="2283"/>
        <v>0</v>
      </c>
      <c r="BO329" s="660">
        <f t="shared" si="2283"/>
        <v>0</v>
      </c>
      <c r="BP329" s="660">
        <f t="shared" si="2284"/>
        <v>0</v>
      </c>
      <c r="BQ329" s="660">
        <f t="shared" si="2284"/>
        <v>0</v>
      </c>
      <c r="BR329" s="660">
        <v>0</v>
      </c>
      <c r="BS329" s="660">
        <v>0</v>
      </c>
      <c r="BT329" s="660">
        <f t="shared" si="2257"/>
        <v>0</v>
      </c>
      <c r="BU329" s="660">
        <f t="shared" si="2257"/>
        <v>0</v>
      </c>
      <c r="BX329" s="660">
        <v>0</v>
      </c>
      <c r="BY329" s="660">
        <f t="shared" si="2285"/>
        <v>0</v>
      </c>
      <c r="BZ329" s="660">
        <f t="shared" si="2258"/>
        <v>0</v>
      </c>
      <c r="CA329" s="660">
        <f t="shared" si="2259"/>
        <v>0</v>
      </c>
      <c r="CB329" s="660">
        <f t="shared" si="2260"/>
        <v>0</v>
      </c>
      <c r="CC329" s="660">
        <f t="shared" si="2261"/>
        <v>0</v>
      </c>
      <c r="CD329" s="660">
        <f t="shared" si="2286"/>
        <v>0</v>
      </c>
    </row>
    <row r="330" spans="4:82" ht="16" hidden="1" thickTop="1" thickBot="1">
      <c r="D330" s="653"/>
      <c r="E330" s="654"/>
      <c r="F330" s="655" t="str">
        <f t="shared" si="2262"/>
        <v/>
      </c>
      <c r="G330" s="656"/>
      <c r="I330" s="658">
        <f t="shared" si="2263"/>
        <v>0</v>
      </c>
      <c r="J330" s="658">
        <f t="shared" ref="J330" si="2421">IF($G330=0,0,-MIN(0,G330*c_EquityShare.LP))</f>
        <v>0</v>
      </c>
      <c r="K330" s="658">
        <f t="shared" ref="K330" si="2422">I330*c_Rate.Pref_MO</f>
        <v>0</v>
      </c>
      <c r="L330" s="658">
        <f t="shared" si="2239"/>
        <v>0</v>
      </c>
      <c r="M330" s="658">
        <f t="shared" si="2266"/>
        <v>0</v>
      </c>
      <c r="N330" s="658">
        <f t="shared" si="2289"/>
        <v>0</v>
      </c>
      <c r="O330" s="658" cm="1">
        <f t="array" ref="O330">IF(I330=0,0,IF(G330&lt;0,N330/c_EquityShare.LP*i_EquityShare.GP,L330/c_EquityShare.LP*i_EquityShare.GP))</f>
        <v>0</v>
      </c>
      <c r="P330" s="658">
        <f t="shared" si="2267"/>
        <v>0</v>
      </c>
      <c r="Q330" s="658">
        <f t="shared" si="2240"/>
        <v>0</v>
      </c>
      <c r="R330" s="521"/>
      <c r="S330" s="660">
        <f t="shared" si="2268"/>
        <v>0</v>
      </c>
      <c r="T330" s="663" cm="1">
        <f t="array" ref="T330">IF($G330=0,0,-MIN(0,$G330*c_EquityShare.LP))</f>
        <v>0</v>
      </c>
      <c r="U330" s="663" cm="1">
        <f t="array" ref="U330">IF($D330=0,0,S330*c_Rate.Hurdle1.MO)</f>
        <v>0</v>
      </c>
      <c r="V330" s="660">
        <f t="shared" si="2290"/>
        <v>0</v>
      </c>
      <c r="W330" s="660">
        <f t="shared" si="2269"/>
        <v>0</v>
      </c>
      <c r="X330" s="663">
        <f t="shared" si="2291"/>
        <v>0</v>
      </c>
      <c r="Y330" s="663">
        <f t="shared" si="2270"/>
        <v>0</v>
      </c>
      <c r="Z330" s="663">
        <f t="shared" ref="Z330" si="2423">IF(S330=0,0,O330+W330/$J$17*c_Hurdle1.Share_GP)</f>
        <v>0</v>
      </c>
      <c r="AA330" s="663">
        <f t="shared" si="2242"/>
        <v>0</v>
      </c>
      <c r="AB330" s="660">
        <f t="shared" si="2293"/>
        <v>0</v>
      </c>
      <c r="AC330" s="521"/>
      <c r="AD330" s="663">
        <f t="shared" si="1877"/>
        <v>0</v>
      </c>
      <c r="AE330" s="663">
        <f t="shared" ref="AE330" si="2424">IF($G330=0,0,-MIN(0,$G330*c_EquityShare.LP))</f>
        <v>0</v>
      </c>
      <c r="AF330" s="663" cm="1">
        <f t="array" ref="AF330">IF($D330=0,0,AD330*(c_Rate.Hurdle2.MO))</f>
        <v>0</v>
      </c>
      <c r="AG330" s="663">
        <f t="shared" si="2244"/>
        <v>0</v>
      </c>
      <c r="AH330" s="663">
        <f t="shared" si="2273"/>
        <v>0</v>
      </c>
      <c r="AI330" s="663">
        <f t="shared" si="2245"/>
        <v>0</v>
      </c>
      <c r="AJ330" s="664">
        <f t="shared" si="2246"/>
        <v>0</v>
      </c>
      <c r="AK330" s="660">
        <f t="shared" si="2247"/>
        <v>0</v>
      </c>
      <c r="AL330" s="663">
        <f t="shared" ref="AL330" si="2425">IF(AD330=0,0,Z330+AH330/$J$18*c_Hurdle2.Share_GP)</f>
        <v>0</v>
      </c>
      <c r="AM330" s="663">
        <f t="shared" si="2249"/>
        <v>0</v>
      </c>
      <c r="AN330" s="660">
        <f t="shared" si="2296"/>
        <v>0</v>
      </c>
      <c r="AO330" s="521"/>
      <c r="AP330" s="663">
        <f t="shared" si="1880"/>
        <v>0</v>
      </c>
      <c r="AQ330" s="663">
        <f t="shared" ref="AQ330" si="2426">IF($G330=0,0,-MIN(0,$G330*c_EquityShare.LP))</f>
        <v>0</v>
      </c>
      <c r="AR330" s="663" cm="1">
        <f t="array" ref="AR330">IF($D330=0,0,AP330*(c_Rate.Hurdle3.MO))</f>
        <v>0</v>
      </c>
      <c r="AS330" s="663">
        <f t="shared" si="2251"/>
        <v>0</v>
      </c>
      <c r="AT330" s="663">
        <f t="shared" si="2276"/>
        <v>0</v>
      </c>
      <c r="AU330" s="663">
        <f t="shared" si="2252"/>
        <v>0</v>
      </c>
      <c r="AV330" s="664">
        <f t="shared" si="2253"/>
        <v>0</v>
      </c>
      <c r="AW330" s="660">
        <f t="shared" si="2277"/>
        <v>0</v>
      </c>
      <c r="AX330" s="663">
        <f t="shared" ref="AX330" si="2427">IF(AP330=0,0,AL330+AT330/$J$19*c_Hurdle3.Share_GP)</f>
        <v>0</v>
      </c>
      <c r="AY330" s="663">
        <f t="shared" si="2279"/>
        <v>0</v>
      </c>
      <c r="AZ330" s="660">
        <f t="shared" si="2299"/>
        <v>0</v>
      </c>
      <c r="BA330" s="521"/>
      <c r="BB330" s="660">
        <f t="shared" si="1939"/>
        <v>0</v>
      </c>
      <c r="BC330" s="660">
        <f t="shared" ref="BC330" si="2428">$AZ330*c_Residual.Share_GP</f>
        <v>0</v>
      </c>
      <c r="BD330" s="651"/>
      <c r="BE330" s="660">
        <f t="shared" si="2281"/>
        <v>0</v>
      </c>
      <c r="BF330" s="660">
        <f t="shared" si="2281"/>
        <v>0</v>
      </c>
      <c r="BG330" s="660">
        <f t="shared" si="2256"/>
        <v>0</v>
      </c>
      <c r="BI330" s="660">
        <v>0</v>
      </c>
      <c r="BJ330" s="660">
        <v>0</v>
      </c>
      <c r="BK330" s="660">
        <v>0</v>
      </c>
      <c r="BL330" s="660">
        <f t="shared" si="2282"/>
        <v>0</v>
      </c>
      <c r="BM330" s="660">
        <f t="shared" si="2282"/>
        <v>0</v>
      </c>
      <c r="BN330" s="660">
        <f t="shared" si="2283"/>
        <v>0</v>
      </c>
      <c r="BO330" s="660">
        <f t="shared" si="2283"/>
        <v>0</v>
      </c>
      <c r="BP330" s="660">
        <f t="shared" si="2284"/>
        <v>0</v>
      </c>
      <c r="BQ330" s="660">
        <f t="shared" si="2284"/>
        <v>0</v>
      </c>
      <c r="BR330" s="660">
        <v>0</v>
      </c>
      <c r="BS330" s="660">
        <v>0</v>
      </c>
      <c r="BT330" s="660">
        <f t="shared" si="2257"/>
        <v>0</v>
      </c>
      <c r="BU330" s="660">
        <f t="shared" si="2257"/>
        <v>0</v>
      </c>
      <c r="BX330" s="660">
        <v>0</v>
      </c>
      <c r="BY330" s="660">
        <f t="shared" si="2285"/>
        <v>0</v>
      </c>
      <c r="BZ330" s="660">
        <f t="shared" si="2258"/>
        <v>0</v>
      </c>
      <c r="CA330" s="660">
        <f t="shared" si="2259"/>
        <v>0</v>
      </c>
      <c r="CB330" s="660">
        <f t="shared" si="2260"/>
        <v>0</v>
      </c>
      <c r="CC330" s="660">
        <f t="shared" si="2261"/>
        <v>0</v>
      </c>
      <c r="CD330" s="660">
        <f t="shared" si="2286"/>
        <v>0</v>
      </c>
    </row>
    <row r="331" spans="4:82" ht="16" hidden="1" thickTop="1" thickBot="1">
      <c r="D331" s="653"/>
      <c r="E331" s="654"/>
      <c r="F331" s="655" t="str">
        <f t="shared" si="2262"/>
        <v/>
      </c>
      <c r="G331" s="656"/>
      <c r="I331" s="658">
        <f t="shared" si="2263"/>
        <v>0</v>
      </c>
      <c r="J331" s="658">
        <f t="shared" ref="J331" si="2429">IF($G331=0,0,-MIN(0,G331*c_EquityShare.LP))</f>
        <v>0</v>
      </c>
      <c r="K331" s="658">
        <f t="shared" ref="K331" si="2430">I331*c_Rate.Pref_MO</f>
        <v>0</v>
      </c>
      <c r="L331" s="658">
        <f t="shared" si="2239"/>
        <v>0</v>
      </c>
      <c r="M331" s="658">
        <f t="shared" si="2266"/>
        <v>0</v>
      </c>
      <c r="N331" s="658">
        <f t="shared" si="2289"/>
        <v>0</v>
      </c>
      <c r="O331" s="658" cm="1">
        <f t="array" ref="O331">IF(I331=0,0,IF(G331&lt;0,N331/c_EquityShare.LP*i_EquityShare.GP,L331/c_EquityShare.LP*i_EquityShare.GP))</f>
        <v>0</v>
      </c>
      <c r="P331" s="658">
        <f t="shared" si="2267"/>
        <v>0</v>
      </c>
      <c r="Q331" s="658">
        <f t="shared" si="2240"/>
        <v>0</v>
      </c>
      <c r="R331" s="521"/>
      <c r="S331" s="660">
        <f t="shared" si="2268"/>
        <v>0</v>
      </c>
      <c r="T331" s="663" cm="1">
        <f t="array" ref="T331">IF($G331=0,0,-MIN(0,$G331*c_EquityShare.LP))</f>
        <v>0</v>
      </c>
      <c r="U331" s="663" cm="1">
        <f t="array" ref="U331">IF($D331=0,0,S331*c_Rate.Hurdle1.MO)</f>
        <v>0</v>
      </c>
      <c r="V331" s="660">
        <f t="shared" si="2290"/>
        <v>0</v>
      </c>
      <c r="W331" s="660">
        <f t="shared" si="2269"/>
        <v>0</v>
      </c>
      <c r="X331" s="663">
        <f t="shared" si="2291"/>
        <v>0</v>
      </c>
      <c r="Y331" s="663">
        <f t="shared" si="2270"/>
        <v>0</v>
      </c>
      <c r="Z331" s="663">
        <f t="shared" ref="Z331" si="2431">IF(S331=0,0,O331+W331/$J$17*c_Hurdle1.Share_GP)</f>
        <v>0</v>
      </c>
      <c r="AA331" s="663">
        <f t="shared" si="2242"/>
        <v>0</v>
      </c>
      <c r="AB331" s="660">
        <f t="shared" si="2293"/>
        <v>0</v>
      </c>
      <c r="AC331" s="521"/>
      <c r="AD331" s="663">
        <f t="shared" ref="AD331:AD394" si="2432">AI330</f>
        <v>0</v>
      </c>
      <c r="AE331" s="663">
        <f t="shared" ref="AE331" si="2433">IF($G331=0,0,-MIN(0,$G331*c_EquityShare.LP))</f>
        <v>0</v>
      </c>
      <c r="AF331" s="663" cm="1">
        <f t="array" ref="AF331">IF($D331=0,0,AD331*(c_Rate.Hurdle2.MO))</f>
        <v>0</v>
      </c>
      <c r="AG331" s="663">
        <f t="shared" si="2244"/>
        <v>0</v>
      </c>
      <c r="AH331" s="663">
        <f t="shared" si="2273"/>
        <v>0</v>
      </c>
      <c r="AI331" s="663">
        <f t="shared" si="2245"/>
        <v>0</v>
      </c>
      <c r="AJ331" s="664">
        <f t="shared" si="2246"/>
        <v>0</v>
      </c>
      <c r="AK331" s="660">
        <f t="shared" si="2247"/>
        <v>0</v>
      </c>
      <c r="AL331" s="663">
        <f t="shared" ref="AL331" si="2434">IF(AD331=0,0,Z331+AH331/$J$18*c_Hurdle2.Share_GP)</f>
        <v>0</v>
      </c>
      <c r="AM331" s="663">
        <f t="shared" si="2249"/>
        <v>0</v>
      </c>
      <c r="AN331" s="660">
        <f t="shared" si="2296"/>
        <v>0</v>
      </c>
      <c r="AO331" s="521"/>
      <c r="AP331" s="663">
        <f t="shared" ref="AP331:AP394" si="2435">AU330</f>
        <v>0</v>
      </c>
      <c r="AQ331" s="663">
        <f t="shared" ref="AQ331" si="2436">IF($G331=0,0,-MIN(0,$G331*c_EquityShare.LP))</f>
        <v>0</v>
      </c>
      <c r="AR331" s="663" cm="1">
        <f t="array" ref="AR331">IF($D331=0,0,AP331*(c_Rate.Hurdle3.MO))</f>
        <v>0</v>
      </c>
      <c r="AS331" s="663">
        <f t="shared" si="2251"/>
        <v>0</v>
      </c>
      <c r="AT331" s="663">
        <f t="shared" si="2276"/>
        <v>0</v>
      </c>
      <c r="AU331" s="663">
        <f t="shared" si="2252"/>
        <v>0</v>
      </c>
      <c r="AV331" s="664">
        <f t="shared" si="2253"/>
        <v>0</v>
      </c>
      <c r="AW331" s="660">
        <f t="shared" si="2277"/>
        <v>0</v>
      </c>
      <c r="AX331" s="663">
        <f t="shared" ref="AX331" si="2437">IF(AP331=0,0,AL331+AT331/$J$19*c_Hurdle3.Share_GP)</f>
        <v>0</v>
      </c>
      <c r="AY331" s="663">
        <f t="shared" si="2279"/>
        <v>0</v>
      </c>
      <c r="AZ331" s="660">
        <f t="shared" si="2299"/>
        <v>0</v>
      </c>
      <c r="BA331" s="521"/>
      <c r="BB331" s="660">
        <f t="shared" si="1939"/>
        <v>0</v>
      </c>
      <c r="BC331" s="660">
        <f t="shared" ref="BC331" si="2438">$AZ331*c_Residual.Share_GP</f>
        <v>0</v>
      </c>
      <c r="BD331" s="651"/>
      <c r="BE331" s="660">
        <f t="shared" si="2281"/>
        <v>0</v>
      </c>
      <c r="BF331" s="660">
        <f t="shared" si="2281"/>
        <v>0</v>
      </c>
      <c r="BG331" s="660">
        <f t="shared" si="2256"/>
        <v>0</v>
      </c>
      <c r="BI331" s="660">
        <v>0</v>
      </c>
      <c r="BJ331" s="660">
        <v>0</v>
      </c>
      <c r="BK331" s="660">
        <v>0</v>
      </c>
      <c r="BL331" s="660">
        <f t="shared" si="2282"/>
        <v>0</v>
      </c>
      <c r="BM331" s="660">
        <f t="shared" si="2282"/>
        <v>0</v>
      </c>
      <c r="BN331" s="660">
        <f t="shared" si="2283"/>
        <v>0</v>
      </c>
      <c r="BO331" s="660">
        <f t="shared" si="2283"/>
        <v>0</v>
      </c>
      <c r="BP331" s="660">
        <f t="shared" si="2284"/>
        <v>0</v>
      </c>
      <c r="BQ331" s="660">
        <f t="shared" si="2284"/>
        <v>0</v>
      </c>
      <c r="BR331" s="660">
        <v>0</v>
      </c>
      <c r="BS331" s="660">
        <v>0</v>
      </c>
      <c r="BT331" s="660">
        <f t="shared" si="2257"/>
        <v>0</v>
      </c>
      <c r="BU331" s="660">
        <f t="shared" si="2257"/>
        <v>0</v>
      </c>
      <c r="BX331" s="660">
        <v>0</v>
      </c>
      <c r="BY331" s="660">
        <f t="shared" si="2285"/>
        <v>0</v>
      </c>
      <c r="BZ331" s="660">
        <f t="shared" si="2258"/>
        <v>0</v>
      </c>
      <c r="CA331" s="660">
        <f t="shared" si="2259"/>
        <v>0</v>
      </c>
      <c r="CB331" s="660">
        <f t="shared" si="2260"/>
        <v>0</v>
      </c>
      <c r="CC331" s="660">
        <f t="shared" si="2261"/>
        <v>0</v>
      </c>
      <c r="CD331" s="660">
        <f t="shared" si="2286"/>
        <v>0</v>
      </c>
    </row>
    <row r="332" spans="4:82" ht="16" hidden="1" thickTop="1" thickBot="1">
      <c r="D332" s="653"/>
      <c r="E332" s="654"/>
      <c r="F332" s="655" t="str">
        <f t="shared" si="2262"/>
        <v/>
      </c>
      <c r="G332" s="656"/>
      <c r="I332" s="658">
        <f t="shared" si="2263"/>
        <v>0</v>
      </c>
      <c r="J332" s="658">
        <f t="shared" ref="J332" si="2439">IF($G332=0,0,-MIN(0,G332*c_EquityShare.LP))</f>
        <v>0</v>
      </c>
      <c r="K332" s="658">
        <f t="shared" ref="K332" si="2440">I332*c_Rate.Pref_MO</f>
        <v>0</v>
      </c>
      <c r="L332" s="658">
        <f t="shared" si="2239"/>
        <v>0</v>
      </c>
      <c r="M332" s="658">
        <f t="shared" si="2266"/>
        <v>0</v>
      </c>
      <c r="N332" s="658">
        <f t="shared" si="2289"/>
        <v>0</v>
      </c>
      <c r="O332" s="658" cm="1">
        <f t="array" ref="O332">IF(I332=0,0,IF(G332&lt;0,N332/c_EquityShare.LP*i_EquityShare.GP,L332/c_EquityShare.LP*i_EquityShare.GP))</f>
        <v>0</v>
      </c>
      <c r="P332" s="658">
        <f t="shared" si="2267"/>
        <v>0</v>
      </c>
      <c r="Q332" s="658">
        <f t="shared" si="2240"/>
        <v>0</v>
      </c>
      <c r="R332" s="521"/>
      <c r="S332" s="660">
        <f t="shared" si="2268"/>
        <v>0</v>
      </c>
      <c r="T332" s="663" cm="1">
        <f t="array" ref="T332">IF($G332=0,0,-MIN(0,$G332*c_EquityShare.LP))</f>
        <v>0</v>
      </c>
      <c r="U332" s="663" cm="1">
        <f t="array" ref="U332">IF($D332=0,0,S332*c_Rate.Hurdle1.MO)</f>
        <v>0</v>
      </c>
      <c r="V332" s="660">
        <f t="shared" si="2290"/>
        <v>0</v>
      </c>
      <c r="W332" s="660">
        <f t="shared" si="2269"/>
        <v>0</v>
      </c>
      <c r="X332" s="663">
        <f t="shared" si="2291"/>
        <v>0</v>
      </c>
      <c r="Y332" s="663">
        <f t="shared" si="2270"/>
        <v>0</v>
      </c>
      <c r="Z332" s="663">
        <f t="shared" ref="Z332" si="2441">IF(S332=0,0,O332+W332/$J$17*c_Hurdle1.Share_GP)</f>
        <v>0</v>
      </c>
      <c r="AA332" s="663">
        <f t="shared" si="2242"/>
        <v>0</v>
      </c>
      <c r="AB332" s="660">
        <f t="shared" si="2293"/>
        <v>0</v>
      </c>
      <c r="AC332" s="521"/>
      <c r="AD332" s="663">
        <f t="shared" si="2432"/>
        <v>0</v>
      </c>
      <c r="AE332" s="663">
        <f t="shared" ref="AE332" si="2442">IF($G332=0,0,-MIN(0,$G332*c_EquityShare.LP))</f>
        <v>0</v>
      </c>
      <c r="AF332" s="663" cm="1">
        <f t="array" ref="AF332">IF($D332=0,0,AD332*(c_Rate.Hurdle2.MO))</f>
        <v>0</v>
      </c>
      <c r="AG332" s="663">
        <f t="shared" si="2244"/>
        <v>0</v>
      </c>
      <c r="AH332" s="663">
        <f t="shared" si="2273"/>
        <v>0</v>
      </c>
      <c r="AI332" s="663">
        <f t="shared" si="2245"/>
        <v>0</v>
      </c>
      <c r="AJ332" s="664">
        <f t="shared" si="2246"/>
        <v>0</v>
      </c>
      <c r="AK332" s="660">
        <f t="shared" si="2247"/>
        <v>0</v>
      </c>
      <c r="AL332" s="663">
        <f t="shared" ref="AL332" si="2443">IF(AD332=0,0,Z332+AH332/$J$18*c_Hurdle2.Share_GP)</f>
        <v>0</v>
      </c>
      <c r="AM332" s="663">
        <f t="shared" si="2249"/>
        <v>0</v>
      </c>
      <c r="AN332" s="660">
        <f t="shared" si="2296"/>
        <v>0</v>
      </c>
      <c r="AO332" s="521"/>
      <c r="AP332" s="663">
        <f t="shared" si="2435"/>
        <v>0</v>
      </c>
      <c r="AQ332" s="663">
        <f t="shared" ref="AQ332" si="2444">IF($G332=0,0,-MIN(0,$G332*c_EquityShare.LP))</f>
        <v>0</v>
      </c>
      <c r="AR332" s="663" cm="1">
        <f t="array" ref="AR332">IF($D332=0,0,AP332*(c_Rate.Hurdle3.MO))</f>
        <v>0</v>
      </c>
      <c r="AS332" s="663">
        <f t="shared" si="2251"/>
        <v>0</v>
      </c>
      <c r="AT332" s="663">
        <f t="shared" si="2276"/>
        <v>0</v>
      </c>
      <c r="AU332" s="663">
        <f t="shared" si="2252"/>
        <v>0</v>
      </c>
      <c r="AV332" s="664">
        <f t="shared" si="2253"/>
        <v>0</v>
      </c>
      <c r="AW332" s="660">
        <f t="shared" si="2277"/>
        <v>0</v>
      </c>
      <c r="AX332" s="663">
        <f t="shared" ref="AX332" si="2445">IF(AP332=0,0,AL332+AT332/$J$19*c_Hurdle3.Share_GP)</f>
        <v>0</v>
      </c>
      <c r="AY332" s="663">
        <f t="shared" si="2279"/>
        <v>0</v>
      </c>
      <c r="AZ332" s="660">
        <f t="shared" si="2299"/>
        <v>0</v>
      </c>
      <c r="BA332" s="521"/>
      <c r="BB332" s="660">
        <f t="shared" si="1939"/>
        <v>0</v>
      </c>
      <c r="BC332" s="660">
        <f t="shared" ref="BC332" si="2446">$AZ332*c_Residual.Share_GP</f>
        <v>0</v>
      </c>
      <c r="BD332" s="651"/>
      <c r="BE332" s="660">
        <f t="shared" si="2281"/>
        <v>0</v>
      </c>
      <c r="BF332" s="660">
        <f t="shared" si="2281"/>
        <v>0</v>
      </c>
      <c r="BG332" s="660">
        <f t="shared" si="2256"/>
        <v>0</v>
      </c>
      <c r="BI332" s="660">
        <v>0</v>
      </c>
      <c r="BJ332" s="660">
        <v>0</v>
      </c>
      <c r="BK332" s="660">
        <v>0</v>
      </c>
      <c r="BL332" s="660">
        <f t="shared" si="2282"/>
        <v>0</v>
      </c>
      <c r="BM332" s="660">
        <f t="shared" si="2282"/>
        <v>0</v>
      </c>
      <c r="BN332" s="660">
        <f t="shared" si="2283"/>
        <v>0</v>
      </c>
      <c r="BO332" s="660">
        <f t="shared" si="2283"/>
        <v>0</v>
      </c>
      <c r="BP332" s="660">
        <f t="shared" si="2284"/>
        <v>0</v>
      </c>
      <c r="BQ332" s="660">
        <f t="shared" si="2284"/>
        <v>0</v>
      </c>
      <c r="BR332" s="660">
        <v>0</v>
      </c>
      <c r="BS332" s="660">
        <v>0</v>
      </c>
      <c r="BT332" s="660">
        <f t="shared" si="2257"/>
        <v>0</v>
      </c>
      <c r="BU332" s="660">
        <f t="shared" si="2257"/>
        <v>0</v>
      </c>
      <c r="BX332" s="660">
        <v>0</v>
      </c>
      <c r="BY332" s="660">
        <f t="shared" si="2285"/>
        <v>0</v>
      </c>
      <c r="BZ332" s="660">
        <f t="shared" si="2258"/>
        <v>0</v>
      </c>
      <c r="CA332" s="660">
        <f t="shared" si="2259"/>
        <v>0</v>
      </c>
      <c r="CB332" s="660">
        <f t="shared" si="2260"/>
        <v>0</v>
      </c>
      <c r="CC332" s="660">
        <f t="shared" si="2261"/>
        <v>0</v>
      </c>
      <c r="CD332" s="660">
        <f t="shared" si="2286"/>
        <v>0</v>
      </c>
    </row>
    <row r="333" spans="4:82" ht="16" hidden="1" thickTop="1" thickBot="1">
      <c r="D333" s="653"/>
      <c r="E333" s="654"/>
      <c r="F333" s="655" t="str">
        <f t="shared" si="2262"/>
        <v/>
      </c>
      <c r="G333" s="656"/>
      <c r="I333" s="658">
        <f t="shared" si="2263"/>
        <v>0</v>
      </c>
      <c r="J333" s="658">
        <f t="shared" ref="J333" si="2447">IF($G333=0,0,-MIN(0,G333*c_EquityShare.LP))</f>
        <v>0</v>
      </c>
      <c r="K333" s="658">
        <f t="shared" ref="K333" si="2448">I333*c_Rate.Pref_MO</f>
        <v>0</v>
      </c>
      <c r="L333" s="658">
        <f t="shared" si="2239"/>
        <v>0</v>
      </c>
      <c r="M333" s="658">
        <f t="shared" si="2266"/>
        <v>0</v>
      </c>
      <c r="N333" s="658">
        <f t="shared" si="2289"/>
        <v>0</v>
      </c>
      <c r="O333" s="658" cm="1">
        <f t="array" ref="O333">IF(I333=0,0,IF(G333&lt;0,N333/c_EquityShare.LP*i_EquityShare.GP,L333/c_EquityShare.LP*i_EquityShare.GP))</f>
        <v>0</v>
      </c>
      <c r="P333" s="658">
        <f t="shared" si="2267"/>
        <v>0</v>
      </c>
      <c r="Q333" s="658">
        <f t="shared" si="2240"/>
        <v>0</v>
      </c>
      <c r="R333" s="521"/>
      <c r="S333" s="660">
        <f t="shared" si="2268"/>
        <v>0</v>
      </c>
      <c r="T333" s="663" cm="1">
        <f t="array" ref="T333">IF($G333=0,0,-MIN(0,$G333*c_EquityShare.LP))</f>
        <v>0</v>
      </c>
      <c r="U333" s="663" cm="1">
        <f t="array" ref="U333">IF($D333=0,0,S333*c_Rate.Hurdle1.MO)</f>
        <v>0</v>
      </c>
      <c r="V333" s="660">
        <f t="shared" si="2290"/>
        <v>0</v>
      </c>
      <c r="W333" s="660">
        <f t="shared" si="2269"/>
        <v>0</v>
      </c>
      <c r="X333" s="663">
        <f t="shared" si="2291"/>
        <v>0</v>
      </c>
      <c r="Y333" s="663">
        <f t="shared" si="2270"/>
        <v>0</v>
      </c>
      <c r="Z333" s="663">
        <f t="shared" ref="Z333" si="2449">IF(S333=0,0,O333+W333/$J$17*c_Hurdle1.Share_GP)</f>
        <v>0</v>
      </c>
      <c r="AA333" s="663">
        <f t="shared" si="2242"/>
        <v>0</v>
      </c>
      <c r="AB333" s="660">
        <f t="shared" si="2293"/>
        <v>0</v>
      </c>
      <c r="AC333" s="521"/>
      <c r="AD333" s="663">
        <f t="shared" si="2432"/>
        <v>0</v>
      </c>
      <c r="AE333" s="663">
        <f t="shared" ref="AE333" si="2450">IF($G333=0,0,-MIN(0,$G333*c_EquityShare.LP))</f>
        <v>0</v>
      </c>
      <c r="AF333" s="663" cm="1">
        <f t="array" ref="AF333">IF($D333=0,0,AD333*(c_Rate.Hurdle2.MO))</f>
        <v>0</v>
      </c>
      <c r="AG333" s="663">
        <f t="shared" si="2244"/>
        <v>0</v>
      </c>
      <c r="AH333" s="663">
        <f t="shared" si="2273"/>
        <v>0</v>
      </c>
      <c r="AI333" s="663">
        <f t="shared" si="2245"/>
        <v>0</v>
      </c>
      <c r="AJ333" s="664">
        <f t="shared" si="2246"/>
        <v>0</v>
      </c>
      <c r="AK333" s="660">
        <f t="shared" si="2247"/>
        <v>0</v>
      </c>
      <c r="AL333" s="663">
        <f t="shared" ref="AL333" si="2451">IF(AD333=0,0,Z333+AH333/$J$18*c_Hurdle2.Share_GP)</f>
        <v>0</v>
      </c>
      <c r="AM333" s="663">
        <f t="shared" si="2249"/>
        <v>0</v>
      </c>
      <c r="AN333" s="660">
        <f t="shared" si="2296"/>
        <v>0</v>
      </c>
      <c r="AO333" s="521"/>
      <c r="AP333" s="663">
        <f t="shared" si="2435"/>
        <v>0</v>
      </c>
      <c r="AQ333" s="663">
        <f t="shared" ref="AQ333" si="2452">IF($G333=0,0,-MIN(0,$G333*c_EquityShare.LP))</f>
        <v>0</v>
      </c>
      <c r="AR333" s="663" cm="1">
        <f t="array" ref="AR333">IF($D333=0,0,AP333*(c_Rate.Hurdle3.MO))</f>
        <v>0</v>
      </c>
      <c r="AS333" s="663">
        <f t="shared" si="2251"/>
        <v>0</v>
      </c>
      <c r="AT333" s="663">
        <f t="shared" si="2276"/>
        <v>0</v>
      </c>
      <c r="AU333" s="663">
        <f t="shared" si="2252"/>
        <v>0</v>
      </c>
      <c r="AV333" s="664">
        <f t="shared" si="2253"/>
        <v>0</v>
      </c>
      <c r="AW333" s="660">
        <f t="shared" si="2277"/>
        <v>0</v>
      </c>
      <c r="AX333" s="663">
        <f t="shared" ref="AX333" si="2453">IF(AP333=0,0,AL333+AT333/$J$19*c_Hurdle3.Share_GP)</f>
        <v>0</v>
      </c>
      <c r="AY333" s="663">
        <f t="shared" si="2279"/>
        <v>0</v>
      </c>
      <c r="AZ333" s="660">
        <f t="shared" si="2299"/>
        <v>0</v>
      </c>
      <c r="BA333" s="521"/>
      <c r="BB333" s="660">
        <f t="shared" si="1939"/>
        <v>0</v>
      </c>
      <c r="BC333" s="660">
        <f t="shared" ref="BC333" si="2454">$AZ333*c_Residual.Share_GP</f>
        <v>0</v>
      </c>
      <c r="BD333" s="651"/>
      <c r="BE333" s="660">
        <f t="shared" si="2281"/>
        <v>0</v>
      </c>
      <c r="BF333" s="660">
        <f t="shared" si="2281"/>
        <v>0</v>
      </c>
      <c r="BG333" s="660">
        <f t="shared" si="2256"/>
        <v>0</v>
      </c>
      <c r="BI333" s="660">
        <v>0</v>
      </c>
      <c r="BJ333" s="660">
        <v>0</v>
      </c>
      <c r="BK333" s="660">
        <v>0</v>
      </c>
      <c r="BL333" s="660">
        <f t="shared" si="2282"/>
        <v>0</v>
      </c>
      <c r="BM333" s="660">
        <f t="shared" si="2282"/>
        <v>0</v>
      </c>
      <c r="BN333" s="660">
        <f t="shared" si="2283"/>
        <v>0</v>
      </c>
      <c r="BO333" s="660">
        <f t="shared" si="2283"/>
        <v>0</v>
      </c>
      <c r="BP333" s="660">
        <f t="shared" si="2284"/>
        <v>0</v>
      </c>
      <c r="BQ333" s="660">
        <f t="shared" si="2284"/>
        <v>0</v>
      </c>
      <c r="BR333" s="660">
        <v>0</v>
      </c>
      <c r="BS333" s="660">
        <v>0</v>
      </c>
      <c r="BT333" s="660">
        <f t="shared" si="2257"/>
        <v>0</v>
      </c>
      <c r="BU333" s="660">
        <f t="shared" si="2257"/>
        <v>0</v>
      </c>
      <c r="BX333" s="660">
        <v>0</v>
      </c>
      <c r="BY333" s="660">
        <f t="shared" si="2285"/>
        <v>0</v>
      </c>
      <c r="BZ333" s="660">
        <f t="shared" si="2258"/>
        <v>0</v>
      </c>
      <c r="CA333" s="660">
        <f t="shared" si="2259"/>
        <v>0</v>
      </c>
      <c r="CB333" s="660">
        <f t="shared" si="2260"/>
        <v>0</v>
      </c>
      <c r="CC333" s="660">
        <f t="shared" si="2261"/>
        <v>0</v>
      </c>
      <c r="CD333" s="660">
        <f t="shared" si="2286"/>
        <v>0</v>
      </c>
    </row>
    <row r="334" spans="4:82" ht="16" hidden="1" thickTop="1" thickBot="1">
      <c r="D334" s="653"/>
      <c r="E334" s="654"/>
      <c r="F334" s="655" t="str">
        <f t="shared" si="2262"/>
        <v/>
      </c>
      <c r="G334" s="656"/>
      <c r="I334" s="658">
        <f t="shared" si="2263"/>
        <v>0</v>
      </c>
      <c r="J334" s="658">
        <f t="shared" ref="J334" si="2455">IF($G334=0,0,-MIN(0,G334*c_EquityShare.LP))</f>
        <v>0</v>
      </c>
      <c r="K334" s="658">
        <f t="shared" ref="K334" si="2456">I334*c_Rate.Pref_MO</f>
        <v>0</v>
      </c>
      <c r="L334" s="658">
        <f t="shared" si="2239"/>
        <v>0</v>
      </c>
      <c r="M334" s="658">
        <f t="shared" si="2266"/>
        <v>0</v>
      </c>
      <c r="N334" s="658">
        <f t="shared" si="2289"/>
        <v>0</v>
      </c>
      <c r="O334" s="658" cm="1">
        <f t="array" ref="O334">IF(I334=0,0,IF(G334&lt;0,N334/c_EquityShare.LP*i_EquityShare.GP,L334/c_EquityShare.LP*i_EquityShare.GP))</f>
        <v>0</v>
      </c>
      <c r="P334" s="658">
        <f t="shared" si="2267"/>
        <v>0</v>
      </c>
      <c r="Q334" s="658">
        <f t="shared" si="2240"/>
        <v>0</v>
      </c>
      <c r="R334" s="521"/>
      <c r="S334" s="660">
        <f t="shared" si="2268"/>
        <v>0</v>
      </c>
      <c r="T334" s="663" cm="1">
        <f t="array" ref="T334">IF($G334=0,0,-MIN(0,$G334*c_EquityShare.LP))</f>
        <v>0</v>
      </c>
      <c r="U334" s="663" cm="1">
        <f t="array" ref="U334">IF($D334=0,0,S334*c_Rate.Hurdle1.MO)</f>
        <v>0</v>
      </c>
      <c r="V334" s="660">
        <f t="shared" si="2290"/>
        <v>0</v>
      </c>
      <c r="W334" s="660">
        <f t="shared" si="2269"/>
        <v>0</v>
      </c>
      <c r="X334" s="663">
        <f t="shared" si="2291"/>
        <v>0</v>
      </c>
      <c r="Y334" s="663">
        <f t="shared" si="2270"/>
        <v>0</v>
      </c>
      <c r="Z334" s="663">
        <f t="shared" ref="Z334" si="2457">IF(S334=0,0,O334+W334/$J$17*c_Hurdle1.Share_GP)</f>
        <v>0</v>
      </c>
      <c r="AA334" s="663">
        <f t="shared" si="2242"/>
        <v>0</v>
      </c>
      <c r="AB334" s="660">
        <f t="shared" si="2293"/>
        <v>0</v>
      </c>
      <c r="AC334" s="521"/>
      <c r="AD334" s="663">
        <f t="shared" si="2432"/>
        <v>0</v>
      </c>
      <c r="AE334" s="663">
        <f t="shared" ref="AE334" si="2458">IF($G334=0,0,-MIN(0,$G334*c_EquityShare.LP))</f>
        <v>0</v>
      </c>
      <c r="AF334" s="663" cm="1">
        <f t="array" ref="AF334">IF($D334=0,0,AD334*(c_Rate.Hurdle2.MO))</f>
        <v>0</v>
      </c>
      <c r="AG334" s="663">
        <f t="shared" si="2244"/>
        <v>0</v>
      </c>
      <c r="AH334" s="663">
        <f t="shared" si="2273"/>
        <v>0</v>
      </c>
      <c r="AI334" s="663">
        <f t="shared" si="2245"/>
        <v>0</v>
      </c>
      <c r="AJ334" s="664">
        <f t="shared" si="2246"/>
        <v>0</v>
      </c>
      <c r="AK334" s="660">
        <f t="shared" si="2247"/>
        <v>0</v>
      </c>
      <c r="AL334" s="663">
        <f t="shared" ref="AL334" si="2459">IF(AD334=0,0,Z334+AH334/$J$18*c_Hurdle2.Share_GP)</f>
        <v>0</v>
      </c>
      <c r="AM334" s="663">
        <f t="shared" si="2249"/>
        <v>0</v>
      </c>
      <c r="AN334" s="660">
        <f t="shared" si="2296"/>
        <v>0</v>
      </c>
      <c r="AO334" s="521"/>
      <c r="AP334" s="663">
        <f t="shared" si="2435"/>
        <v>0</v>
      </c>
      <c r="AQ334" s="663">
        <f t="shared" ref="AQ334" si="2460">IF($G334=0,0,-MIN(0,$G334*c_EquityShare.LP))</f>
        <v>0</v>
      </c>
      <c r="AR334" s="663" cm="1">
        <f t="array" ref="AR334">IF($D334=0,0,AP334*(c_Rate.Hurdle3.MO))</f>
        <v>0</v>
      </c>
      <c r="AS334" s="663">
        <f t="shared" si="2251"/>
        <v>0</v>
      </c>
      <c r="AT334" s="663">
        <f t="shared" si="2276"/>
        <v>0</v>
      </c>
      <c r="AU334" s="663">
        <f t="shared" si="2252"/>
        <v>0</v>
      </c>
      <c r="AV334" s="664">
        <f t="shared" si="2253"/>
        <v>0</v>
      </c>
      <c r="AW334" s="660">
        <f t="shared" si="2277"/>
        <v>0</v>
      </c>
      <c r="AX334" s="663">
        <f t="shared" ref="AX334" si="2461">IF(AP334=0,0,AL334+AT334/$J$19*c_Hurdle3.Share_GP)</f>
        <v>0</v>
      </c>
      <c r="AY334" s="663">
        <f t="shared" si="2279"/>
        <v>0</v>
      </c>
      <c r="AZ334" s="660">
        <f t="shared" si="2299"/>
        <v>0</v>
      </c>
      <c r="BA334" s="521"/>
      <c r="BB334" s="660">
        <f t="shared" si="1939"/>
        <v>0</v>
      </c>
      <c r="BC334" s="660">
        <f t="shared" ref="BC334" si="2462">$AZ334*c_Residual.Share_GP</f>
        <v>0</v>
      </c>
      <c r="BD334" s="651"/>
      <c r="BE334" s="660">
        <f t="shared" si="2281"/>
        <v>0</v>
      </c>
      <c r="BF334" s="660">
        <f t="shared" si="2281"/>
        <v>0</v>
      </c>
      <c r="BG334" s="660">
        <f t="shared" si="2256"/>
        <v>0</v>
      </c>
      <c r="BI334" s="660">
        <v>0</v>
      </c>
      <c r="BJ334" s="660">
        <v>0</v>
      </c>
      <c r="BK334" s="660">
        <v>0</v>
      </c>
      <c r="BL334" s="660">
        <f t="shared" si="2282"/>
        <v>0</v>
      </c>
      <c r="BM334" s="660">
        <f t="shared" si="2282"/>
        <v>0</v>
      </c>
      <c r="BN334" s="660">
        <f t="shared" si="2283"/>
        <v>0</v>
      </c>
      <c r="BO334" s="660">
        <f t="shared" si="2283"/>
        <v>0</v>
      </c>
      <c r="BP334" s="660">
        <f t="shared" si="2284"/>
        <v>0</v>
      </c>
      <c r="BQ334" s="660">
        <f t="shared" si="2284"/>
        <v>0</v>
      </c>
      <c r="BR334" s="660">
        <v>0</v>
      </c>
      <c r="BS334" s="660">
        <v>0</v>
      </c>
      <c r="BT334" s="660">
        <f t="shared" si="2257"/>
        <v>0</v>
      </c>
      <c r="BU334" s="660">
        <f t="shared" si="2257"/>
        <v>0</v>
      </c>
      <c r="BX334" s="660">
        <v>0</v>
      </c>
      <c r="BY334" s="660">
        <f t="shared" si="2285"/>
        <v>0</v>
      </c>
      <c r="BZ334" s="660">
        <f t="shared" si="2258"/>
        <v>0</v>
      </c>
      <c r="CA334" s="660">
        <f t="shared" si="2259"/>
        <v>0</v>
      </c>
      <c r="CB334" s="660">
        <f t="shared" si="2260"/>
        <v>0</v>
      </c>
      <c r="CC334" s="660">
        <f t="shared" si="2261"/>
        <v>0</v>
      </c>
      <c r="CD334" s="660">
        <f t="shared" si="2286"/>
        <v>0</v>
      </c>
    </row>
    <row r="335" spans="4:82" ht="16" hidden="1" thickTop="1" thickBot="1">
      <c r="D335" s="653"/>
      <c r="E335" s="654"/>
      <c r="F335" s="655" t="str">
        <f t="shared" si="2262"/>
        <v/>
      </c>
      <c r="G335" s="656"/>
      <c r="I335" s="658">
        <f t="shared" si="2263"/>
        <v>0</v>
      </c>
      <c r="J335" s="658">
        <f t="shared" ref="J335" si="2463">IF($G335=0,0,-MIN(0,G335*c_EquityShare.LP))</f>
        <v>0</v>
      </c>
      <c r="K335" s="658">
        <f t="shared" ref="K335" si="2464">I335*c_Rate.Pref_MO</f>
        <v>0</v>
      </c>
      <c r="L335" s="658">
        <f t="shared" si="2239"/>
        <v>0</v>
      </c>
      <c r="M335" s="658">
        <f t="shared" si="2266"/>
        <v>0</v>
      </c>
      <c r="N335" s="658">
        <f t="shared" si="2289"/>
        <v>0</v>
      </c>
      <c r="O335" s="658" cm="1">
        <f t="array" ref="O335">IF(I335=0,0,IF(G335&lt;0,N335/c_EquityShare.LP*i_EquityShare.GP,L335/c_EquityShare.LP*i_EquityShare.GP))</f>
        <v>0</v>
      </c>
      <c r="P335" s="658">
        <f t="shared" si="2267"/>
        <v>0</v>
      </c>
      <c r="Q335" s="658">
        <f t="shared" si="2240"/>
        <v>0</v>
      </c>
      <c r="R335" s="521"/>
      <c r="S335" s="660">
        <f t="shared" si="2268"/>
        <v>0</v>
      </c>
      <c r="T335" s="663" cm="1">
        <f t="array" ref="T335">IF($G335=0,0,-MIN(0,$G335*c_EquityShare.LP))</f>
        <v>0</v>
      </c>
      <c r="U335" s="663" cm="1">
        <f t="array" ref="U335">IF($D335=0,0,S335*c_Rate.Hurdle1.MO)</f>
        <v>0</v>
      </c>
      <c r="V335" s="660">
        <f t="shared" si="2290"/>
        <v>0</v>
      </c>
      <c r="W335" s="660">
        <f t="shared" si="2269"/>
        <v>0</v>
      </c>
      <c r="X335" s="663">
        <f t="shared" si="2291"/>
        <v>0</v>
      </c>
      <c r="Y335" s="663">
        <f t="shared" si="2270"/>
        <v>0</v>
      </c>
      <c r="Z335" s="663">
        <f t="shared" ref="Z335" si="2465">IF(S335=0,0,O335+W335/$J$17*c_Hurdle1.Share_GP)</f>
        <v>0</v>
      </c>
      <c r="AA335" s="663">
        <f t="shared" si="2242"/>
        <v>0</v>
      </c>
      <c r="AB335" s="660">
        <f t="shared" si="2293"/>
        <v>0</v>
      </c>
      <c r="AC335" s="521"/>
      <c r="AD335" s="663">
        <f t="shared" si="2432"/>
        <v>0</v>
      </c>
      <c r="AE335" s="663">
        <f t="shared" ref="AE335" si="2466">IF($G335=0,0,-MIN(0,$G335*c_EquityShare.LP))</f>
        <v>0</v>
      </c>
      <c r="AF335" s="663" cm="1">
        <f t="array" ref="AF335">IF($D335=0,0,AD335*(c_Rate.Hurdle2.MO))</f>
        <v>0</v>
      </c>
      <c r="AG335" s="663">
        <f t="shared" si="2244"/>
        <v>0</v>
      </c>
      <c r="AH335" s="663">
        <f t="shared" si="2273"/>
        <v>0</v>
      </c>
      <c r="AI335" s="663">
        <f t="shared" si="2245"/>
        <v>0</v>
      </c>
      <c r="AJ335" s="664">
        <f t="shared" si="2246"/>
        <v>0</v>
      </c>
      <c r="AK335" s="660">
        <f t="shared" si="2247"/>
        <v>0</v>
      </c>
      <c r="AL335" s="663">
        <f t="shared" ref="AL335" si="2467">IF(AD335=0,0,Z335+AH335/$J$18*c_Hurdle2.Share_GP)</f>
        <v>0</v>
      </c>
      <c r="AM335" s="663">
        <f t="shared" si="2249"/>
        <v>0</v>
      </c>
      <c r="AN335" s="660">
        <f t="shared" si="2296"/>
        <v>0</v>
      </c>
      <c r="AO335" s="521"/>
      <c r="AP335" s="663">
        <f t="shared" si="2435"/>
        <v>0</v>
      </c>
      <c r="AQ335" s="663">
        <f t="shared" ref="AQ335" si="2468">IF($G335=0,0,-MIN(0,$G335*c_EquityShare.LP))</f>
        <v>0</v>
      </c>
      <c r="AR335" s="663" cm="1">
        <f t="array" ref="AR335">IF($D335=0,0,AP335*(c_Rate.Hurdle3.MO))</f>
        <v>0</v>
      </c>
      <c r="AS335" s="663">
        <f t="shared" si="2251"/>
        <v>0</v>
      </c>
      <c r="AT335" s="663">
        <f t="shared" si="2276"/>
        <v>0</v>
      </c>
      <c r="AU335" s="663">
        <f t="shared" si="2252"/>
        <v>0</v>
      </c>
      <c r="AV335" s="664">
        <f t="shared" si="2253"/>
        <v>0</v>
      </c>
      <c r="AW335" s="660">
        <f t="shared" si="2277"/>
        <v>0</v>
      </c>
      <c r="AX335" s="663">
        <f t="shared" ref="AX335" si="2469">IF(AP335=0,0,AL335+AT335/$J$19*c_Hurdle3.Share_GP)</f>
        <v>0</v>
      </c>
      <c r="AY335" s="663">
        <f t="shared" si="2279"/>
        <v>0</v>
      </c>
      <c r="AZ335" s="660">
        <f t="shared" si="2299"/>
        <v>0</v>
      </c>
      <c r="BA335" s="521"/>
      <c r="BB335" s="660">
        <f t="shared" si="1939"/>
        <v>0</v>
      </c>
      <c r="BC335" s="660">
        <f t="shared" ref="BC335" si="2470">$AZ335*c_Residual.Share_GP</f>
        <v>0</v>
      </c>
      <c r="BD335" s="651"/>
      <c r="BE335" s="660">
        <f t="shared" si="2281"/>
        <v>0</v>
      </c>
      <c r="BF335" s="660">
        <f t="shared" si="2281"/>
        <v>0</v>
      </c>
      <c r="BG335" s="660">
        <f t="shared" si="2256"/>
        <v>0</v>
      </c>
      <c r="BI335" s="660">
        <v>0</v>
      </c>
      <c r="BJ335" s="660">
        <v>0</v>
      </c>
      <c r="BK335" s="660">
        <v>0</v>
      </c>
      <c r="BL335" s="660">
        <f t="shared" si="2282"/>
        <v>0</v>
      </c>
      <c r="BM335" s="660">
        <f t="shared" si="2282"/>
        <v>0</v>
      </c>
      <c r="BN335" s="660">
        <f t="shared" si="2283"/>
        <v>0</v>
      </c>
      <c r="BO335" s="660">
        <f t="shared" si="2283"/>
        <v>0</v>
      </c>
      <c r="BP335" s="660">
        <f t="shared" si="2284"/>
        <v>0</v>
      </c>
      <c r="BQ335" s="660">
        <f t="shared" si="2284"/>
        <v>0</v>
      </c>
      <c r="BR335" s="660">
        <v>0</v>
      </c>
      <c r="BS335" s="660">
        <v>0</v>
      </c>
      <c r="BT335" s="660">
        <f t="shared" si="2257"/>
        <v>0</v>
      </c>
      <c r="BU335" s="660">
        <f t="shared" si="2257"/>
        <v>0</v>
      </c>
      <c r="BX335" s="660">
        <v>0</v>
      </c>
      <c r="BY335" s="660">
        <f t="shared" si="2285"/>
        <v>0</v>
      </c>
      <c r="BZ335" s="660">
        <f t="shared" si="2258"/>
        <v>0</v>
      </c>
      <c r="CA335" s="660">
        <f t="shared" si="2259"/>
        <v>0</v>
      </c>
      <c r="CB335" s="660">
        <f t="shared" si="2260"/>
        <v>0</v>
      </c>
      <c r="CC335" s="660">
        <f t="shared" si="2261"/>
        <v>0</v>
      </c>
      <c r="CD335" s="660">
        <f t="shared" si="2286"/>
        <v>0</v>
      </c>
    </row>
    <row r="336" spans="4:82" ht="16" hidden="1" thickTop="1" thickBot="1">
      <c r="D336" s="653"/>
      <c r="E336" s="654"/>
      <c r="F336" s="655" t="str">
        <f t="shared" si="2262"/>
        <v/>
      </c>
      <c r="G336" s="656"/>
      <c r="I336" s="658">
        <f t="shared" si="2263"/>
        <v>0</v>
      </c>
      <c r="J336" s="658">
        <f t="shared" ref="J336" si="2471">IF($G336=0,0,-MIN(0,G336*c_EquityShare.LP))</f>
        <v>0</v>
      </c>
      <c r="K336" s="658">
        <f t="shared" ref="K336" si="2472">I336*c_Rate.Pref_MO</f>
        <v>0</v>
      </c>
      <c r="L336" s="658">
        <f t="shared" si="2239"/>
        <v>0</v>
      </c>
      <c r="M336" s="658">
        <f t="shared" si="2266"/>
        <v>0</v>
      </c>
      <c r="N336" s="658">
        <f t="shared" si="2289"/>
        <v>0</v>
      </c>
      <c r="O336" s="658" cm="1">
        <f t="array" ref="O336">IF(I336=0,0,IF(G336&lt;0,N336/c_EquityShare.LP*i_EquityShare.GP,L336/c_EquityShare.LP*i_EquityShare.GP))</f>
        <v>0</v>
      </c>
      <c r="P336" s="658">
        <f t="shared" si="2267"/>
        <v>0</v>
      </c>
      <c r="Q336" s="658">
        <f t="shared" si="2240"/>
        <v>0</v>
      </c>
      <c r="R336" s="521"/>
      <c r="S336" s="660">
        <f t="shared" si="2268"/>
        <v>0</v>
      </c>
      <c r="T336" s="663" cm="1">
        <f t="array" ref="T336">IF($G336=0,0,-MIN(0,$G336*c_EquityShare.LP))</f>
        <v>0</v>
      </c>
      <c r="U336" s="663" cm="1">
        <f t="array" ref="U336">IF($D336=0,0,S336*c_Rate.Hurdle1.MO)</f>
        <v>0</v>
      </c>
      <c r="V336" s="660">
        <f t="shared" si="2290"/>
        <v>0</v>
      </c>
      <c r="W336" s="660">
        <f t="shared" si="2269"/>
        <v>0</v>
      </c>
      <c r="X336" s="663">
        <f t="shared" si="2291"/>
        <v>0</v>
      </c>
      <c r="Y336" s="663">
        <f t="shared" si="2270"/>
        <v>0</v>
      </c>
      <c r="Z336" s="663">
        <f t="shared" ref="Z336" si="2473">IF(S336=0,0,O336+W336/$J$17*c_Hurdle1.Share_GP)</f>
        <v>0</v>
      </c>
      <c r="AA336" s="663">
        <f t="shared" si="2242"/>
        <v>0</v>
      </c>
      <c r="AB336" s="660">
        <f t="shared" si="2293"/>
        <v>0</v>
      </c>
      <c r="AC336" s="521"/>
      <c r="AD336" s="663">
        <f t="shared" si="2432"/>
        <v>0</v>
      </c>
      <c r="AE336" s="663">
        <f t="shared" ref="AE336" si="2474">IF($G336=0,0,-MIN(0,$G336*c_EquityShare.LP))</f>
        <v>0</v>
      </c>
      <c r="AF336" s="663" cm="1">
        <f t="array" ref="AF336">IF($D336=0,0,AD336*(c_Rate.Hurdle2.MO))</f>
        <v>0</v>
      </c>
      <c r="AG336" s="663">
        <f t="shared" si="2244"/>
        <v>0</v>
      </c>
      <c r="AH336" s="663">
        <f t="shared" si="2273"/>
        <v>0</v>
      </c>
      <c r="AI336" s="663">
        <f t="shared" si="2245"/>
        <v>0</v>
      </c>
      <c r="AJ336" s="664">
        <f t="shared" si="2246"/>
        <v>0</v>
      </c>
      <c r="AK336" s="660">
        <f t="shared" si="2247"/>
        <v>0</v>
      </c>
      <c r="AL336" s="663">
        <f t="shared" ref="AL336" si="2475">IF(AD336=0,0,Z336+AH336/$J$18*c_Hurdle2.Share_GP)</f>
        <v>0</v>
      </c>
      <c r="AM336" s="663">
        <f t="shared" si="2249"/>
        <v>0</v>
      </c>
      <c r="AN336" s="660">
        <f t="shared" si="2296"/>
        <v>0</v>
      </c>
      <c r="AO336" s="521"/>
      <c r="AP336" s="663">
        <f t="shared" si="2435"/>
        <v>0</v>
      </c>
      <c r="AQ336" s="663">
        <f t="shared" ref="AQ336" si="2476">IF($G336=0,0,-MIN(0,$G336*c_EquityShare.LP))</f>
        <v>0</v>
      </c>
      <c r="AR336" s="663" cm="1">
        <f t="array" ref="AR336">IF($D336=0,0,AP336*(c_Rate.Hurdle3.MO))</f>
        <v>0</v>
      </c>
      <c r="AS336" s="663">
        <f t="shared" si="2251"/>
        <v>0</v>
      </c>
      <c r="AT336" s="663">
        <f t="shared" si="2276"/>
        <v>0</v>
      </c>
      <c r="AU336" s="663">
        <f t="shared" si="2252"/>
        <v>0</v>
      </c>
      <c r="AV336" s="664">
        <f t="shared" si="2253"/>
        <v>0</v>
      </c>
      <c r="AW336" s="660">
        <f t="shared" si="2277"/>
        <v>0</v>
      </c>
      <c r="AX336" s="663">
        <f t="shared" ref="AX336" si="2477">IF(AP336=0,0,AL336+AT336/$J$19*c_Hurdle3.Share_GP)</f>
        <v>0</v>
      </c>
      <c r="AY336" s="663">
        <f t="shared" si="2279"/>
        <v>0</v>
      </c>
      <c r="AZ336" s="660">
        <f t="shared" si="2299"/>
        <v>0</v>
      </c>
      <c r="BA336" s="521"/>
      <c r="BB336" s="660">
        <f t="shared" si="1939"/>
        <v>0</v>
      </c>
      <c r="BC336" s="660">
        <f t="shared" ref="BC336" si="2478">$AZ336*c_Residual.Share_GP</f>
        <v>0</v>
      </c>
      <c r="BD336" s="651"/>
      <c r="BE336" s="660">
        <f t="shared" si="2281"/>
        <v>0</v>
      </c>
      <c r="BF336" s="660">
        <f t="shared" si="2281"/>
        <v>0</v>
      </c>
      <c r="BG336" s="660">
        <f t="shared" si="2256"/>
        <v>0</v>
      </c>
      <c r="BI336" s="660">
        <v>0</v>
      </c>
      <c r="BJ336" s="660">
        <v>0</v>
      </c>
      <c r="BK336" s="660">
        <v>0</v>
      </c>
      <c r="BL336" s="660">
        <f t="shared" si="2282"/>
        <v>0</v>
      </c>
      <c r="BM336" s="660">
        <f t="shared" si="2282"/>
        <v>0</v>
      </c>
      <c r="BN336" s="660">
        <f t="shared" si="2283"/>
        <v>0</v>
      </c>
      <c r="BO336" s="660">
        <f t="shared" si="2283"/>
        <v>0</v>
      </c>
      <c r="BP336" s="660">
        <f t="shared" si="2284"/>
        <v>0</v>
      </c>
      <c r="BQ336" s="660">
        <f t="shared" si="2284"/>
        <v>0</v>
      </c>
      <c r="BR336" s="660">
        <v>0</v>
      </c>
      <c r="BS336" s="660">
        <v>0</v>
      </c>
      <c r="BT336" s="660">
        <f t="shared" si="2257"/>
        <v>0</v>
      </c>
      <c r="BU336" s="660">
        <f t="shared" si="2257"/>
        <v>0</v>
      </c>
      <c r="BX336" s="660">
        <v>0</v>
      </c>
      <c r="BY336" s="660">
        <f t="shared" si="2285"/>
        <v>0</v>
      </c>
      <c r="BZ336" s="660">
        <f t="shared" si="2258"/>
        <v>0</v>
      </c>
      <c r="CA336" s="660">
        <f t="shared" si="2259"/>
        <v>0</v>
      </c>
      <c r="CB336" s="660">
        <f t="shared" si="2260"/>
        <v>0</v>
      </c>
      <c r="CC336" s="660">
        <f t="shared" si="2261"/>
        <v>0</v>
      </c>
      <c r="CD336" s="660">
        <f t="shared" si="2286"/>
        <v>0</v>
      </c>
    </row>
    <row r="337" spans="4:82" ht="16" hidden="1" thickTop="1" thickBot="1">
      <c r="D337" s="653"/>
      <c r="E337" s="654"/>
      <c r="F337" s="655" t="str">
        <f t="shared" si="2262"/>
        <v/>
      </c>
      <c r="G337" s="656"/>
      <c r="I337" s="658">
        <f t="shared" si="2263"/>
        <v>0</v>
      </c>
      <c r="J337" s="658">
        <f t="shared" ref="J337" si="2479">IF($G337=0,0,-MIN(0,G337*c_EquityShare.LP))</f>
        <v>0</v>
      </c>
      <c r="K337" s="658">
        <f t="shared" ref="K337" si="2480">I337*c_Rate.Pref_MO</f>
        <v>0</v>
      </c>
      <c r="L337" s="658">
        <f t="shared" si="2239"/>
        <v>0</v>
      </c>
      <c r="M337" s="658">
        <f t="shared" si="2266"/>
        <v>0</v>
      </c>
      <c r="N337" s="658">
        <f t="shared" si="2289"/>
        <v>0</v>
      </c>
      <c r="O337" s="658" cm="1">
        <f t="array" ref="O337">IF(I337=0,0,IF(G337&lt;0,N337/c_EquityShare.LP*i_EquityShare.GP,L337/c_EquityShare.LP*i_EquityShare.GP))</f>
        <v>0</v>
      </c>
      <c r="P337" s="658">
        <f t="shared" si="2267"/>
        <v>0</v>
      </c>
      <c r="Q337" s="658">
        <f t="shared" si="2240"/>
        <v>0</v>
      </c>
      <c r="R337" s="521"/>
      <c r="S337" s="660">
        <f t="shared" si="2268"/>
        <v>0</v>
      </c>
      <c r="T337" s="663" cm="1">
        <f t="array" ref="T337">IF($G337=0,0,-MIN(0,$G337*c_EquityShare.LP))</f>
        <v>0</v>
      </c>
      <c r="U337" s="663" cm="1">
        <f t="array" ref="U337">IF($D337=0,0,S337*c_Rate.Hurdle1.MO)</f>
        <v>0</v>
      </c>
      <c r="V337" s="660">
        <f t="shared" si="2290"/>
        <v>0</v>
      </c>
      <c r="W337" s="660">
        <f t="shared" si="2269"/>
        <v>0</v>
      </c>
      <c r="X337" s="663">
        <f t="shared" si="2291"/>
        <v>0</v>
      </c>
      <c r="Y337" s="663">
        <f t="shared" si="2270"/>
        <v>0</v>
      </c>
      <c r="Z337" s="663">
        <f t="shared" ref="Z337" si="2481">IF(S337=0,0,O337+W337/$J$17*c_Hurdle1.Share_GP)</f>
        <v>0</v>
      </c>
      <c r="AA337" s="663">
        <f t="shared" si="2242"/>
        <v>0</v>
      </c>
      <c r="AB337" s="660">
        <f t="shared" si="2293"/>
        <v>0</v>
      </c>
      <c r="AC337" s="521"/>
      <c r="AD337" s="663">
        <f t="shared" si="2432"/>
        <v>0</v>
      </c>
      <c r="AE337" s="663">
        <f t="shared" ref="AE337" si="2482">IF($G337=0,0,-MIN(0,$G337*c_EquityShare.LP))</f>
        <v>0</v>
      </c>
      <c r="AF337" s="663" cm="1">
        <f t="array" ref="AF337">IF($D337=0,0,AD337*(c_Rate.Hurdle2.MO))</f>
        <v>0</v>
      </c>
      <c r="AG337" s="663">
        <f t="shared" si="2244"/>
        <v>0</v>
      </c>
      <c r="AH337" s="663">
        <f t="shared" si="2273"/>
        <v>0</v>
      </c>
      <c r="AI337" s="663">
        <f t="shared" si="2245"/>
        <v>0</v>
      </c>
      <c r="AJ337" s="664">
        <f t="shared" si="2246"/>
        <v>0</v>
      </c>
      <c r="AK337" s="660">
        <f t="shared" si="2247"/>
        <v>0</v>
      </c>
      <c r="AL337" s="663">
        <f t="shared" ref="AL337" si="2483">IF(AD337=0,0,Z337+AH337/$J$18*c_Hurdle2.Share_GP)</f>
        <v>0</v>
      </c>
      <c r="AM337" s="663">
        <f t="shared" si="2249"/>
        <v>0</v>
      </c>
      <c r="AN337" s="660">
        <f t="shared" si="2296"/>
        <v>0</v>
      </c>
      <c r="AO337" s="521"/>
      <c r="AP337" s="663">
        <f t="shared" si="2435"/>
        <v>0</v>
      </c>
      <c r="AQ337" s="663">
        <f t="shared" ref="AQ337" si="2484">IF($G337=0,0,-MIN(0,$G337*c_EquityShare.LP))</f>
        <v>0</v>
      </c>
      <c r="AR337" s="663" cm="1">
        <f t="array" ref="AR337">IF($D337=0,0,AP337*(c_Rate.Hurdle3.MO))</f>
        <v>0</v>
      </c>
      <c r="AS337" s="663">
        <f t="shared" si="2251"/>
        <v>0</v>
      </c>
      <c r="AT337" s="663">
        <f t="shared" si="2276"/>
        <v>0</v>
      </c>
      <c r="AU337" s="663">
        <f t="shared" si="2252"/>
        <v>0</v>
      </c>
      <c r="AV337" s="664">
        <f t="shared" si="2253"/>
        <v>0</v>
      </c>
      <c r="AW337" s="660">
        <f t="shared" si="2277"/>
        <v>0</v>
      </c>
      <c r="AX337" s="663">
        <f t="shared" ref="AX337" si="2485">IF(AP337=0,0,AL337+AT337/$J$19*c_Hurdle3.Share_GP)</f>
        <v>0</v>
      </c>
      <c r="AY337" s="663">
        <f t="shared" si="2279"/>
        <v>0</v>
      </c>
      <c r="AZ337" s="660">
        <f t="shared" si="2299"/>
        <v>0</v>
      </c>
      <c r="BA337" s="521"/>
      <c r="BB337" s="660">
        <f t="shared" si="1939"/>
        <v>0</v>
      </c>
      <c r="BC337" s="660">
        <f t="shared" ref="BC337" si="2486">$AZ337*c_Residual.Share_GP</f>
        <v>0</v>
      </c>
      <c r="BD337" s="651"/>
      <c r="BE337" s="660">
        <f t="shared" si="2281"/>
        <v>0</v>
      </c>
      <c r="BF337" s="660">
        <f t="shared" si="2281"/>
        <v>0</v>
      </c>
      <c r="BG337" s="660">
        <f t="shared" si="2256"/>
        <v>0</v>
      </c>
      <c r="BI337" s="660">
        <v>0</v>
      </c>
      <c r="BJ337" s="660">
        <v>0</v>
      </c>
      <c r="BK337" s="660">
        <v>0</v>
      </c>
      <c r="BL337" s="660">
        <f t="shared" si="2282"/>
        <v>0</v>
      </c>
      <c r="BM337" s="660">
        <f t="shared" si="2282"/>
        <v>0</v>
      </c>
      <c r="BN337" s="660">
        <f t="shared" si="2283"/>
        <v>0</v>
      </c>
      <c r="BO337" s="660">
        <f t="shared" si="2283"/>
        <v>0</v>
      </c>
      <c r="BP337" s="660">
        <f t="shared" si="2284"/>
        <v>0</v>
      </c>
      <c r="BQ337" s="660">
        <f t="shared" si="2284"/>
        <v>0</v>
      </c>
      <c r="BR337" s="660">
        <v>0</v>
      </c>
      <c r="BS337" s="660">
        <v>0</v>
      </c>
      <c r="BT337" s="660">
        <f t="shared" si="2257"/>
        <v>0</v>
      </c>
      <c r="BU337" s="660">
        <f t="shared" si="2257"/>
        <v>0</v>
      </c>
      <c r="BX337" s="660">
        <v>0</v>
      </c>
      <c r="BY337" s="660">
        <f t="shared" si="2285"/>
        <v>0</v>
      </c>
      <c r="BZ337" s="660">
        <f t="shared" si="2258"/>
        <v>0</v>
      </c>
      <c r="CA337" s="660">
        <f t="shared" si="2259"/>
        <v>0</v>
      </c>
      <c r="CB337" s="660">
        <f t="shared" si="2260"/>
        <v>0</v>
      </c>
      <c r="CC337" s="660">
        <f t="shared" si="2261"/>
        <v>0</v>
      </c>
      <c r="CD337" s="660">
        <f t="shared" si="2286"/>
        <v>0</v>
      </c>
    </row>
    <row r="338" spans="4:82" ht="16" hidden="1" thickTop="1" thickBot="1">
      <c r="D338" s="653"/>
      <c r="E338" s="654"/>
      <c r="F338" s="655" t="str">
        <f t="shared" si="2262"/>
        <v/>
      </c>
      <c r="G338" s="656"/>
      <c r="I338" s="658">
        <f t="shared" si="2263"/>
        <v>0</v>
      </c>
      <c r="J338" s="658">
        <f t="shared" ref="J338" si="2487">IF($G338=0,0,-MIN(0,G338*c_EquityShare.LP))</f>
        <v>0</v>
      </c>
      <c r="K338" s="658">
        <f t="shared" ref="K338" si="2488">I338*c_Rate.Pref_MO</f>
        <v>0</v>
      </c>
      <c r="L338" s="658">
        <f t="shared" si="2239"/>
        <v>0</v>
      </c>
      <c r="M338" s="658">
        <f t="shared" si="2266"/>
        <v>0</v>
      </c>
      <c r="N338" s="658">
        <f t="shared" si="2289"/>
        <v>0</v>
      </c>
      <c r="O338" s="658" cm="1">
        <f t="array" ref="O338">IF(I338=0,0,IF(G338&lt;0,N338/c_EquityShare.LP*i_EquityShare.GP,L338/c_EquityShare.LP*i_EquityShare.GP))</f>
        <v>0</v>
      </c>
      <c r="P338" s="658">
        <f t="shared" si="2267"/>
        <v>0</v>
      </c>
      <c r="Q338" s="658">
        <f t="shared" si="2240"/>
        <v>0</v>
      </c>
      <c r="R338" s="521"/>
      <c r="S338" s="660">
        <f t="shared" si="2268"/>
        <v>0</v>
      </c>
      <c r="T338" s="663" cm="1">
        <f t="array" ref="T338">IF($G338=0,0,-MIN(0,$G338*c_EquityShare.LP))</f>
        <v>0</v>
      </c>
      <c r="U338" s="663" cm="1">
        <f t="array" ref="U338">IF($D338=0,0,S338*c_Rate.Hurdle1.MO)</f>
        <v>0</v>
      </c>
      <c r="V338" s="660">
        <f t="shared" si="2290"/>
        <v>0</v>
      </c>
      <c r="W338" s="660">
        <f t="shared" si="2269"/>
        <v>0</v>
      </c>
      <c r="X338" s="663">
        <f t="shared" si="2291"/>
        <v>0</v>
      </c>
      <c r="Y338" s="663">
        <f t="shared" si="2270"/>
        <v>0</v>
      </c>
      <c r="Z338" s="663">
        <f t="shared" ref="Z338" si="2489">IF(S338=0,0,O338+W338/$J$17*c_Hurdle1.Share_GP)</f>
        <v>0</v>
      </c>
      <c r="AA338" s="663">
        <f t="shared" si="2242"/>
        <v>0</v>
      </c>
      <c r="AB338" s="660">
        <f t="shared" si="2293"/>
        <v>0</v>
      </c>
      <c r="AC338" s="521"/>
      <c r="AD338" s="663">
        <f t="shared" si="2432"/>
        <v>0</v>
      </c>
      <c r="AE338" s="663">
        <f t="shared" ref="AE338" si="2490">IF($G338=0,0,-MIN(0,$G338*c_EquityShare.LP))</f>
        <v>0</v>
      </c>
      <c r="AF338" s="663" cm="1">
        <f t="array" ref="AF338">IF($D338=0,0,AD338*(c_Rate.Hurdle2.MO))</f>
        <v>0</v>
      </c>
      <c r="AG338" s="663">
        <f t="shared" si="2244"/>
        <v>0</v>
      </c>
      <c r="AH338" s="663">
        <f t="shared" si="2273"/>
        <v>0</v>
      </c>
      <c r="AI338" s="663">
        <f t="shared" si="2245"/>
        <v>0</v>
      </c>
      <c r="AJ338" s="664">
        <f t="shared" si="2246"/>
        <v>0</v>
      </c>
      <c r="AK338" s="660">
        <f t="shared" si="2247"/>
        <v>0</v>
      </c>
      <c r="AL338" s="663">
        <f t="shared" ref="AL338" si="2491">IF(AD338=0,0,Z338+AH338/$J$18*c_Hurdle2.Share_GP)</f>
        <v>0</v>
      </c>
      <c r="AM338" s="663">
        <f t="shared" si="2249"/>
        <v>0</v>
      </c>
      <c r="AN338" s="660">
        <f t="shared" si="2296"/>
        <v>0</v>
      </c>
      <c r="AO338" s="521"/>
      <c r="AP338" s="663">
        <f t="shared" si="2435"/>
        <v>0</v>
      </c>
      <c r="AQ338" s="663">
        <f t="shared" ref="AQ338" si="2492">IF($G338=0,0,-MIN(0,$G338*c_EquityShare.LP))</f>
        <v>0</v>
      </c>
      <c r="AR338" s="663" cm="1">
        <f t="array" ref="AR338">IF($D338=0,0,AP338*(c_Rate.Hurdle3.MO))</f>
        <v>0</v>
      </c>
      <c r="AS338" s="663">
        <f t="shared" si="2251"/>
        <v>0</v>
      </c>
      <c r="AT338" s="663">
        <f t="shared" si="2276"/>
        <v>0</v>
      </c>
      <c r="AU338" s="663">
        <f t="shared" si="2252"/>
        <v>0</v>
      </c>
      <c r="AV338" s="664">
        <f t="shared" si="2253"/>
        <v>0</v>
      </c>
      <c r="AW338" s="660">
        <f t="shared" si="2277"/>
        <v>0</v>
      </c>
      <c r="AX338" s="663">
        <f t="shared" ref="AX338" si="2493">IF(AP338=0,0,AL338+AT338/$J$19*c_Hurdle3.Share_GP)</f>
        <v>0</v>
      </c>
      <c r="AY338" s="663">
        <f t="shared" si="2279"/>
        <v>0</v>
      </c>
      <c r="AZ338" s="660">
        <f t="shared" si="2299"/>
        <v>0</v>
      </c>
      <c r="BA338" s="521"/>
      <c r="BB338" s="660">
        <f t="shared" ref="BB338:BB401" si="2494">$AZ338-BC338</f>
        <v>0</v>
      </c>
      <c r="BC338" s="660">
        <f t="shared" ref="BC338" si="2495">$AZ338*c_Residual.Share_GP</f>
        <v>0</v>
      </c>
      <c r="BD338" s="651"/>
      <c r="BE338" s="660">
        <f t="shared" si="2281"/>
        <v>0</v>
      </c>
      <c r="BF338" s="660">
        <f t="shared" si="2281"/>
        <v>0</v>
      </c>
      <c r="BG338" s="660">
        <f t="shared" si="2256"/>
        <v>0</v>
      </c>
      <c r="BI338" s="660">
        <v>0</v>
      </c>
      <c r="BJ338" s="660">
        <v>0</v>
      </c>
      <c r="BK338" s="660">
        <v>0</v>
      </c>
      <c r="BL338" s="660">
        <f t="shared" si="2282"/>
        <v>0</v>
      </c>
      <c r="BM338" s="660">
        <f t="shared" si="2282"/>
        <v>0</v>
      </c>
      <c r="BN338" s="660">
        <f t="shared" si="2283"/>
        <v>0</v>
      </c>
      <c r="BO338" s="660">
        <f t="shared" si="2283"/>
        <v>0</v>
      </c>
      <c r="BP338" s="660">
        <f t="shared" si="2284"/>
        <v>0</v>
      </c>
      <c r="BQ338" s="660">
        <f t="shared" si="2284"/>
        <v>0</v>
      </c>
      <c r="BR338" s="660">
        <v>0</v>
      </c>
      <c r="BS338" s="660">
        <v>0</v>
      </c>
      <c r="BT338" s="660">
        <f t="shared" si="2257"/>
        <v>0</v>
      </c>
      <c r="BU338" s="660">
        <f t="shared" si="2257"/>
        <v>0</v>
      </c>
      <c r="BX338" s="660">
        <v>0</v>
      </c>
      <c r="BY338" s="660">
        <f t="shared" si="2285"/>
        <v>0</v>
      </c>
      <c r="BZ338" s="660">
        <f t="shared" si="2258"/>
        <v>0</v>
      </c>
      <c r="CA338" s="660">
        <f t="shared" si="2259"/>
        <v>0</v>
      </c>
      <c r="CB338" s="660">
        <f t="shared" si="2260"/>
        <v>0</v>
      </c>
      <c r="CC338" s="660">
        <f t="shared" si="2261"/>
        <v>0</v>
      </c>
      <c r="CD338" s="660">
        <f t="shared" si="2286"/>
        <v>0</v>
      </c>
    </row>
    <row r="339" spans="4:82" ht="16" hidden="1" thickTop="1" thickBot="1">
      <c r="D339" s="653"/>
      <c r="E339" s="654"/>
      <c r="F339" s="655" t="str">
        <f t="shared" si="2262"/>
        <v/>
      </c>
      <c r="G339" s="656"/>
      <c r="I339" s="658">
        <f t="shared" si="2263"/>
        <v>0</v>
      </c>
      <c r="J339" s="658">
        <f t="shared" ref="J339" si="2496">IF($G339=0,0,-MIN(0,G339*c_EquityShare.LP))</f>
        <v>0</v>
      </c>
      <c r="K339" s="658">
        <f t="shared" ref="K339" si="2497">I339*c_Rate.Pref_MO</f>
        <v>0</v>
      </c>
      <c r="L339" s="658">
        <f t="shared" si="2239"/>
        <v>0</v>
      </c>
      <c r="M339" s="658">
        <f t="shared" si="2266"/>
        <v>0</v>
      </c>
      <c r="N339" s="658">
        <f t="shared" si="2289"/>
        <v>0</v>
      </c>
      <c r="O339" s="658" cm="1">
        <f t="array" ref="O339">IF(I339=0,0,IF(G339&lt;0,N339/c_EquityShare.LP*i_EquityShare.GP,L339/c_EquityShare.LP*i_EquityShare.GP))</f>
        <v>0</v>
      </c>
      <c r="P339" s="658">
        <f t="shared" si="2267"/>
        <v>0</v>
      </c>
      <c r="Q339" s="658">
        <f t="shared" si="2240"/>
        <v>0</v>
      </c>
      <c r="R339" s="521"/>
      <c r="S339" s="660">
        <f t="shared" si="2268"/>
        <v>0</v>
      </c>
      <c r="T339" s="663" cm="1">
        <f t="array" ref="T339">IF($G339=0,0,-MIN(0,$G339*c_EquityShare.LP))</f>
        <v>0</v>
      </c>
      <c r="U339" s="663" cm="1">
        <f t="array" ref="U339">IF($D339=0,0,S339*c_Rate.Hurdle1.MO)</f>
        <v>0</v>
      </c>
      <c r="V339" s="660">
        <f t="shared" si="2290"/>
        <v>0</v>
      </c>
      <c r="W339" s="660">
        <f t="shared" si="2269"/>
        <v>0</v>
      </c>
      <c r="X339" s="663">
        <f t="shared" si="2291"/>
        <v>0</v>
      </c>
      <c r="Y339" s="663">
        <f t="shared" si="2270"/>
        <v>0</v>
      </c>
      <c r="Z339" s="663">
        <f t="shared" ref="Z339" si="2498">IF(S339=0,0,O339+W339/$J$17*c_Hurdle1.Share_GP)</f>
        <v>0</v>
      </c>
      <c r="AA339" s="663">
        <f t="shared" si="2242"/>
        <v>0</v>
      </c>
      <c r="AB339" s="660">
        <f t="shared" si="2293"/>
        <v>0</v>
      </c>
      <c r="AC339" s="521"/>
      <c r="AD339" s="663">
        <f t="shared" si="2432"/>
        <v>0</v>
      </c>
      <c r="AE339" s="663">
        <f t="shared" ref="AE339" si="2499">IF($G339=0,0,-MIN(0,$G339*c_EquityShare.LP))</f>
        <v>0</v>
      </c>
      <c r="AF339" s="663" cm="1">
        <f t="array" ref="AF339">IF($D339=0,0,AD339*(c_Rate.Hurdle2.MO))</f>
        <v>0</v>
      </c>
      <c r="AG339" s="663">
        <f t="shared" si="2244"/>
        <v>0</v>
      </c>
      <c r="AH339" s="663">
        <f t="shared" si="2273"/>
        <v>0</v>
      </c>
      <c r="AI339" s="663">
        <f t="shared" si="2245"/>
        <v>0</v>
      </c>
      <c r="AJ339" s="664">
        <f t="shared" si="2246"/>
        <v>0</v>
      </c>
      <c r="AK339" s="660">
        <f t="shared" si="2247"/>
        <v>0</v>
      </c>
      <c r="AL339" s="663">
        <f t="shared" ref="AL339" si="2500">IF(AD339=0,0,Z339+AH339/$J$18*c_Hurdle2.Share_GP)</f>
        <v>0</v>
      </c>
      <c r="AM339" s="663">
        <f t="shared" si="2249"/>
        <v>0</v>
      </c>
      <c r="AN339" s="660">
        <f t="shared" si="2296"/>
        <v>0</v>
      </c>
      <c r="AO339" s="521"/>
      <c r="AP339" s="663">
        <f t="shared" si="2435"/>
        <v>0</v>
      </c>
      <c r="AQ339" s="663">
        <f t="shared" ref="AQ339" si="2501">IF($G339=0,0,-MIN(0,$G339*c_EquityShare.LP))</f>
        <v>0</v>
      </c>
      <c r="AR339" s="663" cm="1">
        <f t="array" ref="AR339">IF($D339=0,0,AP339*(c_Rate.Hurdle3.MO))</f>
        <v>0</v>
      </c>
      <c r="AS339" s="663">
        <f t="shared" si="2251"/>
        <v>0</v>
      </c>
      <c r="AT339" s="663">
        <f t="shared" si="2276"/>
        <v>0</v>
      </c>
      <c r="AU339" s="663">
        <f t="shared" si="2252"/>
        <v>0</v>
      </c>
      <c r="AV339" s="664">
        <f t="shared" si="2253"/>
        <v>0</v>
      </c>
      <c r="AW339" s="660">
        <f t="shared" si="2277"/>
        <v>0</v>
      </c>
      <c r="AX339" s="663">
        <f t="shared" ref="AX339" si="2502">IF(AP339=0,0,AL339+AT339/$J$19*c_Hurdle3.Share_GP)</f>
        <v>0</v>
      </c>
      <c r="AY339" s="663">
        <f t="shared" si="2279"/>
        <v>0</v>
      </c>
      <c r="AZ339" s="660">
        <f t="shared" si="2299"/>
        <v>0</v>
      </c>
      <c r="BA339" s="521"/>
      <c r="BB339" s="660">
        <f t="shared" si="2494"/>
        <v>0</v>
      </c>
      <c r="BC339" s="660">
        <f t="shared" ref="BC339" si="2503">$AZ339*c_Residual.Share_GP</f>
        <v>0</v>
      </c>
      <c r="BD339" s="651"/>
      <c r="BE339" s="660">
        <f t="shared" si="2281"/>
        <v>0</v>
      </c>
      <c r="BF339" s="660">
        <f t="shared" si="2281"/>
        <v>0</v>
      </c>
      <c r="BG339" s="660">
        <f t="shared" si="2256"/>
        <v>0</v>
      </c>
      <c r="BI339" s="660">
        <v>0</v>
      </c>
      <c r="BJ339" s="660">
        <v>0</v>
      </c>
      <c r="BK339" s="660">
        <v>0</v>
      </c>
      <c r="BL339" s="660">
        <f t="shared" si="2282"/>
        <v>0</v>
      </c>
      <c r="BM339" s="660">
        <f t="shared" si="2282"/>
        <v>0</v>
      </c>
      <c r="BN339" s="660">
        <f t="shared" si="2283"/>
        <v>0</v>
      </c>
      <c r="BO339" s="660">
        <f t="shared" si="2283"/>
        <v>0</v>
      </c>
      <c r="BP339" s="660">
        <f t="shared" si="2284"/>
        <v>0</v>
      </c>
      <c r="BQ339" s="660">
        <f t="shared" si="2284"/>
        <v>0</v>
      </c>
      <c r="BR339" s="660">
        <v>0</v>
      </c>
      <c r="BS339" s="660">
        <v>0</v>
      </c>
      <c r="BT339" s="660">
        <f t="shared" si="2257"/>
        <v>0</v>
      </c>
      <c r="BU339" s="660">
        <f t="shared" si="2257"/>
        <v>0</v>
      </c>
      <c r="BX339" s="660">
        <v>0</v>
      </c>
      <c r="BY339" s="660">
        <f t="shared" si="2285"/>
        <v>0</v>
      </c>
      <c r="BZ339" s="660">
        <f t="shared" si="2258"/>
        <v>0</v>
      </c>
      <c r="CA339" s="660">
        <f t="shared" si="2259"/>
        <v>0</v>
      </c>
      <c r="CB339" s="660">
        <f t="shared" si="2260"/>
        <v>0</v>
      </c>
      <c r="CC339" s="660">
        <f t="shared" si="2261"/>
        <v>0</v>
      </c>
      <c r="CD339" s="660">
        <f t="shared" si="2286"/>
        <v>0</v>
      </c>
    </row>
    <row r="340" spans="4:82" ht="16" hidden="1" thickTop="1" thickBot="1">
      <c r="D340" s="653"/>
      <c r="E340" s="654"/>
      <c r="F340" s="655" t="str">
        <f t="shared" si="2262"/>
        <v/>
      </c>
      <c r="G340" s="656"/>
      <c r="I340" s="658">
        <f t="shared" si="2263"/>
        <v>0</v>
      </c>
      <c r="J340" s="658">
        <f t="shared" ref="J340" si="2504">IF($G340=0,0,-MIN(0,G340*c_EquityShare.LP))</f>
        <v>0</v>
      </c>
      <c r="K340" s="658">
        <f t="shared" ref="K340" si="2505">I340*c_Rate.Pref_MO</f>
        <v>0</v>
      </c>
      <c r="L340" s="658">
        <f t="shared" si="2239"/>
        <v>0</v>
      </c>
      <c r="M340" s="658">
        <f t="shared" si="2266"/>
        <v>0</v>
      </c>
      <c r="N340" s="658">
        <f t="shared" si="2289"/>
        <v>0</v>
      </c>
      <c r="O340" s="658" cm="1">
        <f t="array" ref="O340">IF(I340=0,0,IF(G340&lt;0,N340/c_EquityShare.LP*i_EquityShare.GP,L340/c_EquityShare.LP*i_EquityShare.GP))</f>
        <v>0</v>
      </c>
      <c r="P340" s="658">
        <f t="shared" si="2267"/>
        <v>0</v>
      </c>
      <c r="Q340" s="658">
        <f t="shared" si="2240"/>
        <v>0</v>
      </c>
      <c r="R340" s="521"/>
      <c r="S340" s="660">
        <f t="shared" si="2268"/>
        <v>0</v>
      </c>
      <c r="T340" s="663" cm="1">
        <f t="array" ref="T340">IF($G340=0,0,-MIN(0,$G340*c_EquityShare.LP))</f>
        <v>0</v>
      </c>
      <c r="U340" s="663" cm="1">
        <f t="array" ref="U340">IF($D340=0,0,S340*c_Rate.Hurdle1.MO)</f>
        <v>0</v>
      </c>
      <c r="V340" s="660">
        <f t="shared" si="2290"/>
        <v>0</v>
      </c>
      <c r="W340" s="660">
        <f t="shared" si="2269"/>
        <v>0</v>
      </c>
      <c r="X340" s="663">
        <f t="shared" si="2291"/>
        <v>0</v>
      </c>
      <c r="Y340" s="663">
        <f t="shared" si="2270"/>
        <v>0</v>
      </c>
      <c r="Z340" s="663">
        <f t="shared" ref="Z340" si="2506">IF(S340=0,0,O340+W340/$J$17*c_Hurdle1.Share_GP)</f>
        <v>0</v>
      </c>
      <c r="AA340" s="663">
        <f t="shared" si="2242"/>
        <v>0</v>
      </c>
      <c r="AB340" s="660">
        <f t="shared" si="2293"/>
        <v>0</v>
      </c>
      <c r="AC340" s="521"/>
      <c r="AD340" s="663">
        <f t="shared" si="2432"/>
        <v>0</v>
      </c>
      <c r="AE340" s="663">
        <f t="shared" ref="AE340" si="2507">IF($G340=0,0,-MIN(0,$G340*c_EquityShare.LP))</f>
        <v>0</v>
      </c>
      <c r="AF340" s="663" cm="1">
        <f t="array" ref="AF340">IF($D340=0,0,AD340*(c_Rate.Hurdle2.MO))</f>
        <v>0</v>
      </c>
      <c r="AG340" s="663">
        <f t="shared" si="2244"/>
        <v>0</v>
      </c>
      <c r="AH340" s="663">
        <f t="shared" si="2273"/>
        <v>0</v>
      </c>
      <c r="AI340" s="663">
        <f t="shared" si="2245"/>
        <v>0</v>
      </c>
      <c r="AJ340" s="664">
        <f t="shared" si="2246"/>
        <v>0</v>
      </c>
      <c r="AK340" s="660">
        <f t="shared" si="2247"/>
        <v>0</v>
      </c>
      <c r="AL340" s="663">
        <f t="shared" ref="AL340" si="2508">IF(AD340=0,0,Z340+AH340/$J$18*c_Hurdle2.Share_GP)</f>
        <v>0</v>
      </c>
      <c r="AM340" s="663">
        <f t="shared" si="2249"/>
        <v>0</v>
      </c>
      <c r="AN340" s="660">
        <f t="shared" si="2296"/>
        <v>0</v>
      </c>
      <c r="AO340" s="521"/>
      <c r="AP340" s="663">
        <f t="shared" si="2435"/>
        <v>0</v>
      </c>
      <c r="AQ340" s="663">
        <f t="shared" ref="AQ340" si="2509">IF($G340=0,0,-MIN(0,$G340*c_EquityShare.LP))</f>
        <v>0</v>
      </c>
      <c r="AR340" s="663" cm="1">
        <f t="array" ref="AR340">IF($D340=0,0,AP340*(c_Rate.Hurdle3.MO))</f>
        <v>0</v>
      </c>
      <c r="AS340" s="663">
        <f t="shared" si="2251"/>
        <v>0</v>
      </c>
      <c r="AT340" s="663">
        <f t="shared" si="2276"/>
        <v>0</v>
      </c>
      <c r="AU340" s="663">
        <f t="shared" si="2252"/>
        <v>0</v>
      </c>
      <c r="AV340" s="664">
        <f t="shared" si="2253"/>
        <v>0</v>
      </c>
      <c r="AW340" s="660">
        <f t="shared" si="2277"/>
        <v>0</v>
      </c>
      <c r="AX340" s="663">
        <f t="shared" ref="AX340" si="2510">IF(AP340=0,0,AL340+AT340/$J$19*c_Hurdle3.Share_GP)</f>
        <v>0</v>
      </c>
      <c r="AY340" s="663">
        <f t="shared" si="2279"/>
        <v>0</v>
      </c>
      <c r="AZ340" s="660">
        <f t="shared" si="2299"/>
        <v>0</v>
      </c>
      <c r="BA340" s="521"/>
      <c r="BB340" s="660">
        <f t="shared" si="2494"/>
        <v>0</v>
      </c>
      <c r="BC340" s="660">
        <f t="shared" ref="BC340" si="2511">$AZ340*c_Residual.Share_GP</f>
        <v>0</v>
      </c>
      <c r="BD340" s="651"/>
      <c r="BE340" s="660">
        <f t="shared" si="2281"/>
        <v>0</v>
      </c>
      <c r="BF340" s="660">
        <f t="shared" si="2281"/>
        <v>0</v>
      </c>
      <c r="BG340" s="660">
        <f t="shared" si="2256"/>
        <v>0</v>
      </c>
      <c r="BI340" s="660">
        <v>0</v>
      </c>
      <c r="BJ340" s="660">
        <v>0</v>
      </c>
      <c r="BK340" s="660">
        <v>0</v>
      </c>
      <c r="BL340" s="660">
        <f t="shared" si="2282"/>
        <v>0</v>
      </c>
      <c r="BM340" s="660">
        <f t="shared" si="2282"/>
        <v>0</v>
      </c>
      <c r="BN340" s="660">
        <f t="shared" si="2283"/>
        <v>0</v>
      </c>
      <c r="BO340" s="660">
        <f t="shared" si="2283"/>
        <v>0</v>
      </c>
      <c r="BP340" s="660">
        <f t="shared" si="2284"/>
        <v>0</v>
      </c>
      <c r="BQ340" s="660">
        <f t="shared" si="2284"/>
        <v>0</v>
      </c>
      <c r="BR340" s="660">
        <v>0</v>
      </c>
      <c r="BS340" s="660">
        <v>0</v>
      </c>
      <c r="BT340" s="660">
        <f t="shared" si="2257"/>
        <v>0</v>
      </c>
      <c r="BU340" s="660">
        <f t="shared" si="2257"/>
        <v>0</v>
      </c>
      <c r="BX340" s="660">
        <v>0</v>
      </c>
      <c r="BY340" s="660">
        <f t="shared" si="2285"/>
        <v>0</v>
      </c>
      <c r="BZ340" s="660">
        <f t="shared" si="2258"/>
        <v>0</v>
      </c>
      <c r="CA340" s="660">
        <f t="shared" si="2259"/>
        <v>0</v>
      </c>
      <c r="CB340" s="660">
        <f t="shared" si="2260"/>
        <v>0</v>
      </c>
      <c r="CC340" s="660">
        <f t="shared" si="2261"/>
        <v>0</v>
      </c>
      <c r="CD340" s="660">
        <f t="shared" si="2286"/>
        <v>0</v>
      </c>
    </row>
    <row r="341" spans="4:82" ht="16" hidden="1" thickTop="1" thickBot="1">
      <c r="D341" s="653"/>
      <c r="E341" s="654"/>
      <c r="F341" s="655" t="str">
        <f t="shared" si="2262"/>
        <v/>
      </c>
      <c r="G341" s="656"/>
      <c r="I341" s="658">
        <f t="shared" si="2263"/>
        <v>0</v>
      </c>
      <c r="J341" s="658">
        <f t="shared" ref="J341" si="2512">IF($G341=0,0,-MIN(0,G341*c_EquityShare.LP))</f>
        <v>0</v>
      </c>
      <c r="K341" s="658">
        <f t="shared" ref="K341" si="2513">I341*c_Rate.Pref_MO</f>
        <v>0</v>
      </c>
      <c r="L341" s="658">
        <f t="shared" si="2239"/>
        <v>0</v>
      </c>
      <c r="M341" s="658">
        <f t="shared" si="2266"/>
        <v>0</v>
      </c>
      <c r="N341" s="658">
        <f t="shared" si="2289"/>
        <v>0</v>
      </c>
      <c r="O341" s="658" cm="1">
        <f t="array" ref="O341">IF(I341=0,0,IF(G341&lt;0,N341/c_EquityShare.LP*i_EquityShare.GP,L341/c_EquityShare.LP*i_EquityShare.GP))</f>
        <v>0</v>
      </c>
      <c r="P341" s="658">
        <f t="shared" si="2267"/>
        <v>0</v>
      </c>
      <c r="Q341" s="658">
        <f t="shared" si="2240"/>
        <v>0</v>
      </c>
      <c r="R341" s="521"/>
      <c r="S341" s="660">
        <f t="shared" si="2268"/>
        <v>0</v>
      </c>
      <c r="T341" s="663" cm="1">
        <f t="array" ref="T341">IF($G341=0,0,-MIN(0,$G341*c_EquityShare.LP))</f>
        <v>0</v>
      </c>
      <c r="U341" s="663" cm="1">
        <f t="array" ref="U341">IF($D341=0,0,S341*c_Rate.Hurdle1.MO)</f>
        <v>0</v>
      </c>
      <c r="V341" s="660">
        <f t="shared" si="2290"/>
        <v>0</v>
      </c>
      <c r="W341" s="660">
        <f t="shared" si="2269"/>
        <v>0</v>
      </c>
      <c r="X341" s="663">
        <f t="shared" si="2291"/>
        <v>0</v>
      </c>
      <c r="Y341" s="663">
        <f t="shared" si="2270"/>
        <v>0</v>
      </c>
      <c r="Z341" s="663">
        <f t="shared" ref="Z341" si="2514">IF(S341=0,0,O341+W341/$J$17*c_Hurdle1.Share_GP)</f>
        <v>0</v>
      </c>
      <c r="AA341" s="663">
        <f t="shared" si="2242"/>
        <v>0</v>
      </c>
      <c r="AB341" s="660">
        <f t="shared" si="2293"/>
        <v>0</v>
      </c>
      <c r="AC341" s="521"/>
      <c r="AD341" s="663">
        <f t="shared" si="2432"/>
        <v>0</v>
      </c>
      <c r="AE341" s="663">
        <f t="shared" ref="AE341" si="2515">IF($G341=0,0,-MIN(0,$G341*c_EquityShare.LP))</f>
        <v>0</v>
      </c>
      <c r="AF341" s="663" cm="1">
        <f t="array" ref="AF341">IF($D341=0,0,AD341*(c_Rate.Hurdle2.MO))</f>
        <v>0</v>
      </c>
      <c r="AG341" s="663">
        <f t="shared" si="2244"/>
        <v>0</v>
      </c>
      <c r="AH341" s="663">
        <f t="shared" si="2273"/>
        <v>0</v>
      </c>
      <c r="AI341" s="663">
        <f t="shared" si="2245"/>
        <v>0</v>
      </c>
      <c r="AJ341" s="664">
        <f t="shared" si="2246"/>
        <v>0</v>
      </c>
      <c r="AK341" s="660">
        <f t="shared" si="2247"/>
        <v>0</v>
      </c>
      <c r="AL341" s="663">
        <f t="shared" ref="AL341" si="2516">IF(AD341=0,0,Z341+AH341/$J$18*c_Hurdle2.Share_GP)</f>
        <v>0</v>
      </c>
      <c r="AM341" s="663">
        <f t="shared" si="2249"/>
        <v>0</v>
      </c>
      <c r="AN341" s="660">
        <f t="shared" si="2296"/>
        <v>0</v>
      </c>
      <c r="AO341" s="521"/>
      <c r="AP341" s="663">
        <f t="shared" si="2435"/>
        <v>0</v>
      </c>
      <c r="AQ341" s="663">
        <f t="shared" ref="AQ341" si="2517">IF($G341=0,0,-MIN(0,$G341*c_EquityShare.LP))</f>
        <v>0</v>
      </c>
      <c r="AR341" s="663" cm="1">
        <f t="array" ref="AR341">IF($D341=0,0,AP341*(c_Rate.Hurdle3.MO))</f>
        <v>0</v>
      </c>
      <c r="AS341" s="663">
        <f t="shared" si="2251"/>
        <v>0</v>
      </c>
      <c r="AT341" s="663">
        <f t="shared" si="2276"/>
        <v>0</v>
      </c>
      <c r="AU341" s="663">
        <f t="shared" si="2252"/>
        <v>0</v>
      </c>
      <c r="AV341" s="664">
        <f t="shared" si="2253"/>
        <v>0</v>
      </c>
      <c r="AW341" s="660">
        <f t="shared" si="2277"/>
        <v>0</v>
      </c>
      <c r="AX341" s="663">
        <f t="shared" ref="AX341" si="2518">IF(AP341=0,0,AL341+AT341/$J$19*c_Hurdle3.Share_GP)</f>
        <v>0</v>
      </c>
      <c r="AY341" s="663">
        <f t="shared" si="2279"/>
        <v>0</v>
      </c>
      <c r="AZ341" s="660">
        <f t="shared" si="2299"/>
        <v>0</v>
      </c>
      <c r="BA341" s="521"/>
      <c r="BB341" s="660">
        <f t="shared" si="2494"/>
        <v>0</v>
      </c>
      <c r="BC341" s="660">
        <f t="shared" ref="BC341" si="2519">$AZ341*c_Residual.Share_GP</f>
        <v>0</v>
      </c>
      <c r="BD341" s="651"/>
      <c r="BE341" s="660">
        <f t="shared" si="2281"/>
        <v>0</v>
      </c>
      <c r="BF341" s="660">
        <f t="shared" si="2281"/>
        <v>0</v>
      </c>
      <c r="BG341" s="660">
        <f t="shared" si="2256"/>
        <v>0</v>
      </c>
      <c r="BI341" s="660">
        <v>0</v>
      </c>
      <c r="BJ341" s="660">
        <v>0</v>
      </c>
      <c r="BK341" s="660">
        <v>0</v>
      </c>
      <c r="BL341" s="660">
        <f t="shared" si="2282"/>
        <v>0</v>
      </c>
      <c r="BM341" s="660">
        <f t="shared" si="2282"/>
        <v>0</v>
      </c>
      <c r="BN341" s="660">
        <f t="shared" si="2283"/>
        <v>0</v>
      </c>
      <c r="BO341" s="660">
        <f t="shared" si="2283"/>
        <v>0</v>
      </c>
      <c r="BP341" s="660">
        <f t="shared" si="2284"/>
        <v>0</v>
      </c>
      <c r="BQ341" s="660">
        <f t="shared" si="2284"/>
        <v>0</v>
      </c>
      <c r="BR341" s="660">
        <v>0</v>
      </c>
      <c r="BS341" s="660">
        <v>0</v>
      </c>
      <c r="BT341" s="660">
        <f t="shared" si="2257"/>
        <v>0</v>
      </c>
      <c r="BU341" s="660">
        <f t="shared" si="2257"/>
        <v>0</v>
      </c>
      <c r="BX341" s="660">
        <v>0</v>
      </c>
      <c r="BY341" s="660">
        <f t="shared" si="2285"/>
        <v>0</v>
      </c>
      <c r="BZ341" s="660">
        <f t="shared" si="2258"/>
        <v>0</v>
      </c>
      <c r="CA341" s="660">
        <f t="shared" si="2259"/>
        <v>0</v>
      </c>
      <c r="CB341" s="660">
        <f t="shared" si="2260"/>
        <v>0</v>
      </c>
      <c r="CC341" s="660">
        <f t="shared" si="2261"/>
        <v>0</v>
      </c>
      <c r="CD341" s="660">
        <f t="shared" si="2286"/>
        <v>0</v>
      </c>
    </row>
    <row r="342" spans="4:82" ht="16" hidden="1" thickTop="1" thickBot="1">
      <c r="D342" s="653"/>
      <c r="E342" s="654"/>
      <c r="F342" s="655" t="str">
        <f t="shared" si="2262"/>
        <v/>
      </c>
      <c r="G342" s="656"/>
      <c r="I342" s="658">
        <f t="shared" si="2263"/>
        <v>0</v>
      </c>
      <c r="J342" s="658">
        <f t="shared" ref="J342" si="2520">IF($G342=0,0,-MIN(0,G342*c_EquityShare.LP))</f>
        <v>0</v>
      </c>
      <c r="K342" s="658">
        <f t="shared" ref="K342" si="2521">I342*c_Rate.Pref_MO</f>
        <v>0</v>
      </c>
      <c r="L342" s="658">
        <f t="shared" si="2239"/>
        <v>0</v>
      </c>
      <c r="M342" s="658">
        <f t="shared" si="2266"/>
        <v>0</v>
      </c>
      <c r="N342" s="658">
        <f t="shared" si="2289"/>
        <v>0</v>
      </c>
      <c r="O342" s="658" cm="1">
        <f t="array" ref="O342">IF(I342=0,0,IF(G342&lt;0,N342/c_EquityShare.LP*i_EquityShare.GP,L342/c_EquityShare.LP*i_EquityShare.GP))</f>
        <v>0</v>
      </c>
      <c r="P342" s="658">
        <f t="shared" si="2267"/>
        <v>0</v>
      </c>
      <c r="Q342" s="658">
        <f t="shared" si="2240"/>
        <v>0</v>
      </c>
      <c r="R342" s="521"/>
      <c r="S342" s="660">
        <f t="shared" si="2268"/>
        <v>0</v>
      </c>
      <c r="T342" s="663" cm="1">
        <f t="array" ref="T342">IF($G342=0,0,-MIN(0,$G342*c_EquityShare.LP))</f>
        <v>0</v>
      </c>
      <c r="U342" s="663" cm="1">
        <f t="array" ref="U342">IF($D342=0,0,S342*c_Rate.Hurdle1.MO)</f>
        <v>0</v>
      </c>
      <c r="V342" s="660">
        <f t="shared" si="2290"/>
        <v>0</v>
      </c>
      <c r="W342" s="660">
        <f t="shared" si="2269"/>
        <v>0</v>
      </c>
      <c r="X342" s="663">
        <f t="shared" si="2291"/>
        <v>0</v>
      </c>
      <c r="Y342" s="663">
        <f t="shared" si="2270"/>
        <v>0</v>
      </c>
      <c r="Z342" s="663">
        <f t="shared" ref="Z342" si="2522">IF(S342=0,0,O342+W342/$J$17*c_Hurdle1.Share_GP)</f>
        <v>0</v>
      </c>
      <c r="AA342" s="663">
        <f t="shared" si="2242"/>
        <v>0</v>
      </c>
      <c r="AB342" s="660">
        <f t="shared" si="2293"/>
        <v>0</v>
      </c>
      <c r="AC342" s="521"/>
      <c r="AD342" s="663">
        <f t="shared" si="2432"/>
        <v>0</v>
      </c>
      <c r="AE342" s="663">
        <f t="shared" ref="AE342" si="2523">IF($G342=0,0,-MIN(0,$G342*c_EquityShare.LP))</f>
        <v>0</v>
      </c>
      <c r="AF342" s="663" cm="1">
        <f t="array" ref="AF342">IF($D342=0,0,AD342*(c_Rate.Hurdle2.MO))</f>
        <v>0</v>
      </c>
      <c r="AG342" s="663">
        <f t="shared" si="2244"/>
        <v>0</v>
      </c>
      <c r="AH342" s="663">
        <f t="shared" si="2273"/>
        <v>0</v>
      </c>
      <c r="AI342" s="663">
        <f t="shared" si="2245"/>
        <v>0</v>
      </c>
      <c r="AJ342" s="664">
        <f t="shared" si="2246"/>
        <v>0</v>
      </c>
      <c r="AK342" s="660">
        <f t="shared" si="2247"/>
        <v>0</v>
      </c>
      <c r="AL342" s="663">
        <f t="shared" ref="AL342" si="2524">IF(AD342=0,0,Z342+AH342/$J$18*c_Hurdle2.Share_GP)</f>
        <v>0</v>
      </c>
      <c r="AM342" s="663">
        <f t="shared" si="2249"/>
        <v>0</v>
      </c>
      <c r="AN342" s="660">
        <f t="shared" si="2296"/>
        <v>0</v>
      </c>
      <c r="AO342" s="521"/>
      <c r="AP342" s="663">
        <f t="shared" si="2435"/>
        <v>0</v>
      </c>
      <c r="AQ342" s="663">
        <f t="shared" ref="AQ342" si="2525">IF($G342=0,0,-MIN(0,$G342*c_EquityShare.LP))</f>
        <v>0</v>
      </c>
      <c r="AR342" s="663" cm="1">
        <f t="array" ref="AR342">IF($D342=0,0,AP342*(c_Rate.Hurdle3.MO))</f>
        <v>0</v>
      </c>
      <c r="AS342" s="663">
        <f t="shared" si="2251"/>
        <v>0</v>
      </c>
      <c r="AT342" s="663">
        <f t="shared" si="2276"/>
        <v>0</v>
      </c>
      <c r="AU342" s="663">
        <f t="shared" si="2252"/>
        <v>0</v>
      </c>
      <c r="AV342" s="664">
        <f t="shared" si="2253"/>
        <v>0</v>
      </c>
      <c r="AW342" s="660">
        <f t="shared" si="2277"/>
        <v>0</v>
      </c>
      <c r="AX342" s="663">
        <f t="shared" ref="AX342" si="2526">IF(AP342=0,0,AL342+AT342/$J$19*c_Hurdle3.Share_GP)</f>
        <v>0</v>
      </c>
      <c r="AY342" s="663">
        <f t="shared" si="2279"/>
        <v>0</v>
      </c>
      <c r="AZ342" s="660">
        <f t="shared" si="2299"/>
        <v>0</v>
      </c>
      <c r="BA342" s="521"/>
      <c r="BB342" s="660">
        <f t="shared" si="2494"/>
        <v>0</v>
      </c>
      <c r="BC342" s="660">
        <f t="shared" ref="BC342" si="2527">$AZ342*c_Residual.Share_GP</f>
        <v>0</v>
      </c>
      <c r="BD342" s="651"/>
      <c r="BE342" s="660">
        <f t="shared" si="2281"/>
        <v>0</v>
      </c>
      <c r="BF342" s="660">
        <f t="shared" si="2281"/>
        <v>0</v>
      </c>
      <c r="BG342" s="660">
        <f t="shared" si="2256"/>
        <v>0</v>
      </c>
      <c r="BI342" s="660">
        <v>0</v>
      </c>
      <c r="BJ342" s="660">
        <v>0</v>
      </c>
      <c r="BK342" s="660">
        <v>0</v>
      </c>
      <c r="BL342" s="660">
        <f t="shared" si="2282"/>
        <v>0</v>
      </c>
      <c r="BM342" s="660">
        <f t="shared" si="2282"/>
        <v>0</v>
      </c>
      <c r="BN342" s="660">
        <f t="shared" si="2283"/>
        <v>0</v>
      </c>
      <c r="BO342" s="660">
        <f t="shared" si="2283"/>
        <v>0</v>
      </c>
      <c r="BP342" s="660">
        <f t="shared" si="2284"/>
        <v>0</v>
      </c>
      <c r="BQ342" s="660">
        <f t="shared" si="2284"/>
        <v>0</v>
      </c>
      <c r="BR342" s="660">
        <v>0</v>
      </c>
      <c r="BS342" s="660">
        <v>0</v>
      </c>
      <c r="BT342" s="660">
        <f t="shared" si="2257"/>
        <v>0</v>
      </c>
      <c r="BU342" s="660">
        <f t="shared" si="2257"/>
        <v>0</v>
      </c>
      <c r="BX342" s="660">
        <v>0</v>
      </c>
      <c r="BY342" s="660">
        <f t="shared" si="2285"/>
        <v>0</v>
      </c>
      <c r="BZ342" s="660">
        <f t="shared" si="2258"/>
        <v>0</v>
      </c>
      <c r="CA342" s="660">
        <f t="shared" si="2259"/>
        <v>0</v>
      </c>
      <c r="CB342" s="660">
        <f t="shared" si="2260"/>
        <v>0</v>
      </c>
      <c r="CC342" s="660">
        <f t="shared" si="2261"/>
        <v>0</v>
      </c>
      <c r="CD342" s="660">
        <f t="shared" si="2286"/>
        <v>0</v>
      </c>
    </row>
    <row r="343" spans="4:82" ht="16" hidden="1" thickTop="1" thickBot="1">
      <c r="D343" s="653"/>
      <c r="E343" s="654"/>
      <c r="F343" s="655" t="str">
        <f t="shared" si="2262"/>
        <v/>
      </c>
      <c r="G343" s="656"/>
      <c r="I343" s="658">
        <f t="shared" si="2263"/>
        <v>0</v>
      </c>
      <c r="J343" s="658">
        <f t="shared" ref="J343" si="2528">IF($G343=0,0,-MIN(0,G343*c_EquityShare.LP))</f>
        <v>0</v>
      </c>
      <c r="K343" s="658">
        <f t="shared" ref="K343" si="2529">I343*c_Rate.Pref_MO</f>
        <v>0</v>
      </c>
      <c r="L343" s="658">
        <f t="shared" si="2239"/>
        <v>0</v>
      </c>
      <c r="M343" s="658">
        <f t="shared" si="2266"/>
        <v>0</v>
      </c>
      <c r="N343" s="658">
        <f t="shared" si="2289"/>
        <v>0</v>
      </c>
      <c r="O343" s="658" cm="1">
        <f t="array" ref="O343">IF(I343=0,0,IF(G343&lt;0,N343/c_EquityShare.LP*i_EquityShare.GP,L343/c_EquityShare.LP*i_EquityShare.GP))</f>
        <v>0</v>
      </c>
      <c r="P343" s="658">
        <f t="shared" si="2267"/>
        <v>0</v>
      </c>
      <c r="Q343" s="658">
        <f t="shared" si="2240"/>
        <v>0</v>
      </c>
      <c r="R343" s="521"/>
      <c r="S343" s="660">
        <f t="shared" si="2268"/>
        <v>0</v>
      </c>
      <c r="T343" s="663" cm="1">
        <f t="array" ref="T343">IF($G343=0,0,-MIN(0,$G343*c_EquityShare.LP))</f>
        <v>0</v>
      </c>
      <c r="U343" s="663" cm="1">
        <f t="array" ref="U343">IF($D343=0,0,S343*c_Rate.Hurdle1.MO)</f>
        <v>0</v>
      </c>
      <c r="V343" s="660">
        <f t="shared" si="2290"/>
        <v>0</v>
      </c>
      <c r="W343" s="660">
        <f t="shared" si="2269"/>
        <v>0</v>
      </c>
      <c r="X343" s="663">
        <f t="shared" si="2291"/>
        <v>0</v>
      </c>
      <c r="Y343" s="663">
        <f t="shared" si="2270"/>
        <v>0</v>
      </c>
      <c r="Z343" s="663">
        <f t="shared" ref="Z343" si="2530">IF(S343=0,0,O343+W343/$J$17*c_Hurdle1.Share_GP)</f>
        <v>0</v>
      </c>
      <c r="AA343" s="663">
        <f t="shared" si="2242"/>
        <v>0</v>
      </c>
      <c r="AB343" s="660">
        <f t="shared" si="2293"/>
        <v>0</v>
      </c>
      <c r="AC343" s="521"/>
      <c r="AD343" s="663">
        <f t="shared" si="2432"/>
        <v>0</v>
      </c>
      <c r="AE343" s="663">
        <f t="shared" ref="AE343" si="2531">IF($G343=0,0,-MIN(0,$G343*c_EquityShare.LP))</f>
        <v>0</v>
      </c>
      <c r="AF343" s="663" cm="1">
        <f t="array" ref="AF343">IF($D343=0,0,AD343*(c_Rate.Hurdle2.MO))</f>
        <v>0</v>
      </c>
      <c r="AG343" s="663">
        <f t="shared" si="2244"/>
        <v>0</v>
      </c>
      <c r="AH343" s="663">
        <f t="shared" si="2273"/>
        <v>0</v>
      </c>
      <c r="AI343" s="663">
        <f t="shared" si="2245"/>
        <v>0</v>
      </c>
      <c r="AJ343" s="664">
        <f t="shared" si="2246"/>
        <v>0</v>
      </c>
      <c r="AK343" s="660">
        <f t="shared" si="2247"/>
        <v>0</v>
      </c>
      <c r="AL343" s="663">
        <f t="shared" ref="AL343" si="2532">IF(AD343=0,0,Z343+AH343/$J$18*c_Hurdle2.Share_GP)</f>
        <v>0</v>
      </c>
      <c r="AM343" s="663">
        <f t="shared" si="2249"/>
        <v>0</v>
      </c>
      <c r="AN343" s="660">
        <f t="shared" si="2296"/>
        <v>0</v>
      </c>
      <c r="AO343" s="521"/>
      <c r="AP343" s="663">
        <f t="shared" si="2435"/>
        <v>0</v>
      </c>
      <c r="AQ343" s="663">
        <f t="shared" ref="AQ343" si="2533">IF($G343=0,0,-MIN(0,$G343*c_EquityShare.LP))</f>
        <v>0</v>
      </c>
      <c r="AR343" s="663" cm="1">
        <f t="array" ref="AR343">IF($D343=0,0,AP343*(c_Rate.Hurdle3.MO))</f>
        <v>0</v>
      </c>
      <c r="AS343" s="663">
        <f t="shared" si="2251"/>
        <v>0</v>
      </c>
      <c r="AT343" s="663">
        <f t="shared" si="2276"/>
        <v>0</v>
      </c>
      <c r="AU343" s="663">
        <f t="shared" si="2252"/>
        <v>0</v>
      </c>
      <c r="AV343" s="664">
        <f t="shared" si="2253"/>
        <v>0</v>
      </c>
      <c r="AW343" s="660">
        <f t="shared" si="2277"/>
        <v>0</v>
      </c>
      <c r="AX343" s="663">
        <f t="shared" ref="AX343" si="2534">IF(AP343=0,0,AL343+AT343/$J$19*c_Hurdle3.Share_GP)</f>
        <v>0</v>
      </c>
      <c r="AY343" s="663">
        <f t="shared" si="2279"/>
        <v>0</v>
      </c>
      <c r="AZ343" s="660">
        <f t="shared" si="2299"/>
        <v>0</v>
      </c>
      <c r="BA343" s="521"/>
      <c r="BB343" s="660">
        <f t="shared" si="2494"/>
        <v>0</v>
      </c>
      <c r="BC343" s="660">
        <f t="shared" ref="BC343" si="2535">$AZ343*c_Residual.Share_GP</f>
        <v>0</v>
      </c>
      <c r="BD343" s="651"/>
      <c r="BE343" s="660">
        <f t="shared" si="2281"/>
        <v>0</v>
      </c>
      <c r="BF343" s="660">
        <f t="shared" si="2281"/>
        <v>0</v>
      </c>
      <c r="BG343" s="660">
        <f t="shared" si="2256"/>
        <v>0</v>
      </c>
      <c r="BI343" s="660">
        <v>0</v>
      </c>
      <c r="BJ343" s="660">
        <v>0</v>
      </c>
      <c r="BK343" s="660">
        <v>0</v>
      </c>
      <c r="BL343" s="660">
        <f t="shared" si="2282"/>
        <v>0</v>
      </c>
      <c r="BM343" s="660">
        <f t="shared" si="2282"/>
        <v>0</v>
      </c>
      <c r="BN343" s="660">
        <f t="shared" si="2283"/>
        <v>0</v>
      </c>
      <c r="BO343" s="660">
        <f t="shared" si="2283"/>
        <v>0</v>
      </c>
      <c r="BP343" s="660">
        <f t="shared" si="2284"/>
        <v>0</v>
      </c>
      <c r="BQ343" s="660">
        <f t="shared" si="2284"/>
        <v>0</v>
      </c>
      <c r="BR343" s="660">
        <v>0</v>
      </c>
      <c r="BS343" s="660">
        <v>0</v>
      </c>
      <c r="BT343" s="660">
        <f t="shared" si="2257"/>
        <v>0</v>
      </c>
      <c r="BU343" s="660">
        <f t="shared" si="2257"/>
        <v>0</v>
      </c>
      <c r="BX343" s="660">
        <v>0</v>
      </c>
      <c r="BY343" s="660">
        <f t="shared" si="2285"/>
        <v>0</v>
      </c>
      <c r="BZ343" s="660">
        <f t="shared" si="2258"/>
        <v>0</v>
      </c>
      <c r="CA343" s="660">
        <f t="shared" si="2259"/>
        <v>0</v>
      </c>
      <c r="CB343" s="660">
        <f t="shared" si="2260"/>
        <v>0</v>
      </c>
      <c r="CC343" s="660">
        <f t="shared" si="2261"/>
        <v>0</v>
      </c>
      <c r="CD343" s="660">
        <f t="shared" si="2286"/>
        <v>0</v>
      </c>
    </row>
    <row r="344" spans="4:82" ht="16" hidden="1" thickTop="1" thickBot="1">
      <c r="D344" s="653"/>
      <c r="E344" s="654"/>
      <c r="F344" s="655" t="str">
        <f t="shared" si="2262"/>
        <v/>
      </c>
      <c r="G344" s="656"/>
      <c r="I344" s="658">
        <f t="shared" si="2263"/>
        <v>0</v>
      </c>
      <c r="J344" s="658">
        <f t="shared" ref="J344" si="2536">IF($G344=0,0,-MIN(0,G344*c_EquityShare.LP))</f>
        <v>0</v>
      </c>
      <c r="K344" s="658">
        <f t="shared" ref="K344" si="2537">I344*c_Rate.Pref_MO</f>
        <v>0</v>
      </c>
      <c r="L344" s="658">
        <f t="shared" si="2239"/>
        <v>0</v>
      </c>
      <c r="M344" s="658">
        <f t="shared" si="2266"/>
        <v>0</v>
      </c>
      <c r="N344" s="658">
        <f t="shared" si="2289"/>
        <v>0</v>
      </c>
      <c r="O344" s="658" cm="1">
        <f t="array" ref="O344">IF(I344=0,0,IF(G344&lt;0,N344/c_EquityShare.LP*i_EquityShare.GP,L344/c_EquityShare.LP*i_EquityShare.GP))</f>
        <v>0</v>
      </c>
      <c r="P344" s="658">
        <f t="shared" si="2267"/>
        <v>0</v>
      </c>
      <c r="Q344" s="658">
        <f t="shared" si="2240"/>
        <v>0</v>
      </c>
      <c r="R344" s="521"/>
      <c r="S344" s="660">
        <f t="shared" si="2268"/>
        <v>0</v>
      </c>
      <c r="T344" s="663" cm="1">
        <f t="array" ref="T344">IF($G344=0,0,-MIN(0,$G344*c_EquityShare.LP))</f>
        <v>0</v>
      </c>
      <c r="U344" s="663" cm="1">
        <f t="array" ref="U344">IF($D344=0,0,S344*c_Rate.Hurdle1.MO)</f>
        <v>0</v>
      </c>
      <c r="V344" s="660">
        <f t="shared" si="2290"/>
        <v>0</v>
      </c>
      <c r="W344" s="660">
        <f t="shared" si="2269"/>
        <v>0</v>
      </c>
      <c r="X344" s="663">
        <f t="shared" si="2291"/>
        <v>0</v>
      </c>
      <c r="Y344" s="663">
        <f t="shared" si="2270"/>
        <v>0</v>
      </c>
      <c r="Z344" s="663">
        <f t="shared" ref="Z344" si="2538">IF(S344=0,0,O344+W344/$J$17*c_Hurdle1.Share_GP)</f>
        <v>0</v>
      </c>
      <c r="AA344" s="663">
        <f t="shared" si="2242"/>
        <v>0</v>
      </c>
      <c r="AB344" s="660">
        <f t="shared" si="2293"/>
        <v>0</v>
      </c>
      <c r="AC344" s="521"/>
      <c r="AD344" s="663">
        <f t="shared" si="2432"/>
        <v>0</v>
      </c>
      <c r="AE344" s="663">
        <f t="shared" ref="AE344" si="2539">IF($G344=0,0,-MIN(0,$G344*c_EquityShare.LP))</f>
        <v>0</v>
      </c>
      <c r="AF344" s="663" cm="1">
        <f t="array" ref="AF344">IF($D344=0,0,AD344*(c_Rate.Hurdle2.MO))</f>
        <v>0</v>
      </c>
      <c r="AG344" s="663">
        <f t="shared" si="2244"/>
        <v>0</v>
      </c>
      <c r="AH344" s="663">
        <f t="shared" si="2273"/>
        <v>0</v>
      </c>
      <c r="AI344" s="663">
        <f t="shared" si="2245"/>
        <v>0</v>
      </c>
      <c r="AJ344" s="664">
        <f t="shared" si="2246"/>
        <v>0</v>
      </c>
      <c r="AK344" s="660">
        <f t="shared" si="2247"/>
        <v>0</v>
      </c>
      <c r="AL344" s="663">
        <f t="shared" ref="AL344" si="2540">IF(AD344=0,0,Z344+AH344/$J$18*c_Hurdle2.Share_GP)</f>
        <v>0</v>
      </c>
      <c r="AM344" s="663">
        <f t="shared" si="2249"/>
        <v>0</v>
      </c>
      <c r="AN344" s="660">
        <f t="shared" si="2296"/>
        <v>0</v>
      </c>
      <c r="AO344" s="521"/>
      <c r="AP344" s="663">
        <f t="shared" si="2435"/>
        <v>0</v>
      </c>
      <c r="AQ344" s="663">
        <f t="shared" ref="AQ344" si="2541">IF($G344=0,0,-MIN(0,$G344*c_EquityShare.LP))</f>
        <v>0</v>
      </c>
      <c r="AR344" s="663" cm="1">
        <f t="array" ref="AR344">IF($D344=0,0,AP344*(c_Rate.Hurdle3.MO))</f>
        <v>0</v>
      </c>
      <c r="AS344" s="663">
        <f t="shared" si="2251"/>
        <v>0</v>
      </c>
      <c r="AT344" s="663">
        <f t="shared" si="2276"/>
        <v>0</v>
      </c>
      <c r="AU344" s="663">
        <f t="shared" si="2252"/>
        <v>0</v>
      </c>
      <c r="AV344" s="664">
        <f t="shared" si="2253"/>
        <v>0</v>
      </c>
      <c r="AW344" s="660">
        <f t="shared" si="2277"/>
        <v>0</v>
      </c>
      <c r="AX344" s="663">
        <f t="shared" ref="AX344" si="2542">IF(AP344=0,0,AL344+AT344/$J$19*c_Hurdle3.Share_GP)</f>
        <v>0</v>
      </c>
      <c r="AY344" s="663">
        <f t="shared" si="2279"/>
        <v>0</v>
      </c>
      <c r="AZ344" s="660">
        <f t="shared" si="2299"/>
        <v>0</v>
      </c>
      <c r="BA344" s="521"/>
      <c r="BB344" s="660">
        <f t="shared" si="2494"/>
        <v>0</v>
      </c>
      <c r="BC344" s="660">
        <f t="shared" ref="BC344" si="2543">$AZ344*c_Residual.Share_GP</f>
        <v>0</v>
      </c>
      <c r="BD344" s="651"/>
      <c r="BE344" s="660">
        <f t="shared" si="2281"/>
        <v>0</v>
      </c>
      <c r="BF344" s="660">
        <f t="shared" si="2281"/>
        <v>0</v>
      </c>
      <c r="BG344" s="660">
        <f t="shared" si="2256"/>
        <v>0</v>
      </c>
      <c r="BI344" s="660">
        <v>0</v>
      </c>
      <c r="BJ344" s="660">
        <v>0</v>
      </c>
      <c r="BK344" s="660">
        <v>0</v>
      </c>
      <c r="BL344" s="660">
        <f t="shared" si="2282"/>
        <v>0</v>
      </c>
      <c r="BM344" s="660">
        <f t="shared" si="2282"/>
        <v>0</v>
      </c>
      <c r="BN344" s="660">
        <f t="shared" si="2283"/>
        <v>0</v>
      </c>
      <c r="BO344" s="660">
        <f t="shared" si="2283"/>
        <v>0</v>
      </c>
      <c r="BP344" s="660">
        <f t="shared" si="2284"/>
        <v>0</v>
      </c>
      <c r="BQ344" s="660">
        <f t="shared" si="2284"/>
        <v>0</v>
      </c>
      <c r="BR344" s="660">
        <v>0</v>
      </c>
      <c r="BS344" s="660">
        <v>0</v>
      </c>
      <c r="BT344" s="660">
        <f t="shared" si="2257"/>
        <v>0</v>
      </c>
      <c r="BU344" s="660">
        <f t="shared" si="2257"/>
        <v>0</v>
      </c>
      <c r="BX344" s="660">
        <v>0</v>
      </c>
      <c r="BY344" s="660">
        <f t="shared" si="2285"/>
        <v>0</v>
      </c>
      <c r="BZ344" s="660">
        <f t="shared" si="2258"/>
        <v>0</v>
      </c>
      <c r="CA344" s="660">
        <f t="shared" si="2259"/>
        <v>0</v>
      </c>
      <c r="CB344" s="660">
        <f t="shared" si="2260"/>
        <v>0</v>
      </c>
      <c r="CC344" s="660">
        <f t="shared" si="2261"/>
        <v>0</v>
      </c>
      <c r="CD344" s="660">
        <f t="shared" si="2286"/>
        <v>0</v>
      </c>
    </row>
    <row r="345" spans="4:82" ht="16" hidden="1" thickTop="1" thickBot="1">
      <c r="D345" s="653"/>
      <c r="E345" s="654"/>
      <c r="F345" s="655" t="str">
        <f t="shared" si="2262"/>
        <v/>
      </c>
      <c r="G345" s="656"/>
      <c r="I345" s="658">
        <f t="shared" si="2263"/>
        <v>0</v>
      </c>
      <c r="J345" s="658">
        <f t="shared" ref="J345" si="2544">IF($G345=0,0,-MIN(0,G345*c_EquityShare.LP))</f>
        <v>0</v>
      </c>
      <c r="K345" s="658">
        <f t="shared" ref="K345" si="2545">I345*c_Rate.Pref_MO</f>
        <v>0</v>
      </c>
      <c r="L345" s="658">
        <f t="shared" si="2239"/>
        <v>0</v>
      </c>
      <c r="M345" s="658">
        <f t="shared" si="2266"/>
        <v>0</v>
      </c>
      <c r="N345" s="658">
        <f t="shared" si="2289"/>
        <v>0</v>
      </c>
      <c r="O345" s="658" cm="1">
        <f t="array" ref="O345">IF(I345=0,0,IF(G345&lt;0,N345/c_EquityShare.LP*i_EquityShare.GP,L345/c_EquityShare.LP*i_EquityShare.GP))</f>
        <v>0</v>
      </c>
      <c r="P345" s="658">
        <f t="shared" si="2267"/>
        <v>0</v>
      </c>
      <c r="Q345" s="658">
        <f t="shared" si="2240"/>
        <v>0</v>
      </c>
      <c r="R345" s="521"/>
      <c r="S345" s="660">
        <f t="shared" si="2268"/>
        <v>0</v>
      </c>
      <c r="T345" s="663" cm="1">
        <f t="array" ref="T345">IF($G345=0,0,-MIN(0,$G345*c_EquityShare.LP))</f>
        <v>0</v>
      </c>
      <c r="U345" s="663" cm="1">
        <f t="array" ref="U345">IF($D345=0,0,S345*c_Rate.Hurdle1.MO)</f>
        <v>0</v>
      </c>
      <c r="V345" s="660">
        <f t="shared" si="2290"/>
        <v>0</v>
      </c>
      <c r="W345" s="660">
        <f t="shared" si="2269"/>
        <v>0</v>
      </c>
      <c r="X345" s="663">
        <f t="shared" si="2291"/>
        <v>0</v>
      </c>
      <c r="Y345" s="663">
        <f t="shared" si="2270"/>
        <v>0</v>
      </c>
      <c r="Z345" s="663">
        <f t="shared" ref="Z345" si="2546">IF(S345=0,0,O345+W345/$J$17*c_Hurdle1.Share_GP)</f>
        <v>0</v>
      </c>
      <c r="AA345" s="663">
        <f t="shared" si="2242"/>
        <v>0</v>
      </c>
      <c r="AB345" s="660">
        <f t="shared" si="2293"/>
        <v>0</v>
      </c>
      <c r="AC345" s="521"/>
      <c r="AD345" s="663">
        <f t="shared" si="2432"/>
        <v>0</v>
      </c>
      <c r="AE345" s="663">
        <f t="shared" ref="AE345" si="2547">IF($G345=0,0,-MIN(0,$G345*c_EquityShare.LP))</f>
        <v>0</v>
      </c>
      <c r="AF345" s="663" cm="1">
        <f t="array" ref="AF345">IF($D345=0,0,AD345*(c_Rate.Hurdle2.MO))</f>
        <v>0</v>
      </c>
      <c r="AG345" s="663">
        <f t="shared" si="2244"/>
        <v>0</v>
      </c>
      <c r="AH345" s="663">
        <f t="shared" si="2273"/>
        <v>0</v>
      </c>
      <c r="AI345" s="663">
        <f t="shared" si="2245"/>
        <v>0</v>
      </c>
      <c r="AJ345" s="664">
        <f t="shared" si="2246"/>
        <v>0</v>
      </c>
      <c r="AK345" s="660">
        <f t="shared" si="2247"/>
        <v>0</v>
      </c>
      <c r="AL345" s="663">
        <f t="shared" ref="AL345" si="2548">IF(AD345=0,0,Z345+AH345/$J$18*c_Hurdle2.Share_GP)</f>
        <v>0</v>
      </c>
      <c r="AM345" s="663">
        <f t="shared" si="2249"/>
        <v>0</v>
      </c>
      <c r="AN345" s="660">
        <f t="shared" si="2296"/>
        <v>0</v>
      </c>
      <c r="AO345" s="521"/>
      <c r="AP345" s="663">
        <f t="shared" si="2435"/>
        <v>0</v>
      </c>
      <c r="AQ345" s="663">
        <f t="shared" ref="AQ345" si="2549">IF($G345=0,0,-MIN(0,$G345*c_EquityShare.LP))</f>
        <v>0</v>
      </c>
      <c r="AR345" s="663" cm="1">
        <f t="array" ref="AR345">IF($D345=0,0,AP345*(c_Rate.Hurdle3.MO))</f>
        <v>0</v>
      </c>
      <c r="AS345" s="663">
        <f t="shared" si="2251"/>
        <v>0</v>
      </c>
      <c r="AT345" s="663">
        <f t="shared" si="2276"/>
        <v>0</v>
      </c>
      <c r="AU345" s="663">
        <f t="shared" si="2252"/>
        <v>0</v>
      </c>
      <c r="AV345" s="664">
        <f t="shared" si="2253"/>
        <v>0</v>
      </c>
      <c r="AW345" s="660">
        <f t="shared" si="2277"/>
        <v>0</v>
      </c>
      <c r="AX345" s="663">
        <f t="shared" ref="AX345" si="2550">IF(AP345=0,0,AL345+AT345/$J$19*c_Hurdle3.Share_GP)</f>
        <v>0</v>
      </c>
      <c r="AY345" s="663">
        <f t="shared" si="2279"/>
        <v>0</v>
      </c>
      <c r="AZ345" s="660">
        <f t="shared" si="2299"/>
        <v>0</v>
      </c>
      <c r="BA345" s="521"/>
      <c r="BB345" s="660">
        <f t="shared" si="2494"/>
        <v>0</v>
      </c>
      <c r="BC345" s="660">
        <f t="shared" ref="BC345" si="2551">$AZ345*c_Residual.Share_GP</f>
        <v>0</v>
      </c>
      <c r="BD345" s="651"/>
      <c r="BE345" s="660">
        <f t="shared" si="2281"/>
        <v>0</v>
      </c>
      <c r="BF345" s="660">
        <f t="shared" si="2281"/>
        <v>0</v>
      </c>
      <c r="BG345" s="660">
        <f t="shared" si="2256"/>
        <v>0</v>
      </c>
      <c r="BI345" s="660">
        <v>0</v>
      </c>
      <c r="BJ345" s="660">
        <v>0</v>
      </c>
      <c r="BK345" s="660">
        <v>0</v>
      </c>
      <c r="BL345" s="660">
        <f t="shared" si="2282"/>
        <v>0</v>
      </c>
      <c r="BM345" s="660">
        <f t="shared" si="2282"/>
        <v>0</v>
      </c>
      <c r="BN345" s="660">
        <f t="shared" si="2283"/>
        <v>0</v>
      </c>
      <c r="BO345" s="660">
        <f t="shared" si="2283"/>
        <v>0</v>
      </c>
      <c r="BP345" s="660">
        <f t="shared" si="2284"/>
        <v>0</v>
      </c>
      <c r="BQ345" s="660">
        <f t="shared" si="2284"/>
        <v>0</v>
      </c>
      <c r="BR345" s="660">
        <v>0</v>
      </c>
      <c r="BS345" s="660">
        <v>0</v>
      </c>
      <c r="BT345" s="660">
        <f t="shared" si="2257"/>
        <v>0</v>
      </c>
      <c r="BU345" s="660">
        <f t="shared" si="2257"/>
        <v>0</v>
      </c>
      <c r="BX345" s="660">
        <v>0</v>
      </c>
      <c r="BY345" s="660">
        <f t="shared" si="2285"/>
        <v>0</v>
      </c>
      <c r="BZ345" s="660">
        <f t="shared" si="2258"/>
        <v>0</v>
      </c>
      <c r="CA345" s="660">
        <f t="shared" si="2259"/>
        <v>0</v>
      </c>
      <c r="CB345" s="660">
        <f t="shared" si="2260"/>
        <v>0</v>
      </c>
      <c r="CC345" s="660">
        <f t="shared" si="2261"/>
        <v>0</v>
      </c>
      <c r="CD345" s="660">
        <f t="shared" si="2286"/>
        <v>0</v>
      </c>
    </row>
    <row r="346" spans="4:82" ht="16" hidden="1" thickTop="1" thickBot="1">
      <c r="D346" s="653"/>
      <c r="E346" s="654"/>
      <c r="F346" s="655" t="str">
        <f t="shared" si="2262"/>
        <v/>
      </c>
      <c r="G346" s="656"/>
      <c r="I346" s="658">
        <f t="shared" si="2263"/>
        <v>0</v>
      </c>
      <c r="J346" s="658">
        <f t="shared" ref="J346" si="2552">IF($G346=0,0,-MIN(0,G346*c_EquityShare.LP))</f>
        <v>0</v>
      </c>
      <c r="K346" s="658">
        <f t="shared" ref="K346" si="2553">I346*c_Rate.Pref_MO</f>
        <v>0</v>
      </c>
      <c r="L346" s="658">
        <f t="shared" si="2239"/>
        <v>0</v>
      </c>
      <c r="M346" s="658">
        <f t="shared" si="2266"/>
        <v>0</v>
      </c>
      <c r="N346" s="658">
        <f t="shared" si="2289"/>
        <v>0</v>
      </c>
      <c r="O346" s="658" cm="1">
        <f t="array" ref="O346">IF(I346=0,0,IF(G346&lt;0,N346/c_EquityShare.LP*i_EquityShare.GP,L346/c_EquityShare.LP*i_EquityShare.GP))</f>
        <v>0</v>
      </c>
      <c r="P346" s="658">
        <f t="shared" si="2267"/>
        <v>0</v>
      </c>
      <c r="Q346" s="658">
        <f t="shared" si="2240"/>
        <v>0</v>
      </c>
      <c r="R346" s="521"/>
      <c r="S346" s="660">
        <f t="shared" si="2268"/>
        <v>0</v>
      </c>
      <c r="T346" s="663" cm="1">
        <f t="array" ref="T346">IF($G346=0,0,-MIN(0,$G346*c_EquityShare.LP))</f>
        <v>0</v>
      </c>
      <c r="U346" s="663" cm="1">
        <f t="array" ref="U346">IF($D346=0,0,S346*c_Rate.Hurdle1.MO)</f>
        <v>0</v>
      </c>
      <c r="V346" s="660">
        <f t="shared" si="2290"/>
        <v>0</v>
      </c>
      <c r="W346" s="660">
        <f t="shared" si="2269"/>
        <v>0</v>
      </c>
      <c r="X346" s="663">
        <f t="shared" si="2291"/>
        <v>0</v>
      </c>
      <c r="Y346" s="663">
        <f t="shared" si="2270"/>
        <v>0</v>
      </c>
      <c r="Z346" s="663">
        <f t="shared" ref="Z346" si="2554">IF(S346=0,0,O346+W346/$J$17*c_Hurdle1.Share_GP)</f>
        <v>0</v>
      </c>
      <c r="AA346" s="663">
        <f t="shared" si="2242"/>
        <v>0</v>
      </c>
      <c r="AB346" s="660">
        <f t="shared" si="2293"/>
        <v>0</v>
      </c>
      <c r="AC346" s="521"/>
      <c r="AD346" s="663">
        <f t="shared" si="2432"/>
        <v>0</v>
      </c>
      <c r="AE346" s="663">
        <f t="shared" ref="AE346" si="2555">IF($G346=0,0,-MIN(0,$G346*c_EquityShare.LP))</f>
        <v>0</v>
      </c>
      <c r="AF346" s="663" cm="1">
        <f t="array" ref="AF346">IF($D346=0,0,AD346*(c_Rate.Hurdle2.MO))</f>
        <v>0</v>
      </c>
      <c r="AG346" s="663">
        <f t="shared" si="2244"/>
        <v>0</v>
      </c>
      <c r="AH346" s="663">
        <f t="shared" si="2273"/>
        <v>0</v>
      </c>
      <c r="AI346" s="663">
        <f t="shared" si="2245"/>
        <v>0</v>
      </c>
      <c r="AJ346" s="664">
        <f t="shared" si="2246"/>
        <v>0</v>
      </c>
      <c r="AK346" s="660">
        <f t="shared" si="2247"/>
        <v>0</v>
      </c>
      <c r="AL346" s="663">
        <f t="shared" ref="AL346" si="2556">IF(AD346=0,0,Z346+AH346/$J$18*c_Hurdle2.Share_GP)</f>
        <v>0</v>
      </c>
      <c r="AM346" s="663">
        <f t="shared" si="2249"/>
        <v>0</v>
      </c>
      <c r="AN346" s="660">
        <f t="shared" si="2296"/>
        <v>0</v>
      </c>
      <c r="AO346" s="521"/>
      <c r="AP346" s="663">
        <f t="shared" si="2435"/>
        <v>0</v>
      </c>
      <c r="AQ346" s="663">
        <f t="shared" ref="AQ346" si="2557">IF($G346=0,0,-MIN(0,$G346*c_EquityShare.LP))</f>
        <v>0</v>
      </c>
      <c r="AR346" s="663" cm="1">
        <f t="array" ref="AR346">IF($D346=0,0,AP346*(c_Rate.Hurdle3.MO))</f>
        <v>0</v>
      </c>
      <c r="AS346" s="663">
        <f t="shared" si="2251"/>
        <v>0</v>
      </c>
      <c r="AT346" s="663">
        <f t="shared" si="2276"/>
        <v>0</v>
      </c>
      <c r="AU346" s="663">
        <f t="shared" si="2252"/>
        <v>0</v>
      </c>
      <c r="AV346" s="664">
        <f t="shared" si="2253"/>
        <v>0</v>
      </c>
      <c r="AW346" s="660">
        <f t="shared" si="2277"/>
        <v>0</v>
      </c>
      <c r="AX346" s="663">
        <f t="shared" ref="AX346" si="2558">IF(AP346=0,0,AL346+AT346/$J$19*c_Hurdle3.Share_GP)</f>
        <v>0</v>
      </c>
      <c r="AY346" s="663">
        <f t="shared" si="2279"/>
        <v>0</v>
      </c>
      <c r="AZ346" s="660">
        <f t="shared" si="2299"/>
        <v>0</v>
      </c>
      <c r="BA346" s="521"/>
      <c r="BB346" s="660">
        <f t="shared" si="2494"/>
        <v>0</v>
      </c>
      <c r="BC346" s="660">
        <f t="shared" ref="BC346" si="2559">$AZ346*c_Residual.Share_GP</f>
        <v>0</v>
      </c>
      <c r="BD346" s="651"/>
      <c r="BE346" s="660">
        <f t="shared" si="2281"/>
        <v>0</v>
      </c>
      <c r="BF346" s="660">
        <f t="shared" si="2281"/>
        <v>0</v>
      </c>
      <c r="BG346" s="660">
        <f t="shared" si="2256"/>
        <v>0</v>
      </c>
      <c r="BI346" s="660">
        <v>0</v>
      </c>
      <c r="BJ346" s="660">
        <v>0</v>
      </c>
      <c r="BK346" s="660">
        <v>0</v>
      </c>
      <c r="BL346" s="660">
        <f t="shared" si="2282"/>
        <v>0</v>
      </c>
      <c r="BM346" s="660">
        <f t="shared" si="2282"/>
        <v>0</v>
      </c>
      <c r="BN346" s="660">
        <f t="shared" si="2283"/>
        <v>0</v>
      </c>
      <c r="BO346" s="660">
        <f t="shared" si="2283"/>
        <v>0</v>
      </c>
      <c r="BP346" s="660">
        <f t="shared" si="2284"/>
        <v>0</v>
      </c>
      <c r="BQ346" s="660">
        <f t="shared" si="2284"/>
        <v>0</v>
      </c>
      <c r="BR346" s="660">
        <v>0</v>
      </c>
      <c r="BS346" s="660">
        <v>0</v>
      </c>
      <c r="BT346" s="660">
        <f t="shared" si="2257"/>
        <v>0</v>
      </c>
      <c r="BU346" s="660">
        <f t="shared" si="2257"/>
        <v>0</v>
      </c>
      <c r="BX346" s="660">
        <v>0</v>
      </c>
      <c r="BY346" s="660">
        <f t="shared" si="2285"/>
        <v>0</v>
      </c>
      <c r="BZ346" s="660">
        <f t="shared" si="2258"/>
        <v>0</v>
      </c>
      <c r="CA346" s="660">
        <f t="shared" si="2259"/>
        <v>0</v>
      </c>
      <c r="CB346" s="660">
        <f t="shared" si="2260"/>
        <v>0</v>
      </c>
      <c r="CC346" s="660">
        <f t="shared" si="2261"/>
        <v>0</v>
      </c>
      <c r="CD346" s="660">
        <f t="shared" si="2286"/>
        <v>0</v>
      </c>
    </row>
    <row r="347" spans="4:82" ht="16" hidden="1" thickTop="1" thickBot="1">
      <c r="D347" s="653"/>
      <c r="E347" s="654"/>
      <c r="F347" s="655" t="str">
        <f t="shared" si="2262"/>
        <v/>
      </c>
      <c r="G347" s="656"/>
      <c r="I347" s="658">
        <f t="shared" si="2263"/>
        <v>0</v>
      </c>
      <c r="J347" s="658">
        <f t="shared" ref="J347" si="2560">IF($G347=0,0,-MIN(0,G347*c_EquityShare.LP))</f>
        <v>0</v>
      </c>
      <c r="K347" s="658">
        <f t="shared" ref="K347" si="2561">I347*c_Rate.Pref_MO</f>
        <v>0</v>
      </c>
      <c r="L347" s="658">
        <f t="shared" si="2239"/>
        <v>0</v>
      </c>
      <c r="M347" s="658">
        <f t="shared" si="2266"/>
        <v>0</v>
      </c>
      <c r="N347" s="658">
        <f t="shared" si="2289"/>
        <v>0</v>
      </c>
      <c r="O347" s="658" cm="1">
        <f t="array" ref="O347">IF(I347=0,0,IF(G347&lt;0,N347/c_EquityShare.LP*i_EquityShare.GP,L347/c_EquityShare.LP*i_EquityShare.GP))</f>
        <v>0</v>
      </c>
      <c r="P347" s="658">
        <f t="shared" si="2267"/>
        <v>0</v>
      </c>
      <c r="Q347" s="658">
        <f t="shared" si="2240"/>
        <v>0</v>
      </c>
      <c r="R347" s="521"/>
      <c r="S347" s="660">
        <f t="shared" si="2268"/>
        <v>0</v>
      </c>
      <c r="T347" s="663" cm="1">
        <f t="array" ref="T347">IF($G347=0,0,-MIN(0,$G347*c_EquityShare.LP))</f>
        <v>0</v>
      </c>
      <c r="U347" s="663" cm="1">
        <f t="array" ref="U347">IF($D347=0,0,S347*c_Rate.Hurdle1.MO)</f>
        <v>0</v>
      </c>
      <c r="V347" s="660">
        <f t="shared" si="2290"/>
        <v>0</v>
      </c>
      <c r="W347" s="660">
        <f t="shared" si="2269"/>
        <v>0</v>
      </c>
      <c r="X347" s="663">
        <f t="shared" si="2291"/>
        <v>0</v>
      </c>
      <c r="Y347" s="663">
        <f t="shared" si="2270"/>
        <v>0</v>
      </c>
      <c r="Z347" s="663">
        <f t="shared" ref="Z347" si="2562">IF(S347=0,0,O347+W347/$J$17*c_Hurdle1.Share_GP)</f>
        <v>0</v>
      </c>
      <c r="AA347" s="663">
        <f t="shared" si="2242"/>
        <v>0</v>
      </c>
      <c r="AB347" s="660">
        <f t="shared" si="2293"/>
        <v>0</v>
      </c>
      <c r="AC347" s="521"/>
      <c r="AD347" s="663">
        <f t="shared" si="2432"/>
        <v>0</v>
      </c>
      <c r="AE347" s="663">
        <f t="shared" ref="AE347" si="2563">IF($G347=0,0,-MIN(0,$G347*c_EquityShare.LP))</f>
        <v>0</v>
      </c>
      <c r="AF347" s="663" cm="1">
        <f t="array" ref="AF347">IF($D347=0,0,AD347*(c_Rate.Hurdle2.MO))</f>
        <v>0</v>
      </c>
      <c r="AG347" s="663">
        <f t="shared" si="2244"/>
        <v>0</v>
      </c>
      <c r="AH347" s="663">
        <f t="shared" si="2273"/>
        <v>0</v>
      </c>
      <c r="AI347" s="663">
        <f t="shared" si="2245"/>
        <v>0</v>
      </c>
      <c r="AJ347" s="664">
        <f t="shared" si="2246"/>
        <v>0</v>
      </c>
      <c r="AK347" s="660">
        <f t="shared" si="2247"/>
        <v>0</v>
      </c>
      <c r="AL347" s="663">
        <f t="shared" ref="AL347" si="2564">IF(AD347=0,0,Z347+AH347/$J$18*c_Hurdle2.Share_GP)</f>
        <v>0</v>
      </c>
      <c r="AM347" s="663">
        <f t="shared" si="2249"/>
        <v>0</v>
      </c>
      <c r="AN347" s="660">
        <f t="shared" si="2296"/>
        <v>0</v>
      </c>
      <c r="AO347" s="521"/>
      <c r="AP347" s="663">
        <f t="shared" si="2435"/>
        <v>0</v>
      </c>
      <c r="AQ347" s="663">
        <f t="shared" ref="AQ347" si="2565">IF($G347=0,0,-MIN(0,$G347*c_EquityShare.LP))</f>
        <v>0</v>
      </c>
      <c r="AR347" s="663" cm="1">
        <f t="array" ref="AR347">IF($D347=0,0,AP347*(c_Rate.Hurdle3.MO))</f>
        <v>0</v>
      </c>
      <c r="AS347" s="663">
        <f t="shared" si="2251"/>
        <v>0</v>
      </c>
      <c r="AT347" s="663">
        <f t="shared" si="2276"/>
        <v>0</v>
      </c>
      <c r="AU347" s="663">
        <f t="shared" si="2252"/>
        <v>0</v>
      </c>
      <c r="AV347" s="664">
        <f t="shared" si="2253"/>
        <v>0</v>
      </c>
      <c r="AW347" s="660">
        <f t="shared" si="2277"/>
        <v>0</v>
      </c>
      <c r="AX347" s="663">
        <f t="shared" ref="AX347" si="2566">IF(AP347=0,0,AL347+AT347/$J$19*c_Hurdle3.Share_GP)</f>
        <v>0</v>
      </c>
      <c r="AY347" s="663">
        <f t="shared" si="2279"/>
        <v>0</v>
      </c>
      <c r="AZ347" s="660">
        <f t="shared" si="2299"/>
        <v>0</v>
      </c>
      <c r="BA347" s="521"/>
      <c r="BB347" s="660">
        <f t="shared" si="2494"/>
        <v>0</v>
      </c>
      <c r="BC347" s="660">
        <f t="shared" ref="BC347" si="2567">$AZ347*c_Residual.Share_GP</f>
        <v>0</v>
      </c>
      <c r="BD347" s="651"/>
      <c r="BE347" s="660">
        <f t="shared" si="2281"/>
        <v>0</v>
      </c>
      <c r="BF347" s="660">
        <f t="shared" si="2281"/>
        <v>0</v>
      </c>
      <c r="BG347" s="660">
        <f t="shared" si="2256"/>
        <v>0</v>
      </c>
      <c r="BI347" s="660">
        <v>0</v>
      </c>
      <c r="BJ347" s="660">
        <v>0</v>
      </c>
      <c r="BK347" s="660">
        <v>0</v>
      </c>
      <c r="BL347" s="660">
        <f t="shared" si="2282"/>
        <v>0</v>
      </c>
      <c r="BM347" s="660">
        <f t="shared" si="2282"/>
        <v>0</v>
      </c>
      <c r="BN347" s="660">
        <f t="shared" si="2283"/>
        <v>0</v>
      </c>
      <c r="BO347" s="660">
        <f t="shared" si="2283"/>
        <v>0</v>
      </c>
      <c r="BP347" s="660">
        <f t="shared" si="2284"/>
        <v>0</v>
      </c>
      <c r="BQ347" s="660">
        <f t="shared" si="2284"/>
        <v>0</v>
      </c>
      <c r="BR347" s="660">
        <v>0</v>
      </c>
      <c r="BS347" s="660">
        <v>0</v>
      </c>
      <c r="BT347" s="660">
        <f t="shared" si="2257"/>
        <v>0</v>
      </c>
      <c r="BU347" s="660">
        <f t="shared" si="2257"/>
        <v>0</v>
      </c>
      <c r="BX347" s="660">
        <v>0</v>
      </c>
      <c r="BY347" s="660">
        <f t="shared" si="2285"/>
        <v>0</v>
      </c>
      <c r="BZ347" s="660">
        <f t="shared" si="2258"/>
        <v>0</v>
      </c>
      <c r="CA347" s="660">
        <f t="shared" si="2259"/>
        <v>0</v>
      </c>
      <c r="CB347" s="660">
        <f t="shared" si="2260"/>
        <v>0</v>
      </c>
      <c r="CC347" s="660">
        <f t="shared" si="2261"/>
        <v>0</v>
      </c>
      <c r="CD347" s="660">
        <f t="shared" si="2286"/>
        <v>0</v>
      </c>
    </row>
    <row r="348" spans="4:82" ht="16" hidden="1" thickTop="1" thickBot="1">
      <c r="D348" s="653"/>
      <c r="E348" s="654"/>
      <c r="F348" s="655" t="str">
        <f t="shared" si="2262"/>
        <v/>
      </c>
      <c r="G348" s="656"/>
      <c r="I348" s="658">
        <f t="shared" si="2263"/>
        <v>0</v>
      </c>
      <c r="J348" s="658">
        <f t="shared" ref="J348" si="2568">IF($G348=0,0,-MIN(0,G348*c_EquityShare.LP))</f>
        <v>0</v>
      </c>
      <c r="K348" s="658">
        <f t="shared" ref="K348" si="2569">I348*c_Rate.Pref_MO</f>
        <v>0</v>
      </c>
      <c r="L348" s="658">
        <f t="shared" si="2239"/>
        <v>0</v>
      </c>
      <c r="M348" s="658">
        <f t="shared" si="2266"/>
        <v>0</v>
      </c>
      <c r="N348" s="658">
        <f t="shared" si="2289"/>
        <v>0</v>
      </c>
      <c r="O348" s="658" cm="1">
        <f t="array" ref="O348">IF(I348=0,0,IF(G348&lt;0,N348/c_EquityShare.LP*i_EquityShare.GP,L348/c_EquityShare.LP*i_EquityShare.GP))</f>
        <v>0</v>
      </c>
      <c r="P348" s="658">
        <f t="shared" si="2267"/>
        <v>0</v>
      </c>
      <c r="Q348" s="658">
        <f t="shared" si="2240"/>
        <v>0</v>
      </c>
      <c r="R348" s="521"/>
      <c r="S348" s="660">
        <f t="shared" si="2268"/>
        <v>0</v>
      </c>
      <c r="T348" s="663" cm="1">
        <f t="array" ref="T348">IF($G348=0,0,-MIN(0,$G348*c_EquityShare.LP))</f>
        <v>0</v>
      </c>
      <c r="U348" s="663" cm="1">
        <f t="array" ref="U348">IF($D348=0,0,S348*c_Rate.Hurdle1.MO)</f>
        <v>0</v>
      </c>
      <c r="V348" s="660">
        <f t="shared" si="2290"/>
        <v>0</v>
      </c>
      <c r="W348" s="660">
        <f t="shared" si="2269"/>
        <v>0</v>
      </c>
      <c r="X348" s="663">
        <f t="shared" si="2291"/>
        <v>0</v>
      </c>
      <c r="Y348" s="663">
        <f t="shared" si="2270"/>
        <v>0</v>
      </c>
      <c r="Z348" s="663">
        <f t="shared" ref="Z348" si="2570">IF(S348=0,0,O348+W348/$J$17*c_Hurdle1.Share_GP)</f>
        <v>0</v>
      </c>
      <c r="AA348" s="663">
        <f t="shared" si="2242"/>
        <v>0</v>
      </c>
      <c r="AB348" s="660">
        <f t="shared" si="2293"/>
        <v>0</v>
      </c>
      <c r="AC348" s="521"/>
      <c r="AD348" s="663">
        <f t="shared" si="2432"/>
        <v>0</v>
      </c>
      <c r="AE348" s="663">
        <f t="shared" ref="AE348" si="2571">IF($G348=0,0,-MIN(0,$G348*c_EquityShare.LP))</f>
        <v>0</v>
      </c>
      <c r="AF348" s="663" cm="1">
        <f t="array" ref="AF348">IF($D348=0,0,AD348*(c_Rate.Hurdle2.MO))</f>
        <v>0</v>
      </c>
      <c r="AG348" s="663">
        <f t="shared" si="2244"/>
        <v>0</v>
      </c>
      <c r="AH348" s="663">
        <f t="shared" si="2273"/>
        <v>0</v>
      </c>
      <c r="AI348" s="663">
        <f t="shared" si="2245"/>
        <v>0</v>
      </c>
      <c r="AJ348" s="664">
        <f t="shared" si="2246"/>
        <v>0</v>
      </c>
      <c r="AK348" s="660">
        <f t="shared" si="2247"/>
        <v>0</v>
      </c>
      <c r="AL348" s="663">
        <f t="shared" ref="AL348" si="2572">IF(AD348=0,0,Z348+AH348/$J$18*c_Hurdle2.Share_GP)</f>
        <v>0</v>
      </c>
      <c r="AM348" s="663">
        <f t="shared" si="2249"/>
        <v>0</v>
      </c>
      <c r="AN348" s="660">
        <f t="shared" si="2296"/>
        <v>0</v>
      </c>
      <c r="AO348" s="521"/>
      <c r="AP348" s="663">
        <f t="shared" si="2435"/>
        <v>0</v>
      </c>
      <c r="AQ348" s="663">
        <f t="shared" ref="AQ348" si="2573">IF($G348=0,0,-MIN(0,$G348*c_EquityShare.LP))</f>
        <v>0</v>
      </c>
      <c r="AR348" s="663" cm="1">
        <f t="array" ref="AR348">IF($D348=0,0,AP348*(c_Rate.Hurdle3.MO))</f>
        <v>0</v>
      </c>
      <c r="AS348" s="663">
        <f t="shared" si="2251"/>
        <v>0</v>
      </c>
      <c r="AT348" s="663">
        <f t="shared" si="2276"/>
        <v>0</v>
      </c>
      <c r="AU348" s="663">
        <f t="shared" si="2252"/>
        <v>0</v>
      </c>
      <c r="AV348" s="664">
        <f t="shared" si="2253"/>
        <v>0</v>
      </c>
      <c r="AW348" s="660">
        <f t="shared" si="2277"/>
        <v>0</v>
      </c>
      <c r="AX348" s="663">
        <f t="shared" ref="AX348" si="2574">IF(AP348=0,0,AL348+AT348/$J$19*c_Hurdle3.Share_GP)</f>
        <v>0</v>
      </c>
      <c r="AY348" s="663">
        <f t="shared" si="2279"/>
        <v>0</v>
      </c>
      <c r="AZ348" s="660">
        <f t="shared" si="2299"/>
        <v>0</v>
      </c>
      <c r="BA348" s="521"/>
      <c r="BB348" s="660">
        <f t="shared" si="2494"/>
        <v>0</v>
      </c>
      <c r="BC348" s="660">
        <f t="shared" ref="BC348" si="2575">$AZ348*c_Residual.Share_GP</f>
        <v>0</v>
      </c>
      <c r="BD348" s="651"/>
      <c r="BE348" s="660">
        <f t="shared" si="2281"/>
        <v>0</v>
      </c>
      <c r="BF348" s="660">
        <f t="shared" si="2281"/>
        <v>0</v>
      </c>
      <c r="BG348" s="660">
        <f t="shared" si="2256"/>
        <v>0</v>
      </c>
      <c r="BI348" s="660">
        <v>0</v>
      </c>
      <c r="BJ348" s="660">
        <v>0</v>
      </c>
      <c r="BK348" s="660">
        <v>0</v>
      </c>
      <c r="BL348" s="660">
        <f t="shared" si="2282"/>
        <v>0</v>
      </c>
      <c r="BM348" s="660">
        <f t="shared" si="2282"/>
        <v>0</v>
      </c>
      <c r="BN348" s="660">
        <f t="shared" si="2283"/>
        <v>0</v>
      </c>
      <c r="BO348" s="660">
        <f t="shared" si="2283"/>
        <v>0</v>
      </c>
      <c r="BP348" s="660">
        <f t="shared" si="2284"/>
        <v>0</v>
      </c>
      <c r="BQ348" s="660">
        <f t="shared" si="2284"/>
        <v>0</v>
      </c>
      <c r="BR348" s="660">
        <v>0</v>
      </c>
      <c r="BS348" s="660">
        <v>0</v>
      </c>
      <c r="BT348" s="660">
        <f t="shared" si="2257"/>
        <v>0</v>
      </c>
      <c r="BU348" s="660">
        <f t="shared" si="2257"/>
        <v>0</v>
      </c>
      <c r="BX348" s="660">
        <v>0</v>
      </c>
      <c r="BY348" s="660">
        <f t="shared" si="2285"/>
        <v>0</v>
      </c>
      <c r="BZ348" s="660">
        <f t="shared" si="2258"/>
        <v>0</v>
      </c>
      <c r="CA348" s="660">
        <f t="shared" si="2259"/>
        <v>0</v>
      </c>
      <c r="CB348" s="660">
        <f t="shared" si="2260"/>
        <v>0</v>
      </c>
      <c r="CC348" s="660">
        <f t="shared" si="2261"/>
        <v>0</v>
      </c>
      <c r="CD348" s="660">
        <f t="shared" si="2286"/>
        <v>0</v>
      </c>
    </row>
    <row r="349" spans="4:82" ht="16" hidden="1" thickTop="1" thickBot="1">
      <c r="D349" s="653"/>
      <c r="E349" s="654"/>
      <c r="F349" s="655" t="str">
        <f t="shared" si="2262"/>
        <v/>
      </c>
      <c r="G349" s="656"/>
      <c r="I349" s="658">
        <f t="shared" si="2263"/>
        <v>0</v>
      </c>
      <c r="J349" s="658">
        <f t="shared" ref="J349" si="2576">IF($G349=0,0,-MIN(0,G349*c_EquityShare.LP))</f>
        <v>0</v>
      </c>
      <c r="K349" s="658">
        <f t="shared" ref="K349" si="2577">I349*c_Rate.Pref_MO</f>
        <v>0</v>
      </c>
      <c r="L349" s="658">
        <f t="shared" si="2239"/>
        <v>0</v>
      </c>
      <c r="M349" s="658">
        <f t="shared" si="2266"/>
        <v>0</v>
      </c>
      <c r="N349" s="658">
        <f t="shared" si="2289"/>
        <v>0</v>
      </c>
      <c r="O349" s="658" cm="1">
        <f t="array" ref="O349">IF(I349=0,0,IF(G349&lt;0,N349/c_EquityShare.LP*i_EquityShare.GP,L349/c_EquityShare.LP*i_EquityShare.GP))</f>
        <v>0</v>
      </c>
      <c r="P349" s="658">
        <f t="shared" si="2267"/>
        <v>0</v>
      </c>
      <c r="Q349" s="658">
        <f t="shared" si="2240"/>
        <v>0</v>
      </c>
      <c r="R349" s="521"/>
      <c r="S349" s="660">
        <f t="shared" si="2268"/>
        <v>0</v>
      </c>
      <c r="T349" s="663" cm="1">
        <f t="array" ref="T349">IF($G349=0,0,-MIN(0,$G349*c_EquityShare.LP))</f>
        <v>0</v>
      </c>
      <c r="U349" s="663" cm="1">
        <f t="array" ref="U349">IF($D349=0,0,S349*c_Rate.Hurdle1.MO)</f>
        <v>0</v>
      </c>
      <c r="V349" s="660">
        <f t="shared" si="2290"/>
        <v>0</v>
      </c>
      <c r="W349" s="660">
        <f t="shared" si="2269"/>
        <v>0</v>
      </c>
      <c r="X349" s="663">
        <f t="shared" si="2291"/>
        <v>0</v>
      </c>
      <c r="Y349" s="663">
        <f t="shared" si="2270"/>
        <v>0</v>
      </c>
      <c r="Z349" s="663">
        <f t="shared" ref="Z349" si="2578">IF(S349=0,0,O349+W349/$J$17*c_Hurdle1.Share_GP)</f>
        <v>0</v>
      </c>
      <c r="AA349" s="663">
        <f t="shared" si="2242"/>
        <v>0</v>
      </c>
      <c r="AB349" s="660">
        <f t="shared" si="2293"/>
        <v>0</v>
      </c>
      <c r="AC349" s="521"/>
      <c r="AD349" s="663">
        <f t="shared" si="2432"/>
        <v>0</v>
      </c>
      <c r="AE349" s="663">
        <f t="shared" ref="AE349" si="2579">IF($G349=0,0,-MIN(0,$G349*c_EquityShare.LP))</f>
        <v>0</v>
      </c>
      <c r="AF349" s="663" cm="1">
        <f t="array" ref="AF349">IF($D349=0,0,AD349*(c_Rate.Hurdle2.MO))</f>
        <v>0</v>
      </c>
      <c r="AG349" s="663">
        <f t="shared" si="2244"/>
        <v>0</v>
      </c>
      <c r="AH349" s="663">
        <f t="shared" si="2273"/>
        <v>0</v>
      </c>
      <c r="AI349" s="663">
        <f t="shared" si="2245"/>
        <v>0</v>
      </c>
      <c r="AJ349" s="664">
        <f t="shared" si="2246"/>
        <v>0</v>
      </c>
      <c r="AK349" s="660">
        <f t="shared" si="2247"/>
        <v>0</v>
      </c>
      <c r="AL349" s="663">
        <f t="shared" ref="AL349" si="2580">IF(AD349=0,0,Z349+AH349/$J$18*c_Hurdle2.Share_GP)</f>
        <v>0</v>
      </c>
      <c r="AM349" s="663">
        <f t="shared" si="2249"/>
        <v>0</v>
      </c>
      <c r="AN349" s="660">
        <f t="shared" si="2296"/>
        <v>0</v>
      </c>
      <c r="AO349" s="521"/>
      <c r="AP349" s="663">
        <f t="shared" si="2435"/>
        <v>0</v>
      </c>
      <c r="AQ349" s="663">
        <f t="shared" ref="AQ349" si="2581">IF($G349=0,0,-MIN(0,$G349*c_EquityShare.LP))</f>
        <v>0</v>
      </c>
      <c r="AR349" s="663" cm="1">
        <f t="array" ref="AR349">IF($D349=0,0,AP349*(c_Rate.Hurdle3.MO))</f>
        <v>0</v>
      </c>
      <c r="AS349" s="663">
        <f t="shared" si="2251"/>
        <v>0</v>
      </c>
      <c r="AT349" s="663">
        <f t="shared" si="2276"/>
        <v>0</v>
      </c>
      <c r="AU349" s="663">
        <f t="shared" si="2252"/>
        <v>0</v>
      </c>
      <c r="AV349" s="664">
        <f t="shared" si="2253"/>
        <v>0</v>
      </c>
      <c r="AW349" s="660">
        <f t="shared" si="2277"/>
        <v>0</v>
      </c>
      <c r="AX349" s="663">
        <f t="shared" ref="AX349" si="2582">IF(AP349=0,0,AL349+AT349/$J$19*c_Hurdle3.Share_GP)</f>
        <v>0</v>
      </c>
      <c r="AY349" s="663">
        <f t="shared" si="2279"/>
        <v>0</v>
      </c>
      <c r="AZ349" s="660">
        <f t="shared" si="2299"/>
        <v>0</v>
      </c>
      <c r="BA349" s="521"/>
      <c r="BB349" s="660">
        <f t="shared" si="2494"/>
        <v>0</v>
      </c>
      <c r="BC349" s="660">
        <f t="shared" ref="BC349" si="2583">$AZ349*c_Residual.Share_GP</f>
        <v>0</v>
      </c>
      <c r="BD349" s="651"/>
      <c r="BE349" s="660">
        <f t="shared" si="2281"/>
        <v>0</v>
      </c>
      <c r="BF349" s="660">
        <f t="shared" si="2281"/>
        <v>0</v>
      </c>
      <c r="BG349" s="660">
        <f t="shared" si="2256"/>
        <v>0</v>
      </c>
      <c r="BI349" s="660">
        <v>0</v>
      </c>
      <c r="BJ349" s="660">
        <v>0</v>
      </c>
      <c r="BK349" s="660">
        <v>0</v>
      </c>
      <c r="BL349" s="660">
        <f t="shared" si="2282"/>
        <v>0</v>
      </c>
      <c r="BM349" s="660">
        <f t="shared" si="2282"/>
        <v>0</v>
      </c>
      <c r="BN349" s="660">
        <f t="shared" si="2283"/>
        <v>0</v>
      </c>
      <c r="BO349" s="660">
        <f t="shared" si="2283"/>
        <v>0</v>
      </c>
      <c r="BP349" s="660">
        <f t="shared" si="2284"/>
        <v>0</v>
      </c>
      <c r="BQ349" s="660">
        <f t="shared" si="2284"/>
        <v>0</v>
      </c>
      <c r="BR349" s="660">
        <v>0</v>
      </c>
      <c r="BS349" s="660">
        <v>0</v>
      </c>
      <c r="BT349" s="660">
        <f t="shared" si="2257"/>
        <v>0</v>
      </c>
      <c r="BU349" s="660">
        <f t="shared" si="2257"/>
        <v>0</v>
      </c>
      <c r="BX349" s="660">
        <v>0</v>
      </c>
      <c r="BY349" s="660">
        <f t="shared" si="2285"/>
        <v>0</v>
      </c>
      <c r="BZ349" s="660">
        <f t="shared" si="2258"/>
        <v>0</v>
      </c>
      <c r="CA349" s="660">
        <f t="shared" si="2259"/>
        <v>0</v>
      </c>
      <c r="CB349" s="660">
        <f t="shared" si="2260"/>
        <v>0</v>
      </c>
      <c r="CC349" s="660">
        <f t="shared" si="2261"/>
        <v>0</v>
      </c>
      <c r="CD349" s="660">
        <f t="shared" si="2286"/>
        <v>0</v>
      </c>
    </row>
    <row r="350" spans="4:82" ht="16" hidden="1" thickTop="1" thickBot="1">
      <c r="D350" s="653"/>
      <c r="E350" s="654"/>
      <c r="F350" s="655" t="str">
        <f t="shared" si="2262"/>
        <v/>
      </c>
      <c r="G350" s="656"/>
      <c r="I350" s="658">
        <f t="shared" si="2263"/>
        <v>0</v>
      </c>
      <c r="J350" s="658">
        <f t="shared" ref="J350" si="2584">IF($G350=0,0,-MIN(0,G350*c_EquityShare.LP))</f>
        <v>0</v>
      </c>
      <c r="K350" s="658">
        <f t="shared" ref="K350" si="2585">I350*c_Rate.Pref_MO</f>
        <v>0</v>
      </c>
      <c r="L350" s="658">
        <f t="shared" si="2239"/>
        <v>0</v>
      </c>
      <c r="M350" s="658">
        <f t="shared" si="2266"/>
        <v>0</v>
      </c>
      <c r="N350" s="658">
        <f t="shared" si="2289"/>
        <v>0</v>
      </c>
      <c r="O350" s="658" cm="1">
        <f t="array" ref="O350">IF(I350=0,0,IF(G350&lt;0,N350/c_EquityShare.LP*i_EquityShare.GP,L350/c_EquityShare.LP*i_EquityShare.GP))</f>
        <v>0</v>
      </c>
      <c r="P350" s="658">
        <f t="shared" si="2267"/>
        <v>0</v>
      </c>
      <c r="Q350" s="658">
        <f t="shared" si="2240"/>
        <v>0</v>
      </c>
      <c r="R350" s="521"/>
      <c r="S350" s="660">
        <f t="shared" si="2268"/>
        <v>0</v>
      </c>
      <c r="T350" s="663" cm="1">
        <f t="array" ref="T350">IF($G350=0,0,-MIN(0,$G350*c_EquityShare.LP))</f>
        <v>0</v>
      </c>
      <c r="U350" s="663" cm="1">
        <f t="array" ref="U350">IF($D350=0,0,S350*c_Rate.Hurdle1.MO)</f>
        <v>0</v>
      </c>
      <c r="V350" s="660">
        <f t="shared" si="2290"/>
        <v>0</v>
      </c>
      <c r="W350" s="660">
        <f t="shared" si="2269"/>
        <v>0</v>
      </c>
      <c r="X350" s="663">
        <f t="shared" si="2291"/>
        <v>0</v>
      </c>
      <c r="Y350" s="663">
        <f t="shared" si="2270"/>
        <v>0</v>
      </c>
      <c r="Z350" s="663">
        <f t="shared" ref="Z350" si="2586">IF(S350=0,0,O350+W350/$J$17*c_Hurdle1.Share_GP)</f>
        <v>0</v>
      </c>
      <c r="AA350" s="663">
        <f t="shared" si="2242"/>
        <v>0</v>
      </c>
      <c r="AB350" s="660">
        <f t="shared" si="2293"/>
        <v>0</v>
      </c>
      <c r="AC350" s="521"/>
      <c r="AD350" s="663">
        <f t="shared" si="2432"/>
        <v>0</v>
      </c>
      <c r="AE350" s="663">
        <f t="shared" ref="AE350" si="2587">IF($G350=0,0,-MIN(0,$G350*c_EquityShare.LP))</f>
        <v>0</v>
      </c>
      <c r="AF350" s="663" cm="1">
        <f t="array" ref="AF350">IF($D350=0,0,AD350*(c_Rate.Hurdle2.MO))</f>
        <v>0</v>
      </c>
      <c r="AG350" s="663">
        <f t="shared" si="2244"/>
        <v>0</v>
      </c>
      <c r="AH350" s="663">
        <f t="shared" si="2273"/>
        <v>0</v>
      </c>
      <c r="AI350" s="663">
        <f t="shared" si="2245"/>
        <v>0</v>
      </c>
      <c r="AJ350" s="664">
        <f t="shared" si="2246"/>
        <v>0</v>
      </c>
      <c r="AK350" s="660">
        <f t="shared" si="2247"/>
        <v>0</v>
      </c>
      <c r="AL350" s="663">
        <f t="shared" ref="AL350" si="2588">IF(AD350=0,0,Z350+AH350/$J$18*c_Hurdle2.Share_GP)</f>
        <v>0</v>
      </c>
      <c r="AM350" s="663">
        <f t="shared" si="2249"/>
        <v>0</v>
      </c>
      <c r="AN350" s="660">
        <f t="shared" si="2296"/>
        <v>0</v>
      </c>
      <c r="AO350" s="521"/>
      <c r="AP350" s="663">
        <f t="shared" si="2435"/>
        <v>0</v>
      </c>
      <c r="AQ350" s="663">
        <f t="shared" ref="AQ350" si="2589">IF($G350=0,0,-MIN(0,$G350*c_EquityShare.LP))</f>
        <v>0</v>
      </c>
      <c r="AR350" s="663" cm="1">
        <f t="array" ref="AR350">IF($D350=0,0,AP350*(c_Rate.Hurdle3.MO))</f>
        <v>0</v>
      </c>
      <c r="AS350" s="663">
        <f t="shared" si="2251"/>
        <v>0</v>
      </c>
      <c r="AT350" s="663">
        <f t="shared" si="2276"/>
        <v>0</v>
      </c>
      <c r="AU350" s="663">
        <f t="shared" si="2252"/>
        <v>0</v>
      </c>
      <c r="AV350" s="664">
        <f t="shared" si="2253"/>
        <v>0</v>
      </c>
      <c r="AW350" s="660">
        <f t="shared" si="2277"/>
        <v>0</v>
      </c>
      <c r="AX350" s="663">
        <f t="shared" ref="AX350" si="2590">IF(AP350=0,0,AL350+AT350/$J$19*c_Hurdle3.Share_GP)</f>
        <v>0</v>
      </c>
      <c r="AY350" s="663">
        <f t="shared" si="2279"/>
        <v>0</v>
      </c>
      <c r="AZ350" s="660">
        <f t="shared" si="2299"/>
        <v>0</v>
      </c>
      <c r="BA350" s="521"/>
      <c r="BB350" s="660">
        <f t="shared" si="2494"/>
        <v>0</v>
      </c>
      <c r="BC350" s="660">
        <f t="shared" ref="BC350" si="2591">$AZ350*c_Residual.Share_GP</f>
        <v>0</v>
      </c>
      <c r="BD350" s="651"/>
      <c r="BE350" s="660">
        <f t="shared" si="2281"/>
        <v>0</v>
      </c>
      <c r="BF350" s="660">
        <f t="shared" si="2281"/>
        <v>0</v>
      </c>
      <c r="BG350" s="660">
        <f t="shared" si="2256"/>
        <v>0</v>
      </c>
      <c r="BI350" s="660">
        <v>0</v>
      </c>
      <c r="BJ350" s="660">
        <v>0</v>
      </c>
      <c r="BK350" s="660">
        <v>0</v>
      </c>
      <c r="BL350" s="660">
        <f t="shared" si="2282"/>
        <v>0</v>
      </c>
      <c r="BM350" s="660">
        <f t="shared" si="2282"/>
        <v>0</v>
      </c>
      <c r="BN350" s="660">
        <f t="shared" si="2283"/>
        <v>0</v>
      </c>
      <c r="BO350" s="660">
        <f t="shared" si="2283"/>
        <v>0</v>
      </c>
      <c r="BP350" s="660">
        <f t="shared" si="2284"/>
        <v>0</v>
      </c>
      <c r="BQ350" s="660">
        <f t="shared" si="2284"/>
        <v>0</v>
      </c>
      <c r="BR350" s="660">
        <v>0</v>
      </c>
      <c r="BS350" s="660">
        <v>0</v>
      </c>
      <c r="BT350" s="660">
        <f t="shared" si="2257"/>
        <v>0</v>
      </c>
      <c r="BU350" s="660">
        <f t="shared" si="2257"/>
        <v>0</v>
      </c>
      <c r="BX350" s="660">
        <v>0</v>
      </c>
      <c r="BY350" s="660">
        <f t="shared" si="2285"/>
        <v>0</v>
      </c>
      <c r="BZ350" s="660">
        <f t="shared" si="2258"/>
        <v>0</v>
      </c>
      <c r="CA350" s="660">
        <f t="shared" si="2259"/>
        <v>0</v>
      </c>
      <c r="CB350" s="660">
        <f t="shared" si="2260"/>
        <v>0</v>
      </c>
      <c r="CC350" s="660">
        <f t="shared" si="2261"/>
        <v>0</v>
      </c>
      <c r="CD350" s="660">
        <f t="shared" si="2286"/>
        <v>0</v>
      </c>
    </row>
    <row r="351" spans="4:82" ht="16" hidden="1" thickTop="1" thickBot="1">
      <c r="D351" s="653"/>
      <c r="E351" s="654"/>
      <c r="F351" s="655" t="str">
        <f t="shared" si="2262"/>
        <v/>
      </c>
      <c r="G351" s="656"/>
      <c r="I351" s="658">
        <f t="shared" si="2263"/>
        <v>0</v>
      </c>
      <c r="J351" s="658">
        <f t="shared" ref="J351" si="2592">IF($G351=0,0,-MIN(0,G351*c_EquityShare.LP))</f>
        <v>0</v>
      </c>
      <c r="K351" s="658">
        <f t="shared" ref="K351" si="2593">I351*c_Rate.Pref_MO</f>
        <v>0</v>
      </c>
      <c r="L351" s="658">
        <f t="shared" si="2239"/>
        <v>0</v>
      </c>
      <c r="M351" s="658">
        <f t="shared" si="2266"/>
        <v>0</v>
      </c>
      <c r="N351" s="658">
        <f t="shared" si="2289"/>
        <v>0</v>
      </c>
      <c r="O351" s="658" cm="1">
        <f t="array" ref="O351">IF(I351=0,0,IF(G351&lt;0,N351/c_EquityShare.LP*i_EquityShare.GP,L351/c_EquityShare.LP*i_EquityShare.GP))</f>
        <v>0</v>
      </c>
      <c r="P351" s="658">
        <f t="shared" si="2267"/>
        <v>0</v>
      </c>
      <c r="Q351" s="658">
        <f t="shared" si="2240"/>
        <v>0</v>
      </c>
      <c r="R351" s="521"/>
      <c r="S351" s="660">
        <f t="shared" si="2268"/>
        <v>0</v>
      </c>
      <c r="T351" s="663" cm="1">
        <f t="array" ref="T351">IF($G351=0,0,-MIN(0,$G351*c_EquityShare.LP))</f>
        <v>0</v>
      </c>
      <c r="U351" s="663" cm="1">
        <f t="array" ref="U351">IF($D351=0,0,S351*c_Rate.Hurdle1.MO)</f>
        <v>0</v>
      </c>
      <c r="V351" s="660">
        <f t="shared" si="2290"/>
        <v>0</v>
      </c>
      <c r="W351" s="660">
        <f t="shared" si="2269"/>
        <v>0</v>
      </c>
      <c r="X351" s="663">
        <f t="shared" si="2291"/>
        <v>0</v>
      </c>
      <c r="Y351" s="663">
        <f t="shared" si="2270"/>
        <v>0</v>
      </c>
      <c r="Z351" s="663">
        <f t="shared" ref="Z351" si="2594">IF(S351=0,0,O351+W351/$J$17*c_Hurdle1.Share_GP)</f>
        <v>0</v>
      </c>
      <c r="AA351" s="663">
        <f t="shared" si="2242"/>
        <v>0</v>
      </c>
      <c r="AB351" s="660">
        <f t="shared" si="2293"/>
        <v>0</v>
      </c>
      <c r="AC351" s="521"/>
      <c r="AD351" s="663">
        <f t="shared" si="2432"/>
        <v>0</v>
      </c>
      <c r="AE351" s="663">
        <f t="shared" ref="AE351" si="2595">IF($G351=0,0,-MIN(0,$G351*c_EquityShare.LP))</f>
        <v>0</v>
      </c>
      <c r="AF351" s="663" cm="1">
        <f t="array" ref="AF351">IF($D351=0,0,AD351*(c_Rate.Hurdle2.MO))</f>
        <v>0</v>
      </c>
      <c r="AG351" s="663">
        <f t="shared" si="2244"/>
        <v>0</v>
      </c>
      <c r="AH351" s="663">
        <f t="shared" si="2273"/>
        <v>0</v>
      </c>
      <c r="AI351" s="663">
        <f t="shared" si="2245"/>
        <v>0</v>
      </c>
      <c r="AJ351" s="664">
        <f t="shared" si="2246"/>
        <v>0</v>
      </c>
      <c r="AK351" s="660">
        <f t="shared" si="2247"/>
        <v>0</v>
      </c>
      <c r="AL351" s="663">
        <f t="shared" ref="AL351" si="2596">IF(AD351=0,0,Z351+AH351/$J$18*c_Hurdle2.Share_GP)</f>
        <v>0</v>
      </c>
      <c r="AM351" s="663">
        <f t="shared" si="2249"/>
        <v>0</v>
      </c>
      <c r="AN351" s="660">
        <f t="shared" si="2296"/>
        <v>0</v>
      </c>
      <c r="AO351" s="521"/>
      <c r="AP351" s="663">
        <f t="shared" si="2435"/>
        <v>0</v>
      </c>
      <c r="AQ351" s="663">
        <f t="shared" ref="AQ351" si="2597">IF($G351=0,0,-MIN(0,$G351*c_EquityShare.LP))</f>
        <v>0</v>
      </c>
      <c r="AR351" s="663" cm="1">
        <f t="array" ref="AR351">IF($D351=0,0,AP351*(c_Rate.Hurdle3.MO))</f>
        <v>0</v>
      </c>
      <c r="AS351" s="663">
        <f t="shared" si="2251"/>
        <v>0</v>
      </c>
      <c r="AT351" s="663">
        <f t="shared" si="2276"/>
        <v>0</v>
      </c>
      <c r="AU351" s="663">
        <f t="shared" si="2252"/>
        <v>0</v>
      </c>
      <c r="AV351" s="664">
        <f t="shared" si="2253"/>
        <v>0</v>
      </c>
      <c r="AW351" s="660">
        <f t="shared" si="2277"/>
        <v>0</v>
      </c>
      <c r="AX351" s="663">
        <f t="shared" ref="AX351" si="2598">IF(AP351=0,0,AL351+AT351/$J$19*c_Hurdle3.Share_GP)</f>
        <v>0</v>
      </c>
      <c r="AY351" s="663">
        <f t="shared" si="2279"/>
        <v>0</v>
      </c>
      <c r="AZ351" s="660">
        <f t="shared" si="2299"/>
        <v>0</v>
      </c>
      <c r="BA351" s="521"/>
      <c r="BB351" s="660">
        <f t="shared" si="2494"/>
        <v>0</v>
      </c>
      <c r="BC351" s="660">
        <f t="shared" ref="BC351" si="2599">$AZ351*c_Residual.Share_GP</f>
        <v>0</v>
      </c>
      <c r="BD351" s="651"/>
      <c r="BE351" s="660">
        <f t="shared" si="2281"/>
        <v>0</v>
      </c>
      <c r="BF351" s="660">
        <f t="shared" si="2281"/>
        <v>0</v>
      </c>
      <c r="BG351" s="660">
        <f t="shared" si="2256"/>
        <v>0</v>
      </c>
      <c r="BI351" s="660">
        <v>0</v>
      </c>
      <c r="BJ351" s="660">
        <v>0</v>
      </c>
      <c r="BK351" s="660">
        <v>0</v>
      </c>
      <c r="BL351" s="660">
        <f t="shared" si="2282"/>
        <v>0</v>
      </c>
      <c r="BM351" s="660">
        <f t="shared" si="2282"/>
        <v>0</v>
      </c>
      <c r="BN351" s="660">
        <f t="shared" si="2283"/>
        <v>0</v>
      </c>
      <c r="BO351" s="660">
        <f t="shared" si="2283"/>
        <v>0</v>
      </c>
      <c r="BP351" s="660">
        <f t="shared" si="2284"/>
        <v>0</v>
      </c>
      <c r="BQ351" s="660">
        <f t="shared" si="2284"/>
        <v>0</v>
      </c>
      <c r="BR351" s="660">
        <v>0</v>
      </c>
      <c r="BS351" s="660">
        <v>0</v>
      </c>
      <c r="BT351" s="660">
        <f t="shared" si="2257"/>
        <v>0</v>
      </c>
      <c r="BU351" s="660">
        <f t="shared" si="2257"/>
        <v>0</v>
      </c>
      <c r="BX351" s="660">
        <v>0</v>
      </c>
      <c r="BY351" s="660">
        <f t="shared" si="2285"/>
        <v>0</v>
      </c>
      <c r="BZ351" s="660">
        <f t="shared" si="2258"/>
        <v>0</v>
      </c>
      <c r="CA351" s="660">
        <f t="shared" si="2259"/>
        <v>0</v>
      </c>
      <c r="CB351" s="660">
        <f t="shared" si="2260"/>
        <v>0</v>
      </c>
      <c r="CC351" s="660">
        <f t="shared" si="2261"/>
        <v>0</v>
      </c>
      <c r="CD351" s="660">
        <f t="shared" si="2286"/>
        <v>0</v>
      </c>
    </row>
    <row r="352" spans="4:82" ht="16" hidden="1" thickTop="1" thickBot="1">
      <c r="D352" s="653"/>
      <c r="E352" s="654"/>
      <c r="F352" s="655" t="str">
        <f t="shared" si="2262"/>
        <v/>
      </c>
      <c r="G352" s="656"/>
      <c r="I352" s="658">
        <f t="shared" si="2263"/>
        <v>0</v>
      </c>
      <c r="J352" s="658">
        <f t="shared" ref="J352" si="2600">IF($G352=0,0,-MIN(0,G352*c_EquityShare.LP))</f>
        <v>0</v>
      </c>
      <c r="K352" s="658">
        <f t="shared" ref="K352" si="2601">I352*c_Rate.Pref_MO</f>
        <v>0</v>
      </c>
      <c r="L352" s="658">
        <f t="shared" si="2239"/>
        <v>0</v>
      </c>
      <c r="M352" s="658">
        <f t="shared" si="2266"/>
        <v>0</v>
      </c>
      <c r="N352" s="658">
        <f t="shared" si="2289"/>
        <v>0</v>
      </c>
      <c r="O352" s="658" cm="1">
        <f t="array" ref="O352">IF(I352=0,0,IF(G352&lt;0,N352/c_EquityShare.LP*i_EquityShare.GP,L352/c_EquityShare.LP*i_EquityShare.GP))</f>
        <v>0</v>
      </c>
      <c r="P352" s="658">
        <f t="shared" si="2267"/>
        <v>0</v>
      </c>
      <c r="Q352" s="658">
        <f t="shared" si="2240"/>
        <v>0</v>
      </c>
      <c r="R352" s="521"/>
      <c r="S352" s="660">
        <f t="shared" si="2268"/>
        <v>0</v>
      </c>
      <c r="T352" s="663" cm="1">
        <f t="array" ref="T352">IF($G352=0,0,-MIN(0,$G352*c_EquityShare.LP))</f>
        <v>0</v>
      </c>
      <c r="U352" s="663" cm="1">
        <f t="array" ref="U352">IF($D352=0,0,S352*c_Rate.Hurdle1.MO)</f>
        <v>0</v>
      </c>
      <c r="V352" s="660">
        <f t="shared" si="2290"/>
        <v>0</v>
      </c>
      <c r="W352" s="660">
        <f t="shared" si="2269"/>
        <v>0</v>
      </c>
      <c r="X352" s="663">
        <f t="shared" si="2291"/>
        <v>0</v>
      </c>
      <c r="Y352" s="663">
        <f t="shared" si="2270"/>
        <v>0</v>
      </c>
      <c r="Z352" s="663">
        <f t="shared" ref="Z352" si="2602">IF(S352=0,0,O352+W352/$J$17*c_Hurdle1.Share_GP)</f>
        <v>0</v>
      </c>
      <c r="AA352" s="663">
        <f t="shared" si="2242"/>
        <v>0</v>
      </c>
      <c r="AB352" s="660">
        <f t="shared" si="2293"/>
        <v>0</v>
      </c>
      <c r="AC352" s="521"/>
      <c r="AD352" s="663">
        <f t="shared" si="2432"/>
        <v>0</v>
      </c>
      <c r="AE352" s="663">
        <f t="shared" ref="AE352" si="2603">IF($G352=0,0,-MIN(0,$G352*c_EquityShare.LP))</f>
        <v>0</v>
      </c>
      <c r="AF352" s="663" cm="1">
        <f t="array" ref="AF352">IF($D352=0,0,AD352*(c_Rate.Hurdle2.MO))</f>
        <v>0</v>
      </c>
      <c r="AG352" s="663">
        <f t="shared" si="2244"/>
        <v>0</v>
      </c>
      <c r="AH352" s="663">
        <f t="shared" si="2273"/>
        <v>0</v>
      </c>
      <c r="AI352" s="663">
        <f t="shared" si="2245"/>
        <v>0</v>
      </c>
      <c r="AJ352" s="664">
        <f t="shared" si="2246"/>
        <v>0</v>
      </c>
      <c r="AK352" s="660">
        <f t="shared" si="2247"/>
        <v>0</v>
      </c>
      <c r="AL352" s="663">
        <f t="shared" ref="AL352" si="2604">IF(AD352=0,0,Z352+AH352/$J$18*c_Hurdle2.Share_GP)</f>
        <v>0</v>
      </c>
      <c r="AM352" s="663">
        <f t="shared" si="2249"/>
        <v>0</v>
      </c>
      <c r="AN352" s="660">
        <f t="shared" si="2296"/>
        <v>0</v>
      </c>
      <c r="AO352" s="521"/>
      <c r="AP352" s="663">
        <f t="shared" si="2435"/>
        <v>0</v>
      </c>
      <c r="AQ352" s="663">
        <f t="shared" ref="AQ352" si="2605">IF($G352=0,0,-MIN(0,$G352*c_EquityShare.LP))</f>
        <v>0</v>
      </c>
      <c r="AR352" s="663" cm="1">
        <f t="array" ref="AR352">IF($D352=0,0,AP352*(c_Rate.Hurdle3.MO))</f>
        <v>0</v>
      </c>
      <c r="AS352" s="663">
        <f t="shared" si="2251"/>
        <v>0</v>
      </c>
      <c r="AT352" s="663">
        <f t="shared" si="2276"/>
        <v>0</v>
      </c>
      <c r="AU352" s="663">
        <f t="shared" si="2252"/>
        <v>0</v>
      </c>
      <c r="AV352" s="664">
        <f t="shared" si="2253"/>
        <v>0</v>
      </c>
      <c r="AW352" s="660">
        <f t="shared" si="2277"/>
        <v>0</v>
      </c>
      <c r="AX352" s="663">
        <f t="shared" ref="AX352" si="2606">IF(AP352=0,0,AL352+AT352/$J$19*c_Hurdle3.Share_GP)</f>
        <v>0</v>
      </c>
      <c r="AY352" s="663">
        <f t="shared" si="2279"/>
        <v>0</v>
      </c>
      <c r="AZ352" s="660">
        <f t="shared" si="2299"/>
        <v>0</v>
      </c>
      <c r="BA352" s="521"/>
      <c r="BB352" s="660">
        <f t="shared" si="2494"/>
        <v>0</v>
      </c>
      <c r="BC352" s="660">
        <f t="shared" ref="BC352" si="2607">$AZ352*c_Residual.Share_GP</f>
        <v>0</v>
      </c>
      <c r="BD352" s="651"/>
      <c r="BE352" s="660">
        <f t="shared" si="2281"/>
        <v>0</v>
      </c>
      <c r="BF352" s="660">
        <f t="shared" si="2281"/>
        <v>0</v>
      </c>
      <c r="BG352" s="660">
        <f t="shared" si="2256"/>
        <v>0</v>
      </c>
      <c r="BI352" s="660">
        <v>0</v>
      </c>
      <c r="BJ352" s="660">
        <v>0</v>
      </c>
      <c r="BK352" s="660">
        <v>0</v>
      </c>
      <c r="BL352" s="660">
        <f t="shared" si="2282"/>
        <v>0</v>
      </c>
      <c r="BM352" s="660">
        <f t="shared" si="2282"/>
        <v>0</v>
      </c>
      <c r="BN352" s="660">
        <f t="shared" si="2283"/>
        <v>0</v>
      </c>
      <c r="BO352" s="660">
        <f t="shared" si="2283"/>
        <v>0</v>
      </c>
      <c r="BP352" s="660">
        <f t="shared" si="2284"/>
        <v>0</v>
      </c>
      <c r="BQ352" s="660">
        <f t="shared" si="2284"/>
        <v>0</v>
      </c>
      <c r="BR352" s="660">
        <v>0</v>
      </c>
      <c r="BS352" s="660">
        <v>0</v>
      </c>
      <c r="BT352" s="660">
        <f t="shared" si="2257"/>
        <v>0</v>
      </c>
      <c r="BU352" s="660">
        <f t="shared" si="2257"/>
        <v>0</v>
      </c>
      <c r="BX352" s="660">
        <v>0</v>
      </c>
      <c r="BY352" s="660">
        <f t="shared" si="2285"/>
        <v>0</v>
      </c>
      <c r="BZ352" s="660">
        <f t="shared" si="2258"/>
        <v>0</v>
      </c>
      <c r="CA352" s="660">
        <f t="shared" si="2259"/>
        <v>0</v>
      </c>
      <c r="CB352" s="660">
        <f t="shared" si="2260"/>
        <v>0</v>
      </c>
      <c r="CC352" s="660">
        <f t="shared" si="2261"/>
        <v>0</v>
      </c>
      <c r="CD352" s="660">
        <f t="shared" si="2286"/>
        <v>0</v>
      </c>
    </row>
    <row r="353" spans="4:82" ht="16" hidden="1" thickTop="1" thickBot="1">
      <c r="D353" s="653"/>
      <c r="E353" s="654"/>
      <c r="F353" s="655" t="str">
        <f t="shared" si="2262"/>
        <v/>
      </c>
      <c r="G353" s="656"/>
      <c r="I353" s="658">
        <f t="shared" si="2263"/>
        <v>0</v>
      </c>
      <c r="J353" s="658">
        <f t="shared" ref="J353" si="2608">IF($G353=0,0,-MIN(0,G353*c_EquityShare.LP))</f>
        <v>0</v>
      </c>
      <c r="K353" s="658">
        <f t="shared" ref="K353" si="2609">I353*c_Rate.Pref_MO</f>
        <v>0</v>
      </c>
      <c r="L353" s="658">
        <f t="shared" si="2239"/>
        <v>0</v>
      </c>
      <c r="M353" s="658">
        <f t="shared" si="2266"/>
        <v>0</v>
      </c>
      <c r="N353" s="658">
        <f t="shared" si="2289"/>
        <v>0</v>
      </c>
      <c r="O353" s="658" cm="1">
        <f t="array" ref="O353">IF(I353=0,0,IF(G353&lt;0,N353/c_EquityShare.LP*i_EquityShare.GP,L353/c_EquityShare.LP*i_EquityShare.GP))</f>
        <v>0</v>
      </c>
      <c r="P353" s="658">
        <f t="shared" si="2267"/>
        <v>0</v>
      </c>
      <c r="Q353" s="658">
        <f t="shared" si="2240"/>
        <v>0</v>
      </c>
      <c r="R353" s="521"/>
      <c r="S353" s="660">
        <f t="shared" si="2268"/>
        <v>0</v>
      </c>
      <c r="T353" s="663" cm="1">
        <f t="array" ref="T353">IF($G353=0,0,-MIN(0,$G353*c_EquityShare.LP))</f>
        <v>0</v>
      </c>
      <c r="U353" s="663" cm="1">
        <f t="array" ref="U353">IF($D353=0,0,S353*c_Rate.Hurdle1.MO)</f>
        <v>0</v>
      </c>
      <c r="V353" s="660">
        <f t="shared" si="2290"/>
        <v>0</v>
      </c>
      <c r="W353" s="660">
        <f t="shared" si="2269"/>
        <v>0</v>
      </c>
      <c r="X353" s="663">
        <f t="shared" si="2291"/>
        <v>0</v>
      </c>
      <c r="Y353" s="663">
        <f t="shared" si="2270"/>
        <v>0</v>
      </c>
      <c r="Z353" s="663">
        <f t="shared" ref="Z353" si="2610">IF(S353=0,0,O353+W353/$J$17*c_Hurdle1.Share_GP)</f>
        <v>0</v>
      </c>
      <c r="AA353" s="663">
        <f t="shared" si="2242"/>
        <v>0</v>
      </c>
      <c r="AB353" s="660">
        <f t="shared" si="2293"/>
        <v>0</v>
      </c>
      <c r="AC353" s="521"/>
      <c r="AD353" s="663">
        <f t="shared" si="2432"/>
        <v>0</v>
      </c>
      <c r="AE353" s="663">
        <f t="shared" ref="AE353" si="2611">IF($G353=0,0,-MIN(0,$G353*c_EquityShare.LP))</f>
        <v>0</v>
      </c>
      <c r="AF353" s="663" cm="1">
        <f t="array" ref="AF353">IF($D353=0,0,AD353*(c_Rate.Hurdle2.MO))</f>
        <v>0</v>
      </c>
      <c r="AG353" s="663">
        <f t="shared" si="2244"/>
        <v>0</v>
      </c>
      <c r="AH353" s="663">
        <f t="shared" si="2273"/>
        <v>0</v>
      </c>
      <c r="AI353" s="663">
        <f t="shared" si="2245"/>
        <v>0</v>
      </c>
      <c r="AJ353" s="664">
        <f t="shared" si="2246"/>
        <v>0</v>
      </c>
      <c r="AK353" s="660">
        <f t="shared" si="2247"/>
        <v>0</v>
      </c>
      <c r="AL353" s="663">
        <f t="shared" ref="AL353" si="2612">IF(AD353=0,0,Z353+AH353/$J$18*c_Hurdle2.Share_GP)</f>
        <v>0</v>
      </c>
      <c r="AM353" s="663">
        <f t="shared" si="2249"/>
        <v>0</v>
      </c>
      <c r="AN353" s="660">
        <f t="shared" si="2296"/>
        <v>0</v>
      </c>
      <c r="AO353" s="521"/>
      <c r="AP353" s="663">
        <f t="shared" si="2435"/>
        <v>0</v>
      </c>
      <c r="AQ353" s="663">
        <f t="shared" ref="AQ353" si="2613">IF($G353=0,0,-MIN(0,$G353*c_EquityShare.LP))</f>
        <v>0</v>
      </c>
      <c r="AR353" s="663" cm="1">
        <f t="array" ref="AR353">IF($D353=0,0,AP353*(c_Rate.Hurdle3.MO))</f>
        <v>0</v>
      </c>
      <c r="AS353" s="663">
        <f t="shared" si="2251"/>
        <v>0</v>
      </c>
      <c r="AT353" s="663">
        <f t="shared" si="2276"/>
        <v>0</v>
      </c>
      <c r="AU353" s="663">
        <f t="shared" si="2252"/>
        <v>0</v>
      </c>
      <c r="AV353" s="664">
        <f t="shared" si="2253"/>
        <v>0</v>
      </c>
      <c r="AW353" s="660">
        <f t="shared" si="2277"/>
        <v>0</v>
      </c>
      <c r="AX353" s="663">
        <f t="shared" ref="AX353" si="2614">IF(AP353=0,0,AL353+AT353/$J$19*c_Hurdle3.Share_GP)</f>
        <v>0</v>
      </c>
      <c r="AY353" s="663">
        <f t="shared" si="2279"/>
        <v>0</v>
      </c>
      <c r="AZ353" s="660">
        <f t="shared" si="2299"/>
        <v>0</v>
      </c>
      <c r="BA353" s="521"/>
      <c r="BB353" s="660">
        <f t="shared" si="2494"/>
        <v>0</v>
      </c>
      <c r="BC353" s="660">
        <f t="shared" ref="BC353" si="2615">$AZ353*c_Residual.Share_GP</f>
        <v>0</v>
      </c>
      <c r="BD353" s="651"/>
      <c r="BE353" s="660">
        <f t="shared" si="2281"/>
        <v>0</v>
      </c>
      <c r="BF353" s="660">
        <f t="shared" si="2281"/>
        <v>0</v>
      </c>
      <c r="BG353" s="660">
        <f t="shared" si="2256"/>
        <v>0</v>
      </c>
      <c r="BI353" s="660">
        <v>0</v>
      </c>
      <c r="BJ353" s="660">
        <v>0</v>
      </c>
      <c r="BK353" s="660">
        <v>0</v>
      </c>
      <c r="BL353" s="660">
        <f t="shared" si="2282"/>
        <v>0</v>
      </c>
      <c r="BM353" s="660">
        <f t="shared" si="2282"/>
        <v>0</v>
      </c>
      <c r="BN353" s="660">
        <f t="shared" si="2283"/>
        <v>0</v>
      </c>
      <c r="BO353" s="660">
        <f t="shared" si="2283"/>
        <v>0</v>
      </c>
      <c r="BP353" s="660">
        <f t="shared" si="2284"/>
        <v>0</v>
      </c>
      <c r="BQ353" s="660">
        <f t="shared" si="2284"/>
        <v>0</v>
      </c>
      <c r="BR353" s="660">
        <v>0</v>
      </c>
      <c r="BS353" s="660">
        <v>0</v>
      </c>
      <c r="BT353" s="660">
        <f t="shared" si="2257"/>
        <v>0</v>
      </c>
      <c r="BU353" s="660">
        <f t="shared" si="2257"/>
        <v>0</v>
      </c>
      <c r="BX353" s="660">
        <v>0</v>
      </c>
      <c r="BY353" s="660">
        <f t="shared" si="2285"/>
        <v>0</v>
      </c>
      <c r="BZ353" s="660">
        <f t="shared" si="2258"/>
        <v>0</v>
      </c>
      <c r="CA353" s="660">
        <f t="shared" si="2259"/>
        <v>0</v>
      </c>
      <c r="CB353" s="660">
        <f t="shared" si="2260"/>
        <v>0</v>
      </c>
      <c r="CC353" s="660">
        <f t="shared" si="2261"/>
        <v>0</v>
      </c>
      <c r="CD353" s="660">
        <f t="shared" si="2286"/>
        <v>0</v>
      </c>
    </row>
    <row r="354" spans="4:82" ht="16" hidden="1" thickTop="1" thickBot="1">
      <c r="D354" s="653"/>
      <c r="E354" s="654"/>
      <c r="F354" s="655" t="str">
        <f t="shared" si="2262"/>
        <v/>
      </c>
      <c r="G354" s="656"/>
      <c r="I354" s="658">
        <f t="shared" si="2263"/>
        <v>0</v>
      </c>
      <c r="J354" s="658">
        <f t="shared" ref="J354" si="2616">IF($G354=0,0,-MIN(0,G354*c_EquityShare.LP))</f>
        <v>0</v>
      </c>
      <c r="K354" s="658">
        <f t="shared" ref="K354" si="2617">I354*c_Rate.Pref_MO</f>
        <v>0</v>
      </c>
      <c r="L354" s="658">
        <f t="shared" si="2239"/>
        <v>0</v>
      </c>
      <c r="M354" s="658">
        <f t="shared" si="2266"/>
        <v>0</v>
      </c>
      <c r="N354" s="658">
        <f t="shared" si="2289"/>
        <v>0</v>
      </c>
      <c r="O354" s="658" cm="1">
        <f t="array" ref="O354">IF(I354=0,0,IF(G354&lt;0,N354/c_EquityShare.LP*i_EquityShare.GP,L354/c_EquityShare.LP*i_EquityShare.GP))</f>
        <v>0</v>
      </c>
      <c r="P354" s="658">
        <f t="shared" si="2267"/>
        <v>0</v>
      </c>
      <c r="Q354" s="658">
        <f t="shared" si="2240"/>
        <v>0</v>
      </c>
      <c r="R354" s="521"/>
      <c r="S354" s="660">
        <f t="shared" si="2268"/>
        <v>0</v>
      </c>
      <c r="T354" s="663" cm="1">
        <f t="array" ref="T354">IF($G354=0,0,-MIN(0,$G354*c_EquityShare.LP))</f>
        <v>0</v>
      </c>
      <c r="U354" s="663" cm="1">
        <f t="array" ref="U354">IF($D354=0,0,S354*c_Rate.Hurdle1.MO)</f>
        <v>0</v>
      </c>
      <c r="V354" s="660">
        <f t="shared" si="2290"/>
        <v>0</v>
      </c>
      <c r="W354" s="660">
        <f t="shared" si="2269"/>
        <v>0</v>
      </c>
      <c r="X354" s="663">
        <f t="shared" si="2291"/>
        <v>0</v>
      </c>
      <c r="Y354" s="663">
        <f t="shared" si="2270"/>
        <v>0</v>
      </c>
      <c r="Z354" s="663">
        <f t="shared" ref="Z354" si="2618">IF(S354=0,0,O354+W354/$J$17*c_Hurdle1.Share_GP)</f>
        <v>0</v>
      </c>
      <c r="AA354" s="663">
        <f t="shared" si="2242"/>
        <v>0</v>
      </c>
      <c r="AB354" s="660">
        <f t="shared" si="2293"/>
        <v>0</v>
      </c>
      <c r="AC354" s="521"/>
      <c r="AD354" s="663">
        <f t="shared" si="2432"/>
        <v>0</v>
      </c>
      <c r="AE354" s="663">
        <f t="shared" ref="AE354" si="2619">IF($G354=0,0,-MIN(0,$G354*c_EquityShare.LP))</f>
        <v>0</v>
      </c>
      <c r="AF354" s="663" cm="1">
        <f t="array" ref="AF354">IF($D354=0,0,AD354*(c_Rate.Hurdle2.MO))</f>
        <v>0</v>
      </c>
      <c r="AG354" s="663">
        <f t="shared" si="2244"/>
        <v>0</v>
      </c>
      <c r="AH354" s="663">
        <f t="shared" si="2273"/>
        <v>0</v>
      </c>
      <c r="AI354" s="663">
        <f t="shared" si="2245"/>
        <v>0</v>
      </c>
      <c r="AJ354" s="664">
        <f t="shared" si="2246"/>
        <v>0</v>
      </c>
      <c r="AK354" s="660">
        <f t="shared" si="2247"/>
        <v>0</v>
      </c>
      <c r="AL354" s="663">
        <f t="shared" ref="AL354" si="2620">IF(AD354=0,0,Z354+AH354/$J$18*c_Hurdle2.Share_GP)</f>
        <v>0</v>
      </c>
      <c r="AM354" s="663">
        <f t="shared" si="2249"/>
        <v>0</v>
      </c>
      <c r="AN354" s="660">
        <f t="shared" si="2296"/>
        <v>0</v>
      </c>
      <c r="AO354" s="521"/>
      <c r="AP354" s="663">
        <f t="shared" si="2435"/>
        <v>0</v>
      </c>
      <c r="AQ354" s="663">
        <f t="shared" ref="AQ354" si="2621">IF($G354=0,0,-MIN(0,$G354*c_EquityShare.LP))</f>
        <v>0</v>
      </c>
      <c r="AR354" s="663" cm="1">
        <f t="array" ref="AR354">IF($D354=0,0,AP354*(c_Rate.Hurdle3.MO))</f>
        <v>0</v>
      </c>
      <c r="AS354" s="663">
        <f t="shared" si="2251"/>
        <v>0</v>
      </c>
      <c r="AT354" s="663">
        <f t="shared" si="2276"/>
        <v>0</v>
      </c>
      <c r="AU354" s="663">
        <f t="shared" si="2252"/>
        <v>0</v>
      </c>
      <c r="AV354" s="664">
        <f t="shared" si="2253"/>
        <v>0</v>
      </c>
      <c r="AW354" s="660">
        <f t="shared" si="2277"/>
        <v>0</v>
      </c>
      <c r="AX354" s="663">
        <f t="shared" ref="AX354" si="2622">IF(AP354=0,0,AL354+AT354/$J$19*c_Hurdle3.Share_GP)</f>
        <v>0</v>
      </c>
      <c r="AY354" s="663">
        <f t="shared" si="2279"/>
        <v>0</v>
      </c>
      <c r="AZ354" s="660">
        <f t="shared" si="2299"/>
        <v>0</v>
      </c>
      <c r="BA354" s="521"/>
      <c r="BB354" s="660">
        <f t="shared" si="2494"/>
        <v>0</v>
      </c>
      <c r="BC354" s="660">
        <f t="shared" ref="BC354" si="2623">$AZ354*c_Residual.Share_GP</f>
        <v>0</v>
      </c>
      <c r="BD354" s="651"/>
      <c r="BE354" s="660">
        <f t="shared" si="2281"/>
        <v>0</v>
      </c>
      <c r="BF354" s="660">
        <f t="shared" si="2281"/>
        <v>0</v>
      </c>
      <c r="BG354" s="660">
        <f t="shared" si="2256"/>
        <v>0</v>
      </c>
      <c r="BI354" s="660">
        <v>0</v>
      </c>
      <c r="BJ354" s="660">
        <v>0</v>
      </c>
      <c r="BK354" s="660">
        <v>0</v>
      </c>
      <c r="BL354" s="660">
        <f t="shared" si="2282"/>
        <v>0</v>
      </c>
      <c r="BM354" s="660">
        <f t="shared" si="2282"/>
        <v>0</v>
      </c>
      <c r="BN354" s="660">
        <f t="shared" si="2283"/>
        <v>0</v>
      </c>
      <c r="BO354" s="660">
        <f t="shared" si="2283"/>
        <v>0</v>
      </c>
      <c r="BP354" s="660">
        <f t="shared" si="2284"/>
        <v>0</v>
      </c>
      <c r="BQ354" s="660">
        <f t="shared" si="2284"/>
        <v>0</v>
      </c>
      <c r="BR354" s="660">
        <v>0</v>
      </c>
      <c r="BS354" s="660">
        <v>0</v>
      </c>
      <c r="BT354" s="660">
        <f t="shared" si="2257"/>
        <v>0</v>
      </c>
      <c r="BU354" s="660">
        <f t="shared" si="2257"/>
        <v>0</v>
      </c>
      <c r="BX354" s="660">
        <v>0</v>
      </c>
      <c r="BY354" s="660">
        <f t="shared" si="2285"/>
        <v>0</v>
      </c>
      <c r="BZ354" s="660">
        <f t="shared" si="2258"/>
        <v>0</v>
      </c>
      <c r="CA354" s="660">
        <f t="shared" si="2259"/>
        <v>0</v>
      </c>
      <c r="CB354" s="660">
        <f t="shared" si="2260"/>
        <v>0</v>
      </c>
      <c r="CC354" s="660">
        <f t="shared" si="2261"/>
        <v>0</v>
      </c>
      <c r="CD354" s="660">
        <f t="shared" si="2286"/>
        <v>0</v>
      </c>
    </row>
    <row r="355" spans="4:82" ht="16" hidden="1" thickTop="1" thickBot="1">
      <c r="D355" s="653"/>
      <c r="E355" s="654"/>
      <c r="F355" s="655" t="str">
        <f t="shared" si="2262"/>
        <v/>
      </c>
      <c r="G355" s="656"/>
      <c r="I355" s="658">
        <f t="shared" si="2263"/>
        <v>0</v>
      </c>
      <c r="J355" s="658">
        <f t="shared" ref="J355" si="2624">IF($G355=0,0,-MIN(0,G355*c_EquityShare.LP))</f>
        <v>0</v>
      </c>
      <c r="K355" s="658">
        <f t="shared" ref="K355" si="2625">I355*c_Rate.Pref_MO</f>
        <v>0</v>
      </c>
      <c r="L355" s="658">
        <f t="shared" si="2239"/>
        <v>0</v>
      </c>
      <c r="M355" s="658">
        <f t="shared" si="2266"/>
        <v>0</v>
      </c>
      <c r="N355" s="658">
        <f t="shared" si="2289"/>
        <v>0</v>
      </c>
      <c r="O355" s="658" cm="1">
        <f t="array" ref="O355">IF(I355=0,0,IF(G355&lt;0,N355/c_EquityShare.LP*i_EquityShare.GP,L355/c_EquityShare.LP*i_EquityShare.GP))</f>
        <v>0</v>
      </c>
      <c r="P355" s="658">
        <f t="shared" si="2267"/>
        <v>0</v>
      </c>
      <c r="Q355" s="658">
        <f t="shared" si="2240"/>
        <v>0</v>
      </c>
      <c r="R355" s="521"/>
      <c r="S355" s="660">
        <f t="shared" si="2268"/>
        <v>0</v>
      </c>
      <c r="T355" s="663" cm="1">
        <f t="array" ref="T355">IF($G355=0,0,-MIN(0,$G355*c_EquityShare.LP))</f>
        <v>0</v>
      </c>
      <c r="U355" s="663" cm="1">
        <f t="array" ref="U355">IF($D355=0,0,S355*c_Rate.Hurdle1.MO)</f>
        <v>0</v>
      </c>
      <c r="V355" s="660">
        <f t="shared" si="2290"/>
        <v>0</v>
      </c>
      <c r="W355" s="660">
        <f t="shared" si="2269"/>
        <v>0</v>
      </c>
      <c r="X355" s="663">
        <f t="shared" si="2291"/>
        <v>0</v>
      </c>
      <c r="Y355" s="663">
        <f t="shared" si="2270"/>
        <v>0</v>
      </c>
      <c r="Z355" s="663">
        <f t="shared" ref="Z355" si="2626">IF(S355=0,0,O355+W355/$J$17*c_Hurdle1.Share_GP)</f>
        <v>0</v>
      </c>
      <c r="AA355" s="663">
        <f t="shared" si="2242"/>
        <v>0</v>
      </c>
      <c r="AB355" s="660">
        <f t="shared" si="2293"/>
        <v>0</v>
      </c>
      <c r="AC355" s="521"/>
      <c r="AD355" s="663">
        <f t="shared" si="2432"/>
        <v>0</v>
      </c>
      <c r="AE355" s="663">
        <f t="shared" ref="AE355" si="2627">IF($G355=0,0,-MIN(0,$G355*c_EquityShare.LP))</f>
        <v>0</v>
      </c>
      <c r="AF355" s="663" cm="1">
        <f t="array" ref="AF355">IF($D355=0,0,AD355*(c_Rate.Hurdle2.MO))</f>
        <v>0</v>
      </c>
      <c r="AG355" s="663">
        <f t="shared" si="2244"/>
        <v>0</v>
      </c>
      <c r="AH355" s="663">
        <f t="shared" si="2273"/>
        <v>0</v>
      </c>
      <c r="AI355" s="663">
        <f t="shared" si="2245"/>
        <v>0</v>
      </c>
      <c r="AJ355" s="664">
        <f t="shared" si="2246"/>
        <v>0</v>
      </c>
      <c r="AK355" s="660">
        <f t="shared" si="2247"/>
        <v>0</v>
      </c>
      <c r="AL355" s="663">
        <f t="shared" ref="AL355" si="2628">IF(AD355=0,0,Z355+AH355/$J$18*c_Hurdle2.Share_GP)</f>
        <v>0</v>
      </c>
      <c r="AM355" s="663">
        <f t="shared" si="2249"/>
        <v>0</v>
      </c>
      <c r="AN355" s="660">
        <f t="shared" si="2296"/>
        <v>0</v>
      </c>
      <c r="AO355" s="521"/>
      <c r="AP355" s="663">
        <f t="shared" si="2435"/>
        <v>0</v>
      </c>
      <c r="AQ355" s="663">
        <f t="shared" ref="AQ355" si="2629">IF($G355=0,0,-MIN(0,$G355*c_EquityShare.LP))</f>
        <v>0</v>
      </c>
      <c r="AR355" s="663" cm="1">
        <f t="array" ref="AR355">IF($D355=0,0,AP355*(c_Rate.Hurdle3.MO))</f>
        <v>0</v>
      </c>
      <c r="AS355" s="663">
        <f t="shared" si="2251"/>
        <v>0</v>
      </c>
      <c r="AT355" s="663">
        <f t="shared" si="2276"/>
        <v>0</v>
      </c>
      <c r="AU355" s="663">
        <f t="shared" si="2252"/>
        <v>0</v>
      </c>
      <c r="AV355" s="664">
        <f t="shared" si="2253"/>
        <v>0</v>
      </c>
      <c r="AW355" s="660">
        <f t="shared" si="2277"/>
        <v>0</v>
      </c>
      <c r="AX355" s="663">
        <f t="shared" ref="AX355" si="2630">IF(AP355=0,0,AL355+AT355/$J$19*c_Hurdle3.Share_GP)</f>
        <v>0</v>
      </c>
      <c r="AY355" s="663">
        <f t="shared" si="2279"/>
        <v>0</v>
      </c>
      <c r="AZ355" s="660">
        <f t="shared" si="2299"/>
        <v>0</v>
      </c>
      <c r="BA355" s="521"/>
      <c r="BB355" s="660">
        <f t="shared" si="2494"/>
        <v>0</v>
      </c>
      <c r="BC355" s="660">
        <f t="shared" ref="BC355" si="2631">$AZ355*c_Residual.Share_GP</f>
        <v>0</v>
      </c>
      <c r="BD355" s="651"/>
      <c r="BE355" s="660">
        <f t="shared" si="2281"/>
        <v>0</v>
      </c>
      <c r="BF355" s="660">
        <f t="shared" si="2281"/>
        <v>0</v>
      </c>
      <c r="BG355" s="660">
        <f t="shared" si="2256"/>
        <v>0</v>
      </c>
      <c r="BI355" s="660">
        <v>0</v>
      </c>
      <c r="BJ355" s="660">
        <v>0</v>
      </c>
      <c r="BK355" s="660">
        <v>0</v>
      </c>
      <c r="BL355" s="660">
        <f t="shared" si="2282"/>
        <v>0</v>
      </c>
      <c r="BM355" s="660">
        <f t="shared" si="2282"/>
        <v>0</v>
      </c>
      <c r="BN355" s="660">
        <f t="shared" si="2283"/>
        <v>0</v>
      </c>
      <c r="BO355" s="660">
        <f t="shared" si="2283"/>
        <v>0</v>
      </c>
      <c r="BP355" s="660">
        <f t="shared" si="2284"/>
        <v>0</v>
      </c>
      <c r="BQ355" s="660">
        <f t="shared" si="2284"/>
        <v>0</v>
      </c>
      <c r="BR355" s="660">
        <v>0</v>
      </c>
      <c r="BS355" s="660">
        <v>0</v>
      </c>
      <c r="BT355" s="660">
        <f t="shared" si="2257"/>
        <v>0</v>
      </c>
      <c r="BU355" s="660">
        <f t="shared" si="2257"/>
        <v>0</v>
      </c>
      <c r="BX355" s="660">
        <v>0</v>
      </c>
      <c r="BY355" s="660">
        <f t="shared" si="2285"/>
        <v>0</v>
      </c>
      <c r="BZ355" s="660">
        <f t="shared" si="2258"/>
        <v>0</v>
      </c>
      <c r="CA355" s="660">
        <f t="shared" si="2259"/>
        <v>0</v>
      </c>
      <c r="CB355" s="660">
        <f t="shared" si="2260"/>
        <v>0</v>
      </c>
      <c r="CC355" s="660">
        <f t="shared" si="2261"/>
        <v>0</v>
      </c>
      <c r="CD355" s="660">
        <f t="shared" si="2286"/>
        <v>0</v>
      </c>
    </row>
    <row r="356" spans="4:82" ht="16" hidden="1" thickTop="1" thickBot="1">
      <c r="D356" s="653"/>
      <c r="E356" s="654"/>
      <c r="F356" s="655" t="str">
        <f t="shared" si="2262"/>
        <v/>
      </c>
      <c r="G356" s="656"/>
      <c r="I356" s="658">
        <f t="shared" si="2263"/>
        <v>0</v>
      </c>
      <c r="J356" s="658">
        <f t="shared" ref="J356" si="2632">IF($G356=0,0,-MIN(0,G356*c_EquityShare.LP))</f>
        <v>0</v>
      </c>
      <c r="K356" s="658">
        <f t="shared" ref="K356" si="2633">I356*c_Rate.Pref_MO</f>
        <v>0</v>
      </c>
      <c r="L356" s="658">
        <f t="shared" si="2239"/>
        <v>0</v>
      </c>
      <c r="M356" s="658">
        <f t="shared" si="2266"/>
        <v>0</v>
      </c>
      <c r="N356" s="658">
        <f t="shared" si="2289"/>
        <v>0</v>
      </c>
      <c r="O356" s="658" cm="1">
        <f t="array" ref="O356">IF(I356=0,0,IF(G356&lt;0,N356/c_EquityShare.LP*i_EquityShare.GP,L356/c_EquityShare.LP*i_EquityShare.GP))</f>
        <v>0</v>
      </c>
      <c r="P356" s="658">
        <f t="shared" si="2267"/>
        <v>0</v>
      </c>
      <c r="Q356" s="658">
        <f t="shared" si="2240"/>
        <v>0</v>
      </c>
      <c r="R356" s="521"/>
      <c r="S356" s="660">
        <f t="shared" si="2268"/>
        <v>0</v>
      </c>
      <c r="T356" s="663" cm="1">
        <f t="array" ref="T356">IF($G356=0,0,-MIN(0,$G356*c_EquityShare.LP))</f>
        <v>0</v>
      </c>
      <c r="U356" s="663" cm="1">
        <f t="array" ref="U356">IF($D356=0,0,S356*c_Rate.Hurdle1.MO)</f>
        <v>0</v>
      </c>
      <c r="V356" s="660">
        <f t="shared" si="2290"/>
        <v>0</v>
      </c>
      <c r="W356" s="660">
        <f t="shared" si="2269"/>
        <v>0</v>
      </c>
      <c r="X356" s="663">
        <f t="shared" si="2291"/>
        <v>0</v>
      </c>
      <c r="Y356" s="663">
        <f t="shared" si="2270"/>
        <v>0</v>
      </c>
      <c r="Z356" s="663">
        <f t="shared" ref="Z356" si="2634">IF(S356=0,0,O356+W356/$J$17*c_Hurdle1.Share_GP)</f>
        <v>0</v>
      </c>
      <c r="AA356" s="663">
        <f t="shared" si="2242"/>
        <v>0</v>
      </c>
      <c r="AB356" s="660">
        <f t="shared" si="2293"/>
        <v>0</v>
      </c>
      <c r="AC356" s="521"/>
      <c r="AD356" s="663">
        <f t="shared" si="2432"/>
        <v>0</v>
      </c>
      <c r="AE356" s="663">
        <f t="shared" ref="AE356" si="2635">IF($G356=0,0,-MIN(0,$G356*c_EquityShare.LP))</f>
        <v>0</v>
      </c>
      <c r="AF356" s="663" cm="1">
        <f t="array" ref="AF356">IF($D356=0,0,AD356*(c_Rate.Hurdle2.MO))</f>
        <v>0</v>
      </c>
      <c r="AG356" s="663">
        <f t="shared" si="2244"/>
        <v>0</v>
      </c>
      <c r="AH356" s="663">
        <f t="shared" si="2273"/>
        <v>0</v>
      </c>
      <c r="AI356" s="663">
        <f t="shared" si="2245"/>
        <v>0</v>
      </c>
      <c r="AJ356" s="664">
        <f t="shared" si="2246"/>
        <v>0</v>
      </c>
      <c r="AK356" s="660">
        <f t="shared" si="2247"/>
        <v>0</v>
      </c>
      <c r="AL356" s="663">
        <f t="shared" ref="AL356" si="2636">IF(AD356=0,0,Z356+AH356/$J$18*c_Hurdle2.Share_GP)</f>
        <v>0</v>
      </c>
      <c r="AM356" s="663">
        <f t="shared" si="2249"/>
        <v>0</v>
      </c>
      <c r="AN356" s="660">
        <f t="shared" si="2296"/>
        <v>0</v>
      </c>
      <c r="AO356" s="521"/>
      <c r="AP356" s="663">
        <f t="shared" si="2435"/>
        <v>0</v>
      </c>
      <c r="AQ356" s="663">
        <f t="shared" ref="AQ356" si="2637">IF($G356=0,0,-MIN(0,$G356*c_EquityShare.LP))</f>
        <v>0</v>
      </c>
      <c r="AR356" s="663" cm="1">
        <f t="array" ref="AR356">IF($D356=0,0,AP356*(c_Rate.Hurdle3.MO))</f>
        <v>0</v>
      </c>
      <c r="AS356" s="663">
        <f t="shared" si="2251"/>
        <v>0</v>
      </c>
      <c r="AT356" s="663">
        <f t="shared" si="2276"/>
        <v>0</v>
      </c>
      <c r="AU356" s="663">
        <f t="shared" si="2252"/>
        <v>0</v>
      </c>
      <c r="AV356" s="664">
        <f t="shared" si="2253"/>
        <v>0</v>
      </c>
      <c r="AW356" s="660">
        <f t="shared" si="2277"/>
        <v>0</v>
      </c>
      <c r="AX356" s="663">
        <f t="shared" ref="AX356" si="2638">IF(AP356=0,0,AL356+AT356/$J$19*c_Hurdle3.Share_GP)</f>
        <v>0</v>
      </c>
      <c r="AY356" s="663">
        <f t="shared" si="2279"/>
        <v>0</v>
      </c>
      <c r="AZ356" s="660">
        <f t="shared" si="2299"/>
        <v>0</v>
      </c>
      <c r="BA356" s="521"/>
      <c r="BB356" s="660">
        <f t="shared" si="2494"/>
        <v>0</v>
      </c>
      <c r="BC356" s="660">
        <f t="shared" ref="BC356" si="2639">$AZ356*c_Residual.Share_GP</f>
        <v>0</v>
      </c>
      <c r="BD356" s="651"/>
      <c r="BE356" s="660">
        <f t="shared" si="2281"/>
        <v>0</v>
      </c>
      <c r="BF356" s="660">
        <f t="shared" si="2281"/>
        <v>0</v>
      </c>
      <c r="BG356" s="660">
        <f t="shared" si="2256"/>
        <v>0</v>
      </c>
      <c r="BI356" s="660">
        <v>0</v>
      </c>
      <c r="BJ356" s="660">
        <v>0</v>
      </c>
      <c r="BK356" s="660">
        <v>0</v>
      </c>
      <c r="BL356" s="660">
        <f t="shared" si="2282"/>
        <v>0</v>
      </c>
      <c r="BM356" s="660">
        <f t="shared" si="2282"/>
        <v>0</v>
      </c>
      <c r="BN356" s="660">
        <f t="shared" si="2283"/>
        <v>0</v>
      </c>
      <c r="BO356" s="660">
        <f t="shared" si="2283"/>
        <v>0</v>
      </c>
      <c r="BP356" s="660">
        <f t="shared" si="2284"/>
        <v>0</v>
      </c>
      <c r="BQ356" s="660">
        <f t="shared" si="2284"/>
        <v>0</v>
      </c>
      <c r="BR356" s="660">
        <v>0</v>
      </c>
      <c r="BS356" s="660">
        <v>0</v>
      </c>
      <c r="BT356" s="660">
        <f t="shared" si="2257"/>
        <v>0</v>
      </c>
      <c r="BU356" s="660">
        <f t="shared" si="2257"/>
        <v>0</v>
      </c>
      <c r="BX356" s="660">
        <v>0</v>
      </c>
      <c r="BY356" s="660">
        <f t="shared" si="2285"/>
        <v>0</v>
      </c>
      <c r="BZ356" s="660">
        <f t="shared" si="2258"/>
        <v>0</v>
      </c>
      <c r="CA356" s="660">
        <f t="shared" si="2259"/>
        <v>0</v>
      </c>
      <c r="CB356" s="660">
        <f t="shared" si="2260"/>
        <v>0</v>
      </c>
      <c r="CC356" s="660">
        <f t="shared" si="2261"/>
        <v>0</v>
      </c>
      <c r="CD356" s="660">
        <f t="shared" si="2286"/>
        <v>0</v>
      </c>
    </row>
    <row r="357" spans="4:82" ht="16" hidden="1" thickTop="1" thickBot="1">
      <c r="D357" s="653"/>
      <c r="E357" s="654"/>
      <c r="F357" s="655" t="str">
        <f t="shared" si="2262"/>
        <v/>
      </c>
      <c r="G357" s="656"/>
      <c r="I357" s="658">
        <f t="shared" si="2263"/>
        <v>0</v>
      </c>
      <c r="J357" s="658">
        <f t="shared" ref="J357" si="2640">IF($G357=0,0,-MIN(0,G357*c_EquityShare.LP))</f>
        <v>0</v>
      </c>
      <c r="K357" s="658">
        <f t="shared" ref="K357" si="2641">I357*c_Rate.Pref_MO</f>
        <v>0</v>
      </c>
      <c r="L357" s="658">
        <f t="shared" si="2239"/>
        <v>0</v>
      </c>
      <c r="M357" s="658">
        <f t="shared" si="2266"/>
        <v>0</v>
      </c>
      <c r="N357" s="658">
        <f t="shared" si="2289"/>
        <v>0</v>
      </c>
      <c r="O357" s="658" cm="1">
        <f t="array" ref="O357">IF(I357=0,0,IF(G357&lt;0,N357/c_EquityShare.LP*i_EquityShare.GP,L357/c_EquityShare.LP*i_EquityShare.GP))</f>
        <v>0</v>
      </c>
      <c r="P357" s="658">
        <f t="shared" si="2267"/>
        <v>0</v>
      </c>
      <c r="Q357" s="658">
        <f t="shared" si="2240"/>
        <v>0</v>
      </c>
      <c r="R357" s="521"/>
      <c r="S357" s="660">
        <f t="shared" si="2268"/>
        <v>0</v>
      </c>
      <c r="T357" s="663" cm="1">
        <f t="array" ref="T357">IF($G357=0,0,-MIN(0,$G357*c_EquityShare.LP))</f>
        <v>0</v>
      </c>
      <c r="U357" s="663" cm="1">
        <f t="array" ref="U357">IF($D357=0,0,S357*c_Rate.Hurdle1.MO)</f>
        <v>0</v>
      </c>
      <c r="V357" s="660">
        <f t="shared" si="2290"/>
        <v>0</v>
      </c>
      <c r="W357" s="660">
        <f t="shared" si="2269"/>
        <v>0</v>
      </c>
      <c r="X357" s="663">
        <f t="shared" si="2291"/>
        <v>0</v>
      </c>
      <c r="Y357" s="663">
        <f t="shared" si="2270"/>
        <v>0</v>
      </c>
      <c r="Z357" s="663">
        <f t="shared" ref="Z357" si="2642">IF(S357=0,0,O357+W357/$J$17*c_Hurdle1.Share_GP)</f>
        <v>0</v>
      </c>
      <c r="AA357" s="663">
        <f t="shared" si="2242"/>
        <v>0</v>
      </c>
      <c r="AB357" s="660">
        <f t="shared" si="2293"/>
        <v>0</v>
      </c>
      <c r="AC357" s="521"/>
      <c r="AD357" s="663">
        <f t="shared" si="2432"/>
        <v>0</v>
      </c>
      <c r="AE357" s="663">
        <f t="shared" ref="AE357" si="2643">IF($G357=0,0,-MIN(0,$G357*c_EquityShare.LP))</f>
        <v>0</v>
      </c>
      <c r="AF357" s="663" cm="1">
        <f t="array" ref="AF357">IF($D357=0,0,AD357*(c_Rate.Hurdle2.MO))</f>
        <v>0</v>
      </c>
      <c r="AG357" s="663">
        <f t="shared" si="2244"/>
        <v>0</v>
      </c>
      <c r="AH357" s="663">
        <f t="shared" si="2273"/>
        <v>0</v>
      </c>
      <c r="AI357" s="663">
        <f t="shared" si="2245"/>
        <v>0</v>
      </c>
      <c r="AJ357" s="664">
        <f t="shared" si="2246"/>
        <v>0</v>
      </c>
      <c r="AK357" s="660">
        <f t="shared" si="2247"/>
        <v>0</v>
      </c>
      <c r="AL357" s="663">
        <f t="shared" ref="AL357" si="2644">IF(AD357=0,0,Z357+AH357/$J$18*c_Hurdle2.Share_GP)</f>
        <v>0</v>
      </c>
      <c r="AM357" s="663">
        <f t="shared" si="2249"/>
        <v>0</v>
      </c>
      <c r="AN357" s="660">
        <f t="shared" si="2296"/>
        <v>0</v>
      </c>
      <c r="AO357" s="521"/>
      <c r="AP357" s="663">
        <f t="shared" si="2435"/>
        <v>0</v>
      </c>
      <c r="AQ357" s="663">
        <f t="shared" ref="AQ357" si="2645">IF($G357=0,0,-MIN(0,$G357*c_EquityShare.LP))</f>
        <v>0</v>
      </c>
      <c r="AR357" s="663" cm="1">
        <f t="array" ref="AR357">IF($D357=0,0,AP357*(c_Rate.Hurdle3.MO))</f>
        <v>0</v>
      </c>
      <c r="AS357" s="663">
        <f t="shared" si="2251"/>
        <v>0</v>
      </c>
      <c r="AT357" s="663">
        <f t="shared" si="2276"/>
        <v>0</v>
      </c>
      <c r="AU357" s="663">
        <f t="shared" si="2252"/>
        <v>0</v>
      </c>
      <c r="AV357" s="664">
        <f t="shared" si="2253"/>
        <v>0</v>
      </c>
      <c r="AW357" s="660">
        <f t="shared" si="2277"/>
        <v>0</v>
      </c>
      <c r="AX357" s="663">
        <f t="shared" ref="AX357" si="2646">IF(AP357=0,0,AL357+AT357/$J$19*c_Hurdle3.Share_GP)</f>
        <v>0</v>
      </c>
      <c r="AY357" s="663">
        <f t="shared" si="2279"/>
        <v>0</v>
      </c>
      <c r="AZ357" s="660">
        <f t="shared" si="2299"/>
        <v>0</v>
      </c>
      <c r="BA357" s="521"/>
      <c r="BB357" s="660">
        <f t="shared" si="2494"/>
        <v>0</v>
      </c>
      <c r="BC357" s="660">
        <f t="shared" ref="BC357" si="2647">$AZ357*c_Residual.Share_GP</f>
        <v>0</v>
      </c>
      <c r="BD357" s="651"/>
      <c r="BE357" s="660">
        <f t="shared" si="2281"/>
        <v>0</v>
      </c>
      <c r="BF357" s="660">
        <f t="shared" si="2281"/>
        <v>0</v>
      </c>
      <c r="BG357" s="660">
        <f t="shared" si="2256"/>
        <v>0</v>
      </c>
      <c r="BI357" s="660">
        <v>0</v>
      </c>
      <c r="BJ357" s="660">
        <v>0</v>
      </c>
      <c r="BK357" s="660">
        <v>0</v>
      </c>
      <c r="BL357" s="660">
        <f t="shared" si="2282"/>
        <v>0</v>
      </c>
      <c r="BM357" s="660">
        <f t="shared" si="2282"/>
        <v>0</v>
      </c>
      <c r="BN357" s="660">
        <f t="shared" si="2283"/>
        <v>0</v>
      </c>
      <c r="BO357" s="660">
        <f t="shared" si="2283"/>
        <v>0</v>
      </c>
      <c r="BP357" s="660">
        <f t="shared" si="2284"/>
        <v>0</v>
      </c>
      <c r="BQ357" s="660">
        <f t="shared" si="2284"/>
        <v>0</v>
      </c>
      <c r="BR357" s="660">
        <v>0</v>
      </c>
      <c r="BS357" s="660">
        <v>0</v>
      </c>
      <c r="BT357" s="660">
        <f t="shared" si="2257"/>
        <v>0</v>
      </c>
      <c r="BU357" s="660">
        <f t="shared" si="2257"/>
        <v>0</v>
      </c>
      <c r="BX357" s="660">
        <v>0</v>
      </c>
      <c r="BY357" s="660">
        <f t="shared" si="2285"/>
        <v>0</v>
      </c>
      <c r="BZ357" s="660">
        <f t="shared" si="2258"/>
        <v>0</v>
      </c>
      <c r="CA357" s="660">
        <f t="shared" si="2259"/>
        <v>0</v>
      </c>
      <c r="CB357" s="660">
        <f t="shared" si="2260"/>
        <v>0</v>
      </c>
      <c r="CC357" s="660">
        <f t="shared" si="2261"/>
        <v>0</v>
      </c>
      <c r="CD357" s="660">
        <f t="shared" si="2286"/>
        <v>0</v>
      </c>
    </row>
    <row r="358" spans="4:82" ht="16" hidden="1" thickTop="1" thickBot="1">
      <c r="D358" s="653"/>
      <c r="E358" s="654"/>
      <c r="F358" s="655" t="str">
        <f t="shared" si="2262"/>
        <v/>
      </c>
      <c r="G358" s="656"/>
      <c r="I358" s="658">
        <f t="shared" si="2263"/>
        <v>0</v>
      </c>
      <c r="J358" s="658">
        <f t="shared" ref="J358" si="2648">IF($G358=0,0,-MIN(0,G358*c_EquityShare.LP))</f>
        <v>0</v>
      </c>
      <c r="K358" s="658">
        <f t="shared" ref="K358" si="2649">I358*c_Rate.Pref_MO</f>
        <v>0</v>
      </c>
      <c r="L358" s="658">
        <f t="shared" si="2239"/>
        <v>0</v>
      </c>
      <c r="M358" s="658">
        <f t="shared" si="2266"/>
        <v>0</v>
      </c>
      <c r="N358" s="658">
        <f t="shared" si="2289"/>
        <v>0</v>
      </c>
      <c r="O358" s="658" cm="1">
        <f t="array" ref="O358">IF(I358=0,0,IF(G358&lt;0,N358/c_EquityShare.LP*i_EquityShare.GP,L358/c_EquityShare.LP*i_EquityShare.GP))</f>
        <v>0</v>
      </c>
      <c r="P358" s="658">
        <f t="shared" si="2267"/>
        <v>0</v>
      </c>
      <c r="Q358" s="658">
        <f t="shared" si="2240"/>
        <v>0</v>
      </c>
      <c r="R358" s="521"/>
      <c r="S358" s="660">
        <f t="shared" si="2268"/>
        <v>0</v>
      </c>
      <c r="T358" s="663" cm="1">
        <f t="array" ref="T358">IF($G358=0,0,-MIN(0,$G358*c_EquityShare.LP))</f>
        <v>0</v>
      </c>
      <c r="U358" s="663" cm="1">
        <f t="array" ref="U358">IF($D358=0,0,S358*c_Rate.Hurdle1.MO)</f>
        <v>0</v>
      </c>
      <c r="V358" s="660">
        <f t="shared" si="2290"/>
        <v>0</v>
      </c>
      <c r="W358" s="660">
        <f t="shared" si="2269"/>
        <v>0</v>
      </c>
      <c r="X358" s="663">
        <f t="shared" si="2291"/>
        <v>0</v>
      </c>
      <c r="Y358" s="663">
        <f t="shared" si="2270"/>
        <v>0</v>
      </c>
      <c r="Z358" s="663">
        <f t="shared" ref="Z358" si="2650">IF(S358=0,0,O358+W358/$J$17*c_Hurdle1.Share_GP)</f>
        <v>0</v>
      </c>
      <c r="AA358" s="663">
        <f t="shared" si="2242"/>
        <v>0</v>
      </c>
      <c r="AB358" s="660">
        <f t="shared" si="2293"/>
        <v>0</v>
      </c>
      <c r="AC358" s="521"/>
      <c r="AD358" s="663">
        <f t="shared" si="2432"/>
        <v>0</v>
      </c>
      <c r="AE358" s="663">
        <f t="shared" ref="AE358" si="2651">IF($G358=0,0,-MIN(0,$G358*c_EquityShare.LP))</f>
        <v>0</v>
      </c>
      <c r="AF358" s="663" cm="1">
        <f t="array" ref="AF358">IF($D358=0,0,AD358*(c_Rate.Hurdle2.MO))</f>
        <v>0</v>
      </c>
      <c r="AG358" s="663">
        <f t="shared" si="2244"/>
        <v>0</v>
      </c>
      <c r="AH358" s="663">
        <f t="shared" si="2273"/>
        <v>0</v>
      </c>
      <c r="AI358" s="663">
        <f t="shared" si="2245"/>
        <v>0</v>
      </c>
      <c r="AJ358" s="664">
        <f t="shared" si="2246"/>
        <v>0</v>
      </c>
      <c r="AK358" s="660">
        <f t="shared" si="2247"/>
        <v>0</v>
      </c>
      <c r="AL358" s="663">
        <f t="shared" ref="AL358" si="2652">IF(AD358=0,0,Z358+AH358/$J$18*c_Hurdle2.Share_GP)</f>
        <v>0</v>
      </c>
      <c r="AM358" s="663">
        <f t="shared" si="2249"/>
        <v>0</v>
      </c>
      <c r="AN358" s="660">
        <f t="shared" si="2296"/>
        <v>0</v>
      </c>
      <c r="AO358" s="521"/>
      <c r="AP358" s="663">
        <f t="shared" si="2435"/>
        <v>0</v>
      </c>
      <c r="AQ358" s="663">
        <f t="shared" ref="AQ358" si="2653">IF($G358=0,0,-MIN(0,$G358*c_EquityShare.LP))</f>
        <v>0</v>
      </c>
      <c r="AR358" s="663" cm="1">
        <f t="array" ref="AR358">IF($D358=0,0,AP358*(c_Rate.Hurdle3.MO))</f>
        <v>0</v>
      </c>
      <c r="AS358" s="663">
        <f t="shared" si="2251"/>
        <v>0</v>
      </c>
      <c r="AT358" s="663">
        <f t="shared" si="2276"/>
        <v>0</v>
      </c>
      <c r="AU358" s="663">
        <f t="shared" si="2252"/>
        <v>0</v>
      </c>
      <c r="AV358" s="664">
        <f t="shared" si="2253"/>
        <v>0</v>
      </c>
      <c r="AW358" s="660">
        <f t="shared" si="2277"/>
        <v>0</v>
      </c>
      <c r="AX358" s="663">
        <f t="shared" ref="AX358" si="2654">IF(AP358=0,0,AL358+AT358/$J$19*c_Hurdle3.Share_GP)</f>
        <v>0</v>
      </c>
      <c r="AY358" s="663">
        <f t="shared" si="2279"/>
        <v>0</v>
      </c>
      <c r="AZ358" s="660">
        <f t="shared" si="2299"/>
        <v>0</v>
      </c>
      <c r="BA358" s="521"/>
      <c r="BB358" s="660">
        <f t="shared" si="2494"/>
        <v>0</v>
      </c>
      <c r="BC358" s="660">
        <f t="shared" ref="BC358" si="2655">$AZ358*c_Residual.Share_GP</f>
        <v>0</v>
      </c>
      <c r="BD358" s="651"/>
      <c r="BE358" s="660">
        <f t="shared" si="2281"/>
        <v>0</v>
      </c>
      <c r="BF358" s="660">
        <f t="shared" si="2281"/>
        <v>0</v>
      </c>
      <c r="BG358" s="660">
        <f t="shared" si="2256"/>
        <v>0</v>
      </c>
      <c r="BI358" s="660">
        <v>0</v>
      </c>
      <c r="BJ358" s="660">
        <v>0</v>
      </c>
      <c r="BK358" s="660">
        <v>0</v>
      </c>
      <c r="BL358" s="660">
        <f t="shared" si="2282"/>
        <v>0</v>
      </c>
      <c r="BM358" s="660">
        <f t="shared" si="2282"/>
        <v>0</v>
      </c>
      <c r="BN358" s="660">
        <f t="shared" si="2283"/>
        <v>0</v>
      </c>
      <c r="BO358" s="660">
        <f t="shared" si="2283"/>
        <v>0</v>
      </c>
      <c r="BP358" s="660">
        <f t="shared" si="2284"/>
        <v>0</v>
      </c>
      <c r="BQ358" s="660">
        <f t="shared" si="2284"/>
        <v>0</v>
      </c>
      <c r="BR358" s="660">
        <v>0</v>
      </c>
      <c r="BS358" s="660">
        <v>0</v>
      </c>
      <c r="BT358" s="660">
        <f t="shared" si="2257"/>
        <v>0</v>
      </c>
      <c r="BU358" s="660">
        <f t="shared" si="2257"/>
        <v>0</v>
      </c>
      <c r="BX358" s="660">
        <v>0</v>
      </c>
      <c r="BY358" s="660">
        <f t="shared" si="2285"/>
        <v>0</v>
      </c>
      <c r="BZ358" s="660">
        <f t="shared" si="2258"/>
        <v>0</v>
      </c>
      <c r="CA358" s="660">
        <f t="shared" si="2259"/>
        <v>0</v>
      </c>
      <c r="CB358" s="660">
        <f t="shared" si="2260"/>
        <v>0</v>
      </c>
      <c r="CC358" s="660">
        <f t="shared" si="2261"/>
        <v>0</v>
      </c>
      <c r="CD358" s="660">
        <f t="shared" si="2286"/>
        <v>0</v>
      </c>
    </row>
    <row r="359" spans="4:82" ht="16" hidden="1" thickTop="1" thickBot="1">
      <c r="D359" s="653"/>
      <c r="E359" s="654"/>
      <c r="F359" s="655" t="str">
        <f t="shared" si="2262"/>
        <v/>
      </c>
      <c r="G359" s="656"/>
      <c r="I359" s="658">
        <f t="shared" si="2263"/>
        <v>0</v>
      </c>
      <c r="J359" s="658">
        <f t="shared" ref="J359" si="2656">IF($G359=0,0,-MIN(0,G359*c_EquityShare.LP))</f>
        <v>0</v>
      </c>
      <c r="K359" s="658">
        <f t="shared" ref="K359" si="2657">I359*c_Rate.Pref_MO</f>
        <v>0</v>
      </c>
      <c r="L359" s="658">
        <f t="shared" si="2239"/>
        <v>0</v>
      </c>
      <c r="M359" s="658">
        <f t="shared" si="2266"/>
        <v>0</v>
      </c>
      <c r="N359" s="658">
        <f t="shared" si="2289"/>
        <v>0</v>
      </c>
      <c r="O359" s="658" cm="1">
        <f t="array" ref="O359">IF(I359=0,0,IF(G359&lt;0,N359/c_EquityShare.LP*i_EquityShare.GP,L359/c_EquityShare.LP*i_EquityShare.GP))</f>
        <v>0</v>
      </c>
      <c r="P359" s="658">
        <f t="shared" si="2267"/>
        <v>0</v>
      </c>
      <c r="Q359" s="658">
        <f t="shared" si="2240"/>
        <v>0</v>
      </c>
      <c r="R359" s="521"/>
      <c r="S359" s="660">
        <f t="shared" si="2268"/>
        <v>0</v>
      </c>
      <c r="T359" s="663" cm="1">
        <f t="array" ref="T359">IF($G359=0,0,-MIN(0,$G359*c_EquityShare.LP))</f>
        <v>0</v>
      </c>
      <c r="U359" s="663" cm="1">
        <f t="array" ref="U359">IF($D359=0,0,S359*c_Rate.Hurdle1.MO)</f>
        <v>0</v>
      </c>
      <c r="V359" s="660">
        <f t="shared" si="2290"/>
        <v>0</v>
      </c>
      <c r="W359" s="660">
        <f t="shared" si="2269"/>
        <v>0</v>
      </c>
      <c r="X359" s="663">
        <f t="shared" si="2291"/>
        <v>0</v>
      </c>
      <c r="Y359" s="663">
        <f t="shared" si="2270"/>
        <v>0</v>
      </c>
      <c r="Z359" s="663">
        <f t="shared" ref="Z359" si="2658">IF(S359=0,0,O359+W359/$J$17*c_Hurdle1.Share_GP)</f>
        <v>0</v>
      </c>
      <c r="AA359" s="663">
        <f t="shared" si="2242"/>
        <v>0</v>
      </c>
      <c r="AB359" s="660">
        <f t="shared" si="2293"/>
        <v>0</v>
      </c>
      <c r="AC359" s="521"/>
      <c r="AD359" s="663">
        <f t="shared" si="2432"/>
        <v>0</v>
      </c>
      <c r="AE359" s="663">
        <f t="shared" ref="AE359" si="2659">IF($G359=0,0,-MIN(0,$G359*c_EquityShare.LP))</f>
        <v>0</v>
      </c>
      <c r="AF359" s="663" cm="1">
        <f t="array" ref="AF359">IF($D359=0,0,AD359*(c_Rate.Hurdle2.MO))</f>
        <v>0</v>
      </c>
      <c r="AG359" s="663">
        <f t="shared" si="2244"/>
        <v>0</v>
      </c>
      <c r="AH359" s="663">
        <f t="shared" si="2273"/>
        <v>0</v>
      </c>
      <c r="AI359" s="663">
        <f t="shared" si="2245"/>
        <v>0</v>
      </c>
      <c r="AJ359" s="664">
        <f t="shared" si="2246"/>
        <v>0</v>
      </c>
      <c r="AK359" s="660">
        <f t="shared" si="2247"/>
        <v>0</v>
      </c>
      <c r="AL359" s="663">
        <f t="shared" ref="AL359" si="2660">IF(AD359=0,0,Z359+AH359/$J$18*c_Hurdle2.Share_GP)</f>
        <v>0</v>
      </c>
      <c r="AM359" s="663">
        <f t="shared" si="2249"/>
        <v>0</v>
      </c>
      <c r="AN359" s="660">
        <f t="shared" si="2296"/>
        <v>0</v>
      </c>
      <c r="AO359" s="521"/>
      <c r="AP359" s="663">
        <f t="shared" si="2435"/>
        <v>0</v>
      </c>
      <c r="AQ359" s="663">
        <f t="shared" ref="AQ359" si="2661">IF($G359=0,0,-MIN(0,$G359*c_EquityShare.LP))</f>
        <v>0</v>
      </c>
      <c r="AR359" s="663" cm="1">
        <f t="array" ref="AR359">IF($D359=0,0,AP359*(c_Rate.Hurdle3.MO))</f>
        <v>0</v>
      </c>
      <c r="AS359" s="663">
        <f t="shared" si="2251"/>
        <v>0</v>
      </c>
      <c r="AT359" s="663">
        <f t="shared" si="2276"/>
        <v>0</v>
      </c>
      <c r="AU359" s="663">
        <f t="shared" si="2252"/>
        <v>0</v>
      </c>
      <c r="AV359" s="664">
        <f t="shared" si="2253"/>
        <v>0</v>
      </c>
      <c r="AW359" s="660">
        <f t="shared" si="2277"/>
        <v>0</v>
      </c>
      <c r="AX359" s="663">
        <f t="shared" ref="AX359" si="2662">IF(AP359=0,0,AL359+AT359/$J$19*c_Hurdle3.Share_GP)</f>
        <v>0</v>
      </c>
      <c r="AY359" s="663">
        <f t="shared" si="2279"/>
        <v>0</v>
      </c>
      <c r="AZ359" s="660">
        <f t="shared" si="2299"/>
        <v>0</v>
      </c>
      <c r="BA359" s="521"/>
      <c r="BB359" s="660">
        <f t="shared" si="2494"/>
        <v>0</v>
      </c>
      <c r="BC359" s="660">
        <f t="shared" ref="BC359" si="2663">$AZ359*c_Residual.Share_GP</f>
        <v>0</v>
      </c>
      <c r="BD359" s="651"/>
      <c r="BE359" s="660">
        <f t="shared" si="2281"/>
        <v>0</v>
      </c>
      <c r="BF359" s="660">
        <f t="shared" si="2281"/>
        <v>0</v>
      </c>
      <c r="BG359" s="660">
        <f t="shared" si="2256"/>
        <v>0</v>
      </c>
      <c r="BI359" s="660">
        <v>0</v>
      </c>
      <c r="BJ359" s="660">
        <v>0</v>
      </c>
      <c r="BK359" s="660">
        <v>0</v>
      </c>
      <c r="BL359" s="660">
        <f t="shared" si="2282"/>
        <v>0</v>
      </c>
      <c r="BM359" s="660">
        <f t="shared" si="2282"/>
        <v>0</v>
      </c>
      <c r="BN359" s="660">
        <f t="shared" si="2283"/>
        <v>0</v>
      </c>
      <c r="BO359" s="660">
        <f t="shared" si="2283"/>
        <v>0</v>
      </c>
      <c r="BP359" s="660">
        <f t="shared" si="2284"/>
        <v>0</v>
      </c>
      <c r="BQ359" s="660">
        <f t="shared" si="2284"/>
        <v>0</v>
      </c>
      <c r="BR359" s="660">
        <v>0</v>
      </c>
      <c r="BS359" s="660">
        <v>0</v>
      </c>
      <c r="BT359" s="660">
        <f t="shared" si="2257"/>
        <v>0</v>
      </c>
      <c r="BU359" s="660">
        <f t="shared" si="2257"/>
        <v>0</v>
      </c>
      <c r="BX359" s="660">
        <v>0</v>
      </c>
      <c r="BY359" s="660">
        <f t="shared" si="2285"/>
        <v>0</v>
      </c>
      <c r="BZ359" s="660">
        <f t="shared" si="2258"/>
        <v>0</v>
      </c>
      <c r="CA359" s="660">
        <f t="shared" si="2259"/>
        <v>0</v>
      </c>
      <c r="CB359" s="660">
        <f t="shared" si="2260"/>
        <v>0</v>
      </c>
      <c r="CC359" s="660">
        <f t="shared" si="2261"/>
        <v>0</v>
      </c>
      <c r="CD359" s="660">
        <f t="shared" si="2286"/>
        <v>0</v>
      </c>
    </row>
    <row r="360" spans="4:82" ht="16" hidden="1" thickTop="1" thickBot="1">
      <c r="D360" s="653"/>
      <c r="E360" s="654"/>
      <c r="F360" s="655" t="str">
        <f t="shared" si="2262"/>
        <v/>
      </c>
      <c r="G360" s="656"/>
      <c r="I360" s="658">
        <f t="shared" si="2263"/>
        <v>0</v>
      </c>
      <c r="J360" s="658">
        <f t="shared" ref="J360" si="2664">IF($G360=0,0,-MIN(0,G360*c_EquityShare.LP))</f>
        <v>0</v>
      </c>
      <c r="K360" s="658">
        <f t="shared" ref="K360" si="2665">I360*c_Rate.Pref_MO</f>
        <v>0</v>
      </c>
      <c r="L360" s="658">
        <f t="shared" si="2239"/>
        <v>0</v>
      </c>
      <c r="M360" s="658">
        <f t="shared" si="2266"/>
        <v>0</v>
      </c>
      <c r="N360" s="658">
        <f t="shared" si="2289"/>
        <v>0</v>
      </c>
      <c r="O360" s="658" cm="1">
        <f t="array" ref="O360">IF(I360=0,0,IF(G360&lt;0,N360/c_EquityShare.LP*i_EquityShare.GP,L360/c_EquityShare.LP*i_EquityShare.GP))</f>
        <v>0</v>
      </c>
      <c r="P360" s="658">
        <f t="shared" si="2267"/>
        <v>0</v>
      </c>
      <c r="Q360" s="658">
        <f t="shared" si="2240"/>
        <v>0</v>
      </c>
      <c r="R360" s="521"/>
      <c r="S360" s="660">
        <f t="shared" si="2268"/>
        <v>0</v>
      </c>
      <c r="T360" s="663" cm="1">
        <f t="array" ref="T360">IF($G360=0,0,-MIN(0,$G360*c_EquityShare.LP))</f>
        <v>0</v>
      </c>
      <c r="U360" s="663" cm="1">
        <f t="array" ref="U360">IF($D360=0,0,S360*c_Rate.Hurdle1.MO)</f>
        <v>0</v>
      </c>
      <c r="V360" s="660">
        <f t="shared" si="2290"/>
        <v>0</v>
      </c>
      <c r="W360" s="660">
        <f t="shared" si="2269"/>
        <v>0</v>
      </c>
      <c r="X360" s="663">
        <f t="shared" si="2291"/>
        <v>0</v>
      </c>
      <c r="Y360" s="663">
        <f t="shared" si="2270"/>
        <v>0</v>
      </c>
      <c r="Z360" s="663">
        <f t="shared" ref="Z360" si="2666">IF(S360=0,0,O360+W360/$J$17*c_Hurdle1.Share_GP)</f>
        <v>0</v>
      </c>
      <c r="AA360" s="663">
        <f t="shared" si="2242"/>
        <v>0</v>
      </c>
      <c r="AB360" s="660">
        <f t="shared" si="2293"/>
        <v>0</v>
      </c>
      <c r="AC360" s="521"/>
      <c r="AD360" s="663">
        <f t="shared" si="2432"/>
        <v>0</v>
      </c>
      <c r="AE360" s="663">
        <f t="shared" ref="AE360" si="2667">IF($G360=0,0,-MIN(0,$G360*c_EquityShare.LP))</f>
        <v>0</v>
      </c>
      <c r="AF360" s="663" cm="1">
        <f t="array" ref="AF360">IF($D360=0,0,AD360*(c_Rate.Hurdle2.MO))</f>
        <v>0</v>
      </c>
      <c r="AG360" s="663">
        <f t="shared" si="2244"/>
        <v>0</v>
      </c>
      <c r="AH360" s="663">
        <f t="shared" si="2273"/>
        <v>0</v>
      </c>
      <c r="AI360" s="663">
        <f t="shared" si="2245"/>
        <v>0</v>
      </c>
      <c r="AJ360" s="664">
        <f t="shared" si="2246"/>
        <v>0</v>
      </c>
      <c r="AK360" s="660">
        <f t="shared" si="2247"/>
        <v>0</v>
      </c>
      <c r="AL360" s="663">
        <f t="shared" ref="AL360" si="2668">IF(AD360=0,0,Z360+AH360/$J$18*c_Hurdle2.Share_GP)</f>
        <v>0</v>
      </c>
      <c r="AM360" s="663">
        <f t="shared" si="2249"/>
        <v>0</v>
      </c>
      <c r="AN360" s="660">
        <f t="shared" si="2296"/>
        <v>0</v>
      </c>
      <c r="AO360" s="521"/>
      <c r="AP360" s="663">
        <f t="shared" si="2435"/>
        <v>0</v>
      </c>
      <c r="AQ360" s="663">
        <f t="shared" ref="AQ360" si="2669">IF($G360=0,0,-MIN(0,$G360*c_EquityShare.LP))</f>
        <v>0</v>
      </c>
      <c r="AR360" s="663" cm="1">
        <f t="array" ref="AR360">IF($D360=0,0,AP360*(c_Rate.Hurdle3.MO))</f>
        <v>0</v>
      </c>
      <c r="AS360" s="663">
        <f t="shared" si="2251"/>
        <v>0</v>
      </c>
      <c r="AT360" s="663">
        <f t="shared" si="2276"/>
        <v>0</v>
      </c>
      <c r="AU360" s="663">
        <f t="shared" si="2252"/>
        <v>0</v>
      </c>
      <c r="AV360" s="664">
        <f t="shared" si="2253"/>
        <v>0</v>
      </c>
      <c r="AW360" s="660">
        <f t="shared" si="2277"/>
        <v>0</v>
      </c>
      <c r="AX360" s="663">
        <f t="shared" ref="AX360" si="2670">IF(AP360=0,0,AL360+AT360/$J$19*c_Hurdle3.Share_GP)</f>
        <v>0</v>
      </c>
      <c r="AY360" s="663">
        <f t="shared" si="2279"/>
        <v>0</v>
      </c>
      <c r="AZ360" s="660">
        <f t="shared" si="2299"/>
        <v>0</v>
      </c>
      <c r="BA360" s="521"/>
      <c r="BB360" s="660">
        <f t="shared" si="2494"/>
        <v>0</v>
      </c>
      <c r="BC360" s="660">
        <f t="shared" ref="BC360" si="2671">$AZ360*c_Residual.Share_GP</f>
        <v>0</v>
      </c>
      <c r="BD360" s="651"/>
      <c r="BE360" s="660">
        <f t="shared" si="2281"/>
        <v>0</v>
      </c>
      <c r="BF360" s="660">
        <f t="shared" si="2281"/>
        <v>0</v>
      </c>
      <c r="BG360" s="660">
        <f t="shared" si="2256"/>
        <v>0</v>
      </c>
      <c r="BI360" s="660">
        <v>0</v>
      </c>
      <c r="BJ360" s="660">
        <v>0</v>
      </c>
      <c r="BK360" s="660">
        <v>0</v>
      </c>
      <c r="BL360" s="660">
        <f t="shared" si="2282"/>
        <v>0</v>
      </c>
      <c r="BM360" s="660">
        <f t="shared" si="2282"/>
        <v>0</v>
      </c>
      <c r="BN360" s="660">
        <f t="shared" si="2283"/>
        <v>0</v>
      </c>
      <c r="BO360" s="660">
        <f t="shared" si="2283"/>
        <v>0</v>
      </c>
      <c r="BP360" s="660">
        <f t="shared" si="2284"/>
        <v>0</v>
      </c>
      <c r="BQ360" s="660">
        <f t="shared" si="2284"/>
        <v>0</v>
      </c>
      <c r="BR360" s="660">
        <v>0</v>
      </c>
      <c r="BS360" s="660">
        <v>0</v>
      </c>
      <c r="BT360" s="660">
        <f t="shared" si="2257"/>
        <v>0</v>
      </c>
      <c r="BU360" s="660">
        <f t="shared" si="2257"/>
        <v>0</v>
      </c>
      <c r="BX360" s="660">
        <v>0</v>
      </c>
      <c r="BY360" s="660">
        <f t="shared" si="2285"/>
        <v>0</v>
      </c>
      <c r="BZ360" s="660">
        <f t="shared" si="2258"/>
        <v>0</v>
      </c>
      <c r="CA360" s="660">
        <f t="shared" si="2259"/>
        <v>0</v>
      </c>
      <c r="CB360" s="660">
        <f t="shared" si="2260"/>
        <v>0</v>
      </c>
      <c r="CC360" s="660">
        <f t="shared" si="2261"/>
        <v>0</v>
      </c>
      <c r="CD360" s="660">
        <f t="shared" si="2286"/>
        <v>0</v>
      </c>
    </row>
    <row r="361" spans="4:82" ht="16" hidden="1" thickTop="1" thickBot="1">
      <c r="D361" s="653"/>
      <c r="E361" s="654"/>
      <c r="F361" s="655" t="str">
        <f t="shared" si="2262"/>
        <v/>
      </c>
      <c r="G361" s="656"/>
      <c r="I361" s="658">
        <f t="shared" si="2263"/>
        <v>0</v>
      </c>
      <c r="J361" s="658">
        <f t="shared" ref="J361" si="2672">IF($G361=0,0,-MIN(0,G361*c_EquityShare.LP))</f>
        <v>0</v>
      </c>
      <c r="K361" s="658">
        <f t="shared" ref="K361" si="2673">I361*c_Rate.Pref_MO</f>
        <v>0</v>
      </c>
      <c r="L361" s="658">
        <f t="shared" si="2239"/>
        <v>0</v>
      </c>
      <c r="M361" s="658">
        <f t="shared" si="2266"/>
        <v>0</v>
      </c>
      <c r="N361" s="658">
        <f t="shared" si="2289"/>
        <v>0</v>
      </c>
      <c r="O361" s="658" cm="1">
        <f t="array" ref="O361">IF(I361=0,0,IF(G361&lt;0,N361/c_EquityShare.LP*i_EquityShare.GP,L361/c_EquityShare.LP*i_EquityShare.GP))</f>
        <v>0</v>
      </c>
      <c r="P361" s="658">
        <f t="shared" si="2267"/>
        <v>0</v>
      </c>
      <c r="Q361" s="658">
        <f t="shared" si="2240"/>
        <v>0</v>
      </c>
      <c r="R361" s="521"/>
      <c r="S361" s="660">
        <f t="shared" si="2268"/>
        <v>0</v>
      </c>
      <c r="T361" s="663" cm="1">
        <f t="array" ref="T361">IF($G361=0,0,-MIN(0,$G361*c_EquityShare.LP))</f>
        <v>0</v>
      </c>
      <c r="U361" s="663" cm="1">
        <f t="array" ref="U361">IF($D361=0,0,S361*c_Rate.Hurdle1.MO)</f>
        <v>0</v>
      </c>
      <c r="V361" s="660">
        <f t="shared" si="2290"/>
        <v>0</v>
      </c>
      <c r="W361" s="660">
        <f t="shared" si="2269"/>
        <v>0</v>
      </c>
      <c r="X361" s="663">
        <f t="shared" si="2291"/>
        <v>0</v>
      </c>
      <c r="Y361" s="663">
        <f t="shared" si="2270"/>
        <v>0</v>
      </c>
      <c r="Z361" s="663">
        <f t="shared" ref="Z361" si="2674">IF(S361=0,0,O361+W361/$J$17*c_Hurdle1.Share_GP)</f>
        <v>0</v>
      </c>
      <c r="AA361" s="663">
        <f t="shared" si="2242"/>
        <v>0</v>
      </c>
      <c r="AB361" s="660">
        <f t="shared" si="2293"/>
        <v>0</v>
      </c>
      <c r="AC361" s="521"/>
      <c r="AD361" s="663">
        <f t="shared" si="2432"/>
        <v>0</v>
      </c>
      <c r="AE361" s="663">
        <f t="shared" ref="AE361" si="2675">IF($G361=0,0,-MIN(0,$G361*c_EquityShare.LP))</f>
        <v>0</v>
      </c>
      <c r="AF361" s="663" cm="1">
        <f t="array" ref="AF361">IF($D361=0,0,AD361*(c_Rate.Hurdle2.MO))</f>
        <v>0</v>
      </c>
      <c r="AG361" s="663">
        <f t="shared" si="2244"/>
        <v>0</v>
      </c>
      <c r="AH361" s="663">
        <f t="shared" si="2273"/>
        <v>0</v>
      </c>
      <c r="AI361" s="663">
        <f t="shared" si="2245"/>
        <v>0</v>
      </c>
      <c r="AJ361" s="664">
        <f t="shared" si="2246"/>
        <v>0</v>
      </c>
      <c r="AK361" s="660">
        <f t="shared" si="2247"/>
        <v>0</v>
      </c>
      <c r="AL361" s="663">
        <f t="shared" ref="AL361" si="2676">IF(AD361=0,0,Z361+AH361/$J$18*c_Hurdle2.Share_GP)</f>
        <v>0</v>
      </c>
      <c r="AM361" s="663">
        <f t="shared" si="2249"/>
        <v>0</v>
      </c>
      <c r="AN361" s="660">
        <f t="shared" si="2296"/>
        <v>0</v>
      </c>
      <c r="AO361" s="521"/>
      <c r="AP361" s="663">
        <f t="shared" si="2435"/>
        <v>0</v>
      </c>
      <c r="AQ361" s="663">
        <f t="shared" ref="AQ361" si="2677">IF($G361=0,0,-MIN(0,$G361*c_EquityShare.LP))</f>
        <v>0</v>
      </c>
      <c r="AR361" s="663" cm="1">
        <f t="array" ref="AR361">IF($D361=0,0,AP361*(c_Rate.Hurdle3.MO))</f>
        <v>0</v>
      </c>
      <c r="AS361" s="663">
        <f t="shared" si="2251"/>
        <v>0</v>
      </c>
      <c r="AT361" s="663">
        <f t="shared" si="2276"/>
        <v>0</v>
      </c>
      <c r="AU361" s="663">
        <f t="shared" si="2252"/>
        <v>0</v>
      </c>
      <c r="AV361" s="664">
        <f t="shared" si="2253"/>
        <v>0</v>
      </c>
      <c r="AW361" s="660">
        <f t="shared" si="2277"/>
        <v>0</v>
      </c>
      <c r="AX361" s="663">
        <f t="shared" ref="AX361" si="2678">IF(AP361=0,0,AL361+AT361/$J$19*c_Hurdle3.Share_GP)</f>
        <v>0</v>
      </c>
      <c r="AY361" s="663">
        <f t="shared" si="2279"/>
        <v>0</v>
      </c>
      <c r="AZ361" s="660">
        <f t="shared" si="2299"/>
        <v>0</v>
      </c>
      <c r="BA361" s="521"/>
      <c r="BB361" s="660">
        <f t="shared" si="2494"/>
        <v>0</v>
      </c>
      <c r="BC361" s="660">
        <f t="shared" ref="BC361" si="2679">$AZ361*c_Residual.Share_GP</f>
        <v>0</v>
      </c>
      <c r="BD361" s="651"/>
      <c r="BE361" s="660">
        <f t="shared" si="2281"/>
        <v>0</v>
      </c>
      <c r="BF361" s="660">
        <f t="shared" si="2281"/>
        <v>0</v>
      </c>
      <c r="BG361" s="660">
        <f t="shared" si="2256"/>
        <v>0</v>
      </c>
      <c r="BI361" s="660">
        <v>0</v>
      </c>
      <c r="BJ361" s="660">
        <v>0</v>
      </c>
      <c r="BK361" s="660">
        <v>0</v>
      </c>
      <c r="BL361" s="660">
        <f t="shared" si="2282"/>
        <v>0</v>
      </c>
      <c r="BM361" s="660">
        <f t="shared" si="2282"/>
        <v>0</v>
      </c>
      <c r="BN361" s="660">
        <f t="shared" si="2283"/>
        <v>0</v>
      </c>
      <c r="BO361" s="660">
        <f t="shared" si="2283"/>
        <v>0</v>
      </c>
      <c r="BP361" s="660">
        <f t="shared" si="2284"/>
        <v>0</v>
      </c>
      <c r="BQ361" s="660">
        <f t="shared" si="2284"/>
        <v>0</v>
      </c>
      <c r="BR361" s="660">
        <v>0</v>
      </c>
      <c r="BS361" s="660">
        <v>0</v>
      </c>
      <c r="BT361" s="660">
        <f t="shared" si="2257"/>
        <v>0</v>
      </c>
      <c r="BU361" s="660">
        <f t="shared" si="2257"/>
        <v>0</v>
      </c>
      <c r="BX361" s="660">
        <v>0</v>
      </c>
      <c r="BY361" s="660">
        <f t="shared" si="2285"/>
        <v>0</v>
      </c>
      <c r="BZ361" s="660">
        <f t="shared" si="2258"/>
        <v>0</v>
      </c>
      <c r="CA361" s="660">
        <f t="shared" si="2259"/>
        <v>0</v>
      </c>
      <c r="CB361" s="660">
        <f t="shared" si="2260"/>
        <v>0</v>
      </c>
      <c r="CC361" s="660">
        <f t="shared" si="2261"/>
        <v>0</v>
      </c>
      <c r="CD361" s="660">
        <f t="shared" si="2286"/>
        <v>0</v>
      </c>
    </row>
    <row r="362" spans="4:82" ht="16" hidden="1" thickTop="1" thickBot="1">
      <c r="D362" s="653"/>
      <c r="E362" s="654"/>
      <c r="F362" s="655" t="str">
        <f t="shared" si="2262"/>
        <v/>
      </c>
      <c r="G362" s="656"/>
      <c r="I362" s="658">
        <f t="shared" si="2263"/>
        <v>0</v>
      </c>
      <c r="J362" s="658">
        <f t="shared" ref="J362" si="2680">IF($G362=0,0,-MIN(0,G362*c_EquityShare.LP))</f>
        <v>0</v>
      </c>
      <c r="K362" s="658">
        <f t="shared" ref="K362" si="2681">I362*c_Rate.Pref_MO</f>
        <v>0</v>
      </c>
      <c r="L362" s="658">
        <f t="shared" si="2239"/>
        <v>0</v>
      </c>
      <c r="M362" s="658">
        <f t="shared" si="2266"/>
        <v>0</v>
      </c>
      <c r="N362" s="658">
        <f t="shared" si="2289"/>
        <v>0</v>
      </c>
      <c r="O362" s="658" cm="1">
        <f t="array" ref="O362">IF(I362=0,0,IF(G362&lt;0,N362/c_EquityShare.LP*i_EquityShare.GP,L362/c_EquityShare.LP*i_EquityShare.GP))</f>
        <v>0</v>
      </c>
      <c r="P362" s="658">
        <f t="shared" si="2267"/>
        <v>0</v>
      </c>
      <c r="Q362" s="658">
        <f t="shared" si="2240"/>
        <v>0</v>
      </c>
      <c r="R362" s="521"/>
      <c r="S362" s="660">
        <f t="shared" si="2268"/>
        <v>0</v>
      </c>
      <c r="T362" s="663" cm="1">
        <f t="array" ref="T362">IF($G362=0,0,-MIN(0,$G362*c_EquityShare.LP))</f>
        <v>0</v>
      </c>
      <c r="U362" s="663" cm="1">
        <f t="array" ref="U362">IF($D362=0,0,S362*c_Rate.Hurdle1.MO)</f>
        <v>0</v>
      </c>
      <c r="V362" s="660">
        <f t="shared" si="2290"/>
        <v>0</v>
      </c>
      <c r="W362" s="660">
        <f t="shared" si="2269"/>
        <v>0</v>
      </c>
      <c r="X362" s="663">
        <f t="shared" si="2291"/>
        <v>0</v>
      </c>
      <c r="Y362" s="663">
        <f t="shared" si="2270"/>
        <v>0</v>
      </c>
      <c r="Z362" s="663">
        <f t="shared" ref="Z362" si="2682">IF(S362=0,0,O362+W362/$J$17*c_Hurdle1.Share_GP)</f>
        <v>0</v>
      </c>
      <c r="AA362" s="663">
        <f t="shared" si="2242"/>
        <v>0</v>
      </c>
      <c r="AB362" s="660">
        <f t="shared" si="2293"/>
        <v>0</v>
      </c>
      <c r="AC362" s="521"/>
      <c r="AD362" s="663">
        <f t="shared" si="2432"/>
        <v>0</v>
      </c>
      <c r="AE362" s="663">
        <f t="shared" ref="AE362" si="2683">IF($G362=0,0,-MIN(0,$G362*c_EquityShare.LP))</f>
        <v>0</v>
      </c>
      <c r="AF362" s="663" cm="1">
        <f t="array" ref="AF362">IF($D362=0,0,AD362*(c_Rate.Hurdle2.MO))</f>
        <v>0</v>
      </c>
      <c r="AG362" s="663">
        <f t="shared" si="2244"/>
        <v>0</v>
      </c>
      <c r="AH362" s="663">
        <f t="shared" si="2273"/>
        <v>0</v>
      </c>
      <c r="AI362" s="663">
        <f t="shared" si="2245"/>
        <v>0</v>
      </c>
      <c r="AJ362" s="664">
        <f t="shared" si="2246"/>
        <v>0</v>
      </c>
      <c r="AK362" s="660">
        <f t="shared" si="2247"/>
        <v>0</v>
      </c>
      <c r="AL362" s="663">
        <f t="shared" ref="AL362" si="2684">IF(AD362=0,0,Z362+AH362/$J$18*c_Hurdle2.Share_GP)</f>
        <v>0</v>
      </c>
      <c r="AM362" s="663">
        <f t="shared" si="2249"/>
        <v>0</v>
      </c>
      <c r="AN362" s="660">
        <f t="shared" si="2296"/>
        <v>0</v>
      </c>
      <c r="AO362" s="521"/>
      <c r="AP362" s="663">
        <f t="shared" si="2435"/>
        <v>0</v>
      </c>
      <c r="AQ362" s="663">
        <f t="shared" ref="AQ362" si="2685">IF($G362=0,0,-MIN(0,$G362*c_EquityShare.LP))</f>
        <v>0</v>
      </c>
      <c r="AR362" s="663" cm="1">
        <f t="array" ref="AR362">IF($D362=0,0,AP362*(c_Rate.Hurdle3.MO))</f>
        <v>0</v>
      </c>
      <c r="AS362" s="663">
        <f t="shared" si="2251"/>
        <v>0</v>
      </c>
      <c r="AT362" s="663">
        <f t="shared" si="2276"/>
        <v>0</v>
      </c>
      <c r="AU362" s="663">
        <f t="shared" si="2252"/>
        <v>0</v>
      </c>
      <c r="AV362" s="664">
        <f t="shared" si="2253"/>
        <v>0</v>
      </c>
      <c r="AW362" s="660">
        <f t="shared" si="2277"/>
        <v>0</v>
      </c>
      <c r="AX362" s="663">
        <f t="shared" ref="AX362" si="2686">IF(AP362=0,0,AL362+AT362/$J$19*c_Hurdle3.Share_GP)</f>
        <v>0</v>
      </c>
      <c r="AY362" s="663">
        <f t="shared" si="2279"/>
        <v>0</v>
      </c>
      <c r="AZ362" s="660">
        <f t="shared" si="2299"/>
        <v>0</v>
      </c>
      <c r="BA362" s="521"/>
      <c r="BB362" s="660">
        <f t="shared" si="2494"/>
        <v>0</v>
      </c>
      <c r="BC362" s="660">
        <f t="shared" ref="BC362" si="2687">$AZ362*c_Residual.Share_GP</f>
        <v>0</v>
      </c>
      <c r="BD362" s="651"/>
      <c r="BE362" s="660">
        <f t="shared" si="2281"/>
        <v>0</v>
      </c>
      <c r="BF362" s="660">
        <f t="shared" si="2281"/>
        <v>0</v>
      </c>
      <c r="BG362" s="660">
        <f t="shared" si="2256"/>
        <v>0</v>
      </c>
      <c r="BI362" s="660">
        <v>0</v>
      </c>
      <c r="BJ362" s="660">
        <v>0</v>
      </c>
      <c r="BK362" s="660">
        <v>0</v>
      </c>
      <c r="BL362" s="660">
        <f t="shared" si="2282"/>
        <v>0</v>
      </c>
      <c r="BM362" s="660">
        <f t="shared" si="2282"/>
        <v>0</v>
      </c>
      <c r="BN362" s="660">
        <f t="shared" si="2283"/>
        <v>0</v>
      </c>
      <c r="BO362" s="660">
        <f t="shared" si="2283"/>
        <v>0</v>
      </c>
      <c r="BP362" s="660">
        <f t="shared" si="2284"/>
        <v>0</v>
      </c>
      <c r="BQ362" s="660">
        <f t="shared" si="2284"/>
        <v>0</v>
      </c>
      <c r="BR362" s="660">
        <v>0</v>
      </c>
      <c r="BS362" s="660">
        <v>0</v>
      </c>
      <c r="BT362" s="660">
        <f t="shared" si="2257"/>
        <v>0</v>
      </c>
      <c r="BU362" s="660">
        <f t="shared" si="2257"/>
        <v>0</v>
      </c>
      <c r="BX362" s="660">
        <v>0</v>
      </c>
      <c r="BY362" s="660">
        <f t="shared" si="2285"/>
        <v>0</v>
      </c>
      <c r="BZ362" s="660">
        <f t="shared" si="2258"/>
        <v>0</v>
      </c>
      <c r="CA362" s="660">
        <f t="shared" si="2259"/>
        <v>0</v>
      </c>
      <c r="CB362" s="660">
        <f t="shared" si="2260"/>
        <v>0</v>
      </c>
      <c r="CC362" s="660">
        <f t="shared" si="2261"/>
        <v>0</v>
      </c>
      <c r="CD362" s="660">
        <f t="shared" si="2286"/>
        <v>0</v>
      </c>
    </row>
    <row r="363" spans="4:82" ht="16" hidden="1" thickTop="1" thickBot="1">
      <c r="D363" s="653"/>
      <c r="E363" s="654"/>
      <c r="F363" s="655" t="str">
        <f t="shared" si="2262"/>
        <v/>
      </c>
      <c r="G363" s="656"/>
      <c r="I363" s="658">
        <f t="shared" si="2263"/>
        <v>0</v>
      </c>
      <c r="J363" s="658">
        <f t="shared" ref="J363" si="2688">IF($G363=0,0,-MIN(0,G363*c_EquityShare.LP))</f>
        <v>0</v>
      </c>
      <c r="K363" s="658">
        <f t="shared" ref="K363" si="2689">I363*c_Rate.Pref_MO</f>
        <v>0</v>
      </c>
      <c r="L363" s="658">
        <f t="shared" si="2239"/>
        <v>0</v>
      </c>
      <c r="M363" s="658">
        <f t="shared" si="2266"/>
        <v>0</v>
      </c>
      <c r="N363" s="658">
        <f t="shared" si="2289"/>
        <v>0</v>
      </c>
      <c r="O363" s="658" cm="1">
        <f t="array" ref="O363">IF(I363=0,0,IF(G363&lt;0,N363/c_EquityShare.LP*i_EquityShare.GP,L363/c_EquityShare.LP*i_EquityShare.GP))</f>
        <v>0</v>
      </c>
      <c r="P363" s="658">
        <f t="shared" si="2267"/>
        <v>0</v>
      </c>
      <c r="Q363" s="658">
        <f t="shared" si="2240"/>
        <v>0</v>
      </c>
      <c r="R363" s="521"/>
      <c r="S363" s="660">
        <f t="shared" si="2268"/>
        <v>0</v>
      </c>
      <c r="T363" s="663" cm="1">
        <f t="array" ref="T363">IF($G363=0,0,-MIN(0,$G363*c_EquityShare.LP))</f>
        <v>0</v>
      </c>
      <c r="U363" s="663" cm="1">
        <f t="array" ref="U363">IF($D363=0,0,S363*c_Rate.Hurdle1.MO)</f>
        <v>0</v>
      </c>
      <c r="V363" s="660">
        <f t="shared" si="2290"/>
        <v>0</v>
      </c>
      <c r="W363" s="660">
        <f t="shared" si="2269"/>
        <v>0</v>
      </c>
      <c r="X363" s="663">
        <f t="shared" si="2291"/>
        <v>0</v>
      </c>
      <c r="Y363" s="663">
        <f t="shared" si="2270"/>
        <v>0</v>
      </c>
      <c r="Z363" s="663">
        <f t="shared" ref="Z363" si="2690">IF(S363=0,0,O363+W363/$J$17*c_Hurdle1.Share_GP)</f>
        <v>0</v>
      </c>
      <c r="AA363" s="663">
        <f t="shared" si="2242"/>
        <v>0</v>
      </c>
      <c r="AB363" s="660">
        <f t="shared" si="2293"/>
        <v>0</v>
      </c>
      <c r="AC363" s="521"/>
      <c r="AD363" s="663">
        <f t="shared" si="2432"/>
        <v>0</v>
      </c>
      <c r="AE363" s="663">
        <f t="shared" ref="AE363" si="2691">IF($G363=0,0,-MIN(0,$G363*c_EquityShare.LP))</f>
        <v>0</v>
      </c>
      <c r="AF363" s="663" cm="1">
        <f t="array" ref="AF363">IF($D363=0,0,AD363*(c_Rate.Hurdle2.MO))</f>
        <v>0</v>
      </c>
      <c r="AG363" s="663">
        <f t="shared" si="2244"/>
        <v>0</v>
      </c>
      <c r="AH363" s="663">
        <f t="shared" si="2273"/>
        <v>0</v>
      </c>
      <c r="AI363" s="663">
        <f t="shared" si="2245"/>
        <v>0</v>
      </c>
      <c r="AJ363" s="664">
        <f t="shared" si="2246"/>
        <v>0</v>
      </c>
      <c r="AK363" s="660">
        <f t="shared" si="2247"/>
        <v>0</v>
      </c>
      <c r="AL363" s="663">
        <f t="shared" ref="AL363" si="2692">IF(AD363=0,0,Z363+AH363/$J$18*c_Hurdle2.Share_GP)</f>
        <v>0</v>
      </c>
      <c r="AM363" s="663">
        <f t="shared" si="2249"/>
        <v>0</v>
      </c>
      <c r="AN363" s="660">
        <f t="shared" si="2296"/>
        <v>0</v>
      </c>
      <c r="AO363" s="521"/>
      <c r="AP363" s="663">
        <f t="shared" si="2435"/>
        <v>0</v>
      </c>
      <c r="AQ363" s="663">
        <f t="shared" ref="AQ363" si="2693">IF($G363=0,0,-MIN(0,$G363*c_EquityShare.LP))</f>
        <v>0</v>
      </c>
      <c r="AR363" s="663" cm="1">
        <f t="array" ref="AR363">IF($D363=0,0,AP363*(c_Rate.Hurdle3.MO))</f>
        <v>0</v>
      </c>
      <c r="AS363" s="663">
        <f t="shared" si="2251"/>
        <v>0</v>
      </c>
      <c r="AT363" s="663">
        <f t="shared" si="2276"/>
        <v>0</v>
      </c>
      <c r="AU363" s="663">
        <f t="shared" si="2252"/>
        <v>0</v>
      </c>
      <c r="AV363" s="664">
        <f t="shared" si="2253"/>
        <v>0</v>
      </c>
      <c r="AW363" s="660">
        <f t="shared" si="2277"/>
        <v>0</v>
      </c>
      <c r="AX363" s="663">
        <f t="shared" ref="AX363" si="2694">IF(AP363=0,0,AL363+AT363/$J$19*c_Hurdle3.Share_GP)</f>
        <v>0</v>
      </c>
      <c r="AY363" s="663">
        <f t="shared" si="2279"/>
        <v>0</v>
      </c>
      <c r="AZ363" s="660">
        <f t="shared" si="2299"/>
        <v>0</v>
      </c>
      <c r="BA363" s="521"/>
      <c r="BB363" s="660">
        <f t="shared" si="2494"/>
        <v>0</v>
      </c>
      <c r="BC363" s="660">
        <f t="shared" ref="BC363" si="2695">$AZ363*c_Residual.Share_GP</f>
        <v>0</v>
      </c>
      <c r="BD363" s="651"/>
      <c r="BE363" s="660">
        <f t="shared" si="2281"/>
        <v>0</v>
      </c>
      <c r="BF363" s="660">
        <f t="shared" si="2281"/>
        <v>0</v>
      </c>
      <c r="BG363" s="660">
        <f t="shared" si="2256"/>
        <v>0</v>
      </c>
      <c r="BI363" s="660">
        <v>0</v>
      </c>
      <c r="BJ363" s="660">
        <v>0</v>
      </c>
      <c r="BK363" s="660">
        <v>0</v>
      </c>
      <c r="BL363" s="660">
        <f t="shared" si="2282"/>
        <v>0</v>
      </c>
      <c r="BM363" s="660">
        <f t="shared" si="2282"/>
        <v>0</v>
      </c>
      <c r="BN363" s="660">
        <f t="shared" si="2283"/>
        <v>0</v>
      </c>
      <c r="BO363" s="660">
        <f t="shared" si="2283"/>
        <v>0</v>
      </c>
      <c r="BP363" s="660">
        <f t="shared" si="2284"/>
        <v>0</v>
      </c>
      <c r="BQ363" s="660">
        <f t="shared" si="2284"/>
        <v>0</v>
      </c>
      <c r="BR363" s="660">
        <v>0</v>
      </c>
      <c r="BS363" s="660">
        <v>0</v>
      </c>
      <c r="BT363" s="660">
        <f t="shared" si="2257"/>
        <v>0</v>
      </c>
      <c r="BU363" s="660">
        <f t="shared" si="2257"/>
        <v>0</v>
      </c>
      <c r="BX363" s="660">
        <v>0</v>
      </c>
      <c r="BY363" s="660">
        <f t="shared" si="2285"/>
        <v>0</v>
      </c>
      <c r="BZ363" s="660">
        <f t="shared" si="2258"/>
        <v>0</v>
      </c>
      <c r="CA363" s="660">
        <f t="shared" si="2259"/>
        <v>0</v>
      </c>
      <c r="CB363" s="660">
        <f t="shared" si="2260"/>
        <v>0</v>
      </c>
      <c r="CC363" s="660">
        <f t="shared" si="2261"/>
        <v>0</v>
      </c>
      <c r="CD363" s="660">
        <f t="shared" si="2286"/>
        <v>0</v>
      </c>
    </row>
    <row r="364" spans="4:82" ht="16" hidden="1" thickTop="1" thickBot="1">
      <c r="D364" s="653"/>
      <c r="E364" s="654"/>
      <c r="F364" s="655" t="str">
        <f t="shared" si="2262"/>
        <v/>
      </c>
      <c r="G364" s="656"/>
      <c r="I364" s="658">
        <f t="shared" si="2263"/>
        <v>0</v>
      </c>
      <c r="J364" s="658">
        <f t="shared" ref="J364" si="2696">IF($G364=0,0,-MIN(0,G364*c_EquityShare.LP))</f>
        <v>0</v>
      </c>
      <c r="K364" s="658">
        <f t="shared" ref="K364" si="2697">I364*c_Rate.Pref_MO</f>
        <v>0</v>
      </c>
      <c r="L364" s="658">
        <f t="shared" si="2239"/>
        <v>0</v>
      </c>
      <c r="M364" s="658">
        <f t="shared" si="2266"/>
        <v>0</v>
      </c>
      <c r="N364" s="658">
        <f t="shared" si="2289"/>
        <v>0</v>
      </c>
      <c r="O364" s="658" cm="1">
        <f t="array" ref="O364">IF(I364=0,0,IF(G364&lt;0,N364/c_EquityShare.LP*i_EquityShare.GP,L364/c_EquityShare.LP*i_EquityShare.GP))</f>
        <v>0</v>
      </c>
      <c r="P364" s="658">
        <f t="shared" si="2267"/>
        <v>0</v>
      </c>
      <c r="Q364" s="658">
        <f t="shared" si="2240"/>
        <v>0</v>
      </c>
      <c r="R364" s="521"/>
      <c r="S364" s="660">
        <f t="shared" si="2268"/>
        <v>0</v>
      </c>
      <c r="T364" s="663" cm="1">
        <f t="array" ref="T364">IF($G364=0,0,-MIN(0,$G364*c_EquityShare.LP))</f>
        <v>0</v>
      </c>
      <c r="U364" s="663" cm="1">
        <f t="array" ref="U364">IF($D364=0,0,S364*c_Rate.Hurdle1.MO)</f>
        <v>0</v>
      </c>
      <c r="V364" s="660">
        <f t="shared" si="2290"/>
        <v>0</v>
      </c>
      <c r="W364" s="660">
        <f t="shared" si="2269"/>
        <v>0</v>
      </c>
      <c r="X364" s="663">
        <f t="shared" si="2291"/>
        <v>0</v>
      </c>
      <c r="Y364" s="663">
        <f t="shared" si="2270"/>
        <v>0</v>
      </c>
      <c r="Z364" s="663">
        <f t="shared" ref="Z364" si="2698">IF(S364=0,0,O364+W364/$J$17*c_Hurdle1.Share_GP)</f>
        <v>0</v>
      </c>
      <c r="AA364" s="663">
        <f t="shared" si="2242"/>
        <v>0</v>
      </c>
      <c r="AB364" s="660">
        <f t="shared" si="2293"/>
        <v>0</v>
      </c>
      <c r="AC364" s="521"/>
      <c r="AD364" s="663">
        <f t="shared" si="2432"/>
        <v>0</v>
      </c>
      <c r="AE364" s="663">
        <f t="shared" ref="AE364" si="2699">IF($G364=0,0,-MIN(0,$G364*c_EquityShare.LP))</f>
        <v>0</v>
      </c>
      <c r="AF364" s="663" cm="1">
        <f t="array" ref="AF364">IF($D364=0,0,AD364*(c_Rate.Hurdle2.MO))</f>
        <v>0</v>
      </c>
      <c r="AG364" s="663">
        <f t="shared" si="2244"/>
        <v>0</v>
      </c>
      <c r="AH364" s="663">
        <f t="shared" si="2273"/>
        <v>0</v>
      </c>
      <c r="AI364" s="663">
        <f t="shared" si="2245"/>
        <v>0</v>
      </c>
      <c r="AJ364" s="664">
        <f t="shared" si="2246"/>
        <v>0</v>
      </c>
      <c r="AK364" s="660">
        <f t="shared" si="2247"/>
        <v>0</v>
      </c>
      <c r="AL364" s="663">
        <f t="shared" ref="AL364" si="2700">IF(AD364=0,0,Z364+AH364/$J$18*c_Hurdle2.Share_GP)</f>
        <v>0</v>
      </c>
      <c r="AM364" s="663">
        <f t="shared" si="2249"/>
        <v>0</v>
      </c>
      <c r="AN364" s="660">
        <f t="shared" si="2296"/>
        <v>0</v>
      </c>
      <c r="AO364" s="521"/>
      <c r="AP364" s="663">
        <f t="shared" si="2435"/>
        <v>0</v>
      </c>
      <c r="AQ364" s="663">
        <f t="shared" ref="AQ364" si="2701">IF($G364=0,0,-MIN(0,$G364*c_EquityShare.LP))</f>
        <v>0</v>
      </c>
      <c r="AR364" s="663" cm="1">
        <f t="array" ref="AR364">IF($D364=0,0,AP364*(c_Rate.Hurdle3.MO))</f>
        <v>0</v>
      </c>
      <c r="AS364" s="663">
        <f t="shared" si="2251"/>
        <v>0</v>
      </c>
      <c r="AT364" s="663">
        <f t="shared" si="2276"/>
        <v>0</v>
      </c>
      <c r="AU364" s="663">
        <f t="shared" si="2252"/>
        <v>0</v>
      </c>
      <c r="AV364" s="664">
        <f t="shared" si="2253"/>
        <v>0</v>
      </c>
      <c r="AW364" s="660">
        <f t="shared" si="2277"/>
        <v>0</v>
      </c>
      <c r="AX364" s="663">
        <f t="shared" ref="AX364" si="2702">IF(AP364=0,0,AL364+AT364/$J$19*c_Hurdle3.Share_GP)</f>
        <v>0</v>
      </c>
      <c r="AY364" s="663">
        <f t="shared" si="2279"/>
        <v>0</v>
      </c>
      <c r="AZ364" s="660">
        <f t="shared" si="2299"/>
        <v>0</v>
      </c>
      <c r="BA364" s="521"/>
      <c r="BB364" s="660">
        <f t="shared" si="2494"/>
        <v>0</v>
      </c>
      <c r="BC364" s="660">
        <f t="shared" ref="BC364" si="2703">$AZ364*c_Residual.Share_GP</f>
        <v>0</v>
      </c>
      <c r="BD364" s="651"/>
      <c r="BE364" s="660">
        <f t="shared" si="2281"/>
        <v>0</v>
      </c>
      <c r="BF364" s="660">
        <f t="shared" si="2281"/>
        <v>0</v>
      </c>
      <c r="BG364" s="660">
        <f t="shared" si="2256"/>
        <v>0</v>
      </c>
      <c r="BI364" s="660">
        <v>0</v>
      </c>
      <c r="BJ364" s="660">
        <v>0</v>
      </c>
      <c r="BK364" s="660">
        <v>0</v>
      </c>
      <c r="BL364" s="660">
        <f t="shared" si="2282"/>
        <v>0</v>
      </c>
      <c r="BM364" s="660">
        <f t="shared" si="2282"/>
        <v>0</v>
      </c>
      <c r="BN364" s="660">
        <f t="shared" si="2283"/>
        <v>0</v>
      </c>
      <c r="BO364" s="660">
        <f t="shared" si="2283"/>
        <v>0</v>
      </c>
      <c r="BP364" s="660">
        <f t="shared" si="2284"/>
        <v>0</v>
      </c>
      <c r="BQ364" s="660">
        <f t="shared" si="2284"/>
        <v>0</v>
      </c>
      <c r="BR364" s="660">
        <v>0</v>
      </c>
      <c r="BS364" s="660">
        <v>0</v>
      </c>
      <c r="BT364" s="660">
        <f t="shared" si="2257"/>
        <v>0</v>
      </c>
      <c r="BU364" s="660">
        <f t="shared" si="2257"/>
        <v>0</v>
      </c>
      <c r="BX364" s="660">
        <v>0</v>
      </c>
      <c r="BY364" s="660">
        <f t="shared" si="2285"/>
        <v>0</v>
      </c>
      <c r="BZ364" s="660">
        <f t="shared" si="2258"/>
        <v>0</v>
      </c>
      <c r="CA364" s="660">
        <f t="shared" si="2259"/>
        <v>0</v>
      </c>
      <c r="CB364" s="660">
        <f t="shared" si="2260"/>
        <v>0</v>
      </c>
      <c r="CC364" s="660">
        <f t="shared" si="2261"/>
        <v>0</v>
      </c>
      <c r="CD364" s="660">
        <f t="shared" si="2286"/>
        <v>0</v>
      </c>
    </row>
    <row r="365" spans="4:82" ht="16" hidden="1" thickTop="1" thickBot="1">
      <c r="D365" s="653"/>
      <c r="E365" s="654"/>
      <c r="F365" s="655" t="str">
        <f t="shared" si="2262"/>
        <v/>
      </c>
      <c r="G365" s="656"/>
      <c r="I365" s="658">
        <f t="shared" si="2263"/>
        <v>0</v>
      </c>
      <c r="J365" s="658">
        <f t="shared" ref="J365" si="2704">IF($G365=0,0,-MIN(0,G365*c_EquityShare.LP))</f>
        <v>0</v>
      </c>
      <c r="K365" s="658">
        <f t="shared" ref="K365" si="2705">I365*c_Rate.Pref_MO</f>
        <v>0</v>
      </c>
      <c r="L365" s="658">
        <f t="shared" si="2239"/>
        <v>0</v>
      </c>
      <c r="M365" s="658">
        <f t="shared" si="2266"/>
        <v>0</v>
      </c>
      <c r="N365" s="658">
        <f t="shared" si="2289"/>
        <v>0</v>
      </c>
      <c r="O365" s="658" cm="1">
        <f t="array" ref="O365">IF(I365=0,0,IF(G365&lt;0,N365/c_EquityShare.LP*i_EquityShare.GP,L365/c_EquityShare.LP*i_EquityShare.GP))</f>
        <v>0</v>
      </c>
      <c r="P365" s="658">
        <f t="shared" si="2267"/>
        <v>0</v>
      </c>
      <c r="Q365" s="658">
        <f t="shared" si="2240"/>
        <v>0</v>
      </c>
      <c r="R365" s="521"/>
      <c r="S365" s="660">
        <f t="shared" si="2268"/>
        <v>0</v>
      </c>
      <c r="T365" s="663" cm="1">
        <f t="array" ref="T365">IF($G365=0,0,-MIN(0,$G365*c_EquityShare.LP))</f>
        <v>0</v>
      </c>
      <c r="U365" s="663" cm="1">
        <f t="array" ref="U365">IF($D365=0,0,S365*c_Rate.Hurdle1.MO)</f>
        <v>0</v>
      </c>
      <c r="V365" s="660">
        <f t="shared" si="2290"/>
        <v>0</v>
      </c>
      <c r="W365" s="660">
        <f t="shared" si="2269"/>
        <v>0</v>
      </c>
      <c r="X365" s="663">
        <f t="shared" si="2291"/>
        <v>0</v>
      </c>
      <c r="Y365" s="663">
        <f t="shared" si="2270"/>
        <v>0</v>
      </c>
      <c r="Z365" s="663">
        <f t="shared" ref="Z365" si="2706">IF(S365=0,0,O365+W365/$J$17*c_Hurdle1.Share_GP)</f>
        <v>0</v>
      </c>
      <c r="AA365" s="663">
        <f t="shared" si="2242"/>
        <v>0</v>
      </c>
      <c r="AB365" s="660">
        <f t="shared" si="2293"/>
        <v>0</v>
      </c>
      <c r="AC365" s="521"/>
      <c r="AD365" s="663">
        <f t="shared" si="2432"/>
        <v>0</v>
      </c>
      <c r="AE365" s="663">
        <f t="shared" ref="AE365" si="2707">IF($G365=0,0,-MIN(0,$G365*c_EquityShare.LP))</f>
        <v>0</v>
      </c>
      <c r="AF365" s="663" cm="1">
        <f t="array" ref="AF365">IF($D365=0,0,AD365*(c_Rate.Hurdle2.MO))</f>
        <v>0</v>
      </c>
      <c r="AG365" s="663">
        <f t="shared" si="2244"/>
        <v>0</v>
      </c>
      <c r="AH365" s="663">
        <f t="shared" si="2273"/>
        <v>0</v>
      </c>
      <c r="AI365" s="663">
        <f t="shared" si="2245"/>
        <v>0</v>
      </c>
      <c r="AJ365" s="664">
        <f t="shared" si="2246"/>
        <v>0</v>
      </c>
      <c r="AK365" s="660">
        <f t="shared" si="2247"/>
        <v>0</v>
      </c>
      <c r="AL365" s="663">
        <f t="shared" ref="AL365" si="2708">IF(AD365=0,0,Z365+AH365/$J$18*c_Hurdle2.Share_GP)</f>
        <v>0</v>
      </c>
      <c r="AM365" s="663">
        <f t="shared" si="2249"/>
        <v>0</v>
      </c>
      <c r="AN365" s="660">
        <f t="shared" si="2296"/>
        <v>0</v>
      </c>
      <c r="AO365" s="521"/>
      <c r="AP365" s="663">
        <f t="shared" si="2435"/>
        <v>0</v>
      </c>
      <c r="AQ365" s="663">
        <f t="shared" ref="AQ365" si="2709">IF($G365=0,0,-MIN(0,$G365*c_EquityShare.LP))</f>
        <v>0</v>
      </c>
      <c r="AR365" s="663" cm="1">
        <f t="array" ref="AR365">IF($D365=0,0,AP365*(c_Rate.Hurdle3.MO))</f>
        <v>0</v>
      </c>
      <c r="AS365" s="663">
        <f t="shared" si="2251"/>
        <v>0</v>
      </c>
      <c r="AT365" s="663">
        <f t="shared" si="2276"/>
        <v>0</v>
      </c>
      <c r="AU365" s="663">
        <f t="shared" si="2252"/>
        <v>0</v>
      </c>
      <c r="AV365" s="664">
        <f t="shared" si="2253"/>
        <v>0</v>
      </c>
      <c r="AW365" s="660">
        <f t="shared" si="2277"/>
        <v>0</v>
      </c>
      <c r="AX365" s="663">
        <f t="shared" ref="AX365" si="2710">IF(AP365=0,0,AL365+AT365/$J$19*c_Hurdle3.Share_GP)</f>
        <v>0</v>
      </c>
      <c r="AY365" s="663">
        <f t="shared" si="2279"/>
        <v>0</v>
      </c>
      <c r="AZ365" s="660">
        <f t="shared" si="2299"/>
        <v>0</v>
      </c>
      <c r="BA365" s="521"/>
      <c r="BB365" s="660">
        <f t="shared" si="2494"/>
        <v>0</v>
      </c>
      <c r="BC365" s="660">
        <f t="shared" ref="BC365" si="2711">$AZ365*c_Residual.Share_GP</f>
        <v>0</v>
      </c>
      <c r="BD365" s="651"/>
      <c r="BE365" s="660">
        <f t="shared" si="2281"/>
        <v>0</v>
      </c>
      <c r="BF365" s="660">
        <f t="shared" si="2281"/>
        <v>0</v>
      </c>
      <c r="BG365" s="660">
        <f t="shared" si="2256"/>
        <v>0</v>
      </c>
      <c r="BI365" s="660">
        <v>0</v>
      </c>
      <c r="BJ365" s="660">
        <v>0</v>
      </c>
      <c r="BK365" s="660">
        <v>0</v>
      </c>
      <c r="BL365" s="660">
        <f t="shared" si="2282"/>
        <v>0</v>
      </c>
      <c r="BM365" s="660">
        <f t="shared" si="2282"/>
        <v>0</v>
      </c>
      <c r="BN365" s="660">
        <f t="shared" si="2283"/>
        <v>0</v>
      </c>
      <c r="BO365" s="660">
        <f t="shared" si="2283"/>
        <v>0</v>
      </c>
      <c r="BP365" s="660">
        <f t="shared" si="2284"/>
        <v>0</v>
      </c>
      <c r="BQ365" s="660">
        <f t="shared" si="2284"/>
        <v>0</v>
      </c>
      <c r="BR365" s="660">
        <v>0</v>
      </c>
      <c r="BS365" s="660">
        <v>0</v>
      </c>
      <c r="BT365" s="660">
        <f t="shared" si="2257"/>
        <v>0</v>
      </c>
      <c r="BU365" s="660">
        <f t="shared" si="2257"/>
        <v>0</v>
      </c>
      <c r="BX365" s="660">
        <v>0</v>
      </c>
      <c r="BY365" s="660">
        <f t="shared" si="2285"/>
        <v>0</v>
      </c>
      <c r="BZ365" s="660">
        <f t="shared" si="2258"/>
        <v>0</v>
      </c>
      <c r="CA365" s="660">
        <f t="shared" si="2259"/>
        <v>0</v>
      </c>
      <c r="CB365" s="660">
        <f t="shared" si="2260"/>
        <v>0</v>
      </c>
      <c r="CC365" s="660">
        <f t="shared" si="2261"/>
        <v>0</v>
      </c>
      <c r="CD365" s="660">
        <f t="shared" si="2286"/>
        <v>0</v>
      </c>
    </row>
    <row r="366" spans="4:82" ht="16" hidden="1" thickTop="1" thickBot="1">
      <c r="D366" s="653"/>
      <c r="E366" s="654"/>
      <c r="F366" s="655" t="str">
        <f t="shared" si="2262"/>
        <v/>
      </c>
      <c r="G366" s="656"/>
      <c r="I366" s="658">
        <f t="shared" si="2263"/>
        <v>0</v>
      </c>
      <c r="J366" s="658">
        <f t="shared" ref="J366" si="2712">IF($G366=0,0,-MIN(0,G366*c_EquityShare.LP))</f>
        <v>0</v>
      </c>
      <c r="K366" s="658">
        <f t="shared" ref="K366" si="2713">I366*c_Rate.Pref_MO</f>
        <v>0</v>
      </c>
      <c r="L366" s="658">
        <f t="shared" si="2239"/>
        <v>0</v>
      </c>
      <c r="M366" s="658">
        <f t="shared" si="2266"/>
        <v>0</v>
      </c>
      <c r="N366" s="658">
        <f t="shared" si="2289"/>
        <v>0</v>
      </c>
      <c r="O366" s="658" cm="1">
        <f t="array" ref="O366">IF(I366=0,0,IF(G366&lt;0,N366/c_EquityShare.LP*i_EquityShare.GP,L366/c_EquityShare.LP*i_EquityShare.GP))</f>
        <v>0</v>
      </c>
      <c r="P366" s="658">
        <f t="shared" si="2267"/>
        <v>0</v>
      </c>
      <c r="Q366" s="658">
        <f t="shared" si="2240"/>
        <v>0</v>
      </c>
      <c r="R366" s="521"/>
      <c r="S366" s="660">
        <f t="shared" si="2268"/>
        <v>0</v>
      </c>
      <c r="T366" s="663" cm="1">
        <f t="array" ref="T366">IF($G366=0,0,-MIN(0,$G366*c_EquityShare.LP))</f>
        <v>0</v>
      </c>
      <c r="U366" s="663" cm="1">
        <f t="array" ref="U366">IF($D366=0,0,S366*c_Rate.Hurdle1.MO)</f>
        <v>0</v>
      </c>
      <c r="V366" s="660">
        <f t="shared" si="2290"/>
        <v>0</v>
      </c>
      <c r="W366" s="660">
        <f t="shared" si="2269"/>
        <v>0</v>
      </c>
      <c r="X366" s="663">
        <f t="shared" si="2291"/>
        <v>0</v>
      </c>
      <c r="Y366" s="663">
        <f t="shared" si="2270"/>
        <v>0</v>
      </c>
      <c r="Z366" s="663">
        <f t="shared" ref="Z366" si="2714">IF(S366=0,0,O366+W366/$J$17*c_Hurdle1.Share_GP)</f>
        <v>0</v>
      </c>
      <c r="AA366" s="663">
        <f t="shared" si="2242"/>
        <v>0</v>
      </c>
      <c r="AB366" s="660">
        <f t="shared" si="2293"/>
        <v>0</v>
      </c>
      <c r="AC366" s="521"/>
      <c r="AD366" s="663">
        <f t="shared" si="2432"/>
        <v>0</v>
      </c>
      <c r="AE366" s="663">
        <f t="shared" ref="AE366" si="2715">IF($G366=0,0,-MIN(0,$G366*c_EquityShare.LP))</f>
        <v>0</v>
      </c>
      <c r="AF366" s="663" cm="1">
        <f t="array" ref="AF366">IF($D366=0,0,AD366*(c_Rate.Hurdle2.MO))</f>
        <v>0</v>
      </c>
      <c r="AG366" s="663">
        <f t="shared" si="2244"/>
        <v>0</v>
      </c>
      <c r="AH366" s="663">
        <f t="shared" si="2273"/>
        <v>0</v>
      </c>
      <c r="AI366" s="663">
        <f t="shared" si="2245"/>
        <v>0</v>
      </c>
      <c r="AJ366" s="664">
        <f t="shared" si="2246"/>
        <v>0</v>
      </c>
      <c r="AK366" s="660">
        <f t="shared" si="2247"/>
        <v>0</v>
      </c>
      <c r="AL366" s="663">
        <f t="shared" ref="AL366" si="2716">IF(AD366=0,0,Z366+AH366/$J$18*c_Hurdle2.Share_GP)</f>
        <v>0</v>
      </c>
      <c r="AM366" s="663">
        <f t="shared" si="2249"/>
        <v>0</v>
      </c>
      <c r="AN366" s="660">
        <f t="shared" si="2296"/>
        <v>0</v>
      </c>
      <c r="AO366" s="521"/>
      <c r="AP366" s="663">
        <f t="shared" si="2435"/>
        <v>0</v>
      </c>
      <c r="AQ366" s="663">
        <f t="shared" ref="AQ366" si="2717">IF($G366=0,0,-MIN(0,$G366*c_EquityShare.LP))</f>
        <v>0</v>
      </c>
      <c r="AR366" s="663" cm="1">
        <f t="array" ref="AR366">IF($D366=0,0,AP366*(c_Rate.Hurdle3.MO))</f>
        <v>0</v>
      </c>
      <c r="AS366" s="663">
        <f t="shared" si="2251"/>
        <v>0</v>
      </c>
      <c r="AT366" s="663">
        <f t="shared" si="2276"/>
        <v>0</v>
      </c>
      <c r="AU366" s="663">
        <f t="shared" si="2252"/>
        <v>0</v>
      </c>
      <c r="AV366" s="664">
        <f t="shared" si="2253"/>
        <v>0</v>
      </c>
      <c r="AW366" s="660">
        <f t="shared" si="2277"/>
        <v>0</v>
      </c>
      <c r="AX366" s="663">
        <f t="shared" ref="AX366" si="2718">IF(AP366=0,0,AL366+AT366/$J$19*c_Hurdle3.Share_GP)</f>
        <v>0</v>
      </c>
      <c r="AY366" s="663">
        <f t="shared" si="2279"/>
        <v>0</v>
      </c>
      <c r="AZ366" s="660">
        <f t="shared" si="2299"/>
        <v>0</v>
      </c>
      <c r="BA366" s="521"/>
      <c r="BB366" s="660">
        <f t="shared" si="2494"/>
        <v>0</v>
      </c>
      <c r="BC366" s="660">
        <f t="shared" ref="BC366" si="2719">$AZ366*c_Residual.Share_GP</f>
        <v>0</v>
      </c>
      <c r="BD366" s="651"/>
      <c r="BE366" s="660">
        <f t="shared" si="2281"/>
        <v>0</v>
      </c>
      <c r="BF366" s="660">
        <f t="shared" si="2281"/>
        <v>0</v>
      </c>
      <c r="BG366" s="660">
        <f t="shared" si="2256"/>
        <v>0</v>
      </c>
      <c r="BI366" s="660">
        <v>0</v>
      </c>
      <c r="BJ366" s="660">
        <v>0</v>
      </c>
      <c r="BK366" s="660">
        <v>0</v>
      </c>
      <c r="BL366" s="660">
        <f t="shared" si="2282"/>
        <v>0</v>
      </c>
      <c r="BM366" s="660">
        <f t="shared" si="2282"/>
        <v>0</v>
      </c>
      <c r="BN366" s="660">
        <f t="shared" si="2283"/>
        <v>0</v>
      </c>
      <c r="BO366" s="660">
        <f t="shared" si="2283"/>
        <v>0</v>
      </c>
      <c r="BP366" s="660">
        <f t="shared" si="2284"/>
        <v>0</v>
      </c>
      <c r="BQ366" s="660">
        <f t="shared" si="2284"/>
        <v>0</v>
      </c>
      <c r="BR366" s="660">
        <v>0</v>
      </c>
      <c r="BS366" s="660">
        <v>0</v>
      </c>
      <c r="BT366" s="660">
        <f t="shared" si="2257"/>
        <v>0</v>
      </c>
      <c r="BU366" s="660">
        <f t="shared" si="2257"/>
        <v>0</v>
      </c>
      <c r="BX366" s="660">
        <v>0</v>
      </c>
      <c r="BY366" s="660">
        <f t="shared" si="2285"/>
        <v>0</v>
      </c>
      <c r="BZ366" s="660">
        <f t="shared" si="2258"/>
        <v>0</v>
      </c>
      <c r="CA366" s="660">
        <f t="shared" si="2259"/>
        <v>0</v>
      </c>
      <c r="CB366" s="660">
        <f t="shared" si="2260"/>
        <v>0</v>
      </c>
      <c r="CC366" s="660">
        <f t="shared" si="2261"/>
        <v>0</v>
      </c>
      <c r="CD366" s="660">
        <f t="shared" si="2286"/>
        <v>0</v>
      </c>
    </row>
    <row r="367" spans="4:82" ht="16" hidden="1" thickTop="1" thickBot="1">
      <c r="D367" s="653"/>
      <c r="E367" s="654"/>
      <c r="F367" s="655" t="str">
        <f t="shared" si="2262"/>
        <v/>
      </c>
      <c r="G367" s="656"/>
      <c r="I367" s="658">
        <f t="shared" si="2263"/>
        <v>0</v>
      </c>
      <c r="J367" s="658">
        <f t="shared" ref="J367" si="2720">IF($G367=0,0,-MIN(0,G367*c_EquityShare.LP))</f>
        <v>0</v>
      </c>
      <c r="K367" s="658">
        <f t="shared" ref="K367" si="2721">I367*c_Rate.Pref_MO</f>
        <v>0</v>
      </c>
      <c r="L367" s="658">
        <f t="shared" si="2239"/>
        <v>0</v>
      </c>
      <c r="M367" s="658">
        <f t="shared" si="2266"/>
        <v>0</v>
      </c>
      <c r="N367" s="658">
        <f t="shared" si="2289"/>
        <v>0</v>
      </c>
      <c r="O367" s="658" cm="1">
        <f t="array" ref="O367">IF(I367=0,0,IF(G367&lt;0,N367/c_EquityShare.LP*i_EquityShare.GP,L367/c_EquityShare.LP*i_EquityShare.GP))</f>
        <v>0</v>
      </c>
      <c r="P367" s="658">
        <f t="shared" si="2267"/>
        <v>0</v>
      </c>
      <c r="Q367" s="658">
        <f t="shared" si="2240"/>
        <v>0</v>
      </c>
      <c r="R367" s="521"/>
      <c r="S367" s="660">
        <f t="shared" si="2268"/>
        <v>0</v>
      </c>
      <c r="T367" s="663" cm="1">
        <f t="array" ref="T367">IF($G367=0,0,-MIN(0,$G367*c_EquityShare.LP))</f>
        <v>0</v>
      </c>
      <c r="U367" s="663" cm="1">
        <f t="array" ref="U367">IF($D367=0,0,S367*c_Rate.Hurdle1.MO)</f>
        <v>0</v>
      </c>
      <c r="V367" s="660">
        <f t="shared" si="2290"/>
        <v>0</v>
      </c>
      <c r="W367" s="660">
        <f t="shared" si="2269"/>
        <v>0</v>
      </c>
      <c r="X367" s="663">
        <f t="shared" si="2291"/>
        <v>0</v>
      </c>
      <c r="Y367" s="663">
        <f t="shared" si="2270"/>
        <v>0</v>
      </c>
      <c r="Z367" s="663">
        <f t="shared" ref="Z367" si="2722">IF(S367=0,0,O367+W367/$J$17*c_Hurdle1.Share_GP)</f>
        <v>0</v>
      </c>
      <c r="AA367" s="663">
        <f t="shared" si="2242"/>
        <v>0</v>
      </c>
      <c r="AB367" s="660">
        <f t="shared" si="2293"/>
        <v>0</v>
      </c>
      <c r="AC367" s="521"/>
      <c r="AD367" s="663">
        <f t="shared" si="2432"/>
        <v>0</v>
      </c>
      <c r="AE367" s="663">
        <f t="shared" ref="AE367" si="2723">IF($G367=0,0,-MIN(0,$G367*c_EquityShare.LP))</f>
        <v>0</v>
      </c>
      <c r="AF367" s="663" cm="1">
        <f t="array" ref="AF367">IF($D367=0,0,AD367*(c_Rate.Hurdle2.MO))</f>
        <v>0</v>
      </c>
      <c r="AG367" s="663">
        <f t="shared" si="2244"/>
        <v>0</v>
      </c>
      <c r="AH367" s="663">
        <f t="shared" si="2273"/>
        <v>0</v>
      </c>
      <c r="AI367" s="663">
        <f t="shared" si="2245"/>
        <v>0</v>
      </c>
      <c r="AJ367" s="664">
        <f t="shared" si="2246"/>
        <v>0</v>
      </c>
      <c r="AK367" s="660">
        <f t="shared" si="2247"/>
        <v>0</v>
      </c>
      <c r="AL367" s="663">
        <f t="shared" ref="AL367" si="2724">IF(AD367=0,0,Z367+AH367/$J$18*c_Hurdle2.Share_GP)</f>
        <v>0</v>
      </c>
      <c r="AM367" s="663">
        <f t="shared" si="2249"/>
        <v>0</v>
      </c>
      <c r="AN367" s="660">
        <f t="shared" si="2296"/>
        <v>0</v>
      </c>
      <c r="AO367" s="521"/>
      <c r="AP367" s="663">
        <f t="shared" si="2435"/>
        <v>0</v>
      </c>
      <c r="AQ367" s="663">
        <f t="shared" ref="AQ367" si="2725">IF($G367=0,0,-MIN(0,$G367*c_EquityShare.LP))</f>
        <v>0</v>
      </c>
      <c r="AR367" s="663" cm="1">
        <f t="array" ref="AR367">IF($D367=0,0,AP367*(c_Rate.Hurdle3.MO))</f>
        <v>0</v>
      </c>
      <c r="AS367" s="663">
        <f t="shared" si="2251"/>
        <v>0</v>
      </c>
      <c r="AT367" s="663">
        <f t="shared" si="2276"/>
        <v>0</v>
      </c>
      <c r="AU367" s="663">
        <f t="shared" si="2252"/>
        <v>0</v>
      </c>
      <c r="AV367" s="664">
        <f t="shared" si="2253"/>
        <v>0</v>
      </c>
      <c r="AW367" s="660">
        <f t="shared" si="2277"/>
        <v>0</v>
      </c>
      <c r="AX367" s="663">
        <f t="shared" ref="AX367" si="2726">IF(AP367=0,0,AL367+AT367/$J$19*c_Hurdle3.Share_GP)</f>
        <v>0</v>
      </c>
      <c r="AY367" s="663">
        <f t="shared" si="2279"/>
        <v>0</v>
      </c>
      <c r="AZ367" s="660">
        <f t="shared" si="2299"/>
        <v>0</v>
      </c>
      <c r="BA367" s="521"/>
      <c r="BB367" s="660">
        <f t="shared" si="2494"/>
        <v>0</v>
      </c>
      <c r="BC367" s="660">
        <f t="shared" ref="BC367" si="2727">$AZ367*c_Residual.Share_GP</f>
        <v>0</v>
      </c>
      <c r="BD367" s="651"/>
      <c r="BE367" s="660">
        <f t="shared" si="2281"/>
        <v>0</v>
      </c>
      <c r="BF367" s="660">
        <f t="shared" si="2281"/>
        <v>0</v>
      </c>
      <c r="BG367" s="660">
        <f t="shared" si="2256"/>
        <v>0</v>
      </c>
      <c r="BI367" s="660">
        <v>0</v>
      </c>
      <c r="BJ367" s="660">
        <v>0</v>
      </c>
      <c r="BK367" s="660">
        <v>0</v>
      </c>
      <c r="BL367" s="660">
        <f t="shared" si="2282"/>
        <v>0</v>
      </c>
      <c r="BM367" s="660">
        <f t="shared" si="2282"/>
        <v>0</v>
      </c>
      <c r="BN367" s="660">
        <f t="shared" si="2283"/>
        <v>0</v>
      </c>
      <c r="BO367" s="660">
        <f t="shared" si="2283"/>
        <v>0</v>
      </c>
      <c r="BP367" s="660">
        <f t="shared" si="2284"/>
        <v>0</v>
      </c>
      <c r="BQ367" s="660">
        <f t="shared" si="2284"/>
        <v>0</v>
      </c>
      <c r="BR367" s="660">
        <v>0</v>
      </c>
      <c r="BS367" s="660">
        <v>0</v>
      </c>
      <c r="BT367" s="660">
        <f t="shared" si="2257"/>
        <v>0</v>
      </c>
      <c r="BU367" s="660">
        <f t="shared" si="2257"/>
        <v>0</v>
      </c>
      <c r="BX367" s="660">
        <v>0</v>
      </c>
      <c r="BY367" s="660">
        <f t="shared" si="2285"/>
        <v>0</v>
      </c>
      <c r="BZ367" s="660">
        <f t="shared" si="2258"/>
        <v>0</v>
      </c>
      <c r="CA367" s="660">
        <f t="shared" si="2259"/>
        <v>0</v>
      </c>
      <c r="CB367" s="660">
        <f t="shared" si="2260"/>
        <v>0</v>
      </c>
      <c r="CC367" s="660">
        <f t="shared" si="2261"/>
        <v>0</v>
      </c>
      <c r="CD367" s="660">
        <f t="shared" si="2286"/>
        <v>0</v>
      </c>
    </row>
    <row r="368" spans="4:82" ht="16" hidden="1" thickTop="1" thickBot="1">
      <c r="D368" s="653"/>
      <c r="E368" s="654"/>
      <c r="F368" s="655" t="str">
        <f t="shared" si="2262"/>
        <v/>
      </c>
      <c r="G368" s="656"/>
      <c r="I368" s="658">
        <f t="shared" si="2263"/>
        <v>0</v>
      </c>
      <c r="J368" s="658">
        <f t="shared" ref="J368" si="2728">IF($G368=0,0,-MIN(0,G368*c_EquityShare.LP))</f>
        <v>0</v>
      </c>
      <c r="K368" s="658">
        <f t="shared" ref="K368" si="2729">I368*c_Rate.Pref_MO</f>
        <v>0</v>
      </c>
      <c r="L368" s="658">
        <f t="shared" si="2239"/>
        <v>0</v>
      </c>
      <c r="M368" s="658">
        <f t="shared" si="2266"/>
        <v>0</v>
      </c>
      <c r="N368" s="658">
        <f t="shared" si="2289"/>
        <v>0</v>
      </c>
      <c r="O368" s="658" cm="1">
        <f t="array" ref="O368">IF(I368=0,0,IF(G368&lt;0,N368/c_EquityShare.LP*i_EquityShare.GP,L368/c_EquityShare.LP*i_EquityShare.GP))</f>
        <v>0</v>
      </c>
      <c r="P368" s="658">
        <f t="shared" si="2267"/>
        <v>0</v>
      </c>
      <c r="Q368" s="658">
        <f t="shared" si="2240"/>
        <v>0</v>
      </c>
      <c r="R368" s="521"/>
      <c r="S368" s="660">
        <f t="shared" si="2268"/>
        <v>0</v>
      </c>
      <c r="T368" s="663" cm="1">
        <f t="array" ref="T368">IF($G368=0,0,-MIN(0,$G368*c_EquityShare.LP))</f>
        <v>0</v>
      </c>
      <c r="U368" s="663" cm="1">
        <f t="array" ref="U368">IF($D368=0,0,S368*c_Rate.Hurdle1.MO)</f>
        <v>0</v>
      </c>
      <c r="V368" s="660">
        <f t="shared" si="2290"/>
        <v>0</v>
      </c>
      <c r="W368" s="660">
        <f t="shared" si="2269"/>
        <v>0</v>
      </c>
      <c r="X368" s="663">
        <f t="shared" si="2291"/>
        <v>0</v>
      </c>
      <c r="Y368" s="663">
        <f t="shared" si="2270"/>
        <v>0</v>
      </c>
      <c r="Z368" s="663">
        <f t="shared" ref="Z368" si="2730">IF(S368=0,0,O368+W368/$J$17*c_Hurdle1.Share_GP)</f>
        <v>0</v>
      </c>
      <c r="AA368" s="663">
        <f t="shared" si="2242"/>
        <v>0</v>
      </c>
      <c r="AB368" s="660">
        <f t="shared" si="2293"/>
        <v>0</v>
      </c>
      <c r="AC368" s="521"/>
      <c r="AD368" s="663">
        <f t="shared" si="2432"/>
        <v>0</v>
      </c>
      <c r="AE368" s="663">
        <f t="shared" ref="AE368" si="2731">IF($G368=0,0,-MIN(0,$G368*c_EquityShare.LP))</f>
        <v>0</v>
      </c>
      <c r="AF368" s="663" cm="1">
        <f t="array" ref="AF368">IF($D368=0,0,AD368*(c_Rate.Hurdle2.MO))</f>
        <v>0</v>
      </c>
      <c r="AG368" s="663">
        <f t="shared" si="2244"/>
        <v>0</v>
      </c>
      <c r="AH368" s="663">
        <f t="shared" si="2273"/>
        <v>0</v>
      </c>
      <c r="AI368" s="663">
        <f t="shared" si="2245"/>
        <v>0</v>
      </c>
      <c r="AJ368" s="664">
        <f t="shared" si="2246"/>
        <v>0</v>
      </c>
      <c r="AK368" s="660">
        <f t="shared" si="2247"/>
        <v>0</v>
      </c>
      <c r="AL368" s="663">
        <f t="shared" ref="AL368" si="2732">IF(AD368=0,0,Z368+AH368/$J$18*c_Hurdle2.Share_GP)</f>
        <v>0</v>
      </c>
      <c r="AM368" s="663">
        <f t="shared" si="2249"/>
        <v>0</v>
      </c>
      <c r="AN368" s="660">
        <f t="shared" si="2296"/>
        <v>0</v>
      </c>
      <c r="AO368" s="521"/>
      <c r="AP368" s="663">
        <f t="shared" si="2435"/>
        <v>0</v>
      </c>
      <c r="AQ368" s="663">
        <f t="shared" ref="AQ368" si="2733">IF($G368=0,0,-MIN(0,$G368*c_EquityShare.LP))</f>
        <v>0</v>
      </c>
      <c r="AR368" s="663" cm="1">
        <f t="array" ref="AR368">IF($D368=0,0,AP368*(c_Rate.Hurdle3.MO))</f>
        <v>0</v>
      </c>
      <c r="AS368" s="663">
        <f t="shared" si="2251"/>
        <v>0</v>
      </c>
      <c r="AT368" s="663">
        <f t="shared" si="2276"/>
        <v>0</v>
      </c>
      <c r="AU368" s="663">
        <f t="shared" si="2252"/>
        <v>0</v>
      </c>
      <c r="AV368" s="664">
        <f t="shared" si="2253"/>
        <v>0</v>
      </c>
      <c r="AW368" s="660">
        <f t="shared" si="2277"/>
        <v>0</v>
      </c>
      <c r="AX368" s="663">
        <f t="shared" ref="AX368" si="2734">IF(AP368=0,0,AL368+AT368/$J$19*c_Hurdle3.Share_GP)</f>
        <v>0</v>
      </c>
      <c r="AY368" s="663">
        <f t="shared" si="2279"/>
        <v>0</v>
      </c>
      <c r="AZ368" s="660">
        <f t="shared" si="2299"/>
        <v>0</v>
      </c>
      <c r="BA368" s="521"/>
      <c r="BB368" s="660">
        <f t="shared" si="2494"/>
        <v>0</v>
      </c>
      <c r="BC368" s="660">
        <f t="shared" ref="BC368" si="2735">$AZ368*c_Residual.Share_GP</f>
        <v>0</v>
      </c>
      <c r="BD368" s="651"/>
      <c r="BE368" s="660">
        <f t="shared" si="2281"/>
        <v>0</v>
      </c>
      <c r="BF368" s="660">
        <f t="shared" si="2281"/>
        <v>0</v>
      </c>
      <c r="BG368" s="660">
        <f t="shared" si="2256"/>
        <v>0</v>
      </c>
      <c r="BI368" s="660">
        <v>0</v>
      </c>
      <c r="BJ368" s="660">
        <v>0</v>
      </c>
      <c r="BK368" s="660">
        <v>0</v>
      </c>
      <c r="BL368" s="660">
        <f t="shared" si="2282"/>
        <v>0</v>
      </c>
      <c r="BM368" s="660">
        <f t="shared" si="2282"/>
        <v>0</v>
      </c>
      <c r="BN368" s="660">
        <f t="shared" si="2283"/>
        <v>0</v>
      </c>
      <c r="BO368" s="660">
        <f t="shared" si="2283"/>
        <v>0</v>
      </c>
      <c r="BP368" s="660">
        <f t="shared" si="2284"/>
        <v>0</v>
      </c>
      <c r="BQ368" s="660">
        <f t="shared" si="2284"/>
        <v>0</v>
      </c>
      <c r="BR368" s="660">
        <v>0</v>
      </c>
      <c r="BS368" s="660">
        <v>0</v>
      </c>
      <c r="BT368" s="660">
        <f t="shared" si="2257"/>
        <v>0</v>
      </c>
      <c r="BU368" s="660">
        <f t="shared" si="2257"/>
        <v>0</v>
      </c>
      <c r="BX368" s="660">
        <v>0</v>
      </c>
      <c r="BY368" s="660">
        <f t="shared" si="2285"/>
        <v>0</v>
      </c>
      <c r="BZ368" s="660">
        <f t="shared" si="2258"/>
        <v>0</v>
      </c>
      <c r="CA368" s="660">
        <f t="shared" si="2259"/>
        <v>0</v>
      </c>
      <c r="CB368" s="660">
        <f t="shared" si="2260"/>
        <v>0</v>
      </c>
      <c r="CC368" s="660">
        <f t="shared" si="2261"/>
        <v>0</v>
      </c>
      <c r="CD368" s="660">
        <f t="shared" si="2286"/>
        <v>0</v>
      </c>
    </row>
    <row r="369" spans="4:82" ht="16" hidden="1" thickTop="1" thickBot="1">
      <c r="D369" s="653"/>
      <c r="E369" s="654"/>
      <c r="F369" s="655" t="str">
        <f t="shared" si="2262"/>
        <v/>
      </c>
      <c r="G369" s="656"/>
      <c r="I369" s="658">
        <f t="shared" si="2263"/>
        <v>0</v>
      </c>
      <c r="J369" s="658">
        <f t="shared" ref="J369" si="2736">IF($G369=0,0,-MIN(0,G369*c_EquityShare.LP))</f>
        <v>0</v>
      </c>
      <c r="K369" s="658">
        <f t="shared" ref="K369" si="2737">I369*c_Rate.Pref_MO</f>
        <v>0</v>
      </c>
      <c r="L369" s="658">
        <f t="shared" si="2239"/>
        <v>0</v>
      </c>
      <c r="M369" s="658">
        <f t="shared" si="2266"/>
        <v>0</v>
      </c>
      <c r="N369" s="658">
        <f t="shared" si="2289"/>
        <v>0</v>
      </c>
      <c r="O369" s="658" cm="1">
        <f t="array" ref="O369">IF(I369=0,0,IF(G369&lt;0,N369/c_EquityShare.LP*i_EquityShare.GP,L369/c_EquityShare.LP*i_EquityShare.GP))</f>
        <v>0</v>
      </c>
      <c r="P369" s="658">
        <f t="shared" si="2267"/>
        <v>0</v>
      </c>
      <c r="Q369" s="658">
        <f t="shared" si="2240"/>
        <v>0</v>
      </c>
      <c r="R369" s="521"/>
      <c r="S369" s="660">
        <f t="shared" si="2268"/>
        <v>0</v>
      </c>
      <c r="T369" s="663" cm="1">
        <f t="array" ref="T369">IF($G369=0,0,-MIN(0,$G369*c_EquityShare.LP))</f>
        <v>0</v>
      </c>
      <c r="U369" s="663" cm="1">
        <f t="array" ref="U369">IF($D369=0,0,S369*c_Rate.Hurdle1.MO)</f>
        <v>0</v>
      </c>
      <c r="V369" s="660">
        <f t="shared" si="2290"/>
        <v>0</v>
      </c>
      <c r="W369" s="660">
        <f t="shared" si="2269"/>
        <v>0</v>
      </c>
      <c r="X369" s="663">
        <f t="shared" si="2291"/>
        <v>0</v>
      </c>
      <c r="Y369" s="663">
        <f t="shared" si="2270"/>
        <v>0</v>
      </c>
      <c r="Z369" s="663">
        <f t="shared" ref="Z369" si="2738">IF(S369=0,0,O369+W369/$J$17*c_Hurdle1.Share_GP)</f>
        <v>0</v>
      </c>
      <c r="AA369" s="663">
        <f t="shared" si="2242"/>
        <v>0</v>
      </c>
      <c r="AB369" s="660">
        <f t="shared" si="2293"/>
        <v>0</v>
      </c>
      <c r="AC369" s="521"/>
      <c r="AD369" s="663">
        <f t="shared" si="2432"/>
        <v>0</v>
      </c>
      <c r="AE369" s="663">
        <f t="shared" ref="AE369" si="2739">IF($G369=0,0,-MIN(0,$G369*c_EquityShare.LP))</f>
        <v>0</v>
      </c>
      <c r="AF369" s="663" cm="1">
        <f t="array" ref="AF369">IF($D369=0,0,AD369*(c_Rate.Hurdle2.MO))</f>
        <v>0</v>
      </c>
      <c r="AG369" s="663">
        <f t="shared" si="2244"/>
        <v>0</v>
      </c>
      <c r="AH369" s="663">
        <f t="shared" si="2273"/>
        <v>0</v>
      </c>
      <c r="AI369" s="663">
        <f t="shared" si="2245"/>
        <v>0</v>
      </c>
      <c r="AJ369" s="664">
        <f t="shared" si="2246"/>
        <v>0</v>
      </c>
      <c r="AK369" s="660">
        <f t="shared" si="2247"/>
        <v>0</v>
      </c>
      <c r="AL369" s="663">
        <f t="shared" ref="AL369" si="2740">IF(AD369=0,0,Z369+AH369/$J$18*c_Hurdle2.Share_GP)</f>
        <v>0</v>
      </c>
      <c r="AM369" s="663">
        <f t="shared" si="2249"/>
        <v>0</v>
      </c>
      <c r="AN369" s="660">
        <f t="shared" si="2296"/>
        <v>0</v>
      </c>
      <c r="AO369" s="521"/>
      <c r="AP369" s="663">
        <f t="shared" si="2435"/>
        <v>0</v>
      </c>
      <c r="AQ369" s="663">
        <f t="shared" ref="AQ369" si="2741">IF($G369=0,0,-MIN(0,$G369*c_EquityShare.LP))</f>
        <v>0</v>
      </c>
      <c r="AR369" s="663" cm="1">
        <f t="array" ref="AR369">IF($D369=0,0,AP369*(c_Rate.Hurdle3.MO))</f>
        <v>0</v>
      </c>
      <c r="AS369" s="663">
        <f t="shared" si="2251"/>
        <v>0</v>
      </c>
      <c r="AT369" s="663">
        <f t="shared" si="2276"/>
        <v>0</v>
      </c>
      <c r="AU369" s="663">
        <f t="shared" si="2252"/>
        <v>0</v>
      </c>
      <c r="AV369" s="664">
        <f t="shared" si="2253"/>
        <v>0</v>
      </c>
      <c r="AW369" s="660">
        <f t="shared" si="2277"/>
        <v>0</v>
      </c>
      <c r="AX369" s="663">
        <f t="shared" ref="AX369" si="2742">IF(AP369=0,0,AL369+AT369/$J$19*c_Hurdle3.Share_GP)</f>
        <v>0</v>
      </c>
      <c r="AY369" s="663">
        <f t="shared" si="2279"/>
        <v>0</v>
      </c>
      <c r="AZ369" s="660">
        <f t="shared" si="2299"/>
        <v>0</v>
      </c>
      <c r="BA369" s="521"/>
      <c r="BB369" s="660">
        <f t="shared" si="2494"/>
        <v>0</v>
      </c>
      <c r="BC369" s="660">
        <f t="shared" ref="BC369" si="2743">$AZ369*c_Residual.Share_GP</f>
        <v>0</v>
      </c>
      <c r="BD369" s="651"/>
      <c r="BE369" s="660">
        <f t="shared" si="2281"/>
        <v>0</v>
      </c>
      <c r="BF369" s="660">
        <f t="shared" si="2281"/>
        <v>0</v>
      </c>
      <c r="BG369" s="660">
        <f t="shared" si="2256"/>
        <v>0</v>
      </c>
      <c r="BI369" s="660">
        <v>0</v>
      </c>
      <c r="BJ369" s="660">
        <v>0</v>
      </c>
      <c r="BK369" s="660">
        <v>0</v>
      </c>
      <c r="BL369" s="660">
        <f t="shared" si="2282"/>
        <v>0</v>
      </c>
      <c r="BM369" s="660">
        <f t="shared" si="2282"/>
        <v>0</v>
      </c>
      <c r="BN369" s="660">
        <f t="shared" si="2283"/>
        <v>0</v>
      </c>
      <c r="BO369" s="660">
        <f t="shared" si="2283"/>
        <v>0</v>
      </c>
      <c r="BP369" s="660">
        <f t="shared" si="2284"/>
        <v>0</v>
      </c>
      <c r="BQ369" s="660">
        <f t="shared" si="2284"/>
        <v>0</v>
      </c>
      <c r="BR369" s="660">
        <v>0</v>
      </c>
      <c r="BS369" s="660">
        <v>0</v>
      </c>
      <c r="BT369" s="660">
        <f t="shared" si="2257"/>
        <v>0</v>
      </c>
      <c r="BU369" s="660">
        <f t="shared" si="2257"/>
        <v>0</v>
      </c>
      <c r="BX369" s="660">
        <v>0</v>
      </c>
      <c r="BY369" s="660">
        <f t="shared" si="2285"/>
        <v>0</v>
      </c>
      <c r="BZ369" s="660">
        <f t="shared" si="2258"/>
        <v>0</v>
      </c>
      <c r="CA369" s="660">
        <f t="shared" si="2259"/>
        <v>0</v>
      </c>
      <c r="CB369" s="660">
        <f t="shared" si="2260"/>
        <v>0</v>
      </c>
      <c r="CC369" s="660">
        <f t="shared" si="2261"/>
        <v>0</v>
      </c>
      <c r="CD369" s="660">
        <f t="shared" si="2286"/>
        <v>0</v>
      </c>
    </row>
    <row r="370" spans="4:82" ht="16" hidden="1" thickTop="1" thickBot="1">
      <c r="D370" s="653"/>
      <c r="E370" s="654"/>
      <c r="F370" s="655" t="str">
        <f t="shared" si="2262"/>
        <v/>
      </c>
      <c r="G370" s="656"/>
      <c r="I370" s="658">
        <f t="shared" si="2263"/>
        <v>0</v>
      </c>
      <c r="J370" s="658">
        <f t="shared" ref="J370" si="2744">IF($G370=0,0,-MIN(0,G370*c_EquityShare.LP))</f>
        <v>0</v>
      </c>
      <c r="K370" s="658">
        <f t="shared" ref="K370" si="2745">I370*c_Rate.Pref_MO</f>
        <v>0</v>
      </c>
      <c r="L370" s="658">
        <f t="shared" si="2239"/>
        <v>0</v>
      </c>
      <c r="M370" s="658">
        <f t="shared" si="2266"/>
        <v>0</v>
      </c>
      <c r="N370" s="658">
        <f t="shared" si="2289"/>
        <v>0</v>
      </c>
      <c r="O370" s="658" cm="1">
        <f t="array" ref="O370">IF(I370=0,0,IF(G370&lt;0,N370/c_EquityShare.LP*i_EquityShare.GP,L370/c_EquityShare.LP*i_EquityShare.GP))</f>
        <v>0</v>
      </c>
      <c r="P370" s="658">
        <f t="shared" si="2267"/>
        <v>0</v>
      </c>
      <c r="Q370" s="658">
        <f t="shared" si="2240"/>
        <v>0</v>
      </c>
      <c r="R370" s="521"/>
      <c r="S370" s="660">
        <f t="shared" si="2268"/>
        <v>0</v>
      </c>
      <c r="T370" s="663" cm="1">
        <f t="array" ref="T370">IF($G370=0,0,-MIN(0,$G370*c_EquityShare.LP))</f>
        <v>0</v>
      </c>
      <c r="U370" s="663" cm="1">
        <f t="array" ref="U370">IF($D370=0,0,S370*c_Rate.Hurdle1.MO)</f>
        <v>0</v>
      </c>
      <c r="V370" s="660">
        <f t="shared" si="2290"/>
        <v>0</v>
      </c>
      <c r="W370" s="660">
        <f t="shared" si="2269"/>
        <v>0</v>
      </c>
      <c r="X370" s="663">
        <f t="shared" si="2291"/>
        <v>0</v>
      </c>
      <c r="Y370" s="663">
        <f t="shared" si="2270"/>
        <v>0</v>
      </c>
      <c r="Z370" s="663">
        <f t="shared" ref="Z370" si="2746">IF(S370=0,0,O370+W370/$J$17*c_Hurdle1.Share_GP)</f>
        <v>0</v>
      </c>
      <c r="AA370" s="663">
        <f t="shared" si="2242"/>
        <v>0</v>
      </c>
      <c r="AB370" s="660">
        <f t="shared" si="2293"/>
        <v>0</v>
      </c>
      <c r="AC370" s="521"/>
      <c r="AD370" s="663">
        <f t="shared" si="2432"/>
        <v>0</v>
      </c>
      <c r="AE370" s="663">
        <f t="shared" ref="AE370" si="2747">IF($G370=0,0,-MIN(0,$G370*c_EquityShare.LP))</f>
        <v>0</v>
      </c>
      <c r="AF370" s="663" cm="1">
        <f t="array" ref="AF370">IF($D370=0,0,AD370*(c_Rate.Hurdle2.MO))</f>
        <v>0</v>
      </c>
      <c r="AG370" s="663">
        <f t="shared" si="2244"/>
        <v>0</v>
      </c>
      <c r="AH370" s="663">
        <f t="shared" si="2273"/>
        <v>0</v>
      </c>
      <c r="AI370" s="663">
        <f t="shared" si="2245"/>
        <v>0</v>
      </c>
      <c r="AJ370" s="664">
        <f t="shared" si="2246"/>
        <v>0</v>
      </c>
      <c r="AK370" s="660">
        <f t="shared" si="2247"/>
        <v>0</v>
      </c>
      <c r="AL370" s="663">
        <f t="shared" ref="AL370" si="2748">IF(AD370=0,0,Z370+AH370/$J$18*c_Hurdle2.Share_GP)</f>
        <v>0</v>
      </c>
      <c r="AM370" s="663">
        <f t="shared" si="2249"/>
        <v>0</v>
      </c>
      <c r="AN370" s="660">
        <f t="shared" si="2296"/>
        <v>0</v>
      </c>
      <c r="AO370" s="521"/>
      <c r="AP370" s="663">
        <f t="shared" si="2435"/>
        <v>0</v>
      </c>
      <c r="AQ370" s="663">
        <f t="shared" ref="AQ370" si="2749">IF($G370=0,0,-MIN(0,$G370*c_EquityShare.LP))</f>
        <v>0</v>
      </c>
      <c r="AR370" s="663" cm="1">
        <f t="array" ref="AR370">IF($D370=0,0,AP370*(c_Rate.Hurdle3.MO))</f>
        <v>0</v>
      </c>
      <c r="AS370" s="663">
        <f t="shared" si="2251"/>
        <v>0</v>
      </c>
      <c r="AT370" s="663">
        <f t="shared" si="2276"/>
        <v>0</v>
      </c>
      <c r="AU370" s="663">
        <f t="shared" si="2252"/>
        <v>0</v>
      </c>
      <c r="AV370" s="664">
        <f t="shared" si="2253"/>
        <v>0</v>
      </c>
      <c r="AW370" s="660">
        <f t="shared" si="2277"/>
        <v>0</v>
      </c>
      <c r="AX370" s="663">
        <f t="shared" ref="AX370" si="2750">IF(AP370=0,0,AL370+AT370/$J$19*c_Hurdle3.Share_GP)</f>
        <v>0</v>
      </c>
      <c r="AY370" s="663">
        <f t="shared" si="2279"/>
        <v>0</v>
      </c>
      <c r="AZ370" s="660">
        <f t="shared" si="2299"/>
        <v>0</v>
      </c>
      <c r="BA370" s="521"/>
      <c r="BB370" s="660">
        <f t="shared" si="2494"/>
        <v>0</v>
      </c>
      <c r="BC370" s="660">
        <f t="shared" ref="BC370" si="2751">$AZ370*c_Residual.Share_GP</f>
        <v>0</v>
      </c>
      <c r="BD370" s="651"/>
      <c r="BE370" s="660">
        <f t="shared" si="2281"/>
        <v>0</v>
      </c>
      <c r="BF370" s="660">
        <f t="shared" si="2281"/>
        <v>0</v>
      </c>
      <c r="BG370" s="660">
        <f t="shared" si="2256"/>
        <v>0</v>
      </c>
      <c r="BI370" s="660">
        <v>0</v>
      </c>
      <c r="BJ370" s="660">
        <v>0</v>
      </c>
      <c r="BK370" s="660">
        <v>0</v>
      </c>
      <c r="BL370" s="660">
        <f t="shared" si="2282"/>
        <v>0</v>
      </c>
      <c r="BM370" s="660">
        <f t="shared" si="2282"/>
        <v>0</v>
      </c>
      <c r="BN370" s="660">
        <f t="shared" si="2283"/>
        <v>0</v>
      </c>
      <c r="BO370" s="660">
        <f t="shared" si="2283"/>
        <v>0</v>
      </c>
      <c r="BP370" s="660">
        <f t="shared" si="2284"/>
        <v>0</v>
      </c>
      <c r="BQ370" s="660">
        <f t="shared" si="2284"/>
        <v>0</v>
      </c>
      <c r="BR370" s="660">
        <v>0</v>
      </c>
      <c r="BS370" s="660">
        <v>0</v>
      </c>
      <c r="BT370" s="660">
        <f t="shared" si="2257"/>
        <v>0</v>
      </c>
      <c r="BU370" s="660">
        <f t="shared" si="2257"/>
        <v>0</v>
      </c>
      <c r="BX370" s="660">
        <v>0</v>
      </c>
      <c r="BY370" s="660">
        <f t="shared" si="2285"/>
        <v>0</v>
      </c>
      <c r="BZ370" s="660">
        <f t="shared" si="2258"/>
        <v>0</v>
      </c>
      <c r="CA370" s="660">
        <f t="shared" si="2259"/>
        <v>0</v>
      </c>
      <c r="CB370" s="660">
        <f t="shared" si="2260"/>
        <v>0</v>
      </c>
      <c r="CC370" s="660">
        <f t="shared" si="2261"/>
        <v>0</v>
      </c>
      <c r="CD370" s="660">
        <f t="shared" si="2286"/>
        <v>0</v>
      </c>
    </row>
    <row r="371" spans="4:82" ht="16" hidden="1" thickTop="1" thickBot="1">
      <c r="D371" s="653"/>
      <c r="E371" s="654"/>
      <c r="F371" s="655" t="str">
        <f t="shared" si="2262"/>
        <v/>
      </c>
      <c r="G371" s="656"/>
      <c r="I371" s="658">
        <f t="shared" si="2263"/>
        <v>0</v>
      </c>
      <c r="J371" s="658">
        <f t="shared" ref="J371" si="2752">IF($G371=0,0,-MIN(0,G371*c_EquityShare.LP))</f>
        <v>0</v>
      </c>
      <c r="K371" s="658">
        <f t="shared" ref="K371" si="2753">I371*c_Rate.Pref_MO</f>
        <v>0</v>
      </c>
      <c r="L371" s="658">
        <f t="shared" si="2239"/>
        <v>0</v>
      </c>
      <c r="M371" s="658">
        <f t="shared" si="2266"/>
        <v>0</v>
      </c>
      <c r="N371" s="658">
        <f t="shared" si="2289"/>
        <v>0</v>
      </c>
      <c r="O371" s="658" cm="1">
        <f t="array" ref="O371">IF(I371=0,0,IF(G371&lt;0,N371/c_EquityShare.LP*i_EquityShare.GP,L371/c_EquityShare.LP*i_EquityShare.GP))</f>
        <v>0</v>
      </c>
      <c r="P371" s="658">
        <f t="shared" si="2267"/>
        <v>0</v>
      </c>
      <c r="Q371" s="658">
        <f t="shared" si="2240"/>
        <v>0</v>
      </c>
      <c r="R371" s="521"/>
      <c r="S371" s="660">
        <f t="shared" si="2268"/>
        <v>0</v>
      </c>
      <c r="T371" s="663" cm="1">
        <f t="array" ref="T371">IF($G371=0,0,-MIN(0,$G371*c_EquityShare.LP))</f>
        <v>0</v>
      </c>
      <c r="U371" s="663" cm="1">
        <f t="array" ref="U371">IF($D371=0,0,S371*c_Rate.Hurdle1.MO)</f>
        <v>0</v>
      </c>
      <c r="V371" s="660">
        <f t="shared" si="2290"/>
        <v>0</v>
      </c>
      <c r="W371" s="660">
        <f t="shared" si="2269"/>
        <v>0</v>
      </c>
      <c r="X371" s="663">
        <f t="shared" si="2291"/>
        <v>0</v>
      </c>
      <c r="Y371" s="663">
        <f t="shared" si="2270"/>
        <v>0</v>
      </c>
      <c r="Z371" s="663">
        <f t="shared" ref="Z371" si="2754">IF(S371=0,0,O371+W371/$J$17*c_Hurdle1.Share_GP)</f>
        <v>0</v>
      </c>
      <c r="AA371" s="663">
        <f t="shared" si="2242"/>
        <v>0</v>
      </c>
      <c r="AB371" s="660">
        <f t="shared" si="2293"/>
        <v>0</v>
      </c>
      <c r="AC371" s="521"/>
      <c r="AD371" s="663">
        <f t="shared" si="2432"/>
        <v>0</v>
      </c>
      <c r="AE371" s="663">
        <f t="shared" ref="AE371" si="2755">IF($G371=0,0,-MIN(0,$G371*c_EquityShare.LP))</f>
        <v>0</v>
      </c>
      <c r="AF371" s="663" cm="1">
        <f t="array" ref="AF371">IF($D371=0,0,AD371*(c_Rate.Hurdle2.MO))</f>
        <v>0</v>
      </c>
      <c r="AG371" s="663">
        <f t="shared" si="2244"/>
        <v>0</v>
      </c>
      <c r="AH371" s="663">
        <f t="shared" si="2273"/>
        <v>0</v>
      </c>
      <c r="AI371" s="663">
        <f t="shared" si="2245"/>
        <v>0</v>
      </c>
      <c r="AJ371" s="664">
        <f t="shared" si="2246"/>
        <v>0</v>
      </c>
      <c r="AK371" s="660">
        <f t="shared" si="2247"/>
        <v>0</v>
      </c>
      <c r="AL371" s="663">
        <f t="shared" ref="AL371" si="2756">IF(AD371=0,0,Z371+AH371/$J$18*c_Hurdle2.Share_GP)</f>
        <v>0</v>
      </c>
      <c r="AM371" s="663">
        <f t="shared" si="2249"/>
        <v>0</v>
      </c>
      <c r="AN371" s="660">
        <f t="shared" si="2296"/>
        <v>0</v>
      </c>
      <c r="AO371" s="521"/>
      <c r="AP371" s="663">
        <f t="shared" si="2435"/>
        <v>0</v>
      </c>
      <c r="AQ371" s="663">
        <f t="shared" ref="AQ371" si="2757">IF($G371=0,0,-MIN(0,$G371*c_EquityShare.LP))</f>
        <v>0</v>
      </c>
      <c r="AR371" s="663" cm="1">
        <f t="array" ref="AR371">IF($D371=0,0,AP371*(c_Rate.Hurdle3.MO))</f>
        <v>0</v>
      </c>
      <c r="AS371" s="663">
        <f t="shared" si="2251"/>
        <v>0</v>
      </c>
      <c r="AT371" s="663">
        <f t="shared" si="2276"/>
        <v>0</v>
      </c>
      <c r="AU371" s="663">
        <f t="shared" si="2252"/>
        <v>0</v>
      </c>
      <c r="AV371" s="664">
        <f t="shared" si="2253"/>
        <v>0</v>
      </c>
      <c r="AW371" s="660">
        <f t="shared" si="2277"/>
        <v>0</v>
      </c>
      <c r="AX371" s="663">
        <f t="shared" ref="AX371" si="2758">IF(AP371=0,0,AL371+AT371/$J$19*c_Hurdle3.Share_GP)</f>
        <v>0</v>
      </c>
      <c r="AY371" s="663">
        <f t="shared" si="2279"/>
        <v>0</v>
      </c>
      <c r="AZ371" s="660">
        <f t="shared" si="2299"/>
        <v>0</v>
      </c>
      <c r="BA371" s="521"/>
      <c r="BB371" s="660">
        <f t="shared" si="2494"/>
        <v>0</v>
      </c>
      <c r="BC371" s="660">
        <f t="shared" ref="BC371" si="2759">$AZ371*c_Residual.Share_GP</f>
        <v>0</v>
      </c>
      <c r="BD371" s="651"/>
      <c r="BE371" s="660">
        <f t="shared" si="2281"/>
        <v>0</v>
      </c>
      <c r="BF371" s="660">
        <f t="shared" si="2281"/>
        <v>0</v>
      </c>
      <c r="BG371" s="660">
        <f t="shared" si="2256"/>
        <v>0</v>
      </c>
      <c r="BI371" s="660">
        <v>0</v>
      </c>
      <c r="BJ371" s="660">
        <v>0</v>
      </c>
      <c r="BK371" s="660">
        <v>0</v>
      </c>
      <c r="BL371" s="660">
        <f t="shared" si="2282"/>
        <v>0</v>
      </c>
      <c r="BM371" s="660">
        <f t="shared" si="2282"/>
        <v>0</v>
      </c>
      <c r="BN371" s="660">
        <f t="shared" si="2283"/>
        <v>0</v>
      </c>
      <c r="BO371" s="660">
        <f t="shared" si="2283"/>
        <v>0</v>
      </c>
      <c r="BP371" s="660">
        <f t="shared" si="2284"/>
        <v>0</v>
      </c>
      <c r="BQ371" s="660">
        <f t="shared" si="2284"/>
        <v>0</v>
      </c>
      <c r="BR371" s="660">
        <v>0</v>
      </c>
      <c r="BS371" s="660">
        <v>0</v>
      </c>
      <c r="BT371" s="660">
        <f t="shared" si="2257"/>
        <v>0</v>
      </c>
      <c r="BU371" s="660">
        <f t="shared" si="2257"/>
        <v>0</v>
      </c>
      <c r="BX371" s="660">
        <v>0</v>
      </c>
      <c r="BY371" s="660">
        <f t="shared" si="2285"/>
        <v>0</v>
      </c>
      <c r="BZ371" s="660">
        <f t="shared" si="2258"/>
        <v>0</v>
      </c>
      <c r="CA371" s="660">
        <f t="shared" si="2259"/>
        <v>0</v>
      </c>
      <c r="CB371" s="660">
        <f t="shared" si="2260"/>
        <v>0</v>
      </c>
      <c r="CC371" s="660">
        <f t="shared" si="2261"/>
        <v>0</v>
      </c>
      <c r="CD371" s="660">
        <f t="shared" si="2286"/>
        <v>0</v>
      </c>
    </row>
    <row r="372" spans="4:82" ht="16" hidden="1" thickTop="1" thickBot="1">
      <c r="D372" s="653"/>
      <c r="E372" s="654"/>
      <c r="F372" s="655" t="str">
        <f t="shared" si="2262"/>
        <v/>
      </c>
      <c r="G372" s="656"/>
      <c r="I372" s="658">
        <f t="shared" si="2263"/>
        <v>0</v>
      </c>
      <c r="J372" s="658">
        <f t="shared" ref="J372" si="2760">IF($G372=0,0,-MIN(0,G372*c_EquityShare.LP))</f>
        <v>0</v>
      </c>
      <c r="K372" s="658">
        <f t="shared" ref="K372" si="2761">I372*c_Rate.Pref_MO</f>
        <v>0</v>
      </c>
      <c r="L372" s="658">
        <f t="shared" si="2239"/>
        <v>0</v>
      </c>
      <c r="M372" s="658">
        <f t="shared" si="2266"/>
        <v>0</v>
      </c>
      <c r="N372" s="658">
        <f t="shared" si="2289"/>
        <v>0</v>
      </c>
      <c r="O372" s="658" cm="1">
        <f t="array" ref="O372">IF(I372=0,0,IF(G372&lt;0,N372/c_EquityShare.LP*i_EquityShare.GP,L372/c_EquityShare.LP*i_EquityShare.GP))</f>
        <v>0</v>
      </c>
      <c r="P372" s="658">
        <f t="shared" si="2267"/>
        <v>0</v>
      </c>
      <c r="Q372" s="658">
        <f t="shared" si="2240"/>
        <v>0</v>
      </c>
      <c r="R372" s="521"/>
      <c r="S372" s="660">
        <f t="shared" si="2268"/>
        <v>0</v>
      </c>
      <c r="T372" s="663" cm="1">
        <f t="array" ref="T372">IF($G372=0,0,-MIN(0,$G372*c_EquityShare.LP))</f>
        <v>0</v>
      </c>
      <c r="U372" s="663" cm="1">
        <f t="array" ref="U372">IF($D372=0,0,S372*c_Rate.Hurdle1.MO)</f>
        <v>0</v>
      </c>
      <c r="V372" s="660">
        <f t="shared" si="2290"/>
        <v>0</v>
      </c>
      <c r="W372" s="660">
        <f t="shared" si="2269"/>
        <v>0</v>
      </c>
      <c r="X372" s="663">
        <f t="shared" si="2291"/>
        <v>0</v>
      </c>
      <c r="Y372" s="663">
        <f t="shared" si="2270"/>
        <v>0</v>
      </c>
      <c r="Z372" s="663">
        <f t="shared" ref="Z372" si="2762">IF(S372=0,0,O372+W372/$J$17*c_Hurdle1.Share_GP)</f>
        <v>0</v>
      </c>
      <c r="AA372" s="663">
        <f t="shared" si="2242"/>
        <v>0</v>
      </c>
      <c r="AB372" s="660">
        <f t="shared" si="2293"/>
        <v>0</v>
      </c>
      <c r="AC372" s="521"/>
      <c r="AD372" s="663">
        <f t="shared" si="2432"/>
        <v>0</v>
      </c>
      <c r="AE372" s="663">
        <f t="shared" ref="AE372" si="2763">IF($G372=0,0,-MIN(0,$G372*c_EquityShare.LP))</f>
        <v>0</v>
      </c>
      <c r="AF372" s="663" cm="1">
        <f t="array" ref="AF372">IF($D372=0,0,AD372*(c_Rate.Hurdle2.MO))</f>
        <v>0</v>
      </c>
      <c r="AG372" s="663">
        <f t="shared" si="2244"/>
        <v>0</v>
      </c>
      <c r="AH372" s="663">
        <f t="shared" si="2273"/>
        <v>0</v>
      </c>
      <c r="AI372" s="663">
        <f t="shared" si="2245"/>
        <v>0</v>
      </c>
      <c r="AJ372" s="664">
        <f t="shared" si="2246"/>
        <v>0</v>
      </c>
      <c r="AK372" s="660">
        <f t="shared" si="2247"/>
        <v>0</v>
      </c>
      <c r="AL372" s="663">
        <f t="shared" ref="AL372" si="2764">IF(AD372=0,0,Z372+AH372/$J$18*c_Hurdle2.Share_GP)</f>
        <v>0</v>
      </c>
      <c r="AM372" s="663">
        <f t="shared" si="2249"/>
        <v>0</v>
      </c>
      <c r="AN372" s="660">
        <f t="shared" si="2296"/>
        <v>0</v>
      </c>
      <c r="AO372" s="521"/>
      <c r="AP372" s="663">
        <f t="shared" si="2435"/>
        <v>0</v>
      </c>
      <c r="AQ372" s="663">
        <f t="shared" ref="AQ372" si="2765">IF($G372=0,0,-MIN(0,$G372*c_EquityShare.LP))</f>
        <v>0</v>
      </c>
      <c r="AR372" s="663" cm="1">
        <f t="array" ref="AR372">IF($D372=0,0,AP372*(c_Rate.Hurdle3.MO))</f>
        <v>0</v>
      </c>
      <c r="AS372" s="663">
        <f t="shared" si="2251"/>
        <v>0</v>
      </c>
      <c r="AT372" s="663">
        <f t="shared" si="2276"/>
        <v>0</v>
      </c>
      <c r="AU372" s="663">
        <f t="shared" si="2252"/>
        <v>0</v>
      </c>
      <c r="AV372" s="664">
        <f t="shared" si="2253"/>
        <v>0</v>
      </c>
      <c r="AW372" s="660">
        <f t="shared" si="2277"/>
        <v>0</v>
      </c>
      <c r="AX372" s="663">
        <f t="shared" ref="AX372" si="2766">IF(AP372=0,0,AL372+AT372/$J$19*c_Hurdle3.Share_GP)</f>
        <v>0</v>
      </c>
      <c r="AY372" s="663">
        <f t="shared" si="2279"/>
        <v>0</v>
      </c>
      <c r="AZ372" s="660">
        <f t="shared" si="2299"/>
        <v>0</v>
      </c>
      <c r="BA372" s="521"/>
      <c r="BB372" s="660">
        <f t="shared" si="2494"/>
        <v>0</v>
      </c>
      <c r="BC372" s="660">
        <f t="shared" ref="BC372" si="2767">$AZ372*c_Residual.Share_GP</f>
        <v>0</v>
      </c>
      <c r="BD372" s="651"/>
      <c r="BE372" s="660">
        <f t="shared" si="2281"/>
        <v>0</v>
      </c>
      <c r="BF372" s="660">
        <f t="shared" si="2281"/>
        <v>0</v>
      </c>
      <c r="BG372" s="660">
        <f t="shared" si="2256"/>
        <v>0</v>
      </c>
      <c r="BI372" s="660">
        <v>0</v>
      </c>
      <c r="BJ372" s="660">
        <v>0</v>
      </c>
      <c r="BK372" s="660">
        <v>0</v>
      </c>
      <c r="BL372" s="660">
        <f t="shared" si="2282"/>
        <v>0</v>
      </c>
      <c r="BM372" s="660">
        <f t="shared" si="2282"/>
        <v>0</v>
      </c>
      <c r="BN372" s="660">
        <f t="shared" si="2283"/>
        <v>0</v>
      </c>
      <c r="BO372" s="660">
        <f t="shared" si="2283"/>
        <v>0</v>
      </c>
      <c r="BP372" s="660">
        <f t="shared" si="2284"/>
        <v>0</v>
      </c>
      <c r="BQ372" s="660">
        <f t="shared" si="2284"/>
        <v>0</v>
      </c>
      <c r="BR372" s="660">
        <v>0</v>
      </c>
      <c r="BS372" s="660">
        <v>0</v>
      </c>
      <c r="BT372" s="660">
        <f t="shared" si="2257"/>
        <v>0</v>
      </c>
      <c r="BU372" s="660">
        <f t="shared" si="2257"/>
        <v>0</v>
      </c>
      <c r="BX372" s="660">
        <v>0</v>
      </c>
      <c r="BY372" s="660">
        <f t="shared" si="2285"/>
        <v>0</v>
      </c>
      <c r="BZ372" s="660">
        <f t="shared" si="2258"/>
        <v>0</v>
      </c>
      <c r="CA372" s="660">
        <f t="shared" si="2259"/>
        <v>0</v>
      </c>
      <c r="CB372" s="660">
        <f t="shared" si="2260"/>
        <v>0</v>
      </c>
      <c r="CC372" s="660">
        <f t="shared" si="2261"/>
        <v>0</v>
      </c>
      <c r="CD372" s="660">
        <f t="shared" si="2286"/>
        <v>0</v>
      </c>
    </row>
    <row r="373" spans="4:82" ht="16" hidden="1" thickTop="1" thickBot="1">
      <c r="D373" s="653"/>
      <c r="E373" s="654"/>
      <c r="F373" s="655" t="str">
        <f t="shared" si="2262"/>
        <v/>
      </c>
      <c r="G373" s="656"/>
      <c r="I373" s="658">
        <f t="shared" si="2263"/>
        <v>0</v>
      </c>
      <c r="J373" s="658">
        <f t="shared" ref="J373" si="2768">IF($G373=0,0,-MIN(0,G373*c_EquityShare.LP))</f>
        <v>0</v>
      </c>
      <c r="K373" s="658">
        <f t="shared" ref="K373" si="2769">I373*c_Rate.Pref_MO</f>
        <v>0</v>
      </c>
      <c r="L373" s="658">
        <f t="shared" si="2239"/>
        <v>0</v>
      </c>
      <c r="M373" s="658">
        <f t="shared" si="2266"/>
        <v>0</v>
      </c>
      <c r="N373" s="658">
        <f t="shared" si="2289"/>
        <v>0</v>
      </c>
      <c r="O373" s="658" cm="1">
        <f t="array" ref="O373">IF(I373=0,0,IF(G373&lt;0,N373/c_EquityShare.LP*i_EquityShare.GP,L373/c_EquityShare.LP*i_EquityShare.GP))</f>
        <v>0</v>
      </c>
      <c r="P373" s="658">
        <f t="shared" si="2267"/>
        <v>0</v>
      </c>
      <c r="Q373" s="658">
        <f t="shared" si="2240"/>
        <v>0</v>
      </c>
      <c r="R373" s="521"/>
      <c r="S373" s="660">
        <f t="shared" si="2268"/>
        <v>0</v>
      </c>
      <c r="T373" s="663" cm="1">
        <f t="array" ref="T373">IF($G373=0,0,-MIN(0,$G373*c_EquityShare.LP))</f>
        <v>0</v>
      </c>
      <c r="U373" s="663" cm="1">
        <f t="array" ref="U373">IF($D373=0,0,S373*c_Rate.Hurdle1.MO)</f>
        <v>0</v>
      </c>
      <c r="V373" s="660">
        <f t="shared" si="2290"/>
        <v>0</v>
      </c>
      <c r="W373" s="660">
        <f t="shared" si="2269"/>
        <v>0</v>
      </c>
      <c r="X373" s="663">
        <f t="shared" si="2291"/>
        <v>0</v>
      </c>
      <c r="Y373" s="663">
        <f t="shared" si="2270"/>
        <v>0</v>
      </c>
      <c r="Z373" s="663">
        <f t="shared" ref="Z373" si="2770">IF(S373=0,0,O373+W373/$J$17*c_Hurdle1.Share_GP)</f>
        <v>0</v>
      </c>
      <c r="AA373" s="663">
        <f t="shared" si="2242"/>
        <v>0</v>
      </c>
      <c r="AB373" s="660">
        <f t="shared" si="2293"/>
        <v>0</v>
      </c>
      <c r="AC373" s="521"/>
      <c r="AD373" s="663">
        <f t="shared" si="2432"/>
        <v>0</v>
      </c>
      <c r="AE373" s="663">
        <f t="shared" ref="AE373" si="2771">IF($G373=0,0,-MIN(0,$G373*c_EquityShare.LP))</f>
        <v>0</v>
      </c>
      <c r="AF373" s="663" cm="1">
        <f t="array" ref="AF373">IF($D373=0,0,AD373*(c_Rate.Hurdle2.MO))</f>
        <v>0</v>
      </c>
      <c r="AG373" s="663">
        <f t="shared" si="2244"/>
        <v>0</v>
      </c>
      <c r="AH373" s="663">
        <f t="shared" si="2273"/>
        <v>0</v>
      </c>
      <c r="AI373" s="663">
        <f t="shared" si="2245"/>
        <v>0</v>
      </c>
      <c r="AJ373" s="664">
        <f t="shared" si="2246"/>
        <v>0</v>
      </c>
      <c r="AK373" s="660">
        <f t="shared" si="2247"/>
        <v>0</v>
      </c>
      <c r="AL373" s="663">
        <f t="shared" ref="AL373" si="2772">IF(AD373=0,0,Z373+AH373/$J$18*c_Hurdle2.Share_GP)</f>
        <v>0</v>
      </c>
      <c r="AM373" s="663">
        <f t="shared" si="2249"/>
        <v>0</v>
      </c>
      <c r="AN373" s="660">
        <f t="shared" si="2296"/>
        <v>0</v>
      </c>
      <c r="AO373" s="521"/>
      <c r="AP373" s="663">
        <f t="shared" si="2435"/>
        <v>0</v>
      </c>
      <c r="AQ373" s="663">
        <f t="shared" ref="AQ373" si="2773">IF($G373=0,0,-MIN(0,$G373*c_EquityShare.LP))</f>
        <v>0</v>
      </c>
      <c r="AR373" s="663" cm="1">
        <f t="array" ref="AR373">IF($D373=0,0,AP373*(c_Rate.Hurdle3.MO))</f>
        <v>0</v>
      </c>
      <c r="AS373" s="663">
        <f t="shared" si="2251"/>
        <v>0</v>
      </c>
      <c r="AT373" s="663">
        <f t="shared" si="2276"/>
        <v>0</v>
      </c>
      <c r="AU373" s="663">
        <f t="shared" si="2252"/>
        <v>0</v>
      </c>
      <c r="AV373" s="664">
        <f t="shared" si="2253"/>
        <v>0</v>
      </c>
      <c r="AW373" s="660">
        <f t="shared" si="2277"/>
        <v>0</v>
      </c>
      <c r="AX373" s="663">
        <f t="shared" ref="AX373" si="2774">IF(AP373=0,0,AL373+AT373/$J$19*c_Hurdle3.Share_GP)</f>
        <v>0</v>
      </c>
      <c r="AY373" s="663">
        <f t="shared" si="2279"/>
        <v>0</v>
      </c>
      <c r="AZ373" s="660">
        <f t="shared" si="2299"/>
        <v>0</v>
      </c>
      <c r="BA373" s="521"/>
      <c r="BB373" s="660">
        <f t="shared" si="2494"/>
        <v>0</v>
      </c>
      <c r="BC373" s="660">
        <f t="shared" ref="BC373" si="2775">$AZ373*c_Residual.Share_GP</f>
        <v>0</v>
      </c>
      <c r="BD373" s="651"/>
      <c r="BE373" s="660">
        <f t="shared" si="2281"/>
        <v>0</v>
      </c>
      <c r="BF373" s="660">
        <f t="shared" si="2281"/>
        <v>0</v>
      </c>
      <c r="BG373" s="660">
        <f t="shared" si="2256"/>
        <v>0</v>
      </c>
      <c r="BI373" s="660">
        <v>0</v>
      </c>
      <c r="BJ373" s="660">
        <v>0</v>
      </c>
      <c r="BK373" s="660">
        <v>0</v>
      </c>
      <c r="BL373" s="660">
        <f t="shared" si="2282"/>
        <v>0</v>
      </c>
      <c r="BM373" s="660">
        <f t="shared" si="2282"/>
        <v>0</v>
      </c>
      <c r="BN373" s="660">
        <f t="shared" si="2283"/>
        <v>0</v>
      </c>
      <c r="BO373" s="660">
        <f t="shared" si="2283"/>
        <v>0</v>
      </c>
      <c r="BP373" s="660">
        <f t="shared" si="2284"/>
        <v>0</v>
      </c>
      <c r="BQ373" s="660">
        <f t="shared" si="2284"/>
        <v>0</v>
      </c>
      <c r="BR373" s="660">
        <v>0</v>
      </c>
      <c r="BS373" s="660">
        <v>0</v>
      </c>
      <c r="BT373" s="660">
        <f t="shared" si="2257"/>
        <v>0</v>
      </c>
      <c r="BU373" s="660">
        <f t="shared" si="2257"/>
        <v>0</v>
      </c>
      <c r="BX373" s="660">
        <v>0</v>
      </c>
      <c r="BY373" s="660">
        <f t="shared" si="2285"/>
        <v>0</v>
      </c>
      <c r="BZ373" s="660">
        <f t="shared" si="2258"/>
        <v>0</v>
      </c>
      <c r="CA373" s="660">
        <f t="shared" si="2259"/>
        <v>0</v>
      </c>
      <c r="CB373" s="660">
        <f t="shared" si="2260"/>
        <v>0</v>
      </c>
      <c r="CC373" s="660">
        <f t="shared" si="2261"/>
        <v>0</v>
      </c>
      <c r="CD373" s="660">
        <f t="shared" si="2286"/>
        <v>0</v>
      </c>
    </row>
    <row r="374" spans="4:82" ht="16" hidden="1" thickTop="1" thickBot="1">
      <c r="D374" s="653"/>
      <c r="E374" s="654"/>
      <c r="F374" s="655" t="str">
        <f t="shared" si="2262"/>
        <v/>
      </c>
      <c r="G374" s="656"/>
      <c r="I374" s="658">
        <f t="shared" si="2263"/>
        <v>0</v>
      </c>
      <c r="J374" s="658">
        <f t="shared" ref="J374" si="2776">IF($G374=0,0,-MIN(0,G374*c_EquityShare.LP))</f>
        <v>0</v>
      </c>
      <c r="K374" s="658">
        <f t="shared" ref="K374" si="2777">I374*c_Rate.Pref_MO</f>
        <v>0</v>
      </c>
      <c r="L374" s="658">
        <f t="shared" si="2239"/>
        <v>0</v>
      </c>
      <c r="M374" s="658">
        <f t="shared" si="2266"/>
        <v>0</v>
      </c>
      <c r="N374" s="658">
        <f t="shared" si="2289"/>
        <v>0</v>
      </c>
      <c r="O374" s="658" cm="1">
        <f t="array" ref="O374">IF(I374=0,0,IF(G374&lt;0,N374/c_EquityShare.LP*i_EquityShare.GP,L374/c_EquityShare.LP*i_EquityShare.GP))</f>
        <v>0</v>
      </c>
      <c r="P374" s="658">
        <f t="shared" si="2267"/>
        <v>0</v>
      </c>
      <c r="Q374" s="658">
        <f t="shared" si="2240"/>
        <v>0</v>
      </c>
      <c r="R374" s="521"/>
      <c r="S374" s="660">
        <f t="shared" si="2268"/>
        <v>0</v>
      </c>
      <c r="T374" s="663" cm="1">
        <f t="array" ref="T374">IF($G374=0,0,-MIN(0,$G374*c_EquityShare.LP))</f>
        <v>0</v>
      </c>
      <c r="U374" s="663" cm="1">
        <f t="array" ref="U374">IF($D374=0,0,S374*c_Rate.Hurdle1.MO)</f>
        <v>0</v>
      </c>
      <c r="V374" s="660">
        <f t="shared" si="2290"/>
        <v>0</v>
      </c>
      <c r="W374" s="660">
        <f t="shared" si="2269"/>
        <v>0</v>
      </c>
      <c r="X374" s="663">
        <f t="shared" si="2291"/>
        <v>0</v>
      </c>
      <c r="Y374" s="663">
        <f t="shared" si="2270"/>
        <v>0</v>
      </c>
      <c r="Z374" s="663">
        <f t="shared" ref="Z374" si="2778">IF(S374=0,0,O374+W374/$J$17*c_Hurdle1.Share_GP)</f>
        <v>0</v>
      </c>
      <c r="AA374" s="663">
        <f t="shared" si="2242"/>
        <v>0</v>
      </c>
      <c r="AB374" s="660">
        <f t="shared" si="2293"/>
        <v>0</v>
      </c>
      <c r="AC374" s="521"/>
      <c r="AD374" s="663">
        <f t="shared" si="2432"/>
        <v>0</v>
      </c>
      <c r="AE374" s="663">
        <f t="shared" ref="AE374" si="2779">IF($G374=0,0,-MIN(0,$G374*c_EquityShare.LP))</f>
        <v>0</v>
      </c>
      <c r="AF374" s="663" cm="1">
        <f t="array" ref="AF374">IF($D374=0,0,AD374*(c_Rate.Hurdle2.MO))</f>
        <v>0</v>
      </c>
      <c r="AG374" s="663">
        <f t="shared" si="2244"/>
        <v>0</v>
      </c>
      <c r="AH374" s="663">
        <f t="shared" si="2273"/>
        <v>0</v>
      </c>
      <c r="AI374" s="663">
        <f t="shared" si="2245"/>
        <v>0</v>
      </c>
      <c r="AJ374" s="664">
        <f t="shared" si="2246"/>
        <v>0</v>
      </c>
      <c r="AK374" s="660">
        <f t="shared" si="2247"/>
        <v>0</v>
      </c>
      <c r="AL374" s="663">
        <f t="shared" ref="AL374" si="2780">IF(AD374=0,0,Z374+AH374/$J$18*c_Hurdle2.Share_GP)</f>
        <v>0</v>
      </c>
      <c r="AM374" s="663">
        <f t="shared" si="2249"/>
        <v>0</v>
      </c>
      <c r="AN374" s="660">
        <f t="shared" si="2296"/>
        <v>0</v>
      </c>
      <c r="AO374" s="521"/>
      <c r="AP374" s="663">
        <f t="shared" si="2435"/>
        <v>0</v>
      </c>
      <c r="AQ374" s="663">
        <f t="shared" ref="AQ374" si="2781">IF($G374=0,0,-MIN(0,$G374*c_EquityShare.LP))</f>
        <v>0</v>
      </c>
      <c r="AR374" s="663" cm="1">
        <f t="array" ref="AR374">IF($D374=0,0,AP374*(c_Rate.Hurdle3.MO))</f>
        <v>0</v>
      </c>
      <c r="AS374" s="663">
        <f t="shared" si="2251"/>
        <v>0</v>
      </c>
      <c r="AT374" s="663">
        <f t="shared" si="2276"/>
        <v>0</v>
      </c>
      <c r="AU374" s="663">
        <f t="shared" si="2252"/>
        <v>0</v>
      </c>
      <c r="AV374" s="664">
        <f t="shared" si="2253"/>
        <v>0</v>
      </c>
      <c r="AW374" s="660">
        <f t="shared" si="2277"/>
        <v>0</v>
      </c>
      <c r="AX374" s="663">
        <f t="shared" ref="AX374" si="2782">IF(AP374=0,0,AL374+AT374/$J$19*c_Hurdle3.Share_GP)</f>
        <v>0</v>
      </c>
      <c r="AY374" s="663">
        <f t="shared" si="2279"/>
        <v>0</v>
      </c>
      <c r="AZ374" s="660">
        <f t="shared" si="2299"/>
        <v>0</v>
      </c>
      <c r="BA374" s="521"/>
      <c r="BB374" s="660">
        <f t="shared" si="2494"/>
        <v>0</v>
      </c>
      <c r="BC374" s="660">
        <f t="shared" ref="BC374" si="2783">$AZ374*c_Residual.Share_GP</f>
        <v>0</v>
      </c>
      <c r="BD374" s="651"/>
      <c r="BE374" s="660">
        <f t="shared" si="2281"/>
        <v>0</v>
      </c>
      <c r="BF374" s="660">
        <f t="shared" si="2281"/>
        <v>0</v>
      </c>
      <c r="BG374" s="660">
        <f t="shared" si="2256"/>
        <v>0</v>
      </c>
      <c r="BI374" s="660">
        <v>0</v>
      </c>
      <c r="BJ374" s="660">
        <v>0</v>
      </c>
      <c r="BK374" s="660">
        <v>0</v>
      </c>
      <c r="BL374" s="660">
        <f t="shared" si="2282"/>
        <v>0</v>
      </c>
      <c r="BM374" s="660">
        <f t="shared" si="2282"/>
        <v>0</v>
      </c>
      <c r="BN374" s="660">
        <f t="shared" si="2283"/>
        <v>0</v>
      </c>
      <c r="BO374" s="660">
        <f t="shared" si="2283"/>
        <v>0</v>
      </c>
      <c r="BP374" s="660">
        <f t="shared" si="2284"/>
        <v>0</v>
      </c>
      <c r="BQ374" s="660">
        <f t="shared" si="2284"/>
        <v>0</v>
      </c>
      <c r="BR374" s="660">
        <v>0</v>
      </c>
      <c r="BS374" s="660">
        <v>0</v>
      </c>
      <c r="BT374" s="660">
        <f t="shared" si="2257"/>
        <v>0</v>
      </c>
      <c r="BU374" s="660">
        <f t="shared" si="2257"/>
        <v>0</v>
      </c>
      <c r="BX374" s="660">
        <v>0</v>
      </c>
      <c r="BY374" s="660">
        <f t="shared" si="2285"/>
        <v>0</v>
      </c>
      <c r="BZ374" s="660">
        <f t="shared" si="2258"/>
        <v>0</v>
      </c>
      <c r="CA374" s="660">
        <f t="shared" si="2259"/>
        <v>0</v>
      </c>
      <c r="CB374" s="660">
        <f t="shared" si="2260"/>
        <v>0</v>
      </c>
      <c r="CC374" s="660">
        <f t="shared" si="2261"/>
        <v>0</v>
      </c>
      <c r="CD374" s="660">
        <f t="shared" si="2286"/>
        <v>0</v>
      </c>
    </row>
    <row r="375" spans="4:82" ht="16" hidden="1" thickTop="1" thickBot="1">
      <c r="D375" s="653"/>
      <c r="E375" s="654"/>
      <c r="F375" s="655" t="str">
        <f t="shared" si="2262"/>
        <v/>
      </c>
      <c r="G375" s="656"/>
      <c r="I375" s="658">
        <f t="shared" si="2263"/>
        <v>0</v>
      </c>
      <c r="J375" s="658">
        <f t="shared" ref="J375" si="2784">IF($G375=0,0,-MIN(0,G375*c_EquityShare.LP))</f>
        <v>0</v>
      </c>
      <c r="K375" s="658">
        <f t="shared" ref="K375" si="2785">I375*c_Rate.Pref_MO</f>
        <v>0</v>
      </c>
      <c r="L375" s="658">
        <f t="shared" si="2239"/>
        <v>0</v>
      </c>
      <c r="M375" s="658">
        <f t="shared" si="2266"/>
        <v>0</v>
      </c>
      <c r="N375" s="658">
        <f t="shared" si="2289"/>
        <v>0</v>
      </c>
      <c r="O375" s="658" cm="1">
        <f t="array" ref="O375">IF(I375=0,0,IF(G375&lt;0,N375/c_EquityShare.LP*i_EquityShare.GP,L375/c_EquityShare.LP*i_EquityShare.GP))</f>
        <v>0</v>
      </c>
      <c r="P375" s="658">
        <f t="shared" si="2267"/>
        <v>0</v>
      </c>
      <c r="Q375" s="658">
        <f t="shared" si="2240"/>
        <v>0</v>
      </c>
      <c r="R375" s="521"/>
      <c r="S375" s="660">
        <f t="shared" si="2268"/>
        <v>0</v>
      </c>
      <c r="T375" s="663" cm="1">
        <f t="array" ref="T375">IF($G375=0,0,-MIN(0,$G375*c_EquityShare.LP))</f>
        <v>0</v>
      </c>
      <c r="U375" s="663" cm="1">
        <f t="array" ref="U375">IF($D375=0,0,S375*c_Rate.Hurdle1.MO)</f>
        <v>0</v>
      </c>
      <c r="V375" s="660">
        <f t="shared" si="2290"/>
        <v>0</v>
      </c>
      <c r="W375" s="660">
        <f t="shared" si="2269"/>
        <v>0</v>
      </c>
      <c r="X375" s="663">
        <f t="shared" si="2291"/>
        <v>0</v>
      </c>
      <c r="Y375" s="663">
        <f t="shared" si="2270"/>
        <v>0</v>
      </c>
      <c r="Z375" s="663">
        <f t="shared" ref="Z375" si="2786">IF(S375=0,0,O375+W375/$J$17*c_Hurdle1.Share_GP)</f>
        <v>0</v>
      </c>
      <c r="AA375" s="663">
        <f t="shared" si="2242"/>
        <v>0</v>
      </c>
      <c r="AB375" s="660">
        <f t="shared" si="2293"/>
        <v>0</v>
      </c>
      <c r="AC375" s="521"/>
      <c r="AD375" s="663">
        <f t="shared" si="2432"/>
        <v>0</v>
      </c>
      <c r="AE375" s="663">
        <f t="shared" ref="AE375" si="2787">IF($G375=0,0,-MIN(0,$G375*c_EquityShare.LP))</f>
        <v>0</v>
      </c>
      <c r="AF375" s="663" cm="1">
        <f t="array" ref="AF375">IF($D375=0,0,AD375*(c_Rate.Hurdle2.MO))</f>
        <v>0</v>
      </c>
      <c r="AG375" s="663">
        <f t="shared" si="2244"/>
        <v>0</v>
      </c>
      <c r="AH375" s="663">
        <f t="shared" si="2273"/>
        <v>0</v>
      </c>
      <c r="AI375" s="663">
        <f t="shared" si="2245"/>
        <v>0</v>
      </c>
      <c r="AJ375" s="664">
        <f t="shared" si="2246"/>
        <v>0</v>
      </c>
      <c r="AK375" s="660">
        <f t="shared" si="2247"/>
        <v>0</v>
      </c>
      <c r="AL375" s="663">
        <f t="shared" ref="AL375" si="2788">IF(AD375=0,0,Z375+AH375/$J$18*c_Hurdle2.Share_GP)</f>
        <v>0</v>
      </c>
      <c r="AM375" s="663">
        <f t="shared" si="2249"/>
        <v>0</v>
      </c>
      <c r="AN375" s="660">
        <f t="shared" si="2296"/>
        <v>0</v>
      </c>
      <c r="AO375" s="521"/>
      <c r="AP375" s="663">
        <f t="shared" si="2435"/>
        <v>0</v>
      </c>
      <c r="AQ375" s="663">
        <f t="shared" ref="AQ375" si="2789">IF($G375=0,0,-MIN(0,$G375*c_EquityShare.LP))</f>
        <v>0</v>
      </c>
      <c r="AR375" s="663" cm="1">
        <f t="array" ref="AR375">IF($D375=0,0,AP375*(c_Rate.Hurdle3.MO))</f>
        <v>0</v>
      </c>
      <c r="AS375" s="663">
        <f t="shared" si="2251"/>
        <v>0</v>
      </c>
      <c r="AT375" s="663">
        <f t="shared" si="2276"/>
        <v>0</v>
      </c>
      <c r="AU375" s="663">
        <f t="shared" si="2252"/>
        <v>0</v>
      </c>
      <c r="AV375" s="664">
        <f t="shared" si="2253"/>
        <v>0</v>
      </c>
      <c r="AW375" s="660">
        <f t="shared" si="2277"/>
        <v>0</v>
      </c>
      <c r="AX375" s="663">
        <f t="shared" ref="AX375" si="2790">IF(AP375=0,0,AL375+AT375/$J$19*c_Hurdle3.Share_GP)</f>
        <v>0</v>
      </c>
      <c r="AY375" s="663">
        <f t="shared" si="2279"/>
        <v>0</v>
      </c>
      <c r="AZ375" s="660">
        <f t="shared" si="2299"/>
        <v>0</v>
      </c>
      <c r="BA375" s="521"/>
      <c r="BB375" s="660">
        <f t="shared" si="2494"/>
        <v>0</v>
      </c>
      <c r="BC375" s="660">
        <f t="shared" ref="BC375" si="2791">$AZ375*c_Residual.Share_GP</f>
        <v>0</v>
      </c>
      <c r="BD375" s="651"/>
      <c r="BE375" s="660">
        <f t="shared" si="2281"/>
        <v>0</v>
      </c>
      <c r="BF375" s="660">
        <f t="shared" si="2281"/>
        <v>0</v>
      </c>
      <c r="BG375" s="660">
        <f t="shared" si="2256"/>
        <v>0</v>
      </c>
      <c r="BI375" s="660">
        <v>0</v>
      </c>
      <c r="BJ375" s="660">
        <v>0</v>
      </c>
      <c r="BK375" s="660">
        <v>0</v>
      </c>
      <c r="BL375" s="660">
        <f t="shared" si="2282"/>
        <v>0</v>
      </c>
      <c r="BM375" s="660">
        <f t="shared" si="2282"/>
        <v>0</v>
      </c>
      <c r="BN375" s="660">
        <f t="shared" si="2283"/>
        <v>0</v>
      </c>
      <c r="BO375" s="660">
        <f t="shared" si="2283"/>
        <v>0</v>
      </c>
      <c r="BP375" s="660">
        <f t="shared" si="2284"/>
        <v>0</v>
      </c>
      <c r="BQ375" s="660">
        <f t="shared" si="2284"/>
        <v>0</v>
      </c>
      <c r="BR375" s="660">
        <v>0</v>
      </c>
      <c r="BS375" s="660">
        <v>0</v>
      </c>
      <c r="BT375" s="660">
        <f t="shared" si="2257"/>
        <v>0</v>
      </c>
      <c r="BU375" s="660">
        <f t="shared" si="2257"/>
        <v>0</v>
      </c>
      <c r="BX375" s="660">
        <v>0</v>
      </c>
      <c r="BY375" s="660">
        <f t="shared" si="2285"/>
        <v>0</v>
      </c>
      <c r="BZ375" s="660">
        <f t="shared" si="2258"/>
        <v>0</v>
      </c>
      <c r="CA375" s="660">
        <f t="shared" si="2259"/>
        <v>0</v>
      </c>
      <c r="CB375" s="660">
        <f t="shared" si="2260"/>
        <v>0</v>
      </c>
      <c r="CC375" s="660">
        <f t="shared" si="2261"/>
        <v>0</v>
      </c>
      <c r="CD375" s="660">
        <f t="shared" si="2286"/>
        <v>0</v>
      </c>
    </row>
    <row r="376" spans="4:82" ht="16" hidden="1" thickTop="1" thickBot="1">
      <c r="D376" s="653"/>
      <c r="E376" s="654"/>
      <c r="F376" s="655" t="str">
        <f t="shared" si="2262"/>
        <v/>
      </c>
      <c r="G376" s="656"/>
      <c r="I376" s="658">
        <f t="shared" si="2263"/>
        <v>0</v>
      </c>
      <c r="J376" s="658">
        <f t="shared" ref="J376" si="2792">IF($G376=0,0,-MIN(0,G376*c_EquityShare.LP))</f>
        <v>0</v>
      </c>
      <c r="K376" s="658">
        <f t="shared" ref="K376" si="2793">I376*c_Rate.Pref_MO</f>
        <v>0</v>
      </c>
      <c r="L376" s="658">
        <f t="shared" ref="L376:L416" si="2794">IF($G376=0,0,MAX(MIN($G376*$I$54,I376+K376-J376),0))</f>
        <v>0</v>
      </c>
      <c r="M376" s="658">
        <f t="shared" si="2266"/>
        <v>0</v>
      </c>
      <c r="N376" s="658">
        <f t="shared" si="2289"/>
        <v>0</v>
      </c>
      <c r="O376" s="658" cm="1">
        <f t="array" ref="O376">IF(I376=0,0,IF(G376&lt;0,N376/c_EquityShare.LP*i_EquityShare.GP,L376/c_EquityShare.LP*i_EquityShare.GP))</f>
        <v>0</v>
      </c>
      <c r="P376" s="658">
        <f t="shared" si="2267"/>
        <v>0</v>
      </c>
      <c r="Q376" s="658">
        <f t="shared" ref="Q376:Q416" si="2795">IF(E376=0,0,MAX(G376-P376,0))</f>
        <v>0</v>
      </c>
      <c r="R376" s="521"/>
      <c r="S376" s="660">
        <f t="shared" si="2268"/>
        <v>0</v>
      </c>
      <c r="T376" s="663" cm="1">
        <f t="array" ref="T376">IF($G376=0,0,-MIN(0,$G376*c_EquityShare.LP))</f>
        <v>0</v>
      </c>
      <c r="U376" s="663" cm="1">
        <f t="array" ref="U376">IF($D376=0,0,S376*c_Rate.Hurdle1.MO)</f>
        <v>0</v>
      </c>
      <c r="V376" s="660">
        <f t="shared" si="2290"/>
        <v>0</v>
      </c>
      <c r="W376" s="660">
        <f t="shared" si="2269"/>
        <v>0</v>
      </c>
      <c r="X376" s="663">
        <f t="shared" si="2291"/>
        <v>0</v>
      </c>
      <c r="Y376" s="663">
        <f t="shared" si="2270"/>
        <v>0</v>
      </c>
      <c r="Z376" s="663">
        <f t="shared" ref="Z376" si="2796">IF(S376=0,0,O376+W376/$J$17*c_Hurdle1.Share_GP)</f>
        <v>0</v>
      </c>
      <c r="AA376" s="663">
        <f t="shared" ref="AA376:AA416" si="2797">Y376+Z376</f>
        <v>0</v>
      </c>
      <c r="AB376" s="660">
        <f t="shared" si="2293"/>
        <v>0</v>
      </c>
      <c r="AC376" s="521"/>
      <c r="AD376" s="663">
        <f t="shared" si="2432"/>
        <v>0</v>
      </c>
      <c r="AE376" s="663">
        <f t="shared" ref="AE376" si="2798">IF($G376=0,0,-MIN(0,$G376*c_EquityShare.LP))</f>
        <v>0</v>
      </c>
      <c r="AF376" s="663" cm="1">
        <f t="array" ref="AF376">IF($D376=0,0,AD376*(c_Rate.Hurdle2.MO))</f>
        <v>0</v>
      </c>
      <c r="AG376" s="663">
        <f t="shared" ref="AG376:AG416" si="2799">V376+W376</f>
        <v>0</v>
      </c>
      <c r="AH376" s="663">
        <f t="shared" si="2273"/>
        <v>0</v>
      </c>
      <c r="AI376" s="663">
        <f t="shared" ref="AI376:AI416" si="2800">AD376+AF376+AE376-AG376-AH376</f>
        <v>0</v>
      </c>
      <c r="AJ376" s="664">
        <f t="shared" ref="AJ376:AJ416" si="2801">-AE376+AG376+AH376</f>
        <v>0</v>
      </c>
      <c r="AK376" s="660">
        <f t="shared" ref="AK376:AK416" si="2802">Y376+AH376</f>
        <v>0</v>
      </c>
      <c r="AL376" s="663">
        <f t="shared" ref="AL376" si="2803">IF(AD376=0,0,Z376+AH376/$J$18*c_Hurdle2.Share_GP)</f>
        <v>0</v>
      </c>
      <c r="AM376" s="663">
        <f t="shared" ref="AM376:AM416" si="2804">AK376+AL376</f>
        <v>0</v>
      </c>
      <c r="AN376" s="660">
        <f t="shared" si="2296"/>
        <v>0</v>
      </c>
      <c r="AO376" s="521"/>
      <c r="AP376" s="663">
        <f t="shared" si="2435"/>
        <v>0</v>
      </c>
      <c r="AQ376" s="663">
        <f t="shared" ref="AQ376" si="2805">IF($G376=0,0,-MIN(0,$G376*c_EquityShare.LP))</f>
        <v>0</v>
      </c>
      <c r="AR376" s="663" cm="1">
        <f t="array" ref="AR376">IF($D376=0,0,AP376*(c_Rate.Hurdle3.MO))</f>
        <v>0</v>
      </c>
      <c r="AS376" s="663">
        <f t="shared" ref="AS376:AS416" si="2806">AG376+AH376</f>
        <v>0</v>
      </c>
      <c r="AT376" s="663">
        <f t="shared" si="2276"/>
        <v>0</v>
      </c>
      <c r="AU376" s="663">
        <f t="shared" ref="AU376:AU416" si="2807">AP376+AR376+AQ376-AS376-AT376</f>
        <v>0</v>
      </c>
      <c r="AV376" s="664">
        <f t="shared" ref="AV376:AV416" si="2808">-AQ376+AS376+AT376</f>
        <v>0</v>
      </c>
      <c r="AW376" s="660">
        <f t="shared" si="2277"/>
        <v>0</v>
      </c>
      <c r="AX376" s="663">
        <f t="shared" ref="AX376" si="2809">IF(AP376=0,0,AL376+AT376/$J$19*c_Hurdle3.Share_GP)</f>
        <v>0</v>
      </c>
      <c r="AY376" s="663">
        <f t="shared" si="2279"/>
        <v>0</v>
      </c>
      <c r="AZ376" s="660">
        <f t="shared" si="2299"/>
        <v>0</v>
      </c>
      <c r="BA376" s="521"/>
      <c r="BB376" s="660">
        <f t="shared" si="2494"/>
        <v>0</v>
      </c>
      <c r="BC376" s="660">
        <f t="shared" ref="BC376" si="2810">$AZ376*c_Residual.Share_GP</f>
        <v>0</v>
      </c>
      <c r="BD376" s="651"/>
      <c r="BE376" s="660">
        <f t="shared" si="2281"/>
        <v>0</v>
      </c>
      <c r="BF376" s="660">
        <f t="shared" si="2281"/>
        <v>0</v>
      </c>
      <c r="BG376" s="660">
        <f t="shared" ref="BG376:BG415" si="2811">SUM(BE376:BF376)</f>
        <v>0</v>
      </c>
      <c r="BI376" s="660">
        <v>0</v>
      </c>
      <c r="BJ376" s="660">
        <v>0</v>
      </c>
      <c r="BK376" s="660">
        <v>0</v>
      </c>
      <c r="BL376" s="660">
        <f t="shared" si="2282"/>
        <v>0</v>
      </c>
      <c r="BM376" s="660">
        <f t="shared" si="2282"/>
        <v>0</v>
      </c>
      <c r="BN376" s="660">
        <f t="shared" si="2283"/>
        <v>0</v>
      </c>
      <c r="BO376" s="660">
        <f t="shared" si="2283"/>
        <v>0</v>
      </c>
      <c r="BP376" s="660">
        <f t="shared" si="2284"/>
        <v>0</v>
      </c>
      <c r="BQ376" s="660">
        <f t="shared" si="2284"/>
        <v>0</v>
      </c>
      <c r="BR376" s="660">
        <v>0</v>
      </c>
      <c r="BS376" s="660">
        <v>0</v>
      </c>
      <c r="BT376" s="660">
        <f t="shared" ref="BT376:BU416" si="2812">BJ376+BL376+BN376+BP376+BR376</f>
        <v>0</v>
      </c>
      <c r="BU376" s="660">
        <f t="shared" si="2812"/>
        <v>0</v>
      </c>
      <c r="BX376" s="660">
        <v>0</v>
      </c>
      <c r="BY376" s="660">
        <f t="shared" si="2285"/>
        <v>0</v>
      </c>
      <c r="BZ376" s="660">
        <f t="shared" ref="BZ376:BZ416" si="2813">BL376+BM376</f>
        <v>0</v>
      </c>
      <c r="CA376" s="660">
        <f t="shared" ref="CA376:CA416" si="2814">BN376+BO376</f>
        <v>0</v>
      </c>
      <c r="CB376" s="660">
        <f t="shared" ref="CB376:CB416" si="2815">BP376+BQ376</f>
        <v>0</v>
      </c>
      <c r="CC376" s="660">
        <f t="shared" ref="CC376:CC416" si="2816">BR376+BS376</f>
        <v>0</v>
      </c>
      <c r="CD376" s="660">
        <f t="shared" si="2286"/>
        <v>0</v>
      </c>
    </row>
    <row r="377" spans="4:82" ht="16" hidden="1" thickTop="1" thickBot="1">
      <c r="D377" s="653"/>
      <c r="E377" s="654"/>
      <c r="F377" s="655" t="str">
        <f t="shared" ref="F377:F416" si="2817">IF(D377=0,"",MIN(INT(YEARFRAC(E$56,EDATE(E377,12),3))))</f>
        <v/>
      </c>
      <c r="G377" s="656"/>
      <c r="I377" s="658">
        <f t="shared" ref="I377:I416" si="2818">IF(D377=0,0,M376)</f>
        <v>0</v>
      </c>
      <c r="J377" s="658">
        <f t="shared" ref="J377" si="2819">IF($G377=0,0,-MIN(0,G377*c_EquityShare.LP))</f>
        <v>0</v>
      </c>
      <c r="K377" s="658">
        <f t="shared" ref="K377" si="2820">I377*c_Rate.Pref_MO</f>
        <v>0</v>
      </c>
      <c r="L377" s="658">
        <f t="shared" si="2794"/>
        <v>0</v>
      </c>
      <c r="M377" s="658">
        <f t="shared" ref="M377:M416" si="2821">I377+K377+J377-L377</f>
        <v>0</v>
      </c>
      <c r="N377" s="658">
        <f t="shared" si="2289"/>
        <v>0</v>
      </c>
      <c r="O377" s="658" cm="1">
        <f t="array" ref="O377">IF(I377=0,0,IF(G377&lt;0,N377/c_EquityShare.LP*i_EquityShare.GP,L377/c_EquityShare.LP*i_EquityShare.GP))</f>
        <v>0</v>
      </c>
      <c r="P377" s="658">
        <f t="shared" ref="P377:P416" si="2822">N377+O377</f>
        <v>0</v>
      </c>
      <c r="Q377" s="658">
        <f t="shared" si="2795"/>
        <v>0</v>
      </c>
      <c r="R377" s="521"/>
      <c r="S377" s="660">
        <f t="shared" ref="S377:S416" si="2823">X376</f>
        <v>0</v>
      </c>
      <c r="T377" s="663" cm="1">
        <f t="array" ref="T377">IF($G377=0,0,-MIN(0,$G377*c_EquityShare.LP))</f>
        <v>0</v>
      </c>
      <c r="U377" s="663" cm="1">
        <f t="array" ref="U377">IF($D377=0,0,S377*c_Rate.Hurdle1.MO)</f>
        <v>0</v>
      </c>
      <c r="V377" s="660">
        <f t="shared" si="2290"/>
        <v>0</v>
      </c>
      <c r="W377" s="660">
        <f t="shared" ref="W377:W416" si="2824">MIN(S377+U377-V377,Q377*S$54)</f>
        <v>0</v>
      </c>
      <c r="X377" s="663">
        <f t="shared" si="2291"/>
        <v>0</v>
      </c>
      <c r="Y377" s="663">
        <f t="shared" ref="Y377:Y416" si="2825">N377+W377</f>
        <v>0</v>
      </c>
      <c r="Z377" s="663">
        <f t="shared" ref="Z377" si="2826">IF(S377=0,0,O377+W377/$J$17*c_Hurdle1.Share_GP)</f>
        <v>0</v>
      </c>
      <c r="AA377" s="663">
        <f t="shared" si="2797"/>
        <v>0</v>
      </c>
      <c r="AB377" s="660">
        <f t="shared" si="2293"/>
        <v>0</v>
      </c>
      <c r="AC377" s="521"/>
      <c r="AD377" s="663">
        <f t="shared" si="2432"/>
        <v>0</v>
      </c>
      <c r="AE377" s="663">
        <f t="shared" ref="AE377" si="2827">IF($G377=0,0,-MIN(0,$G377*c_EquityShare.LP))</f>
        <v>0</v>
      </c>
      <c r="AF377" s="663" cm="1">
        <f t="array" ref="AF377">IF($D377=0,0,AD377*(c_Rate.Hurdle2.MO))</f>
        <v>0</v>
      </c>
      <c r="AG377" s="663">
        <f t="shared" si="2799"/>
        <v>0</v>
      </c>
      <c r="AH377" s="663">
        <f t="shared" ref="AH377:AH416" si="2828">IF(AB377=0,0,MIN(AD377+AE377+AF377-AG377,AB377*AD$54))</f>
        <v>0</v>
      </c>
      <c r="AI377" s="663">
        <f t="shared" si="2800"/>
        <v>0</v>
      </c>
      <c r="AJ377" s="664">
        <f t="shared" si="2801"/>
        <v>0</v>
      </c>
      <c r="AK377" s="660">
        <f t="shared" si="2802"/>
        <v>0</v>
      </c>
      <c r="AL377" s="663">
        <f t="shared" ref="AL377" si="2829">IF(AD377=0,0,Z377+AH377/$J$18*c_Hurdle2.Share_GP)</f>
        <v>0</v>
      </c>
      <c r="AM377" s="663">
        <f t="shared" si="2804"/>
        <v>0</v>
      </c>
      <c r="AN377" s="660">
        <f t="shared" si="2296"/>
        <v>0</v>
      </c>
      <c r="AO377" s="521"/>
      <c r="AP377" s="663">
        <f t="shared" si="2435"/>
        <v>0</v>
      </c>
      <c r="AQ377" s="663">
        <f t="shared" ref="AQ377" si="2830">IF($G377=0,0,-MIN(0,$G377*c_EquityShare.LP))</f>
        <v>0</v>
      </c>
      <c r="AR377" s="663" cm="1">
        <f t="array" ref="AR377">IF($D377=0,0,AP377*(c_Rate.Hurdle3.MO))</f>
        <v>0</v>
      </c>
      <c r="AS377" s="663">
        <f t="shared" si="2806"/>
        <v>0</v>
      </c>
      <c r="AT377" s="663">
        <f t="shared" ref="AT377:AT416" si="2831">IF(AP377=0,0,MIN(AP377+AQ377+AR377-AS377,AN377*AP$54))</f>
        <v>0</v>
      </c>
      <c r="AU377" s="663">
        <f t="shared" si="2807"/>
        <v>0</v>
      </c>
      <c r="AV377" s="664">
        <f t="shared" si="2808"/>
        <v>0</v>
      </c>
      <c r="AW377" s="660">
        <f t="shared" ref="AW377:AW416" si="2832">AK377+AT377</f>
        <v>0</v>
      </c>
      <c r="AX377" s="663">
        <f t="shared" ref="AX377" si="2833">IF(AP377=0,0,AL377+AT377/$J$19*c_Hurdle3.Share_GP)</f>
        <v>0</v>
      </c>
      <c r="AY377" s="663">
        <f t="shared" ref="AY377:AY416" si="2834">AW377+AX377</f>
        <v>0</v>
      </c>
      <c r="AZ377" s="660">
        <f t="shared" si="2299"/>
        <v>0</v>
      </c>
      <c r="BA377" s="521"/>
      <c r="BB377" s="660">
        <f t="shared" si="2494"/>
        <v>0</v>
      </c>
      <c r="BC377" s="660">
        <f t="shared" ref="BC377" si="2835">$AZ377*c_Residual.Share_GP</f>
        <v>0</v>
      </c>
      <c r="BD377" s="651"/>
      <c r="BE377" s="660">
        <f t="shared" ref="BE377:BF415" si="2836">AW377+BB377</f>
        <v>0</v>
      </c>
      <c r="BF377" s="660">
        <f t="shared" si="2836"/>
        <v>0</v>
      </c>
      <c r="BG377" s="660">
        <f t="shared" si="2811"/>
        <v>0</v>
      </c>
      <c r="BI377" s="660">
        <v>0</v>
      </c>
      <c r="BJ377" s="660">
        <v>0</v>
      </c>
      <c r="BK377" s="660">
        <v>0</v>
      </c>
      <c r="BL377" s="660">
        <f t="shared" ref="BL377:BM415" si="2837">Y377-N377</f>
        <v>0</v>
      </c>
      <c r="BM377" s="660">
        <f t="shared" si="2837"/>
        <v>0</v>
      </c>
      <c r="BN377" s="660">
        <f t="shared" ref="BN377:BO415" si="2838">AK377-Y377</f>
        <v>0</v>
      </c>
      <c r="BO377" s="660">
        <f t="shared" si="2838"/>
        <v>0</v>
      </c>
      <c r="BP377" s="660">
        <f t="shared" ref="BP377:BQ415" si="2839">AW377-AK377</f>
        <v>0</v>
      </c>
      <c r="BQ377" s="660">
        <f t="shared" si="2839"/>
        <v>0</v>
      </c>
      <c r="BR377" s="660">
        <v>0</v>
      </c>
      <c r="BS377" s="660">
        <v>0</v>
      </c>
      <c r="BT377" s="660">
        <f t="shared" si="2812"/>
        <v>0</v>
      </c>
      <c r="BU377" s="660">
        <f t="shared" si="2812"/>
        <v>0</v>
      </c>
      <c r="BX377" s="660">
        <v>0</v>
      </c>
      <c r="BY377" s="660">
        <f t="shared" ref="BY377:BY416" si="2840">BJ377+BK377</f>
        <v>0</v>
      </c>
      <c r="BZ377" s="660">
        <f t="shared" si="2813"/>
        <v>0</v>
      </c>
      <c r="CA377" s="660">
        <f t="shared" si="2814"/>
        <v>0</v>
      </c>
      <c r="CB377" s="660">
        <f t="shared" si="2815"/>
        <v>0</v>
      </c>
      <c r="CC377" s="660">
        <f t="shared" si="2816"/>
        <v>0</v>
      </c>
      <c r="CD377" s="660">
        <f t="shared" ref="CD377:CD416" si="2841">SUM(BY377:CC377)</f>
        <v>0</v>
      </c>
    </row>
    <row r="378" spans="4:82" ht="16" hidden="1" thickTop="1" thickBot="1">
      <c r="D378" s="653"/>
      <c r="E378" s="654"/>
      <c r="F378" s="655" t="str">
        <f t="shared" si="2817"/>
        <v/>
      </c>
      <c r="G378" s="656"/>
      <c r="I378" s="658">
        <f t="shared" si="2818"/>
        <v>0</v>
      </c>
      <c r="J378" s="658">
        <f t="shared" ref="J378" si="2842">IF($G378=0,0,-MIN(0,G378*c_EquityShare.LP))</f>
        <v>0</v>
      </c>
      <c r="K378" s="658">
        <f t="shared" ref="K378" si="2843">I378*c_Rate.Pref_MO</f>
        <v>0</v>
      </c>
      <c r="L378" s="658">
        <f t="shared" si="2794"/>
        <v>0</v>
      </c>
      <c r="M378" s="658">
        <f t="shared" si="2821"/>
        <v>0</v>
      </c>
      <c r="N378" s="658">
        <f t="shared" ref="N378:N416" si="2844">L378-J378</f>
        <v>0</v>
      </c>
      <c r="O378" s="658" cm="1">
        <f t="array" ref="O378">IF(I378=0,0,IF(G378&lt;0,N378/c_EquityShare.LP*i_EquityShare.GP,L378/c_EquityShare.LP*i_EquityShare.GP))</f>
        <v>0</v>
      </c>
      <c r="P378" s="658">
        <f t="shared" si="2822"/>
        <v>0</v>
      </c>
      <c r="Q378" s="658">
        <f t="shared" si="2795"/>
        <v>0</v>
      </c>
      <c r="R378" s="521"/>
      <c r="S378" s="660">
        <f t="shared" si="2823"/>
        <v>0</v>
      </c>
      <c r="T378" s="663" cm="1">
        <f t="array" ref="T378">IF($G378=0,0,-MIN(0,$G378*c_EquityShare.LP))</f>
        <v>0</v>
      </c>
      <c r="U378" s="663" cm="1">
        <f t="array" ref="U378">IF($D378=0,0,S378*c_Rate.Hurdle1.MO)</f>
        <v>0</v>
      </c>
      <c r="V378" s="660">
        <f t="shared" ref="V378:V416" si="2845">L378</f>
        <v>0</v>
      </c>
      <c r="W378" s="660">
        <f t="shared" si="2824"/>
        <v>0</v>
      </c>
      <c r="X378" s="663">
        <f t="shared" ref="X378:X416" si="2846">S378+T378+U378-V378-W378</f>
        <v>0</v>
      </c>
      <c r="Y378" s="663">
        <f t="shared" si="2825"/>
        <v>0</v>
      </c>
      <c r="Z378" s="663">
        <f t="shared" ref="Z378" si="2847">IF(S378=0,0,O378+W378/$J$17*c_Hurdle1.Share_GP)</f>
        <v>0</v>
      </c>
      <c r="AA378" s="663">
        <f t="shared" si="2797"/>
        <v>0</v>
      </c>
      <c r="AB378" s="660">
        <f t="shared" ref="AB378:AB416" si="2848">IF(AA378&lt;0,0,MAX($G378-P378-AA378,0))</f>
        <v>0</v>
      </c>
      <c r="AC378" s="521"/>
      <c r="AD378" s="663">
        <f t="shared" si="2432"/>
        <v>0</v>
      </c>
      <c r="AE378" s="663">
        <f t="shared" ref="AE378" si="2849">IF($G378=0,0,-MIN(0,$G378*c_EquityShare.LP))</f>
        <v>0</v>
      </c>
      <c r="AF378" s="663" cm="1">
        <f t="array" ref="AF378">IF($D378=0,0,AD378*(c_Rate.Hurdle2.MO))</f>
        <v>0</v>
      </c>
      <c r="AG378" s="663">
        <f t="shared" si="2799"/>
        <v>0</v>
      </c>
      <c r="AH378" s="663">
        <f t="shared" si="2828"/>
        <v>0</v>
      </c>
      <c r="AI378" s="663">
        <f t="shared" si="2800"/>
        <v>0</v>
      </c>
      <c r="AJ378" s="664">
        <f t="shared" si="2801"/>
        <v>0</v>
      </c>
      <c r="AK378" s="660">
        <f t="shared" si="2802"/>
        <v>0</v>
      </c>
      <c r="AL378" s="663">
        <f t="shared" ref="AL378" si="2850">IF(AD378=0,0,Z378+AH378/$J$18*c_Hurdle2.Share_GP)</f>
        <v>0</v>
      </c>
      <c r="AM378" s="663">
        <f t="shared" si="2804"/>
        <v>0</v>
      </c>
      <c r="AN378" s="660">
        <f t="shared" ref="AN378:AN416" si="2851">IF(AM378&lt;0,0,MAX($G378-AA378-AM378,0))</f>
        <v>0</v>
      </c>
      <c r="AO378" s="521"/>
      <c r="AP378" s="663">
        <f t="shared" si="2435"/>
        <v>0</v>
      </c>
      <c r="AQ378" s="663">
        <f t="shared" ref="AQ378" si="2852">IF($G378=0,0,-MIN(0,$G378*c_EquityShare.LP))</f>
        <v>0</v>
      </c>
      <c r="AR378" s="663" cm="1">
        <f t="array" ref="AR378">IF($D378=0,0,AP378*(c_Rate.Hurdle3.MO))</f>
        <v>0</v>
      </c>
      <c r="AS378" s="663">
        <f t="shared" si="2806"/>
        <v>0</v>
      </c>
      <c r="AT378" s="663">
        <f t="shared" si="2831"/>
        <v>0</v>
      </c>
      <c r="AU378" s="663">
        <f t="shared" si="2807"/>
        <v>0</v>
      </c>
      <c r="AV378" s="664">
        <f t="shared" si="2808"/>
        <v>0</v>
      </c>
      <c r="AW378" s="660">
        <f t="shared" si="2832"/>
        <v>0</v>
      </c>
      <c r="AX378" s="663">
        <f t="shared" ref="AX378" si="2853">IF(AP378=0,0,AL378+AT378/$J$19*c_Hurdle3.Share_GP)</f>
        <v>0</v>
      </c>
      <c r="AY378" s="663">
        <f t="shared" si="2834"/>
        <v>0</v>
      </c>
      <c r="AZ378" s="660">
        <f t="shared" ref="AZ378:AZ416" si="2854">IF(AY378&lt;0,0,MAX($G378-AM378-AY378,0))</f>
        <v>0</v>
      </c>
      <c r="BA378" s="521"/>
      <c r="BB378" s="660">
        <f t="shared" si="2494"/>
        <v>0</v>
      </c>
      <c r="BC378" s="660">
        <f t="shared" ref="BC378" si="2855">$AZ378*c_Residual.Share_GP</f>
        <v>0</v>
      </c>
      <c r="BD378" s="651"/>
      <c r="BE378" s="660">
        <f t="shared" si="2836"/>
        <v>0</v>
      </c>
      <c r="BF378" s="660">
        <f t="shared" si="2836"/>
        <v>0</v>
      </c>
      <c r="BG378" s="660">
        <f t="shared" si="2811"/>
        <v>0</v>
      </c>
      <c r="BI378" s="660">
        <v>0</v>
      </c>
      <c r="BJ378" s="660">
        <v>0</v>
      </c>
      <c r="BK378" s="660">
        <v>0</v>
      </c>
      <c r="BL378" s="660">
        <f t="shared" si="2837"/>
        <v>0</v>
      </c>
      <c r="BM378" s="660">
        <f t="shared" si="2837"/>
        <v>0</v>
      </c>
      <c r="BN378" s="660">
        <f t="shared" si="2838"/>
        <v>0</v>
      </c>
      <c r="BO378" s="660">
        <f t="shared" si="2838"/>
        <v>0</v>
      </c>
      <c r="BP378" s="660">
        <f t="shared" si="2839"/>
        <v>0</v>
      </c>
      <c r="BQ378" s="660">
        <f t="shared" si="2839"/>
        <v>0</v>
      </c>
      <c r="BR378" s="660">
        <v>0</v>
      </c>
      <c r="BS378" s="660">
        <v>0</v>
      </c>
      <c r="BT378" s="660">
        <f t="shared" si="2812"/>
        <v>0</v>
      </c>
      <c r="BU378" s="660">
        <f t="shared" si="2812"/>
        <v>0</v>
      </c>
      <c r="BX378" s="660">
        <v>0</v>
      </c>
      <c r="BY378" s="660">
        <f t="shared" si="2840"/>
        <v>0</v>
      </c>
      <c r="BZ378" s="660">
        <f t="shared" si="2813"/>
        <v>0</v>
      </c>
      <c r="CA378" s="660">
        <f t="shared" si="2814"/>
        <v>0</v>
      </c>
      <c r="CB378" s="660">
        <f t="shared" si="2815"/>
        <v>0</v>
      </c>
      <c r="CC378" s="660">
        <f t="shared" si="2816"/>
        <v>0</v>
      </c>
      <c r="CD378" s="660">
        <f t="shared" si="2841"/>
        <v>0</v>
      </c>
    </row>
    <row r="379" spans="4:82" ht="27.5" hidden="1" customHeight="1" thickTop="1" thickBot="1">
      <c r="D379" s="653"/>
      <c r="E379" s="654"/>
      <c r="F379" s="655" t="str">
        <f t="shared" si="2817"/>
        <v/>
      </c>
      <c r="G379" s="656"/>
      <c r="I379" s="658">
        <f t="shared" si="2818"/>
        <v>0</v>
      </c>
      <c r="J379" s="658">
        <f t="shared" ref="J379" si="2856">IF($G379=0,0,-MIN(0,G379*c_EquityShare.LP))</f>
        <v>0</v>
      </c>
      <c r="K379" s="658">
        <f t="shared" ref="K379" si="2857">I379*c_Rate.Pref_MO</f>
        <v>0</v>
      </c>
      <c r="L379" s="658">
        <f t="shared" si="2794"/>
        <v>0</v>
      </c>
      <c r="M379" s="658">
        <f t="shared" si="2821"/>
        <v>0</v>
      </c>
      <c r="N379" s="658">
        <f t="shared" si="2844"/>
        <v>0</v>
      </c>
      <c r="O379" s="658" cm="1">
        <f t="array" ref="O379">IF(I379=0,0,IF(G379&lt;0,N379/c_EquityShare.LP*i_EquityShare.GP,L379/c_EquityShare.LP*i_EquityShare.GP))</f>
        <v>0</v>
      </c>
      <c r="P379" s="658">
        <f t="shared" si="2822"/>
        <v>0</v>
      </c>
      <c r="Q379" s="658">
        <f t="shared" si="2795"/>
        <v>0</v>
      </c>
      <c r="R379" s="521"/>
      <c r="S379" s="660">
        <f t="shared" si="2823"/>
        <v>0</v>
      </c>
      <c r="T379" s="663" cm="1">
        <f t="array" ref="T379">IF($G379=0,0,-MIN(0,$G379*c_EquityShare.LP))</f>
        <v>0</v>
      </c>
      <c r="U379" s="663" cm="1">
        <f t="array" ref="U379">IF($D379=0,0,S379*c_Rate.Hurdle1.MO)</f>
        <v>0</v>
      </c>
      <c r="V379" s="660">
        <f t="shared" si="2845"/>
        <v>0</v>
      </c>
      <c r="W379" s="660">
        <f t="shared" si="2824"/>
        <v>0</v>
      </c>
      <c r="X379" s="663">
        <f t="shared" si="2846"/>
        <v>0</v>
      </c>
      <c r="Y379" s="663">
        <f t="shared" si="2825"/>
        <v>0</v>
      </c>
      <c r="Z379" s="663">
        <f t="shared" ref="Z379" si="2858">IF(S379=0,0,O379+W379/$J$17*c_Hurdle1.Share_GP)</f>
        <v>0</v>
      </c>
      <c r="AA379" s="663">
        <f t="shared" si="2797"/>
        <v>0</v>
      </c>
      <c r="AB379" s="660">
        <f t="shared" si="2848"/>
        <v>0</v>
      </c>
      <c r="AC379" s="521"/>
      <c r="AD379" s="663">
        <f t="shared" si="2432"/>
        <v>0</v>
      </c>
      <c r="AE379" s="663">
        <f t="shared" ref="AE379" si="2859">IF($G379=0,0,-MIN(0,$G379*c_EquityShare.LP))</f>
        <v>0</v>
      </c>
      <c r="AF379" s="663" cm="1">
        <f t="array" ref="AF379">IF($D379=0,0,AD379*(c_Rate.Hurdle2.MO))</f>
        <v>0</v>
      </c>
      <c r="AG379" s="663">
        <f t="shared" si="2799"/>
        <v>0</v>
      </c>
      <c r="AH379" s="663">
        <f t="shared" si="2828"/>
        <v>0</v>
      </c>
      <c r="AI379" s="663">
        <f t="shared" si="2800"/>
        <v>0</v>
      </c>
      <c r="AJ379" s="664">
        <f t="shared" si="2801"/>
        <v>0</v>
      </c>
      <c r="AK379" s="660">
        <f t="shared" si="2802"/>
        <v>0</v>
      </c>
      <c r="AL379" s="663">
        <f t="shared" ref="AL379" si="2860">IF(AD379=0,0,Z379+AH379/$J$18*c_Hurdle2.Share_GP)</f>
        <v>0</v>
      </c>
      <c r="AM379" s="663">
        <f t="shared" si="2804"/>
        <v>0</v>
      </c>
      <c r="AN379" s="660">
        <f t="shared" si="2851"/>
        <v>0</v>
      </c>
      <c r="AO379" s="521"/>
      <c r="AP379" s="663">
        <f t="shared" si="2435"/>
        <v>0</v>
      </c>
      <c r="AQ379" s="663">
        <f t="shared" ref="AQ379" si="2861">IF($G379=0,0,-MIN(0,$G379*c_EquityShare.LP))</f>
        <v>0</v>
      </c>
      <c r="AR379" s="663" cm="1">
        <f t="array" ref="AR379">IF($D379=0,0,AP379*(c_Rate.Hurdle3.MO))</f>
        <v>0</v>
      </c>
      <c r="AS379" s="663">
        <f t="shared" si="2806"/>
        <v>0</v>
      </c>
      <c r="AT379" s="663">
        <f t="shared" si="2831"/>
        <v>0</v>
      </c>
      <c r="AU379" s="663">
        <f t="shared" si="2807"/>
        <v>0</v>
      </c>
      <c r="AV379" s="664">
        <f t="shared" si="2808"/>
        <v>0</v>
      </c>
      <c r="AW379" s="660">
        <f t="shared" si="2832"/>
        <v>0</v>
      </c>
      <c r="AX379" s="663">
        <f t="shared" ref="AX379" si="2862">IF(AP379=0,0,AL379+AT379/$J$19*c_Hurdle3.Share_GP)</f>
        <v>0</v>
      </c>
      <c r="AY379" s="663">
        <f t="shared" si="2834"/>
        <v>0</v>
      </c>
      <c r="AZ379" s="660">
        <f t="shared" si="2854"/>
        <v>0</v>
      </c>
      <c r="BA379" s="521"/>
      <c r="BB379" s="660">
        <f t="shared" si="2494"/>
        <v>0</v>
      </c>
      <c r="BC379" s="660">
        <f t="shared" ref="BC379" si="2863">$AZ379*c_Residual.Share_GP</f>
        <v>0</v>
      </c>
      <c r="BD379" s="651"/>
      <c r="BE379" s="660">
        <f t="shared" si="2836"/>
        <v>0</v>
      </c>
      <c r="BF379" s="660">
        <f t="shared" si="2836"/>
        <v>0</v>
      </c>
      <c r="BG379" s="660">
        <f t="shared" si="2811"/>
        <v>0</v>
      </c>
      <c r="BI379" s="660">
        <v>0</v>
      </c>
      <c r="BJ379" s="660">
        <v>0</v>
      </c>
      <c r="BK379" s="660">
        <v>0</v>
      </c>
      <c r="BL379" s="660">
        <f t="shared" si="2837"/>
        <v>0</v>
      </c>
      <c r="BM379" s="660">
        <f t="shared" si="2837"/>
        <v>0</v>
      </c>
      <c r="BN379" s="660">
        <f t="shared" si="2838"/>
        <v>0</v>
      </c>
      <c r="BO379" s="660">
        <f t="shared" si="2838"/>
        <v>0</v>
      </c>
      <c r="BP379" s="660">
        <f t="shared" si="2839"/>
        <v>0</v>
      </c>
      <c r="BQ379" s="660">
        <f t="shared" si="2839"/>
        <v>0</v>
      </c>
      <c r="BR379" s="660">
        <v>0</v>
      </c>
      <c r="BS379" s="660">
        <v>0</v>
      </c>
      <c r="BT379" s="660">
        <f t="shared" si="2812"/>
        <v>0</v>
      </c>
      <c r="BU379" s="660">
        <f t="shared" si="2812"/>
        <v>0</v>
      </c>
      <c r="BX379" s="660">
        <v>0</v>
      </c>
      <c r="BY379" s="660">
        <f t="shared" si="2840"/>
        <v>0</v>
      </c>
      <c r="BZ379" s="660">
        <f t="shared" si="2813"/>
        <v>0</v>
      </c>
      <c r="CA379" s="660">
        <f t="shared" si="2814"/>
        <v>0</v>
      </c>
      <c r="CB379" s="660">
        <f t="shared" si="2815"/>
        <v>0</v>
      </c>
      <c r="CC379" s="660">
        <f t="shared" si="2816"/>
        <v>0</v>
      </c>
      <c r="CD379" s="660">
        <f t="shared" si="2841"/>
        <v>0</v>
      </c>
    </row>
    <row r="380" spans="4:82" ht="16" hidden="1" thickTop="1" thickBot="1">
      <c r="D380" s="653"/>
      <c r="E380" s="654"/>
      <c r="F380" s="655" t="str">
        <f t="shared" si="2817"/>
        <v/>
      </c>
      <c r="G380" s="656"/>
      <c r="I380" s="658">
        <f t="shared" si="2818"/>
        <v>0</v>
      </c>
      <c r="J380" s="658">
        <f t="shared" ref="J380" si="2864">IF($G380=0,0,-MIN(0,G380*c_EquityShare.LP))</f>
        <v>0</v>
      </c>
      <c r="K380" s="658">
        <f t="shared" ref="K380" si="2865">I380*c_Rate.Pref_MO</f>
        <v>0</v>
      </c>
      <c r="L380" s="658">
        <f t="shared" si="2794"/>
        <v>0</v>
      </c>
      <c r="M380" s="658">
        <f t="shared" si="2821"/>
        <v>0</v>
      </c>
      <c r="N380" s="658">
        <f t="shared" si="2844"/>
        <v>0</v>
      </c>
      <c r="O380" s="658" cm="1">
        <f t="array" ref="O380">IF(I380=0,0,IF(G380&lt;0,N380/c_EquityShare.LP*i_EquityShare.GP,L380/c_EquityShare.LP*i_EquityShare.GP))</f>
        <v>0</v>
      </c>
      <c r="P380" s="658">
        <f t="shared" si="2822"/>
        <v>0</v>
      </c>
      <c r="Q380" s="658">
        <f t="shared" si="2795"/>
        <v>0</v>
      </c>
      <c r="R380" s="521"/>
      <c r="S380" s="660">
        <f t="shared" si="2823"/>
        <v>0</v>
      </c>
      <c r="T380" s="663" cm="1">
        <f t="array" ref="T380">IF($G380=0,0,-MIN(0,$G380*c_EquityShare.LP))</f>
        <v>0</v>
      </c>
      <c r="U380" s="663" cm="1">
        <f t="array" ref="U380">IF($D380=0,0,S380*c_Rate.Hurdle1.MO)</f>
        <v>0</v>
      </c>
      <c r="V380" s="660">
        <f t="shared" si="2845"/>
        <v>0</v>
      </c>
      <c r="W380" s="660">
        <f t="shared" si="2824"/>
        <v>0</v>
      </c>
      <c r="X380" s="663">
        <f t="shared" si="2846"/>
        <v>0</v>
      </c>
      <c r="Y380" s="663">
        <f t="shared" si="2825"/>
        <v>0</v>
      </c>
      <c r="Z380" s="663">
        <f t="shared" ref="Z380" si="2866">IF(S380=0,0,O380+W380/$J$17*c_Hurdle1.Share_GP)</f>
        <v>0</v>
      </c>
      <c r="AA380" s="663">
        <f t="shared" si="2797"/>
        <v>0</v>
      </c>
      <c r="AB380" s="660">
        <f t="shared" si="2848"/>
        <v>0</v>
      </c>
      <c r="AC380" s="521"/>
      <c r="AD380" s="663">
        <f t="shared" si="2432"/>
        <v>0</v>
      </c>
      <c r="AE380" s="663">
        <f t="shared" ref="AE380" si="2867">IF($G380=0,0,-MIN(0,$G380*c_EquityShare.LP))</f>
        <v>0</v>
      </c>
      <c r="AF380" s="663" cm="1">
        <f t="array" ref="AF380">IF($D380=0,0,AD380*(c_Rate.Hurdle2.MO))</f>
        <v>0</v>
      </c>
      <c r="AG380" s="663">
        <f t="shared" si="2799"/>
        <v>0</v>
      </c>
      <c r="AH380" s="663">
        <f t="shared" si="2828"/>
        <v>0</v>
      </c>
      <c r="AI380" s="663">
        <f t="shared" si="2800"/>
        <v>0</v>
      </c>
      <c r="AJ380" s="664">
        <f t="shared" si="2801"/>
        <v>0</v>
      </c>
      <c r="AK380" s="660">
        <f t="shared" si="2802"/>
        <v>0</v>
      </c>
      <c r="AL380" s="663">
        <f t="shared" ref="AL380" si="2868">IF(AD380=0,0,Z380+AH380/$J$18*c_Hurdle2.Share_GP)</f>
        <v>0</v>
      </c>
      <c r="AM380" s="663">
        <f t="shared" si="2804"/>
        <v>0</v>
      </c>
      <c r="AN380" s="660">
        <f t="shared" si="2851"/>
        <v>0</v>
      </c>
      <c r="AO380" s="521"/>
      <c r="AP380" s="663">
        <f t="shared" si="2435"/>
        <v>0</v>
      </c>
      <c r="AQ380" s="663">
        <f t="shared" ref="AQ380" si="2869">IF($G380=0,0,-MIN(0,$G380*c_EquityShare.LP))</f>
        <v>0</v>
      </c>
      <c r="AR380" s="663" cm="1">
        <f t="array" ref="AR380">IF($D380=0,0,AP380*(c_Rate.Hurdle3.MO))</f>
        <v>0</v>
      </c>
      <c r="AS380" s="663">
        <f t="shared" si="2806"/>
        <v>0</v>
      </c>
      <c r="AT380" s="663">
        <f t="shared" si="2831"/>
        <v>0</v>
      </c>
      <c r="AU380" s="663">
        <f t="shared" si="2807"/>
        <v>0</v>
      </c>
      <c r="AV380" s="664">
        <f t="shared" si="2808"/>
        <v>0</v>
      </c>
      <c r="AW380" s="660">
        <f t="shared" si="2832"/>
        <v>0</v>
      </c>
      <c r="AX380" s="663">
        <f t="shared" ref="AX380" si="2870">IF(AP380=0,0,AL380+AT380/$J$19*c_Hurdle3.Share_GP)</f>
        <v>0</v>
      </c>
      <c r="AY380" s="663">
        <f t="shared" si="2834"/>
        <v>0</v>
      </c>
      <c r="AZ380" s="660">
        <f t="shared" si="2854"/>
        <v>0</v>
      </c>
      <c r="BA380" s="521"/>
      <c r="BB380" s="660">
        <f t="shared" si="2494"/>
        <v>0</v>
      </c>
      <c r="BC380" s="660">
        <f t="shared" ref="BC380" si="2871">$AZ380*c_Residual.Share_GP</f>
        <v>0</v>
      </c>
      <c r="BD380" s="651"/>
      <c r="BE380" s="660">
        <f t="shared" si="2836"/>
        <v>0</v>
      </c>
      <c r="BF380" s="660">
        <f t="shared" si="2836"/>
        <v>0</v>
      </c>
      <c r="BG380" s="660">
        <f t="shared" si="2811"/>
        <v>0</v>
      </c>
      <c r="BI380" s="660">
        <v>0</v>
      </c>
      <c r="BJ380" s="660">
        <v>0</v>
      </c>
      <c r="BK380" s="660">
        <v>0</v>
      </c>
      <c r="BL380" s="660">
        <f t="shared" si="2837"/>
        <v>0</v>
      </c>
      <c r="BM380" s="660">
        <f t="shared" si="2837"/>
        <v>0</v>
      </c>
      <c r="BN380" s="660">
        <f t="shared" si="2838"/>
        <v>0</v>
      </c>
      <c r="BO380" s="660">
        <f t="shared" si="2838"/>
        <v>0</v>
      </c>
      <c r="BP380" s="660">
        <f t="shared" si="2839"/>
        <v>0</v>
      </c>
      <c r="BQ380" s="660">
        <f t="shared" si="2839"/>
        <v>0</v>
      </c>
      <c r="BR380" s="660">
        <v>0</v>
      </c>
      <c r="BS380" s="660">
        <v>0</v>
      </c>
      <c r="BT380" s="660">
        <f t="shared" si="2812"/>
        <v>0</v>
      </c>
      <c r="BU380" s="660">
        <f t="shared" si="2812"/>
        <v>0</v>
      </c>
      <c r="BX380" s="660">
        <v>0</v>
      </c>
      <c r="BY380" s="660">
        <f t="shared" si="2840"/>
        <v>0</v>
      </c>
      <c r="BZ380" s="660">
        <f t="shared" si="2813"/>
        <v>0</v>
      </c>
      <c r="CA380" s="660">
        <f t="shared" si="2814"/>
        <v>0</v>
      </c>
      <c r="CB380" s="660">
        <f t="shared" si="2815"/>
        <v>0</v>
      </c>
      <c r="CC380" s="660">
        <f t="shared" si="2816"/>
        <v>0</v>
      </c>
      <c r="CD380" s="660">
        <f t="shared" si="2841"/>
        <v>0</v>
      </c>
    </row>
    <row r="381" spans="4:82" ht="16" hidden="1" thickTop="1" thickBot="1">
      <c r="D381" s="653"/>
      <c r="E381" s="654"/>
      <c r="F381" s="655" t="str">
        <f t="shared" si="2817"/>
        <v/>
      </c>
      <c r="G381" s="656"/>
      <c r="I381" s="658">
        <f t="shared" si="2818"/>
        <v>0</v>
      </c>
      <c r="J381" s="658">
        <f t="shared" ref="J381" si="2872">IF($G381=0,0,-MIN(0,G381*c_EquityShare.LP))</f>
        <v>0</v>
      </c>
      <c r="K381" s="658">
        <f t="shared" ref="K381" si="2873">I381*c_Rate.Pref_MO</f>
        <v>0</v>
      </c>
      <c r="L381" s="658">
        <f t="shared" si="2794"/>
        <v>0</v>
      </c>
      <c r="M381" s="658">
        <f t="shared" si="2821"/>
        <v>0</v>
      </c>
      <c r="N381" s="658">
        <f t="shared" si="2844"/>
        <v>0</v>
      </c>
      <c r="O381" s="658" cm="1">
        <f t="array" ref="O381">IF(I381=0,0,IF(G381&lt;0,N381/c_EquityShare.LP*i_EquityShare.GP,L381/c_EquityShare.LP*i_EquityShare.GP))</f>
        <v>0</v>
      </c>
      <c r="P381" s="658">
        <f t="shared" si="2822"/>
        <v>0</v>
      </c>
      <c r="Q381" s="658">
        <f t="shared" si="2795"/>
        <v>0</v>
      </c>
      <c r="R381" s="521"/>
      <c r="S381" s="660">
        <f t="shared" si="2823"/>
        <v>0</v>
      </c>
      <c r="T381" s="663" cm="1">
        <f t="array" ref="T381">IF($G381=0,0,-MIN(0,$G381*c_EquityShare.LP))</f>
        <v>0</v>
      </c>
      <c r="U381" s="663" cm="1">
        <f t="array" ref="U381">IF($D381=0,0,S381*c_Rate.Hurdle1.MO)</f>
        <v>0</v>
      </c>
      <c r="V381" s="660">
        <f t="shared" si="2845"/>
        <v>0</v>
      </c>
      <c r="W381" s="660">
        <f t="shared" si="2824"/>
        <v>0</v>
      </c>
      <c r="X381" s="663">
        <f t="shared" si="2846"/>
        <v>0</v>
      </c>
      <c r="Y381" s="663">
        <f t="shared" si="2825"/>
        <v>0</v>
      </c>
      <c r="Z381" s="663">
        <f t="shared" ref="Z381" si="2874">IF(S381=0,0,O381+W381/$J$17*c_Hurdle1.Share_GP)</f>
        <v>0</v>
      </c>
      <c r="AA381" s="663">
        <f t="shared" si="2797"/>
        <v>0</v>
      </c>
      <c r="AB381" s="660">
        <f t="shared" si="2848"/>
        <v>0</v>
      </c>
      <c r="AC381" s="521"/>
      <c r="AD381" s="663">
        <f t="shared" si="2432"/>
        <v>0</v>
      </c>
      <c r="AE381" s="663">
        <f t="shared" ref="AE381" si="2875">IF($G381=0,0,-MIN(0,$G381*c_EquityShare.LP))</f>
        <v>0</v>
      </c>
      <c r="AF381" s="663" cm="1">
        <f t="array" ref="AF381">IF($D381=0,0,AD381*(c_Rate.Hurdle2.MO))</f>
        <v>0</v>
      </c>
      <c r="AG381" s="663">
        <f t="shared" si="2799"/>
        <v>0</v>
      </c>
      <c r="AH381" s="663">
        <f t="shared" si="2828"/>
        <v>0</v>
      </c>
      <c r="AI381" s="663">
        <f t="shared" si="2800"/>
        <v>0</v>
      </c>
      <c r="AJ381" s="664">
        <f t="shared" si="2801"/>
        <v>0</v>
      </c>
      <c r="AK381" s="660">
        <f t="shared" si="2802"/>
        <v>0</v>
      </c>
      <c r="AL381" s="663">
        <f t="shared" ref="AL381" si="2876">IF(AD381=0,0,Z381+AH381/$J$18*c_Hurdle2.Share_GP)</f>
        <v>0</v>
      </c>
      <c r="AM381" s="663">
        <f t="shared" si="2804"/>
        <v>0</v>
      </c>
      <c r="AN381" s="660">
        <f t="shared" si="2851"/>
        <v>0</v>
      </c>
      <c r="AO381" s="521"/>
      <c r="AP381" s="663">
        <f t="shared" si="2435"/>
        <v>0</v>
      </c>
      <c r="AQ381" s="663">
        <f t="shared" ref="AQ381" si="2877">IF($G381=0,0,-MIN(0,$G381*c_EquityShare.LP))</f>
        <v>0</v>
      </c>
      <c r="AR381" s="663" cm="1">
        <f t="array" ref="AR381">IF($D381=0,0,AP381*(c_Rate.Hurdle3.MO))</f>
        <v>0</v>
      </c>
      <c r="AS381" s="663">
        <f t="shared" si="2806"/>
        <v>0</v>
      </c>
      <c r="AT381" s="663">
        <f t="shared" si="2831"/>
        <v>0</v>
      </c>
      <c r="AU381" s="663">
        <f t="shared" si="2807"/>
        <v>0</v>
      </c>
      <c r="AV381" s="664">
        <f t="shared" si="2808"/>
        <v>0</v>
      </c>
      <c r="AW381" s="660">
        <f t="shared" si="2832"/>
        <v>0</v>
      </c>
      <c r="AX381" s="663">
        <f t="shared" ref="AX381" si="2878">IF(AP381=0,0,AL381+AT381/$J$19*c_Hurdle3.Share_GP)</f>
        <v>0</v>
      </c>
      <c r="AY381" s="663">
        <f t="shared" si="2834"/>
        <v>0</v>
      </c>
      <c r="AZ381" s="660">
        <f t="shared" si="2854"/>
        <v>0</v>
      </c>
      <c r="BA381" s="521"/>
      <c r="BB381" s="660">
        <f t="shared" si="2494"/>
        <v>0</v>
      </c>
      <c r="BC381" s="660">
        <f t="shared" ref="BC381" si="2879">$AZ381*c_Residual.Share_GP</f>
        <v>0</v>
      </c>
      <c r="BD381" s="651"/>
      <c r="BE381" s="660">
        <f t="shared" si="2836"/>
        <v>0</v>
      </c>
      <c r="BF381" s="660">
        <f t="shared" si="2836"/>
        <v>0</v>
      </c>
      <c r="BG381" s="660">
        <f t="shared" si="2811"/>
        <v>0</v>
      </c>
      <c r="BI381" s="660">
        <v>0</v>
      </c>
      <c r="BJ381" s="660">
        <v>0</v>
      </c>
      <c r="BK381" s="660">
        <v>0</v>
      </c>
      <c r="BL381" s="660">
        <f t="shared" si="2837"/>
        <v>0</v>
      </c>
      <c r="BM381" s="660">
        <f t="shared" si="2837"/>
        <v>0</v>
      </c>
      <c r="BN381" s="660">
        <f t="shared" si="2838"/>
        <v>0</v>
      </c>
      <c r="BO381" s="660">
        <f t="shared" si="2838"/>
        <v>0</v>
      </c>
      <c r="BP381" s="660">
        <f t="shared" si="2839"/>
        <v>0</v>
      </c>
      <c r="BQ381" s="660">
        <f t="shared" si="2839"/>
        <v>0</v>
      </c>
      <c r="BR381" s="660">
        <v>0</v>
      </c>
      <c r="BS381" s="660">
        <v>0</v>
      </c>
      <c r="BT381" s="660">
        <f t="shared" si="2812"/>
        <v>0</v>
      </c>
      <c r="BU381" s="660">
        <f t="shared" si="2812"/>
        <v>0</v>
      </c>
      <c r="BX381" s="660">
        <v>0</v>
      </c>
      <c r="BY381" s="660">
        <f t="shared" si="2840"/>
        <v>0</v>
      </c>
      <c r="BZ381" s="660">
        <f t="shared" si="2813"/>
        <v>0</v>
      </c>
      <c r="CA381" s="660">
        <f t="shared" si="2814"/>
        <v>0</v>
      </c>
      <c r="CB381" s="660">
        <f t="shared" si="2815"/>
        <v>0</v>
      </c>
      <c r="CC381" s="660">
        <f t="shared" si="2816"/>
        <v>0</v>
      </c>
      <c r="CD381" s="660">
        <f t="shared" si="2841"/>
        <v>0</v>
      </c>
    </row>
    <row r="382" spans="4:82" ht="16" hidden="1" thickTop="1" thickBot="1">
      <c r="D382" s="653"/>
      <c r="E382" s="654"/>
      <c r="F382" s="655" t="str">
        <f t="shared" si="2817"/>
        <v/>
      </c>
      <c r="G382" s="656"/>
      <c r="I382" s="658">
        <f t="shared" si="2818"/>
        <v>0</v>
      </c>
      <c r="J382" s="658">
        <f t="shared" ref="J382" si="2880">IF($G382=0,0,-MIN(0,G382*c_EquityShare.LP))</f>
        <v>0</v>
      </c>
      <c r="K382" s="658">
        <f t="shared" ref="K382" si="2881">I382*c_Rate.Pref_MO</f>
        <v>0</v>
      </c>
      <c r="L382" s="658">
        <f t="shared" si="2794"/>
        <v>0</v>
      </c>
      <c r="M382" s="658">
        <f t="shared" si="2821"/>
        <v>0</v>
      </c>
      <c r="N382" s="658">
        <f t="shared" si="2844"/>
        <v>0</v>
      </c>
      <c r="O382" s="658" cm="1">
        <f t="array" ref="O382">IF(I382=0,0,IF(G382&lt;0,N382/c_EquityShare.LP*i_EquityShare.GP,L382/c_EquityShare.LP*i_EquityShare.GP))</f>
        <v>0</v>
      </c>
      <c r="P382" s="658">
        <f t="shared" si="2822"/>
        <v>0</v>
      </c>
      <c r="Q382" s="658">
        <f t="shared" si="2795"/>
        <v>0</v>
      </c>
      <c r="R382" s="521"/>
      <c r="S382" s="660">
        <f t="shared" si="2823"/>
        <v>0</v>
      </c>
      <c r="T382" s="663" cm="1">
        <f t="array" ref="T382">IF($G382=0,0,-MIN(0,$G382*c_EquityShare.LP))</f>
        <v>0</v>
      </c>
      <c r="U382" s="663" cm="1">
        <f t="array" ref="U382">IF($D382=0,0,S382*c_Rate.Hurdle1.MO)</f>
        <v>0</v>
      </c>
      <c r="V382" s="660">
        <f t="shared" si="2845"/>
        <v>0</v>
      </c>
      <c r="W382" s="660">
        <f t="shared" si="2824"/>
        <v>0</v>
      </c>
      <c r="X382" s="663">
        <f t="shared" si="2846"/>
        <v>0</v>
      </c>
      <c r="Y382" s="663">
        <f t="shared" si="2825"/>
        <v>0</v>
      </c>
      <c r="Z382" s="663">
        <f t="shared" ref="Z382" si="2882">IF(S382=0,0,O382+W382/$J$17*c_Hurdle1.Share_GP)</f>
        <v>0</v>
      </c>
      <c r="AA382" s="663">
        <f t="shared" si="2797"/>
        <v>0</v>
      </c>
      <c r="AB382" s="660">
        <f t="shared" si="2848"/>
        <v>0</v>
      </c>
      <c r="AC382" s="521"/>
      <c r="AD382" s="663">
        <f t="shared" si="2432"/>
        <v>0</v>
      </c>
      <c r="AE382" s="663">
        <f t="shared" ref="AE382" si="2883">IF($G382=0,0,-MIN(0,$G382*c_EquityShare.LP))</f>
        <v>0</v>
      </c>
      <c r="AF382" s="663" cm="1">
        <f t="array" ref="AF382">IF($D382=0,0,AD382*(c_Rate.Hurdle2.MO))</f>
        <v>0</v>
      </c>
      <c r="AG382" s="663">
        <f t="shared" si="2799"/>
        <v>0</v>
      </c>
      <c r="AH382" s="663">
        <f t="shared" si="2828"/>
        <v>0</v>
      </c>
      <c r="AI382" s="663">
        <f t="shared" si="2800"/>
        <v>0</v>
      </c>
      <c r="AJ382" s="664">
        <f t="shared" si="2801"/>
        <v>0</v>
      </c>
      <c r="AK382" s="660">
        <f t="shared" si="2802"/>
        <v>0</v>
      </c>
      <c r="AL382" s="663">
        <f t="shared" ref="AL382" si="2884">IF(AD382=0,0,Z382+AH382/$J$18*c_Hurdle2.Share_GP)</f>
        <v>0</v>
      </c>
      <c r="AM382" s="663">
        <f t="shared" si="2804"/>
        <v>0</v>
      </c>
      <c r="AN382" s="660">
        <f t="shared" si="2851"/>
        <v>0</v>
      </c>
      <c r="AO382" s="521"/>
      <c r="AP382" s="663">
        <f t="shared" si="2435"/>
        <v>0</v>
      </c>
      <c r="AQ382" s="663">
        <f t="shared" ref="AQ382" si="2885">IF($G382=0,0,-MIN(0,$G382*c_EquityShare.LP))</f>
        <v>0</v>
      </c>
      <c r="AR382" s="663" cm="1">
        <f t="array" ref="AR382">IF($D382=0,0,AP382*(c_Rate.Hurdle3.MO))</f>
        <v>0</v>
      </c>
      <c r="AS382" s="663">
        <f t="shared" si="2806"/>
        <v>0</v>
      </c>
      <c r="AT382" s="663">
        <f t="shared" si="2831"/>
        <v>0</v>
      </c>
      <c r="AU382" s="663">
        <f t="shared" si="2807"/>
        <v>0</v>
      </c>
      <c r="AV382" s="664">
        <f t="shared" si="2808"/>
        <v>0</v>
      </c>
      <c r="AW382" s="660">
        <f t="shared" si="2832"/>
        <v>0</v>
      </c>
      <c r="AX382" s="663">
        <f t="shared" ref="AX382" si="2886">IF(AP382=0,0,AL382+AT382/$J$19*c_Hurdle3.Share_GP)</f>
        <v>0</v>
      </c>
      <c r="AY382" s="663">
        <f t="shared" si="2834"/>
        <v>0</v>
      </c>
      <c r="AZ382" s="660">
        <f t="shared" si="2854"/>
        <v>0</v>
      </c>
      <c r="BA382" s="521"/>
      <c r="BB382" s="660">
        <f t="shared" si="2494"/>
        <v>0</v>
      </c>
      <c r="BC382" s="660">
        <f t="shared" ref="BC382" si="2887">$AZ382*c_Residual.Share_GP</f>
        <v>0</v>
      </c>
      <c r="BD382" s="651"/>
      <c r="BE382" s="660">
        <f t="shared" si="2836"/>
        <v>0</v>
      </c>
      <c r="BF382" s="660">
        <f t="shared" si="2836"/>
        <v>0</v>
      </c>
      <c r="BG382" s="660">
        <f t="shared" si="2811"/>
        <v>0</v>
      </c>
      <c r="BI382" s="660">
        <v>0</v>
      </c>
      <c r="BJ382" s="660">
        <v>0</v>
      </c>
      <c r="BK382" s="660">
        <v>0</v>
      </c>
      <c r="BL382" s="660">
        <f t="shared" si="2837"/>
        <v>0</v>
      </c>
      <c r="BM382" s="660">
        <f t="shared" si="2837"/>
        <v>0</v>
      </c>
      <c r="BN382" s="660">
        <f t="shared" si="2838"/>
        <v>0</v>
      </c>
      <c r="BO382" s="660">
        <f t="shared" si="2838"/>
        <v>0</v>
      </c>
      <c r="BP382" s="660">
        <f t="shared" si="2839"/>
        <v>0</v>
      </c>
      <c r="BQ382" s="660">
        <f t="shared" si="2839"/>
        <v>0</v>
      </c>
      <c r="BR382" s="660">
        <v>0</v>
      </c>
      <c r="BS382" s="660">
        <v>0</v>
      </c>
      <c r="BT382" s="660">
        <f t="shared" si="2812"/>
        <v>0</v>
      </c>
      <c r="BU382" s="660">
        <f t="shared" si="2812"/>
        <v>0</v>
      </c>
      <c r="BX382" s="660">
        <v>0</v>
      </c>
      <c r="BY382" s="660">
        <f t="shared" si="2840"/>
        <v>0</v>
      </c>
      <c r="BZ382" s="660">
        <f t="shared" si="2813"/>
        <v>0</v>
      </c>
      <c r="CA382" s="660">
        <f t="shared" si="2814"/>
        <v>0</v>
      </c>
      <c r="CB382" s="660">
        <f t="shared" si="2815"/>
        <v>0</v>
      </c>
      <c r="CC382" s="660">
        <f t="shared" si="2816"/>
        <v>0</v>
      </c>
      <c r="CD382" s="660">
        <f t="shared" si="2841"/>
        <v>0</v>
      </c>
    </row>
    <row r="383" spans="4:82" ht="16" hidden="1" thickTop="1" thickBot="1">
      <c r="D383" s="653"/>
      <c r="E383" s="654"/>
      <c r="F383" s="655" t="str">
        <f t="shared" si="2817"/>
        <v/>
      </c>
      <c r="G383" s="656"/>
      <c r="I383" s="658">
        <f t="shared" si="2818"/>
        <v>0</v>
      </c>
      <c r="J383" s="658">
        <f t="shared" ref="J383" si="2888">IF($G383=0,0,-MIN(0,G383*c_EquityShare.LP))</f>
        <v>0</v>
      </c>
      <c r="K383" s="658">
        <f t="shared" ref="K383" si="2889">I383*c_Rate.Pref_MO</f>
        <v>0</v>
      </c>
      <c r="L383" s="658">
        <f t="shared" si="2794"/>
        <v>0</v>
      </c>
      <c r="M383" s="658">
        <f t="shared" si="2821"/>
        <v>0</v>
      </c>
      <c r="N383" s="658">
        <f t="shared" si="2844"/>
        <v>0</v>
      </c>
      <c r="O383" s="658" cm="1">
        <f t="array" ref="O383">IF(I383=0,0,IF(G383&lt;0,N383/c_EquityShare.LP*i_EquityShare.GP,L383/c_EquityShare.LP*i_EquityShare.GP))</f>
        <v>0</v>
      </c>
      <c r="P383" s="658">
        <f t="shared" si="2822"/>
        <v>0</v>
      </c>
      <c r="Q383" s="658">
        <f t="shared" si="2795"/>
        <v>0</v>
      </c>
      <c r="R383" s="521"/>
      <c r="S383" s="660">
        <f t="shared" si="2823"/>
        <v>0</v>
      </c>
      <c r="T383" s="663" cm="1">
        <f t="array" ref="T383">IF($G383=0,0,-MIN(0,$G383*c_EquityShare.LP))</f>
        <v>0</v>
      </c>
      <c r="U383" s="663" cm="1">
        <f t="array" ref="U383">IF($D383=0,0,S383*c_Rate.Hurdle1.MO)</f>
        <v>0</v>
      </c>
      <c r="V383" s="660">
        <f t="shared" si="2845"/>
        <v>0</v>
      </c>
      <c r="W383" s="660">
        <f t="shared" si="2824"/>
        <v>0</v>
      </c>
      <c r="X383" s="663">
        <f t="shared" si="2846"/>
        <v>0</v>
      </c>
      <c r="Y383" s="663">
        <f t="shared" si="2825"/>
        <v>0</v>
      </c>
      <c r="Z383" s="663">
        <f t="shared" ref="Z383" si="2890">IF(S383=0,0,O383+W383/$J$17*c_Hurdle1.Share_GP)</f>
        <v>0</v>
      </c>
      <c r="AA383" s="663">
        <f t="shared" si="2797"/>
        <v>0</v>
      </c>
      <c r="AB383" s="660">
        <f t="shared" si="2848"/>
        <v>0</v>
      </c>
      <c r="AC383" s="521"/>
      <c r="AD383" s="663">
        <f t="shared" si="2432"/>
        <v>0</v>
      </c>
      <c r="AE383" s="663">
        <f t="shared" ref="AE383" si="2891">IF($G383=0,0,-MIN(0,$G383*c_EquityShare.LP))</f>
        <v>0</v>
      </c>
      <c r="AF383" s="663" cm="1">
        <f t="array" ref="AF383">IF($D383=0,0,AD383*(c_Rate.Hurdle2.MO))</f>
        <v>0</v>
      </c>
      <c r="AG383" s="663">
        <f t="shared" si="2799"/>
        <v>0</v>
      </c>
      <c r="AH383" s="663">
        <f t="shared" si="2828"/>
        <v>0</v>
      </c>
      <c r="AI383" s="663">
        <f t="shared" si="2800"/>
        <v>0</v>
      </c>
      <c r="AJ383" s="664">
        <f t="shared" si="2801"/>
        <v>0</v>
      </c>
      <c r="AK383" s="660">
        <f t="shared" si="2802"/>
        <v>0</v>
      </c>
      <c r="AL383" s="663">
        <f t="shared" ref="AL383" si="2892">IF(AD383=0,0,Z383+AH383/$J$18*c_Hurdle2.Share_GP)</f>
        <v>0</v>
      </c>
      <c r="AM383" s="663">
        <f t="shared" si="2804"/>
        <v>0</v>
      </c>
      <c r="AN383" s="660">
        <f t="shared" si="2851"/>
        <v>0</v>
      </c>
      <c r="AO383" s="521"/>
      <c r="AP383" s="663">
        <f t="shared" si="2435"/>
        <v>0</v>
      </c>
      <c r="AQ383" s="663">
        <f t="shared" ref="AQ383" si="2893">IF($G383=0,0,-MIN(0,$G383*c_EquityShare.LP))</f>
        <v>0</v>
      </c>
      <c r="AR383" s="663" cm="1">
        <f t="array" ref="AR383">IF($D383=0,0,AP383*(c_Rate.Hurdle3.MO))</f>
        <v>0</v>
      </c>
      <c r="AS383" s="663">
        <f t="shared" si="2806"/>
        <v>0</v>
      </c>
      <c r="AT383" s="663">
        <f t="shared" si="2831"/>
        <v>0</v>
      </c>
      <c r="AU383" s="663">
        <f t="shared" si="2807"/>
        <v>0</v>
      </c>
      <c r="AV383" s="664">
        <f t="shared" si="2808"/>
        <v>0</v>
      </c>
      <c r="AW383" s="660">
        <f t="shared" si="2832"/>
        <v>0</v>
      </c>
      <c r="AX383" s="663">
        <f t="shared" ref="AX383" si="2894">IF(AP383=0,0,AL383+AT383/$J$19*c_Hurdle3.Share_GP)</f>
        <v>0</v>
      </c>
      <c r="AY383" s="663">
        <f t="shared" si="2834"/>
        <v>0</v>
      </c>
      <c r="AZ383" s="660">
        <f t="shared" si="2854"/>
        <v>0</v>
      </c>
      <c r="BA383" s="521"/>
      <c r="BB383" s="660">
        <f t="shared" si="2494"/>
        <v>0</v>
      </c>
      <c r="BC383" s="660">
        <f t="shared" ref="BC383" si="2895">$AZ383*c_Residual.Share_GP</f>
        <v>0</v>
      </c>
      <c r="BD383" s="651"/>
      <c r="BE383" s="660">
        <f t="shared" si="2836"/>
        <v>0</v>
      </c>
      <c r="BF383" s="660">
        <f t="shared" si="2836"/>
        <v>0</v>
      </c>
      <c r="BG383" s="660">
        <f t="shared" si="2811"/>
        <v>0</v>
      </c>
      <c r="BI383" s="660">
        <v>0</v>
      </c>
      <c r="BJ383" s="660">
        <v>0</v>
      </c>
      <c r="BK383" s="660">
        <v>0</v>
      </c>
      <c r="BL383" s="660">
        <f t="shared" si="2837"/>
        <v>0</v>
      </c>
      <c r="BM383" s="660">
        <f t="shared" si="2837"/>
        <v>0</v>
      </c>
      <c r="BN383" s="660">
        <f t="shared" si="2838"/>
        <v>0</v>
      </c>
      <c r="BO383" s="660">
        <f t="shared" si="2838"/>
        <v>0</v>
      </c>
      <c r="BP383" s="660">
        <f t="shared" si="2839"/>
        <v>0</v>
      </c>
      <c r="BQ383" s="660">
        <f t="shared" si="2839"/>
        <v>0</v>
      </c>
      <c r="BR383" s="660">
        <v>0</v>
      </c>
      <c r="BS383" s="660">
        <v>0</v>
      </c>
      <c r="BT383" s="660">
        <f t="shared" si="2812"/>
        <v>0</v>
      </c>
      <c r="BU383" s="660">
        <f t="shared" si="2812"/>
        <v>0</v>
      </c>
      <c r="BX383" s="660">
        <v>0</v>
      </c>
      <c r="BY383" s="660">
        <f t="shared" si="2840"/>
        <v>0</v>
      </c>
      <c r="BZ383" s="660">
        <f t="shared" si="2813"/>
        <v>0</v>
      </c>
      <c r="CA383" s="660">
        <f t="shared" si="2814"/>
        <v>0</v>
      </c>
      <c r="CB383" s="660">
        <f t="shared" si="2815"/>
        <v>0</v>
      </c>
      <c r="CC383" s="660">
        <f t="shared" si="2816"/>
        <v>0</v>
      </c>
      <c r="CD383" s="660">
        <f t="shared" si="2841"/>
        <v>0</v>
      </c>
    </row>
    <row r="384" spans="4:82" ht="16" hidden="1" thickTop="1" thickBot="1">
      <c r="D384" s="653"/>
      <c r="E384" s="654"/>
      <c r="F384" s="655" t="str">
        <f t="shared" si="2817"/>
        <v/>
      </c>
      <c r="G384" s="656"/>
      <c r="I384" s="658">
        <f t="shared" si="2818"/>
        <v>0</v>
      </c>
      <c r="J384" s="658">
        <f t="shared" ref="J384" si="2896">IF($G384=0,0,-MIN(0,G384*c_EquityShare.LP))</f>
        <v>0</v>
      </c>
      <c r="K384" s="658">
        <f t="shared" ref="K384" si="2897">I384*c_Rate.Pref_MO</f>
        <v>0</v>
      </c>
      <c r="L384" s="658">
        <f t="shared" si="2794"/>
        <v>0</v>
      </c>
      <c r="M384" s="658">
        <f t="shared" si="2821"/>
        <v>0</v>
      </c>
      <c r="N384" s="658">
        <f t="shared" si="2844"/>
        <v>0</v>
      </c>
      <c r="O384" s="658" cm="1">
        <f t="array" ref="O384">IF(I384=0,0,IF(G384&lt;0,N384/c_EquityShare.LP*i_EquityShare.GP,L384/c_EquityShare.LP*i_EquityShare.GP))</f>
        <v>0</v>
      </c>
      <c r="P384" s="658">
        <f t="shared" si="2822"/>
        <v>0</v>
      </c>
      <c r="Q384" s="658">
        <f t="shared" si="2795"/>
        <v>0</v>
      </c>
      <c r="R384" s="521"/>
      <c r="S384" s="660">
        <f t="shared" si="2823"/>
        <v>0</v>
      </c>
      <c r="T384" s="663" cm="1">
        <f t="array" ref="T384">IF($G384=0,0,-MIN(0,$G384*c_EquityShare.LP))</f>
        <v>0</v>
      </c>
      <c r="U384" s="663" cm="1">
        <f t="array" ref="U384">IF($D384=0,0,S384*c_Rate.Hurdle1.MO)</f>
        <v>0</v>
      </c>
      <c r="V384" s="660">
        <f t="shared" si="2845"/>
        <v>0</v>
      </c>
      <c r="W384" s="660">
        <f t="shared" si="2824"/>
        <v>0</v>
      </c>
      <c r="X384" s="663">
        <f t="shared" si="2846"/>
        <v>0</v>
      </c>
      <c r="Y384" s="663">
        <f t="shared" si="2825"/>
        <v>0</v>
      </c>
      <c r="Z384" s="663">
        <f t="shared" ref="Z384" si="2898">IF(S384=0,0,O384+W384/$J$17*c_Hurdle1.Share_GP)</f>
        <v>0</v>
      </c>
      <c r="AA384" s="663">
        <f t="shared" si="2797"/>
        <v>0</v>
      </c>
      <c r="AB384" s="660">
        <f t="shared" si="2848"/>
        <v>0</v>
      </c>
      <c r="AC384" s="521"/>
      <c r="AD384" s="663">
        <f t="shared" si="2432"/>
        <v>0</v>
      </c>
      <c r="AE384" s="663">
        <f t="shared" ref="AE384" si="2899">IF($G384=0,0,-MIN(0,$G384*c_EquityShare.LP))</f>
        <v>0</v>
      </c>
      <c r="AF384" s="663" cm="1">
        <f t="array" ref="AF384">IF($D384=0,0,AD384*(c_Rate.Hurdle2.MO))</f>
        <v>0</v>
      </c>
      <c r="AG384" s="663">
        <f t="shared" si="2799"/>
        <v>0</v>
      </c>
      <c r="AH384" s="663">
        <f t="shared" si="2828"/>
        <v>0</v>
      </c>
      <c r="AI384" s="663">
        <f t="shared" si="2800"/>
        <v>0</v>
      </c>
      <c r="AJ384" s="664">
        <f t="shared" si="2801"/>
        <v>0</v>
      </c>
      <c r="AK384" s="660">
        <f t="shared" si="2802"/>
        <v>0</v>
      </c>
      <c r="AL384" s="663">
        <f t="shared" ref="AL384" si="2900">IF(AD384=0,0,Z384+AH384/$J$18*c_Hurdle2.Share_GP)</f>
        <v>0</v>
      </c>
      <c r="AM384" s="663">
        <f t="shared" si="2804"/>
        <v>0</v>
      </c>
      <c r="AN384" s="660">
        <f t="shared" si="2851"/>
        <v>0</v>
      </c>
      <c r="AO384" s="521"/>
      <c r="AP384" s="663">
        <f t="shared" si="2435"/>
        <v>0</v>
      </c>
      <c r="AQ384" s="663">
        <f t="shared" ref="AQ384" si="2901">IF($G384=0,0,-MIN(0,$G384*c_EquityShare.LP))</f>
        <v>0</v>
      </c>
      <c r="AR384" s="663" cm="1">
        <f t="array" ref="AR384">IF($D384=0,0,AP384*(c_Rate.Hurdle3.MO))</f>
        <v>0</v>
      </c>
      <c r="AS384" s="663">
        <f t="shared" si="2806"/>
        <v>0</v>
      </c>
      <c r="AT384" s="663">
        <f t="shared" si="2831"/>
        <v>0</v>
      </c>
      <c r="AU384" s="663">
        <f t="shared" si="2807"/>
        <v>0</v>
      </c>
      <c r="AV384" s="664">
        <f t="shared" si="2808"/>
        <v>0</v>
      </c>
      <c r="AW384" s="660">
        <f t="shared" si="2832"/>
        <v>0</v>
      </c>
      <c r="AX384" s="663">
        <f t="shared" ref="AX384" si="2902">IF(AP384=0,0,AL384+AT384/$J$19*c_Hurdle3.Share_GP)</f>
        <v>0</v>
      </c>
      <c r="AY384" s="663">
        <f t="shared" si="2834"/>
        <v>0</v>
      </c>
      <c r="AZ384" s="660">
        <f t="shared" si="2854"/>
        <v>0</v>
      </c>
      <c r="BA384" s="521"/>
      <c r="BB384" s="660">
        <f t="shared" si="2494"/>
        <v>0</v>
      </c>
      <c r="BC384" s="660">
        <f t="shared" ref="BC384" si="2903">$AZ384*c_Residual.Share_GP</f>
        <v>0</v>
      </c>
      <c r="BD384" s="651"/>
      <c r="BE384" s="660">
        <f t="shared" si="2836"/>
        <v>0</v>
      </c>
      <c r="BF384" s="660">
        <f t="shared" si="2836"/>
        <v>0</v>
      </c>
      <c r="BG384" s="660">
        <f t="shared" si="2811"/>
        <v>0</v>
      </c>
      <c r="BI384" s="660">
        <v>0</v>
      </c>
      <c r="BJ384" s="660">
        <v>0</v>
      </c>
      <c r="BK384" s="660">
        <v>0</v>
      </c>
      <c r="BL384" s="660">
        <f t="shared" si="2837"/>
        <v>0</v>
      </c>
      <c r="BM384" s="660">
        <f t="shared" si="2837"/>
        <v>0</v>
      </c>
      <c r="BN384" s="660">
        <f t="shared" si="2838"/>
        <v>0</v>
      </c>
      <c r="BO384" s="660">
        <f t="shared" si="2838"/>
        <v>0</v>
      </c>
      <c r="BP384" s="660">
        <f t="shared" si="2839"/>
        <v>0</v>
      </c>
      <c r="BQ384" s="660">
        <f t="shared" si="2839"/>
        <v>0</v>
      </c>
      <c r="BR384" s="660">
        <v>0</v>
      </c>
      <c r="BS384" s="660">
        <v>0</v>
      </c>
      <c r="BT384" s="660">
        <f t="shared" si="2812"/>
        <v>0</v>
      </c>
      <c r="BU384" s="660">
        <f t="shared" si="2812"/>
        <v>0</v>
      </c>
      <c r="BX384" s="660">
        <v>0</v>
      </c>
      <c r="BY384" s="660">
        <f t="shared" si="2840"/>
        <v>0</v>
      </c>
      <c r="BZ384" s="660">
        <f t="shared" si="2813"/>
        <v>0</v>
      </c>
      <c r="CA384" s="660">
        <f t="shared" si="2814"/>
        <v>0</v>
      </c>
      <c r="CB384" s="660">
        <f t="shared" si="2815"/>
        <v>0</v>
      </c>
      <c r="CC384" s="660">
        <f t="shared" si="2816"/>
        <v>0</v>
      </c>
      <c r="CD384" s="660">
        <f t="shared" si="2841"/>
        <v>0</v>
      </c>
    </row>
    <row r="385" spans="4:82" ht="16" hidden="1" thickTop="1" thickBot="1">
      <c r="D385" s="653"/>
      <c r="E385" s="654"/>
      <c r="F385" s="655" t="str">
        <f t="shared" si="2817"/>
        <v/>
      </c>
      <c r="G385" s="656"/>
      <c r="I385" s="658">
        <f t="shared" si="2818"/>
        <v>0</v>
      </c>
      <c r="J385" s="658">
        <f t="shared" ref="J385" si="2904">IF($G385=0,0,-MIN(0,G385*c_EquityShare.LP))</f>
        <v>0</v>
      </c>
      <c r="K385" s="658">
        <f t="shared" ref="K385" si="2905">I385*c_Rate.Pref_MO</f>
        <v>0</v>
      </c>
      <c r="L385" s="658">
        <f t="shared" si="2794"/>
        <v>0</v>
      </c>
      <c r="M385" s="658">
        <f t="shared" si="2821"/>
        <v>0</v>
      </c>
      <c r="N385" s="658">
        <f t="shared" si="2844"/>
        <v>0</v>
      </c>
      <c r="O385" s="658" cm="1">
        <f t="array" ref="O385">IF(I385=0,0,IF(G385&lt;0,N385/c_EquityShare.LP*i_EquityShare.GP,L385/c_EquityShare.LP*i_EquityShare.GP))</f>
        <v>0</v>
      </c>
      <c r="P385" s="658">
        <f t="shared" si="2822"/>
        <v>0</v>
      </c>
      <c r="Q385" s="658">
        <f t="shared" si="2795"/>
        <v>0</v>
      </c>
      <c r="R385" s="521"/>
      <c r="S385" s="660">
        <f t="shared" si="2823"/>
        <v>0</v>
      </c>
      <c r="T385" s="663" cm="1">
        <f t="array" ref="T385">IF($G385=0,0,-MIN(0,$G385*c_EquityShare.LP))</f>
        <v>0</v>
      </c>
      <c r="U385" s="663" cm="1">
        <f t="array" ref="U385">IF($D385=0,0,S385*c_Rate.Hurdle1.MO)</f>
        <v>0</v>
      </c>
      <c r="V385" s="660">
        <f t="shared" si="2845"/>
        <v>0</v>
      </c>
      <c r="W385" s="660">
        <f t="shared" si="2824"/>
        <v>0</v>
      </c>
      <c r="X385" s="663">
        <f t="shared" si="2846"/>
        <v>0</v>
      </c>
      <c r="Y385" s="663">
        <f t="shared" si="2825"/>
        <v>0</v>
      </c>
      <c r="Z385" s="663">
        <f t="shared" ref="Z385" si="2906">IF(S385=0,0,O385+W385/$J$17*c_Hurdle1.Share_GP)</f>
        <v>0</v>
      </c>
      <c r="AA385" s="663">
        <f t="shared" si="2797"/>
        <v>0</v>
      </c>
      <c r="AB385" s="660">
        <f t="shared" si="2848"/>
        <v>0</v>
      </c>
      <c r="AC385" s="521"/>
      <c r="AD385" s="663">
        <f t="shared" si="2432"/>
        <v>0</v>
      </c>
      <c r="AE385" s="663">
        <f t="shared" ref="AE385" si="2907">IF($G385=0,0,-MIN(0,$G385*c_EquityShare.LP))</f>
        <v>0</v>
      </c>
      <c r="AF385" s="663" cm="1">
        <f t="array" ref="AF385">IF($D385=0,0,AD385*(c_Rate.Hurdle2.MO))</f>
        <v>0</v>
      </c>
      <c r="AG385" s="663">
        <f t="shared" si="2799"/>
        <v>0</v>
      </c>
      <c r="AH385" s="663">
        <f t="shared" si="2828"/>
        <v>0</v>
      </c>
      <c r="AI385" s="663">
        <f t="shared" si="2800"/>
        <v>0</v>
      </c>
      <c r="AJ385" s="664">
        <f t="shared" si="2801"/>
        <v>0</v>
      </c>
      <c r="AK385" s="660">
        <f t="shared" si="2802"/>
        <v>0</v>
      </c>
      <c r="AL385" s="663">
        <f t="shared" ref="AL385" si="2908">IF(AD385=0,0,Z385+AH385/$J$18*c_Hurdle2.Share_GP)</f>
        <v>0</v>
      </c>
      <c r="AM385" s="663">
        <f t="shared" si="2804"/>
        <v>0</v>
      </c>
      <c r="AN385" s="660">
        <f t="shared" si="2851"/>
        <v>0</v>
      </c>
      <c r="AO385" s="521"/>
      <c r="AP385" s="663">
        <f t="shared" si="2435"/>
        <v>0</v>
      </c>
      <c r="AQ385" s="663">
        <f t="shared" ref="AQ385" si="2909">IF($G385=0,0,-MIN(0,$G385*c_EquityShare.LP))</f>
        <v>0</v>
      </c>
      <c r="AR385" s="663" cm="1">
        <f t="array" ref="AR385">IF($D385=0,0,AP385*(c_Rate.Hurdle3.MO))</f>
        <v>0</v>
      </c>
      <c r="AS385" s="663">
        <f t="shared" si="2806"/>
        <v>0</v>
      </c>
      <c r="AT385" s="663">
        <f t="shared" si="2831"/>
        <v>0</v>
      </c>
      <c r="AU385" s="663">
        <f t="shared" si="2807"/>
        <v>0</v>
      </c>
      <c r="AV385" s="664">
        <f t="shared" si="2808"/>
        <v>0</v>
      </c>
      <c r="AW385" s="660">
        <f t="shared" si="2832"/>
        <v>0</v>
      </c>
      <c r="AX385" s="663">
        <f t="shared" ref="AX385" si="2910">IF(AP385=0,0,AL385+AT385/$J$19*c_Hurdle3.Share_GP)</f>
        <v>0</v>
      </c>
      <c r="AY385" s="663">
        <f t="shared" si="2834"/>
        <v>0</v>
      </c>
      <c r="AZ385" s="660">
        <f t="shared" si="2854"/>
        <v>0</v>
      </c>
      <c r="BA385" s="521"/>
      <c r="BB385" s="660">
        <f t="shared" si="2494"/>
        <v>0</v>
      </c>
      <c r="BC385" s="660">
        <f t="shared" ref="BC385" si="2911">$AZ385*c_Residual.Share_GP</f>
        <v>0</v>
      </c>
      <c r="BD385" s="651"/>
      <c r="BE385" s="660">
        <f t="shared" si="2836"/>
        <v>0</v>
      </c>
      <c r="BF385" s="660">
        <f t="shared" si="2836"/>
        <v>0</v>
      </c>
      <c r="BG385" s="660">
        <f t="shared" si="2811"/>
        <v>0</v>
      </c>
      <c r="BI385" s="660">
        <v>0</v>
      </c>
      <c r="BJ385" s="660">
        <v>0</v>
      </c>
      <c r="BK385" s="660">
        <v>0</v>
      </c>
      <c r="BL385" s="660">
        <f t="shared" si="2837"/>
        <v>0</v>
      </c>
      <c r="BM385" s="660">
        <f t="shared" si="2837"/>
        <v>0</v>
      </c>
      <c r="BN385" s="660">
        <f t="shared" si="2838"/>
        <v>0</v>
      </c>
      <c r="BO385" s="660">
        <f t="shared" si="2838"/>
        <v>0</v>
      </c>
      <c r="BP385" s="660">
        <f t="shared" si="2839"/>
        <v>0</v>
      </c>
      <c r="BQ385" s="660">
        <f t="shared" si="2839"/>
        <v>0</v>
      </c>
      <c r="BR385" s="660">
        <v>0</v>
      </c>
      <c r="BS385" s="660">
        <v>0</v>
      </c>
      <c r="BT385" s="660">
        <f t="shared" si="2812"/>
        <v>0</v>
      </c>
      <c r="BU385" s="660">
        <f t="shared" si="2812"/>
        <v>0</v>
      </c>
      <c r="BX385" s="660">
        <v>0</v>
      </c>
      <c r="BY385" s="660">
        <f t="shared" si="2840"/>
        <v>0</v>
      </c>
      <c r="BZ385" s="660">
        <f t="shared" si="2813"/>
        <v>0</v>
      </c>
      <c r="CA385" s="660">
        <f t="shared" si="2814"/>
        <v>0</v>
      </c>
      <c r="CB385" s="660">
        <f t="shared" si="2815"/>
        <v>0</v>
      </c>
      <c r="CC385" s="660">
        <f t="shared" si="2816"/>
        <v>0</v>
      </c>
      <c r="CD385" s="660">
        <f t="shared" si="2841"/>
        <v>0</v>
      </c>
    </row>
    <row r="386" spans="4:82" ht="16" hidden="1" thickTop="1" thickBot="1">
      <c r="D386" s="653"/>
      <c r="E386" s="654"/>
      <c r="F386" s="655" t="str">
        <f t="shared" si="2817"/>
        <v/>
      </c>
      <c r="G386" s="656"/>
      <c r="I386" s="658">
        <f t="shared" si="2818"/>
        <v>0</v>
      </c>
      <c r="J386" s="658">
        <f t="shared" ref="J386" si="2912">IF($G386=0,0,-MIN(0,G386*c_EquityShare.LP))</f>
        <v>0</v>
      </c>
      <c r="K386" s="658">
        <f t="shared" ref="K386" si="2913">I386*c_Rate.Pref_MO</f>
        <v>0</v>
      </c>
      <c r="L386" s="658">
        <f t="shared" si="2794"/>
        <v>0</v>
      </c>
      <c r="M386" s="658">
        <f t="shared" si="2821"/>
        <v>0</v>
      </c>
      <c r="N386" s="658">
        <f t="shared" si="2844"/>
        <v>0</v>
      </c>
      <c r="O386" s="658" cm="1">
        <f t="array" ref="O386">IF(I386=0,0,IF(G386&lt;0,N386/c_EquityShare.LP*i_EquityShare.GP,L386/c_EquityShare.LP*i_EquityShare.GP))</f>
        <v>0</v>
      </c>
      <c r="P386" s="658">
        <f t="shared" si="2822"/>
        <v>0</v>
      </c>
      <c r="Q386" s="658">
        <f t="shared" si="2795"/>
        <v>0</v>
      </c>
      <c r="R386" s="521"/>
      <c r="S386" s="660">
        <f t="shared" si="2823"/>
        <v>0</v>
      </c>
      <c r="T386" s="663" cm="1">
        <f t="array" ref="T386">IF($G386=0,0,-MIN(0,$G386*c_EquityShare.LP))</f>
        <v>0</v>
      </c>
      <c r="U386" s="663" cm="1">
        <f t="array" ref="U386">IF($D386=0,0,S386*c_Rate.Hurdle1.MO)</f>
        <v>0</v>
      </c>
      <c r="V386" s="660">
        <f t="shared" si="2845"/>
        <v>0</v>
      </c>
      <c r="W386" s="660">
        <f t="shared" si="2824"/>
        <v>0</v>
      </c>
      <c r="X386" s="663">
        <f t="shared" si="2846"/>
        <v>0</v>
      </c>
      <c r="Y386" s="663">
        <f t="shared" si="2825"/>
        <v>0</v>
      </c>
      <c r="Z386" s="663">
        <f t="shared" ref="Z386" si="2914">IF(S386=0,0,O386+W386/$J$17*c_Hurdle1.Share_GP)</f>
        <v>0</v>
      </c>
      <c r="AA386" s="663">
        <f t="shared" si="2797"/>
        <v>0</v>
      </c>
      <c r="AB386" s="660">
        <f t="shared" si="2848"/>
        <v>0</v>
      </c>
      <c r="AC386" s="521"/>
      <c r="AD386" s="663">
        <f t="shared" si="2432"/>
        <v>0</v>
      </c>
      <c r="AE386" s="663">
        <f t="shared" ref="AE386" si="2915">IF($G386=0,0,-MIN(0,$G386*c_EquityShare.LP))</f>
        <v>0</v>
      </c>
      <c r="AF386" s="663" cm="1">
        <f t="array" ref="AF386">IF($D386=0,0,AD386*(c_Rate.Hurdle2.MO))</f>
        <v>0</v>
      </c>
      <c r="AG386" s="663">
        <f t="shared" si="2799"/>
        <v>0</v>
      </c>
      <c r="AH386" s="663">
        <f t="shared" si="2828"/>
        <v>0</v>
      </c>
      <c r="AI386" s="663">
        <f t="shared" si="2800"/>
        <v>0</v>
      </c>
      <c r="AJ386" s="664">
        <f t="shared" si="2801"/>
        <v>0</v>
      </c>
      <c r="AK386" s="660">
        <f t="shared" si="2802"/>
        <v>0</v>
      </c>
      <c r="AL386" s="663">
        <f t="shared" ref="AL386" si="2916">IF(AD386=0,0,Z386+AH386/$J$18*c_Hurdle2.Share_GP)</f>
        <v>0</v>
      </c>
      <c r="AM386" s="663">
        <f t="shared" si="2804"/>
        <v>0</v>
      </c>
      <c r="AN386" s="660">
        <f t="shared" si="2851"/>
        <v>0</v>
      </c>
      <c r="AO386" s="521"/>
      <c r="AP386" s="663">
        <f t="shared" si="2435"/>
        <v>0</v>
      </c>
      <c r="AQ386" s="663">
        <f t="shared" ref="AQ386" si="2917">IF($G386=0,0,-MIN(0,$G386*c_EquityShare.LP))</f>
        <v>0</v>
      </c>
      <c r="AR386" s="663" cm="1">
        <f t="array" ref="AR386">IF($D386=0,0,AP386*(c_Rate.Hurdle3.MO))</f>
        <v>0</v>
      </c>
      <c r="AS386" s="663">
        <f t="shared" si="2806"/>
        <v>0</v>
      </c>
      <c r="AT386" s="663">
        <f t="shared" si="2831"/>
        <v>0</v>
      </c>
      <c r="AU386" s="663">
        <f t="shared" si="2807"/>
        <v>0</v>
      </c>
      <c r="AV386" s="664">
        <f t="shared" si="2808"/>
        <v>0</v>
      </c>
      <c r="AW386" s="660">
        <f t="shared" si="2832"/>
        <v>0</v>
      </c>
      <c r="AX386" s="663">
        <f t="shared" ref="AX386" si="2918">IF(AP386=0,0,AL386+AT386/$J$19*c_Hurdle3.Share_GP)</f>
        <v>0</v>
      </c>
      <c r="AY386" s="663">
        <f t="shared" si="2834"/>
        <v>0</v>
      </c>
      <c r="AZ386" s="660">
        <f t="shared" si="2854"/>
        <v>0</v>
      </c>
      <c r="BA386" s="521"/>
      <c r="BB386" s="660">
        <f t="shared" si="2494"/>
        <v>0</v>
      </c>
      <c r="BC386" s="660">
        <f t="shared" ref="BC386" si="2919">$AZ386*c_Residual.Share_GP</f>
        <v>0</v>
      </c>
      <c r="BD386" s="651"/>
      <c r="BE386" s="660">
        <f t="shared" si="2836"/>
        <v>0</v>
      </c>
      <c r="BF386" s="660">
        <f t="shared" si="2836"/>
        <v>0</v>
      </c>
      <c r="BG386" s="660">
        <f t="shared" si="2811"/>
        <v>0</v>
      </c>
      <c r="BI386" s="660">
        <v>0</v>
      </c>
      <c r="BJ386" s="660">
        <v>0</v>
      </c>
      <c r="BK386" s="660">
        <v>0</v>
      </c>
      <c r="BL386" s="660">
        <f t="shared" si="2837"/>
        <v>0</v>
      </c>
      <c r="BM386" s="660">
        <f t="shared" si="2837"/>
        <v>0</v>
      </c>
      <c r="BN386" s="660">
        <f t="shared" si="2838"/>
        <v>0</v>
      </c>
      <c r="BO386" s="660">
        <f t="shared" si="2838"/>
        <v>0</v>
      </c>
      <c r="BP386" s="660">
        <f t="shared" si="2839"/>
        <v>0</v>
      </c>
      <c r="BQ386" s="660">
        <f t="shared" si="2839"/>
        <v>0</v>
      </c>
      <c r="BR386" s="660">
        <v>0</v>
      </c>
      <c r="BS386" s="660">
        <v>0</v>
      </c>
      <c r="BT386" s="660">
        <f t="shared" si="2812"/>
        <v>0</v>
      </c>
      <c r="BU386" s="660">
        <f t="shared" si="2812"/>
        <v>0</v>
      </c>
      <c r="BX386" s="660">
        <v>0</v>
      </c>
      <c r="BY386" s="660">
        <f t="shared" si="2840"/>
        <v>0</v>
      </c>
      <c r="BZ386" s="660">
        <f t="shared" si="2813"/>
        <v>0</v>
      </c>
      <c r="CA386" s="660">
        <f t="shared" si="2814"/>
        <v>0</v>
      </c>
      <c r="CB386" s="660">
        <f t="shared" si="2815"/>
        <v>0</v>
      </c>
      <c r="CC386" s="660">
        <f t="shared" si="2816"/>
        <v>0</v>
      </c>
      <c r="CD386" s="660">
        <f t="shared" si="2841"/>
        <v>0</v>
      </c>
    </row>
    <row r="387" spans="4:82" ht="16" hidden="1" thickTop="1" thickBot="1">
      <c r="D387" s="653"/>
      <c r="E387" s="654"/>
      <c r="F387" s="655" t="str">
        <f t="shared" si="2817"/>
        <v/>
      </c>
      <c r="G387" s="656"/>
      <c r="I387" s="658">
        <f t="shared" si="2818"/>
        <v>0</v>
      </c>
      <c r="J387" s="658">
        <f t="shared" ref="J387" si="2920">IF($G387=0,0,-MIN(0,G387*c_EquityShare.LP))</f>
        <v>0</v>
      </c>
      <c r="K387" s="658">
        <f t="shared" ref="K387" si="2921">I387*c_Rate.Pref_MO</f>
        <v>0</v>
      </c>
      <c r="L387" s="658">
        <f t="shared" si="2794"/>
        <v>0</v>
      </c>
      <c r="M387" s="658">
        <f t="shared" si="2821"/>
        <v>0</v>
      </c>
      <c r="N387" s="658">
        <f t="shared" si="2844"/>
        <v>0</v>
      </c>
      <c r="O387" s="658" cm="1">
        <f t="array" ref="O387">IF(I387=0,0,IF(G387&lt;0,N387/c_EquityShare.LP*i_EquityShare.GP,L387/c_EquityShare.LP*i_EquityShare.GP))</f>
        <v>0</v>
      </c>
      <c r="P387" s="658">
        <f t="shared" si="2822"/>
        <v>0</v>
      </c>
      <c r="Q387" s="658">
        <f t="shared" si="2795"/>
        <v>0</v>
      </c>
      <c r="R387" s="521"/>
      <c r="S387" s="660">
        <f t="shared" si="2823"/>
        <v>0</v>
      </c>
      <c r="T387" s="663" cm="1">
        <f t="array" ref="T387">IF($G387=0,0,-MIN(0,$G387*c_EquityShare.LP))</f>
        <v>0</v>
      </c>
      <c r="U387" s="663" cm="1">
        <f t="array" ref="U387">IF($D387=0,0,S387*c_Rate.Hurdle1.MO)</f>
        <v>0</v>
      </c>
      <c r="V387" s="660">
        <f t="shared" si="2845"/>
        <v>0</v>
      </c>
      <c r="W387" s="660">
        <f t="shared" si="2824"/>
        <v>0</v>
      </c>
      <c r="X387" s="663">
        <f t="shared" si="2846"/>
        <v>0</v>
      </c>
      <c r="Y387" s="663">
        <f t="shared" si="2825"/>
        <v>0</v>
      </c>
      <c r="Z387" s="663">
        <f t="shared" ref="Z387" si="2922">IF(S387=0,0,O387+W387/$J$17*c_Hurdle1.Share_GP)</f>
        <v>0</v>
      </c>
      <c r="AA387" s="663">
        <f t="shared" si="2797"/>
        <v>0</v>
      </c>
      <c r="AB387" s="660">
        <f t="shared" si="2848"/>
        <v>0</v>
      </c>
      <c r="AC387" s="521"/>
      <c r="AD387" s="663">
        <f t="shared" si="2432"/>
        <v>0</v>
      </c>
      <c r="AE387" s="663">
        <f t="shared" ref="AE387" si="2923">IF($G387=0,0,-MIN(0,$G387*c_EquityShare.LP))</f>
        <v>0</v>
      </c>
      <c r="AF387" s="663" cm="1">
        <f t="array" ref="AF387">IF($D387=0,0,AD387*(c_Rate.Hurdle2.MO))</f>
        <v>0</v>
      </c>
      <c r="AG387" s="663">
        <f t="shared" si="2799"/>
        <v>0</v>
      </c>
      <c r="AH387" s="663">
        <f t="shared" si="2828"/>
        <v>0</v>
      </c>
      <c r="AI387" s="663">
        <f t="shared" si="2800"/>
        <v>0</v>
      </c>
      <c r="AJ387" s="664">
        <f t="shared" si="2801"/>
        <v>0</v>
      </c>
      <c r="AK387" s="660">
        <f t="shared" si="2802"/>
        <v>0</v>
      </c>
      <c r="AL387" s="663">
        <f t="shared" ref="AL387" si="2924">IF(AD387=0,0,Z387+AH387/$J$18*c_Hurdle2.Share_GP)</f>
        <v>0</v>
      </c>
      <c r="AM387" s="663">
        <f t="shared" si="2804"/>
        <v>0</v>
      </c>
      <c r="AN387" s="660">
        <f t="shared" si="2851"/>
        <v>0</v>
      </c>
      <c r="AO387" s="521"/>
      <c r="AP387" s="663">
        <f t="shared" si="2435"/>
        <v>0</v>
      </c>
      <c r="AQ387" s="663">
        <f t="shared" ref="AQ387" si="2925">IF($G387=0,0,-MIN(0,$G387*c_EquityShare.LP))</f>
        <v>0</v>
      </c>
      <c r="AR387" s="663" cm="1">
        <f t="array" ref="AR387">IF($D387=0,0,AP387*(c_Rate.Hurdle3.MO))</f>
        <v>0</v>
      </c>
      <c r="AS387" s="663">
        <f t="shared" si="2806"/>
        <v>0</v>
      </c>
      <c r="AT387" s="663">
        <f t="shared" si="2831"/>
        <v>0</v>
      </c>
      <c r="AU387" s="663">
        <f t="shared" si="2807"/>
        <v>0</v>
      </c>
      <c r="AV387" s="664">
        <f t="shared" si="2808"/>
        <v>0</v>
      </c>
      <c r="AW387" s="660">
        <f t="shared" si="2832"/>
        <v>0</v>
      </c>
      <c r="AX387" s="663">
        <f t="shared" ref="AX387" si="2926">IF(AP387=0,0,AL387+AT387/$J$19*c_Hurdle3.Share_GP)</f>
        <v>0</v>
      </c>
      <c r="AY387" s="663">
        <f t="shared" si="2834"/>
        <v>0</v>
      </c>
      <c r="AZ387" s="660">
        <f t="shared" si="2854"/>
        <v>0</v>
      </c>
      <c r="BA387" s="521"/>
      <c r="BB387" s="660">
        <f t="shared" si="2494"/>
        <v>0</v>
      </c>
      <c r="BC387" s="660">
        <f t="shared" ref="BC387" si="2927">$AZ387*c_Residual.Share_GP</f>
        <v>0</v>
      </c>
      <c r="BD387" s="651"/>
      <c r="BE387" s="660">
        <f t="shared" si="2836"/>
        <v>0</v>
      </c>
      <c r="BF387" s="660">
        <f t="shared" si="2836"/>
        <v>0</v>
      </c>
      <c r="BG387" s="660">
        <f t="shared" si="2811"/>
        <v>0</v>
      </c>
      <c r="BI387" s="660">
        <v>0</v>
      </c>
      <c r="BJ387" s="660">
        <v>0</v>
      </c>
      <c r="BK387" s="660">
        <v>0</v>
      </c>
      <c r="BL387" s="660">
        <f t="shared" si="2837"/>
        <v>0</v>
      </c>
      <c r="BM387" s="660">
        <f t="shared" si="2837"/>
        <v>0</v>
      </c>
      <c r="BN387" s="660">
        <f t="shared" si="2838"/>
        <v>0</v>
      </c>
      <c r="BO387" s="660">
        <f t="shared" si="2838"/>
        <v>0</v>
      </c>
      <c r="BP387" s="660">
        <f t="shared" si="2839"/>
        <v>0</v>
      </c>
      <c r="BQ387" s="660">
        <f t="shared" si="2839"/>
        <v>0</v>
      </c>
      <c r="BR387" s="660">
        <v>0</v>
      </c>
      <c r="BS387" s="660">
        <v>0</v>
      </c>
      <c r="BT387" s="660">
        <f t="shared" si="2812"/>
        <v>0</v>
      </c>
      <c r="BU387" s="660">
        <f t="shared" si="2812"/>
        <v>0</v>
      </c>
      <c r="BX387" s="660">
        <v>0</v>
      </c>
      <c r="BY387" s="660">
        <f t="shared" si="2840"/>
        <v>0</v>
      </c>
      <c r="BZ387" s="660">
        <f t="shared" si="2813"/>
        <v>0</v>
      </c>
      <c r="CA387" s="660">
        <f t="shared" si="2814"/>
        <v>0</v>
      </c>
      <c r="CB387" s="660">
        <f t="shared" si="2815"/>
        <v>0</v>
      </c>
      <c r="CC387" s="660">
        <f t="shared" si="2816"/>
        <v>0</v>
      </c>
      <c r="CD387" s="660">
        <f t="shared" si="2841"/>
        <v>0</v>
      </c>
    </row>
    <row r="388" spans="4:82" ht="16" hidden="1" thickTop="1" thickBot="1">
      <c r="D388" s="653"/>
      <c r="E388" s="654"/>
      <c r="F388" s="655" t="str">
        <f t="shared" si="2817"/>
        <v/>
      </c>
      <c r="G388" s="656"/>
      <c r="I388" s="658">
        <f t="shared" si="2818"/>
        <v>0</v>
      </c>
      <c r="J388" s="658">
        <f t="shared" ref="J388" si="2928">IF($G388=0,0,-MIN(0,G388*c_EquityShare.LP))</f>
        <v>0</v>
      </c>
      <c r="K388" s="658">
        <f t="shared" ref="K388" si="2929">I388*c_Rate.Pref_MO</f>
        <v>0</v>
      </c>
      <c r="L388" s="658">
        <f t="shared" si="2794"/>
        <v>0</v>
      </c>
      <c r="M388" s="658">
        <f t="shared" si="2821"/>
        <v>0</v>
      </c>
      <c r="N388" s="658">
        <f t="shared" si="2844"/>
        <v>0</v>
      </c>
      <c r="O388" s="658" cm="1">
        <f t="array" ref="O388">IF(I388=0,0,IF(G388&lt;0,N388/c_EquityShare.LP*i_EquityShare.GP,L388/c_EquityShare.LP*i_EquityShare.GP))</f>
        <v>0</v>
      </c>
      <c r="P388" s="658">
        <f t="shared" si="2822"/>
        <v>0</v>
      </c>
      <c r="Q388" s="658">
        <f t="shared" si="2795"/>
        <v>0</v>
      </c>
      <c r="R388" s="521"/>
      <c r="S388" s="660">
        <f t="shared" si="2823"/>
        <v>0</v>
      </c>
      <c r="T388" s="663" cm="1">
        <f t="array" ref="T388">IF($G388=0,0,-MIN(0,$G388*c_EquityShare.LP))</f>
        <v>0</v>
      </c>
      <c r="U388" s="663" cm="1">
        <f t="array" ref="U388">IF($D388=0,0,S388*c_Rate.Hurdle1.MO)</f>
        <v>0</v>
      </c>
      <c r="V388" s="660">
        <f t="shared" si="2845"/>
        <v>0</v>
      </c>
      <c r="W388" s="660">
        <f t="shared" si="2824"/>
        <v>0</v>
      </c>
      <c r="X388" s="663">
        <f t="shared" si="2846"/>
        <v>0</v>
      </c>
      <c r="Y388" s="663">
        <f t="shared" si="2825"/>
        <v>0</v>
      </c>
      <c r="Z388" s="663">
        <f t="shared" ref="Z388" si="2930">IF(S388=0,0,O388+W388/$J$17*c_Hurdle1.Share_GP)</f>
        <v>0</v>
      </c>
      <c r="AA388" s="663">
        <f t="shared" si="2797"/>
        <v>0</v>
      </c>
      <c r="AB388" s="660">
        <f t="shared" si="2848"/>
        <v>0</v>
      </c>
      <c r="AC388" s="521"/>
      <c r="AD388" s="663">
        <f t="shared" si="2432"/>
        <v>0</v>
      </c>
      <c r="AE388" s="663">
        <f t="shared" ref="AE388" si="2931">IF($G388=0,0,-MIN(0,$G388*c_EquityShare.LP))</f>
        <v>0</v>
      </c>
      <c r="AF388" s="663" cm="1">
        <f t="array" ref="AF388">IF($D388=0,0,AD388*(c_Rate.Hurdle2.MO))</f>
        <v>0</v>
      </c>
      <c r="AG388" s="663">
        <f t="shared" si="2799"/>
        <v>0</v>
      </c>
      <c r="AH388" s="663">
        <f t="shared" si="2828"/>
        <v>0</v>
      </c>
      <c r="AI388" s="663">
        <f t="shared" si="2800"/>
        <v>0</v>
      </c>
      <c r="AJ388" s="664">
        <f t="shared" si="2801"/>
        <v>0</v>
      </c>
      <c r="AK388" s="660">
        <f t="shared" si="2802"/>
        <v>0</v>
      </c>
      <c r="AL388" s="663">
        <f t="shared" ref="AL388" si="2932">IF(AD388=0,0,Z388+AH388/$J$18*c_Hurdle2.Share_GP)</f>
        <v>0</v>
      </c>
      <c r="AM388" s="663">
        <f t="shared" si="2804"/>
        <v>0</v>
      </c>
      <c r="AN388" s="660">
        <f t="shared" si="2851"/>
        <v>0</v>
      </c>
      <c r="AO388" s="521"/>
      <c r="AP388" s="663">
        <f t="shared" si="2435"/>
        <v>0</v>
      </c>
      <c r="AQ388" s="663">
        <f t="shared" ref="AQ388" si="2933">IF($G388=0,0,-MIN(0,$G388*c_EquityShare.LP))</f>
        <v>0</v>
      </c>
      <c r="AR388" s="663" cm="1">
        <f t="array" ref="AR388">IF($D388=0,0,AP388*(c_Rate.Hurdle3.MO))</f>
        <v>0</v>
      </c>
      <c r="AS388" s="663">
        <f t="shared" si="2806"/>
        <v>0</v>
      </c>
      <c r="AT388" s="663">
        <f t="shared" si="2831"/>
        <v>0</v>
      </c>
      <c r="AU388" s="663">
        <f t="shared" si="2807"/>
        <v>0</v>
      </c>
      <c r="AV388" s="664">
        <f t="shared" si="2808"/>
        <v>0</v>
      </c>
      <c r="AW388" s="660">
        <f t="shared" si="2832"/>
        <v>0</v>
      </c>
      <c r="AX388" s="663">
        <f t="shared" ref="AX388" si="2934">IF(AP388=0,0,AL388+AT388/$J$19*c_Hurdle3.Share_GP)</f>
        <v>0</v>
      </c>
      <c r="AY388" s="663">
        <f t="shared" si="2834"/>
        <v>0</v>
      </c>
      <c r="AZ388" s="660">
        <f t="shared" si="2854"/>
        <v>0</v>
      </c>
      <c r="BA388" s="521"/>
      <c r="BB388" s="660">
        <f t="shared" si="2494"/>
        <v>0</v>
      </c>
      <c r="BC388" s="660">
        <f t="shared" ref="BC388" si="2935">$AZ388*c_Residual.Share_GP</f>
        <v>0</v>
      </c>
      <c r="BD388" s="651"/>
      <c r="BE388" s="660">
        <f t="shared" si="2836"/>
        <v>0</v>
      </c>
      <c r="BF388" s="660">
        <f t="shared" si="2836"/>
        <v>0</v>
      </c>
      <c r="BG388" s="660">
        <f t="shared" si="2811"/>
        <v>0</v>
      </c>
      <c r="BI388" s="660">
        <v>0</v>
      </c>
      <c r="BJ388" s="660">
        <v>0</v>
      </c>
      <c r="BK388" s="660">
        <v>0</v>
      </c>
      <c r="BL388" s="660">
        <f t="shared" si="2837"/>
        <v>0</v>
      </c>
      <c r="BM388" s="660">
        <f t="shared" si="2837"/>
        <v>0</v>
      </c>
      <c r="BN388" s="660">
        <f t="shared" si="2838"/>
        <v>0</v>
      </c>
      <c r="BO388" s="660">
        <f t="shared" si="2838"/>
        <v>0</v>
      </c>
      <c r="BP388" s="660">
        <f t="shared" si="2839"/>
        <v>0</v>
      </c>
      <c r="BQ388" s="660">
        <f t="shared" si="2839"/>
        <v>0</v>
      </c>
      <c r="BR388" s="660">
        <v>0</v>
      </c>
      <c r="BS388" s="660">
        <v>0</v>
      </c>
      <c r="BT388" s="660">
        <f t="shared" si="2812"/>
        <v>0</v>
      </c>
      <c r="BU388" s="660">
        <f t="shared" si="2812"/>
        <v>0</v>
      </c>
      <c r="BX388" s="660">
        <v>0</v>
      </c>
      <c r="BY388" s="660">
        <f t="shared" si="2840"/>
        <v>0</v>
      </c>
      <c r="BZ388" s="660">
        <f t="shared" si="2813"/>
        <v>0</v>
      </c>
      <c r="CA388" s="660">
        <f t="shared" si="2814"/>
        <v>0</v>
      </c>
      <c r="CB388" s="660">
        <f t="shared" si="2815"/>
        <v>0</v>
      </c>
      <c r="CC388" s="660">
        <f t="shared" si="2816"/>
        <v>0</v>
      </c>
      <c r="CD388" s="660">
        <f t="shared" si="2841"/>
        <v>0</v>
      </c>
    </row>
    <row r="389" spans="4:82" ht="16" hidden="1" thickTop="1" thickBot="1">
      <c r="D389" s="653"/>
      <c r="E389" s="654"/>
      <c r="F389" s="655" t="str">
        <f t="shared" si="2817"/>
        <v/>
      </c>
      <c r="G389" s="656"/>
      <c r="I389" s="658">
        <f t="shared" si="2818"/>
        <v>0</v>
      </c>
      <c r="J389" s="658">
        <f t="shared" ref="J389" si="2936">IF($G389=0,0,-MIN(0,G389*c_EquityShare.LP))</f>
        <v>0</v>
      </c>
      <c r="K389" s="658">
        <f t="shared" ref="K389" si="2937">I389*c_Rate.Pref_MO</f>
        <v>0</v>
      </c>
      <c r="L389" s="658">
        <f t="shared" si="2794"/>
        <v>0</v>
      </c>
      <c r="M389" s="658">
        <f t="shared" si="2821"/>
        <v>0</v>
      </c>
      <c r="N389" s="658">
        <f t="shared" si="2844"/>
        <v>0</v>
      </c>
      <c r="O389" s="658" cm="1">
        <f t="array" ref="O389">IF(I389=0,0,IF(G389&lt;0,N389/c_EquityShare.LP*i_EquityShare.GP,L389/c_EquityShare.LP*i_EquityShare.GP))</f>
        <v>0</v>
      </c>
      <c r="P389" s="658">
        <f t="shared" si="2822"/>
        <v>0</v>
      </c>
      <c r="Q389" s="658">
        <f t="shared" si="2795"/>
        <v>0</v>
      </c>
      <c r="R389" s="521"/>
      <c r="S389" s="660">
        <f t="shared" si="2823"/>
        <v>0</v>
      </c>
      <c r="T389" s="663" cm="1">
        <f t="array" ref="T389">IF($G389=0,0,-MIN(0,$G389*c_EquityShare.LP))</f>
        <v>0</v>
      </c>
      <c r="U389" s="663" cm="1">
        <f t="array" ref="U389">IF($D389=0,0,S389*c_Rate.Hurdle1.MO)</f>
        <v>0</v>
      </c>
      <c r="V389" s="660">
        <f t="shared" si="2845"/>
        <v>0</v>
      </c>
      <c r="W389" s="660">
        <f t="shared" si="2824"/>
        <v>0</v>
      </c>
      <c r="X389" s="663">
        <f t="shared" si="2846"/>
        <v>0</v>
      </c>
      <c r="Y389" s="663">
        <f t="shared" si="2825"/>
        <v>0</v>
      </c>
      <c r="Z389" s="663">
        <f t="shared" ref="Z389" si="2938">IF(S389=0,0,O389+W389/$J$17*c_Hurdle1.Share_GP)</f>
        <v>0</v>
      </c>
      <c r="AA389" s="663">
        <f t="shared" si="2797"/>
        <v>0</v>
      </c>
      <c r="AB389" s="660">
        <f t="shared" si="2848"/>
        <v>0</v>
      </c>
      <c r="AC389" s="521"/>
      <c r="AD389" s="663">
        <f t="shared" si="2432"/>
        <v>0</v>
      </c>
      <c r="AE389" s="663">
        <f t="shared" ref="AE389" si="2939">IF($G389=0,0,-MIN(0,$G389*c_EquityShare.LP))</f>
        <v>0</v>
      </c>
      <c r="AF389" s="663" cm="1">
        <f t="array" ref="AF389">IF($D389=0,0,AD389*(c_Rate.Hurdle2.MO))</f>
        <v>0</v>
      </c>
      <c r="AG389" s="663">
        <f t="shared" si="2799"/>
        <v>0</v>
      </c>
      <c r="AH389" s="663">
        <f t="shared" si="2828"/>
        <v>0</v>
      </c>
      <c r="AI389" s="663">
        <f t="shared" si="2800"/>
        <v>0</v>
      </c>
      <c r="AJ389" s="664">
        <f t="shared" si="2801"/>
        <v>0</v>
      </c>
      <c r="AK389" s="660">
        <f t="shared" si="2802"/>
        <v>0</v>
      </c>
      <c r="AL389" s="663">
        <f t="shared" ref="AL389" si="2940">IF(AD389=0,0,Z389+AH389/$J$18*c_Hurdle2.Share_GP)</f>
        <v>0</v>
      </c>
      <c r="AM389" s="663">
        <f t="shared" si="2804"/>
        <v>0</v>
      </c>
      <c r="AN389" s="660">
        <f t="shared" si="2851"/>
        <v>0</v>
      </c>
      <c r="AO389" s="521"/>
      <c r="AP389" s="663">
        <f t="shared" si="2435"/>
        <v>0</v>
      </c>
      <c r="AQ389" s="663">
        <f t="shared" ref="AQ389" si="2941">IF($G389=0,0,-MIN(0,$G389*c_EquityShare.LP))</f>
        <v>0</v>
      </c>
      <c r="AR389" s="663" cm="1">
        <f t="array" ref="AR389">IF($D389=0,0,AP389*(c_Rate.Hurdle3.MO))</f>
        <v>0</v>
      </c>
      <c r="AS389" s="663">
        <f t="shared" si="2806"/>
        <v>0</v>
      </c>
      <c r="AT389" s="663">
        <f t="shared" si="2831"/>
        <v>0</v>
      </c>
      <c r="AU389" s="663">
        <f t="shared" si="2807"/>
        <v>0</v>
      </c>
      <c r="AV389" s="664">
        <f t="shared" si="2808"/>
        <v>0</v>
      </c>
      <c r="AW389" s="660">
        <f t="shared" si="2832"/>
        <v>0</v>
      </c>
      <c r="AX389" s="663">
        <f t="shared" ref="AX389" si="2942">IF(AP389=0,0,AL389+AT389/$J$19*c_Hurdle3.Share_GP)</f>
        <v>0</v>
      </c>
      <c r="AY389" s="663">
        <f t="shared" si="2834"/>
        <v>0</v>
      </c>
      <c r="AZ389" s="660">
        <f t="shared" si="2854"/>
        <v>0</v>
      </c>
      <c r="BA389" s="521"/>
      <c r="BB389" s="660">
        <f t="shared" si="2494"/>
        <v>0</v>
      </c>
      <c r="BC389" s="660">
        <f t="shared" ref="BC389" si="2943">$AZ389*c_Residual.Share_GP</f>
        <v>0</v>
      </c>
      <c r="BD389" s="651"/>
      <c r="BE389" s="660">
        <f t="shared" si="2836"/>
        <v>0</v>
      </c>
      <c r="BF389" s="660">
        <f t="shared" si="2836"/>
        <v>0</v>
      </c>
      <c r="BG389" s="660">
        <f t="shared" si="2811"/>
        <v>0</v>
      </c>
      <c r="BI389" s="660">
        <v>0</v>
      </c>
      <c r="BJ389" s="660">
        <v>0</v>
      </c>
      <c r="BK389" s="660">
        <v>0</v>
      </c>
      <c r="BL389" s="660">
        <f t="shared" si="2837"/>
        <v>0</v>
      </c>
      <c r="BM389" s="660">
        <f t="shared" si="2837"/>
        <v>0</v>
      </c>
      <c r="BN389" s="660">
        <f t="shared" si="2838"/>
        <v>0</v>
      </c>
      <c r="BO389" s="660">
        <f t="shared" si="2838"/>
        <v>0</v>
      </c>
      <c r="BP389" s="660">
        <f t="shared" si="2839"/>
        <v>0</v>
      </c>
      <c r="BQ389" s="660">
        <f t="shared" si="2839"/>
        <v>0</v>
      </c>
      <c r="BR389" s="660">
        <v>0</v>
      </c>
      <c r="BS389" s="660">
        <v>0</v>
      </c>
      <c r="BT389" s="660">
        <f t="shared" si="2812"/>
        <v>0</v>
      </c>
      <c r="BU389" s="660">
        <f t="shared" si="2812"/>
        <v>0</v>
      </c>
      <c r="BX389" s="660">
        <v>0</v>
      </c>
      <c r="BY389" s="660">
        <f t="shared" si="2840"/>
        <v>0</v>
      </c>
      <c r="BZ389" s="660">
        <f t="shared" si="2813"/>
        <v>0</v>
      </c>
      <c r="CA389" s="660">
        <f t="shared" si="2814"/>
        <v>0</v>
      </c>
      <c r="CB389" s="660">
        <f t="shared" si="2815"/>
        <v>0</v>
      </c>
      <c r="CC389" s="660">
        <f t="shared" si="2816"/>
        <v>0</v>
      </c>
      <c r="CD389" s="660">
        <f t="shared" si="2841"/>
        <v>0</v>
      </c>
    </row>
    <row r="390" spans="4:82" ht="16" hidden="1" thickTop="1" thickBot="1">
      <c r="D390" s="653"/>
      <c r="E390" s="654"/>
      <c r="F390" s="655" t="str">
        <f t="shared" si="2817"/>
        <v/>
      </c>
      <c r="G390" s="656"/>
      <c r="I390" s="658">
        <f t="shared" si="2818"/>
        <v>0</v>
      </c>
      <c r="J390" s="658">
        <f t="shared" ref="J390" si="2944">IF($G390=0,0,-MIN(0,G390*c_EquityShare.LP))</f>
        <v>0</v>
      </c>
      <c r="K390" s="658">
        <f t="shared" ref="K390" si="2945">I390*c_Rate.Pref_MO</f>
        <v>0</v>
      </c>
      <c r="L390" s="658">
        <f t="shared" si="2794"/>
        <v>0</v>
      </c>
      <c r="M390" s="658">
        <f t="shared" si="2821"/>
        <v>0</v>
      </c>
      <c r="N390" s="658">
        <f t="shared" si="2844"/>
        <v>0</v>
      </c>
      <c r="O390" s="658" cm="1">
        <f t="array" ref="O390">IF(I390=0,0,IF(G390&lt;0,N390/c_EquityShare.LP*i_EquityShare.GP,L390/c_EquityShare.LP*i_EquityShare.GP))</f>
        <v>0</v>
      </c>
      <c r="P390" s="658">
        <f t="shared" si="2822"/>
        <v>0</v>
      </c>
      <c r="Q390" s="658">
        <f t="shared" si="2795"/>
        <v>0</v>
      </c>
      <c r="R390" s="521"/>
      <c r="S390" s="660">
        <f t="shared" si="2823"/>
        <v>0</v>
      </c>
      <c r="T390" s="663" cm="1">
        <f t="array" ref="T390">IF($G390=0,0,-MIN(0,$G390*c_EquityShare.LP))</f>
        <v>0</v>
      </c>
      <c r="U390" s="663" cm="1">
        <f t="array" ref="U390">IF($D390=0,0,S390*c_Rate.Hurdle1.MO)</f>
        <v>0</v>
      </c>
      <c r="V390" s="660">
        <f t="shared" si="2845"/>
        <v>0</v>
      </c>
      <c r="W390" s="660">
        <f t="shared" si="2824"/>
        <v>0</v>
      </c>
      <c r="X390" s="663">
        <f t="shared" si="2846"/>
        <v>0</v>
      </c>
      <c r="Y390" s="663">
        <f t="shared" si="2825"/>
        <v>0</v>
      </c>
      <c r="Z390" s="663">
        <f t="shared" ref="Z390" si="2946">IF(S390=0,0,O390+W390/$J$17*c_Hurdle1.Share_GP)</f>
        <v>0</v>
      </c>
      <c r="AA390" s="663">
        <f t="shared" si="2797"/>
        <v>0</v>
      </c>
      <c r="AB390" s="660">
        <f t="shared" si="2848"/>
        <v>0</v>
      </c>
      <c r="AC390" s="521"/>
      <c r="AD390" s="663">
        <f t="shared" si="2432"/>
        <v>0</v>
      </c>
      <c r="AE390" s="663">
        <f t="shared" ref="AE390" si="2947">IF($G390=0,0,-MIN(0,$G390*c_EquityShare.LP))</f>
        <v>0</v>
      </c>
      <c r="AF390" s="663" cm="1">
        <f t="array" ref="AF390">IF($D390=0,0,AD390*(c_Rate.Hurdle2.MO))</f>
        <v>0</v>
      </c>
      <c r="AG390" s="663">
        <f t="shared" si="2799"/>
        <v>0</v>
      </c>
      <c r="AH390" s="663">
        <f t="shared" si="2828"/>
        <v>0</v>
      </c>
      <c r="AI390" s="663">
        <f t="shared" si="2800"/>
        <v>0</v>
      </c>
      <c r="AJ390" s="664">
        <f t="shared" si="2801"/>
        <v>0</v>
      </c>
      <c r="AK390" s="660">
        <f t="shared" si="2802"/>
        <v>0</v>
      </c>
      <c r="AL390" s="663">
        <f t="shared" ref="AL390" si="2948">IF(AD390=0,0,Z390+AH390/$J$18*c_Hurdle2.Share_GP)</f>
        <v>0</v>
      </c>
      <c r="AM390" s="663">
        <f t="shared" si="2804"/>
        <v>0</v>
      </c>
      <c r="AN390" s="660">
        <f t="shared" si="2851"/>
        <v>0</v>
      </c>
      <c r="AO390" s="521"/>
      <c r="AP390" s="663">
        <f t="shared" si="2435"/>
        <v>0</v>
      </c>
      <c r="AQ390" s="663">
        <f t="shared" ref="AQ390" si="2949">IF($G390=0,0,-MIN(0,$G390*c_EquityShare.LP))</f>
        <v>0</v>
      </c>
      <c r="AR390" s="663" cm="1">
        <f t="array" ref="AR390">IF($D390=0,0,AP390*(c_Rate.Hurdle3.MO))</f>
        <v>0</v>
      </c>
      <c r="AS390" s="663">
        <f t="shared" si="2806"/>
        <v>0</v>
      </c>
      <c r="AT390" s="663">
        <f t="shared" si="2831"/>
        <v>0</v>
      </c>
      <c r="AU390" s="663">
        <f t="shared" si="2807"/>
        <v>0</v>
      </c>
      <c r="AV390" s="664">
        <f t="shared" si="2808"/>
        <v>0</v>
      </c>
      <c r="AW390" s="660">
        <f t="shared" si="2832"/>
        <v>0</v>
      </c>
      <c r="AX390" s="663">
        <f t="shared" ref="AX390" si="2950">IF(AP390=0,0,AL390+AT390/$J$19*c_Hurdle3.Share_GP)</f>
        <v>0</v>
      </c>
      <c r="AY390" s="663">
        <f t="shared" si="2834"/>
        <v>0</v>
      </c>
      <c r="AZ390" s="660">
        <f t="shared" si="2854"/>
        <v>0</v>
      </c>
      <c r="BA390" s="521"/>
      <c r="BB390" s="660">
        <f t="shared" si="2494"/>
        <v>0</v>
      </c>
      <c r="BC390" s="660">
        <f t="shared" ref="BC390" si="2951">$AZ390*c_Residual.Share_GP</f>
        <v>0</v>
      </c>
      <c r="BD390" s="651"/>
      <c r="BE390" s="660">
        <f t="shared" si="2836"/>
        <v>0</v>
      </c>
      <c r="BF390" s="660">
        <f t="shared" si="2836"/>
        <v>0</v>
      </c>
      <c r="BG390" s="660">
        <f t="shared" si="2811"/>
        <v>0</v>
      </c>
      <c r="BI390" s="660">
        <v>0</v>
      </c>
      <c r="BJ390" s="660">
        <v>0</v>
      </c>
      <c r="BK390" s="660">
        <v>0</v>
      </c>
      <c r="BL390" s="660">
        <f t="shared" si="2837"/>
        <v>0</v>
      </c>
      <c r="BM390" s="660">
        <f t="shared" si="2837"/>
        <v>0</v>
      </c>
      <c r="BN390" s="660">
        <f t="shared" si="2838"/>
        <v>0</v>
      </c>
      <c r="BO390" s="660">
        <f t="shared" si="2838"/>
        <v>0</v>
      </c>
      <c r="BP390" s="660">
        <f t="shared" si="2839"/>
        <v>0</v>
      </c>
      <c r="BQ390" s="660">
        <f t="shared" si="2839"/>
        <v>0</v>
      </c>
      <c r="BR390" s="660">
        <v>0</v>
      </c>
      <c r="BS390" s="660">
        <v>0</v>
      </c>
      <c r="BT390" s="660">
        <f t="shared" si="2812"/>
        <v>0</v>
      </c>
      <c r="BU390" s="660">
        <f t="shared" si="2812"/>
        <v>0</v>
      </c>
      <c r="BX390" s="660">
        <v>0</v>
      </c>
      <c r="BY390" s="660">
        <f t="shared" si="2840"/>
        <v>0</v>
      </c>
      <c r="BZ390" s="660">
        <f t="shared" si="2813"/>
        <v>0</v>
      </c>
      <c r="CA390" s="660">
        <f t="shared" si="2814"/>
        <v>0</v>
      </c>
      <c r="CB390" s="660">
        <f t="shared" si="2815"/>
        <v>0</v>
      </c>
      <c r="CC390" s="660">
        <f t="shared" si="2816"/>
        <v>0</v>
      </c>
      <c r="CD390" s="660">
        <f t="shared" si="2841"/>
        <v>0</v>
      </c>
    </row>
    <row r="391" spans="4:82" ht="16" hidden="1" thickTop="1" thickBot="1">
      <c r="D391" s="653"/>
      <c r="E391" s="654"/>
      <c r="F391" s="655" t="str">
        <f t="shared" si="2817"/>
        <v/>
      </c>
      <c r="G391" s="656"/>
      <c r="I391" s="658">
        <f t="shared" si="2818"/>
        <v>0</v>
      </c>
      <c r="J391" s="658">
        <f t="shared" ref="J391" si="2952">IF($G391=0,0,-MIN(0,G391*c_EquityShare.LP))</f>
        <v>0</v>
      </c>
      <c r="K391" s="658">
        <f t="shared" ref="K391" si="2953">I391*c_Rate.Pref_MO</f>
        <v>0</v>
      </c>
      <c r="L391" s="658">
        <f t="shared" si="2794"/>
        <v>0</v>
      </c>
      <c r="M391" s="658">
        <f t="shared" si="2821"/>
        <v>0</v>
      </c>
      <c r="N391" s="658">
        <f t="shared" si="2844"/>
        <v>0</v>
      </c>
      <c r="O391" s="658" cm="1">
        <f t="array" ref="O391">IF(I391=0,0,IF(G391&lt;0,N391/c_EquityShare.LP*i_EquityShare.GP,L391/c_EquityShare.LP*i_EquityShare.GP))</f>
        <v>0</v>
      </c>
      <c r="P391" s="658">
        <f t="shared" si="2822"/>
        <v>0</v>
      </c>
      <c r="Q391" s="658">
        <f t="shared" si="2795"/>
        <v>0</v>
      </c>
      <c r="R391" s="521"/>
      <c r="S391" s="660">
        <f t="shared" si="2823"/>
        <v>0</v>
      </c>
      <c r="T391" s="663" cm="1">
        <f t="array" ref="T391">IF($G391=0,0,-MIN(0,$G391*c_EquityShare.LP))</f>
        <v>0</v>
      </c>
      <c r="U391" s="663" cm="1">
        <f t="array" ref="U391">IF($D391=0,0,S391*c_Rate.Hurdle1.MO)</f>
        <v>0</v>
      </c>
      <c r="V391" s="660">
        <f t="shared" si="2845"/>
        <v>0</v>
      </c>
      <c r="W391" s="660">
        <f t="shared" si="2824"/>
        <v>0</v>
      </c>
      <c r="X391" s="663">
        <f t="shared" si="2846"/>
        <v>0</v>
      </c>
      <c r="Y391" s="663">
        <f t="shared" si="2825"/>
        <v>0</v>
      </c>
      <c r="Z391" s="663">
        <f t="shared" ref="Z391" si="2954">IF(S391=0,0,O391+W391/$J$17*c_Hurdle1.Share_GP)</f>
        <v>0</v>
      </c>
      <c r="AA391" s="663">
        <f t="shared" si="2797"/>
        <v>0</v>
      </c>
      <c r="AB391" s="660">
        <f t="shared" si="2848"/>
        <v>0</v>
      </c>
      <c r="AC391" s="521"/>
      <c r="AD391" s="663">
        <f t="shared" si="2432"/>
        <v>0</v>
      </c>
      <c r="AE391" s="663">
        <f t="shared" ref="AE391" si="2955">IF($G391=0,0,-MIN(0,$G391*c_EquityShare.LP))</f>
        <v>0</v>
      </c>
      <c r="AF391" s="663" cm="1">
        <f t="array" ref="AF391">IF($D391=0,0,AD391*(c_Rate.Hurdle2.MO))</f>
        <v>0</v>
      </c>
      <c r="AG391" s="663">
        <f t="shared" si="2799"/>
        <v>0</v>
      </c>
      <c r="AH391" s="663">
        <f t="shared" si="2828"/>
        <v>0</v>
      </c>
      <c r="AI391" s="663">
        <f t="shared" si="2800"/>
        <v>0</v>
      </c>
      <c r="AJ391" s="664">
        <f t="shared" si="2801"/>
        <v>0</v>
      </c>
      <c r="AK391" s="660">
        <f t="shared" si="2802"/>
        <v>0</v>
      </c>
      <c r="AL391" s="663">
        <f t="shared" ref="AL391" si="2956">IF(AD391=0,0,Z391+AH391/$J$18*c_Hurdle2.Share_GP)</f>
        <v>0</v>
      </c>
      <c r="AM391" s="663">
        <f t="shared" si="2804"/>
        <v>0</v>
      </c>
      <c r="AN391" s="660">
        <f t="shared" si="2851"/>
        <v>0</v>
      </c>
      <c r="AO391" s="521"/>
      <c r="AP391" s="663">
        <f t="shared" si="2435"/>
        <v>0</v>
      </c>
      <c r="AQ391" s="663">
        <f t="shared" ref="AQ391" si="2957">IF($G391=0,0,-MIN(0,$G391*c_EquityShare.LP))</f>
        <v>0</v>
      </c>
      <c r="AR391" s="663" cm="1">
        <f t="array" ref="AR391">IF($D391=0,0,AP391*(c_Rate.Hurdle3.MO))</f>
        <v>0</v>
      </c>
      <c r="AS391" s="663">
        <f t="shared" si="2806"/>
        <v>0</v>
      </c>
      <c r="AT391" s="663">
        <f t="shared" si="2831"/>
        <v>0</v>
      </c>
      <c r="AU391" s="663">
        <f t="shared" si="2807"/>
        <v>0</v>
      </c>
      <c r="AV391" s="664">
        <f t="shared" si="2808"/>
        <v>0</v>
      </c>
      <c r="AW391" s="660">
        <f t="shared" si="2832"/>
        <v>0</v>
      </c>
      <c r="AX391" s="663">
        <f t="shared" ref="AX391" si="2958">IF(AP391=0,0,AL391+AT391/$J$19*c_Hurdle3.Share_GP)</f>
        <v>0</v>
      </c>
      <c r="AY391" s="663">
        <f t="shared" si="2834"/>
        <v>0</v>
      </c>
      <c r="AZ391" s="660">
        <f t="shared" si="2854"/>
        <v>0</v>
      </c>
      <c r="BA391" s="521"/>
      <c r="BB391" s="660">
        <f t="shared" si="2494"/>
        <v>0</v>
      </c>
      <c r="BC391" s="660">
        <f t="shared" ref="BC391" si="2959">$AZ391*c_Residual.Share_GP</f>
        <v>0</v>
      </c>
      <c r="BD391" s="651"/>
      <c r="BE391" s="660">
        <f t="shared" si="2836"/>
        <v>0</v>
      </c>
      <c r="BF391" s="660">
        <f t="shared" si="2836"/>
        <v>0</v>
      </c>
      <c r="BG391" s="660">
        <f t="shared" si="2811"/>
        <v>0</v>
      </c>
      <c r="BI391" s="660">
        <v>0</v>
      </c>
      <c r="BJ391" s="660">
        <v>0</v>
      </c>
      <c r="BK391" s="660">
        <v>0</v>
      </c>
      <c r="BL391" s="660">
        <f t="shared" si="2837"/>
        <v>0</v>
      </c>
      <c r="BM391" s="660">
        <f t="shared" si="2837"/>
        <v>0</v>
      </c>
      <c r="BN391" s="660">
        <f t="shared" si="2838"/>
        <v>0</v>
      </c>
      <c r="BO391" s="660">
        <f t="shared" si="2838"/>
        <v>0</v>
      </c>
      <c r="BP391" s="660">
        <f t="shared" si="2839"/>
        <v>0</v>
      </c>
      <c r="BQ391" s="660">
        <f t="shared" si="2839"/>
        <v>0</v>
      </c>
      <c r="BR391" s="660">
        <v>0</v>
      </c>
      <c r="BS391" s="660">
        <v>0</v>
      </c>
      <c r="BT391" s="660">
        <f t="shared" si="2812"/>
        <v>0</v>
      </c>
      <c r="BU391" s="660">
        <f t="shared" si="2812"/>
        <v>0</v>
      </c>
      <c r="BX391" s="660">
        <v>0</v>
      </c>
      <c r="BY391" s="660">
        <f t="shared" si="2840"/>
        <v>0</v>
      </c>
      <c r="BZ391" s="660">
        <f t="shared" si="2813"/>
        <v>0</v>
      </c>
      <c r="CA391" s="660">
        <f t="shared" si="2814"/>
        <v>0</v>
      </c>
      <c r="CB391" s="660">
        <f t="shared" si="2815"/>
        <v>0</v>
      </c>
      <c r="CC391" s="660">
        <f t="shared" si="2816"/>
        <v>0</v>
      </c>
      <c r="CD391" s="660">
        <f t="shared" si="2841"/>
        <v>0</v>
      </c>
    </row>
    <row r="392" spans="4:82" ht="16" hidden="1" thickTop="1" thickBot="1">
      <c r="D392" s="653"/>
      <c r="E392" s="654"/>
      <c r="F392" s="655" t="str">
        <f t="shared" si="2817"/>
        <v/>
      </c>
      <c r="G392" s="656"/>
      <c r="I392" s="658">
        <f t="shared" si="2818"/>
        <v>0</v>
      </c>
      <c r="J392" s="658">
        <f t="shared" ref="J392" si="2960">IF($G392=0,0,-MIN(0,G392*c_EquityShare.LP))</f>
        <v>0</v>
      </c>
      <c r="K392" s="658">
        <f t="shared" ref="K392" si="2961">I392*c_Rate.Pref_MO</f>
        <v>0</v>
      </c>
      <c r="L392" s="658">
        <f t="shared" si="2794"/>
        <v>0</v>
      </c>
      <c r="M392" s="658">
        <f t="shared" si="2821"/>
        <v>0</v>
      </c>
      <c r="N392" s="658">
        <f t="shared" si="2844"/>
        <v>0</v>
      </c>
      <c r="O392" s="658" cm="1">
        <f t="array" ref="O392">IF(I392=0,0,IF(G392&lt;0,N392/c_EquityShare.LP*i_EquityShare.GP,L392/c_EquityShare.LP*i_EquityShare.GP))</f>
        <v>0</v>
      </c>
      <c r="P392" s="658">
        <f t="shared" si="2822"/>
        <v>0</v>
      </c>
      <c r="Q392" s="658">
        <f t="shared" si="2795"/>
        <v>0</v>
      </c>
      <c r="R392" s="521"/>
      <c r="S392" s="660">
        <f t="shared" si="2823"/>
        <v>0</v>
      </c>
      <c r="T392" s="663" cm="1">
        <f t="array" ref="T392">IF($G392=0,0,-MIN(0,$G392*c_EquityShare.LP))</f>
        <v>0</v>
      </c>
      <c r="U392" s="663" cm="1">
        <f t="array" ref="U392">IF($D392=0,0,S392*c_Rate.Hurdle1.MO)</f>
        <v>0</v>
      </c>
      <c r="V392" s="660">
        <f t="shared" si="2845"/>
        <v>0</v>
      </c>
      <c r="W392" s="660">
        <f t="shared" si="2824"/>
        <v>0</v>
      </c>
      <c r="X392" s="663">
        <f t="shared" si="2846"/>
        <v>0</v>
      </c>
      <c r="Y392" s="663">
        <f t="shared" si="2825"/>
        <v>0</v>
      </c>
      <c r="Z392" s="663">
        <f t="shared" ref="Z392" si="2962">IF(S392=0,0,O392+W392/$J$17*c_Hurdle1.Share_GP)</f>
        <v>0</v>
      </c>
      <c r="AA392" s="663">
        <f t="shared" si="2797"/>
        <v>0</v>
      </c>
      <c r="AB392" s="660">
        <f t="shared" si="2848"/>
        <v>0</v>
      </c>
      <c r="AC392" s="521"/>
      <c r="AD392" s="663">
        <f t="shared" si="2432"/>
        <v>0</v>
      </c>
      <c r="AE392" s="663">
        <f t="shared" ref="AE392" si="2963">IF($G392=0,0,-MIN(0,$G392*c_EquityShare.LP))</f>
        <v>0</v>
      </c>
      <c r="AF392" s="663" cm="1">
        <f t="array" ref="AF392">IF($D392=0,0,AD392*(c_Rate.Hurdle2.MO))</f>
        <v>0</v>
      </c>
      <c r="AG392" s="663">
        <f t="shared" si="2799"/>
        <v>0</v>
      </c>
      <c r="AH392" s="663">
        <f t="shared" si="2828"/>
        <v>0</v>
      </c>
      <c r="AI392" s="663">
        <f t="shared" si="2800"/>
        <v>0</v>
      </c>
      <c r="AJ392" s="664">
        <f t="shared" si="2801"/>
        <v>0</v>
      </c>
      <c r="AK392" s="660">
        <f t="shared" si="2802"/>
        <v>0</v>
      </c>
      <c r="AL392" s="663">
        <f t="shared" ref="AL392" si="2964">IF(AD392=0,0,Z392+AH392/$J$18*c_Hurdle2.Share_GP)</f>
        <v>0</v>
      </c>
      <c r="AM392" s="663">
        <f t="shared" si="2804"/>
        <v>0</v>
      </c>
      <c r="AN392" s="660">
        <f t="shared" si="2851"/>
        <v>0</v>
      </c>
      <c r="AO392" s="521"/>
      <c r="AP392" s="663">
        <f t="shared" si="2435"/>
        <v>0</v>
      </c>
      <c r="AQ392" s="663">
        <f t="shared" ref="AQ392" si="2965">IF($G392=0,0,-MIN(0,$G392*c_EquityShare.LP))</f>
        <v>0</v>
      </c>
      <c r="AR392" s="663" cm="1">
        <f t="array" ref="AR392">IF($D392=0,0,AP392*(c_Rate.Hurdle3.MO))</f>
        <v>0</v>
      </c>
      <c r="AS392" s="663">
        <f t="shared" si="2806"/>
        <v>0</v>
      </c>
      <c r="AT392" s="663">
        <f t="shared" si="2831"/>
        <v>0</v>
      </c>
      <c r="AU392" s="663">
        <f t="shared" si="2807"/>
        <v>0</v>
      </c>
      <c r="AV392" s="664">
        <f t="shared" si="2808"/>
        <v>0</v>
      </c>
      <c r="AW392" s="660">
        <f t="shared" si="2832"/>
        <v>0</v>
      </c>
      <c r="AX392" s="663">
        <f t="shared" ref="AX392" si="2966">IF(AP392=0,0,AL392+AT392/$J$19*c_Hurdle3.Share_GP)</f>
        <v>0</v>
      </c>
      <c r="AY392" s="663">
        <f t="shared" si="2834"/>
        <v>0</v>
      </c>
      <c r="AZ392" s="660">
        <f t="shared" si="2854"/>
        <v>0</v>
      </c>
      <c r="BA392" s="521"/>
      <c r="BB392" s="660">
        <f t="shared" si="2494"/>
        <v>0</v>
      </c>
      <c r="BC392" s="660">
        <f t="shared" ref="BC392" si="2967">$AZ392*c_Residual.Share_GP</f>
        <v>0</v>
      </c>
      <c r="BD392" s="651"/>
      <c r="BE392" s="660">
        <f t="shared" si="2836"/>
        <v>0</v>
      </c>
      <c r="BF392" s="660">
        <f t="shared" si="2836"/>
        <v>0</v>
      </c>
      <c r="BG392" s="660">
        <f t="shared" si="2811"/>
        <v>0</v>
      </c>
      <c r="BI392" s="660">
        <v>0</v>
      </c>
      <c r="BJ392" s="660">
        <v>0</v>
      </c>
      <c r="BK392" s="660">
        <v>0</v>
      </c>
      <c r="BL392" s="660">
        <f t="shared" si="2837"/>
        <v>0</v>
      </c>
      <c r="BM392" s="660">
        <f t="shared" si="2837"/>
        <v>0</v>
      </c>
      <c r="BN392" s="660">
        <f t="shared" si="2838"/>
        <v>0</v>
      </c>
      <c r="BO392" s="660">
        <f t="shared" si="2838"/>
        <v>0</v>
      </c>
      <c r="BP392" s="660">
        <f t="shared" si="2839"/>
        <v>0</v>
      </c>
      <c r="BQ392" s="660">
        <f t="shared" si="2839"/>
        <v>0</v>
      </c>
      <c r="BR392" s="660">
        <v>0</v>
      </c>
      <c r="BS392" s="660">
        <v>0</v>
      </c>
      <c r="BT392" s="660">
        <f t="shared" si="2812"/>
        <v>0</v>
      </c>
      <c r="BU392" s="660">
        <f t="shared" si="2812"/>
        <v>0</v>
      </c>
      <c r="BX392" s="660">
        <v>0</v>
      </c>
      <c r="BY392" s="660">
        <f t="shared" si="2840"/>
        <v>0</v>
      </c>
      <c r="BZ392" s="660">
        <f t="shared" si="2813"/>
        <v>0</v>
      </c>
      <c r="CA392" s="660">
        <f t="shared" si="2814"/>
        <v>0</v>
      </c>
      <c r="CB392" s="660">
        <f t="shared" si="2815"/>
        <v>0</v>
      </c>
      <c r="CC392" s="660">
        <f t="shared" si="2816"/>
        <v>0</v>
      </c>
      <c r="CD392" s="660">
        <f t="shared" si="2841"/>
        <v>0</v>
      </c>
    </row>
    <row r="393" spans="4:82" ht="16" hidden="1" thickTop="1" thickBot="1">
      <c r="D393" s="653"/>
      <c r="E393" s="654"/>
      <c r="F393" s="655" t="str">
        <f t="shared" si="2817"/>
        <v/>
      </c>
      <c r="G393" s="656"/>
      <c r="I393" s="658">
        <f t="shared" si="2818"/>
        <v>0</v>
      </c>
      <c r="J393" s="658">
        <f t="shared" ref="J393" si="2968">IF($G393=0,0,-MIN(0,G393*c_EquityShare.LP))</f>
        <v>0</v>
      </c>
      <c r="K393" s="658">
        <f t="shared" ref="K393" si="2969">I393*c_Rate.Pref_MO</f>
        <v>0</v>
      </c>
      <c r="L393" s="658">
        <f t="shared" si="2794"/>
        <v>0</v>
      </c>
      <c r="M393" s="658">
        <f t="shared" si="2821"/>
        <v>0</v>
      </c>
      <c r="N393" s="658">
        <f t="shared" si="2844"/>
        <v>0</v>
      </c>
      <c r="O393" s="658" cm="1">
        <f t="array" ref="O393">IF(I393=0,0,IF(G393&lt;0,N393/c_EquityShare.LP*i_EquityShare.GP,L393/c_EquityShare.LP*i_EquityShare.GP))</f>
        <v>0</v>
      </c>
      <c r="P393" s="658">
        <f t="shared" si="2822"/>
        <v>0</v>
      </c>
      <c r="Q393" s="658">
        <f t="shared" si="2795"/>
        <v>0</v>
      </c>
      <c r="R393" s="521"/>
      <c r="S393" s="660">
        <f t="shared" si="2823"/>
        <v>0</v>
      </c>
      <c r="T393" s="663" cm="1">
        <f t="array" ref="T393">IF($G393=0,0,-MIN(0,$G393*c_EquityShare.LP))</f>
        <v>0</v>
      </c>
      <c r="U393" s="663" cm="1">
        <f t="array" ref="U393">IF($D393=0,0,S393*c_Rate.Hurdle1.MO)</f>
        <v>0</v>
      </c>
      <c r="V393" s="660">
        <f t="shared" si="2845"/>
        <v>0</v>
      </c>
      <c r="W393" s="660">
        <f t="shared" si="2824"/>
        <v>0</v>
      </c>
      <c r="X393" s="663">
        <f t="shared" si="2846"/>
        <v>0</v>
      </c>
      <c r="Y393" s="663">
        <f t="shared" si="2825"/>
        <v>0</v>
      </c>
      <c r="Z393" s="663">
        <f t="shared" ref="Z393" si="2970">IF(S393=0,0,O393+W393/$J$17*c_Hurdle1.Share_GP)</f>
        <v>0</v>
      </c>
      <c r="AA393" s="663">
        <f t="shared" si="2797"/>
        <v>0</v>
      </c>
      <c r="AB393" s="660">
        <f t="shared" si="2848"/>
        <v>0</v>
      </c>
      <c r="AC393" s="521"/>
      <c r="AD393" s="663">
        <f t="shared" si="2432"/>
        <v>0</v>
      </c>
      <c r="AE393" s="663">
        <f t="shared" ref="AE393" si="2971">IF($G393=0,0,-MIN(0,$G393*c_EquityShare.LP))</f>
        <v>0</v>
      </c>
      <c r="AF393" s="663" cm="1">
        <f t="array" ref="AF393">IF($D393=0,0,AD393*(c_Rate.Hurdle2.MO))</f>
        <v>0</v>
      </c>
      <c r="AG393" s="663">
        <f t="shared" si="2799"/>
        <v>0</v>
      </c>
      <c r="AH393" s="663">
        <f t="shared" si="2828"/>
        <v>0</v>
      </c>
      <c r="AI393" s="663">
        <f t="shared" si="2800"/>
        <v>0</v>
      </c>
      <c r="AJ393" s="664">
        <f t="shared" si="2801"/>
        <v>0</v>
      </c>
      <c r="AK393" s="660">
        <f t="shared" si="2802"/>
        <v>0</v>
      </c>
      <c r="AL393" s="663">
        <f t="shared" ref="AL393" si="2972">IF(AD393=0,0,Z393+AH393/$J$18*c_Hurdle2.Share_GP)</f>
        <v>0</v>
      </c>
      <c r="AM393" s="663">
        <f t="shared" si="2804"/>
        <v>0</v>
      </c>
      <c r="AN393" s="660">
        <f t="shared" si="2851"/>
        <v>0</v>
      </c>
      <c r="AO393" s="521"/>
      <c r="AP393" s="663">
        <f t="shared" si="2435"/>
        <v>0</v>
      </c>
      <c r="AQ393" s="663">
        <f t="shared" ref="AQ393" si="2973">IF($G393=0,0,-MIN(0,$G393*c_EquityShare.LP))</f>
        <v>0</v>
      </c>
      <c r="AR393" s="663" cm="1">
        <f t="array" ref="AR393">IF($D393=0,0,AP393*(c_Rate.Hurdle3.MO))</f>
        <v>0</v>
      </c>
      <c r="AS393" s="663">
        <f t="shared" si="2806"/>
        <v>0</v>
      </c>
      <c r="AT393" s="663">
        <f t="shared" si="2831"/>
        <v>0</v>
      </c>
      <c r="AU393" s="663">
        <f t="shared" si="2807"/>
        <v>0</v>
      </c>
      <c r="AV393" s="664">
        <f t="shared" si="2808"/>
        <v>0</v>
      </c>
      <c r="AW393" s="660">
        <f t="shared" si="2832"/>
        <v>0</v>
      </c>
      <c r="AX393" s="663">
        <f t="shared" ref="AX393" si="2974">IF(AP393=0,0,AL393+AT393/$J$19*c_Hurdle3.Share_GP)</f>
        <v>0</v>
      </c>
      <c r="AY393" s="663">
        <f t="shared" si="2834"/>
        <v>0</v>
      </c>
      <c r="AZ393" s="660">
        <f t="shared" si="2854"/>
        <v>0</v>
      </c>
      <c r="BA393" s="521"/>
      <c r="BB393" s="660">
        <f t="shared" si="2494"/>
        <v>0</v>
      </c>
      <c r="BC393" s="660">
        <f t="shared" ref="BC393" si="2975">$AZ393*c_Residual.Share_GP</f>
        <v>0</v>
      </c>
      <c r="BD393" s="651"/>
      <c r="BE393" s="660">
        <f t="shared" si="2836"/>
        <v>0</v>
      </c>
      <c r="BF393" s="660">
        <f t="shared" si="2836"/>
        <v>0</v>
      </c>
      <c r="BG393" s="660">
        <f t="shared" si="2811"/>
        <v>0</v>
      </c>
      <c r="BI393" s="660">
        <v>0</v>
      </c>
      <c r="BJ393" s="660">
        <v>0</v>
      </c>
      <c r="BK393" s="660">
        <v>0</v>
      </c>
      <c r="BL393" s="660">
        <f t="shared" si="2837"/>
        <v>0</v>
      </c>
      <c r="BM393" s="660">
        <f t="shared" si="2837"/>
        <v>0</v>
      </c>
      <c r="BN393" s="660">
        <f t="shared" si="2838"/>
        <v>0</v>
      </c>
      <c r="BO393" s="660">
        <f t="shared" si="2838"/>
        <v>0</v>
      </c>
      <c r="BP393" s="660">
        <f t="shared" si="2839"/>
        <v>0</v>
      </c>
      <c r="BQ393" s="660">
        <f t="shared" si="2839"/>
        <v>0</v>
      </c>
      <c r="BR393" s="660">
        <v>0</v>
      </c>
      <c r="BS393" s="660">
        <v>0</v>
      </c>
      <c r="BT393" s="660">
        <f t="shared" si="2812"/>
        <v>0</v>
      </c>
      <c r="BU393" s="660">
        <f t="shared" si="2812"/>
        <v>0</v>
      </c>
      <c r="BX393" s="660">
        <v>0</v>
      </c>
      <c r="BY393" s="660">
        <f t="shared" si="2840"/>
        <v>0</v>
      </c>
      <c r="BZ393" s="660">
        <f t="shared" si="2813"/>
        <v>0</v>
      </c>
      <c r="CA393" s="660">
        <f t="shared" si="2814"/>
        <v>0</v>
      </c>
      <c r="CB393" s="660">
        <f t="shared" si="2815"/>
        <v>0</v>
      </c>
      <c r="CC393" s="660">
        <f t="shared" si="2816"/>
        <v>0</v>
      </c>
      <c r="CD393" s="660">
        <f t="shared" si="2841"/>
        <v>0</v>
      </c>
    </row>
    <row r="394" spans="4:82" ht="16" hidden="1" thickTop="1" thickBot="1">
      <c r="D394" s="653"/>
      <c r="E394" s="654"/>
      <c r="F394" s="655" t="str">
        <f t="shared" si="2817"/>
        <v/>
      </c>
      <c r="G394" s="656"/>
      <c r="I394" s="658">
        <f t="shared" si="2818"/>
        <v>0</v>
      </c>
      <c r="J394" s="658">
        <f t="shared" ref="J394" si="2976">IF($G394=0,0,-MIN(0,G394*c_EquityShare.LP))</f>
        <v>0</v>
      </c>
      <c r="K394" s="658">
        <f t="shared" ref="K394" si="2977">I394*c_Rate.Pref_MO</f>
        <v>0</v>
      </c>
      <c r="L394" s="658">
        <f t="shared" si="2794"/>
        <v>0</v>
      </c>
      <c r="M394" s="658">
        <f t="shared" si="2821"/>
        <v>0</v>
      </c>
      <c r="N394" s="658">
        <f t="shared" si="2844"/>
        <v>0</v>
      </c>
      <c r="O394" s="658" cm="1">
        <f t="array" ref="O394">IF(I394=0,0,IF(G394&lt;0,N394/c_EquityShare.LP*i_EquityShare.GP,L394/c_EquityShare.LP*i_EquityShare.GP))</f>
        <v>0</v>
      </c>
      <c r="P394" s="658">
        <f t="shared" si="2822"/>
        <v>0</v>
      </c>
      <c r="Q394" s="658">
        <f t="shared" si="2795"/>
        <v>0</v>
      </c>
      <c r="R394" s="521"/>
      <c r="S394" s="660">
        <f t="shared" si="2823"/>
        <v>0</v>
      </c>
      <c r="T394" s="663" cm="1">
        <f t="array" ref="T394">IF($G394=0,0,-MIN(0,$G394*c_EquityShare.LP))</f>
        <v>0</v>
      </c>
      <c r="U394" s="663" cm="1">
        <f t="array" ref="U394">IF($D394=0,0,S394*c_Rate.Hurdle1.MO)</f>
        <v>0</v>
      </c>
      <c r="V394" s="660">
        <f t="shared" si="2845"/>
        <v>0</v>
      </c>
      <c r="W394" s="660">
        <f t="shared" si="2824"/>
        <v>0</v>
      </c>
      <c r="X394" s="663">
        <f t="shared" si="2846"/>
        <v>0</v>
      </c>
      <c r="Y394" s="663">
        <f t="shared" si="2825"/>
        <v>0</v>
      </c>
      <c r="Z394" s="663">
        <f t="shared" ref="Z394" si="2978">IF(S394=0,0,O394+W394/$J$17*c_Hurdle1.Share_GP)</f>
        <v>0</v>
      </c>
      <c r="AA394" s="663">
        <f t="shared" si="2797"/>
        <v>0</v>
      </c>
      <c r="AB394" s="660">
        <f t="shared" si="2848"/>
        <v>0</v>
      </c>
      <c r="AC394" s="521"/>
      <c r="AD394" s="663">
        <f t="shared" si="2432"/>
        <v>0</v>
      </c>
      <c r="AE394" s="663">
        <f t="shared" ref="AE394" si="2979">IF($G394=0,0,-MIN(0,$G394*c_EquityShare.LP))</f>
        <v>0</v>
      </c>
      <c r="AF394" s="663" cm="1">
        <f t="array" ref="AF394">IF($D394=0,0,AD394*(c_Rate.Hurdle2.MO))</f>
        <v>0</v>
      </c>
      <c r="AG394" s="663">
        <f t="shared" si="2799"/>
        <v>0</v>
      </c>
      <c r="AH394" s="663">
        <f t="shared" si="2828"/>
        <v>0</v>
      </c>
      <c r="AI394" s="663">
        <f t="shared" si="2800"/>
        <v>0</v>
      </c>
      <c r="AJ394" s="664">
        <f t="shared" si="2801"/>
        <v>0</v>
      </c>
      <c r="AK394" s="660">
        <f t="shared" si="2802"/>
        <v>0</v>
      </c>
      <c r="AL394" s="663">
        <f t="shared" ref="AL394" si="2980">IF(AD394=0,0,Z394+AH394/$J$18*c_Hurdle2.Share_GP)</f>
        <v>0</v>
      </c>
      <c r="AM394" s="663">
        <f t="shared" si="2804"/>
        <v>0</v>
      </c>
      <c r="AN394" s="660">
        <f t="shared" si="2851"/>
        <v>0</v>
      </c>
      <c r="AO394" s="521"/>
      <c r="AP394" s="663">
        <f t="shared" si="2435"/>
        <v>0</v>
      </c>
      <c r="AQ394" s="663">
        <f t="shared" ref="AQ394" si="2981">IF($G394=0,0,-MIN(0,$G394*c_EquityShare.LP))</f>
        <v>0</v>
      </c>
      <c r="AR394" s="663" cm="1">
        <f t="array" ref="AR394">IF($D394=0,0,AP394*(c_Rate.Hurdle3.MO))</f>
        <v>0</v>
      </c>
      <c r="AS394" s="663">
        <f t="shared" si="2806"/>
        <v>0</v>
      </c>
      <c r="AT394" s="663">
        <f t="shared" si="2831"/>
        <v>0</v>
      </c>
      <c r="AU394" s="663">
        <f t="shared" si="2807"/>
        <v>0</v>
      </c>
      <c r="AV394" s="664">
        <f t="shared" si="2808"/>
        <v>0</v>
      </c>
      <c r="AW394" s="660">
        <f t="shared" si="2832"/>
        <v>0</v>
      </c>
      <c r="AX394" s="663">
        <f t="shared" ref="AX394" si="2982">IF(AP394=0,0,AL394+AT394/$J$19*c_Hurdle3.Share_GP)</f>
        <v>0</v>
      </c>
      <c r="AY394" s="663">
        <f t="shared" si="2834"/>
        <v>0</v>
      </c>
      <c r="AZ394" s="660">
        <f t="shared" si="2854"/>
        <v>0</v>
      </c>
      <c r="BA394" s="521"/>
      <c r="BB394" s="660">
        <f t="shared" si="2494"/>
        <v>0</v>
      </c>
      <c r="BC394" s="660">
        <f t="shared" ref="BC394" si="2983">$AZ394*c_Residual.Share_GP</f>
        <v>0</v>
      </c>
      <c r="BD394" s="651"/>
      <c r="BE394" s="660">
        <f t="shared" si="2836"/>
        <v>0</v>
      </c>
      <c r="BF394" s="660">
        <f t="shared" si="2836"/>
        <v>0</v>
      </c>
      <c r="BG394" s="660">
        <f t="shared" si="2811"/>
        <v>0</v>
      </c>
      <c r="BI394" s="660">
        <v>0</v>
      </c>
      <c r="BJ394" s="660">
        <v>0</v>
      </c>
      <c r="BK394" s="660">
        <v>0</v>
      </c>
      <c r="BL394" s="660">
        <f t="shared" si="2837"/>
        <v>0</v>
      </c>
      <c r="BM394" s="660">
        <f t="shared" si="2837"/>
        <v>0</v>
      </c>
      <c r="BN394" s="660">
        <f t="shared" si="2838"/>
        <v>0</v>
      </c>
      <c r="BO394" s="660">
        <f t="shared" si="2838"/>
        <v>0</v>
      </c>
      <c r="BP394" s="660">
        <f t="shared" si="2839"/>
        <v>0</v>
      </c>
      <c r="BQ394" s="660">
        <f t="shared" si="2839"/>
        <v>0</v>
      </c>
      <c r="BR394" s="660">
        <v>0</v>
      </c>
      <c r="BS394" s="660">
        <v>0</v>
      </c>
      <c r="BT394" s="660">
        <f t="shared" si="2812"/>
        <v>0</v>
      </c>
      <c r="BU394" s="660">
        <f t="shared" si="2812"/>
        <v>0</v>
      </c>
      <c r="BX394" s="660">
        <v>0</v>
      </c>
      <c r="BY394" s="660">
        <f t="shared" si="2840"/>
        <v>0</v>
      </c>
      <c r="BZ394" s="660">
        <f t="shared" si="2813"/>
        <v>0</v>
      </c>
      <c r="CA394" s="660">
        <f t="shared" si="2814"/>
        <v>0</v>
      </c>
      <c r="CB394" s="660">
        <f t="shared" si="2815"/>
        <v>0</v>
      </c>
      <c r="CC394" s="660">
        <f t="shared" si="2816"/>
        <v>0</v>
      </c>
      <c r="CD394" s="660">
        <f t="shared" si="2841"/>
        <v>0</v>
      </c>
    </row>
    <row r="395" spans="4:82" ht="16" hidden="1" thickTop="1" thickBot="1">
      <c r="D395" s="653"/>
      <c r="E395" s="654"/>
      <c r="F395" s="655" t="str">
        <f t="shared" si="2817"/>
        <v/>
      </c>
      <c r="G395" s="656"/>
      <c r="I395" s="658">
        <f t="shared" si="2818"/>
        <v>0</v>
      </c>
      <c r="J395" s="658">
        <f t="shared" ref="J395" si="2984">IF($G395=0,0,-MIN(0,G395*c_EquityShare.LP))</f>
        <v>0</v>
      </c>
      <c r="K395" s="658">
        <f t="shared" ref="K395" si="2985">I395*c_Rate.Pref_MO</f>
        <v>0</v>
      </c>
      <c r="L395" s="658">
        <f t="shared" si="2794"/>
        <v>0</v>
      </c>
      <c r="M395" s="658">
        <f t="shared" si="2821"/>
        <v>0</v>
      </c>
      <c r="N395" s="658">
        <f t="shared" si="2844"/>
        <v>0</v>
      </c>
      <c r="O395" s="658" cm="1">
        <f t="array" ref="O395">IF(I395=0,0,IF(G395&lt;0,N395/c_EquityShare.LP*i_EquityShare.GP,L395/c_EquityShare.LP*i_EquityShare.GP))</f>
        <v>0</v>
      </c>
      <c r="P395" s="658">
        <f t="shared" si="2822"/>
        <v>0</v>
      </c>
      <c r="Q395" s="658">
        <f t="shared" si="2795"/>
        <v>0</v>
      </c>
      <c r="R395" s="521"/>
      <c r="S395" s="660">
        <f t="shared" si="2823"/>
        <v>0</v>
      </c>
      <c r="T395" s="663" cm="1">
        <f t="array" ref="T395">IF($G395=0,0,-MIN(0,$G395*c_EquityShare.LP))</f>
        <v>0</v>
      </c>
      <c r="U395" s="663" cm="1">
        <f t="array" ref="U395">IF($D395=0,0,S395*c_Rate.Hurdle1.MO)</f>
        <v>0</v>
      </c>
      <c r="V395" s="660">
        <f t="shared" si="2845"/>
        <v>0</v>
      </c>
      <c r="W395" s="660">
        <f t="shared" si="2824"/>
        <v>0</v>
      </c>
      <c r="X395" s="663">
        <f t="shared" si="2846"/>
        <v>0</v>
      </c>
      <c r="Y395" s="663">
        <f t="shared" si="2825"/>
        <v>0</v>
      </c>
      <c r="Z395" s="663">
        <f t="shared" ref="Z395" si="2986">IF(S395=0,0,O395+W395/$J$17*c_Hurdle1.Share_GP)</f>
        <v>0</v>
      </c>
      <c r="AA395" s="663">
        <f t="shared" si="2797"/>
        <v>0</v>
      </c>
      <c r="AB395" s="660">
        <f t="shared" si="2848"/>
        <v>0</v>
      </c>
      <c r="AC395" s="521"/>
      <c r="AD395" s="663">
        <f t="shared" ref="AD395:AD416" si="2987">AI394</f>
        <v>0</v>
      </c>
      <c r="AE395" s="663">
        <f t="shared" ref="AE395" si="2988">IF($G395=0,0,-MIN(0,$G395*c_EquityShare.LP))</f>
        <v>0</v>
      </c>
      <c r="AF395" s="663" cm="1">
        <f t="array" ref="AF395">IF($D395=0,0,AD395*(c_Rate.Hurdle2.MO))</f>
        <v>0</v>
      </c>
      <c r="AG395" s="663">
        <f t="shared" si="2799"/>
        <v>0</v>
      </c>
      <c r="AH395" s="663">
        <f t="shared" si="2828"/>
        <v>0</v>
      </c>
      <c r="AI395" s="663">
        <f t="shared" si="2800"/>
        <v>0</v>
      </c>
      <c r="AJ395" s="664">
        <f t="shared" si="2801"/>
        <v>0</v>
      </c>
      <c r="AK395" s="660">
        <f t="shared" si="2802"/>
        <v>0</v>
      </c>
      <c r="AL395" s="663">
        <f t="shared" ref="AL395" si="2989">IF(AD395=0,0,Z395+AH395/$J$18*c_Hurdle2.Share_GP)</f>
        <v>0</v>
      </c>
      <c r="AM395" s="663">
        <f t="shared" si="2804"/>
        <v>0</v>
      </c>
      <c r="AN395" s="660">
        <f t="shared" si="2851"/>
        <v>0</v>
      </c>
      <c r="AO395" s="521"/>
      <c r="AP395" s="663">
        <f t="shared" ref="AP395:AP416" si="2990">AU394</f>
        <v>0</v>
      </c>
      <c r="AQ395" s="663">
        <f t="shared" ref="AQ395" si="2991">IF($G395=0,0,-MIN(0,$G395*c_EquityShare.LP))</f>
        <v>0</v>
      </c>
      <c r="AR395" s="663" cm="1">
        <f t="array" ref="AR395">IF($D395=0,0,AP395*(c_Rate.Hurdle3.MO))</f>
        <v>0</v>
      </c>
      <c r="AS395" s="663">
        <f t="shared" si="2806"/>
        <v>0</v>
      </c>
      <c r="AT395" s="663">
        <f t="shared" si="2831"/>
        <v>0</v>
      </c>
      <c r="AU395" s="663">
        <f t="shared" si="2807"/>
        <v>0</v>
      </c>
      <c r="AV395" s="664">
        <f t="shared" si="2808"/>
        <v>0</v>
      </c>
      <c r="AW395" s="660">
        <f t="shared" si="2832"/>
        <v>0</v>
      </c>
      <c r="AX395" s="663">
        <f t="shared" ref="AX395" si="2992">IF(AP395=0,0,AL395+AT395/$J$19*c_Hurdle3.Share_GP)</f>
        <v>0</v>
      </c>
      <c r="AY395" s="663">
        <f t="shared" si="2834"/>
        <v>0</v>
      </c>
      <c r="AZ395" s="660">
        <f t="shared" si="2854"/>
        <v>0</v>
      </c>
      <c r="BA395" s="521"/>
      <c r="BB395" s="660">
        <f t="shared" si="2494"/>
        <v>0</v>
      </c>
      <c r="BC395" s="660">
        <f t="shared" ref="BC395" si="2993">$AZ395*c_Residual.Share_GP</f>
        <v>0</v>
      </c>
      <c r="BD395" s="651"/>
      <c r="BE395" s="660">
        <f t="shared" si="2836"/>
        <v>0</v>
      </c>
      <c r="BF395" s="660">
        <f t="shared" si="2836"/>
        <v>0</v>
      </c>
      <c r="BG395" s="660">
        <f t="shared" si="2811"/>
        <v>0</v>
      </c>
      <c r="BI395" s="660">
        <v>0</v>
      </c>
      <c r="BJ395" s="660">
        <v>0</v>
      </c>
      <c r="BK395" s="660">
        <v>0</v>
      </c>
      <c r="BL395" s="660">
        <f t="shared" si="2837"/>
        <v>0</v>
      </c>
      <c r="BM395" s="660">
        <f t="shared" si="2837"/>
        <v>0</v>
      </c>
      <c r="BN395" s="660">
        <f t="shared" si="2838"/>
        <v>0</v>
      </c>
      <c r="BO395" s="660">
        <f t="shared" si="2838"/>
        <v>0</v>
      </c>
      <c r="BP395" s="660">
        <f t="shared" si="2839"/>
        <v>0</v>
      </c>
      <c r="BQ395" s="660">
        <f t="shared" si="2839"/>
        <v>0</v>
      </c>
      <c r="BR395" s="660">
        <v>0</v>
      </c>
      <c r="BS395" s="660">
        <v>0</v>
      </c>
      <c r="BT395" s="660">
        <f t="shared" si="2812"/>
        <v>0</v>
      </c>
      <c r="BU395" s="660">
        <f t="shared" si="2812"/>
        <v>0</v>
      </c>
      <c r="BX395" s="660">
        <v>0</v>
      </c>
      <c r="BY395" s="660">
        <f t="shared" si="2840"/>
        <v>0</v>
      </c>
      <c r="BZ395" s="660">
        <f t="shared" si="2813"/>
        <v>0</v>
      </c>
      <c r="CA395" s="660">
        <f t="shared" si="2814"/>
        <v>0</v>
      </c>
      <c r="CB395" s="660">
        <f t="shared" si="2815"/>
        <v>0</v>
      </c>
      <c r="CC395" s="660">
        <f t="shared" si="2816"/>
        <v>0</v>
      </c>
      <c r="CD395" s="660">
        <f t="shared" si="2841"/>
        <v>0</v>
      </c>
    </row>
    <row r="396" spans="4:82" ht="16" hidden="1" thickTop="1" thickBot="1">
      <c r="D396" s="653"/>
      <c r="E396" s="654"/>
      <c r="F396" s="655" t="str">
        <f t="shared" si="2817"/>
        <v/>
      </c>
      <c r="G396" s="656"/>
      <c r="I396" s="658">
        <f t="shared" si="2818"/>
        <v>0</v>
      </c>
      <c r="J396" s="658">
        <f t="shared" ref="J396" si="2994">IF($G396=0,0,-MIN(0,G396*c_EquityShare.LP))</f>
        <v>0</v>
      </c>
      <c r="K396" s="658">
        <f t="shared" ref="K396" si="2995">I396*c_Rate.Pref_MO</f>
        <v>0</v>
      </c>
      <c r="L396" s="658">
        <f t="shared" si="2794"/>
        <v>0</v>
      </c>
      <c r="M396" s="658">
        <f t="shared" si="2821"/>
        <v>0</v>
      </c>
      <c r="N396" s="658">
        <f t="shared" si="2844"/>
        <v>0</v>
      </c>
      <c r="O396" s="658" cm="1">
        <f t="array" ref="O396">IF(I396=0,0,IF(G396&lt;0,N396/c_EquityShare.LP*i_EquityShare.GP,L396/c_EquityShare.LP*i_EquityShare.GP))</f>
        <v>0</v>
      </c>
      <c r="P396" s="658">
        <f t="shared" si="2822"/>
        <v>0</v>
      </c>
      <c r="Q396" s="658">
        <f t="shared" si="2795"/>
        <v>0</v>
      </c>
      <c r="R396" s="521"/>
      <c r="S396" s="660">
        <f t="shared" si="2823"/>
        <v>0</v>
      </c>
      <c r="T396" s="663" cm="1">
        <f t="array" ref="T396">IF($G396=0,0,-MIN(0,$G396*c_EquityShare.LP))</f>
        <v>0</v>
      </c>
      <c r="U396" s="663" cm="1">
        <f t="array" ref="U396">IF($D396=0,0,S396*c_Rate.Hurdle1.MO)</f>
        <v>0</v>
      </c>
      <c r="V396" s="660">
        <f t="shared" si="2845"/>
        <v>0</v>
      </c>
      <c r="W396" s="660">
        <f t="shared" si="2824"/>
        <v>0</v>
      </c>
      <c r="X396" s="663">
        <f t="shared" si="2846"/>
        <v>0</v>
      </c>
      <c r="Y396" s="663">
        <f t="shared" si="2825"/>
        <v>0</v>
      </c>
      <c r="Z396" s="663">
        <f t="shared" ref="Z396" si="2996">IF(S396=0,0,O396+W396/$J$17*c_Hurdle1.Share_GP)</f>
        <v>0</v>
      </c>
      <c r="AA396" s="663">
        <f t="shared" si="2797"/>
        <v>0</v>
      </c>
      <c r="AB396" s="660">
        <f t="shared" si="2848"/>
        <v>0</v>
      </c>
      <c r="AC396" s="521"/>
      <c r="AD396" s="663">
        <f t="shared" si="2987"/>
        <v>0</v>
      </c>
      <c r="AE396" s="663">
        <f t="shared" ref="AE396" si="2997">IF($G396=0,0,-MIN(0,$G396*c_EquityShare.LP))</f>
        <v>0</v>
      </c>
      <c r="AF396" s="663" cm="1">
        <f t="array" ref="AF396">IF($D396=0,0,AD396*(c_Rate.Hurdle2.MO))</f>
        <v>0</v>
      </c>
      <c r="AG396" s="663">
        <f t="shared" si="2799"/>
        <v>0</v>
      </c>
      <c r="AH396" s="663">
        <f t="shared" si="2828"/>
        <v>0</v>
      </c>
      <c r="AI396" s="663">
        <f t="shared" si="2800"/>
        <v>0</v>
      </c>
      <c r="AJ396" s="664">
        <f t="shared" si="2801"/>
        <v>0</v>
      </c>
      <c r="AK396" s="660">
        <f t="shared" si="2802"/>
        <v>0</v>
      </c>
      <c r="AL396" s="663">
        <f t="shared" ref="AL396" si="2998">IF(AD396=0,0,Z396+AH396/$J$18*c_Hurdle2.Share_GP)</f>
        <v>0</v>
      </c>
      <c r="AM396" s="663">
        <f t="shared" si="2804"/>
        <v>0</v>
      </c>
      <c r="AN396" s="660">
        <f t="shared" si="2851"/>
        <v>0</v>
      </c>
      <c r="AO396" s="521"/>
      <c r="AP396" s="663">
        <f t="shared" si="2990"/>
        <v>0</v>
      </c>
      <c r="AQ396" s="663">
        <f t="shared" ref="AQ396" si="2999">IF($G396=0,0,-MIN(0,$G396*c_EquityShare.LP))</f>
        <v>0</v>
      </c>
      <c r="AR396" s="663" cm="1">
        <f t="array" ref="AR396">IF($D396=0,0,AP396*(c_Rate.Hurdle3.MO))</f>
        <v>0</v>
      </c>
      <c r="AS396" s="663">
        <f t="shared" si="2806"/>
        <v>0</v>
      </c>
      <c r="AT396" s="663">
        <f t="shared" si="2831"/>
        <v>0</v>
      </c>
      <c r="AU396" s="663">
        <f t="shared" si="2807"/>
        <v>0</v>
      </c>
      <c r="AV396" s="664">
        <f t="shared" si="2808"/>
        <v>0</v>
      </c>
      <c r="AW396" s="660">
        <f t="shared" si="2832"/>
        <v>0</v>
      </c>
      <c r="AX396" s="663">
        <f t="shared" ref="AX396" si="3000">IF(AP396=0,0,AL396+AT396/$J$19*c_Hurdle3.Share_GP)</f>
        <v>0</v>
      </c>
      <c r="AY396" s="663">
        <f t="shared" si="2834"/>
        <v>0</v>
      </c>
      <c r="AZ396" s="660">
        <f t="shared" si="2854"/>
        <v>0</v>
      </c>
      <c r="BA396" s="521"/>
      <c r="BB396" s="660">
        <f t="shared" si="2494"/>
        <v>0</v>
      </c>
      <c r="BC396" s="660">
        <f t="shared" ref="BC396" si="3001">$AZ396*c_Residual.Share_GP</f>
        <v>0</v>
      </c>
      <c r="BD396" s="651"/>
      <c r="BE396" s="660">
        <f t="shared" si="2836"/>
        <v>0</v>
      </c>
      <c r="BF396" s="660">
        <f t="shared" si="2836"/>
        <v>0</v>
      </c>
      <c r="BG396" s="660">
        <f t="shared" si="2811"/>
        <v>0</v>
      </c>
      <c r="BI396" s="660">
        <v>0</v>
      </c>
      <c r="BJ396" s="660">
        <v>0</v>
      </c>
      <c r="BK396" s="660">
        <v>0</v>
      </c>
      <c r="BL396" s="660">
        <f t="shared" si="2837"/>
        <v>0</v>
      </c>
      <c r="BM396" s="660">
        <f t="shared" si="2837"/>
        <v>0</v>
      </c>
      <c r="BN396" s="660">
        <f t="shared" si="2838"/>
        <v>0</v>
      </c>
      <c r="BO396" s="660">
        <f t="shared" si="2838"/>
        <v>0</v>
      </c>
      <c r="BP396" s="660">
        <f t="shared" si="2839"/>
        <v>0</v>
      </c>
      <c r="BQ396" s="660">
        <f t="shared" si="2839"/>
        <v>0</v>
      </c>
      <c r="BR396" s="660">
        <v>0</v>
      </c>
      <c r="BS396" s="660">
        <v>0</v>
      </c>
      <c r="BT396" s="660">
        <f t="shared" si="2812"/>
        <v>0</v>
      </c>
      <c r="BU396" s="660">
        <f t="shared" si="2812"/>
        <v>0</v>
      </c>
      <c r="BX396" s="660">
        <v>0</v>
      </c>
      <c r="BY396" s="660">
        <f t="shared" si="2840"/>
        <v>0</v>
      </c>
      <c r="BZ396" s="660">
        <f t="shared" si="2813"/>
        <v>0</v>
      </c>
      <c r="CA396" s="660">
        <f t="shared" si="2814"/>
        <v>0</v>
      </c>
      <c r="CB396" s="660">
        <f t="shared" si="2815"/>
        <v>0</v>
      </c>
      <c r="CC396" s="660">
        <f t="shared" si="2816"/>
        <v>0</v>
      </c>
      <c r="CD396" s="660">
        <f t="shared" si="2841"/>
        <v>0</v>
      </c>
    </row>
    <row r="397" spans="4:82" ht="16" hidden="1" thickTop="1" thickBot="1">
      <c r="D397" s="653"/>
      <c r="E397" s="654"/>
      <c r="F397" s="655" t="str">
        <f t="shared" si="2817"/>
        <v/>
      </c>
      <c r="G397" s="656"/>
      <c r="I397" s="658">
        <f t="shared" si="2818"/>
        <v>0</v>
      </c>
      <c r="J397" s="658">
        <f t="shared" ref="J397" si="3002">IF($G397=0,0,-MIN(0,G397*c_EquityShare.LP))</f>
        <v>0</v>
      </c>
      <c r="K397" s="658">
        <f t="shared" ref="K397" si="3003">I397*c_Rate.Pref_MO</f>
        <v>0</v>
      </c>
      <c r="L397" s="658">
        <f t="shared" si="2794"/>
        <v>0</v>
      </c>
      <c r="M397" s="658">
        <f t="shared" si="2821"/>
        <v>0</v>
      </c>
      <c r="N397" s="658">
        <f t="shared" si="2844"/>
        <v>0</v>
      </c>
      <c r="O397" s="658" cm="1">
        <f t="array" ref="O397">IF(I397=0,0,IF(G397&lt;0,N397/c_EquityShare.LP*i_EquityShare.GP,L397/c_EquityShare.LP*i_EquityShare.GP))</f>
        <v>0</v>
      </c>
      <c r="P397" s="658">
        <f t="shared" si="2822"/>
        <v>0</v>
      </c>
      <c r="Q397" s="658">
        <f t="shared" si="2795"/>
        <v>0</v>
      </c>
      <c r="R397" s="521"/>
      <c r="S397" s="660">
        <f t="shared" si="2823"/>
        <v>0</v>
      </c>
      <c r="T397" s="663" cm="1">
        <f t="array" ref="T397">IF($G397=0,0,-MIN(0,$G397*c_EquityShare.LP))</f>
        <v>0</v>
      </c>
      <c r="U397" s="663" cm="1">
        <f t="array" ref="U397">IF($D397=0,0,S397*c_Rate.Hurdle1.MO)</f>
        <v>0</v>
      </c>
      <c r="V397" s="660">
        <f t="shared" si="2845"/>
        <v>0</v>
      </c>
      <c r="W397" s="660">
        <f t="shared" si="2824"/>
        <v>0</v>
      </c>
      <c r="X397" s="663">
        <f t="shared" si="2846"/>
        <v>0</v>
      </c>
      <c r="Y397" s="663">
        <f t="shared" si="2825"/>
        <v>0</v>
      </c>
      <c r="Z397" s="663">
        <f t="shared" ref="Z397" si="3004">IF(S397=0,0,O397+W397/$J$17*c_Hurdle1.Share_GP)</f>
        <v>0</v>
      </c>
      <c r="AA397" s="663">
        <f t="shared" si="2797"/>
        <v>0</v>
      </c>
      <c r="AB397" s="660">
        <f t="shared" si="2848"/>
        <v>0</v>
      </c>
      <c r="AC397" s="521"/>
      <c r="AD397" s="663">
        <f t="shared" si="2987"/>
        <v>0</v>
      </c>
      <c r="AE397" s="663">
        <f t="shared" ref="AE397" si="3005">IF($G397=0,0,-MIN(0,$G397*c_EquityShare.LP))</f>
        <v>0</v>
      </c>
      <c r="AF397" s="663" cm="1">
        <f t="array" ref="AF397">IF($D397=0,0,AD397*(c_Rate.Hurdle2.MO))</f>
        <v>0</v>
      </c>
      <c r="AG397" s="663">
        <f t="shared" si="2799"/>
        <v>0</v>
      </c>
      <c r="AH397" s="663">
        <f t="shared" si="2828"/>
        <v>0</v>
      </c>
      <c r="AI397" s="663">
        <f t="shared" si="2800"/>
        <v>0</v>
      </c>
      <c r="AJ397" s="664">
        <f t="shared" si="2801"/>
        <v>0</v>
      </c>
      <c r="AK397" s="660">
        <f t="shared" si="2802"/>
        <v>0</v>
      </c>
      <c r="AL397" s="663">
        <f t="shared" ref="AL397" si="3006">IF(AD397=0,0,Z397+AH397/$J$18*c_Hurdle2.Share_GP)</f>
        <v>0</v>
      </c>
      <c r="AM397" s="663">
        <f t="shared" si="2804"/>
        <v>0</v>
      </c>
      <c r="AN397" s="660">
        <f t="shared" si="2851"/>
        <v>0</v>
      </c>
      <c r="AO397" s="521"/>
      <c r="AP397" s="663">
        <f t="shared" si="2990"/>
        <v>0</v>
      </c>
      <c r="AQ397" s="663">
        <f t="shared" ref="AQ397" si="3007">IF($G397=0,0,-MIN(0,$G397*c_EquityShare.LP))</f>
        <v>0</v>
      </c>
      <c r="AR397" s="663" cm="1">
        <f t="array" ref="AR397">IF($D397=0,0,AP397*(c_Rate.Hurdle3.MO))</f>
        <v>0</v>
      </c>
      <c r="AS397" s="663">
        <f t="shared" si="2806"/>
        <v>0</v>
      </c>
      <c r="AT397" s="663">
        <f t="shared" si="2831"/>
        <v>0</v>
      </c>
      <c r="AU397" s="663">
        <f t="shared" si="2807"/>
        <v>0</v>
      </c>
      <c r="AV397" s="664">
        <f t="shared" si="2808"/>
        <v>0</v>
      </c>
      <c r="AW397" s="660">
        <f t="shared" si="2832"/>
        <v>0</v>
      </c>
      <c r="AX397" s="663">
        <f t="shared" ref="AX397" si="3008">IF(AP397=0,0,AL397+AT397/$J$19*c_Hurdle3.Share_GP)</f>
        <v>0</v>
      </c>
      <c r="AY397" s="663">
        <f t="shared" si="2834"/>
        <v>0</v>
      </c>
      <c r="AZ397" s="660">
        <f t="shared" si="2854"/>
        <v>0</v>
      </c>
      <c r="BA397" s="521"/>
      <c r="BB397" s="660">
        <f t="shared" si="2494"/>
        <v>0</v>
      </c>
      <c r="BC397" s="660">
        <f t="shared" ref="BC397" si="3009">$AZ397*c_Residual.Share_GP</f>
        <v>0</v>
      </c>
      <c r="BD397" s="651"/>
      <c r="BE397" s="660">
        <f t="shared" si="2836"/>
        <v>0</v>
      </c>
      <c r="BF397" s="660">
        <f t="shared" si="2836"/>
        <v>0</v>
      </c>
      <c r="BG397" s="660">
        <f t="shared" si="2811"/>
        <v>0</v>
      </c>
      <c r="BI397" s="660">
        <v>0</v>
      </c>
      <c r="BJ397" s="660">
        <v>0</v>
      </c>
      <c r="BK397" s="660">
        <v>0</v>
      </c>
      <c r="BL397" s="660">
        <f t="shared" si="2837"/>
        <v>0</v>
      </c>
      <c r="BM397" s="660">
        <f t="shared" si="2837"/>
        <v>0</v>
      </c>
      <c r="BN397" s="660">
        <f t="shared" si="2838"/>
        <v>0</v>
      </c>
      <c r="BO397" s="660">
        <f t="shared" si="2838"/>
        <v>0</v>
      </c>
      <c r="BP397" s="660">
        <f t="shared" si="2839"/>
        <v>0</v>
      </c>
      <c r="BQ397" s="660">
        <f t="shared" si="2839"/>
        <v>0</v>
      </c>
      <c r="BR397" s="660">
        <v>0</v>
      </c>
      <c r="BS397" s="660">
        <v>0</v>
      </c>
      <c r="BT397" s="660">
        <f t="shared" si="2812"/>
        <v>0</v>
      </c>
      <c r="BU397" s="660">
        <f t="shared" si="2812"/>
        <v>0</v>
      </c>
      <c r="BX397" s="660">
        <v>0</v>
      </c>
      <c r="BY397" s="660">
        <f t="shared" si="2840"/>
        <v>0</v>
      </c>
      <c r="BZ397" s="660">
        <f t="shared" si="2813"/>
        <v>0</v>
      </c>
      <c r="CA397" s="660">
        <f t="shared" si="2814"/>
        <v>0</v>
      </c>
      <c r="CB397" s="660">
        <f t="shared" si="2815"/>
        <v>0</v>
      </c>
      <c r="CC397" s="660">
        <f t="shared" si="2816"/>
        <v>0</v>
      </c>
      <c r="CD397" s="660">
        <f t="shared" si="2841"/>
        <v>0</v>
      </c>
    </row>
    <row r="398" spans="4:82" ht="16" hidden="1" thickTop="1" thickBot="1">
      <c r="D398" s="653"/>
      <c r="E398" s="654"/>
      <c r="F398" s="655" t="str">
        <f t="shared" si="2817"/>
        <v/>
      </c>
      <c r="G398" s="656"/>
      <c r="I398" s="658">
        <f t="shared" si="2818"/>
        <v>0</v>
      </c>
      <c r="J398" s="658">
        <f t="shared" ref="J398" si="3010">IF($G398=0,0,-MIN(0,G398*c_EquityShare.LP))</f>
        <v>0</v>
      </c>
      <c r="K398" s="658">
        <f t="shared" ref="K398" si="3011">I398*c_Rate.Pref_MO</f>
        <v>0</v>
      </c>
      <c r="L398" s="658">
        <f t="shared" si="2794"/>
        <v>0</v>
      </c>
      <c r="M398" s="658">
        <f t="shared" si="2821"/>
        <v>0</v>
      </c>
      <c r="N398" s="658">
        <f t="shared" si="2844"/>
        <v>0</v>
      </c>
      <c r="O398" s="658" cm="1">
        <f t="array" ref="O398">IF(I398=0,0,IF(G398&lt;0,N398/c_EquityShare.LP*i_EquityShare.GP,L398/c_EquityShare.LP*i_EquityShare.GP))</f>
        <v>0</v>
      </c>
      <c r="P398" s="658">
        <f t="shared" si="2822"/>
        <v>0</v>
      </c>
      <c r="Q398" s="658">
        <f t="shared" si="2795"/>
        <v>0</v>
      </c>
      <c r="R398" s="521"/>
      <c r="S398" s="660">
        <f t="shared" si="2823"/>
        <v>0</v>
      </c>
      <c r="T398" s="663" cm="1">
        <f t="array" ref="T398">IF($G398=0,0,-MIN(0,$G398*c_EquityShare.LP))</f>
        <v>0</v>
      </c>
      <c r="U398" s="663" cm="1">
        <f t="array" ref="U398">IF($D398=0,0,S398*c_Rate.Hurdle1.MO)</f>
        <v>0</v>
      </c>
      <c r="V398" s="660">
        <f t="shared" si="2845"/>
        <v>0</v>
      </c>
      <c r="W398" s="660">
        <f t="shared" si="2824"/>
        <v>0</v>
      </c>
      <c r="X398" s="663">
        <f t="shared" si="2846"/>
        <v>0</v>
      </c>
      <c r="Y398" s="663">
        <f t="shared" si="2825"/>
        <v>0</v>
      </c>
      <c r="Z398" s="663">
        <f t="shared" ref="Z398" si="3012">IF(S398=0,0,O398+W398/$J$17*c_Hurdle1.Share_GP)</f>
        <v>0</v>
      </c>
      <c r="AA398" s="663">
        <f t="shared" si="2797"/>
        <v>0</v>
      </c>
      <c r="AB398" s="660">
        <f t="shared" si="2848"/>
        <v>0</v>
      </c>
      <c r="AC398" s="521"/>
      <c r="AD398" s="663">
        <f t="shared" si="2987"/>
        <v>0</v>
      </c>
      <c r="AE398" s="663">
        <f t="shared" ref="AE398" si="3013">IF($G398=0,0,-MIN(0,$G398*c_EquityShare.LP))</f>
        <v>0</v>
      </c>
      <c r="AF398" s="663" cm="1">
        <f t="array" ref="AF398">IF($D398=0,0,AD398*(c_Rate.Hurdle2.MO))</f>
        <v>0</v>
      </c>
      <c r="AG398" s="663">
        <f t="shared" si="2799"/>
        <v>0</v>
      </c>
      <c r="AH398" s="663">
        <f t="shared" si="2828"/>
        <v>0</v>
      </c>
      <c r="AI398" s="663">
        <f t="shared" si="2800"/>
        <v>0</v>
      </c>
      <c r="AJ398" s="664">
        <f t="shared" si="2801"/>
        <v>0</v>
      </c>
      <c r="AK398" s="660">
        <f t="shared" si="2802"/>
        <v>0</v>
      </c>
      <c r="AL398" s="663">
        <f t="shared" ref="AL398" si="3014">IF(AD398=0,0,Z398+AH398/$J$18*c_Hurdle2.Share_GP)</f>
        <v>0</v>
      </c>
      <c r="AM398" s="663">
        <f t="shared" si="2804"/>
        <v>0</v>
      </c>
      <c r="AN398" s="660">
        <f t="shared" si="2851"/>
        <v>0</v>
      </c>
      <c r="AO398" s="521"/>
      <c r="AP398" s="663">
        <f t="shared" si="2990"/>
        <v>0</v>
      </c>
      <c r="AQ398" s="663">
        <f t="shared" ref="AQ398" si="3015">IF($G398=0,0,-MIN(0,$G398*c_EquityShare.LP))</f>
        <v>0</v>
      </c>
      <c r="AR398" s="663" cm="1">
        <f t="array" ref="AR398">IF($D398=0,0,AP398*(c_Rate.Hurdle3.MO))</f>
        <v>0</v>
      </c>
      <c r="AS398" s="663">
        <f t="shared" si="2806"/>
        <v>0</v>
      </c>
      <c r="AT398" s="663">
        <f t="shared" si="2831"/>
        <v>0</v>
      </c>
      <c r="AU398" s="663">
        <f t="shared" si="2807"/>
        <v>0</v>
      </c>
      <c r="AV398" s="664">
        <f t="shared" si="2808"/>
        <v>0</v>
      </c>
      <c r="AW398" s="660">
        <f t="shared" si="2832"/>
        <v>0</v>
      </c>
      <c r="AX398" s="663">
        <f t="shared" ref="AX398" si="3016">IF(AP398=0,0,AL398+AT398/$J$19*c_Hurdle3.Share_GP)</f>
        <v>0</v>
      </c>
      <c r="AY398" s="663">
        <f t="shared" si="2834"/>
        <v>0</v>
      </c>
      <c r="AZ398" s="660">
        <f t="shared" si="2854"/>
        <v>0</v>
      </c>
      <c r="BA398" s="521"/>
      <c r="BB398" s="660">
        <f t="shared" si="2494"/>
        <v>0</v>
      </c>
      <c r="BC398" s="660">
        <f t="shared" ref="BC398" si="3017">$AZ398*c_Residual.Share_GP</f>
        <v>0</v>
      </c>
      <c r="BD398" s="651"/>
      <c r="BE398" s="660">
        <f t="shared" si="2836"/>
        <v>0</v>
      </c>
      <c r="BF398" s="660">
        <f t="shared" si="2836"/>
        <v>0</v>
      </c>
      <c r="BG398" s="660">
        <f t="shared" si="2811"/>
        <v>0</v>
      </c>
      <c r="BI398" s="660">
        <v>0</v>
      </c>
      <c r="BJ398" s="660">
        <v>0</v>
      </c>
      <c r="BK398" s="660">
        <v>0</v>
      </c>
      <c r="BL398" s="660">
        <f t="shared" si="2837"/>
        <v>0</v>
      </c>
      <c r="BM398" s="660">
        <f t="shared" si="2837"/>
        <v>0</v>
      </c>
      <c r="BN398" s="660">
        <f t="shared" si="2838"/>
        <v>0</v>
      </c>
      <c r="BO398" s="660">
        <f t="shared" si="2838"/>
        <v>0</v>
      </c>
      <c r="BP398" s="660">
        <f t="shared" si="2839"/>
        <v>0</v>
      </c>
      <c r="BQ398" s="660">
        <f t="shared" si="2839"/>
        <v>0</v>
      </c>
      <c r="BR398" s="660">
        <v>0</v>
      </c>
      <c r="BS398" s="660">
        <v>0</v>
      </c>
      <c r="BT398" s="660">
        <f t="shared" si="2812"/>
        <v>0</v>
      </c>
      <c r="BU398" s="660">
        <f t="shared" si="2812"/>
        <v>0</v>
      </c>
      <c r="BX398" s="660">
        <v>0</v>
      </c>
      <c r="BY398" s="660">
        <f t="shared" si="2840"/>
        <v>0</v>
      </c>
      <c r="BZ398" s="660">
        <f t="shared" si="2813"/>
        <v>0</v>
      </c>
      <c r="CA398" s="660">
        <f t="shared" si="2814"/>
        <v>0</v>
      </c>
      <c r="CB398" s="660">
        <f t="shared" si="2815"/>
        <v>0</v>
      </c>
      <c r="CC398" s="660">
        <f t="shared" si="2816"/>
        <v>0</v>
      </c>
      <c r="CD398" s="660">
        <f t="shared" si="2841"/>
        <v>0</v>
      </c>
    </row>
    <row r="399" spans="4:82" ht="16" hidden="1" thickTop="1" thickBot="1">
      <c r="D399" s="653"/>
      <c r="E399" s="654"/>
      <c r="F399" s="655" t="str">
        <f t="shared" si="2817"/>
        <v/>
      </c>
      <c r="G399" s="656"/>
      <c r="I399" s="658">
        <f t="shared" si="2818"/>
        <v>0</v>
      </c>
      <c r="J399" s="658">
        <f t="shared" ref="J399" si="3018">IF($G399=0,0,-MIN(0,G399*c_EquityShare.LP))</f>
        <v>0</v>
      </c>
      <c r="K399" s="658">
        <f t="shared" ref="K399" si="3019">I399*c_Rate.Pref_MO</f>
        <v>0</v>
      </c>
      <c r="L399" s="658">
        <f t="shared" si="2794"/>
        <v>0</v>
      </c>
      <c r="M399" s="658">
        <f t="shared" si="2821"/>
        <v>0</v>
      </c>
      <c r="N399" s="658">
        <f t="shared" si="2844"/>
        <v>0</v>
      </c>
      <c r="O399" s="658" cm="1">
        <f t="array" ref="O399">IF(I399=0,0,IF(G399&lt;0,N399/c_EquityShare.LP*i_EquityShare.GP,L399/c_EquityShare.LP*i_EquityShare.GP))</f>
        <v>0</v>
      </c>
      <c r="P399" s="658">
        <f t="shared" si="2822"/>
        <v>0</v>
      </c>
      <c r="Q399" s="658">
        <f t="shared" si="2795"/>
        <v>0</v>
      </c>
      <c r="R399" s="521"/>
      <c r="S399" s="660">
        <f t="shared" si="2823"/>
        <v>0</v>
      </c>
      <c r="T399" s="663" cm="1">
        <f t="array" ref="T399">IF($G399=0,0,-MIN(0,$G399*c_EquityShare.LP))</f>
        <v>0</v>
      </c>
      <c r="U399" s="663" cm="1">
        <f t="array" ref="U399">IF($D399=0,0,S399*c_Rate.Hurdle1.MO)</f>
        <v>0</v>
      </c>
      <c r="V399" s="660">
        <f t="shared" si="2845"/>
        <v>0</v>
      </c>
      <c r="W399" s="660">
        <f t="shared" si="2824"/>
        <v>0</v>
      </c>
      <c r="X399" s="663">
        <f t="shared" si="2846"/>
        <v>0</v>
      </c>
      <c r="Y399" s="663">
        <f t="shared" si="2825"/>
        <v>0</v>
      </c>
      <c r="Z399" s="663">
        <f t="shared" ref="Z399" si="3020">IF(S399=0,0,O399+W399/$J$17*c_Hurdle1.Share_GP)</f>
        <v>0</v>
      </c>
      <c r="AA399" s="663">
        <f t="shared" si="2797"/>
        <v>0</v>
      </c>
      <c r="AB399" s="660">
        <f t="shared" si="2848"/>
        <v>0</v>
      </c>
      <c r="AC399" s="521"/>
      <c r="AD399" s="663">
        <f t="shared" si="2987"/>
        <v>0</v>
      </c>
      <c r="AE399" s="663">
        <f t="shared" ref="AE399" si="3021">IF($G399=0,0,-MIN(0,$G399*c_EquityShare.LP))</f>
        <v>0</v>
      </c>
      <c r="AF399" s="663" cm="1">
        <f t="array" ref="AF399">IF($D399=0,0,AD399*(c_Rate.Hurdle2.MO))</f>
        <v>0</v>
      </c>
      <c r="AG399" s="663">
        <f t="shared" si="2799"/>
        <v>0</v>
      </c>
      <c r="AH399" s="663">
        <f t="shared" si="2828"/>
        <v>0</v>
      </c>
      <c r="AI399" s="663">
        <f t="shared" si="2800"/>
        <v>0</v>
      </c>
      <c r="AJ399" s="664">
        <f t="shared" si="2801"/>
        <v>0</v>
      </c>
      <c r="AK399" s="660">
        <f t="shared" si="2802"/>
        <v>0</v>
      </c>
      <c r="AL399" s="663">
        <f t="shared" ref="AL399" si="3022">IF(AD399=0,0,Z399+AH399/$J$18*c_Hurdle2.Share_GP)</f>
        <v>0</v>
      </c>
      <c r="AM399" s="663">
        <f t="shared" si="2804"/>
        <v>0</v>
      </c>
      <c r="AN399" s="660">
        <f t="shared" si="2851"/>
        <v>0</v>
      </c>
      <c r="AO399" s="521"/>
      <c r="AP399" s="663">
        <f t="shared" si="2990"/>
        <v>0</v>
      </c>
      <c r="AQ399" s="663">
        <f t="shared" ref="AQ399" si="3023">IF($G399=0,0,-MIN(0,$G399*c_EquityShare.LP))</f>
        <v>0</v>
      </c>
      <c r="AR399" s="663" cm="1">
        <f t="array" ref="AR399">IF($D399=0,0,AP399*(c_Rate.Hurdle3.MO))</f>
        <v>0</v>
      </c>
      <c r="AS399" s="663">
        <f t="shared" si="2806"/>
        <v>0</v>
      </c>
      <c r="AT399" s="663">
        <f t="shared" si="2831"/>
        <v>0</v>
      </c>
      <c r="AU399" s="663">
        <f t="shared" si="2807"/>
        <v>0</v>
      </c>
      <c r="AV399" s="664">
        <f t="shared" si="2808"/>
        <v>0</v>
      </c>
      <c r="AW399" s="660">
        <f t="shared" si="2832"/>
        <v>0</v>
      </c>
      <c r="AX399" s="663">
        <f t="shared" ref="AX399" si="3024">IF(AP399=0,0,AL399+AT399/$J$19*c_Hurdle3.Share_GP)</f>
        <v>0</v>
      </c>
      <c r="AY399" s="663">
        <f t="shared" si="2834"/>
        <v>0</v>
      </c>
      <c r="AZ399" s="660">
        <f t="shared" si="2854"/>
        <v>0</v>
      </c>
      <c r="BA399" s="521"/>
      <c r="BB399" s="660">
        <f t="shared" si="2494"/>
        <v>0</v>
      </c>
      <c r="BC399" s="660">
        <f t="shared" ref="BC399" si="3025">$AZ399*c_Residual.Share_GP</f>
        <v>0</v>
      </c>
      <c r="BD399" s="651"/>
      <c r="BE399" s="660">
        <f t="shared" si="2836"/>
        <v>0</v>
      </c>
      <c r="BF399" s="660">
        <f t="shared" si="2836"/>
        <v>0</v>
      </c>
      <c r="BG399" s="660">
        <f t="shared" si="2811"/>
        <v>0</v>
      </c>
      <c r="BI399" s="660">
        <v>0</v>
      </c>
      <c r="BJ399" s="660">
        <v>0</v>
      </c>
      <c r="BK399" s="660">
        <v>0</v>
      </c>
      <c r="BL399" s="660">
        <f t="shared" si="2837"/>
        <v>0</v>
      </c>
      <c r="BM399" s="660">
        <f t="shared" si="2837"/>
        <v>0</v>
      </c>
      <c r="BN399" s="660">
        <f t="shared" si="2838"/>
        <v>0</v>
      </c>
      <c r="BO399" s="660">
        <f t="shared" si="2838"/>
        <v>0</v>
      </c>
      <c r="BP399" s="660">
        <f t="shared" si="2839"/>
        <v>0</v>
      </c>
      <c r="BQ399" s="660">
        <f t="shared" si="2839"/>
        <v>0</v>
      </c>
      <c r="BR399" s="660">
        <v>0</v>
      </c>
      <c r="BS399" s="660">
        <v>0</v>
      </c>
      <c r="BT399" s="660">
        <f t="shared" si="2812"/>
        <v>0</v>
      </c>
      <c r="BU399" s="660">
        <f t="shared" si="2812"/>
        <v>0</v>
      </c>
      <c r="BX399" s="660">
        <v>0</v>
      </c>
      <c r="BY399" s="660">
        <f t="shared" si="2840"/>
        <v>0</v>
      </c>
      <c r="BZ399" s="660">
        <f t="shared" si="2813"/>
        <v>0</v>
      </c>
      <c r="CA399" s="660">
        <f t="shared" si="2814"/>
        <v>0</v>
      </c>
      <c r="CB399" s="660">
        <f t="shared" si="2815"/>
        <v>0</v>
      </c>
      <c r="CC399" s="660">
        <f t="shared" si="2816"/>
        <v>0</v>
      </c>
      <c r="CD399" s="660">
        <f t="shared" si="2841"/>
        <v>0</v>
      </c>
    </row>
    <row r="400" spans="4:82" ht="16" hidden="1" thickTop="1" thickBot="1">
      <c r="D400" s="653"/>
      <c r="E400" s="654"/>
      <c r="F400" s="655" t="str">
        <f t="shared" si="2817"/>
        <v/>
      </c>
      <c r="G400" s="656"/>
      <c r="I400" s="658">
        <f t="shared" si="2818"/>
        <v>0</v>
      </c>
      <c r="J400" s="658">
        <f t="shared" ref="J400" si="3026">IF($G400=0,0,-MIN(0,G400*c_EquityShare.LP))</f>
        <v>0</v>
      </c>
      <c r="K400" s="658">
        <f t="shared" ref="K400" si="3027">I400*c_Rate.Pref_MO</f>
        <v>0</v>
      </c>
      <c r="L400" s="658">
        <f t="shared" si="2794"/>
        <v>0</v>
      </c>
      <c r="M400" s="658">
        <f t="shared" si="2821"/>
        <v>0</v>
      </c>
      <c r="N400" s="658">
        <f t="shared" si="2844"/>
        <v>0</v>
      </c>
      <c r="O400" s="658" cm="1">
        <f t="array" ref="O400">IF(I400=0,0,IF(G400&lt;0,N400/c_EquityShare.LP*i_EquityShare.GP,L400/c_EquityShare.LP*i_EquityShare.GP))</f>
        <v>0</v>
      </c>
      <c r="P400" s="658">
        <f t="shared" si="2822"/>
        <v>0</v>
      </c>
      <c r="Q400" s="658">
        <f t="shared" si="2795"/>
        <v>0</v>
      </c>
      <c r="R400" s="521"/>
      <c r="S400" s="660">
        <f t="shared" si="2823"/>
        <v>0</v>
      </c>
      <c r="T400" s="663" cm="1">
        <f t="array" ref="T400">IF($G400=0,0,-MIN(0,$G400*c_EquityShare.LP))</f>
        <v>0</v>
      </c>
      <c r="U400" s="663" cm="1">
        <f t="array" ref="U400">IF($D400=0,0,S400*c_Rate.Hurdle1.MO)</f>
        <v>0</v>
      </c>
      <c r="V400" s="660">
        <f t="shared" si="2845"/>
        <v>0</v>
      </c>
      <c r="W400" s="660">
        <f t="shared" si="2824"/>
        <v>0</v>
      </c>
      <c r="X400" s="663">
        <f t="shared" si="2846"/>
        <v>0</v>
      </c>
      <c r="Y400" s="663">
        <f t="shared" si="2825"/>
        <v>0</v>
      </c>
      <c r="Z400" s="663">
        <f t="shared" ref="Z400" si="3028">IF(S400=0,0,O400+W400/$J$17*c_Hurdle1.Share_GP)</f>
        <v>0</v>
      </c>
      <c r="AA400" s="663">
        <f t="shared" si="2797"/>
        <v>0</v>
      </c>
      <c r="AB400" s="660">
        <f t="shared" si="2848"/>
        <v>0</v>
      </c>
      <c r="AC400" s="521"/>
      <c r="AD400" s="663">
        <f t="shared" si="2987"/>
        <v>0</v>
      </c>
      <c r="AE400" s="663">
        <f t="shared" ref="AE400" si="3029">IF($G400=0,0,-MIN(0,$G400*c_EquityShare.LP))</f>
        <v>0</v>
      </c>
      <c r="AF400" s="663" cm="1">
        <f t="array" ref="AF400">IF($D400=0,0,AD400*(c_Rate.Hurdle2.MO))</f>
        <v>0</v>
      </c>
      <c r="AG400" s="663">
        <f t="shared" si="2799"/>
        <v>0</v>
      </c>
      <c r="AH400" s="663">
        <f t="shared" si="2828"/>
        <v>0</v>
      </c>
      <c r="AI400" s="663">
        <f t="shared" si="2800"/>
        <v>0</v>
      </c>
      <c r="AJ400" s="664">
        <f t="shared" si="2801"/>
        <v>0</v>
      </c>
      <c r="AK400" s="660">
        <f t="shared" si="2802"/>
        <v>0</v>
      </c>
      <c r="AL400" s="663">
        <f t="shared" ref="AL400" si="3030">IF(AD400=0,0,Z400+AH400/$J$18*c_Hurdle2.Share_GP)</f>
        <v>0</v>
      </c>
      <c r="AM400" s="663">
        <f t="shared" si="2804"/>
        <v>0</v>
      </c>
      <c r="AN400" s="660">
        <f t="shared" si="2851"/>
        <v>0</v>
      </c>
      <c r="AO400" s="521"/>
      <c r="AP400" s="663">
        <f t="shared" si="2990"/>
        <v>0</v>
      </c>
      <c r="AQ400" s="663">
        <f t="shared" ref="AQ400" si="3031">IF($G400=0,0,-MIN(0,$G400*c_EquityShare.LP))</f>
        <v>0</v>
      </c>
      <c r="AR400" s="663" cm="1">
        <f t="array" ref="AR400">IF($D400=0,0,AP400*(c_Rate.Hurdle3.MO))</f>
        <v>0</v>
      </c>
      <c r="AS400" s="663">
        <f t="shared" si="2806"/>
        <v>0</v>
      </c>
      <c r="AT400" s="663">
        <f t="shared" si="2831"/>
        <v>0</v>
      </c>
      <c r="AU400" s="663">
        <f t="shared" si="2807"/>
        <v>0</v>
      </c>
      <c r="AV400" s="664">
        <f t="shared" si="2808"/>
        <v>0</v>
      </c>
      <c r="AW400" s="660">
        <f t="shared" si="2832"/>
        <v>0</v>
      </c>
      <c r="AX400" s="663">
        <f t="shared" ref="AX400" si="3032">IF(AP400=0,0,AL400+AT400/$J$19*c_Hurdle3.Share_GP)</f>
        <v>0</v>
      </c>
      <c r="AY400" s="663">
        <f t="shared" si="2834"/>
        <v>0</v>
      </c>
      <c r="AZ400" s="660">
        <f t="shared" si="2854"/>
        <v>0</v>
      </c>
      <c r="BA400" s="521"/>
      <c r="BB400" s="660">
        <f t="shared" si="2494"/>
        <v>0</v>
      </c>
      <c r="BC400" s="660">
        <f t="shared" ref="BC400" si="3033">$AZ400*c_Residual.Share_GP</f>
        <v>0</v>
      </c>
      <c r="BD400" s="651"/>
      <c r="BE400" s="660">
        <f t="shared" si="2836"/>
        <v>0</v>
      </c>
      <c r="BF400" s="660">
        <f t="shared" si="2836"/>
        <v>0</v>
      </c>
      <c r="BG400" s="660">
        <f t="shared" si="2811"/>
        <v>0</v>
      </c>
      <c r="BI400" s="660">
        <v>0</v>
      </c>
      <c r="BJ400" s="660">
        <v>0</v>
      </c>
      <c r="BK400" s="660">
        <v>0</v>
      </c>
      <c r="BL400" s="660">
        <f t="shared" si="2837"/>
        <v>0</v>
      </c>
      <c r="BM400" s="660">
        <f t="shared" si="2837"/>
        <v>0</v>
      </c>
      <c r="BN400" s="660">
        <f t="shared" si="2838"/>
        <v>0</v>
      </c>
      <c r="BO400" s="660">
        <f t="shared" si="2838"/>
        <v>0</v>
      </c>
      <c r="BP400" s="660">
        <f t="shared" si="2839"/>
        <v>0</v>
      </c>
      <c r="BQ400" s="660">
        <f t="shared" si="2839"/>
        <v>0</v>
      </c>
      <c r="BR400" s="660">
        <v>0</v>
      </c>
      <c r="BS400" s="660">
        <v>0</v>
      </c>
      <c r="BT400" s="660">
        <f t="shared" si="2812"/>
        <v>0</v>
      </c>
      <c r="BU400" s="660">
        <f t="shared" si="2812"/>
        <v>0</v>
      </c>
      <c r="BX400" s="660">
        <v>0</v>
      </c>
      <c r="BY400" s="660">
        <f t="shared" si="2840"/>
        <v>0</v>
      </c>
      <c r="BZ400" s="660">
        <f t="shared" si="2813"/>
        <v>0</v>
      </c>
      <c r="CA400" s="660">
        <f t="shared" si="2814"/>
        <v>0</v>
      </c>
      <c r="CB400" s="660">
        <f t="shared" si="2815"/>
        <v>0</v>
      </c>
      <c r="CC400" s="660">
        <f t="shared" si="2816"/>
        <v>0</v>
      </c>
      <c r="CD400" s="660">
        <f t="shared" si="2841"/>
        <v>0</v>
      </c>
    </row>
    <row r="401" spans="4:82" ht="16" hidden="1" thickTop="1" thickBot="1">
      <c r="D401" s="653"/>
      <c r="E401" s="654"/>
      <c r="F401" s="655" t="str">
        <f t="shared" si="2817"/>
        <v/>
      </c>
      <c r="G401" s="656"/>
      <c r="I401" s="658">
        <f t="shared" si="2818"/>
        <v>0</v>
      </c>
      <c r="J401" s="658">
        <f t="shared" ref="J401" si="3034">IF($G401=0,0,-MIN(0,G401*c_EquityShare.LP))</f>
        <v>0</v>
      </c>
      <c r="K401" s="658">
        <f t="shared" ref="K401" si="3035">I401*c_Rate.Pref_MO</f>
        <v>0</v>
      </c>
      <c r="L401" s="658">
        <f t="shared" si="2794"/>
        <v>0</v>
      </c>
      <c r="M401" s="658">
        <f t="shared" si="2821"/>
        <v>0</v>
      </c>
      <c r="N401" s="658">
        <f t="shared" si="2844"/>
        <v>0</v>
      </c>
      <c r="O401" s="658" cm="1">
        <f t="array" ref="O401">IF(I401=0,0,IF(G401&lt;0,N401/c_EquityShare.LP*i_EquityShare.GP,L401/c_EquityShare.LP*i_EquityShare.GP))</f>
        <v>0</v>
      </c>
      <c r="P401" s="658">
        <f t="shared" si="2822"/>
        <v>0</v>
      </c>
      <c r="Q401" s="658">
        <f t="shared" si="2795"/>
        <v>0</v>
      </c>
      <c r="R401" s="521"/>
      <c r="S401" s="660">
        <f t="shared" si="2823"/>
        <v>0</v>
      </c>
      <c r="T401" s="663" cm="1">
        <f t="array" ref="T401">IF($G401=0,0,-MIN(0,$G401*c_EquityShare.LP))</f>
        <v>0</v>
      </c>
      <c r="U401" s="663" cm="1">
        <f t="array" ref="U401">IF($D401=0,0,S401*c_Rate.Hurdle1.MO)</f>
        <v>0</v>
      </c>
      <c r="V401" s="660">
        <f t="shared" si="2845"/>
        <v>0</v>
      </c>
      <c r="W401" s="660">
        <f t="shared" si="2824"/>
        <v>0</v>
      </c>
      <c r="X401" s="663">
        <f t="shared" si="2846"/>
        <v>0</v>
      </c>
      <c r="Y401" s="663">
        <f t="shared" si="2825"/>
        <v>0</v>
      </c>
      <c r="Z401" s="663">
        <f t="shared" ref="Z401" si="3036">IF(S401=0,0,O401+W401/$J$17*c_Hurdle1.Share_GP)</f>
        <v>0</v>
      </c>
      <c r="AA401" s="663">
        <f t="shared" si="2797"/>
        <v>0</v>
      </c>
      <c r="AB401" s="660">
        <f t="shared" si="2848"/>
        <v>0</v>
      </c>
      <c r="AC401" s="521"/>
      <c r="AD401" s="663">
        <f t="shared" si="2987"/>
        <v>0</v>
      </c>
      <c r="AE401" s="663">
        <f t="shared" ref="AE401" si="3037">IF($G401=0,0,-MIN(0,$G401*c_EquityShare.LP))</f>
        <v>0</v>
      </c>
      <c r="AF401" s="663" cm="1">
        <f t="array" ref="AF401">IF($D401=0,0,AD401*(c_Rate.Hurdle2.MO))</f>
        <v>0</v>
      </c>
      <c r="AG401" s="663">
        <f t="shared" si="2799"/>
        <v>0</v>
      </c>
      <c r="AH401" s="663">
        <f t="shared" si="2828"/>
        <v>0</v>
      </c>
      <c r="AI401" s="663">
        <f t="shared" si="2800"/>
        <v>0</v>
      </c>
      <c r="AJ401" s="664">
        <f t="shared" si="2801"/>
        <v>0</v>
      </c>
      <c r="AK401" s="660">
        <f t="shared" si="2802"/>
        <v>0</v>
      </c>
      <c r="AL401" s="663">
        <f t="shared" ref="AL401" si="3038">IF(AD401=0,0,Z401+AH401/$J$18*c_Hurdle2.Share_GP)</f>
        <v>0</v>
      </c>
      <c r="AM401" s="663">
        <f t="shared" si="2804"/>
        <v>0</v>
      </c>
      <c r="AN401" s="660">
        <f t="shared" si="2851"/>
        <v>0</v>
      </c>
      <c r="AO401" s="521"/>
      <c r="AP401" s="663">
        <f t="shared" si="2990"/>
        <v>0</v>
      </c>
      <c r="AQ401" s="663">
        <f t="shared" ref="AQ401" si="3039">IF($G401=0,0,-MIN(0,$G401*c_EquityShare.LP))</f>
        <v>0</v>
      </c>
      <c r="AR401" s="663" cm="1">
        <f t="array" ref="AR401">IF($D401=0,0,AP401*(c_Rate.Hurdle3.MO))</f>
        <v>0</v>
      </c>
      <c r="AS401" s="663">
        <f t="shared" si="2806"/>
        <v>0</v>
      </c>
      <c r="AT401" s="663">
        <f t="shared" si="2831"/>
        <v>0</v>
      </c>
      <c r="AU401" s="663">
        <f t="shared" si="2807"/>
        <v>0</v>
      </c>
      <c r="AV401" s="664">
        <f t="shared" si="2808"/>
        <v>0</v>
      </c>
      <c r="AW401" s="660">
        <f t="shared" si="2832"/>
        <v>0</v>
      </c>
      <c r="AX401" s="663">
        <f t="shared" ref="AX401" si="3040">IF(AP401=0,0,AL401+AT401/$J$19*c_Hurdle3.Share_GP)</f>
        <v>0</v>
      </c>
      <c r="AY401" s="663">
        <f t="shared" si="2834"/>
        <v>0</v>
      </c>
      <c r="AZ401" s="660">
        <f t="shared" si="2854"/>
        <v>0</v>
      </c>
      <c r="BA401" s="521"/>
      <c r="BB401" s="660">
        <f t="shared" si="2494"/>
        <v>0</v>
      </c>
      <c r="BC401" s="660">
        <f t="shared" ref="BC401" si="3041">$AZ401*c_Residual.Share_GP</f>
        <v>0</v>
      </c>
      <c r="BD401" s="651"/>
      <c r="BE401" s="660">
        <f t="shared" si="2836"/>
        <v>0</v>
      </c>
      <c r="BF401" s="660">
        <f t="shared" si="2836"/>
        <v>0</v>
      </c>
      <c r="BG401" s="660">
        <f t="shared" si="2811"/>
        <v>0</v>
      </c>
      <c r="BI401" s="660">
        <v>0</v>
      </c>
      <c r="BJ401" s="660">
        <v>0</v>
      </c>
      <c r="BK401" s="660">
        <v>0</v>
      </c>
      <c r="BL401" s="660">
        <f t="shared" si="2837"/>
        <v>0</v>
      </c>
      <c r="BM401" s="660">
        <f t="shared" si="2837"/>
        <v>0</v>
      </c>
      <c r="BN401" s="660">
        <f t="shared" si="2838"/>
        <v>0</v>
      </c>
      <c r="BO401" s="660">
        <f t="shared" si="2838"/>
        <v>0</v>
      </c>
      <c r="BP401" s="660">
        <f t="shared" si="2839"/>
        <v>0</v>
      </c>
      <c r="BQ401" s="660">
        <f t="shared" si="2839"/>
        <v>0</v>
      </c>
      <c r="BR401" s="660">
        <v>0</v>
      </c>
      <c r="BS401" s="660">
        <v>0</v>
      </c>
      <c r="BT401" s="660">
        <f t="shared" si="2812"/>
        <v>0</v>
      </c>
      <c r="BU401" s="660">
        <f t="shared" si="2812"/>
        <v>0</v>
      </c>
      <c r="BX401" s="660">
        <v>0</v>
      </c>
      <c r="BY401" s="660">
        <f t="shared" si="2840"/>
        <v>0</v>
      </c>
      <c r="BZ401" s="660">
        <f t="shared" si="2813"/>
        <v>0</v>
      </c>
      <c r="CA401" s="660">
        <f t="shared" si="2814"/>
        <v>0</v>
      </c>
      <c r="CB401" s="660">
        <f t="shared" si="2815"/>
        <v>0</v>
      </c>
      <c r="CC401" s="660">
        <f t="shared" si="2816"/>
        <v>0</v>
      </c>
      <c r="CD401" s="660">
        <f t="shared" si="2841"/>
        <v>0</v>
      </c>
    </row>
    <row r="402" spans="4:82" ht="16" hidden="1" thickTop="1" thickBot="1">
      <c r="D402" s="653"/>
      <c r="E402" s="654"/>
      <c r="F402" s="655" t="str">
        <f t="shared" si="2817"/>
        <v/>
      </c>
      <c r="G402" s="656"/>
      <c r="I402" s="658">
        <f t="shared" si="2818"/>
        <v>0</v>
      </c>
      <c r="J402" s="658">
        <f t="shared" ref="J402" si="3042">IF($G402=0,0,-MIN(0,G402*c_EquityShare.LP))</f>
        <v>0</v>
      </c>
      <c r="K402" s="658">
        <f t="shared" ref="K402" si="3043">I402*c_Rate.Pref_MO</f>
        <v>0</v>
      </c>
      <c r="L402" s="658">
        <f t="shared" si="2794"/>
        <v>0</v>
      </c>
      <c r="M402" s="658">
        <f t="shared" si="2821"/>
        <v>0</v>
      </c>
      <c r="N402" s="658">
        <f t="shared" si="2844"/>
        <v>0</v>
      </c>
      <c r="O402" s="658" cm="1">
        <f t="array" ref="O402">IF(I402=0,0,IF(G402&lt;0,N402/c_EquityShare.LP*i_EquityShare.GP,L402/c_EquityShare.LP*i_EquityShare.GP))</f>
        <v>0</v>
      </c>
      <c r="P402" s="658">
        <f t="shared" si="2822"/>
        <v>0</v>
      </c>
      <c r="Q402" s="658">
        <f t="shared" si="2795"/>
        <v>0</v>
      </c>
      <c r="R402" s="521"/>
      <c r="S402" s="660">
        <f t="shared" si="2823"/>
        <v>0</v>
      </c>
      <c r="T402" s="663" cm="1">
        <f t="array" ref="T402">IF($G402=0,0,-MIN(0,$G402*c_EquityShare.LP))</f>
        <v>0</v>
      </c>
      <c r="U402" s="663" cm="1">
        <f t="array" ref="U402">IF($D402=0,0,S402*c_Rate.Hurdle1.MO)</f>
        <v>0</v>
      </c>
      <c r="V402" s="660">
        <f t="shared" si="2845"/>
        <v>0</v>
      </c>
      <c r="W402" s="660">
        <f t="shared" si="2824"/>
        <v>0</v>
      </c>
      <c r="X402" s="663">
        <f t="shared" si="2846"/>
        <v>0</v>
      </c>
      <c r="Y402" s="663">
        <f t="shared" si="2825"/>
        <v>0</v>
      </c>
      <c r="Z402" s="663">
        <f t="shared" ref="Z402" si="3044">IF(S402=0,0,O402+W402/$J$17*c_Hurdle1.Share_GP)</f>
        <v>0</v>
      </c>
      <c r="AA402" s="663">
        <f t="shared" si="2797"/>
        <v>0</v>
      </c>
      <c r="AB402" s="660">
        <f t="shared" si="2848"/>
        <v>0</v>
      </c>
      <c r="AC402" s="521"/>
      <c r="AD402" s="663">
        <f t="shared" si="2987"/>
        <v>0</v>
      </c>
      <c r="AE402" s="663">
        <f t="shared" ref="AE402" si="3045">IF($G402=0,0,-MIN(0,$G402*c_EquityShare.LP))</f>
        <v>0</v>
      </c>
      <c r="AF402" s="663" cm="1">
        <f t="array" ref="AF402">IF($D402=0,0,AD402*(c_Rate.Hurdle2.MO))</f>
        <v>0</v>
      </c>
      <c r="AG402" s="663">
        <f t="shared" si="2799"/>
        <v>0</v>
      </c>
      <c r="AH402" s="663">
        <f t="shared" si="2828"/>
        <v>0</v>
      </c>
      <c r="AI402" s="663">
        <f t="shared" si="2800"/>
        <v>0</v>
      </c>
      <c r="AJ402" s="664">
        <f t="shared" si="2801"/>
        <v>0</v>
      </c>
      <c r="AK402" s="660">
        <f t="shared" si="2802"/>
        <v>0</v>
      </c>
      <c r="AL402" s="663">
        <f t="shared" ref="AL402" si="3046">IF(AD402=0,0,Z402+AH402/$J$18*c_Hurdle2.Share_GP)</f>
        <v>0</v>
      </c>
      <c r="AM402" s="663">
        <f t="shared" si="2804"/>
        <v>0</v>
      </c>
      <c r="AN402" s="660">
        <f t="shared" si="2851"/>
        <v>0</v>
      </c>
      <c r="AO402" s="521"/>
      <c r="AP402" s="663">
        <f t="shared" si="2990"/>
        <v>0</v>
      </c>
      <c r="AQ402" s="663">
        <f t="shared" ref="AQ402" si="3047">IF($G402=0,0,-MIN(0,$G402*c_EquityShare.LP))</f>
        <v>0</v>
      </c>
      <c r="AR402" s="663" cm="1">
        <f t="array" ref="AR402">IF($D402=0,0,AP402*(c_Rate.Hurdle3.MO))</f>
        <v>0</v>
      </c>
      <c r="AS402" s="663">
        <f t="shared" si="2806"/>
        <v>0</v>
      </c>
      <c r="AT402" s="663">
        <f t="shared" si="2831"/>
        <v>0</v>
      </c>
      <c r="AU402" s="663">
        <f t="shared" si="2807"/>
        <v>0</v>
      </c>
      <c r="AV402" s="664">
        <f t="shared" si="2808"/>
        <v>0</v>
      </c>
      <c r="AW402" s="660">
        <f t="shared" si="2832"/>
        <v>0</v>
      </c>
      <c r="AX402" s="663">
        <f t="shared" ref="AX402" si="3048">IF(AP402=0,0,AL402+AT402/$J$19*c_Hurdle3.Share_GP)</f>
        <v>0</v>
      </c>
      <c r="AY402" s="663">
        <f t="shared" si="2834"/>
        <v>0</v>
      </c>
      <c r="AZ402" s="660">
        <f t="shared" si="2854"/>
        <v>0</v>
      </c>
      <c r="BA402" s="521"/>
      <c r="BB402" s="660">
        <f t="shared" ref="BB402:BB416" si="3049">$AZ402-BC402</f>
        <v>0</v>
      </c>
      <c r="BC402" s="660">
        <f t="shared" ref="BC402" si="3050">$AZ402*c_Residual.Share_GP</f>
        <v>0</v>
      </c>
      <c r="BD402" s="651"/>
      <c r="BE402" s="660">
        <f t="shared" si="2836"/>
        <v>0</v>
      </c>
      <c r="BF402" s="660">
        <f t="shared" si="2836"/>
        <v>0</v>
      </c>
      <c r="BG402" s="660">
        <f t="shared" si="2811"/>
        <v>0</v>
      </c>
      <c r="BI402" s="660">
        <v>0</v>
      </c>
      <c r="BJ402" s="660">
        <v>0</v>
      </c>
      <c r="BK402" s="660">
        <v>0</v>
      </c>
      <c r="BL402" s="660">
        <f t="shared" si="2837"/>
        <v>0</v>
      </c>
      <c r="BM402" s="660">
        <f t="shared" si="2837"/>
        <v>0</v>
      </c>
      <c r="BN402" s="660">
        <f t="shared" si="2838"/>
        <v>0</v>
      </c>
      <c r="BO402" s="660">
        <f t="shared" si="2838"/>
        <v>0</v>
      </c>
      <c r="BP402" s="660">
        <f t="shared" si="2839"/>
        <v>0</v>
      </c>
      <c r="BQ402" s="660">
        <f t="shared" si="2839"/>
        <v>0</v>
      </c>
      <c r="BR402" s="660">
        <v>0</v>
      </c>
      <c r="BS402" s="660">
        <v>0</v>
      </c>
      <c r="BT402" s="660">
        <f t="shared" si="2812"/>
        <v>0</v>
      </c>
      <c r="BU402" s="660">
        <f t="shared" si="2812"/>
        <v>0</v>
      </c>
      <c r="BX402" s="660">
        <v>0</v>
      </c>
      <c r="BY402" s="660">
        <f t="shared" si="2840"/>
        <v>0</v>
      </c>
      <c r="BZ402" s="660">
        <f t="shared" si="2813"/>
        <v>0</v>
      </c>
      <c r="CA402" s="660">
        <f t="shared" si="2814"/>
        <v>0</v>
      </c>
      <c r="CB402" s="660">
        <f t="shared" si="2815"/>
        <v>0</v>
      </c>
      <c r="CC402" s="660">
        <f t="shared" si="2816"/>
        <v>0</v>
      </c>
      <c r="CD402" s="660">
        <f t="shared" si="2841"/>
        <v>0</v>
      </c>
    </row>
    <row r="403" spans="4:82" ht="16" hidden="1" thickTop="1" thickBot="1">
      <c r="D403" s="653"/>
      <c r="E403" s="654"/>
      <c r="F403" s="655" t="str">
        <f t="shared" si="2817"/>
        <v/>
      </c>
      <c r="G403" s="656"/>
      <c r="I403" s="658">
        <f t="shared" si="2818"/>
        <v>0</v>
      </c>
      <c r="J403" s="658">
        <f t="shared" ref="J403" si="3051">IF($G403=0,0,-MIN(0,G403*c_EquityShare.LP))</f>
        <v>0</v>
      </c>
      <c r="K403" s="658">
        <f t="shared" ref="K403" si="3052">I403*c_Rate.Pref_MO</f>
        <v>0</v>
      </c>
      <c r="L403" s="658">
        <f t="shared" si="2794"/>
        <v>0</v>
      </c>
      <c r="M403" s="658">
        <f t="shared" si="2821"/>
        <v>0</v>
      </c>
      <c r="N403" s="658">
        <f t="shared" si="2844"/>
        <v>0</v>
      </c>
      <c r="O403" s="658" cm="1">
        <f t="array" ref="O403">IF(I403=0,0,IF(G403&lt;0,N403/c_EquityShare.LP*i_EquityShare.GP,L403/c_EquityShare.LP*i_EquityShare.GP))</f>
        <v>0</v>
      </c>
      <c r="P403" s="658">
        <f t="shared" si="2822"/>
        <v>0</v>
      </c>
      <c r="Q403" s="658">
        <f t="shared" si="2795"/>
        <v>0</v>
      </c>
      <c r="R403" s="521"/>
      <c r="S403" s="660">
        <f t="shared" si="2823"/>
        <v>0</v>
      </c>
      <c r="T403" s="663" cm="1">
        <f t="array" ref="T403">IF($G403=0,0,-MIN(0,$G403*c_EquityShare.LP))</f>
        <v>0</v>
      </c>
      <c r="U403" s="663" cm="1">
        <f t="array" ref="U403">IF($D403=0,0,S403*c_Rate.Hurdle1.MO)</f>
        <v>0</v>
      </c>
      <c r="V403" s="660">
        <f t="shared" si="2845"/>
        <v>0</v>
      </c>
      <c r="W403" s="660">
        <f t="shared" si="2824"/>
        <v>0</v>
      </c>
      <c r="X403" s="663">
        <f t="shared" si="2846"/>
        <v>0</v>
      </c>
      <c r="Y403" s="663">
        <f t="shared" si="2825"/>
        <v>0</v>
      </c>
      <c r="Z403" s="663">
        <f t="shared" ref="Z403" si="3053">IF(S403=0,0,O403+W403/$J$17*c_Hurdle1.Share_GP)</f>
        <v>0</v>
      </c>
      <c r="AA403" s="663">
        <f t="shared" si="2797"/>
        <v>0</v>
      </c>
      <c r="AB403" s="660">
        <f t="shared" si="2848"/>
        <v>0</v>
      </c>
      <c r="AC403" s="521"/>
      <c r="AD403" s="663">
        <f t="shared" si="2987"/>
        <v>0</v>
      </c>
      <c r="AE403" s="663">
        <f t="shared" ref="AE403" si="3054">IF($G403=0,0,-MIN(0,$G403*c_EquityShare.LP))</f>
        <v>0</v>
      </c>
      <c r="AF403" s="663" cm="1">
        <f t="array" ref="AF403">IF($D403=0,0,AD403*(c_Rate.Hurdle2.MO))</f>
        <v>0</v>
      </c>
      <c r="AG403" s="663">
        <f t="shared" si="2799"/>
        <v>0</v>
      </c>
      <c r="AH403" s="663">
        <f t="shared" si="2828"/>
        <v>0</v>
      </c>
      <c r="AI403" s="663">
        <f t="shared" si="2800"/>
        <v>0</v>
      </c>
      <c r="AJ403" s="664">
        <f t="shared" si="2801"/>
        <v>0</v>
      </c>
      <c r="AK403" s="660">
        <f t="shared" si="2802"/>
        <v>0</v>
      </c>
      <c r="AL403" s="663">
        <f t="shared" ref="AL403" si="3055">IF(AD403=0,0,Z403+AH403/$J$18*c_Hurdle2.Share_GP)</f>
        <v>0</v>
      </c>
      <c r="AM403" s="663">
        <f t="shared" si="2804"/>
        <v>0</v>
      </c>
      <c r="AN403" s="660">
        <f t="shared" si="2851"/>
        <v>0</v>
      </c>
      <c r="AO403" s="521"/>
      <c r="AP403" s="663">
        <f t="shared" si="2990"/>
        <v>0</v>
      </c>
      <c r="AQ403" s="663">
        <f t="shared" ref="AQ403" si="3056">IF($G403=0,0,-MIN(0,$G403*c_EquityShare.LP))</f>
        <v>0</v>
      </c>
      <c r="AR403" s="663" cm="1">
        <f t="array" ref="AR403">IF($D403=0,0,AP403*(c_Rate.Hurdle3.MO))</f>
        <v>0</v>
      </c>
      <c r="AS403" s="663">
        <f t="shared" si="2806"/>
        <v>0</v>
      </c>
      <c r="AT403" s="663">
        <f t="shared" si="2831"/>
        <v>0</v>
      </c>
      <c r="AU403" s="663">
        <f t="shared" si="2807"/>
        <v>0</v>
      </c>
      <c r="AV403" s="664">
        <f t="shared" si="2808"/>
        <v>0</v>
      </c>
      <c r="AW403" s="660">
        <f t="shared" si="2832"/>
        <v>0</v>
      </c>
      <c r="AX403" s="663">
        <f t="shared" ref="AX403" si="3057">IF(AP403=0,0,AL403+AT403/$J$19*c_Hurdle3.Share_GP)</f>
        <v>0</v>
      </c>
      <c r="AY403" s="663">
        <f t="shared" si="2834"/>
        <v>0</v>
      </c>
      <c r="AZ403" s="660">
        <f t="shared" si="2854"/>
        <v>0</v>
      </c>
      <c r="BA403" s="521"/>
      <c r="BB403" s="660">
        <f t="shared" si="3049"/>
        <v>0</v>
      </c>
      <c r="BC403" s="660">
        <f t="shared" ref="BC403" si="3058">$AZ403*c_Residual.Share_GP</f>
        <v>0</v>
      </c>
      <c r="BD403" s="651"/>
      <c r="BE403" s="660">
        <f t="shared" si="2836"/>
        <v>0</v>
      </c>
      <c r="BF403" s="660">
        <f t="shared" si="2836"/>
        <v>0</v>
      </c>
      <c r="BG403" s="660">
        <f t="shared" si="2811"/>
        <v>0</v>
      </c>
      <c r="BI403" s="660">
        <v>0</v>
      </c>
      <c r="BJ403" s="660">
        <v>0</v>
      </c>
      <c r="BK403" s="660">
        <v>0</v>
      </c>
      <c r="BL403" s="660">
        <f t="shared" si="2837"/>
        <v>0</v>
      </c>
      <c r="BM403" s="660">
        <f t="shared" si="2837"/>
        <v>0</v>
      </c>
      <c r="BN403" s="660">
        <f t="shared" si="2838"/>
        <v>0</v>
      </c>
      <c r="BO403" s="660">
        <f t="shared" si="2838"/>
        <v>0</v>
      </c>
      <c r="BP403" s="660">
        <f t="shared" si="2839"/>
        <v>0</v>
      </c>
      <c r="BQ403" s="660">
        <f t="shared" si="2839"/>
        <v>0</v>
      </c>
      <c r="BR403" s="660">
        <v>0</v>
      </c>
      <c r="BS403" s="660">
        <v>0</v>
      </c>
      <c r="BT403" s="660">
        <f t="shared" si="2812"/>
        <v>0</v>
      </c>
      <c r="BU403" s="660">
        <f t="shared" si="2812"/>
        <v>0</v>
      </c>
      <c r="BX403" s="660">
        <v>0</v>
      </c>
      <c r="BY403" s="660">
        <f t="shared" si="2840"/>
        <v>0</v>
      </c>
      <c r="BZ403" s="660">
        <f t="shared" si="2813"/>
        <v>0</v>
      </c>
      <c r="CA403" s="660">
        <f t="shared" si="2814"/>
        <v>0</v>
      </c>
      <c r="CB403" s="660">
        <f t="shared" si="2815"/>
        <v>0</v>
      </c>
      <c r="CC403" s="660">
        <f t="shared" si="2816"/>
        <v>0</v>
      </c>
      <c r="CD403" s="660">
        <f t="shared" si="2841"/>
        <v>0</v>
      </c>
    </row>
    <row r="404" spans="4:82" ht="16" hidden="1" thickTop="1" thickBot="1">
      <c r="D404" s="653"/>
      <c r="E404" s="654"/>
      <c r="F404" s="655" t="str">
        <f t="shared" si="2817"/>
        <v/>
      </c>
      <c r="G404" s="656"/>
      <c r="I404" s="658">
        <f t="shared" si="2818"/>
        <v>0</v>
      </c>
      <c r="J404" s="658">
        <f t="shared" ref="J404" si="3059">IF($G404=0,0,-MIN(0,G404*c_EquityShare.LP))</f>
        <v>0</v>
      </c>
      <c r="K404" s="658">
        <f t="shared" ref="K404" si="3060">I404*c_Rate.Pref_MO</f>
        <v>0</v>
      </c>
      <c r="L404" s="658">
        <f t="shared" si="2794"/>
        <v>0</v>
      </c>
      <c r="M404" s="658">
        <f t="shared" si="2821"/>
        <v>0</v>
      </c>
      <c r="N404" s="658">
        <f t="shared" si="2844"/>
        <v>0</v>
      </c>
      <c r="O404" s="658" cm="1">
        <f t="array" ref="O404">IF(I404=0,0,IF(G404&lt;0,N404/c_EquityShare.LP*i_EquityShare.GP,L404/c_EquityShare.LP*i_EquityShare.GP))</f>
        <v>0</v>
      </c>
      <c r="P404" s="658">
        <f t="shared" si="2822"/>
        <v>0</v>
      </c>
      <c r="Q404" s="658">
        <f t="shared" si="2795"/>
        <v>0</v>
      </c>
      <c r="R404" s="521"/>
      <c r="S404" s="660">
        <f t="shared" si="2823"/>
        <v>0</v>
      </c>
      <c r="T404" s="663" cm="1">
        <f t="array" ref="T404">IF($G404=0,0,-MIN(0,$G404*c_EquityShare.LP))</f>
        <v>0</v>
      </c>
      <c r="U404" s="663" cm="1">
        <f t="array" ref="U404">IF($D404=0,0,S404*c_Rate.Hurdle1.MO)</f>
        <v>0</v>
      </c>
      <c r="V404" s="660">
        <f t="shared" si="2845"/>
        <v>0</v>
      </c>
      <c r="W404" s="660">
        <f t="shared" si="2824"/>
        <v>0</v>
      </c>
      <c r="X404" s="663">
        <f t="shared" si="2846"/>
        <v>0</v>
      </c>
      <c r="Y404" s="663">
        <f t="shared" si="2825"/>
        <v>0</v>
      </c>
      <c r="Z404" s="663">
        <f t="shared" ref="Z404" si="3061">IF(S404=0,0,O404+W404/$J$17*c_Hurdle1.Share_GP)</f>
        <v>0</v>
      </c>
      <c r="AA404" s="663">
        <f t="shared" si="2797"/>
        <v>0</v>
      </c>
      <c r="AB404" s="660">
        <f t="shared" si="2848"/>
        <v>0</v>
      </c>
      <c r="AC404" s="521"/>
      <c r="AD404" s="663">
        <f t="shared" si="2987"/>
        <v>0</v>
      </c>
      <c r="AE404" s="663">
        <f t="shared" ref="AE404" si="3062">IF($G404=0,0,-MIN(0,$G404*c_EquityShare.LP))</f>
        <v>0</v>
      </c>
      <c r="AF404" s="663" cm="1">
        <f t="array" ref="AF404">IF($D404=0,0,AD404*(c_Rate.Hurdle2.MO))</f>
        <v>0</v>
      </c>
      <c r="AG404" s="663">
        <f t="shared" si="2799"/>
        <v>0</v>
      </c>
      <c r="AH404" s="663">
        <f t="shared" si="2828"/>
        <v>0</v>
      </c>
      <c r="AI404" s="663">
        <f t="shared" si="2800"/>
        <v>0</v>
      </c>
      <c r="AJ404" s="664">
        <f t="shared" si="2801"/>
        <v>0</v>
      </c>
      <c r="AK404" s="660">
        <f t="shared" si="2802"/>
        <v>0</v>
      </c>
      <c r="AL404" s="663">
        <f t="shared" ref="AL404" si="3063">IF(AD404=0,0,Z404+AH404/$J$18*c_Hurdle2.Share_GP)</f>
        <v>0</v>
      </c>
      <c r="AM404" s="663">
        <f t="shared" si="2804"/>
        <v>0</v>
      </c>
      <c r="AN404" s="660">
        <f t="shared" si="2851"/>
        <v>0</v>
      </c>
      <c r="AO404" s="521"/>
      <c r="AP404" s="663">
        <f t="shared" si="2990"/>
        <v>0</v>
      </c>
      <c r="AQ404" s="663">
        <f t="shared" ref="AQ404" si="3064">IF($G404=0,0,-MIN(0,$G404*c_EquityShare.LP))</f>
        <v>0</v>
      </c>
      <c r="AR404" s="663" cm="1">
        <f t="array" ref="AR404">IF($D404=0,0,AP404*(c_Rate.Hurdle3.MO))</f>
        <v>0</v>
      </c>
      <c r="AS404" s="663">
        <f t="shared" si="2806"/>
        <v>0</v>
      </c>
      <c r="AT404" s="663">
        <f t="shared" si="2831"/>
        <v>0</v>
      </c>
      <c r="AU404" s="663">
        <f t="shared" si="2807"/>
        <v>0</v>
      </c>
      <c r="AV404" s="664">
        <f t="shared" si="2808"/>
        <v>0</v>
      </c>
      <c r="AW404" s="660">
        <f t="shared" si="2832"/>
        <v>0</v>
      </c>
      <c r="AX404" s="663">
        <f t="shared" ref="AX404" si="3065">IF(AP404=0,0,AL404+AT404/$J$19*c_Hurdle3.Share_GP)</f>
        <v>0</v>
      </c>
      <c r="AY404" s="663">
        <f t="shared" si="2834"/>
        <v>0</v>
      </c>
      <c r="AZ404" s="660">
        <f t="shared" si="2854"/>
        <v>0</v>
      </c>
      <c r="BA404" s="521"/>
      <c r="BB404" s="660">
        <f t="shared" si="3049"/>
        <v>0</v>
      </c>
      <c r="BC404" s="660">
        <f t="shared" ref="BC404" si="3066">$AZ404*c_Residual.Share_GP</f>
        <v>0</v>
      </c>
      <c r="BD404" s="651"/>
      <c r="BE404" s="660">
        <f t="shared" si="2836"/>
        <v>0</v>
      </c>
      <c r="BF404" s="660">
        <f t="shared" si="2836"/>
        <v>0</v>
      </c>
      <c r="BG404" s="660">
        <f t="shared" si="2811"/>
        <v>0</v>
      </c>
      <c r="BI404" s="660">
        <v>0</v>
      </c>
      <c r="BJ404" s="660">
        <v>0</v>
      </c>
      <c r="BK404" s="660">
        <v>0</v>
      </c>
      <c r="BL404" s="660">
        <f t="shared" si="2837"/>
        <v>0</v>
      </c>
      <c r="BM404" s="660">
        <f t="shared" si="2837"/>
        <v>0</v>
      </c>
      <c r="BN404" s="660">
        <f t="shared" si="2838"/>
        <v>0</v>
      </c>
      <c r="BO404" s="660">
        <f t="shared" si="2838"/>
        <v>0</v>
      </c>
      <c r="BP404" s="660">
        <f t="shared" si="2839"/>
        <v>0</v>
      </c>
      <c r="BQ404" s="660">
        <f t="shared" si="2839"/>
        <v>0</v>
      </c>
      <c r="BR404" s="660">
        <v>0</v>
      </c>
      <c r="BS404" s="660">
        <v>0</v>
      </c>
      <c r="BT404" s="660">
        <f t="shared" si="2812"/>
        <v>0</v>
      </c>
      <c r="BU404" s="660">
        <f t="shared" si="2812"/>
        <v>0</v>
      </c>
      <c r="BX404" s="660">
        <v>0</v>
      </c>
      <c r="BY404" s="660">
        <f t="shared" si="2840"/>
        <v>0</v>
      </c>
      <c r="BZ404" s="660">
        <f t="shared" si="2813"/>
        <v>0</v>
      </c>
      <c r="CA404" s="660">
        <f t="shared" si="2814"/>
        <v>0</v>
      </c>
      <c r="CB404" s="660">
        <f t="shared" si="2815"/>
        <v>0</v>
      </c>
      <c r="CC404" s="660">
        <f t="shared" si="2816"/>
        <v>0</v>
      </c>
      <c r="CD404" s="660">
        <f t="shared" si="2841"/>
        <v>0</v>
      </c>
    </row>
    <row r="405" spans="4:82" ht="16" hidden="1" thickTop="1" thickBot="1">
      <c r="D405" s="653"/>
      <c r="E405" s="654"/>
      <c r="F405" s="655" t="str">
        <f t="shared" si="2817"/>
        <v/>
      </c>
      <c r="G405" s="656"/>
      <c r="I405" s="658">
        <f t="shared" si="2818"/>
        <v>0</v>
      </c>
      <c r="J405" s="658">
        <f t="shared" ref="J405" si="3067">IF($G405=0,0,-MIN(0,G405*c_EquityShare.LP))</f>
        <v>0</v>
      </c>
      <c r="K405" s="658">
        <f t="shared" ref="K405" si="3068">I405*c_Rate.Pref_MO</f>
        <v>0</v>
      </c>
      <c r="L405" s="658">
        <f t="shared" si="2794"/>
        <v>0</v>
      </c>
      <c r="M405" s="658">
        <f t="shared" si="2821"/>
        <v>0</v>
      </c>
      <c r="N405" s="658">
        <f t="shared" si="2844"/>
        <v>0</v>
      </c>
      <c r="O405" s="658" cm="1">
        <f t="array" ref="O405">IF(I405=0,0,IF(G405&lt;0,N405/c_EquityShare.LP*i_EquityShare.GP,L405/c_EquityShare.LP*i_EquityShare.GP))</f>
        <v>0</v>
      </c>
      <c r="P405" s="658">
        <f t="shared" si="2822"/>
        <v>0</v>
      </c>
      <c r="Q405" s="658">
        <f t="shared" si="2795"/>
        <v>0</v>
      </c>
      <c r="R405" s="521"/>
      <c r="S405" s="660">
        <f t="shared" si="2823"/>
        <v>0</v>
      </c>
      <c r="T405" s="663" cm="1">
        <f t="array" ref="T405">IF($G405=0,0,-MIN(0,$G405*c_EquityShare.LP))</f>
        <v>0</v>
      </c>
      <c r="U405" s="663" cm="1">
        <f t="array" ref="U405">IF($D405=0,0,S405*c_Rate.Hurdle1.MO)</f>
        <v>0</v>
      </c>
      <c r="V405" s="660">
        <f t="shared" si="2845"/>
        <v>0</v>
      </c>
      <c r="W405" s="660">
        <f t="shared" si="2824"/>
        <v>0</v>
      </c>
      <c r="X405" s="663">
        <f t="shared" si="2846"/>
        <v>0</v>
      </c>
      <c r="Y405" s="663">
        <f t="shared" si="2825"/>
        <v>0</v>
      </c>
      <c r="Z405" s="663">
        <f t="shared" ref="Z405" si="3069">IF(S405=0,0,O405+W405/$J$17*c_Hurdle1.Share_GP)</f>
        <v>0</v>
      </c>
      <c r="AA405" s="663">
        <f t="shared" si="2797"/>
        <v>0</v>
      </c>
      <c r="AB405" s="660">
        <f t="shared" si="2848"/>
        <v>0</v>
      </c>
      <c r="AC405" s="521"/>
      <c r="AD405" s="663">
        <f t="shared" si="2987"/>
        <v>0</v>
      </c>
      <c r="AE405" s="663">
        <f t="shared" ref="AE405" si="3070">IF($G405=0,0,-MIN(0,$G405*c_EquityShare.LP))</f>
        <v>0</v>
      </c>
      <c r="AF405" s="663" cm="1">
        <f t="array" ref="AF405">IF($D405=0,0,AD405*(c_Rate.Hurdle2.MO))</f>
        <v>0</v>
      </c>
      <c r="AG405" s="663">
        <f t="shared" si="2799"/>
        <v>0</v>
      </c>
      <c r="AH405" s="663">
        <f t="shared" si="2828"/>
        <v>0</v>
      </c>
      <c r="AI405" s="663">
        <f t="shared" si="2800"/>
        <v>0</v>
      </c>
      <c r="AJ405" s="664">
        <f t="shared" si="2801"/>
        <v>0</v>
      </c>
      <c r="AK405" s="660">
        <f t="shared" si="2802"/>
        <v>0</v>
      </c>
      <c r="AL405" s="663">
        <f t="shared" ref="AL405" si="3071">IF(AD405=0,0,Z405+AH405/$J$18*c_Hurdle2.Share_GP)</f>
        <v>0</v>
      </c>
      <c r="AM405" s="663">
        <f t="shared" si="2804"/>
        <v>0</v>
      </c>
      <c r="AN405" s="660">
        <f t="shared" si="2851"/>
        <v>0</v>
      </c>
      <c r="AO405" s="521"/>
      <c r="AP405" s="663">
        <f t="shared" si="2990"/>
        <v>0</v>
      </c>
      <c r="AQ405" s="663">
        <f t="shared" ref="AQ405" si="3072">IF($G405=0,0,-MIN(0,$G405*c_EquityShare.LP))</f>
        <v>0</v>
      </c>
      <c r="AR405" s="663" cm="1">
        <f t="array" ref="AR405">IF($D405=0,0,AP405*(c_Rate.Hurdle3.MO))</f>
        <v>0</v>
      </c>
      <c r="AS405" s="663">
        <f t="shared" si="2806"/>
        <v>0</v>
      </c>
      <c r="AT405" s="663">
        <f t="shared" si="2831"/>
        <v>0</v>
      </c>
      <c r="AU405" s="663">
        <f t="shared" si="2807"/>
        <v>0</v>
      </c>
      <c r="AV405" s="664">
        <f t="shared" si="2808"/>
        <v>0</v>
      </c>
      <c r="AW405" s="660">
        <f t="shared" si="2832"/>
        <v>0</v>
      </c>
      <c r="AX405" s="663">
        <f t="shared" ref="AX405" si="3073">IF(AP405=0,0,AL405+AT405/$J$19*c_Hurdle3.Share_GP)</f>
        <v>0</v>
      </c>
      <c r="AY405" s="663">
        <f t="shared" si="2834"/>
        <v>0</v>
      </c>
      <c r="AZ405" s="660">
        <f t="shared" si="2854"/>
        <v>0</v>
      </c>
      <c r="BA405" s="521"/>
      <c r="BB405" s="660">
        <f t="shared" si="3049"/>
        <v>0</v>
      </c>
      <c r="BC405" s="660">
        <f t="shared" ref="BC405" si="3074">$AZ405*c_Residual.Share_GP</f>
        <v>0</v>
      </c>
      <c r="BD405" s="651"/>
      <c r="BE405" s="660">
        <f t="shared" si="2836"/>
        <v>0</v>
      </c>
      <c r="BF405" s="660">
        <f t="shared" si="2836"/>
        <v>0</v>
      </c>
      <c r="BG405" s="660">
        <f t="shared" si="2811"/>
        <v>0</v>
      </c>
      <c r="BI405" s="660">
        <v>0</v>
      </c>
      <c r="BJ405" s="660">
        <v>0</v>
      </c>
      <c r="BK405" s="660">
        <v>0</v>
      </c>
      <c r="BL405" s="660">
        <f t="shared" si="2837"/>
        <v>0</v>
      </c>
      <c r="BM405" s="660">
        <f t="shared" si="2837"/>
        <v>0</v>
      </c>
      <c r="BN405" s="660">
        <f t="shared" si="2838"/>
        <v>0</v>
      </c>
      <c r="BO405" s="660">
        <f t="shared" si="2838"/>
        <v>0</v>
      </c>
      <c r="BP405" s="660">
        <f t="shared" si="2839"/>
        <v>0</v>
      </c>
      <c r="BQ405" s="660">
        <f t="shared" si="2839"/>
        <v>0</v>
      </c>
      <c r="BR405" s="660">
        <v>0</v>
      </c>
      <c r="BS405" s="660">
        <v>0</v>
      </c>
      <c r="BT405" s="660">
        <f t="shared" si="2812"/>
        <v>0</v>
      </c>
      <c r="BU405" s="660">
        <f t="shared" si="2812"/>
        <v>0</v>
      </c>
      <c r="BX405" s="660">
        <v>0</v>
      </c>
      <c r="BY405" s="660">
        <f t="shared" si="2840"/>
        <v>0</v>
      </c>
      <c r="BZ405" s="660">
        <f t="shared" si="2813"/>
        <v>0</v>
      </c>
      <c r="CA405" s="660">
        <f t="shared" si="2814"/>
        <v>0</v>
      </c>
      <c r="CB405" s="660">
        <f t="shared" si="2815"/>
        <v>0</v>
      </c>
      <c r="CC405" s="660">
        <f t="shared" si="2816"/>
        <v>0</v>
      </c>
      <c r="CD405" s="660">
        <f t="shared" si="2841"/>
        <v>0</v>
      </c>
    </row>
    <row r="406" spans="4:82" ht="16" hidden="1" thickTop="1" thickBot="1">
      <c r="D406" s="653"/>
      <c r="E406" s="654"/>
      <c r="F406" s="655" t="str">
        <f t="shared" si="2817"/>
        <v/>
      </c>
      <c r="G406" s="656"/>
      <c r="I406" s="658">
        <f t="shared" si="2818"/>
        <v>0</v>
      </c>
      <c r="J406" s="658">
        <f t="shared" ref="J406" si="3075">IF($G406=0,0,-MIN(0,G406*c_EquityShare.LP))</f>
        <v>0</v>
      </c>
      <c r="K406" s="658">
        <f t="shared" ref="K406" si="3076">I406*c_Rate.Pref_MO</f>
        <v>0</v>
      </c>
      <c r="L406" s="658">
        <f t="shared" si="2794"/>
        <v>0</v>
      </c>
      <c r="M406" s="658">
        <f t="shared" si="2821"/>
        <v>0</v>
      </c>
      <c r="N406" s="658">
        <f t="shared" si="2844"/>
        <v>0</v>
      </c>
      <c r="O406" s="658" cm="1">
        <f t="array" ref="O406">IF(I406=0,0,IF(G406&lt;0,N406/c_EquityShare.LP*i_EquityShare.GP,L406/c_EquityShare.LP*i_EquityShare.GP))</f>
        <v>0</v>
      </c>
      <c r="P406" s="658">
        <f t="shared" si="2822"/>
        <v>0</v>
      </c>
      <c r="Q406" s="658">
        <f t="shared" si="2795"/>
        <v>0</v>
      </c>
      <c r="R406" s="521"/>
      <c r="S406" s="660">
        <f t="shared" si="2823"/>
        <v>0</v>
      </c>
      <c r="T406" s="663" cm="1">
        <f t="array" ref="T406">IF($G406=0,0,-MIN(0,$G406*c_EquityShare.LP))</f>
        <v>0</v>
      </c>
      <c r="U406" s="663" cm="1">
        <f t="array" ref="U406">IF($D406=0,0,S406*c_Rate.Hurdle1.MO)</f>
        <v>0</v>
      </c>
      <c r="V406" s="660">
        <f t="shared" si="2845"/>
        <v>0</v>
      </c>
      <c r="W406" s="660">
        <f t="shared" si="2824"/>
        <v>0</v>
      </c>
      <c r="X406" s="663">
        <f t="shared" si="2846"/>
        <v>0</v>
      </c>
      <c r="Y406" s="663">
        <f t="shared" si="2825"/>
        <v>0</v>
      </c>
      <c r="Z406" s="663">
        <f t="shared" ref="Z406" si="3077">IF(S406=0,0,O406+W406/$J$17*c_Hurdle1.Share_GP)</f>
        <v>0</v>
      </c>
      <c r="AA406" s="663">
        <f t="shared" si="2797"/>
        <v>0</v>
      </c>
      <c r="AB406" s="660">
        <f t="shared" si="2848"/>
        <v>0</v>
      </c>
      <c r="AC406" s="521"/>
      <c r="AD406" s="663">
        <f t="shared" si="2987"/>
        <v>0</v>
      </c>
      <c r="AE406" s="663">
        <f t="shared" ref="AE406" si="3078">IF($G406=0,0,-MIN(0,$G406*c_EquityShare.LP))</f>
        <v>0</v>
      </c>
      <c r="AF406" s="663" cm="1">
        <f t="array" ref="AF406">IF($D406=0,0,AD406*(c_Rate.Hurdle2.MO))</f>
        <v>0</v>
      </c>
      <c r="AG406" s="663">
        <f t="shared" si="2799"/>
        <v>0</v>
      </c>
      <c r="AH406" s="663">
        <f t="shared" si="2828"/>
        <v>0</v>
      </c>
      <c r="AI406" s="663">
        <f t="shared" si="2800"/>
        <v>0</v>
      </c>
      <c r="AJ406" s="664">
        <f t="shared" si="2801"/>
        <v>0</v>
      </c>
      <c r="AK406" s="660">
        <f t="shared" si="2802"/>
        <v>0</v>
      </c>
      <c r="AL406" s="663">
        <f t="shared" ref="AL406" si="3079">IF(AD406=0,0,Z406+AH406/$J$18*c_Hurdle2.Share_GP)</f>
        <v>0</v>
      </c>
      <c r="AM406" s="663">
        <f t="shared" si="2804"/>
        <v>0</v>
      </c>
      <c r="AN406" s="660">
        <f t="shared" si="2851"/>
        <v>0</v>
      </c>
      <c r="AO406" s="521"/>
      <c r="AP406" s="663">
        <f t="shared" si="2990"/>
        <v>0</v>
      </c>
      <c r="AQ406" s="663">
        <f t="shared" ref="AQ406" si="3080">IF($G406=0,0,-MIN(0,$G406*c_EquityShare.LP))</f>
        <v>0</v>
      </c>
      <c r="AR406" s="663" cm="1">
        <f t="array" ref="AR406">IF($D406=0,0,AP406*(c_Rate.Hurdle3.MO))</f>
        <v>0</v>
      </c>
      <c r="AS406" s="663">
        <f t="shared" si="2806"/>
        <v>0</v>
      </c>
      <c r="AT406" s="663">
        <f t="shared" si="2831"/>
        <v>0</v>
      </c>
      <c r="AU406" s="663">
        <f t="shared" si="2807"/>
        <v>0</v>
      </c>
      <c r="AV406" s="664">
        <f t="shared" si="2808"/>
        <v>0</v>
      </c>
      <c r="AW406" s="660">
        <f t="shared" si="2832"/>
        <v>0</v>
      </c>
      <c r="AX406" s="663">
        <f t="shared" ref="AX406" si="3081">IF(AP406=0,0,AL406+AT406/$J$19*c_Hurdle3.Share_GP)</f>
        <v>0</v>
      </c>
      <c r="AY406" s="663">
        <f t="shared" si="2834"/>
        <v>0</v>
      </c>
      <c r="AZ406" s="660">
        <f t="shared" si="2854"/>
        <v>0</v>
      </c>
      <c r="BA406" s="521"/>
      <c r="BB406" s="660">
        <f t="shared" si="3049"/>
        <v>0</v>
      </c>
      <c r="BC406" s="660">
        <f t="shared" ref="BC406" si="3082">$AZ406*c_Residual.Share_GP</f>
        <v>0</v>
      </c>
      <c r="BD406" s="651"/>
      <c r="BE406" s="660">
        <f t="shared" si="2836"/>
        <v>0</v>
      </c>
      <c r="BF406" s="660">
        <f t="shared" si="2836"/>
        <v>0</v>
      </c>
      <c r="BG406" s="660">
        <f t="shared" si="2811"/>
        <v>0</v>
      </c>
      <c r="BI406" s="660">
        <v>0</v>
      </c>
      <c r="BJ406" s="660">
        <v>0</v>
      </c>
      <c r="BK406" s="660">
        <v>0</v>
      </c>
      <c r="BL406" s="660">
        <f t="shared" si="2837"/>
        <v>0</v>
      </c>
      <c r="BM406" s="660">
        <f t="shared" si="2837"/>
        <v>0</v>
      </c>
      <c r="BN406" s="660">
        <f t="shared" si="2838"/>
        <v>0</v>
      </c>
      <c r="BO406" s="660">
        <f t="shared" si="2838"/>
        <v>0</v>
      </c>
      <c r="BP406" s="660">
        <f t="shared" si="2839"/>
        <v>0</v>
      </c>
      <c r="BQ406" s="660">
        <f t="shared" si="2839"/>
        <v>0</v>
      </c>
      <c r="BR406" s="660">
        <v>0</v>
      </c>
      <c r="BS406" s="660">
        <v>0</v>
      </c>
      <c r="BT406" s="660">
        <f t="shared" si="2812"/>
        <v>0</v>
      </c>
      <c r="BU406" s="660">
        <f t="shared" si="2812"/>
        <v>0</v>
      </c>
      <c r="BX406" s="660">
        <v>0</v>
      </c>
      <c r="BY406" s="660">
        <f t="shared" si="2840"/>
        <v>0</v>
      </c>
      <c r="BZ406" s="660">
        <f t="shared" si="2813"/>
        <v>0</v>
      </c>
      <c r="CA406" s="660">
        <f t="shared" si="2814"/>
        <v>0</v>
      </c>
      <c r="CB406" s="660">
        <f t="shared" si="2815"/>
        <v>0</v>
      </c>
      <c r="CC406" s="660">
        <f t="shared" si="2816"/>
        <v>0</v>
      </c>
      <c r="CD406" s="660">
        <f t="shared" si="2841"/>
        <v>0</v>
      </c>
    </row>
    <row r="407" spans="4:82" ht="16" hidden="1" thickTop="1" thickBot="1">
      <c r="D407" s="653"/>
      <c r="E407" s="654"/>
      <c r="F407" s="655" t="str">
        <f t="shared" si="2817"/>
        <v/>
      </c>
      <c r="G407" s="656"/>
      <c r="I407" s="658">
        <f t="shared" si="2818"/>
        <v>0</v>
      </c>
      <c r="J407" s="658">
        <f t="shared" ref="J407" si="3083">IF($G407=0,0,-MIN(0,G407*c_EquityShare.LP))</f>
        <v>0</v>
      </c>
      <c r="K407" s="658">
        <f t="shared" ref="K407" si="3084">I407*c_Rate.Pref_MO</f>
        <v>0</v>
      </c>
      <c r="L407" s="658">
        <f t="shared" si="2794"/>
        <v>0</v>
      </c>
      <c r="M407" s="658">
        <f t="shared" si="2821"/>
        <v>0</v>
      </c>
      <c r="N407" s="658">
        <f t="shared" si="2844"/>
        <v>0</v>
      </c>
      <c r="O407" s="658" cm="1">
        <f t="array" ref="O407">IF(I407=0,0,IF(G407&lt;0,N407/c_EquityShare.LP*i_EquityShare.GP,L407/c_EquityShare.LP*i_EquityShare.GP))</f>
        <v>0</v>
      </c>
      <c r="P407" s="658">
        <f t="shared" si="2822"/>
        <v>0</v>
      </c>
      <c r="Q407" s="658">
        <f t="shared" si="2795"/>
        <v>0</v>
      </c>
      <c r="R407" s="521"/>
      <c r="S407" s="660">
        <f t="shared" si="2823"/>
        <v>0</v>
      </c>
      <c r="T407" s="663" cm="1">
        <f t="array" ref="T407">IF($G407=0,0,-MIN(0,$G407*c_EquityShare.LP))</f>
        <v>0</v>
      </c>
      <c r="U407" s="663" cm="1">
        <f t="array" ref="U407">IF($D407=0,0,S407*c_Rate.Hurdle1.MO)</f>
        <v>0</v>
      </c>
      <c r="V407" s="660">
        <f t="shared" si="2845"/>
        <v>0</v>
      </c>
      <c r="W407" s="660">
        <f t="shared" si="2824"/>
        <v>0</v>
      </c>
      <c r="X407" s="663">
        <f t="shared" si="2846"/>
        <v>0</v>
      </c>
      <c r="Y407" s="663">
        <f t="shared" si="2825"/>
        <v>0</v>
      </c>
      <c r="Z407" s="663">
        <f t="shared" ref="Z407" si="3085">IF(S407=0,0,O407+W407/$J$17*c_Hurdle1.Share_GP)</f>
        <v>0</v>
      </c>
      <c r="AA407" s="663">
        <f t="shared" si="2797"/>
        <v>0</v>
      </c>
      <c r="AB407" s="660">
        <f t="shared" si="2848"/>
        <v>0</v>
      </c>
      <c r="AC407" s="521"/>
      <c r="AD407" s="663">
        <f t="shared" si="2987"/>
        <v>0</v>
      </c>
      <c r="AE407" s="663">
        <f t="shared" ref="AE407" si="3086">IF($G407=0,0,-MIN(0,$G407*c_EquityShare.LP))</f>
        <v>0</v>
      </c>
      <c r="AF407" s="663" cm="1">
        <f t="array" ref="AF407">IF($D407=0,0,AD407*(c_Rate.Hurdle2.MO))</f>
        <v>0</v>
      </c>
      <c r="AG407" s="663">
        <f t="shared" si="2799"/>
        <v>0</v>
      </c>
      <c r="AH407" s="663">
        <f t="shared" si="2828"/>
        <v>0</v>
      </c>
      <c r="AI407" s="663">
        <f t="shared" si="2800"/>
        <v>0</v>
      </c>
      <c r="AJ407" s="664">
        <f t="shared" si="2801"/>
        <v>0</v>
      </c>
      <c r="AK407" s="660">
        <f t="shared" si="2802"/>
        <v>0</v>
      </c>
      <c r="AL407" s="663">
        <f t="shared" ref="AL407" si="3087">IF(AD407=0,0,Z407+AH407/$J$18*c_Hurdle2.Share_GP)</f>
        <v>0</v>
      </c>
      <c r="AM407" s="663">
        <f t="shared" si="2804"/>
        <v>0</v>
      </c>
      <c r="AN407" s="660">
        <f t="shared" si="2851"/>
        <v>0</v>
      </c>
      <c r="AO407" s="521"/>
      <c r="AP407" s="663">
        <f t="shared" si="2990"/>
        <v>0</v>
      </c>
      <c r="AQ407" s="663">
        <f t="shared" ref="AQ407" si="3088">IF($G407=0,0,-MIN(0,$G407*c_EquityShare.LP))</f>
        <v>0</v>
      </c>
      <c r="AR407" s="663" cm="1">
        <f t="array" ref="AR407">IF($D407=0,0,AP407*(c_Rate.Hurdle3.MO))</f>
        <v>0</v>
      </c>
      <c r="AS407" s="663">
        <f t="shared" si="2806"/>
        <v>0</v>
      </c>
      <c r="AT407" s="663">
        <f t="shared" si="2831"/>
        <v>0</v>
      </c>
      <c r="AU407" s="663">
        <f t="shared" si="2807"/>
        <v>0</v>
      </c>
      <c r="AV407" s="664">
        <f t="shared" si="2808"/>
        <v>0</v>
      </c>
      <c r="AW407" s="660">
        <f t="shared" si="2832"/>
        <v>0</v>
      </c>
      <c r="AX407" s="663">
        <f t="shared" ref="AX407" si="3089">IF(AP407=0,0,AL407+AT407/$J$19*c_Hurdle3.Share_GP)</f>
        <v>0</v>
      </c>
      <c r="AY407" s="663">
        <f t="shared" si="2834"/>
        <v>0</v>
      </c>
      <c r="AZ407" s="660">
        <f t="shared" si="2854"/>
        <v>0</v>
      </c>
      <c r="BA407" s="521"/>
      <c r="BB407" s="660">
        <f t="shared" si="3049"/>
        <v>0</v>
      </c>
      <c r="BC407" s="660">
        <f t="shared" ref="BC407" si="3090">$AZ407*c_Residual.Share_GP</f>
        <v>0</v>
      </c>
      <c r="BD407" s="651"/>
      <c r="BE407" s="660">
        <f t="shared" si="2836"/>
        <v>0</v>
      </c>
      <c r="BF407" s="660">
        <f t="shared" si="2836"/>
        <v>0</v>
      </c>
      <c r="BG407" s="660">
        <f t="shared" si="2811"/>
        <v>0</v>
      </c>
      <c r="BI407" s="660">
        <v>0</v>
      </c>
      <c r="BJ407" s="660">
        <v>0</v>
      </c>
      <c r="BK407" s="660">
        <v>0</v>
      </c>
      <c r="BL407" s="660">
        <f t="shared" si="2837"/>
        <v>0</v>
      </c>
      <c r="BM407" s="660">
        <f t="shared" si="2837"/>
        <v>0</v>
      </c>
      <c r="BN407" s="660">
        <f t="shared" si="2838"/>
        <v>0</v>
      </c>
      <c r="BO407" s="660">
        <f t="shared" si="2838"/>
        <v>0</v>
      </c>
      <c r="BP407" s="660">
        <f t="shared" si="2839"/>
        <v>0</v>
      </c>
      <c r="BQ407" s="660">
        <f t="shared" si="2839"/>
        <v>0</v>
      </c>
      <c r="BR407" s="660">
        <v>0</v>
      </c>
      <c r="BS407" s="660">
        <v>0</v>
      </c>
      <c r="BT407" s="660">
        <f t="shared" si="2812"/>
        <v>0</v>
      </c>
      <c r="BU407" s="660">
        <f t="shared" si="2812"/>
        <v>0</v>
      </c>
      <c r="BX407" s="660">
        <v>0</v>
      </c>
      <c r="BY407" s="660">
        <f t="shared" si="2840"/>
        <v>0</v>
      </c>
      <c r="BZ407" s="660">
        <f t="shared" si="2813"/>
        <v>0</v>
      </c>
      <c r="CA407" s="660">
        <f t="shared" si="2814"/>
        <v>0</v>
      </c>
      <c r="CB407" s="660">
        <f t="shared" si="2815"/>
        <v>0</v>
      </c>
      <c r="CC407" s="660">
        <f t="shared" si="2816"/>
        <v>0</v>
      </c>
      <c r="CD407" s="660">
        <f t="shared" si="2841"/>
        <v>0</v>
      </c>
    </row>
    <row r="408" spans="4:82" ht="16" hidden="1" thickTop="1" thickBot="1">
      <c r="D408" s="653"/>
      <c r="E408" s="654"/>
      <c r="F408" s="655" t="str">
        <f t="shared" si="2817"/>
        <v/>
      </c>
      <c r="G408" s="656"/>
      <c r="I408" s="658">
        <f t="shared" si="2818"/>
        <v>0</v>
      </c>
      <c r="J408" s="658">
        <f t="shared" ref="J408" si="3091">IF($G408=0,0,-MIN(0,G408*c_EquityShare.LP))</f>
        <v>0</v>
      </c>
      <c r="K408" s="658">
        <f t="shared" ref="K408" si="3092">I408*c_Rate.Pref_MO</f>
        <v>0</v>
      </c>
      <c r="L408" s="658">
        <f t="shared" si="2794"/>
        <v>0</v>
      </c>
      <c r="M408" s="658">
        <f t="shared" si="2821"/>
        <v>0</v>
      </c>
      <c r="N408" s="658">
        <f t="shared" si="2844"/>
        <v>0</v>
      </c>
      <c r="O408" s="658" cm="1">
        <f t="array" ref="O408">IF(I408=0,0,IF(G408&lt;0,N408/c_EquityShare.LP*i_EquityShare.GP,L408/c_EquityShare.LP*i_EquityShare.GP))</f>
        <v>0</v>
      </c>
      <c r="P408" s="658">
        <f t="shared" si="2822"/>
        <v>0</v>
      </c>
      <c r="Q408" s="658">
        <f t="shared" si="2795"/>
        <v>0</v>
      </c>
      <c r="R408" s="521"/>
      <c r="S408" s="660">
        <f t="shared" si="2823"/>
        <v>0</v>
      </c>
      <c r="T408" s="663" cm="1">
        <f t="array" ref="T408">IF($G408=0,0,-MIN(0,$G408*c_EquityShare.LP))</f>
        <v>0</v>
      </c>
      <c r="U408" s="663" cm="1">
        <f t="array" ref="U408">IF($D408=0,0,S408*c_Rate.Hurdle1.MO)</f>
        <v>0</v>
      </c>
      <c r="V408" s="660">
        <f t="shared" si="2845"/>
        <v>0</v>
      </c>
      <c r="W408" s="660">
        <f t="shared" si="2824"/>
        <v>0</v>
      </c>
      <c r="X408" s="663">
        <f t="shared" si="2846"/>
        <v>0</v>
      </c>
      <c r="Y408" s="663">
        <f t="shared" si="2825"/>
        <v>0</v>
      </c>
      <c r="Z408" s="663">
        <f t="shared" ref="Z408" si="3093">IF(S408=0,0,O408+W408/$J$17*c_Hurdle1.Share_GP)</f>
        <v>0</v>
      </c>
      <c r="AA408" s="663">
        <f t="shared" si="2797"/>
        <v>0</v>
      </c>
      <c r="AB408" s="660">
        <f t="shared" si="2848"/>
        <v>0</v>
      </c>
      <c r="AC408" s="521"/>
      <c r="AD408" s="663">
        <f t="shared" si="2987"/>
        <v>0</v>
      </c>
      <c r="AE408" s="663">
        <f t="shared" ref="AE408" si="3094">IF($G408=0,0,-MIN(0,$G408*c_EquityShare.LP))</f>
        <v>0</v>
      </c>
      <c r="AF408" s="663" cm="1">
        <f t="array" ref="AF408">IF($D408=0,0,AD408*(c_Rate.Hurdle2.MO))</f>
        <v>0</v>
      </c>
      <c r="AG408" s="663">
        <f t="shared" si="2799"/>
        <v>0</v>
      </c>
      <c r="AH408" s="663">
        <f t="shared" si="2828"/>
        <v>0</v>
      </c>
      <c r="AI408" s="663">
        <f t="shared" si="2800"/>
        <v>0</v>
      </c>
      <c r="AJ408" s="664">
        <f t="shared" si="2801"/>
        <v>0</v>
      </c>
      <c r="AK408" s="660">
        <f t="shared" si="2802"/>
        <v>0</v>
      </c>
      <c r="AL408" s="663">
        <f t="shared" ref="AL408" si="3095">IF(AD408=0,0,Z408+AH408/$J$18*c_Hurdle2.Share_GP)</f>
        <v>0</v>
      </c>
      <c r="AM408" s="663">
        <f t="shared" si="2804"/>
        <v>0</v>
      </c>
      <c r="AN408" s="660">
        <f t="shared" si="2851"/>
        <v>0</v>
      </c>
      <c r="AO408" s="521"/>
      <c r="AP408" s="663">
        <f t="shared" si="2990"/>
        <v>0</v>
      </c>
      <c r="AQ408" s="663">
        <f t="shared" ref="AQ408" si="3096">IF($G408=0,0,-MIN(0,$G408*c_EquityShare.LP))</f>
        <v>0</v>
      </c>
      <c r="AR408" s="663" cm="1">
        <f t="array" ref="AR408">IF($D408=0,0,AP408*(c_Rate.Hurdle3.MO))</f>
        <v>0</v>
      </c>
      <c r="AS408" s="663">
        <f t="shared" si="2806"/>
        <v>0</v>
      </c>
      <c r="AT408" s="663">
        <f t="shared" si="2831"/>
        <v>0</v>
      </c>
      <c r="AU408" s="663">
        <f t="shared" si="2807"/>
        <v>0</v>
      </c>
      <c r="AV408" s="664">
        <f t="shared" si="2808"/>
        <v>0</v>
      </c>
      <c r="AW408" s="660">
        <f t="shared" si="2832"/>
        <v>0</v>
      </c>
      <c r="AX408" s="663">
        <f t="shared" ref="AX408" si="3097">IF(AP408=0,0,AL408+AT408/$J$19*c_Hurdle3.Share_GP)</f>
        <v>0</v>
      </c>
      <c r="AY408" s="663">
        <f t="shared" si="2834"/>
        <v>0</v>
      </c>
      <c r="AZ408" s="660">
        <f t="shared" si="2854"/>
        <v>0</v>
      </c>
      <c r="BA408" s="521"/>
      <c r="BB408" s="660">
        <f t="shared" si="3049"/>
        <v>0</v>
      </c>
      <c r="BC408" s="660">
        <f t="shared" ref="BC408" si="3098">$AZ408*c_Residual.Share_GP</f>
        <v>0</v>
      </c>
      <c r="BD408" s="651"/>
      <c r="BE408" s="660">
        <f t="shared" si="2836"/>
        <v>0</v>
      </c>
      <c r="BF408" s="660">
        <f t="shared" si="2836"/>
        <v>0</v>
      </c>
      <c r="BG408" s="660">
        <f t="shared" si="2811"/>
        <v>0</v>
      </c>
      <c r="BI408" s="660">
        <v>0</v>
      </c>
      <c r="BJ408" s="660">
        <v>0</v>
      </c>
      <c r="BK408" s="660">
        <v>0</v>
      </c>
      <c r="BL408" s="660">
        <f t="shared" si="2837"/>
        <v>0</v>
      </c>
      <c r="BM408" s="660">
        <f t="shared" si="2837"/>
        <v>0</v>
      </c>
      <c r="BN408" s="660">
        <f t="shared" si="2838"/>
        <v>0</v>
      </c>
      <c r="BO408" s="660">
        <f t="shared" si="2838"/>
        <v>0</v>
      </c>
      <c r="BP408" s="660">
        <f t="shared" si="2839"/>
        <v>0</v>
      </c>
      <c r="BQ408" s="660">
        <f t="shared" si="2839"/>
        <v>0</v>
      </c>
      <c r="BR408" s="660">
        <v>0</v>
      </c>
      <c r="BS408" s="660">
        <v>0</v>
      </c>
      <c r="BT408" s="660">
        <f t="shared" si="2812"/>
        <v>0</v>
      </c>
      <c r="BU408" s="660">
        <f t="shared" si="2812"/>
        <v>0</v>
      </c>
      <c r="BX408" s="660">
        <v>0</v>
      </c>
      <c r="BY408" s="660">
        <f t="shared" si="2840"/>
        <v>0</v>
      </c>
      <c r="BZ408" s="660">
        <f t="shared" si="2813"/>
        <v>0</v>
      </c>
      <c r="CA408" s="660">
        <f t="shared" si="2814"/>
        <v>0</v>
      </c>
      <c r="CB408" s="660">
        <f t="shared" si="2815"/>
        <v>0</v>
      </c>
      <c r="CC408" s="660">
        <f t="shared" si="2816"/>
        <v>0</v>
      </c>
      <c r="CD408" s="660">
        <f t="shared" si="2841"/>
        <v>0</v>
      </c>
    </row>
    <row r="409" spans="4:82" ht="16" hidden="1" thickTop="1" thickBot="1">
      <c r="D409" s="653"/>
      <c r="E409" s="654"/>
      <c r="F409" s="655" t="str">
        <f t="shared" si="2817"/>
        <v/>
      </c>
      <c r="G409" s="656"/>
      <c r="I409" s="658">
        <f t="shared" si="2818"/>
        <v>0</v>
      </c>
      <c r="J409" s="658">
        <f t="shared" ref="J409" si="3099">IF($G409=0,0,-MIN(0,G409*c_EquityShare.LP))</f>
        <v>0</v>
      </c>
      <c r="K409" s="658">
        <f t="shared" ref="K409" si="3100">I409*c_Rate.Pref_MO</f>
        <v>0</v>
      </c>
      <c r="L409" s="658">
        <f t="shared" si="2794"/>
        <v>0</v>
      </c>
      <c r="M409" s="658">
        <f t="shared" si="2821"/>
        <v>0</v>
      </c>
      <c r="N409" s="658">
        <f t="shared" si="2844"/>
        <v>0</v>
      </c>
      <c r="O409" s="658" cm="1">
        <f t="array" ref="O409">IF(I409=0,0,IF(G409&lt;0,N409/c_EquityShare.LP*i_EquityShare.GP,L409/c_EquityShare.LP*i_EquityShare.GP))</f>
        <v>0</v>
      </c>
      <c r="P409" s="658">
        <f t="shared" si="2822"/>
        <v>0</v>
      </c>
      <c r="Q409" s="658">
        <f t="shared" si="2795"/>
        <v>0</v>
      </c>
      <c r="R409" s="521"/>
      <c r="S409" s="660">
        <f t="shared" si="2823"/>
        <v>0</v>
      </c>
      <c r="T409" s="663" cm="1">
        <f t="array" ref="T409">IF($G409=0,0,-MIN(0,$G409*c_EquityShare.LP))</f>
        <v>0</v>
      </c>
      <c r="U409" s="663" cm="1">
        <f t="array" ref="U409">IF($D409=0,0,S409*c_Rate.Hurdle1.MO)</f>
        <v>0</v>
      </c>
      <c r="V409" s="660">
        <f t="shared" si="2845"/>
        <v>0</v>
      </c>
      <c r="W409" s="660">
        <f t="shared" si="2824"/>
        <v>0</v>
      </c>
      <c r="X409" s="663">
        <f t="shared" si="2846"/>
        <v>0</v>
      </c>
      <c r="Y409" s="663">
        <f t="shared" si="2825"/>
        <v>0</v>
      </c>
      <c r="Z409" s="663">
        <f t="shared" ref="Z409" si="3101">IF(S409=0,0,O409+W409/$J$17*c_Hurdle1.Share_GP)</f>
        <v>0</v>
      </c>
      <c r="AA409" s="663">
        <f t="shared" si="2797"/>
        <v>0</v>
      </c>
      <c r="AB409" s="660">
        <f t="shared" si="2848"/>
        <v>0</v>
      </c>
      <c r="AC409" s="521"/>
      <c r="AD409" s="663">
        <f t="shared" si="2987"/>
        <v>0</v>
      </c>
      <c r="AE409" s="663">
        <f t="shared" ref="AE409" si="3102">IF($G409=0,0,-MIN(0,$G409*c_EquityShare.LP))</f>
        <v>0</v>
      </c>
      <c r="AF409" s="663" cm="1">
        <f t="array" ref="AF409">IF($D409=0,0,AD409*(c_Rate.Hurdle2.MO))</f>
        <v>0</v>
      </c>
      <c r="AG409" s="663">
        <f t="shared" si="2799"/>
        <v>0</v>
      </c>
      <c r="AH409" s="663">
        <f t="shared" si="2828"/>
        <v>0</v>
      </c>
      <c r="AI409" s="663">
        <f t="shared" si="2800"/>
        <v>0</v>
      </c>
      <c r="AJ409" s="664">
        <f t="shared" si="2801"/>
        <v>0</v>
      </c>
      <c r="AK409" s="660">
        <f t="shared" si="2802"/>
        <v>0</v>
      </c>
      <c r="AL409" s="663">
        <f t="shared" ref="AL409" si="3103">IF(AD409=0,0,Z409+AH409/$J$18*c_Hurdle2.Share_GP)</f>
        <v>0</v>
      </c>
      <c r="AM409" s="663">
        <f t="shared" si="2804"/>
        <v>0</v>
      </c>
      <c r="AN409" s="660">
        <f t="shared" si="2851"/>
        <v>0</v>
      </c>
      <c r="AO409" s="521"/>
      <c r="AP409" s="663">
        <f t="shared" si="2990"/>
        <v>0</v>
      </c>
      <c r="AQ409" s="663">
        <f t="shared" ref="AQ409" si="3104">IF($G409=0,0,-MIN(0,$G409*c_EquityShare.LP))</f>
        <v>0</v>
      </c>
      <c r="AR409" s="663" cm="1">
        <f t="array" ref="AR409">IF($D409=0,0,AP409*(c_Rate.Hurdle3.MO))</f>
        <v>0</v>
      </c>
      <c r="AS409" s="663">
        <f t="shared" si="2806"/>
        <v>0</v>
      </c>
      <c r="AT409" s="663">
        <f t="shared" si="2831"/>
        <v>0</v>
      </c>
      <c r="AU409" s="663">
        <f t="shared" si="2807"/>
        <v>0</v>
      </c>
      <c r="AV409" s="664">
        <f t="shared" si="2808"/>
        <v>0</v>
      </c>
      <c r="AW409" s="660">
        <f t="shared" si="2832"/>
        <v>0</v>
      </c>
      <c r="AX409" s="663">
        <f t="shared" ref="AX409" si="3105">IF(AP409=0,0,AL409+AT409/$J$19*c_Hurdle3.Share_GP)</f>
        <v>0</v>
      </c>
      <c r="AY409" s="663">
        <f t="shared" si="2834"/>
        <v>0</v>
      </c>
      <c r="AZ409" s="660">
        <f t="shared" si="2854"/>
        <v>0</v>
      </c>
      <c r="BA409" s="521"/>
      <c r="BB409" s="660">
        <f t="shared" si="3049"/>
        <v>0</v>
      </c>
      <c r="BC409" s="660">
        <f t="shared" ref="BC409" si="3106">$AZ409*c_Residual.Share_GP</f>
        <v>0</v>
      </c>
      <c r="BD409" s="651"/>
      <c r="BE409" s="660">
        <f t="shared" si="2836"/>
        <v>0</v>
      </c>
      <c r="BF409" s="660">
        <f t="shared" si="2836"/>
        <v>0</v>
      </c>
      <c r="BG409" s="660">
        <f t="shared" si="2811"/>
        <v>0</v>
      </c>
      <c r="BI409" s="660">
        <v>0</v>
      </c>
      <c r="BJ409" s="660">
        <v>0</v>
      </c>
      <c r="BK409" s="660">
        <v>0</v>
      </c>
      <c r="BL409" s="660">
        <f t="shared" si="2837"/>
        <v>0</v>
      </c>
      <c r="BM409" s="660">
        <f t="shared" si="2837"/>
        <v>0</v>
      </c>
      <c r="BN409" s="660">
        <f t="shared" si="2838"/>
        <v>0</v>
      </c>
      <c r="BO409" s="660">
        <f t="shared" si="2838"/>
        <v>0</v>
      </c>
      <c r="BP409" s="660">
        <f t="shared" si="2839"/>
        <v>0</v>
      </c>
      <c r="BQ409" s="660">
        <f t="shared" si="2839"/>
        <v>0</v>
      </c>
      <c r="BR409" s="660">
        <v>0</v>
      </c>
      <c r="BS409" s="660">
        <v>0</v>
      </c>
      <c r="BT409" s="660">
        <f t="shared" si="2812"/>
        <v>0</v>
      </c>
      <c r="BU409" s="660">
        <f t="shared" si="2812"/>
        <v>0</v>
      </c>
      <c r="BX409" s="660">
        <v>0</v>
      </c>
      <c r="BY409" s="660">
        <f t="shared" si="2840"/>
        <v>0</v>
      </c>
      <c r="BZ409" s="660">
        <f t="shared" si="2813"/>
        <v>0</v>
      </c>
      <c r="CA409" s="660">
        <f t="shared" si="2814"/>
        <v>0</v>
      </c>
      <c r="CB409" s="660">
        <f t="shared" si="2815"/>
        <v>0</v>
      </c>
      <c r="CC409" s="660">
        <f t="shared" si="2816"/>
        <v>0</v>
      </c>
      <c r="CD409" s="660">
        <f t="shared" si="2841"/>
        <v>0</v>
      </c>
    </row>
    <row r="410" spans="4:82" ht="16" hidden="1" thickTop="1" thickBot="1">
      <c r="D410" s="653"/>
      <c r="E410" s="654"/>
      <c r="F410" s="655" t="str">
        <f t="shared" si="2817"/>
        <v/>
      </c>
      <c r="G410" s="656"/>
      <c r="I410" s="658">
        <f t="shared" si="2818"/>
        <v>0</v>
      </c>
      <c r="J410" s="658">
        <f t="shared" ref="J410" si="3107">IF($G410=0,0,-MIN(0,G410*c_EquityShare.LP))</f>
        <v>0</v>
      </c>
      <c r="K410" s="658">
        <f t="shared" ref="K410" si="3108">I410*c_Rate.Pref_MO</f>
        <v>0</v>
      </c>
      <c r="L410" s="658">
        <f t="shared" si="2794"/>
        <v>0</v>
      </c>
      <c r="M410" s="658">
        <f t="shared" si="2821"/>
        <v>0</v>
      </c>
      <c r="N410" s="658">
        <f t="shared" si="2844"/>
        <v>0</v>
      </c>
      <c r="O410" s="658" cm="1">
        <f t="array" ref="O410">IF(I410=0,0,IF(G410&lt;0,N410/c_EquityShare.LP*i_EquityShare.GP,L410/c_EquityShare.LP*i_EquityShare.GP))</f>
        <v>0</v>
      </c>
      <c r="P410" s="658">
        <f t="shared" si="2822"/>
        <v>0</v>
      </c>
      <c r="Q410" s="658">
        <f t="shared" si="2795"/>
        <v>0</v>
      </c>
      <c r="R410" s="521"/>
      <c r="S410" s="660">
        <f t="shared" si="2823"/>
        <v>0</v>
      </c>
      <c r="T410" s="663" cm="1">
        <f t="array" ref="T410">IF($G410=0,0,-MIN(0,$G410*c_EquityShare.LP))</f>
        <v>0</v>
      </c>
      <c r="U410" s="663" cm="1">
        <f t="array" ref="U410">IF($D410=0,0,S410*c_Rate.Hurdle1.MO)</f>
        <v>0</v>
      </c>
      <c r="V410" s="660">
        <f t="shared" si="2845"/>
        <v>0</v>
      </c>
      <c r="W410" s="660">
        <f t="shared" si="2824"/>
        <v>0</v>
      </c>
      <c r="X410" s="663">
        <f t="shared" si="2846"/>
        <v>0</v>
      </c>
      <c r="Y410" s="663">
        <f t="shared" si="2825"/>
        <v>0</v>
      </c>
      <c r="Z410" s="663">
        <f t="shared" ref="Z410" si="3109">IF(S410=0,0,O410+W410/$J$17*c_Hurdle1.Share_GP)</f>
        <v>0</v>
      </c>
      <c r="AA410" s="663">
        <f t="shared" si="2797"/>
        <v>0</v>
      </c>
      <c r="AB410" s="660">
        <f t="shared" si="2848"/>
        <v>0</v>
      </c>
      <c r="AC410" s="521"/>
      <c r="AD410" s="663">
        <f t="shared" si="2987"/>
        <v>0</v>
      </c>
      <c r="AE410" s="663">
        <f t="shared" ref="AE410" si="3110">IF($G410=0,0,-MIN(0,$G410*c_EquityShare.LP))</f>
        <v>0</v>
      </c>
      <c r="AF410" s="663" cm="1">
        <f t="array" ref="AF410">IF($D410=0,0,AD410*(c_Rate.Hurdle2.MO))</f>
        <v>0</v>
      </c>
      <c r="AG410" s="663">
        <f t="shared" si="2799"/>
        <v>0</v>
      </c>
      <c r="AH410" s="663">
        <f t="shared" si="2828"/>
        <v>0</v>
      </c>
      <c r="AI410" s="663">
        <f t="shared" si="2800"/>
        <v>0</v>
      </c>
      <c r="AJ410" s="664">
        <f t="shared" si="2801"/>
        <v>0</v>
      </c>
      <c r="AK410" s="660">
        <f t="shared" si="2802"/>
        <v>0</v>
      </c>
      <c r="AL410" s="663">
        <f t="shared" ref="AL410" si="3111">IF(AD410=0,0,Z410+AH410/$J$18*c_Hurdle2.Share_GP)</f>
        <v>0</v>
      </c>
      <c r="AM410" s="663">
        <f t="shared" si="2804"/>
        <v>0</v>
      </c>
      <c r="AN410" s="660">
        <f t="shared" si="2851"/>
        <v>0</v>
      </c>
      <c r="AO410" s="521"/>
      <c r="AP410" s="663">
        <f t="shared" si="2990"/>
        <v>0</v>
      </c>
      <c r="AQ410" s="663">
        <f t="shared" ref="AQ410" si="3112">IF($G410=0,0,-MIN(0,$G410*c_EquityShare.LP))</f>
        <v>0</v>
      </c>
      <c r="AR410" s="663" cm="1">
        <f t="array" ref="AR410">IF($D410=0,0,AP410*(c_Rate.Hurdle3.MO))</f>
        <v>0</v>
      </c>
      <c r="AS410" s="663">
        <f t="shared" si="2806"/>
        <v>0</v>
      </c>
      <c r="AT410" s="663">
        <f t="shared" si="2831"/>
        <v>0</v>
      </c>
      <c r="AU410" s="663">
        <f t="shared" si="2807"/>
        <v>0</v>
      </c>
      <c r="AV410" s="664">
        <f t="shared" si="2808"/>
        <v>0</v>
      </c>
      <c r="AW410" s="660">
        <f t="shared" si="2832"/>
        <v>0</v>
      </c>
      <c r="AX410" s="663">
        <f t="shared" ref="AX410" si="3113">IF(AP410=0,0,AL410+AT410/$J$19*c_Hurdle3.Share_GP)</f>
        <v>0</v>
      </c>
      <c r="AY410" s="663">
        <f t="shared" si="2834"/>
        <v>0</v>
      </c>
      <c r="AZ410" s="660">
        <f t="shared" si="2854"/>
        <v>0</v>
      </c>
      <c r="BA410" s="521"/>
      <c r="BB410" s="660">
        <f t="shared" si="3049"/>
        <v>0</v>
      </c>
      <c r="BC410" s="660">
        <f t="shared" ref="BC410" si="3114">$AZ410*c_Residual.Share_GP</f>
        <v>0</v>
      </c>
      <c r="BD410" s="651"/>
      <c r="BE410" s="660">
        <f t="shared" si="2836"/>
        <v>0</v>
      </c>
      <c r="BF410" s="660">
        <f t="shared" si="2836"/>
        <v>0</v>
      </c>
      <c r="BG410" s="660">
        <f t="shared" si="2811"/>
        <v>0</v>
      </c>
      <c r="BI410" s="660">
        <v>0</v>
      </c>
      <c r="BJ410" s="660">
        <v>0</v>
      </c>
      <c r="BK410" s="660">
        <v>0</v>
      </c>
      <c r="BL410" s="660">
        <f t="shared" si="2837"/>
        <v>0</v>
      </c>
      <c r="BM410" s="660">
        <f t="shared" si="2837"/>
        <v>0</v>
      </c>
      <c r="BN410" s="660">
        <f t="shared" si="2838"/>
        <v>0</v>
      </c>
      <c r="BO410" s="660">
        <f t="shared" si="2838"/>
        <v>0</v>
      </c>
      <c r="BP410" s="660">
        <f t="shared" si="2839"/>
        <v>0</v>
      </c>
      <c r="BQ410" s="660">
        <f t="shared" si="2839"/>
        <v>0</v>
      </c>
      <c r="BR410" s="660">
        <v>0</v>
      </c>
      <c r="BS410" s="660">
        <v>0</v>
      </c>
      <c r="BT410" s="660">
        <f t="shared" si="2812"/>
        <v>0</v>
      </c>
      <c r="BU410" s="660">
        <f t="shared" si="2812"/>
        <v>0</v>
      </c>
      <c r="BX410" s="660">
        <v>0</v>
      </c>
      <c r="BY410" s="660">
        <f t="shared" si="2840"/>
        <v>0</v>
      </c>
      <c r="BZ410" s="660">
        <f t="shared" si="2813"/>
        <v>0</v>
      </c>
      <c r="CA410" s="660">
        <f t="shared" si="2814"/>
        <v>0</v>
      </c>
      <c r="CB410" s="660">
        <f t="shared" si="2815"/>
        <v>0</v>
      </c>
      <c r="CC410" s="660">
        <f t="shared" si="2816"/>
        <v>0</v>
      </c>
      <c r="CD410" s="660">
        <f t="shared" si="2841"/>
        <v>0</v>
      </c>
    </row>
    <row r="411" spans="4:82" ht="16" hidden="1" thickTop="1" thickBot="1">
      <c r="D411" s="653"/>
      <c r="E411" s="654"/>
      <c r="F411" s="655" t="str">
        <f t="shared" si="2817"/>
        <v/>
      </c>
      <c r="G411" s="656"/>
      <c r="I411" s="658">
        <f t="shared" si="2818"/>
        <v>0</v>
      </c>
      <c r="J411" s="658">
        <f t="shared" ref="J411" si="3115">IF($G411=0,0,-MIN(0,G411*c_EquityShare.LP))</f>
        <v>0</v>
      </c>
      <c r="K411" s="658">
        <f t="shared" ref="K411" si="3116">I411*c_Rate.Pref_MO</f>
        <v>0</v>
      </c>
      <c r="L411" s="658">
        <f t="shared" si="2794"/>
        <v>0</v>
      </c>
      <c r="M411" s="658">
        <f t="shared" si="2821"/>
        <v>0</v>
      </c>
      <c r="N411" s="658">
        <f t="shared" si="2844"/>
        <v>0</v>
      </c>
      <c r="O411" s="658" cm="1">
        <f t="array" ref="O411">IF(I411=0,0,IF(G411&lt;0,N411/c_EquityShare.LP*i_EquityShare.GP,L411/c_EquityShare.LP*i_EquityShare.GP))</f>
        <v>0</v>
      </c>
      <c r="P411" s="658">
        <f t="shared" si="2822"/>
        <v>0</v>
      </c>
      <c r="Q411" s="658">
        <f t="shared" si="2795"/>
        <v>0</v>
      </c>
      <c r="R411" s="521"/>
      <c r="S411" s="660">
        <f t="shared" si="2823"/>
        <v>0</v>
      </c>
      <c r="T411" s="663" cm="1">
        <f t="array" ref="T411">IF($G411=0,0,-MIN(0,$G411*c_EquityShare.LP))</f>
        <v>0</v>
      </c>
      <c r="U411" s="663" cm="1">
        <f t="array" ref="U411">IF($D411=0,0,S411*c_Rate.Hurdle1.MO)</f>
        <v>0</v>
      </c>
      <c r="V411" s="660">
        <f t="shared" si="2845"/>
        <v>0</v>
      </c>
      <c r="W411" s="660">
        <f t="shared" si="2824"/>
        <v>0</v>
      </c>
      <c r="X411" s="663">
        <f t="shared" si="2846"/>
        <v>0</v>
      </c>
      <c r="Y411" s="663">
        <f t="shared" si="2825"/>
        <v>0</v>
      </c>
      <c r="Z411" s="663">
        <f t="shared" ref="Z411" si="3117">IF(S411=0,0,O411+W411/$J$17*c_Hurdle1.Share_GP)</f>
        <v>0</v>
      </c>
      <c r="AA411" s="663">
        <f t="shared" si="2797"/>
        <v>0</v>
      </c>
      <c r="AB411" s="660">
        <f t="shared" si="2848"/>
        <v>0</v>
      </c>
      <c r="AC411" s="521"/>
      <c r="AD411" s="663">
        <f t="shared" si="2987"/>
        <v>0</v>
      </c>
      <c r="AE411" s="663">
        <f t="shared" ref="AE411" si="3118">IF($G411=0,0,-MIN(0,$G411*c_EquityShare.LP))</f>
        <v>0</v>
      </c>
      <c r="AF411" s="663" cm="1">
        <f t="array" ref="AF411">IF($D411=0,0,AD411*(c_Rate.Hurdle2.MO))</f>
        <v>0</v>
      </c>
      <c r="AG411" s="663">
        <f t="shared" si="2799"/>
        <v>0</v>
      </c>
      <c r="AH411" s="663">
        <f t="shared" si="2828"/>
        <v>0</v>
      </c>
      <c r="AI411" s="663">
        <f t="shared" si="2800"/>
        <v>0</v>
      </c>
      <c r="AJ411" s="664">
        <f t="shared" si="2801"/>
        <v>0</v>
      </c>
      <c r="AK411" s="660">
        <f t="shared" si="2802"/>
        <v>0</v>
      </c>
      <c r="AL411" s="663">
        <f t="shared" ref="AL411" si="3119">IF(AD411=0,0,Z411+AH411/$J$18*c_Hurdle2.Share_GP)</f>
        <v>0</v>
      </c>
      <c r="AM411" s="663">
        <f t="shared" si="2804"/>
        <v>0</v>
      </c>
      <c r="AN411" s="660">
        <f t="shared" si="2851"/>
        <v>0</v>
      </c>
      <c r="AO411" s="521"/>
      <c r="AP411" s="663">
        <f t="shared" si="2990"/>
        <v>0</v>
      </c>
      <c r="AQ411" s="663">
        <f t="shared" ref="AQ411" si="3120">IF($G411=0,0,-MIN(0,$G411*c_EquityShare.LP))</f>
        <v>0</v>
      </c>
      <c r="AR411" s="663" cm="1">
        <f t="array" ref="AR411">IF($D411=0,0,AP411*(c_Rate.Hurdle3.MO))</f>
        <v>0</v>
      </c>
      <c r="AS411" s="663">
        <f t="shared" si="2806"/>
        <v>0</v>
      </c>
      <c r="AT411" s="663">
        <f t="shared" si="2831"/>
        <v>0</v>
      </c>
      <c r="AU411" s="663">
        <f t="shared" si="2807"/>
        <v>0</v>
      </c>
      <c r="AV411" s="664">
        <f t="shared" si="2808"/>
        <v>0</v>
      </c>
      <c r="AW411" s="660">
        <f t="shared" si="2832"/>
        <v>0</v>
      </c>
      <c r="AX411" s="663">
        <f t="shared" ref="AX411" si="3121">IF(AP411=0,0,AL411+AT411/$J$19*c_Hurdle3.Share_GP)</f>
        <v>0</v>
      </c>
      <c r="AY411" s="663">
        <f t="shared" si="2834"/>
        <v>0</v>
      </c>
      <c r="AZ411" s="660">
        <f t="shared" si="2854"/>
        <v>0</v>
      </c>
      <c r="BA411" s="521"/>
      <c r="BB411" s="660">
        <f t="shared" si="3049"/>
        <v>0</v>
      </c>
      <c r="BC411" s="660">
        <f t="shared" ref="BC411" si="3122">$AZ411*c_Residual.Share_GP</f>
        <v>0</v>
      </c>
      <c r="BD411" s="651"/>
      <c r="BE411" s="660">
        <f t="shared" si="2836"/>
        <v>0</v>
      </c>
      <c r="BF411" s="660">
        <f t="shared" si="2836"/>
        <v>0</v>
      </c>
      <c r="BG411" s="660">
        <f t="shared" si="2811"/>
        <v>0</v>
      </c>
      <c r="BI411" s="660">
        <v>0</v>
      </c>
      <c r="BJ411" s="660">
        <v>0</v>
      </c>
      <c r="BK411" s="660">
        <v>0</v>
      </c>
      <c r="BL411" s="660">
        <f t="shared" si="2837"/>
        <v>0</v>
      </c>
      <c r="BM411" s="660">
        <f t="shared" si="2837"/>
        <v>0</v>
      </c>
      <c r="BN411" s="660">
        <f t="shared" si="2838"/>
        <v>0</v>
      </c>
      <c r="BO411" s="660">
        <f t="shared" si="2838"/>
        <v>0</v>
      </c>
      <c r="BP411" s="660">
        <f t="shared" si="2839"/>
        <v>0</v>
      </c>
      <c r="BQ411" s="660">
        <f t="shared" si="2839"/>
        <v>0</v>
      </c>
      <c r="BR411" s="660">
        <v>0</v>
      </c>
      <c r="BS411" s="660">
        <v>0</v>
      </c>
      <c r="BT411" s="660">
        <f t="shared" si="2812"/>
        <v>0</v>
      </c>
      <c r="BU411" s="660">
        <f t="shared" si="2812"/>
        <v>0</v>
      </c>
      <c r="BX411" s="660">
        <v>0</v>
      </c>
      <c r="BY411" s="660">
        <f t="shared" si="2840"/>
        <v>0</v>
      </c>
      <c r="BZ411" s="660">
        <f t="shared" si="2813"/>
        <v>0</v>
      </c>
      <c r="CA411" s="660">
        <f t="shared" si="2814"/>
        <v>0</v>
      </c>
      <c r="CB411" s="660">
        <f t="shared" si="2815"/>
        <v>0</v>
      </c>
      <c r="CC411" s="660">
        <f t="shared" si="2816"/>
        <v>0</v>
      </c>
      <c r="CD411" s="660">
        <f t="shared" si="2841"/>
        <v>0</v>
      </c>
    </row>
    <row r="412" spans="4:82" ht="16" hidden="1" thickTop="1" thickBot="1">
      <c r="D412" s="653"/>
      <c r="E412" s="654"/>
      <c r="F412" s="655" t="str">
        <f t="shared" si="2817"/>
        <v/>
      </c>
      <c r="G412" s="656"/>
      <c r="I412" s="658">
        <f t="shared" si="2818"/>
        <v>0</v>
      </c>
      <c r="J412" s="658">
        <f t="shared" ref="J412" si="3123">IF($G412=0,0,-MIN(0,G412*c_EquityShare.LP))</f>
        <v>0</v>
      </c>
      <c r="K412" s="658">
        <f t="shared" ref="K412" si="3124">I412*c_Rate.Pref_MO</f>
        <v>0</v>
      </c>
      <c r="L412" s="658">
        <f t="shared" si="2794"/>
        <v>0</v>
      </c>
      <c r="M412" s="658">
        <f t="shared" si="2821"/>
        <v>0</v>
      </c>
      <c r="N412" s="658">
        <f t="shared" si="2844"/>
        <v>0</v>
      </c>
      <c r="O412" s="658" cm="1">
        <f t="array" ref="O412">IF(I412=0,0,IF(G412&lt;0,N412/c_EquityShare.LP*i_EquityShare.GP,L412/c_EquityShare.LP*i_EquityShare.GP))</f>
        <v>0</v>
      </c>
      <c r="P412" s="658">
        <f t="shared" si="2822"/>
        <v>0</v>
      </c>
      <c r="Q412" s="658">
        <f t="shared" si="2795"/>
        <v>0</v>
      </c>
      <c r="R412" s="521"/>
      <c r="S412" s="660">
        <f t="shared" si="2823"/>
        <v>0</v>
      </c>
      <c r="T412" s="663" cm="1">
        <f t="array" ref="T412">IF($G412=0,0,-MIN(0,$G412*c_EquityShare.LP))</f>
        <v>0</v>
      </c>
      <c r="U412" s="663" cm="1">
        <f t="array" ref="U412">IF($D412=0,0,S412*c_Rate.Hurdle1.MO)</f>
        <v>0</v>
      </c>
      <c r="V412" s="660">
        <f t="shared" si="2845"/>
        <v>0</v>
      </c>
      <c r="W412" s="660">
        <f t="shared" si="2824"/>
        <v>0</v>
      </c>
      <c r="X412" s="663">
        <f t="shared" si="2846"/>
        <v>0</v>
      </c>
      <c r="Y412" s="663">
        <f t="shared" si="2825"/>
        <v>0</v>
      </c>
      <c r="Z412" s="663">
        <f t="shared" ref="Z412" si="3125">IF(S412=0,0,O412+W412/$J$17*c_Hurdle1.Share_GP)</f>
        <v>0</v>
      </c>
      <c r="AA412" s="663">
        <f t="shared" si="2797"/>
        <v>0</v>
      </c>
      <c r="AB412" s="660">
        <f t="shared" si="2848"/>
        <v>0</v>
      </c>
      <c r="AC412" s="521"/>
      <c r="AD412" s="663">
        <f t="shared" si="2987"/>
        <v>0</v>
      </c>
      <c r="AE412" s="663">
        <f t="shared" ref="AE412" si="3126">IF($G412=0,0,-MIN(0,$G412*c_EquityShare.LP))</f>
        <v>0</v>
      </c>
      <c r="AF412" s="663" cm="1">
        <f t="array" ref="AF412">IF($D412=0,0,AD412*(c_Rate.Hurdle2.MO))</f>
        <v>0</v>
      </c>
      <c r="AG412" s="663">
        <f t="shared" si="2799"/>
        <v>0</v>
      </c>
      <c r="AH412" s="663">
        <f t="shared" si="2828"/>
        <v>0</v>
      </c>
      <c r="AI412" s="663">
        <f t="shared" si="2800"/>
        <v>0</v>
      </c>
      <c r="AJ412" s="664">
        <f t="shared" si="2801"/>
        <v>0</v>
      </c>
      <c r="AK412" s="660">
        <f t="shared" si="2802"/>
        <v>0</v>
      </c>
      <c r="AL412" s="663">
        <f t="shared" ref="AL412" si="3127">IF(AD412=0,0,Z412+AH412/$J$18*c_Hurdle2.Share_GP)</f>
        <v>0</v>
      </c>
      <c r="AM412" s="663">
        <f t="shared" si="2804"/>
        <v>0</v>
      </c>
      <c r="AN412" s="660">
        <f t="shared" si="2851"/>
        <v>0</v>
      </c>
      <c r="AO412" s="521"/>
      <c r="AP412" s="663">
        <f t="shared" si="2990"/>
        <v>0</v>
      </c>
      <c r="AQ412" s="663">
        <f t="shared" ref="AQ412" si="3128">IF($G412=0,0,-MIN(0,$G412*c_EquityShare.LP))</f>
        <v>0</v>
      </c>
      <c r="AR412" s="663" cm="1">
        <f t="array" ref="AR412">IF($D412=0,0,AP412*(c_Rate.Hurdle3.MO))</f>
        <v>0</v>
      </c>
      <c r="AS412" s="663">
        <f t="shared" si="2806"/>
        <v>0</v>
      </c>
      <c r="AT412" s="663">
        <f t="shared" si="2831"/>
        <v>0</v>
      </c>
      <c r="AU412" s="663">
        <f t="shared" si="2807"/>
        <v>0</v>
      </c>
      <c r="AV412" s="664">
        <f t="shared" si="2808"/>
        <v>0</v>
      </c>
      <c r="AW412" s="660">
        <f t="shared" si="2832"/>
        <v>0</v>
      </c>
      <c r="AX412" s="663">
        <f t="shared" ref="AX412" si="3129">IF(AP412=0,0,AL412+AT412/$J$19*c_Hurdle3.Share_GP)</f>
        <v>0</v>
      </c>
      <c r="AY412" s="663">
        <f t="shared" si="2834"/>
        <v>0</v>
      </c>
      <c r="AZ412" s="660">
        <f t="shared" si="2854"/>
        <v>0</v>
      </c>
      <c r="BA412" s="521"/>
      <c r="BB412" s="660">
        <f t="shared" si="3049"/>
        <v>0</v>
      </c>
      <c r="BC412" s="660">
        <f t="shared" ref="BC412" si="3130">$AZ412*c_Residual.Share_GP</f>
        <v>0</v>
      </c>
      <c r="BD412" s="651"/>
      <c r="BE412" s="660">
        <f t="shared" si="2836"/>
        <v>0</v>
      </c>
      <c r="BF412" s="660">
        <f t="shared" si="2836"/>
        <v>0</v>
      </c>
      <c r="BG412" s="660">
        <f t="shared" si="2811"/>
        <v>0</v>
      </c>
      <c r="BI412" s="660">
        <v>0</v>
      </c>
      <c r="BJ412" s="660">
        <v>0</v>
      </c>
      <c r="BK412" s="660">
        <v>0</v>
      </c>
      <c r="BL412" s="660">
        <f t="shared" si="2837"/>
        <v>0</v>
      </c>
      <c r="BM412" s="660">
        <f t="shared" si="2837"/>
        <v>0</v>
      </c>
      <c r="BN412" s="660">
        <f t="shared" si="2838"/>
        <v>0</v>
      </c>
      <c r="BO412" s="660">
        <f t="shared" si="2838"/>
        <v>0</v>
      </c>
      <c r="BP412" s="660">
        <f t="shared" si="2839"/>
        <v>0</v>
      </c>
      <c r="BQ412" s="660">
        <f t="shared" si="2839"/>
        <v>0</v>
      </c>
      <c r="BR412" s="660">
        <v>0</v>
      </c>
      <c r="BS412" s="660">
        <v>0</v>
      </c>
      <c r="BT412" s="660">
        <f t="shared" si="2812"/>
        <v>0</v>
      </c>
      <c r="BU412" s="660">
        <f t="shared" si="2812"/>
        <v>0</v>
      </c>
      <c r="BX412" s="660">
        <v>0</v>
      </c>
      <c r="BY412" s="660">
        <f t="shared" si="2840"/>
        <v>0</v>
      </c>
      <c r="BZ412" s="660">
        <f t="shared" si="2813"/>
        <v>0</v>
      </c>
      <c r="CA412" s="660">
        <f t="shared" si="2814"/>
        <v>0</v>
      </c>
      <c r="CB412" s="660">
        <f t="shared" si="2815"/>
        <v>0</v>
      </c>
      <c r="CC412" s="660">
        <f t="shared" si="2816"/>
        <v>0</v>
      </c>
      <c r="CD412" s="660">
        <f t="shared" si="2841"/>
        <v>0</v>
      </c>
    </row>
    <row r="413" spans="4:82" ht="16" hidden="1" thickTop="1" thickBot="1">
      <c r="D413" s="653"/>
      <c r="E413" s="654"/>
      <c r="F413" s="655" t="str">
        <f t="shared" si="2817"/>
        <v/>
      </c>
      <c r="G413" s="656"/>
      <c r="I413" s="658">
        <f t="shared" si="2818"/>
        <v>0</v>
      </c>
      <c r="J413" s="658">
        <f t="shared" ref="J413" si="3131">IF($G413=0,0,-MIN(0,G413*c_EquityShare.LP))</f>
        <v>0</v>
      </c>
      <c r="K413" s="658">
        <f t="shared" ref="K413" si="3132">I413*c_Rate.Pref_MO</f>
        <v>0</v>
      </c>
      <c r="L413" s="658">
        <f t="shared" si="2794"/>
        <v>0</v>
      </c>
      <c r="M413" s="658">
        <f t="shared" si="2821"/>
        <v>0</v>
      </c>
      <c r="N413" s="658">
        <f t="shared" si="2844"/>
        <v>0</v>
      </c>
      <c r="O413" s="658" cm="1">
        <f t="array" ref="O413">IF(I413=0,0,IF(G413&lt;0,N413/c_EquityShare.LP*i_EquityShare.GP,L413/c_EquityShare.LP*i_EquityShare.GP))</f>
        <v>0</v>
      </c>
      <c r="P413" s="658">
        <f t="shared" si="2822"/>
        <v>0</v>
      </c>
      <c r="Q413" s="658">
        <f t="shared" si="2795"/>
        <v>0</v>
      </c>
      <c r="R413" s="521"/>
      <c r="S413" s="660">
        <f t="shared" si="2823"/>
        <v>0</v>
      </c>
      <c r="T413" s="663" cm="1">
        <f t="array" ref="T413">IF($G413=0,0,-MIN(0,$G413*c_EquityShare.LP))</f>
        <v>0</v>
      </c>
      <c r="U413" s="663" cm="1">
        <f t="array" ref="U413">IF($D413=0,0,S413*c_Rate.Hurdle1.MO)</f>
        <v>0</v>
      </c>
      <c r="V413" s="660">
        <f t="shared" si="2845"/>
        <v>0</v>
      </c>
      <c r="W413" s="660">
        <f t="shared" si="2824"/>
        <v>0</v>
      </c>
      <c r="X413" s="663">
        <f t="shared" si="2846"/>
        <v>0</v>
      </c>
      <c r="Y413" s="663">
        <f t="shared" si="2825"/>
        <v>0</v>
      </c>
      <c r="Z413" s="663">
        <f t="shared" ref="Z413" si="3133">IF(S413=0,0,O413+W413/$J$17*c_Hurdle1.Share_GP)</f>
        <v>0</v>
      </c>
      <c r="AA413" s="663">
        <f t="shared" si="2797"/>
        <v>0</v>
      </c>
      <c r="AB413" s="660">
        <f t="shared" si="2848"/>
        <v>0</v>
      </c>
      <c r="AD413" s="663">
        <f t="shared" si="2987"/>
        <v>0</v>
      </c>
      <c r="AE413" s="663">
        <f t="shared" ref="AE413" si="3134">IF($G413=0,0,-MIN(0,$G413*c_EquityShare.LP))</f>
        <v>0</v>
      </c>
      <c r="AF413" s="663" cm="1">
        <f t="array" ref="AF413">IF($D413=0,0,AD413*(c_Rate.Hurdle2.MO))</f>
        <v>0</v>
      </c>
      <c r="AG413" s="663">
        <f t="shared" si="2799"/>
        <v>0</v>
      </c>
      <c r="AH413" s="663">
        <f t="shared" si="2828"/>
        <v>0</v>
      </c>
      <c r="AI413" s="663">
        <f t="shared" si="2800"/>
        <v>0</v>
      </c>
      <c r="AJ413" s="664">
        <f t="shared" si="2801"/>
        <v>0</v>
      </c>
      <c r="AK413" s="660">
        <f t="shared" si="2802"/>
        <v>0</v>
      </c>
      <c r="AL413" s="663">
        <f t="shared" ref="AL413" si="3135">IF(AD413=0,0,Z413+AH413/$J$18*c_Hurdle2.Share_GP)</f>
        <v>0</v>
      </c>
      <c r="AM413" s="663">
        <f t="shared" si="2804"/>
        <v>0</v>
      </c>
      <c r="AN413" s="660">
        <f t="shared" si="2851"/>
        <v>0</v>
      </c>
      <c r="AO413" s="521"/>
      <c r="AP413" s="663">
        <f t="shared" si="2990"/>
        <v>0</v>
      </c>
      <c r="AQ413" s="663">
        <f t="shared" ref="AQ413" si="3136">IF($G413=0,0,-MIN(0,$G413*c_EquityShare.LP))</f>
        <v>0</v>
      </c>
      <c r="AR413" s="663" cm="1">
        <f t="array" ref="AR413">IF($D413=0,0,AP413*(c_Rate.Hurdle3.MO))</f>
        <v>0</v>
      </c>
      <c r="AS413" s="663">
        <f t="shared" si="2806"/>
        <v>0</v>
      </c>
      <c r="AT413" s="663">
        <f t="shared" si="2831"/>
        <v>0</v>
      </c>
      <c r="AU413" s="663">
        <f t="shared" si="2807"/>
        <v>0</v>
      </c>
      <c r="AV413" s="664">
        <f t="shared" si="2808"/>
        <v>0</v>
      </c>
      <c r="AW413" s="660">
        <f t="shared" si="2832"/>
        <v>0</v>
      </c>
      <c r="AX413" s="663">
        <f t="shared" ref="AX413" si="3137">IF(AP413=0,0,AL413+AT413/$J$19*c_Hurdle3.Share_GP)</f>
        <v>0</v>
      </c>
      <c r="AY413" s="663">
        <f t="shared" si="2834"/>
        <v>0</v>
      </c>
      <c r="AZ413" s="660">
        <f t="shared" si="2854"/>
        <v>0</v>
      </c>
      <c r="BA413" s="521"/>
      <c r="BB413" s="660">
        <f t="shared" si="3049"/>
        <v>0</v>
      </c>
      <c r="BC413" s="660">
        <f t="shared" ref="BC413" si="3138">$AZ413*c_Residual.Share_GP</f>
        <v>0</v>
      </c>
      <c r="BD413" s="651"/>
      <c r="BE413" s="660">
        <f t="shared" si="2836"/>
        <v>0</v>
      </c>
      <c r="BF413" s="660">
        <f t="shared" si="2836"/>
        <v>0</v>
      </c>
      <c r="BG413" s="660">
        <f t="shared" si="2811"/>
        <v>0</v>
      </c>
      <c r="BI413" s="660">
        <v>0</v>
      </c>
      <c r="BJ413" s="660">
        <v>0</v>
      </c>
      <c r="BK413" s="660">
        <v>0</v>
      </c>
      <c r="BL413" s="660">
        <f t="shared" si="2837"/>
        <v>0</v>
      </c>
      <c r="BM413" s="660">
        <f t="shared" si="2837"/>
        <v>0</v>
      </c>
      <c r="BN413" s="660">
        <f t="shared" si="2838"/>
        <v>0</v>
      </c>
      <c r="BO413" s="660">
        <f t="shared" si="2838"/>
        <v>0</v>
      </c>
      <c r="BP413" s="660">
        <f t="shared" si="2839"/>
        <v>0</v>
      </c>
      <c r="BQ413" s="660">
        <f t="shared" si="2839"/>
        <v>0</v>
      </c>
      <c r="BR413" s="660">
        <v>0</v>
      </c>
      <c r="BS413" s="660">
        <v>0</v>
      </c>
      <c r="BT413" s="660">
        <f t="shared" si="2812"/>
        <v>0</v>
      </c>
      <c r="BU413" s="660">
        <f t="shared" si="2812"/>
        <v>0</v>
      </c>
      <c r="BX413" s="660">
        <v>0</v>
      </c>
      <c r="BY413" s="660">
        <f t="shared" si="2840"/>
        <v>0</v>
      </c>
      <c r="BZ413" s="660">
        <f t="shared" si="2813"/>
        <v>0</v>
      </c>
      <c r="CA413" s="660">
        <f t="shared" si="2814"/>
        <v>0</v>
      </c>
      <c r="CB413" s="660">
        <f t="shared" si="2815"/>
        <v>0</v>
      </c>
      <c r="CC413" s="660">
        <f t="shared" si="2816"/>
        <v>0</v>
      </c>
      <c r="CD413" s="660">
        <f t="shared" si="2841"/>
        <v>0</v>
      </c>
    </row>
    <row r="414" spans="4:82" ht="16" hidden="1" thickTop="1" thickBot="1">
      <c r="D414" s="653"/>
      <c r="E414" s="654"/>
      <c r="F414" s="655" t="str">
        <f t="shared" si="2817"/>
        <v/>
      </c>
      <c r="G414" s="656"/>
      <c r="I414" s="658">
        <f t="shared" si="2818"/>
        <v>0</v>
      </c>
      <c r="J414" s="658">
        <f t="shared" ref="J414" si="3139">IF($G414=0,0,-MIN(0,G414*c_EquityShare.LP))</f>
        <v>0</v>
      </c>
      <c r="K414" s="658">
        <f t="shared" ref="K414" si="3140">I414*c_Rate.Pref_MO</f>
        <v>0</v>
      </c>
      <c r="L414" s="658">
        <f t="shared" si="2794"/>
        <v>0</v>
      </c>
      <c r="M414" s="658">
        <f t="shared" si="2821"/>
        <v>0</v>
      </c>
      <c r="N414" s="658">
        <f t="shared" si="2844"/>
        <v>0</v>
      </c>
      <c r="O414" s="658" cm="1">
        <f t="array" ref="O414">IF(I414=0,0,IF(G414&lt;0,N414/c_EquityShare.LP*i_EquityShare.GP,L414/c_EquityShare.LP*i_EquityShare.GP))</f>
        <v>0</v>
      </c>
      <c r="P414" s="658">
        <f t="shared" si="2822"/>
        <v>0</v>
      </c>
      <c r="Q414" s="658">
        <f t="shared" si="2795"/>
        <v>0</v>
      </c>
      <c r="R414" s="521"/>
      <c r="S414" s="660">
        <f t="shared" si="2823"/>
        <v>0</v>
      </c>
      <c r="T414" s="663" cm="1">
        <f t="array" ref="T414">IF($G414=0,0,-MIN(0,$G414*c_EquityShare.LP))</f>
        <v>0</v>
      </c>
      <c r="U414" s="663" cm="1">
        <f t="array" ref="U414">IF($D414=0,0,S414*c_Rate.Hurdle1.MO)</f>
        <v>0</v>
      </c>
      <c r="V414" s="660">
        <f t="shared" si="2845"/>
        <v>0</v>
      </c>
      <c r="W414" s="660">
        <f t="shared" si="2824"/>
        <v>0</v>
      </c>
      <c r="X414" s="663">
        <f t="shared" si="2846"/>
        <v>0</v>
      </c>
      <c r="Y414" s="663">
        <f t="shared" si="2825"/>
        <v>0</v>
      </c>
      <c r="Z414" s="663">
        <f t="shared" ref="Z414" si="3141">IF(S414=0,0,O414+W414/$J$17*c_Hurdle1.Share_GP)</f>
        <v>0</v>
      </c>
      <c r="AA414" s="663">
        <f t="shared" si="2797"/>
        <v>0</v>
      </c>
      <c r="AB414" s="660">
        <f t="shared" si="2848"/>
        <v>0</v>
      </c>
      <c r="AD414" s="663">
        <f t="shared" si="2987"/>
        <v>0</v>
      </c>
      <c r="AE414" s="663">
        <f t="shared" ref="AE414" si="3142">IF($G414=0,0,-MIN(0,$G414*c_EquityShare.LP))</f>
        <v>0</v>
      </c>
      <c r="AF414" s="663" cm="1">
        <f t="array" ref="AF414">IF($D414=0,0,AD414*(c_Rate.Hurdle2.MO))</f>
        <v>0</v>
      </c>
      <c r="AG414" s="663">
        <f t="shared" si="2799"/>
        <v>0</v>
      </c>
      <c r="AH414" s="663">
        <f t="shared" si="2828"/>
        <v>0</v>
      </c>
      <c r="AI414" s="663">
        <f t="shared" si="2800"/>
        <v>0</v>
      </c>
      <c r="AJ414" s="664">
        <f t="shared" si="2801"/>
        <v>0</v>
      </c>
      <c r="AK414" s="660">
        <f t="shared" si="2802"/>
        <v>0</v>
      </c>
      <c r="AL414" s="663">
        <f t="shared" ref="AL414" si="3143">IF(AD414=0,0,Z414+AH414/$J$18*c_Hurdle2.Share_GP)</f>
        <v>0</v>
      </c>
      <c r="AM414" s="663">
        <f t="shared" si="2804"/>
        <v>0</v>
      </c>
      <c r="AN414" s="660">
        <f t="shared" si="2851"/>
        <v>0</v>
      </c>
      <c r="AO414" s="521"/>
      <c r="AP414" s="663">
        <f t="shared" si="2990"/>
        <v>0</v>
      </c>
      <c r="AQ414" s="663">
        <f t="shared" ref="AQ414" si="3144">IF($G414=0,0,-MIN(0,$G414*c_EquityShare.LP))</f>
        <v>0</v>
      </c>
      <c r="AR414" s="663" cm="1">
        <f t="array" ref="AR414">IF($D414=0,0,AP414*(c_Rate.Hurdle3.MO))</f>
        <v>0</v>
      </c>
      <c r="AS414" s="663">
        <f t="shared" si="2806"/>
        <v>0</v>
      </c>
      <c r="AT414" s="663">
        <f t="shared" si="2831"/>
        <v>0</v>
      </c>
      <c r="AU414" s="663">
        <f t="shared" si="2807"/>
        <v>0</v>
      </c>
      <c r="AV414" s="664">
        <f t="shared" si="2808"/>
        <v>0</v>
      </c>
      <c r="AW414" s="660">
        <f t="shared" si="2832"/>
        <v>0</v>
      </c>
      <c r="AX414" s="663">
        <f t="shared" ref="AX414" si="3145">IF(AP414=0,0,AL414+AT414/$J$19*c_Hurdle3.Share_GP)</f>
        <v>0</v>
      </c>
      <c r="AY414" s="663">
        <f t="shared" si="2834"/>
        <v>0</v>
      </c>
      <c r="AZ414" s="660">
        <f t="shared" si="2854"/>
        <v>0</v>
      </c>
      <c r="BA414" s="521"/>
      <c r="BB414" s="660">
        <f t="shared" si="3049"/>
        <v>0</v>
      </c>
      <c r="BC414" s="660">
        <f t="shared" ref="BC414" si="3146">$AZ414*c_Residual.Share_GP</f>
        <v>0</v>
      </c>
      <c r="BD414" s="651"/>
      <c r="BE414" s="660">
        <f t="shared" si="2836"/>
        <v>0</v>
      </c>
      <c r="BF414" s="660">
        <f t="shared" si="2836"/>
        <v>0</v>
      </c>
      <c r="BG414" s="660">
        <f t="shared" si="2811"/>
        <v>0</v>
      </c>
      <c r="BI414" s="660">
        <v>0</v>
      </c>
      <c r="BJ414" s="660">
        <v>0</v>
      </c>
      <c r="BK414" s="660">
        <v>0</v>
      </c>
      <c r="BL414" s="660">
        <f t="shared" si="2837"/>
        <v>0</v>
      </c>
      <c r="BM414" s="660">
        <f t="shared" si="2837"/>
        <v>0</v>
      </c>
      <c r="BN414" s="660">
        <f t="shared" si="2838"/>
        <v>0</v>
      </c>
      <c r="BO414" s="660">
        <f t="shared" si="2838"/>
        <v>0</v>
      </c>
      <c r="BP414" s="660">
        <f t="shared" si="2839"/>
        <v>0</v>
      </c>
      <c r="BQ414" s="660">
        <f t="shared" si="2839"/>
        <v>0</v>
      </c>
      <c r="BR414" s="660">
        <v>0</v>
      </c>
      <c r="BS414" s="660">
        <v>0</v>
      </c>
      <c r="BT414" s="660">
        <f t="shared" si="2812"/>
        <v>0</v>
      </c>
      <c r="BU414" s="660">
        <f t="shared" si="2812"/>
        <v>0</v>
      </c>
      <c r="BX414" s="660">
        <v>0</v>
      </c>
      <c r="BY414" s="660">
        <f t="shared" si="2840"/>
        <v>0</v>
      </c>
      <c r="BZ414" s="660">
        <f t="shared" si="2813"/>
        <v>0</v>
      </c>
      <c r="CA414" s="660">
        <f t="shared" si="2814"/>
        <v>0</v>
      </c>
      <c r="CB414" s="660">
        <f t="shared" si="2815"/>
        <v>0</v>
      </c>
      <c r="CC414" s="660">
        <f t="shared" si="2816"/>
        <v>0</v>
      </c>
      <c r="CD414" s="660">
        <f t="shared" si="2841"/>
        <v>0</v>
      </c>
    </row>
    <row r="415" spans="4:82" ht="16" thickTop="1" thickBot="1">
      <c r="D415" s="653"/>
      <c r="E415" s="654"/>
      <c r="F415" s="655" t="str">
        <f t="shared" si="2817"/>
        <v/>
      </c>
      <c r="G415" s="656"/>
      <c r="I415" s="658">
        <f t="shared" si="2818"/>
        <v>0</v>
      </c>
      <c r="J415" s="658">
        <f t="shared" ref="J415" si="3147">IF($G415=0,0,-MIN(0,G415*c_EquityShare.LP))</f>
        <v>0</v>
      </c>
      <c r="K415" s="658">
        <f t="shared" ref="K415" si="3148">I415*c_Rate.Pref_MO</f>
        <v>0</v>
      </c>
      <c r="L415" s="658">
        <f t="shared" si="2794"/>
        <v>0</v>
      </c>
      <c r="M415" s="658">
        <f t="shared" si="2821"/>
        <v>0</v>
      </c>
      <c r="N415" s="658">
        <f t="shared" si="2844"/>
        <v>0</v>
      </c>
      <c r="O415" s="658" cm="1">
        <f t="array" ref="O415">IF(I415=0,0,IF(G415&lt;0,N415/c_EquityShare.LP*i_EquityShare.GP,L415/c_EquityShare.LP*i_EquityShare.GP))</f>
        <v>0</v>
      </c>
      <c r="P415" s="658">
        <f t="shared" si="2822"/>
        <v>0</v>
      </c>
      <c r="Q415" s="658">
        <f t="shared" si="2795"/>
        <v>0</v>
      </c>
      <c r="R415" s="521"/>
      <c r="S415" s="660">
        <f t="shared" si="2823"/>
        <v>0</v>
      </c>
      <c r="T415" s="663" cm="1">
        <f t="array" ref="T415">IF($G415=0,0,-MIN(0,$G415*c_EquityShare.LP))</f>
        <v>0</v>
      </c>
      <c r="U415" s="663" cm="1">
        <f t="array" ref="U415">IF($D415=0,0,S415*c_Rate.Hurdle1.MO)</f>
        <v>0</v>
      </c>
      <c r="V415" s="660">
        <f t="shared" si="2845"/>
        <v>0</v>
      </c>
      <c r="W415" s="660">
        <f t="shared" si="2824"/>
        <v>0</v>
      </c>
      <c r="X415" s="663">
        <f t="shared" si="2846"/>
        <v>0</v>
      </c>
      <c r="Y415" s="663">
        <f t="shared" si="2825"/>
        <v>0</v>
      </c>
      <c r="Z415" s="663">
        <f t="shared" ref="Z415" si="3149">IF(S415=0,0,O415+W415/$J$17*c_Hurdle1.Share_GP)</f>
        <v>0</v>
      </c>
      <c r="AA415" s="663">
        <f t="shared" si="2797"/>
        <v>0</v>
      </c>
      <c r="AB415" s="660">
        <f t="shared" si="2848"/>
        <v>0</v>
      </c>
      <c r="AD415" s="663">
        <f t="shared" si="2987"/>
        <v>0</v>
      </c>
      <c r="AE415" s="663">
        <f t="shared" ref="AE415" si="3150">IF($G415=0,0,-MIN(0,$G415*c_EquityShare.LP))</f>
        <v>0</v>
      </c>
      <c r="AF415" s="663" cm="1">
        <f t="array" ref="AF415">IF($D415=0,0,AD415*(c_Rate.Hurdle2.MO))</f>
        <v>0</v>
      </c>
      <c r="AG415" s="663">
        <f t="shared" si="2799"/>
        <v>0</v>
      </c>
      <c r="AH415" s="663">
        <f t="shared" si="2828"/>
        <v>0</v>
      </c>
      <c r="AI415" s="663">
        <f t="shared" si="2800"/>
        <v>0</v>
      </c>
      <c r="AJ415" s="664">
        <f t="shared" si="2801"/>
        <v>0</v>
      </c>
      <c r="AK415" s="660">
        <f t="shared" si="2802"/>
        <v>0</v>
      </c>
      <c r="AL415" s="663">
        <f t="shared" ref="AL415" si="3151">IF(AD415=0,0,Z415+AH415/$J$18*c_Hurdle2.Share_GP)</f>
        <v>0</v>
      </c>
      <c r="AM415" s="663">
        <f t="shared" si="2804"/>
        <v>0</v>
      </c>
      <c r="AN415" s="660">
        <f t="shared" si="2851"/>
        <v>0</v>
      </c>
      <c r="AO415" s="521"/>
      <c r="AP415" s="663">
        <f t="shared" si="2990"/>
        <v>0</v>
      </c>
      <c r="AQ415" s="663">
        <f t="shared" ref="AQ415" si="3152">IF($G415=0,0,-MIN(0,$G415*c_EquityShare.LP))</f>
        <v>0</v>
      </c>
      <c r="AR415" s="663" cm="1">
        <f t="array" ref="AR415">IF($D415=0,0,AP415*(c_Rate.Hurdle3.MO))</f>
        <v>0</v>
      </c>
      <c r="AS415" s="663">
        <f t="shared" si="2806"/>
        <v>0</v>
      </c>
      <c r="AT415" s="663">
        <f t="shared" si="2831"/>
        <v>0</v>
      </c>
      <c r="AU415" s="663">
        <f t="shared" si="2807"/>
        <v>0</v>
      </c>
      <c r="AV415" s="664">
        <f t="shared" si="2808"/>
        <v>0</v>
      </c>
      <c r="AW415" s="660">
        <f t="shared" si="2832"/>
        <v>0</v>
      </c>
      <c r="AX415" s="663">
        <f t="shared" ref="AX415" si="3153">IF(AP415=0,0,AL415+AT415/$J$19*c_Hurdle3.Share_GP)</f>
        <v>0</v>
      </c>
      <c r="AY415" s="663">
        <f t="shared" si="2834"/>
        <v>0</v>
      </c>
      <c r="AZ415" s="660">
        <f t="shared" si="2854"/>
        <v>0</v>
      </c>
      <c r="BA415" s="521"/>
      <c r="BB415" s="660">
        <f t="shared" si="3049"/>
        <v>0</v>
      </c>
      <c r="BC415" s="660">
        <f t="shared" ref="BC415" si="3154">$AZ415*c_Residual.Share_GP</f>
        <v>0</v>
      </c>
      <c r="BD415" s="651"/>
      <c r="BE415" s="660">
        <f t="shared" si="2836"/>
        <v>0</v>
      </c>
      <c r="BF415" s="660">
        <f t="shared" si="2836"/>
        <v>0</v>
      </c>
      <c r="BG415" s="660">
        <f t="shared" si="2811"/>
        <v>0</v>
      </c>
      <c r="BI415" s="660">
        <v>0</v>
      </c>
      <c r="BJ415" s="660">
        <v>0</v>
      </c>
      <c r="BK415" s="660">
        <v>0</v>
      </c>
      <c r="BL415" s="660">
        <f t="shared" si="2837"/>
        <v>0</v>
      </c>
      <c r="BM415" s="660">
        <f t="shared" si="2837"/>
        <v>0</v>
      </c>
      <c r="BN415" s="660">
        <f t="shared" si="2838"/>
        <v>0</v>
      </c>
      <c r="BO415" s="660">
        <f t="shared" si="2838"/>
        <v>0</v>
      </c>
      <c r="BP415" s="660">
        <f t="shared" si="2839"/>
        <v>0</v>
      </c>
      <c r="BQ415" s="660">
        <f t="shared" si="2839"/>
        <v>0</v>
      </c>
      <c r="BR415" s="660">
        <v>0</v>
      </c>
      <c r="BS415" s="660">
        <v>0</v>
      </c>
      <c r="BT415" s="660">
        <f t="shared" si="2812"/>
        <v>0</v>
      </c>
      <c r="BU415" s="660">
        <f t="shared" si="2812"/>
        <v>0</v>
      </c>
      <c r="BX415" s="660">
        <v>0</v>
      </c>
      <c r="BY415" s="660">
        <f t="shared" si="2840"/>
        <v>0</v>
      </c>
      <c r="BZ415" s="660">
        <f t="shared" si="2813"/>
        <v>0</v>
      </c>
      <c r="CA415" s="660">
        <f t="shared" si="2814"/>
        <v>0</v>
      </c>
      <c r="CB415" s="660">
        <f t="shared" si="2815"/>
        <v>0</v>
      </c>
      <c r="CC415" s="660">
        <f t="shared" si="2816"/>
        <v>0</v>
      </c>
      <c r="CD415" s="660">
        <f t="shared" si="2841"/>
        <v>0</v>
      </c>
    </row>
    <row r="416" spans="4:82" ht="16" thickTop="1" thickBot="1">
      <c r="D416" s="653"/>
      <c r="E416" s="654"/>
      <c r="F416" s="655" t="str">
        <f t="shared" si="2817"/>
        <v/>
      </c>
      <c r="G416" s="656"/>
      <c r="I416" s="658">
        <f t="shared" si="2818"/>
        <v>0</v>
      </c>
      <c r="J416" s="658">
        <f t="shared" ref="J416" si="3155">IF($G416=0,0,-MIN(0,G416*c_EquityShare.LP))</f>
        <v>0</v>
      </c>
      <c r="K416" s="658">
        <f t="shared" ref="K416" si="3156">I416*c_Rate.Pref_MO</f>
        <v>0</v>
      </c>
      <c r="L416" s="658">
        <f t="shared" si="2794"/>
        <v>0</v>
      </c>
      <c r="M416" s="658">
        <f t="shared" si="2821"/>
        <v>0</v>
      </c>
      <c r="N416" s="658">
        <f t="shared" si="2844"/>
        <v>0</v>
      </c>
      <c r="O416" s="658" cm="1">
        <f t="array" ref="O416">IF(I416=0,0,IF(G416&lt;0,N416/c_EquityShare.LP*i_EquityShare.GP,L416/c_EquityShare.LP*i_EquityShare.GP))</f>
        <v>0</v>
      </c>
      <c r="P416" s="658">
        <f t="shared" si="2822"/>
        <v>0</v>
      </c>
      <c r="Q416" s="658">
        <f t="shared" si="2795"/>
        <v>0</v>
      </c>
      <c r="R416" s="521"/>
      <c r="S416" s="660">
        <f t="shared" si="2823"/>
        <v>0</v>
      </c>
      <c r="T416" s="663" cm="1">
        <f t="array" ref="T416">IF($G416=0,0,-MIN(0,$G416*c_EquityShare.LP))</f>
        <v>0</v>
      </c>
      <c r="U416" s="663" cm="1">
        <f t="array" ref="U416">IF($D416=0,0,S416*c_Rate.Hurdle1.MO)</f>
        <v>0</v>
      </c>
      <c r="V416" s="660">
        <f t="shared" si="2845"/>
        <v>0</v>
      </c>
      <c r="W416" s="660">
        <f t="shared" si="2824"/>
        <v>0</v>
      </c>
      <c r="X416" s="663">
        <f t="shared" si="2846"/>
        <v>0</v>
      </c>
      <c r="Y416" s="663">
        <f t="shared" si="2825"/>
        <v>0</v>
      </c>
      <c r="Z416" s="663">
        <f t="shared" ref="Z416" si="3157">IF(S416=0,0,O416+W416/$J$17*c_Hurdle1.Share_GP)</f>
        <v>0</v>
      </c>
      <c r="AA416" s="663">
        <f t="shared" si="2797"/>
        <v>0</v>
      </c>
      <c r="AB416" s="660">
        <f t="shared" si="2848"/>
        <v>0</v>
      </c>
      <c r="AD416" s="663">
        <f t="shared" si="2987"/>
        <v>0</v>
      </c>
      <c r="AE416" s="663">
        <f t="shared" ref="AE416" si="3158">IF($G416=0,0,-MIN(0,$G416*c_EquityShare.LP))</f>
        <v>0</v>
      </c>
      <c r="AF416" s="663" cm="1">
        <f t="array" ref="AF416">IF($D416=0,0,AD416*(c_Rate.Hurdle2.MO))</f>
        <v>0</v>
      </c>
      <c r="AG416" s="663">
        <f t="shared" si="2799"/>
        <v>0</v>
      </c>
      <c r="AH416" s="663">
        <f t="shared" si="2828"/>
        <v>0</v>
      </c>
      <c r="AI416" s="663">
        <f t="shared" si="2800"/>
        <v>0</v>
      </c>
      <c r="AJ416" s="664">
        <f t="shared" si="2801"/>
        <v>0</v>
      </c>
      <c r="AK416" s="660">
        <f t="shared" si="2802"/>
        <v>0</v>
      </c>
      <c r="AL416" s="663">
        <f t="shared" ref="AL416" si="3159">IF(AD416=0,0,Z416+AH416/$J$18*c_Hurdle2.Share_GP)</f>
        <v>0</v>
      </c>
      <c r="AM416" s="663">
        <f t="shared" si="2804"/>
        <v>0</v>
      </c>
      <c r="AN416" s="660">
        <f t="shared" si="2851"/>
        <v>0</v>
      </c>
      <c r="AO416" s="521"/>
      <c r="AP416" s="663">
        <f t="shared" si="2990"/>
        <v>0</v>
      </c>
      <c r="AQ416" s="663">
        <f t="shared" ref="AQ416" si="3160">IF($G416=0,0,-MIN(0,$G416*c_EquityShare.LP))</f>
        <v>0</v>
      </c>
      <c r="AR416" s="663" cm="1">
        <f t="array" ref="AR416">IF($D416=0,0,AP416*(c_Rate.Hurdle3.MO))</f>
        <v>0</v>
      </c>
      <c r="AS416" s="663">
        <f t="shared" si="2806"/>
        <v>0</v>
      </c>
      <c r="AT416" s="663">
        <f t="shared" si="2831"/>
        <v>0</v>
      </c>
      <c r="AU416" s="663">
        <f t="shared" si="2807"/>
        <v>0</v>
      </c>
      <c r="AV416" s="664">
        <f t="shared" si="2808"/>
        <v>0</v>
      </c>
      <c r="AW416" s="660">
        <f t="shared" si="2832"/>
        <v>0</v>
      </c>
      <c r="AX416" s="663">
        <f t="shared" ref="AX416" si="3161">IF(AP416=0,0,AL416+AT416/$J$19*c_Hurdle3.Share_GP)</f>
        <v>0</v>
      </c>
      <c r="AY416" s="663">
        <f t="shared" si="2834"/>
        <v>0</v>
      </c>
      <c r="AZ416" s="660">
        <f t="shared" si="2854"/>
        <v>0</v>
      </c>
      <c r="BA416" s="521"/>
      <c r="BB416" s="660">
        <f t="shared" si="3049"/>
        <v>0</v>
      </c>
      <c r="BC416" s="660">
        <f t="shared" ref="BC416" si="3162">$AZ416*c_Residual.Share_GP</f>
        <v>0</v>
      </c>
      <c r="BD416" s="651"/>
      <c r="BE416" s="660">
        <f t="shared" ref="BE416:BF416" si="3163">AW416+BB416</f>
        <v>0</v>
      </c>
      <c r="BF416" s="660">
        <f t="shared" si="3163"/>
        <v>0</v>
      </c>
      <c r="BG416" s="660">
        <f t="shared" ref="BG416" si="3164">SUM(BE416:BF416)</f>
        <v>0</v>
      </c>
      <c r="BI416" s="660"/>
      <c r="BJ416" s="660"/>
      <c r="BK416" s="660"/>
      <c r="BL416" s="660">
        <f t="shared" ref="BL416:BM416" si="3165">Y416-N416</f>
        <v>0</v>
      </c>
      <c r="BM416" s="660">
        <f t="shared" si="3165"/>
        <v>0</v>
      </c>
      <c r="BN416" s="660">
        <f t="shared" ref="BN416:BO416" si="3166">AK416-Y416</f>
        <v>0</v>
      </c>
      <c r="BO416" s="660">
        <f t="shared" si="3166"/>
        <v>0</v>
      </c>
      <c r="BP416" s="660">
        <f t="shared" ref="BP416:BQ416" si="3167">AW416-AK416</f>
        <v>0</v>
      </c>
      <c r="BQ416" s="660">
        <f t="shared" si="3167"/>
        <v>0</v>
      </c>
      <c r="BR416" s="660"/>
      <c r="BS416" s="660"/>
      <c r="BT416" s="660">
        <f t="shared" si="2812"/>
        <v>0</v>
      </c>
      <c r="BU416" s="660">
        <f t="shared" si="2812"/>
        <v>0</v>
      </c>
      <c r="BX416" s="660"/>
      <c r="BY416" s="660">
        <f t="shared" si="2840"/>
        <v>0</v>
      </c>
      <c r="BZ416" s="660">
        <f t="shared" si="2813"/>
        <v>0</v>
      </c>
      <c r="CA416" s="660">
        <f t="shared" si="2814"/>
        <v>0</v>
      </c>
      <c r="CB416" s="660">
        <f t="shared" si="2815"/>
        <v>0</v>
      </c>
      <c r="CC416" s="660">
        <f t="shared" si="2816"/>
        <v>0</v>
      </c>
      <c r="CD416" s="660">
        <f t="shared" si="2841"/>
        <v>0</v>
      </c>
    </row>
    <row r="417" spans="4:82" ht="16" thickTop="1" thickBot="1">
      <c r="D417" s="666"/>
      <c r="E417" s="667"/>
      <c r="F417" s="668"/>
      <c r="G417" s="669"/>
      <c r="H417" s="670"/>
      <c r="I417" s="669"/>
      <c r="J417" s="669">
        <f>SUM(J56:J415)</f>
        <v>26213333.333333347</v>
      </c>
      <c r="K417" s="669">
        <f t="shared" ref="K417:Q417" si="3168">SUM(K56:K415)</f>
        <v>0</v>
      </c>
      <c r="L417" s="669">
        <f t="shared" si="3168"/>
        <v>26213333.333333351</v>
      </c>
      <c r="M417" s="669"/>
      <c r="N417" s="669">
        <f t="shared" si="3168"/>
        <v>0</v>
      </c>
      <c r="O417" s="669">
        <f t="shared" si="3168"/>
        <v>0</v>
      </c>
      <c r="P417" s="669">
        <f t="shared" si="3168"/>
        <v>0</v>
      </c>
      <c r="Q417" s="669">
        <f t="shared" si="3168"/>
        <v>50567295.252200201</v>
      </c>
      <c r="R417" s="671"/>
      <c r="S417" s="672"/>
      <c r="T417" s="669">
        <f>SUM(T56:T415)</f>
        <v>26213333.333333347</v>
      </c>
      <c r="U417" s="669">
        <f>SUM(U56:U415)</f>
        <v>6763029.3644022606</v>
      </c>
      <c r="V417" s="669">
        <f>SUM(V56:V415)</f>
        <v>26213333.333333351</v>
      </c>
      <c r="W417" s="669">
        <f>SUM(W56:W415)</f>
        <v>6763029.3644022625</v>
      </c>
      <c r="X417" s="669"/>
      <c r="Y417" s="669">
        <f>SUM(Y56:Y415)</f>
        <v>6763029.3644022625</v>
      </c>
      <c r="Z417" s="669">
        <f>SUM(Z56:Z415)</f>
        <v>751447.70715580671</v>
      </c>
      <c r="AA417" s="669">
        <f>SUM(AA56:AA415)</f>
        <v>7514477.0715580694</v>
      </c>
      <c r="AB417" s="669">
        <f>SUM(AB56:AB415)</f>
        <v>43052818.180642128</v>
      </c>
      <c r="AD417" s="669"/>
      <c r="AE417" s="669">
        <f t="shared" ref="AE417:AN417" si="3169">SUM(AE56:AE415)</f>
        <v>26213333.333333347</v>
      </c>
      <c r="AF417" s="669">
        <f t="shared" si="3169"/>
        <v>16427616.851666924</v>
      </c>
      <c r="AG417" s="669">
        <f t="shared" si="3169"/>
        <v>32976362.697735615</v>
      </c>
      <c r="AH417" s="669">
        <f t="shared" si="3169"/>
        <v>9664587.4872646723</v>
      </c>
      <c r="AI417" s="669">
        <f t="shared" si="3169"/>
        <v>1073036252.4265856</v>
      </c>
      <c r="AJ417" s="669">
        <f t="shared" si="3169"/>
        <v>16427616.851666935</v>
      </c>
      <c r="AK417" s="669">
        <f t="shared" si="3169"/>
        <v>16427616.851666935</v>
      </c>
      <c r="AL417" s="669">
        <f t="shared" si="3169"/>
        <v>3167594.5789719741</v>
      </c>
      <c r="AM417" s="669">
        <f t="shared" si="3169"/>
        <v>19595211.430638909</v>
      </c>
      <c r="AN417" s="669">
        <f t="shared" si="3169"/>
        <v>30972083.821561288</v>
      </c>
      <c r="AO417" s="671"/>
      <c r="AP417" s="672"/>
      <c r="AQ417" s="669">
        <f>SUM(AQ56:AQ415)</f>
        <v>26213333.333333347</v>
      </c>
      <c r="AR417" s="669"/>
      <c r="AS417" s="669">
        <f>SUM(AS56:AS415)</f>
        <v>42640950.185000286</v>
      </c>
      <c r="AT417" s="669">
        <f>SUM(AT56:AT415)</f>
        <v>15163045.120963581</v>
      </c>
      <c r="AU417" s="669"/>
      <c r="AV417" s="669">
        <f>SUM(AV56:AV415)</f>
        <v>31590661.972630512</v>
      </c>
      <c r="AW417" s="669">
        <f>SUM(AW56:AW415)</f>
        <v>31590661.972630512</v>
      </c>
      <c r="AX417" s="669">
        <f>SUM(AX56:AX415)</f>
        <v>9666042.4879563674</v>
      </c>
      <c r="AY417" s="669">
        <f>SUM(AY56:AY415)</f>
        <v>41256704.460586883</v>
      </c>
      <c r="AZ417" s="669">
        <f>SUM(AZ56:AZ415)</f>
        <v>9310590.7916133143</v>
      </c>
      <c r="BA417" s="521"/>
      <c r="BB417" s="669">
        <f>SUM(BB56:BB415)</f>
        <v>4655295.3958066572</v>
      </c>
      <c r="BC417" s="669">
        <f>SUM(BC56:BC415)</f>
        <v>4655295.3958066572</v>
      </c>
      <c r="BD417" s="673"/>
      <c r="BE417" s="669">
        <f>SUM(BE56:BE415)</f>
        <v>36245957.368437171</v>
      </c>
      <c r="BF417" s="669">
        <f>SUM(BF56:BF415)</f>
        <v>14321337.883763025</v>
      </c>
      <c r="BG417" s="669">
        <f>SUM(BG56:BG415)</f>
        <v>50567295.252200201</v>
      </c>
      <c r="BI417" s="674">
        <f t="shared" ref="BI417:BU417" si="3170">SUM(BI56:BI415)</f>
        <v>50567295.252200201</v>
      </c>
      <c r="BJ417" s="674">
        <f t="shared" si="3170"/>
        <v>0</v>
      </c>
      <c r="BK417" s="674">
        <f t="shared" si="3170"/>
        <v>0</v>
      </c>
      <c r="BL417" s="674">
        <f t="shared" si="3170"/>
        <v>6763029.3644022625</v>
      </c>
      <c r="BM417" s="674">
        <f t="shared" si="3170"/>
        <v>751447.70715580671</v>
      </c>
      <c r="BN417" s="674">
        <f t="shared" si="3170"/>
        <v>9664587.4872646742</v>
      </c>
      <c r="BO417" s="674">
        <f t="shared" si="3170"/>
        <v>2416146.8718161671</v>
      </c>
      <c r="BP417" s="674">
        <f t="shared" si="3170"/>
        <v>15163045.120963581</v>
      </c>
      <c r="BQ417" s="674">
        <f t="shared" si="3170"/>
        <v>6498447.9089843929</v>
      </c>
      <c r="BR417" s="674">
        <f t="shared" si="3170"/>
        <v>4655295.3958066572</v>
      </c>
      <c r="BS417" s="674">
        <f t="shared" si="3170"/>
        <v>4655295.3958066572</v>
      </c>
      <c r="BT417" s="674">
        <f t="shared" si="3170"/>
        <v>36245957.368437171</v>
      </c>
      <c r="BU417" s="674">
        <f t="shared" si="3170"/>
        <v>14321337.883763025</v>
      </c>
      <c r="BX417" s="674">
        <f t="shared" ref="BX417:CD417" si="3171">SUM(BX56:BX415)</f>
        <v>50567295.252200201</v>
      </c>
      <c r="BY417" s="674">
        <f t="shared" si="3171"/>
        <v>18550000.000000019</v>
      </c>
      <c r="BZ417" s="674">
        <f t="shared" si="3171"/>
        <v>7514477.0715580694</v>
      </c>
      <c r="CA417" s="674">
        <f t="shared" si="3171"/>
        <v>12080734.35908084</v>
      </c>
      <c r="CB417" s="674">
        <f t="shared" si="3171"/>
        <v>21661493.029947978</v>
      </c>
      <c r="CC417" s="674">
        <f t="shared" si="3171"/>
        <v>9310590.7916133143</v>
      </c>
      <c r="CD417" s="674">
        <f t="shared" si="3171"/>
        <v>69117295.252200231</v>
      </c>
    </row>
    <row r="418" spans="4:82" ht="15" hidden="1" thickTop="1"/>
    <row r="419" spans="4:82" ht="16" hidden="1" thickTop="1" thickBot="1">
      <c r="D419" s="675">
        <v>0</v>
      </c>
      <c r="E419" s="676">
        <v>44561</v>
      </c>
      <c r="F419" s="677">
        <f>YEAR(E419)</f>
        <v>2021</v>
      </c>
      <c r="G419" s="678">
        <f>G56</f>
        <v>-18550000</v>
      </c>
      <c r="I419" s="678">
        <f t="shared" ref="I419:Q419" si="3172">I56</f>
        <v>0</v>
      </c>
      <c r="J419" s="678">
        <f t="shared" si="3172"/>
        <v>18550000</v>
      </c>
      <c r="K419" s="678">
        <f t="shared" si="3172"/>
        <v>0</v>
      </c>
      <c r="L419" s="678">
        <f t="shared" si="3172"/>
        <v>0</v>
      </c>
      <c r="M419" s="678">
        <f t="shared" si="3172"/>
        <v>18550000</v>
      </c>
      <c r="N419" s="678">
        <f t="shared" si="3172"/>
        <v>-18550000</v>
      </c>
      <c r="O419" s="678">
        <f t="shared" si="3172"/>
        <v>0</v>
      </c>
      <c r="P419" s="678">
        <f t="shared" si="3172"/>
        <v>-18550000</v>
      </c>
      <c r="Q419" s="678">
        <f t="shared" si="3172"/>
        <v>0</v>
      </c>
      <c r="R419" s="659"/>
      <c r="S419" s="678"/>
      <c r="T419" s="678"/>
      <c r="U419" s="678"/>
      <c r="V419" s="678"/>
      <c r="W419" s="678"/>
      <c r="X419" s="678"/>
      <c r="Y419" s="678">
        <f>Y56</f>
        <v>-18550000</v>
      </c>
      <c r="Z419" s="678">
        <f>Z56</f>
        <v>0</v>
      </c>
      <c r="AA419" s="678">
        <f>AA56</f>
        <v>-18550000</v>
      </c>
      <c r="AB419" s="678"/>
      <c r="AC419" s="659"/>
      <c r="AD419" s="678"/>
      <c r="AE419" s="678"/>
      <c r="AF419" s="678"/>
      <c r="AG419" s="678"/>
      <c r="AH419" s="678"/>
      <c r="AI419" s="678">
        <f>J419</f>
        <v>18550000</v>
      </c>
      <c r="AJ419" s="678"/>
      <c r="AK419" s="678">
        <f>Y419</f>
        <v>-18550000</v>
      </c>
      <c r="AL419" s="678">
        <f t="shared" ref="AL419:AM419" si="3173">Z419</f>
        <v>0</v>
      </c>
      <c r="AM419" s="678">
        <f t="shared" si="3173"/>
        <v>-18550000</v>
      </c>
      <c r="AN419" s="678"/>
      <c r="AO419" s="659"/>
      <c r="AP419" s="678"/>
      <c r="AQ419" s="678"/>
      <c r="AR419" s="678"/>
      <c r="AS419" s="678"/>
      <c r="AT419" s="678"/>
      <c r="AU419" s="678"/>
      <c r="AV419" s="678">
        <f>AV56</f>
        <v>-18550000</v>
      </c>
      <c r="AW419" s="678">
        <f>AW56</f>
        <v>-18550000</v>
      </c>
      <c r="AX419" s="678">
        <f>AX56</f>
        <v>0</v>
      </c>
      <c r="AY419" s="678">
        <f>AY56</f>
        <v>-18550000</v>
      </c>
      <c r="AZ419" s="678"/>
      <c r="BA419" s="659"/>
      <c r="BB419" s="678"/>
      <c r="BC419" s="678"/>
      <c r="BD419" s="662"/>
      <c r="BE419" s="678"/>
      <c r="BF419" s="678"/>
      <c r="BG419" s="678"/>
      <c r="BI419" s="678"/>
      <c r="BJ419" s="678"/>
      <c r="BK419" s="678"/>
      <c r="BL419" s="678"/>
      <c r="BM419" s="678"/>
      <c r="BN419" s="678"/>
      <c r="BO419" s="678"/>
      <c r="BP419" s="678"/>
      <c r="BQ419" s="678"/>
      <c r="BR419" s="678"/>
      <c r="BS419" s="678"/>
      <c r="BT419" s="678"/>
      <c r="BU419" s="678"/>
      <c r="BX419" s="678"/>
      <c r="BY419" s="678"/>
      <c r="BZ419" s="678"/>
      <c r="CA419" s="678"/>
      <c r="CB419" s="678"/>
      <c r="CC419" s="678"/>
      <c r="CD419" s="678"/>
    </row>
    <row r="420" spans="4:82" ht="16" hidden="1" thickTop="1" thickBot="1">
      <c r="D420" s="679" cm="1">
        <f t="array" ref="D420:D426">_xlfn.SEQUENCE(MAX(F56:F416))</f>
        <v>1</v>
      </c>
      <c r="E420" s="681" cm="1">
        <f t="array" ref="E420:E426">DATE(_xlfn.SEQUENCE(MAX(F56:F416), 1, YEAR(E419+1)), MONTH(E419+1), DAY(E419+1))</f>
        <v>44562</v>
      </c>
      <c r="F420" s="682" cm="1">
        <f t="array" ref="F420:F424">_xlfn.SEQUENCE(G8/12,1,2022,1)</f>
        <v>2022</v>
      </c>
      <c r="G420" s="683">
        <f t="shared" ref="G420:G449" si="3174">SUMIF($F$57:$F$415,$D420,G$57:G$415)</f>
        <v>-6966666.666666667</v>
      </c>
      <c r="I420" s="663">
        <f>IFERROR(LOOKUP($E420,$E$56:$E$416,I$56:I$416),0)</f>
        <v>0</v>
      </c>
      <c r="J420" s="663">
        <f t="shared" ref="J420:L449" si="3175">SUMIF($F$57:$F$416,$D420,J$57:J$416)</f>
        <v>6966666.666666667</v>
      </c>
      <c r="K420" s="663">
        <f t="shared" si="3175"/>
        <v>0</v>
      </c>
      <c r="L420" s="663">
        <f t="shared" si="3175"/>
        <v>0</v>
      </c>
      <c r="M420" s="663" cm="1">
        <f t="array" ref="M420">LOOKUP(2,1/($F$57:$F$416=$D420),M$57:M$416)</f>
        <v>25516666.666666679</v>
      </c>
      <c r="N420" s="663">
        <f t="shared" ref="N420:Q449" si="3176">SUMIF($F$57:$F$416,$D420,N$57:N$416)</f>
        <v>-6966666.666666667</v>
      </c>
      <c r="O420" s="663">
        <f t="shared" si="3176"/>
        <v>0</v>
      </c>
      <c r="P420" s="663">
        <f t="shared" si="3176"/>
        <v>-6966666.666666667</v>
      </c>
      <c r="Q420" s="663">
        <f t="shared" si="3176"/>
        <v>0</v>
      </c>
      <c r="R420" s="521"/>
      <c r="S420" s="663">
        <f>IFERROR(LOOKUP($E420,$E$56:$E$416,S$56:S$416),0)</f>
        <v>0</v>
      </c>
      <c r="T420" s="663">
        <f t="shared" ref="T420:W449" si="3177">SUMIF($F$57:$F$416,$D420,T$57:T$416)</f>
        <v>6966666.666666667</v>
      </c>
      <c r="U420" s="663">
        <f t="shared" si="3177"/>
        <v>1948954.9557644804</v>
      </c>
      <c r="V420" s="663">
        <f t="shared" si="3177"/>
        <v>0</v>
      </c>
      <c r="W420" s="663">
        <f t="shared" si="3177"/>
        <v>0</v>
      </c>
      <c r="X420" s="663" cm="1">
        <f t="array" ref="X420">LOOKUP(2,1/($F$57:$F$416=$D420),X$57:X$416)</f>
        <v>27465621.622431159</v>
      </c>
      <c r="Y420" s="663">
        <f t="shared" ref="Y420:AB449" si="3178">SUMIF($F$57:$F$416,$D420,Y$57:Y$416)</f>
        <v>-6966666.666666667</v>
      </c>
      <c r="Z420" s="663">
        <f t="shared" si="3178"/>
        <v>0</v>
      </c>
      <c r="AA420" s="663">
        <f t="shared" si="3178"/>
        <v>-6966666.666666667</v>
      </c>
      <c r="AB420" s="663">
        <f t="shared" si="3178"/>
        <v>0</v>
      </c>
      <c r="AC420" s="521"/>
      <c r="AD420" s="663">
        <f t="shared" ref="AD420:AD449" si="3179">IFERROR(LOOKUP($E420,$E$56:$E$416,AD$56:AD$416),0)</f>
        <v>0</v>
      </c>
      <c r="AE420" s="663">
        <f t="shared" ref="AE420:AH449" si="3180">SUMIF($F$57:$F$416,$D420,AE$57:AE$416)</f>
        <v>6966666.666666667</v>
      </c>
      <c r="AF420" s="663">
        <f t="shared" si="3180"/>
        <v>3874430.598685469</v>
      </c>
      <c r="AG420" s="663">
        <f t="shared" si="3180"/>
        <v>0</v>
      </c>
      <c r="AH420" s="663">
        <f t="shared" si="3180"/>
        <v>0</v>
      </c>
      <c r="AI420" s="663" cm="1">
        <f t="array" ref="AI420">LOOKUP(2,1/($F$57:$F$416=$D420),AI$57:AI$416)</f>
        <v>29391097.265352149</v>
      </c>
      <c r="AJ420" s="663">
        <f t="shared" ref="AJ420:AN435" si="3181">SUMIF($F$57:$F$416,$D420,AJ$57:AJ$416)</f>
        <v>-6966666.666666667</v>
      </c>
      <c r="AK420" s="663">
        <f t="shared" si="3181"/>
        <v>-6966666.666666667</v>
      </c>
      <c r="AL420" s="663">
        <f t="shared" si="3181"/>
        <v>0</v>
      </c>
      <c r="AM420" s="663">
        <f t="shared" si="3181"/>
        <v>-6966666.666666667</v>
      </c>
      <c r="AN420" s="663">
        <f t="shared" si="3181"/>
        <v>0</v>
      </c>
      <c r="AO420" s="521"/>
      <c r="AP420" s="663">
        <f t="shared" ref="AP420:AP449" si="3182">IFERROR(LOOKUP($E420,$E$56:$E$416,AP$56:AP$416),0)</f>
        <v>0</v>
      </c>
      <c r="AQ420" s="663">
        <f t="shared" ref="AQ420:AT449" si="3183">SUMIF($F$57:$F$416,$D420,AQ$57:AQ$416)</f>
        <v>6966666.666666667</v>
      </c>
      <c r="AR420" s="663">
        <f t="shared" si="3183"/>
        <v>5778923.9465622902</v>
      </c>
      <c r="AS420" s="663">
        <f t="shared" si="3183"/>
        <v>0</v>
      </c>
      <c r="AT420" s="663">
        <f t="shared" si="3183"/>
        <v>0</v>
      </c>
      <c r="AU420" s="663" cm="1">
        <f t="array" ref="AU420">LOOKUP(2,1/($F$57:$F$416=$D420),AU$57:AU$416)</f>
        <v>31295590.613228977</v>
      </c>
      <c r="AV420" s="663">
        <f t="shared" ref="AV420:AZ435" si="3184">SUMIF($F$57:$F$416,$D420,AV$57:AV$416)</f>
        <v>-6966666.666666667</v>
      </c>
      <c r="AW420" s="663">
        <f t="shared" si="3184"/>
        <v>-6966666.666666667</v>
      </c>
      <c r="AX420" s="663">
        <f t="shared" si="3184"/>
        <v>0</v>
      </c>
      <c r="AY420" s="663">
        <f t="shared" si="3184"/>
        <v>-6966666.666666667</v>
      </c>
      <c r="AZ420" s="663">
        <f t="shared" si="3184"/>
        <v>0</v>
      </c>
      <c r="BA420" s="521"/>
      <c r="BB420" s="663">
        <f t="shared" ref="BB420:BC449" si="3185">SUMIF($F$57:$F$416,$D420,BB$57:BB$416)</f>
        <v>0</v>
      </c>
      <c r="BC420" s="663">
        <f t="shared" si="3185"/>
        <v>0</v>
      </c>
      <c r="BD420" s="651"/>
      <c r="BE420" s="663">
        <f t="shared" ref="BE420:BG449" si="3186">SUMIF($F$57:$F$416,$D420,BE$57:BE$416)</f>
        <v>-6966666.666666667</v>
      </c>
      <c r="BF420" s="663">
        <f t="shared" si="3186"/>
        <v>0</v>
      </c>
      <c r="BG420" s="663">
        <f t="shared" si="3186"/>
        <v>-6966666.666666667</v>
      </c>
      <c r="BI420" s="663">
        <f t="shared" ref="BI420:BU435" si="3187">SUMIF($F$57:$F$416,$D420,BI$57:BI$416)</f>
        <v>-6966666.666666667</v>
      </c>
      <c r="BJ420" s="663">
        <f t="shared" si="3187"/>
        <v>-6966666.666666667</v>
      </c>
      <c r="BK420" s="663">
        <f t="shared" si="3187"/>
        <v>0</v>
      </c>
      <c r="BL420" s="663">
        <f t="shared" si="3187"/>
        <v>0</v>
      </c>
      <c r="BM420" s="663">
        <f t="shared" si="3187"/>
        <v>0</v>
      </c>
      <c r="BN420" s="663">
        <f t="shared" si="3187"/>
        <v>0</v>
      </c>
      <c r="BO420" s="663">
        <f t="shared" si="3187"/>
        <v>0</v>
      </c>
      <c r="BP420" s="663">
        <f t="shared" si="3187"/>
        <v>0</v>
      </c>
      <c r="BQ420" s="663">
        <f t="shared" si="3187"/>
        <v>0</v>
      </c>
      <c r="BR420" s="663">
        <f t="shared" si="3187"/>
        <v>0</v>
      </c>
      <c r="BS420" s="663">
        <f t="shared" si="3187"/>
        <v>0</v>
      </c>
      <c r="BT420" s="663">
        <f t="shared" si="3187"/>
        <v>-6966666.666666667</v>
      </c>
      <c r="BU420" s="663">
        <f t="shared" si="3187"/>
        <v>0</v>
      </c>
      <c r="BX420" s="663">
        <f t="shared" ref="BX420:CD435" si="3188">SUMIF($F$57:$F$416,$D420,BX$57:BX$416)</f>
        <v>-6966666.666666667</v>
      </c>
      <c r="BY420" s="663">
        <f t="shared" si="3188"/>
        <v>-6966666.666666667</v>
      </c>
      <c r="BZ420" s="663">
        <f t="shared" si="3188"/>
        <v>0</v>
      </c>
      <c r="CA420" s="663">
        <f t="shared" si="3188"/>
        <v>0</v>
      </c>
      <c r="CB420" s="663">
        <f t="shared" si="3188"/>
        <v>0</v>
      </c>
      <c r="CC420" s="663">
        <f t="shared" si="3188"/>
        <v>0</v>
      </c>
      <c r="CD420" s="663">
        <f t="shared" si="3188"/>
        <v>-6966666.666666667</v>
      </c>
    </row>
    <row r="421" spans="4:82" ht="16" hidden="1" thickTop="1" thickBot="1">
      <c r="D421" s="679">
        <v>2</v>
      </c>
      <c r="E421" s="681">
        <v>44927</v>
      </c>
      <c r="F421" s="682">
        <v>2023</v>
      </c>
      <c r="G421" s="683">
        <f t="shared" si="3174"/>
        <v>4616041.2437798735</v>
      </c>
      <c r="I421" s="663">
        <f t="shared" ref="I421:I449" si="3189">IFERROR(LOOKUP($E421,$E$56:$E$416,I$56:I$416),0)</f>
        <v>0</v>
      </c>
      <c r="J421" s="663">
        <f t="shared" si="3175"/>
        <v>696666.66666666663</v>
      </c>
      <c r="K421" s="663">
        <f t="shared" si="3175"/>
        <v>0</v>
      </c>
      <c r="L421" s="663">
        <f t="shared" si="3175"/>
        <v>5312707.9104465395</v>
      </c>
      <c r="M421" s="663" cm="1">
        <f t="array" ref="M421">LOOKUP(2,1/($F$57:$F$416=$D421),M$57:M$416)</f>
        <v>20900625.422886811</v>
      </c>
      <c r="N421" s="663">
        <f t="shared" si="3176"/>
        <v>4616041.2437798735</v>
      </c>
      <c r="O421" s="663">
        <f t="shared" si="3176"/>
        <v>0</v>
      </c>
      <c r="P421" s="663">
        <f t="shared" si="3176"/>
        <v>4616041.2437798735</v>
      </c>
      <c r="Q421" s="663">
        <f t="shared" si="3176"/>
        <v>0</v>
      </c>
      <c r="R421" s="521"/>
      <c r="S421" s="663">
        <f t="shared" ref="S421:S449" si="3190">IFERROR(LOOKUP($E421,$E$56:$E$416,S$56:S$416),0)</f>
        <v>0</v>
      </c>
      <c r="T421" s="663">
        <f t="shared" si="3177"/>
        <v>696666.66666666663</v>
      </c>
      <c r="U421" s="663">
        <f t="shared" si="3177"/>
        <v>2518141.9222641359</v>
      </c>
      <c r="V421" s="663">
        <f t="shared" si="3177"/>
        <v>5312707.9104465395</v>
      </c>
      <c r="W421" s="663">
        <f t="shared" si="3177"/>
        <v>0</v>
      </c>
      <c r="X421" s="663" cm="1">
        <f t="array" ref="X421">LOOKUP(2,1/($F$57:$F$416=$D421),X$57:X$416)</f>
        <v>25367722.300915428</v>
      </c>
      <c r="Y421" s="663">
        <f t="shared" si="3178"/>
        <v>4616041.2437798735</v>
      </c>
      <c r="Z421" s="663">
        <f t="shared" si="3178"/>
        <v>0</v>
      </c>
      <c r="AA421" s="663">
        <f t="shared" si="3178"/>
        <v>4616041.2437798735</v>
      </c>
      <c r="AB421" s="663">
        <f t="shared" si="3178"/>
        <v>0</v>
      </c>
      <c r="AC421" s="521"/>
      <c r="AD421" s="663">
        <f t="shared" si="3179"/>
        <v>0</v>
      </c>
      <c r="AE421" s="663">
        <f t="shared" si="3180"/>
        <v>696666.66666666663</v>
      </c>
      <c r="AF421" s="663">
        <f t="shared" si="3180"/>
        <v>5428966.5218049958</v>
      </c>
      <c r="AG421" s="663">
        <f t="shared" si="3180"/>
        <v>5312707.9104465395</v>
      </c>
      <c r="AH421" s="663">
        <f t="shared" si="3180"/>
        <v>0</v>
      </c>
      <c r="AI421" s="663" cm="1">
        <f t="array" ref="AI421">LOOKUP(2,1/($F$57:$F$416=$D421),AI$57:AI$416)</f>
        <v>30204022.543377284</v>
      </c>
      <c r="AJ421" s="663">
        <f t="shared" si="3181"/>
        <v>4616041.2437798735</v>
      </c>
      <c r="AK421" s="663">
        <f t="shared" si="3181"/>
        <v>4616041.2437798735</v>
      </c>
      <c r="AL421" s="663">
        <f t="shared" si="3181"/>
        <v>0</v>
      </c>
      <c r="AM421" s="663">
        <f t="shared" si="3181"/>
        <v>4616041.2437798735</v>
      </c>
      <c r="AN421" s="663">
        <f t="shared" si="3181"/>
        <v>0</v>
      </c>
      <c r="AO421" s="521"/>
      <c r="AP421" s="663">
        <f t="shared" si="3182"/>
        <v>0</v>
      </c>
      <c r="AQ421" s="663">
        <f t="shared" si="3183"/>
        <v>696666.66666666663</v>
      </c>
      <c r="AR421" s="663">
        <f t="shared" si="3183"/>
        <v>8725265.9793039411</v>
      </c>
      <c r="AS421" s="663">
        <f t="shared" si="3183"/>
        <v>5312707.9104465395</v>
      </c>
      <c r="AT421" s="663">
        <f t="shared" si="3183"/>
        <v>0</v>
      </c>
      <c r="AU421" s="663" cm="1">
        <f t="array" ref="AU421">LOOKUP(2,1/($F$57:$F$416=$D421),AU$57:AU$416)</f>
        <v>35404815.348753043</v>
      </c>
      <c r="AV421" s="663">
        <f t="shared" si="3184"/>
        <v>4616041.2437798735</v>
      </c>
      <c r="AW421" s="663">
        <f t="shared" si="3184"/>
        <v>4616041.2437798735</v>
      </c>
      <c r="AX421" s="663">
        <f t="shared" si="3184"/>
        <v>0</v>
      </c>
      <c r="AY421" s="663">
        <f t="shared" si="3184"/>
        <v>4616041.2437798735</v>
      </c>
      <c r="AZ421" s="663">
        <f t="shared" si="3184"/>
        <v>0</v>
      </c>
      <c r="BA421" s="521"/>
      <c r="BB421" s="663">
        <f t="shared" si="3185"/>
        <v>0</v>
      </c>
      <c r="BC421" s="663">
        <f t="shared" si="3185"/>
        <v>0</v>
      </c>
      <c r="BD421" s="651"/>
      <c r="BE421" s="663">
        <f t="shared" si="3186"/>
        <v>4616041.2437798735</v>
      </c>
      <c r="BF421" s="663">
        <f t="shared" si="3186"/>
        <v>0</v>
      </c>
      <c r="BG421" s="663">
        <f t="shared" si="3186"/>
        <v>4616041.2437798735</v>
      </c>
      <c r="BI421" s="663">
        <f t="shared" si="3187"/>
        <v>4616041.2437798735</v>
      </c>
      <c r="BJ421" s="663">
        <f t="shared" si="3187"/>
        <v>4616041.2437798735</v>
      </c>
      <c r="BK421" s="663">
        <f t="shared" si="3187"/>
        <v>0</v>
      </c>
      <c r="BL421" s="663">
        <f t="shared" si="3187"/>
        <v>0</v>
      </c>
      <c r="BM421" s="663">
        <f t="shared" si="3187"/>
        <v>0</v>
      </c>
      <c r="BN421" s="663">
        <f t="shared" si="3187"/>
        <v>0</v>
      </c>
      <c r="BO421" s="663">
        <f t="shared" si="3187"/>
        <v>0</v>
      </c>
      <c r="BP421" s="663">
        <f t="shared" si="3187"/>
        <v>0</v>
      </c>
      <c r="BQ421" s="663">
        <f t="shared" si="3187"/>
        <v>0</v>
      </c>
      <c r="BR421" s="663">
        <f t="shared" si="3187"/>
        <v>0</v>
      </c>
      <c r="BS421" s="663">
        <f t="shared" si="3187"/>
        <v>0</v>
      </c>
      <c r="BT421" s="663">
        <f t="shared" si="3187"/>
        <v>4616041.2437798735</v>
      </c>
      <c r="BU421" s="663">
        <f t="shared" si="3187"/>
        <v>0</v>
      </c>
      <c r="BX421" s="663">
        <f t="shared" si="3188"/>
        <v>4616041.2437798735</v>
      </c>
      <c r="BY421" s="663">
        <f t="shared" si="3188"/>
        <v>4616041.2437798735</v>
      </c>
      <c r="BZ421" s="663">
        <f t="shared" si="3188"/>
        <v>0</v>
      </c>
      <c r="CA421" s="663">
        <f t="shared" si="3188"/>
        <v>0</v>
      </c>
      <c r="CB421" s="663">
        <f t="shared" si="3188"/>
        <v>0</v>
      </c>
      <c r="CC421" s="663">
        <f t="shared" si="3188"/>
        <v>0</v>
      </c>
      <c r="CD421" s="663">
        <f t="shared" si="3188"/>
        <v>4616041.2437798735</v>
      </c>
    </row>
    <row r="422" spans="4:82" ht="16" hidden="1" thickTop="1" thickBot="1">
      <c r="D422" s="679">
        <v>3</v>
      </c>
      <c r="E422" s="681">
        <v>45292</v>
      </c>
      <c r="F422" s="682">
        <v>2024</v>
      </c>
      <c r="G422" s="683">
        <f t="shared" si="3174"/>
        <v>12262438.756910365</v>
      </c>
      <c r="I422" s="663">
        <f t="shared" si="3189"/>
        <v>0</v>
      </c>
      <c r="J422" s="663">
        <f t="shared" si="3175"/>
        <v>0</v>
      </c>
      <c r="K422" s="663">
        <f t="shared" si="3175"/>
        <v>0</v>
      </c>
      <c r="L422" s="663">
        <f t="shared" si="3175"/>
        <v>12262438.756910365</v>
      </c>
      <c r="M422" s="663" cm="1">
        <f t="array" ref="M422">LOOKUP(2,1/($F$57:$F$416=$D422),M$57:M$416)</f>
        <v>8638186.6659764461</v>
      </c>
      <c r="N422" s="663">
        <f t="shared" si="3176"/>
        <v>12262438.756910365</v>
      </c>
      <c r="O422" s="663">
        <f t="shared" si="3176"/>
        <v>0</v>
      </c>
      <c r="P422" s="663">
        <f t="shared" si="3176"/>
        <v>12262438.756910365</v>
      </c>
      <c r="Q422" s="663">
        <f t="shared" si="3176"/>
        <v>0</v>
      </c>
      <c r="R422" s="521"/>
      <c r="S422" s="663">
        <f t="shared" si="3190"/>
        <v>0</v>
      </c>
      <c r="T422" s="663">
        <f t="shared" si="3177"/>
        <v>0</v>
      </c>
      <c r="U422" s="663">
        <f t="shared" si="3177"/>
        <v>1841049.0426143957</v>
      </c>
      <c r="V422" s="663">
        <f t="shared" si="3177"/>
        <v>12262438.756910365</v>
      </c>
      <c r="W422" s="663">
        <f t="shared" si="3177"/>
        <v>0</v>
      </c>
      <c r="X422" s="663" cm="1">
        <f t="array" ref="X422">LOOKUP(2,1/($F$57:$F$416=$D422),X$57:X$416)</f>
        <v>14946332.586619459</v>
      </c>
      <c r="Y422" s="663">
        <f t="shared" si="3178"/>
        <v>12262438.756910365</v>
      </c>
      <c r="Z422" s="663">
        <f t="shared" si="3178"/>
        <v>0</v>
      </c>
      <c r="AA422" s="663">
        <f t="shared" si="3178"/>
        <v>12262438.756910365</v>
      </c>
      <c r="AB422" s="663">
        <f t="shared" si="3178"/>
        <v>0</v>
      </c>
      <c r="AC422" s="521"/>
      <c r="AD422" s="663">
        <f t="shared" si="3179"/>
        <v>0</v>
      </c>
      <c r="AE422" s="663">
        <f t="shared" si="3180"/>
        <v>0</v>
      </c>
      <c r="AF422" s="663">
        <f t="shared" si="3180"/>
        <v>4669434.1146630896</v>
      </c>
      <c r="AG422" s="663">
        <f t="shared" si="3180"/>
        <v>12262438.756910365</v>
      </c>
      <c r="AH422" s="663">
        <f t="shared" si="3180"/>
        <v>0</v>
      </c>
      <c r="AI422" s="663" cm="1">
        <f t="array" ref="AI422">LOOKUP(2,1/($F$57:$F$416=$D422),AI$57:AI$416)</f>
        <v>22611017.901130009</v>
      </c>
      <c r="AJ422" s="663">
        <f t="shared" si="3181"/>
        <v>12262438.756910365</v>
      </c>
      <c r="AK422" s="663">
        <f t="shared" si="3181"/>
        <v>12262438.756910365</v>
      </c>
      <c r="AL422" s="663">
        <f t="shared" si="3181"/>
        <v>0</v>
      </c>
      <c r="AM422" s="663">
        <f t="shared" si="3181"/>
        <v>12262438.756910365</v>
      </c>
      <c r="AN422" s="663">
        <f t="shared" si="3181"/>
        <v>0</v>
      </c>
      <c r="AO422" s="521"/>
      <c r="AP422" s="663">
        <f t="shared" si="3182"/>
        <v>0</v>
      </c>
      <c r="AQ422" s="663">
        <f t="shared" si="3183"/>
        <v>0</v>
      </c>
      <c r="AR422" s="663">
        <f t="shared" si="3183"/>
        <v>8592130.0047388542</v>
      </c>
      <c r="AS422" s="663">
        <f t="shared" si="3183"/>
        <v>12262438.756910365</v>
      </c>
      <c r="AT422" s="663">
        <f t="shared" si="3183"/>
        <v>0</v>
      </c>
      <c r="AU422" s="663" cm="1">
        <f t="array" ref="AU422">LOOKUP(2,1/($F$57:$F$416=$D422),AU$57:AU$416)</f>
        <v>31734506.596581537</v>
      </c>
      <c r="AV422" s="663">
        <f t="shared" si="3184"/>
        <v>12262438.756910365</v>
      </c>
      <c r="AW422" s="663">
        <f t="shared" si="3184"/>
        <v>12262438.756910365</v>
      </c>
      <c r="AX422" s="663">
        <f t="shared" si="3184"/>
        <v>0</v>
      </c>
      <c r="AY422" s="663">
        <f t="shared" si="3184"/>
        <v>12262438.756910365</v>
      </c>
      <c r="AZ422" s="663">
        <f t="shared" si="3184"/>
        <v>0</v>
      </c>
      <c r="BA422" s="521"/>
      <c r="BB422" s="663">
        <f t="shared" si="3185"/>
        <v>0</v>
      </c>
      <c r="BC422" s="663">
        <f t="shared" si="3185"/>
        <v>0</v>
      </c>
      <c r="BD422" s="651"/>
      <c r="BE422" s="663">
        <f t="shared" si="3186"/>
        <v>12262438.756910365</v>
      </c>
      <c r="BF422" s="663">
        <f t="shared" si="3186"/>
        <v>0</v>
      </c>
      <c r="BG422" s="663">
        <f t="shared" si="3186"/>
        <v>12262438.756910365</v>
      </c>
      <c r="BI422" s="663">
        <f t="shared" si="3187"/>
        <v>12262438.756910365</v>
      </c>
      <c r="BJ422" s="663">
        <f t="shared" si="3187"/>
        <v>12262438.756910365</v>
      </c>
      <c r="BK422" s="663">
        <f t="shared" si="3187"/>
        <v>0</v>
      </c>
      <c r="BL422" s="663">
        <f t="shared" si="3187"/>
        <v>0</v>
      </c>
      <c r="BM422" s="663">
        <f t="shared" si="3187"/>
        <v>0</v>
      </c>
      <c r="BN422" s="663">
        <f t="shared" si="3187"/>
        <v>0</v>
      </c>
      <c r="BO422" s="663">
        <f t="shared" si="3187"/>
        <v>0</v>
      </c>
      <c r="BP422" s="663">
        <f t="shared" si="3187"/>
        <v>0</v>
      </c>
      <c r="BQ422" s="663">
        <f t="shared" si="3187"/>
        <v>0</v>
      </c>
      <c r="BR422" s="663">
        <f t="shared" si="3187"/>
        <v>0</v>
      </c>
      <c r="BS422" s="663">
        <f t="shared" si="3187"/>
        <v>0</v>
      </c>
      <c r="BT422" s="663">
        <f t="shared" si="3187"/>
        <v>12262438.756910365</v>
      </c>
      <c r="BU422" s="663">
        <f t="shared" si="3187"/>
        <v>0</v>
      </c>
      <c r="BX422" s="663">
        <f t="shared" si="3188"/>
        <v>12262438.756910365</v>
      </c>
      <c r="BY422" s="663">
        <f t="shared" si="3188"/>
        <v>12262438.756910365</v>
      </c>
      <c r="BZ422" s="663">
        <f t="shared" si="3188"/>
        <v>0</v>
      </c>
      <c r="CA422" s="663">
        <f t="shared" si="3188"/>
        <v>0</v>
      </c>
      <c r="CB422" s="663">
        <f t="shared" si="3188"/>
        <v>0</v>
      </c>
      <c r="CC422" s="663">
        <f t="shared" si="3188"/>
        <v>0</v>
      </c>
      <c r="CD422" s="663">
        <f t="shared" si="3188"/>
        <v>12262438.756910365</v>
      </c>
    </row>
    <row r="423" spans="4:82" ht="16" hidden="1" thickTop="1" thickBot="1">
      <c r="D423" s="679">
        <v>4</v>
      </c>
      <c r="E423" s="681">
        <v>45658</v>
      </c>
      <c r="F423" s="682">
        <v>2025</v>
      </c>
      <c r="G423" s="683">
        <f t="shared" si="3174"/>
        <v>19644030.359752346</v>
      </c>
      <c r="I423" s="663">
        <f t="shared" si="3189"/>
        <v>0</v>
      </c>
      <c r="J423" s="663">
        <f t="shared" si="3175"/>
        <v>0</v>
      </c>
      <c r="K423" s="663">
        <f t="shared" si="3175"/>
        <v>0</v>
      </c>
      <c r="L423" s="663">
        <f t="shared" si="3175"/>
        <v>8638186.6659764461</v>
      </c>
      <c r="M423" s="663" cm="1">
        <f t="array" ref="M423">LOOKUP(2,1/($F$57:$F$416=$D423),M$57:M$416)</f>
        <v>0</v>
      </c>
      <c r="N423" s="663">
        <f t="shared" si="3176"/>
        <v>8638186.6659764461</v>
      </c>
      <c r="O423" s="663">
        <f t="shared" si="3176"/>
        <v>0</v>
      </c>
      <c r="P423" s="663">
        <f t="shared" si="3176"/>
        <v>8638186.6659764461</v>
      </c>
      <c r="Q423" s="663">
        <f t="shared" si="3176"/>
        <v>11005843.6937759</v>
      </c>
      <c r="R423" s="521"/>
      <c r="S423" s="663">
        <f t="shared" si="3190"/>
        <v>0</v>
      </c>
      <c r="T423" s="663">
        <f t="shared" si="3177"/>
        <v>0</v>
      </c>
      <c r="U423" s="663">
        <f t="shared" si="3177"/>
        <v>454883.44375925063</v>
      </c>
      <c r="V423" s="663">
        <f t="shared" si="3177"/>
        <v>8638186.6659764461</v>
      </c>
      <c r="W423" s="663">
        <f t="shared" si="3177"/>
        <v>6763029.3644022625</v>
      </c>
      <c r="X423" s="663" cm="1">
        <f t="array" ref="X423">LOOKUP(2,1/($F$57:$F$416=$D423),X$57:X$416)</f>
        <v>0</v>
      </c>
      <c r="Y423" s="663">
        <f t="shared" si="3178"/>
        <v>15401216.030378709</v>
      </c>
      <c r="Z423" s="663">
        <f t="shared" si="3178"/>
        <v>751447.70715580671</v>
      </c>
      <c r="AA423" s="663">
        <f t="shared" si="3178"/>
        <v>16152663.737534516</v>
      </c>
      <c r="AB423" s="663">
        <f t="shared" si="3178"/>
        <v>3491366.6222178298</v>
      </c>
      <c r="AC423" s="521"/>
      <c r="AD423" s="663">
        <f t="shared" si="3179"/>
        <v>0</v>
      </c>
      <c r="AE423" s="663">
        <f t="shared" si="3180"/>
        <v>0</v>
      </c>
      <c r="AF423" s="663">
        <f t="shared" si="3180"/>
        <v>2249122.588707068</v>
      </c>
      <c r="AG423" s="663">
        <f t="shared" si="3180"/>
        <v>15401216.030378709</v>
      </c>
      <c r="AH423" s="663">
        <f t="shared" si="3180"/>
        <v>2793093.2977742641</v>
      </c>
      <c r="AI423" s="663" cm="1">
        <f t="array" ref="AI423">LOOKUP(2,1/($F$57:$F$416=$D423),AI$57:AI$416)</f>
        <v>6665831.161684107</v>
      </c>
      <c r="AJ423" s="663">
        <f t="shared" si="3181"/>
        <v>18194309.328152973</v>
      </c>
      <c r="AK423" s="663">
        <f t="shared" si="3181"/>
        <v>18194309.328152973</v>
      </c>
      <c r="AL423" s="663">
        <f t="shared" si="3181"/>
        <v>1449721.0315993726</v>
      </c>
      <c r="AM423" s="663">
        <f t="shared" si="3181"/>
        <v>19644030.359752346</v>
      </c>
      <c r="AN423" s="663">
        <f t="shared" si="3181"/>
        <v>0</v>
      </c>
      <c r="AO423" s="521"/>
      <c r="AP423" s="663">
        <f t="shared" si="3182"/>
        <v>0</v>
      </c>
      <c r="AQ423" s="663">
        <f t="shared" si="3183"/>
        <v>0</v>
      </c>
      <c r="AR423" s="663">
        <f t="shared" si="3183"/>
        <v>6156100.1409714511</v>
      </c>
      <c r="AS423" s="663">
        <f t="shared" si="3183"/>
        <v>18194309.328152973</v>
      </c>
      <c r="AT423" s="663">
        <f t="shared" si="3183"/>
        <v>0</v>
      </c>
      <c r="AU423" s="663" cm="1">
        <f t="array" ref="AU423">LOOKUP(2,1/($F$57:$F$416=$D423),AU$57:AU$416)</f>
        <v>19696297.409400009</v>
      </c>
      <c r="AV423" s="663">
        <f t="shared" si="3184"/>
        <v>18194309.328152973</v>
      </c>
      <c r="AW423" s="663">
        <f t="shared" si="3184"/>
        <v>18194309.328152973</v>
      </c>
      <c r="AX423" s="663">
        <f t="shared" si="3184"/>
        <v>1449721.0315993726</v>
      </c>
      <c r="AY423" s="663">
        <f t="shared" si="3184"/>
        <v>19644030.359752346</v>
      </c>
      <c r="AZ423" s="663">
        <f t="shared" si="3184"/>
        <v>0</v>
      </c>
      <c r="BA423" s="521"/>
      <c r="BB423" s="663">
        <f t="shared" si="3185"/>
        <v>0</v>
      </c>
      <c r="BC423" s="663">
        <f t="shared" si="3185"/>
        <v>0</v>
      </c>
      <c r="BD423" s="651"/>
      <c r="BE423" s="663">
        <f t="shared" si="3186"/>
        <v>18194309.328152973</v>
      </c>
      <c r="BF423" s="663">
        <f t="shared" si="3186"/>
        <v>1449721.0315993726</v>
      </c>
      <c r="BG423" s="663">
        <f t="shared" si="3186"/>
        <v>19644030.359752346</v>
      </c>
      <c r="BI423" s="663">
        <f t="shared" si="3187"/>
        <v>19644030.359752346</v>
      </c>
      <c r="BJ423" s="663">
        <f t="shared" si="3187"/>
        <v>8638186.6659764461</v>
      </c>
      <c r="BK423" s="663">
        <f t="shared" si="3187"/>
        <v>0</v>
      </c>
      <c r="BL423" s="663">
        <f t="shared" si="3187"/>
        <v>6763029.3644022625</v>
      </c>
      <c r="BM423" s="663">
        <f t="shared" si="3187"/>
        <v>751447.70715580671</v>
      </c>
      <c r="BN423" s="663">
        <f t="shared" si="3187"/>
        <v>2793093.2977742646</v>
      </c>
      <c r="BO423" s="663">
        <f t="shared" si="3187"/>
        <v>698273.3244435658</v>
      </c>
      <c r="BP423" s="663">
        <f t="shared" si="3187"/>
        <v>0</v>
      </c>
      <c r="BQ423" s="663">
        <f t="shared" si="3187"/>
        <v>0</v>
      </c>
      <c r="BR423" s="663">
        <f t="shared" si="3187"/>
        <v>0</v>
      </c>
      <c r="BS423" s="663">
        <f t="shared" si="3187"/>
        <v>0</v>
      </c>
      <c r="BT423" s="663">
        <f t="shared" si="3187"/>
        <v>18194309.328152973</v>
      </c>
      <c r="BU423" s="663">
        <f t="shared" si="3187"/>
        <v>1449721.0315993726</v>
      </c>
      <c r="BX423" s="663">
        <f t="shared" si="3188"/>
        <v>19644030.359752346</v>
      </c>
      <c r="BY423" s="663">
        <f t="shared" si="3188"/>
        <v>8638186.6659764461</v>
      </c>
      <c r="BZ423" s="663">
        <f t="shared" si="3188"/>
        <v>7514477.0715580694</v>
      </c>
      <c r="CA423" s="663">
        <f t="shared" si="3188"/>
        <v>3491366.6222178303</v>
      </c>
      <c r="CB423" s="663">
        <f t="shared" si="3188"/>
        <v>0</v>
      </c>
      <c r="CC423" s="663">
        <f t="shared" si="3188"/>
        <v>0</v>
      </c>
      <c r="CD423" s="663">
        <f t="shared" si="3188"/>
        <v>19644030.359752346</v>
      </c>
    </row>
    <row r="424" spans="4:82" ht="16" hidden="1" thickTop="1" thickBot="1">
      <c r="D424" s="679">
        <v>5</v>
      </c>
      <c r="E424" s="681">
        <v>46023</v>
      </c>
      <c r="F424" s="682">
        <v>2026</v>
      </c>
      <c r="G424" s="683">
        <f t="shared" si="3174"/>
        <v>26076900.231866837</v>
      </c>
      <c r="I424" s="663">
        <f t="shared" si="3189"/>
        <v>24820000.000000011</v>
      </c>
      <c r="J424" s="663">
        <f t="shared" si="3175"/>
        <v>0</v>
      </c>
      <c r="K424" s="663">
        <f t="shared" si="3175"/>
        <v>0</v>
      </c>
      <c r="L424" s="663">
        <f t="shared" si="3175"/>
        <v>0</v>
      </c>
      <c r="M424" s="663" cm="1">
        <f t="array" ref="M424">LOOKUP(2,1/($F$57:$F$416=$D424),M$57:M$416)</f>
        <v>0</v>
      </c>
      <c r="N424" s="663">
        <f t="shared" si="3176"/>
        <v>0</v>
      </c>
      <c r="O424" s="663">
        <f t="shared" si="3176"/>
        <v>0</v>
      </c>
      <c r="P424" s="663">
        <f t="shared" si="3176"/>
        <v>0</v>
      </c>
      <c r="Q424" s="663">
        <f t="shared" si="3176"/>
        <v>26076900.231866837</v>
      </c>
      <c r="R424" s="521"/>
      <c r="S424" s="663">
        <f t="shared" si="3190"/>
        <v>26557184.239244487</v>
      </c>
      <c r="T424" s="663">
        <f t="shared" si="3177"/>
        <v>0</v>
      </c>
      <c r="U424" s="663">
        <f t="shared" si="3177"/>
        <v>0</v>
      </c>
      <c r="V424" s="663">
        <f t="shared" si="3177"/>
        <v>0</v>
      </c>
      <c r="W424" s="663">
        <f t="shared" si="3177"/>
        <v>0</v>
      </c>
      <c r="X424" s="663" cm="1">
        <f t="array" ref="X424">LOOKUP(2,1/($F$57:$F$416=$D424),X$57:X$416)</f>
        <v>0</v>
      </c>
      <c r="Y424" s="663">
        <f t="shared" si="3178"/>
        <v>0</v>
      </c>
      <c r="Z424" s="663">
        <f t="shared" si="3178"/>
        <v>0</v>
      </c>
      <c r="AA424" s="663">
        <f t="shared" si="3178"/>
        <v>0</v>
      </c>
      <c r="AB424" s="663">
        <f t="shared" si="3178"/>
        <v>26076900.231866837</v>
      </c>
      <c r="AC424" s="521"/>
      <c r="AD424" s="663">
        <f t="shared" si="3179"/>
        <v>28261758.047585431</v>
      </c>
      <c r="AE424" s="663">
        <f t="shared" si="3180"/>
        <v>0</v>
      </c>
      <c r="AF424" s="663">
        <f t="shared" si="3180"/>
        <v>205663.02780630102</v>
      </c>
      <c r="AG424" s="663">
        <f t="shared" si="3180"/>
        <v>0</v>
      </c>
      <c r="AH424" s="663">
        <f t="shared" si="3180"/>
        <v>6871494.1894904086</v>
      </c>
      <c r="AI424" s="663" cm="1">
        <f t="array" ref="AI424">LOOKUP(2,1/($F$57:$F$416=$D424),AI$57:AI$416)</f>
        <v>0</v>
      </c>
      <c r="AJ424" s="663">
        <f t="shared" si="3181"/>
        <v>6871494.1894904086</v>
      </c>
      <c r="AK424" s="663">
        <f t="shared" si="3181"/>
        <v>6871494.1894904086</v>
      </c>
      <c r="AL424" s="663">
        <f t="shared" si="3181"/>
        <v>1717873.5473726015</v>
      </c>
      <c r="AM424" s="663">
        <f t="shared" si="3181"/>
        <v>8589367.7368630096</v>
      </c>
      <c r="AN424" s="663">
        <f t="shared" si="3181"/>
        <v>17487532.495003827</v>
      </c>
      <c r="AO424" s="521"/>
      <c r="AP424" s="663">
        <f t="shared" si="3182"/>
        <v>29937179.051310387</v>
      </c>
      <c r="AQ424" s="663">
        <f t="shared" si="3183"/>
        <v>0</v>
      </c>
      <c r="AR424" s="663">
        <f t="shared" si="3183"/>
        <v>2228651.7830037642</v>
      </c>
      <c r="AS424" s="663">
        <f t="shared" si="3183"/>
        <v>6871494.1894904086</v>
      </c>
      <c r="AT424" s="663">
        <f t="shared" si="3183"/>
        <v>12241272.746502677</v>
      </c>
      <c r="AU424" s="663" cm="1">
        <f t="array" ref="AU424">LOOKUP(2,1/($F$57:$F$416=$D424),AU$57:AU$416)</f>
        <v>2812182.256410691</v>
      </c>
      <c r="AV424" s="663">
        <f t="shared" si="3184"/>
        <v>19112766.935993087</v>
      </c>
      <c r="AW424" s="663">
        <f t="shared" si="3184"/>
        <v>19112766.935993087</v>
      </c>
      <c r="AX424" s="663">
        <f t="shared" si="3184"/>
        <v>6964133.29587375</v>
      </c>
      <c r="AY424" s="663">
        <f t="shared" si="3184"/>
        <v>26076900.231866837</v>
      </c>
      <c r="AZ424" s="663">
        <f t="shared" si="3184"/>
        <v>0</v>
      </c>
      <c r="BA424" s="521"/>
      <c r="BB424" s="663">
        <f t="shared" si="3185"/>
        <v>0</v>
      </c>
      <c r="BC424" s="663">
        <f t="shared" si="3185"/>
        <v>0</v>
      </c>
      <c r="BD424" s="651"/>
      <c r="BE424" s="663">
        <f t="shared" si="3186"/>
        <v>19112766.935993087</v>
      </c>
      <c r="BF424" s="663">
        <f t="shared" si="3186"/>
        <v>6964133.29587375</v>
      </c>
      <c r="BG424" s="663">
        <f t="shared" si="3186"/>
        <v>26076900.231866837</v>
      </c>
      <c r="BI424" s="663">
        <f t="shared" si="3187"/>
        <v>26076900.231866837</v>
      </c>
      <c r="BJ424" s="663">
        <f t="shared" si="3187"/>
        <v>0</v>
      </c>
      <c r="BK424" s="663">
        <f t="shared" si="3187"/>
        <v>0</v>
      </c>
      <c r="BL424" s="663">
        <f t="shared" si="3187"/>
        <v>0</v>
      </c>
      <c r="BM424" s="663">
        <f t="shared" si="3187"/>
        <v>0</v>
      </c>
      <c r="BN424" s="663">
        <f t="shared" si="3187"/>
        <v>6871494.1894904086</v>
      </c>
      <c r="BO424" s="663">
        <f t="shared" si="3187"/>
        <v>1717873.5473726015</v>
      </c>
      <c r="BP424" s="663">
        <f t="shared" si="3187"/>
        <v>12241272.746502677</v>
      </c>
      <c r="BQ424" s="663">
        <f t="shared" si="3187"/>
        <v>5246259.7485011481</v>
      </c>
      <c r="BR424" s="663">
        <f t="shared" si="3187"/>
        <v>0</v>
      </c>
      <c r="BS424" s="663">
        <f t="shared" si="3187"/>
        <v>0</v>
      </c>
      <c r="BT424" s="663">
        <f t="shared" si="3187"/>
        <v>19112766.935993087</v>
      </c>
      <c r="BU424" s="663">
        <f t="shared" si="3187"/>
        <v>6964133.29587375</v>
      </c>
      <c r="BX424" s="663">
        <f t="shared" si="3188"/>
        <v>26076900.231866837</v>
      </c>
      <c r="BY424" s="663">
        <f t="shared" si="3188"/>
        <v>0</v>
      </c>
      <c r="BZ424" s="663">
        <f t="shared" si="3188"/>
        <v>0</v>
      </c>
      <c r="CA424" s="663">
        <f t="shared" si="3188"/>
        <v>8589367.7368630096</v>
      </c>
      <c r="CB424" s="663">
        <f t="shared" si="3188"/>
        <v>17487532.495003827</v>
      </c>
      <c r="CC424" s="663">
        <f t="shared" si="3188"/>
        <v>0</v>
      </c>
      <c r="CD424" s="663">
        <f t="shared" si="3188"/>
        <v>26076900.231866837</v>
      </c>
    </row>
    <row r="425" spans="4:82" ht="16" hidden="1" thickTop="1" thickBot="1">
      <c r="D425" s="680">
        <v>6</v>
      </c>
      <c r="E425" s="681">
        <v>46388</v>
      </c>
      <c r="F425" s="682"/>
      <c r="G425" s="683">
        <f t="shared" si="3174"/>
        <v>13484551.326557463</v>
      </c>
      <c r="I425" s="663">
        <f t="shared" si="3189"/>
        <v>20900625.422886811</v>
      </c>
      <c r="J425" s="663">
        <f t="shared" si="3175"/>
        <v>0</v>
      </c>
      <c r="K425" s="663">
        <f t="shared" si="3175"/>
        <v>0</v>
      </c>
      <c r="L425" s="663">
        <f t="shared" si="3175"/>
        <v>0</v>
      </c>
      <c r="M425" s="663" cm="1">
        <f t="array" ref="M425">LOOKUP(2,1/($F$57:$F$416=$D425),M$57:M$416)</f>
        <v>0</v>
      </c>
      <c r="N425" s="663">
        <f t="shared" si="3176"/>
        <v>0</v>
      </c>
      <c r="O425" s="663">
        <f t="shared" si="3176"/>
        <v>0</v>
      </c>
      <c r="P425" s="663">
        <f t="shared" si="3176"/>
        <v>0</v>
      </c>
      <c r="Q425" s="663">
        <f t="shared" si="3176"/>
        <v>13484551.326557463</v>
      </c>
      <c r="R425" s="521"/>
      <c r="S425" s="663">
        <f t="shared" si="3190"/>
        <v>25167036.815171856</v>
      </c>
      <c r="T425" s="663">
        <f t="shared" si="3177"/>
        <v>0</v>
      </c>
      <c r="U425" s="663">
        <f t="shared" si="3177"/>
        <v>0</v>
      </c>
      <c r="V425" s="663">
        <f t="shared" si="3177"/>
        <v>0</v>
      </c>
      <c r="W425" s="663">
        <f t="shared" si="3177"/>
        <v>0</v>
      </c>
      <c r="X425" s="663" cm="1">
        <f t="array" ref="X425">LOOKUP(2,1/($F$57:$F$416=$D425),X$57:X$416)</f>
        <v>0</v>
      </c>
      <c r="Y425" s="663">
        <f t="shared" si="3178"/>
        <v>0</v>
      </c>
      <c r="Z425" s="663">
        <f t="shared" si="3178"/>
        <v>0</v>
      </c>
      <c r="AA425" s="663">
        <f t="shared" si="3178"/>
        <v>0</v>
      </c>
      <c r="AB425" s="663">
        <f t="shared" si="3178"/>
        <v>13484551.326557463</v>
      </c>
      <c r="AC425" s="521"/>
      <c r="AD425" s="663">
        <f t="shared" si="3179"/>
        <v>29748587.42183404</v>
      </c>
      <c r="AE425" s="663">
        <f t="shared" si="3180"/>
        <v>0</v>
      </c>
      <c r="AF425" s="663">
        <f t="shared" si="3180"/>
        <v>0</v>
      </c>
      <c r="AG425" s="663">
        <f t="shared" si="3180"/>
        <v>0</v>
      </c>
      <c r="AH425" s="663">
        <f t="shared" si="3180"/>
        <v>0</v>
      </c>
      <c r="AI425" s="663" cm="1">
        <f t="array" ref="AI425">LOOKUP(2,1/($F$57:$F$416=$D425),AI$57:AI$416)</f>
        <v>0</v>
      </c>
      <c r="AJ425" s="663">
        <f t="shared" si="3181"/>
        <v>0</v>
      </c>
      <c r="AK425" s="663">
        <f t="shared" si="3181"/>
        <v>0</v>
      </c>
      <c r="AL425" s="663">
        <f t="shared" si="3181"/>
        <v>0</v>
      </c>
      <c r="AM425" s="663">
        <f t="shared" si="3181"/>
        <v>0</v>
      </c>
      <c r="AN425" s="663">
        <f t="shared" si="3181"/>
        <v>13484551.326557463</v>
      </c>
      <c r="AO425" s="521"/>
      <c r="AP425" s="663">
        <f t="shared" si="3182"/>
        <v>34639136.272413939</v>
      </c>
      <c r="AQ425" s="663">
        <f t="shared" si="3183"/>
        <v>0</v>
      </c>
      <c r="AR425" s="663">
        <f t="shared" si="3183"/>
        <v>109590.11805021304</v>
      </c>
      <c r="AS425" s="663">
        <f t="shared" si="3183"/>
        <v>0</v>
      </c>
      <c r="AT425" s="663">
        <f t="shared" si="3183"/>
        <v>2921772.3744609039</v>
      </c>
      <c r="AU425" s="663" cm="1">
        <f t="array" ref="AU425">LOOKUP(2,1/($F$57:$F$416=$D425),AU$57:AU$416)</f>
        <v>0</v>
      </c>
      <c r="AV425" s="663">
        <f t="shared" si="3184"/>
        <v>2921772.3744609039</v>
      </c>
      <c r="AW425" s="663">
        <f t="shared" si="3184"/>
        <v>2921772.3744609039</v>
      </c>
      <c r="AX425" s="663">
        <f t="shared" si="3184"/>
        <v>1252188.1604832448</v>
      </c>
      <c r="AY425" s="663">
        <f t="shared" si="3184"/>
        <v>4173960.5349441487</v>
      </c>
      <c r="AZ425" s="663">
        <f t="shared" si="3184"/>
        <v>9310590.7916133143</v>
      </c>
      <c r="BA425" s="521"/>
      <c r="BB425" s="663">
        <f t="shared" si="3185"/>
        <v>4655295.3958066572</v>
      </c>
      <c r="BC425" s="663">
        <f t="shared" si="3185"/>
        <v>4655295.3958066572</v>
      </c>
      <c r="BD425" s="651"/>
      <c r="BE425" s="663">
        <f t="shared" si="3186"/>
        <v>7577067.7702675611</v>
      </c>
      <c r="BF425" s="663">
        <f t="shared" si="3186"/>
        <v>5907483.556289902</v>
      </c>
      <c r="BG425" s="663">
        <f t="shared" si="3186"/>
        <v>13484551.326557463</v>
      </c>
      <c r="BI425" s="663">
        <f t="shared" si="3187"/>
        <v>13484551.326557463</v>
      </c>
      <c r="BJ425" s="663">
        <f t="shared" si="3187"/>
        <v>0</v>
      </c>
      <c r="BK425" s="663">
        <f t="shared" si="3187"/>
        <v>0</v>
      </c>
      <c r="BL425" s="663">
        <f t="shared" si="3187"/>
        <v>0</v>
      </c>
      <c r="BM425" s="663">
        <f t="shared" si="3187"/>
        <v>0</v>
      </c>
      <c r="BN425" s="663">
        <f t="shared" si="3187"/>
        <v>0</v>
      </c>
      <c r="BO425" s="663">
        <f t="shared" si="3187"/>
        <v>0</v>
      </c>
      <c r="BP425" s="663">
        <f t="shared" si="3187"/>
        <v>2921772.3744609039</v>
      </c>
      <c r="BQ425" s="663">
        <f t="shared" si="3187"/>
        <v>1252188.1604832448</v>
      </c>
      <c r="BR425" s="663">
        <f t="shared" si="3187"/>
        <v>4655295.3958066572</v>
      </c>
      <c r="BS425" s="663">
        <f t="shared" si="3187"/>
        <v>4655295.3958066572</v>
      </c>
      <c r="BT425" s="663">
        <f t="shared" si="3187"/>
        <v>7577067.7702675611</v>
      </c>
      <c r="BU425" s="663">
        <f t="shared" si="3187"/>
        <v>5907483.556289902</v>
      </c>
      <c r="BX425" s="663">
        <f t="shared" si="3188"/>
        <v>13484551.326557463</v>
      </c>
      <c r="BY425" s="663">
        <f t="shared" si="3188"/>
        <v>0</v>
      </c>
      <c r="BZ425" s="663">
        <f t="shared" si="3188"/>
        <v>0</v>
      </c>
      <c r="CA425" s="663">
        <f t="shared" si="3188"/>
        <v>0</v>
      </c>
      <c r="CB425" s="663">
        <f t="shared" si="3188"/>
        <v>4173960.5349441487</v>
      </c>
      <c r="CC425" s="663">
        <f t="shared" si="3188"/>
        <v>9310590.7916133143</v>
      </c>
      <c r="CD425" s="663">
        <f t="shared" si="3188"/>
        <v>13484551.326557463</v>
      </c>
    </row>
    <row r="426" spans="4:82" ht="16" hidden="1" thickTop="1" thickBot="1">
      <c r="D426" s="680">
        <v>7</v>
      </c>
      <c r="E426" s="681">
        <v>46753</v>
      </c>
      <c r="F426" s="682"/>
      <c r="G426" s="683">
        <f t="shared" si="3174"/>
        <v>0</v>
      </c>
      <c r="I426" s="663">
        <f t="shared" si="3189"/>
        <v>8638186.6659764461</v>
      </c>
      <c r="J426" s="663">
        <f t="shared" si="3175"/>
        <v>0</v>
      </c>
      <c r="K426" s="663">
        <f t="shared" si="3175"/>
        <v>0</v>
      </c>
      <c r="L426" s="663">
        <f t="shared" si="3175"/>
        <v>0</v>
      </c>
      <c r="M426" s="663" cm="1">
        <f t="array" ref="M426">LOOKUP(2,1/($F$57:$F$416=$D426),M$57:M$416)</f>
        <v>0</v>
      </c>
      <c r="N426" s="663">
        <f t="shared" si="3176"/>
        <v>0</v>
      </c>
      <c r="O426" s="663">
        <f t="shared" si="3176"/>
        <v>0</v>
      </c>
      <c r="P426" s="663">
        <f t="shared" si="3176"/>
        <v>0</v>
      </c>
      <c r="Q426" s="663">
        <f t="shared" si="3176"/>
        <v>0</v>
      </c>
      <c r="R426" s="521"/>
      <c r="S426" s="663">
        <f t="shared" si="3190"/>
        <v>14828091.30426663</v>
      </c>
      <c r="T426" s="663">
        <f t="shared" si="3177"/>
        <v>0</v>
      </c>
      <c r="U426" s="663">
        <f t="shared" si="3177"/>
        <v>0</v>
      </c>
      <c r="V426" s="663">
        <f t="shared" si="3177"/>
        <v>0</v>
      </c>
      <c r="W426" s="663">
        <f t="shared" si="3177"/>
        <v>0</v>
      </c>
      <c r="X426" s="663" cm="1">
        <f t="array" ref="X426">LOOKUP(2,1/($F$57:$F$416=$D426),X$57:X$416)</f>
        <v>0</v>
      </c>
      <c r="Y426" s="663">
        <f t="shared" si="3178"/>
        <v>0</v>
      </c>
      <c r="Z426" s="663">
        <f t="shared" si="3178"/>
        <v>0</v>
      </c>
      <c r="AA426" s="663">
        <f t="shared" si="3178"/>
        <v>0</v>
      </c>
      <c r="AB426" s="663">
        <f t="shared" si="3178"/>
        <v>0</v>
      </c>
      <c r="AC426" s="521"/>
      <c r="AD426" s="663">
        <f t="shared" si="3179"/>
        <v>22270074.847229544</v>
      </c>
      <c r="AE426" s="663">
        <f t="shared" si="3180"/>
        <v>0</v>
      </c>
      <c r="AF426" s="663">
        <f t="shared" si="3180"/>
        <v>0</v>
      </c>
      <c r="AG426" s="663">
        <f t="shared" si="3180"/>
        <v>0</v>
      </c>
      <c r="AH426" s="663">
        <f t="shared" si="3180"/>
        <v>0</v>
      </c>
      <c r="AI426" s="663" cm="1">
        <f t="array" ref="AI426">LOOKUP(2,1/($F$57:$F$416=$D426),AI$57:AI$416)</f>
        <v>0</v>
      </c>
      <c r="AJ426" s="663">
        <f t="shared" si="3181"/>
        <v>0</v>
      </c>
      <c r="AK426" s="663">
        <f t="shared" si="3181"/>
        <v>0</v>
      </c>
      <c r="AL426" s="663">
        <f t="shared" si="3181"/>
        <v>0</v>
      </c>
      <c r="AM426" s="663">
        <f t="shared" si="3181"/>
        <v>0</v>
      </c>
      <c r="AN426" s="663">
        <f t="shared" si="3181"/>
        <v>0</v>
      </c>
      <c r="AO426" s="521"/>
      <c r="AP426" s="663">
        <f t="shared" si="3182"/>
        <v>31048203.124593411</v>
      </c>
      <c r="AQ426" s="663">
        <f t="shared" si="3183"/>
        <v>0</v>
      </c>
      <c r="AR426" s="663">
        <f t="shared" si="3183"/>
        <v>0</v>
      </c>
      <c r="AS426" s="663">
        <f t="shared" si="3183"/>
        <v>0</v>
      </c>
      <c r="AT426" s="663">
        <f t="shared" si="3183"/>
        <v>0</v>
      </c>
      <c r="AU426" s="663" cm="1">
        <f t="array" ref="AU426">LOOKUP(2,1/($F$57:$F$416=$D426),AU$57:AU$416)</f>
        <v>0</v>
      </c>
      <c r="AV426" s="663">
        <f t="shared" si="3184"/>
        <v>0</v>
      </c>
      <c r="AW426" s="663">
        <f t="shared" si="3184"/>
        <v>0</v>
      </c>
      <c r="AX426" s="663">
        <f t="shared" si="3184"/>
        <v>0</v>
      </c>
      <c r="AY426" s="663">
        <f t="shared" si="3184"/>
        <v>0</v>
      </c>
      <c r="AZ426" s="663">
        <f t="shared" si="3184"/>
        <v>0</v>
      </c>
      <c r="BA426" s="521"/>
      <c r="BB426" s="663">
        <f t="shared" si="3185"/>
        <v>0</v>
      </c>
      <c r="BC426" s="663">
        <f t="shared" si="3185"/>
        <v>0</v>
      </c>
      <c r="BD426" s="651"/>
      <c r="BE426" s="663">
        <f t="shared" si="3186"/>
        <v>0</v>
      </c>
      <c r="BF426" s="663">
        <f t="shared" si="3186"/>
        <v>0</v>
      </c>
      <c r="BG426" s="663">
        <f t="shared" si="3186"/>
        <v>0</v>
      </c>
      <c r="BI426" s="663">
        <f t="shared" si="3187"/>
        <v>0</v>
      </c>
      <c r="BJ426" s="663">
        <f t="shared" si="3187"/>
        <v>0</v>
      </c>
      <c r="BK426" s="663">
        <f t="shared" si="3187"/>
        <v>0</v>
      </c>
      <c r="BL426" s="663">
        <f t="shared" si="3187"/>
        <v>0</v>
      </c>
      <c r="BM426" s="663">
        <f t="shared" si="3187"/>
        <v>0</v>
      </c>
      <c r="BN426" s="663">
        <f t="shared" si="3187"/>
        <v>0</v>
      </c>
      <c r="BO426" s="663">
        <f t="shared" si="3187"/>
        <v>0</v>
      </c>
      <c r="BP426" s="663">
        <f t="shared" si="3187"/>
        <v>0</v>
      </c>
      <c r="BQ426" s="663">
        <f t="shared" si="3187"/>
        <v>0</v>
      </c>
      <c r="BR426" s="663">
        <f t="shared" si="3187"/>
        <v>0</v>
      </c>
      <c r="BS426" s="663">
        <f t="shared" si="3187"/>
        <v>0</v>
      </c>
      <c r="BT426" s="663">
        <f t="shared" si="3187"/>
        <v>0</v>
      </c>
      <c r="BU426" s="663">
        <f t="shared" si="3187"/>
        <v>0</v>
      </c>
      <c r="BX426" s="663">
        <f t="shared" si="3188"/>
        <v>0</v>
      </c>
      <c r="BY426" s="663">
        <f t="shared" si="3188"/>
        <v>0</v>
      </c>
      <c r="BZ426" s="663">
        <f t="shared" si="3188"/>
        <v>0</v>
      </c>
      <c r="CA426" s="663">
        <f t="shared" si="3188"/>
        <v>0</v>
      </c>
      <c r="CB426" s="663">
        <f t="shared" si="3188"/>
        <v>0</v>
      </c>
      <c r="CC426" s="663">
        <f t="shared" si="3188"/>
        <v>0</v>
      </c>
      <c r="CD426" s="663">
        <f t="shared" si="3188"/>
        <v>0</v>
      </c>
    </row>
    <row r="427" spans="4:82" ht="16" hidden="1" thickTop="1" thickBot="1">
      <c r="D427" s="680"/>
      <c r="E427" s="681"/>
      <c r="F427" s="682"/>
      <c r="G427" s="683">
        <f t="shared" si="3174"/>
        <v>0</v>
      </c>
      <c r="I427" s="663">
        <f t="shared" si="3189"/>
        <v>0</v>
      </c>
      <c r="J427" s="663">
        <f t="shared" si="3175"/>
        <v>0</v>
      </c>
      <c r="K427" s="663">
        <f t="shared" si="3175"/>
        <v>0</v>
      </c>
      <c r="L427" s="663">
        <f t="shared" si="3175"/>
        <v>0</v>
      </c>
      <c r="M427" s="663" cm="1">
        <f t="array" ref="M427">LOOKUP(2,1/($F$57:$F$416=$D427),M$57:M$416)</f>
        <v>0</v>
      </c>
      <c r="N427" s="663">
        <f t="shared" si="3176"/>
        <v>0</v>
      </c>
      <c r="O427" s="663">
        <f t="shared" si="3176"/>
        <v>0</v>
      </c>
      <c r="P427" s="663">
        <f t="shared" si="3176"/>
        <v>0</v>
      </c>
      <c r="Q427" s="663">
        <f t="shared" si="3176"/>
        <v>0</v>
      </c>
      <c r="R427" s="521"/>
      <c r="S427" s="663">
        <f t="shared" si="3190"/>
        <v>0</v>
      </c>
      <c r="T427" s="663">
        <f t="shared" si="3177"/>
        <v>0</v>
      </c>
      <c r="U427" s="663">
        <f t="shared" si="3177"/>
        <v>0</v>
      </c>
      <c r="V427" s="663">
        <f t="shared" si="3177"/>
        <v>0</v>
      </c>
      <c r="W427" s="663">
        <f t="shared" si="3177"/>
        <v>0</v>
      </c>
      <c r="X427" s="663" cm="1">
        <f t="array" ref="X427">LOOKUP(2,1/($F$57:$F$416=$D427),X$57:X$416)</f>
        <v>0</v>
      </c>
      <c r="Y427" s="663">
        <f t="shared" si="3178"/>
        <v>0</v>
      </c>
      <c r="Z427" s="663">
        <f t="shared" si="3178"/>
        <v>0</v>
      </c>
      <c r="AA427" s="663">
        <f t="shared" si="3178"/>
        <v>0</v>
      </c>
      <c r="AB427" s="663">
        <f t="shared" si="3178"/>
        <v>0</v>
      </c>
      <c r="AC427" s="521"/>
      <c r="AD427" s="663">
        <f t="shared" si="3179"/>
        <v>0</v>
      </c>
      <c r="AE427" s="663">
        <f t="shared" si="3180"/>
        <v>0</v>
      </c>
      <c r="AF427" s="663">
        <f t="shared" si="3180"/>
        <v>0</v>
      </c>
      <c r="AG427" s="663">
        <f t="shared" si="3180"/>
        <v>0</v>
      </c>
      <c r="AH427" s="663">
        <f t="shared" si="3180"/>
        <v>0</v>
      </c>
      <c r="AI427" s="663" cm="1">
        <f t="array" ref="AI427">LOOKUP(2,1/($F$57:$F$416=$D427),AI$57:AI$416)</f>
        <v>0</v>
      </c>
      <c r="AJ427" s="663">
        <f t="shared" si="3181"/>
        <v>0</v>
      </c>
      <c r="AK427" s="663">
        <f t="shared" si="3181"/>
        <v>0</v>
      </c>
      <c r="AL427" s="663">
        <f t="shared" si="3181"/>
        <v>0</v>
      </c>
      <c r="AM427" s="663">
        <f t="shared" si="3181"/>
        <v>0</v>
      </c>
      <c r="AN427" s="663">
        <f t="shared" si="3181"/>
        <v>0</v>
      </c>
      <c r="AO427" s="521"/>
      <c r="AP427" s="663">
        <f t="shared" si="3182"/>
        <v>0</v>
      </c>
      <c r="AQ427" s="663">
        <f t="shared" si="3183"/>
        <v>0</v>
      </c>
      <c r="AR427" s="663">
        <f t="shared" si="3183"/>
        <v>0</v>
      </c>
      <c r="AS427" s="663">
        <f t="shared" si="3183"/>
        <v>0</v>
      </c>
      <c r="AT427" s="663">
        <f t="shared" si="3183"/>
        <v>0</v>
      </c>
      <c r="AU427" s="663" cm="1">
        <f t="array" ref="AU427">LOOKUP(2,1/($F$57:$F$416=$D427),AU$57:AU$416)</f>
        <v>0</v>
      </c>
      <c r="AV427" s="663">
        <f t="shared" si="3184"/>
        <v>0</v>
      </c>
      <c r="AW427" s="663">
        <f t="shared" si="3184"/>
        <v>0</v>
      </c>
      <c r="AX427" s="663">
        <f t="shared" si="3184"/>
        <v>0</v>
      </c>
      <c r="AY427" s="663">
        <f t="shared" si="3184"/>
        <v>0</v>
      </c>
      <c r="AZ427" s="663">
        <f t="shared" si="3184"/>
        <v>0</v>
      </c>
      <c r="BA427" s="521"/>
      <c r="BB427" s="663">
        <f t="shared" si="3185"/>
        <v>0</v>
      </c>
      <c r="BC427" s="663">
        <f t="shared" si="3185"/>
        <v>0</v>
      </c>
      <c r="BD427" s="651"/>
      <c r="BE427" s="663">
        <f t="shared" si="3186"/>
        <v>0</v>
      </c>
      <c r="BF427" s="663">
        <f t="shared" si="3186"/>
        <v>0</v>
      </c>
      <c r="BG427" s="663">
        <f t="shared" si="3186"/>
        <v>0</v>
      </c>
      <c r="BI427" s="663">
        <f t="shared" si="3187"/>
        <v>0</v>
      </c>
      <c r="BJ427" s="663">
        <f t="shared" si="3187"/>
        <v>0</v>
      </c>
      <c r="BK427" s="663">
        <f t="shared" si="3187"/>
        <v>0</v>
      </c>
      <c r="BL427" s="663">
        <f t="shared" si="3187"/>
        <v>0</v>
      </c>
      <c r="BM427" s="663">
        <f t="shared" si="3187"/>
        <v>0</v>
      </c>
      <c r="BN427" s="663">
        <f t="shared" si="3187"/>
        <v>0</v>
      </c>
      <c r="BO427" s="663">
        <f t="shared" si="3187"/>
        <v>0</v>
      </c>
      <c r="BP427" s="663">
        <f t="shared" si="3187"/>
        <v>0</v>
      </c>
      <c r="BQ427" s="663">
        <f t="shared" si="3187"/>
        <v>0</v>
      </c>
      <c r="BR427" s="663">
        <f t="shared" si="3187"/>
        <v>0</v>
      </c>
      <c r="BS427" s="663">
        <f t="shared" si="3187"/>
        <v>0</v>
      </c>
      <c r="BT427" s="663">
        <f t="shared" si="3187"/>
        <v>0</v>
      </c>
      <c r="BU427" s="663">
        <f t="shared" si="3187"/>
        <v>0</v>
      </c>
      <c r="BX427" s="663">
        <f t="shared" si="3188"/>
        <v>0</v>
      </c>
      <c r="BY427" s="663">
        <f t="shared" si="3188"/>
        <v>0</v>
      </c>
      <c r="BZ427" s="663">
        <f t="shared" si="3188"/>
        <v>0</v>
      </c>
      <c r="CA427" s="663">
        <f t="shared" si="3188"/>
        <v>0</v>
      </c>
      <c r="CB427" s="663">
        <f t="shared" si="3188"/>
        <v>0</v>
      </c>
      <c r="CC427" s="663">
        <f t="shared" si="3188"/>
        <v>0</v>
      </c>
      <c r="CD427" s="663">
        <f t="shared" si="3188"/>
        <v>0</v>
      </c>
    </row>
    <row r="428" spans="4:82" ht="16" hidden="1" thickTop="1" thickBot="1">
      <c r="D428" s="680"/>
      <c r="E428" s="681"/>
      <c r="F428" s="682"/>
      <c r="G428" s="683">
        <f t="shared" si="3174"/>
        <v>0</v>
      </c>
      <c r="I428" s="663">
        <f t="shared" si="3189"/>
        <v>0</v>
      </c>
      <c r="J428" s="663">
        <f t="shared" si="3175"/>
        <v>0</v>
      </c>
      <c r="K428" s="663">
        <f t="shared" si="3175"/>
        <v>0</v>
      </c>
      <c r="L428" s="663">
        <f t="shared" si="3175"/>
        <v>0</v>
      </c>
      <c r="M428" s="663" cm="1">
        <f t="array" ref="M428">LOOKUP(2,1/($F$57:$F$416=$D428),M$57:M$416)</f>
        <v>0</v>
      </c>
      <c r="N428" s="663">
        <f t="shared" si="3176"/>
        <v>0</v>
      </c>
      <c r="O428" s="663">
        <f t="shared" si="3176"/>
        <v>0</v>
      </c>
      <c r="P428" s="663">
        <f t="shared" si="3176"/>
        <v>0</v>
      </c>
      <c r="Q428" s="663">
        <f t="shared" si="3176"/>
        <v>0</v>
      </c>
      <c r="R428" s="521"/>
      <c r="S428" s="663">
        <f t="shared" si="3190"/>
        <v>0</v>
      </c>
      <c r="T428" s="663">
        <f t="shared" si="3177"/>
        <v>0</v>
      </c>
      <c r="U428" s="663">
        <f t="shared" si="3177"/>
        <v>0</v>
      </c>
      <c r="V428" s="663">
        <f t="shared" si="3177"/>
        <v>0</v>
      </c>
      <c r="W428" s="663">
        <f t="shared" si="3177"/>
        <v>0</v>
      </c>
      <c r="X428" s="663" cm="1">
        <f t="array" ref="X428">LOOKUP(2,1/($F$57:$F$416=$D428),X$57:X$416)</f>
        <v>0</v>
      </c>
      <c r="Y428" s="663">
        <f t="shared" si="3178"/>
        <v>0</v>
      </c>
      <c r="Z428" s="663">
        <f t="shared" si="3178"/>
        <v>0</v>
      </c>
      <c r="AA428" s="663">
        <f t="shared" si="3178"/>
        <v>0</v>
      </c>
      <c r="AB428" s="663">
        <f t="shared" si="3178"/>
        <v>0</v>
      </c>
      <c r="AC428" s="521"/>
      <c r="AD428" s="663">
        <f t="shared" si="3179"/>
        <v>0</v>
      </c>
      <c r="AE428" s="663">
        <f t="shared" si="3180"/>
        <v>0</v>
      </c>
      <c r="AF428" s="663">
        <f t="shared" si="3180"/>
        <v>0</v>
      </c>
      <c r="AG428" s="663">
        <f t="shared" si="3180"/>
        <v>0</v>
      </c>
      <c r="AH428" s="663">
        <f t="shared" si="3180"/>
        <v>0</v>
      </c>
      <c r="AI428" s="663" cm="1">
        <f t="array" ref="AI428">LOOKUP(2,1/($F$57:$F$416=$D428),AI$57:AI$416)</f>
        <v>0</v>
      </c>
      <c r="AJ428" s="663">
        <f t="shared" si="3181"/>
        <v>0</v>
      </c>
      <c r="AK428" s="663">
        <f t="shared" si="3181"/>
        <v>0</v>
      </c>
      <c r="AL428" s="663">
        <f t="shared" si="3181"/>
        <v>0</v>
      </c>
      <c r="AM428" s="663">
        <f t="shared" si="3181"/>
        <v>0</v>
      </c>
      <c r="AN428" s="663">
        <f t="shared" si="3181"/>
        <v>0</v>
      </c>
      <c r="AO428" s="521"/>
      <c r="AP428" s="663">
        <f t="shared" si="3182"/>
        <v>0</v>
      </c>
      <c r="AQ428" s="663">
        <f t="shared" si="3183"/>
        <v>0</v>
      </c>
      <c r="AR428" s="663">
        <f t="shared" si="3183"/>
        <v>0</v>
      </c>
      <c r="AS428" s="663">
        <f t="shared" si="3183"/>
        <v>0</v>
      </c>
      <c r="AT428" s="663">
        <f t="shared" si="3183"/>
        <v>0</v>
      </c>
      <c r="AU428" s="663" cm="1">
        <f t="array" ref="AU428">LOOKUP(2,1/($F$57:$F$416=$D428),AU$57:AU$416)</f>
        <v>0</v>
      </c>
      <c r="AV428" s="663">
        <f t="shared" si="3184"/>
        <v>0</v>
      </c>
      <c r="AW428" s="663">
        <f t="shared" si="3184"/>
        <v>0</v>
      </c>
      <c r="AX428" s="663">
        <f t="shared" si="3184"/>
        <v>0</v>
      </c>
      <c r="AY428" s="663">
        <f t="shared" si="3184"/>
        <v>0</v>
      </c>
      <c r="AZ428" s="663">
        <f t="shared" si="3184"/>
        <v>0</v>
      </c>
      <c r="BA428" s="521"/>
      <c r="BB428" s="663">
        <f t="shared" si="3185"/>
        <v>0</v>
      </c>
      <c r="BC428" s="663">
        <f t="shared" si="3185"/>
        <v>0</v>
      </c>
      <c r="BD428" s="651"/>
      <c r="BE428" s="663">
        <f t="shared" si="3186"/>
        <v>0</v>
      </c>
      <c r="BF428" s="663">
        <f t="shared" si="3186"/>
        <v>0</v>
      </c>
      <c r="BG428" s="663">
        <f t="shared" si="3186"/>
        <v>0</v>
      </c>
      <c r="BI428" s="663">
        <f t="shared" si="3187"/>
        <v>0</v>
      </c>
      <c r="BJ428" s="663">
        <f t="shared" si="3187"/>
        <v>0</v>
      </c>
      <c r="BK428" s="663">
        <f t="shared" si="3187"/>
        <v>0</v>
      </c>
      <c r="BL428" s="663">
        <f t="shared" si="3187"/>
        <v>0</v>
      </c>
      <c r="BM428" s="663">
        <f t="shared" si="3187"/>
        <v>0</v>
      </c>
      <c r="BN428" s="663">
        <f t="shared" si="3187"/>
        <v>0</v>
      </c>
      <c r="BO428" s="663">
        <f t="shared" si="3187"/>
        <v>0</v>
      </c>
      <c r="BP428" s="663">
        <f t="shared" si="3187"/>
        <v>0</v>
      </c>
      <c r="BQ428" s="663">
        <f t="shared" si="3187"/>
        <v>0</v>
      </c>
      <c r="BR428" s="663">
        <f t="shared" si="3187"/>
        <v>0</v>
      </c>
      <c r="BS428" s="663">
        <f t="shared" si="3187"/>
        <v>0</v>
      </c>
      <c r="BT428" s="663">
        <f t="shared" si="3187"/>
        <v>0</v>
      </c>
      <c r="BU428" s="663">
        <f t="shared" si="3187"/>
        <v>0</v>
      </c>
      <c r="BX428" s="663">
        <f t="shared" si="3188"/>
        <v>0</v>
      </c>
      <c r="BY428" s="663">
        <f t="shared" si="3188"/>
        <v>0</v>
      </c>
      <c r="BZ428" s="663">
        <f t="shared" si="3188"/>
        <v>0</v>
      </c>
      <c r="CA428" s="663">
        <f t="shared" si="3188"/>
        <v>0</v>
      </c>
      <c r="CB428" s="663">
        <f t="shared" si="3188"/>
        <v>0</v>
      </c>
      <c r="CC428" s="663">
        <f t="shared" si="3188"/>
        <v>0</v>
      </c>
      <c r="CD428" s="663">
        <f t="shared" si="3188"/>
        <v>0</v>
      </c>
    </row>
    <row r="429" spans="4:82" ht="16" hidden="1" thickTop="1" thickBot="1">
      <c r="D429" s="680"/>
      <c r="E429" s="681"/>
      <c r="F429" s="682"/>
      <c r="G429" s="683">
        <f t="shared" si="3174"/>
        <v>0</v>
      </c>
      <c r="I429" s="663">
        <f t="shared" si="3189"/>
        <v>0</v>
      </c>
      <c r="J429" s="663">
        <f t="shared" si="3175"/>
        <v>0</v>
      </c>
      <c r="K429" s="663">
        <f t="shared" si="3175"/>
        <v>0</v>
      </c>
      <c r="L429" s="663">
        <f t="shared" si="3175"/>
        <v>0</v>
      </c>
      <c r="M429" s="663" cm="1">
        <f t="array" ref="M429">LOOKUP(2,1/($F$57:$F$416=$D429),M$57:M$416)</f>
        <v>0</v>
      </c>
      <c r="N429" s="663">
        <f t="shared" si="3176"/>
        <v>0</v>
      </c>
      <c r="O429" s="663">
        <f t="shared" si="3176"/>
        <v>0</v>
      </c>
      <c r="P429" s="663">
        <f t="shared" si="3176"/>
        <v>0</v>
      </c>
      <c r="Q429" s="663">
        <f t="shared" si="3176"/>
        <v>0</v>
      </c>
      <c r="R429" s="521"/>
      <c r="S429" s="663">
        <f t="shared" si="3190"/>
        <v>0</v>
      </c>
      <c r="T429" s="663">
        <f t="shared" si="3177"/>
        <v>0</v>
      </c>
      <c r="U429" s="663">
        <f t="shared" si="3177"/>
        <v>0</v>
      </c>
      <c r="V429" s="663">
        <f t="shared" si="3177"/>
        <v>0</v>
      </c>
      <c r="W429" s="663">
        <f t="shared" si="3177"/>
        <v>0</v>
      </c>
      <c r="X429" s="663" cm="1">
        <f t="array" ref="X429">LOOKUP(2,1/($F$57:$F$416=$D429),X$57:X$416)</f>
        <v>0</v>
      </c>
      <c r="Y429" s="663">
        <f t="shared" si="3178"/>
        <v>0</v>
      </c>
      <c r="Z429" s="663">
        <f t="shared" si="3178"/>
        <v>0</v>
      </c>
      <c r="AA429" s="663">
        <f t="shared" si="3178"/>
        <v>0</v>
      </c>
      <c r="AB429" s="663">
        <f t="shared" si="3178"/>
        <v>0</v>
      </c>
      <c r="AC429" s="521"/>
      <c r="AD429" s="663">
        <f t="shared" si="3179"/>
        <v>0</v>
      </c>
      <c r="AE429" s="663">
        <f t="shared" si="3180"/>
        <v>0</v>
      </c>
      <c r="AF429" s="663">
        <f t="shared" si="3180"/>
        <v>0</v>
      </c>
      <c r="AG429" s="663">
        <f t="shared" si="3180"/>
        <v>0</v>
      </c>
      <c r="AH429" s="663">
        <f t="shared" si="3180"/>
        <v>0</v>
      </c>
      <c r="AI429" s="663" cm="1">
        <f t="array" ref="AI429">LOOKUP(2,1/($F$57:$F$416=$D429),AI$57:AI$416)</f>
        <v>0</v>
      </c>
      <c r="AJ429" s="663">
        <f t="shared" si="3181"/>
        <v>0</v>
      </c>
      <c r="AK429" s="663">
        <f t="shared" si="3181"/>
        <v>0</v>
      </c>
      <c r="AL429" s="663">
        <f t="shared" si="3181"/>
        <v>0</v>
      </c>
      <c r="AM429" s="663">
        <f t="shared" si="3181"/>
        <v>0</v>
      </c>
      <c r="AN429" s="663">
        <f t="shared" si="3181"/>
        <v>0</v>
      </c>
      <c r="AO429" s="521"/>
      <c r="AP429" s="663">
        <f t="shared" si="3182"/>
        <v>0</v>
      </c>
      <c r="AQ429" s="663">
        <f t="shared" si="3183"/>
        <v>0</v>
      </c>
      <c r="AR429" s="663">
        <f t="shared" si="3183"/>
        <v>0</v>
      </c>
      <c r="AS429" s="663">
        <f t="shared" si="3183"/>
        <v>0</v>
      </c>
      <c r="AT429" s="663">
        <f t="shared" si="3183"/>
        <v>0</v>
      </c>
      <c r="AU429" s="663" cm="1">
        <f t="array" ref="AU429">LOOKUP(2,1/($F$57:$F$416=$D429),AU$57:AU$416)</f>
        <v>0</v>
      </c>
      <c r="AV429" s="663">
        <f t="shared" si="3184"/>
        <v>0</v>
      </c>
      <c r="AW429" s="663">
        <f t="shared" si="3184"/>
        <v>0</v>
      </c>
      <c r="AX429" s="663">
        <f t="shared" si="3184"/>
        <v>0</v>
      </c>
      <c r="AY429" s="663">
        <f t="shared" si="3184"/>
        <v>0</v>
      </c>
      <c r="AZ429" s="663">
        <f t="shared" si="3184"/>
        <v>0</v>
      </c>
      <c r="BA429" s="521"/>
      <c r="BB429" s="663">
        <f t="shared" si="3185"/>
        <v>0</v>
      </c>
      <c r="BC429" s="663">
        <f t="shared" si="3185"/>
        <v>0</v>
      </c>
      <c r="BD429" s="651"/>
      <c r="BE429" s="663">
        <f t="shared" si="3186"/>
        <v>0</v>
      </c>
      <c r="BF429" s="663">
        <f t="shared" si="3186"/>
        <v>0</v>
      </c>
      <c r="BG429" s="663">
        <f t="shared" si="3186"/>
        <v>0</v>
      </c>
      <c r="BI429" s="663">
        <f t="shared" si="3187"/>
        <v>0</v>
      </c>
      <c r="BJ429" s="663">
        <f t="shared" si="3187"/>
        <v>0</v>
      </c>
      <c r="BK429" s="663">
        <f t="shared" si="3187"/>
        <v>0</v>
      </c>
      <c r="BL429" s="663">
        <f t="shared" si="3187"/>
        <v>0</v>
      </c>
      <c r="BM429" s="663">
        <f t="shared" si="3187"/>
        <v>0</v>
      </c>
      <c r="BN429" s="663">
        <f t="shared" si="3187"/>
        <v>0</v>
      </c>
      <c r="BO429" s="663">
        <f t="shared" si="3187"/>
        <v>0</v>
      </c>
      <c r="BP429" s="663">
        <f t="shared" si="3187"/>
        <v>0</v>
      </c>
      <c r="BQ429" s="663">
        <f t="shared" si="3187"/>
        <v>0</v>
      </c>
      <c r="BR429" s="663">
        <f t="shared" si="3187"/>
        <v>0</v>
      </c>
      <c r="BS429" s="663">
        <f t="shared" si="3187"/>
        <v>0</v>
      </c>
      <c r="BT429" s="663">
        <f t="shared" si="3187"/>
        <v>0</v>
      </c>
      <c r="BU429" s="663">
        <f t="shared" si="3187"/>
        <v>0</v>
      </c>
      <c r="BX429" s="663">
        <f t="shared" si="3188"/>
        <v>0</v>
      </c>
      <c r="BY429" s="663">
        <f t="shared" si="3188"/>
        <v>0</v>
      </c>
      <c r="BZ429" s="663">
        <f t="shared" si="3188"/>
        <v>0</v>
      </c>
      <c r="CA429" s="663">
        <f t="shared" si="3188"/>
        <v>0</v>
      </c>
      <c r="CB429" s="663">
        <f t="shared" si="3188"/>
        <v>0</v>
      </c>
      <c r="CC429" s="663">
        <f t="shared" si="3188"/>
        <v>0</v>
      </c>
      <c r="CD429" s="663">
        <f t="shared" si="3188"/>
        <v>0</v>
      </c>
    </row>
    <row r="430" spans="4:82" ht="16" hidden="1" thickTop="1" thickBot="1">
      <c r="D430" s="680"/>
      <c r="E430" s="681"/>
      <c r="F430" s="682"/>
      <c r="G430" s="683">
        <f t="shared" si="3174"/>
        <v>0</v>
      </c>
      <c r="I430" s="663">
        <f t="shared" si="3189"/>
        <v>0</v>
      </c>
      <c r="J430" s="663">
        <f t="shared" si="3175"/>
        <v>0</v>
      </c>
      <c r="K430" s="663">
        <f t="shared" si="3175"/>
        <v>0</v>
      </c>
      <c r="L430" s="663">
        <f t="shared" si="3175"/>
        <v>0</v>
      </c>
      <c r="M430" s="663" cm="1">
        <f t="array" ref="M430">LOOKUP(2,1/($F$57:$F$416=$D430),M$57:M$416)</f>
        <v>0</v>
      </c>
      <c r="N430" s="663">
        <f t="shared" si="3176"/>
        <v>0</v>
      </c>
      <c r="O430" s="663">
        <f t="shared" si="3176"/>
        <v>0</v>
      </c>
      <c r="P430" s="663">
        <f t="shared" si="3176"/>
        <v>0</v>
      </c>
      <c r="Q430" s="663">
        <f t="shared" si="3176"/>
        <v>0</v>
      </c>
      <c r="R430" s="521"/>
      <c r="S430" s="663">
        <f t="shared" si="3190"/>
        <v>0</v>
      </c>
      <c r="T430" s="663">
        <f t="shared" si="3177"/>
        <v>0</v>
      </c>
      <c r="U430" s="663">
        <f t="shared" si="3177"/>
        <v>0</v>
      </c>
      <c r="V430" s="663">
        <f t="shared" si="3177"/>
        <v>0</v>
      </c>
      <c r="W430" s="663">
        <f t="shared" si="3177"/>
        <v>0</v>
      </c>
      <c r="X430" s="663" cm="1">
        <f t="array" ref="X430">LOOKUP(2,1/($F$57:$F$416=$D430),X$57:X$416)</f>
        <v>0</v>
      </c>
      <c r="Y430" s="663">
        <f t="shared" si="3178"/>
        <v>0</v>
      </c>
      <c r="Z430" s="663">
        <f t="shared" si="3178"/>
        <v>0</v>
      </c>
      <c r="AA430" s="663">
        <f t="shared" si="3178"/>
        <v>0</v>
      </c>
      <c r="AB430" s="663">
        <f t="shared" si="3178"/>
        <v>0</v>
      </c>
      <c r="AC430" s="521"/>
      <c r="AD430" s="663">
        <f t="shared" si="3179"/>
        <v>0</v>
      </c>
      <c r="AE430" s="663">
        <f t="shared" si="3180"/>
        <v>0</v>
      </c>
      <c r="AF430" s="663">
        <f t="shared" si="3180"/>
        <v>0</v>
      </c>
      <c r="AG430" s="663">
        <f t="shared" si="3180"/>
        <v>0</v>
      </c>
      <c r="AH430" s="663">
        <f t="shared" si="3180"/>
        <v>0</v>
      </c>
      <c r="AI430" s="663" cm="1">
        <f t="array" ref="AI430">LOOKUP(2,1/($F$57:$F$416=$D430),AI$57:AI$416)</f>
        <v>0</v>
      </c>
      <c r="AJ430" s="663">
        <f t="shared" si="3181"/>
        <v>0</v>
      </c>
      <c r="AK430" s="663">
        <f t="shared" si="3181"/>
        <v>0</v>
      </c>
      <c r="AL430" s="663">
        <f t="shared" si="3181"/>
        <v>0</v>
      </c>
      <c r="AM430" s="663">
        <f t="shared" si="3181"/>
        <v>0</v>
      </c>
      <c r="AN430" s="663">
        <f t="shared" si="3181"/>
        <v>0</v>
      </c>
      <c r="AO430" s="521"/>
      <c r="AP430" s="663">
        <f t="shared" si="3182"/>
        <v>0</v>
      </c>
      <c r="AQ430" s="663">
        <f t="shared" si="3183"/>
        <v>0</v>
      </c>
      <c r="AR430" s="663">
        <f t="shared" si="3183"/>
        <v>0</v>
      </c>
      <c r="AS430" s="663">
        <f t="shared" si="3183"/>
        <v>0</v>
      </c>
      <c r="AT430" s="663">
        <f t="shared" si="3183"/>
        <v>0</v>
      </c>
      <c r="AU430" s="663" cm="1">
        <f t="array" ref="AU430">LOOKUP(2,1/($F$57:$F$416=$D430),AU$57:AU$416)</f>
        <v>0</v>
      </c>
      <c r="AV430" s="663">
        <f t="shared" si="3184"/>
        <v>0</v>
      </c>
      <c r="AW430" s="663">
        <f t="shared" si="3184"/>
        <v>0</v>
      </c>
      <c r="AX430" s="663">
        <f t="shared" si="3184"/>
        <v>0</v>
      </c>
      <c r="AY430" s="663">
        <f t="shared" si="3184"/>
        <v>0</v>
      </c>
      <c r="AZ430" s="663">
        <f t="shared" si="3184"/>
        <v>0</v>
      </c>
      <c r="BA430" s="521"/>
      <c r="BB430" s="663">
        <f t="shared" si="3185"/>
        <v>0</v>
      </c>
      <c r="BC430" s="663">
        <f t="shared" si="3185"/>
        <v>0</v>
      </c>
      <c r="BD430" s="651"/>
      <c r="BE430" s="663">
        <f t="shared" si="3186"/>
        <v>0</v>
      </c>
      <c r="BF430" s="663">
        <f t="shared" si="3186"/>
        <v>0</v>
      </c>
      <c r="BG430" s="663">
        <f t="shared" si="3186"/>
        <v>0</v>
      </c>
      <c r="BI430" s="663">
        <f t="shared" si="3187"/>
        <v>0</v>
      </c>
      <c r="BJ430" s="663">
        <f t="shared" si="3187"/>
        <v>0</v>
      </c>
      <c r="BK430" s="663">
        <f t="shared" si="3187"/>
        <v>0</v>
      </c>
      <c r="BL430" s="663">
        <f t="shared" si="3187"/>
        <v>0</v>
      </c>
      <c r="BM430" s="663">
        <f t="shared" si="3187"/>
        <v>0</v>
      </c>
      <c r="BN430" s="663">
        <f t="shared" si="3187"/>
        <v>0</v>
      </c>
      <c r="BO430" s="663">
        <f t="shared" si="3187"/>
        <v>0</v>
      </c>
      <c r="BP430" s="663">
        <f t="shared" si="3187"/>
        <v>0</v>
      </c>
      <c r="BQ430" s="663">
        <f t="shared" si="3187"/>
        <v>0</v>
      </c>
      <c r="BR430" s="663">
        <f t="shared" si="3187"/>
        <v>0</v>
      </c>
      <c r="BS430" s="663">
        <f t="shared" si="3187"/>
        <v>0</v>
      </c>
      <c r="BT430" s="663">
        <f t="shared" si="3187"/>
        <v>0</v>
      </c>
      <c r="BU430" s="663">
        <f t="shared" si="3187"/>
        <v>0</v>
      </c>
      <c r="BX430" s="663">
        <f t="shared" si="3188"/>
        <v>0</v>
      </c>
      <c r="BY430" s="663">
        <f t="shared" si="3188"/>
        <v>0</v>
      </c>
      <c r="BZ430" s="663">
        <f t="shared" si="3188"/>
        <v>0</v>
      </c>
      <c r="CA430" s="663">
        <f t="shared" si="3188"/>
        <v>0</v>
      </c>
      <c r="CB430" s="663">
        <f t="shared" si="3188"/>
        <v>0</v>
      </c>
      <c r="CC430" s="663">
        <f t="shared" si="3188"/>
        <v>0</v>
      </c>
      <c r="CD430" s="663">
        <f t="shared" si="3188"/>
        <v>0</v>
      </c>
    </row>
    <row r="431" spans="4:82" ht="16" hidden="1" thickTop="1" thickBot="1">
      <c r="D431" s="680"/>
      <c r="E431" s="681"/>
      <c r="F431" s="682"/>
      <c r="G431" s="683">
        <f t="shared" si="3174"/>
        <v>0</v>
      </c>
      <c r="I431" s="663">
        <f t="shared" si="3189"/>
        <v>0</v>
      </c>
      <c r="J431" s="663">
        <f t="shared" si="3175"/>
        <v>0</v>
      </c>
      <c r="K431" s="663">
        <f t="shared" si="3175"/>
        <v>0</v>
      </c>
      <c r="L431" s="663">
        <f t="shared" si="3175"/>
        <v>0</v>
      </c>
      <c r="M431" s="663" cm="1">
        <f t="array" ref="M431">LOOKUP(2,1/($F$57:$F$416=$D431),M$57:M$416)</f>
        <v>0</v>
      </c>
      <c r="N431" s="663">
        <f t="shared" si="3176"/>
        <v>0</v>
      </c>
      <c r="O431" s="663">
        <f t="shared" si="3176"/>
        <v>0</v>
      </c>
      <c r="P431" s="663">
        <f t="shared" si="3176"/>
        <v>0</v>
      </c>
      <c r="Q431" s="663">
        <f t="shared" si="3176"/>
        <v>0</v>
      </c>
      <c r="R431" s="521"/>
      <c r="S431" s="663">
        <f t="shared" si="3190"/>
        <v>0</v>
      </c>
      <c r="T431" s="663">
        <f t="shared" si="3177"/>
        <v>0</v>
      </c>
      <c r="U431" s="663">
        <f t="shared" si="3177"/>
        <v>0</v>
      </c>
      <c r="V431" s="663">
        <f t="shared" si="3177"/>
        <v>0</v>
      </c>
      <c r="W431" s="663">
        <f t="shared" si="3177"/>
        <v>0</v>
      </c>
      <c r="X431" s="663" cm="1">
        <f t="array" ref="X431">LOOKUP(2,1/($F$57:$F$416=$D431),X$57:X$416)</f>
        <v>0</v>
      </c>
      <c r="Y431" s="663">
        <f t="shared" si="3178"/>
        <v>0</v>
      </c>
      <c r="Z431" s="663">
        <f t="shared" si="3178"/>
        <v>0</v>
      </c>
      <c r="AA431" s="663">
        <f t="shared" si="3178"/>
        <v>0</v>
      </c>
      <c r="AB431" s="663">
        <f t="shared" si="3178"/>
        <v>0</v>
      </c>
      <c r="AC431" s="521"/>
      <c r="AD431" s="663">
        <f t="shared" si="3179"/>
        <v>0</v>
      </c>
      <c r="AE431" s="663">
        <f t="shared" si="3180"/>
        <v>0</v>
      </c>
      <c r="AF431" s="663">
        <f t="shared" si="3180"/>
        <v>0</v>
      </c>
      <c r="AG431" s="663">
        <f t="shared" si="3180"/>
        <v>0</v>
      </c>
      <c r="AH431" s="663">
        <f t="shared" si="3180"/>
        <v>0</v>
      </c>
      <c r="AI431" s="663" cm="1">
        <f t="array" ref="AI431">LOOKUP(2,1/($F$57:$F$416=$D431),AI$57:AI$416)</f>
        <v>0</v>
      </c>
      <c r="AJ431" s="663">
        <f t="shared" si="3181"/>
        <v>0</v>
      </c>
      <c r="AK431" s="663">
        <f t="shared" si="3181"/>
        <v>0</v>
      </c>
      <c r="AL431" s="663">
        <f t="shared" si="3181"/>
        <v>0</v>
      </c>
      <c r="AM431" s="663">
        <f t="shared" si="3181"/>
        <v>0</v>
      </c>
      <c r="AN431" s="663">
        <f t="shared" si="3181"/>
        <v>0</v>
      </c>
      <c r="AO431" s="521"/>
      <c r="AP431" s="663">
        <f t="shared" si="3182"/>
        <v>0</v>
      </c>
      <c r="AQ431" s="663">
        <f t="shared" si="3183"/>
        <v>0</v>
      </c>
      <c r="AR431" s="663">
        <f t="shared" si="3183"/>
        <v>0</v>
      </c>
      <c r="AS431" s="663">
        <f t="shared" si="3183"/>
        <v>0</v>
      </c>
      <c r="AT431" s="663">
        <f t="shared" si="3183"/>
        <v>0</v>
      </c>
      <c r="AU431" s="663" cm="1">
        <f t="array" ref="AU431">LOOKUP(2,1/($F$57:$F$416=$D431),AU$57:AU$416)</f>
        <v>0</v>
      </c>
      <c r="AV431" s="663">
        <f t="shared" si="3184"/>
        <v>0</v>
      </c>
      <c r="AW431" s="663">
        <f t="shared" si="3184"/>
        <v>0</v>
      </c>
      <c r="AX431" s="663">
        <f t="shared" si="3184"/>
        <v>0</v>
      </c>
      <c r="AY431" s="663">
        <f t="shared" si="3184"/>
        <v>0</v>
      </c>
      <c r="AZ431" s="663">
        <f t="shared" si="3184"/>
        <v>0</v>
      </c>
      <c r="BA431" s="521"/>
      <c r="BB431" s="663">
        <f t="shared" si="3185"/>
        <v>0</v>
      </c>
      <c r="BC431" s="663">
        <f t="shared" si="3185"/>
        <v>0</v>
      </c>
      <c r="BD431" s="651"/>
      <c r="BE431" s="663">
        <f t="shared" si="3186"/>
        <v>0</v>
      </c>
      <c r="BF431" s="663">
        <f t="shared" si="3186"/>
        <v>0</v>
      </c>
      <c r="BG431" s="663">
        <f t="shared" si="3186"/>
        <v>0</v>
      </c>
      <c r="BI431" s="663">
        <f t="shared" si="3187"/>
        <v>0</v>
      </c>
      <c r="BJ431" s="663">
        <f t="shared" si="3187"/>
        <v>0</v>
      </c>
      <c r="BK431" s="663">
        <f t="shared" si="3187"/>
        <v>0</v>
      </c>
      <c r="BL431" s="663">
        <f t="shared" si="3187"/>
        <v>0</v>
      </c>
      <c r="BM431" s="663">
        <f t="shared" si="3187"/>
        <v>0</v>
      </c>
      <c r="BN431" s="663">
        <f t="shared" si="3187"/>
        <v>0</v>
      </c>
      <c r="BO431" s="663">
        <f t="shared" si="3187"/>
        <v>0</v>
      </c>
      <c r="BP431" s="663">
        <f t="shared" si="3187"/>
        <v>0</v>
      </c>
      <c r="BQ431" s="663">
        <f t="shared" si="3187"/>
        <v>0</v>
      </c>
      <c r="BR431" s="663">
        <f t="shared" si="3187"/>
        <v>0</v>
      </c>
      <c r="BS431" s="663">
        <f t="shared" si="3187"/>
        <v>0</v>
      </c>
      <c r="BT431" s="663">
        <f t="shared" si="3187"/>
        <v>0</v>
      </c>
      <c r="BU431" s="663">
        <f t="shared" si="3187"/>
        <v>0</v>
      </c>
      <c r="BX431" s="663">
        <f t="shared" si="3188"/>
        <v>0</v>
      </c>
      <c r="BY431" s="663">
        <f t="shared" si="3188"/>
        <v>0</v>
      </c>
      <c r="BZ431" s="663">
        <f t="shared" si="3188"/>
        <v>0</v>
      </c>
      <c r="CA431" s="663">
        <f t="shared" si="3188"/>
        <v>0</v>
      </c>
      <c r="CB431" s="663">
        <f t="shared" si="3188"/>
        <v>0</v>
      </c>
      <c r="CC431" s="663">
        <f t="shared" si="3188"/>
        <v>0</v>
      </c>
      <c r="CD431" s="663">
        <f t="shared" si="3188"/>
        <v>0</v>
      </c>
    </row>
    <row r="432" spans="4:82" ht="16" hidden="1" thickTop="1" thickBot="1">
      <c r="D432" s="680"/>
      <c r="E432" s="681"/>
      <c r="F432" s="682"/>
      <c r="G432" s="683">
        <f t="shared" si="3174"/>
        <v>0</v>
      </c>
      <c r="I432" s="663">
        <f t="shared" si="3189"/>
        <v>0</v>
      </c>
      <c r="J432" s="663">
        <f t="shared" si="3175"/>
        <v>0</v>
      </c>
      <c r="K432" s="663">
        <f t="shared" si="3175"/>
        <v>0</v>
      </c>
      <c r="L432" s="663">
        <f t="shared" si="3175"/>
        <v>0</v>
      </c>
      <c r="M432" s="663" cm="1">
        <f t="array" ref="M432">LOOKUP(2,1/($F$57:$F$416=$D432),M$57:M$416)</f>
        <v>0</v>
      </c>
      <c r="N432" s="663">
        <f t="shared" si="3176"/>
        <v>0</v>
      </c>
      <c r="O432" s="663">
        <f t="shared" si="3176"/>
        <v>0</v>
      </c>
      <c r="P432" s="663">
        <f t="shared" si="3176"/>
        <v>0</v>
      </c>
      <c r="Q432" s="663">
        <f t="shared" si="3176"/>
        <v>0</v>
      </c>
      <c r="R432" s="521"/>
      <c r="S432" s="663">
        <f t="shared" si="3190"/>
        <v>0</v>
      </c>
      <c r="T432" s="663">
        <f t="shared" si="3177"/>
        <v>0</v>
      </c>
      <c r="U432" s="663">
        <f t="shared" si="3177"/>
        <v>0</v>
      </c>
      <c r="V432" s="663">
        <f t="shared" si="3177"/>
        <v>0</v>
      </c>
      <c r="W432" s="663">
        <f t="shared" si="3177"/>
        <v>0</v>
      </c>
      <c r="X432" s="663" cm="1">
        <f t="array" ref="X432">LOOKUP(2,1/($F$57:$F$416=$D432),X$57:X$416)</f>
        <v>0</v>
      </c>
      <c r="Y432" s="663">
        <f t="shared" si="3178"/>
        <v>0</v>
      </c>
      <c r="Z432" s="663">
        <f t="shared" si="3178"/>
        <v>0</v>
      </c>
      <c r="AA432" s="663">
        <f t="shared" si="3178"/>
        <v>0</v>
      </c>
      <c r="AB432" s="663">
        <f t="shared" si="3178"/>
        <v>0</v>
      </c>
      <c r="AC432" s="521"/>
      <c r="AD432" s="663">
        <f t="shared" si="3179"/>
        <v>0</v>
      </c>
      <c r="AE432" s="663">
        <f t="shared" si="3180"/>
        <v>0</v>
      </c>
      <c r="AF432" s="663">
        <f t="shared" si="3180"/>
        <v>0</v>
      </c>
      <c r="AG432" s="663">
        <f t="shared" si="3180"/>
        <v>0</v>
      </c>
      <c r="AH432" s="663">
        <f t="shared" si="3180"/>
        <v>0</v>
      </c>
      <c r="AI432" s="663" cm="1">
        <f t="array" ref="AI432">LOOKUP(2,1/($F$57:$F$416=$D432),AI$57:AI$416)</f>
        <v>0</v>
      </c>
      <c r="AJ432" s="663">
        <f t="shared" si="3181"/>
        <v>0</v>
      </c>
      <c r="AK432" s="663">
        <f t="shared" si="3181"/>
        <v>0</v>
      </c>
      <c r="AL432" s="663">
        <f t="shared" si="3181"/>
        <v>0</v>
      </c>
      <c r="AM432" s="663">
        <f t="shared" si="3181"/>
        <v>0</v>
      </c>
      <c r="AN432" s="663">
        <f t="shared" si="3181"/>
        <v>0</v>
      </c>
      <c r="AO432" s="521"/>
      <c r="AP432" s="663">
        <f t="shared" si="3182"/>
        <v>0</v>
      </c>
      <c r="AQ432" s="663">
        <f t="shared" si="3183"/>
        <v>0</v>
      </c>
      <c r="AR432" s="663">
        <f t="shared" si="3183"/>
        <v>0</v>
      </c>
      <c r="AS432" s="663">
        <f t="shared" si="3183"/>
        <v>0</v>
      </c>
      <c r="AT432" s="663">
        <f t="shared" si="3183"/>
        <v>0</v>
      </c>
      <c r="AU432" s="663" cm="1">
        <f t="array" ref="AU432">LOOKUP(2,1/($F$57:$F$416=$D432),AU$57:AU$416)</f>
        <v>0</v>
      </c>
      <c r="AV432" s="663">
        <f t="shared" si="3184"/>
        <v>0</v>
      </c>
      <c r="AW432" s="663">
        <f t="shared" si="3184"/>
        <v>0</v>
      </c>
      <c r="AX432" s="663">
        <f t="shared" si="3184"/>
        <v>0</v>
      </c>
      <c r="AY432" s="663">
        <f t="shared" si="3184"/>
        <v>0</v>
      </c>
      <c r="AZ432" s="663">
        <f t="shared" si="3184"/>
        <v>0</v>
      </c>
      <c r="BA432" s="521"/>
      <c r="BB432" s="663">
        <f t="shared" si="3185"/>
        <v>0</v>
      </c>
      <c r="BC432" s="663">
        <f t="shared" si="3185"/>
        <v>0</v>
      </c>
      <c r="BD432" s="651"/>
      <c r="BE432" s="663">
        <f t="shared" si="3186"/>
        <v>0</v>
      </c>
      <c r="BF432" s="663">
        <f t="shared" si="3186"/>
        <v>0</v>
      </c>
      <c r="BG432" s="663">
        <f t="shared" si="3186"/>
        <v>0</v>
      </c>
      <c r="BI432" s="663">
        <f t="shared" si="3187"/>
        <v>0</v>
      </c>
      <c r="BJ432" s="663">
        <f t="shared" si="3187"/>
        <v>0</v>
      </c>
      <c r="BK432" s="663">
        <f t="shared" si="3187"/>
        <v>0</v>
      </c>
      <c r="BL432" s="663">
        <f t="shared" si="3187"/>
        <v>0</v>
      </c>
      <c r="BM432" s="663">
        <f t="shared" si="3187"/>
        <v>0</v>
      </c>
      <c r="BN432" s="663">
        <f t="shared" si="3187"/>
        <v>0</v>
      </c>
      <c r="BO432" s="663">
        <f t="shared" si="3187"/>
        <v>0</v>
      </c>
      <c r="BP432" s="663">
        <f t="shared" si="3187"/>
        <v>0</v>
      </c>
      <c r="BQ432" s="663">
        <f t="shared" si="3187"/>
        <v>0</v>
      </c>
      <c r="BR432" s="663">
        <f t="shared" si="3187"/>
        <v>0</v>
      </c>
      <c r="BS432" s="663">
        <f t="shared" si="3187"/>
        <v>0</v>
      </c>
      <c r="BT432" s="663">
        <f t="shared" si="3187"/>
        <v>0</v>
      </c>
      <c r="BU432" s="663">
        <f t="shared" si="3187"/>
        <v>0</v>
      </c>
      <c r="BX432" s="663">
        <f t="shared" si="3188"/>
        <v>0</v>
      </c>
      <c r="BY432" s="663">
        <f t="shared" si="3188"/>
        <v>0</v>
      </c>
      <c r="BZ432" s="663">
        <f t="shared" si="3188"/>
        <v>0</v>
      </c>
      <c r="CA432" s="663">
        <f t="shared" si="3188"/>
        <v>0</v>
      </c>
      <c r="CB432" s="663">
        <f t="shared" si="3188"/>
        <v>0</v>
      </c>
      <c r="CC432" s="663">
        <f t="shared" si="3188"/>
        <v>0</v>
      </c>
      <c r="CD432" s="663">
        <f t="shared" si="3188"/>
        <v>0</v>
      </c>
    </row>
    <row r="433" spans="4:82" ht="16" hidden="1" thickTop="1" thickBot="1">
      <c r="D433" s="680"/>
      <c r="E433" s="681"/>
      <c r="F433" s="682"/>
      <c r="G433" s="683">
        <f t="shared" si="3174"/>
        <v>0</v>
      </c>
      <c r="I433" s="663">
        <f t="shared" si="3189"/>
        <v>0</v>
      </c>
      <c r="J433" s="663">
        <f t="shared" si="3175"/>
        <v>0</v>
      </c>
      <c r="K433" s="663">
        <f t="shared" si="3175"/>
        <v>0</v>
      </c>
      <c r="L433" s="663">
        <f t="shared" si="3175"/>
        <v>0</v>
      </c>
      <c r="M433" s="663" cm="1">
        <f t="array" ref="M433">LOOKUP(2,1/($F$57:$F$416=$D433),M$57:M$416)</f>
        <v>0</v>
      </c>
      <c r="N433" s="663">
        <f t="shared" si="3176"/>
        <v>0</v>
      </c>
      <c r="O433" s="663">
        <f t="shared" si="3176"/>
        <v>0</v>
      </c>
      <c r="P433" s="663">
        <f t="shared" si="3176"/>
        <v>0</v>
      </c>
      <c r="Q433" s="663">
        <f t="shared" si="3176"/>
        <v>0</v>
      </c>
      <c r="R433" s="521"/>
      <c r="S433" s="663">
        <f t="shared" si="3190"/>
        <v>0</v>
      </c>
      <c r="T433" s="663">
        <f t="shared" si="3177"/>
        <v>0</v>
      </c>
      <c r="U433" s="663">
        <f t="shared" si="3177"/>
        <v>0</v>
      </c>
      <c r="V433" s="663">
        <f t="shared" si="3177"/>
        <v>0</v>
      </c>
      <c r="W433" s="663">
        <f t="shared" si="3177"/>
        <v>0</v>
      </c>
      <c r="X433" s="663" cm="1">
        <f t="array" ref="X433">LOOKUP(2,1/($F$57:$F$416=$D433),X$57:X$416)</f>
        <v>0</v>
      </c>
      <c r="Y433" s="663">
        <f t="shared" si="3178"/>
        <v>0</v>
      </c>
      <c r="Z433" s="663">
        <f t="shared" si="3178"/>
        <v>0</v>
      </c>
      <c r="AA433" s="663">
        <f t="shared" si="3178"/>
        <v>0</v>
      </c>
      <c r="AB433" s="663">
        <f t="shared" si="3178"/>
        <v>0</v>
      </c>
      <c r="AC433" s="521"/>
      <c r="AD433" s="663">
        <f t="shared" si="3179"/>
        <v>0</v>
      </c>
      <c r="AE433" s="663">
        <f t="shared" si="3180"/>
        <v>0</v>
      </c>
      <c r="AF433" s="663">
        <f t="shared" si="3180"/>
        <v>0</v>
      </c>
      <c r="AG433" s="663">
        <f t="shared" si="3180"/>
        <v>0</v>
      </c>
      <c r="AH433" s="663">
        <f t="shared" si="3180"/>
        <v>0</v>
      </c>
      <c r="AI433" s="663" cm="1">
        <f t="array" ref="AI433">LOOKUP(2,1/($F$57:$F$416=$D433),AI$57:AI$416)</f>
        <v>0</v>
      </c>
      <c r="AJ433" s="663">
        <f t="shared" si="3181"/>
        <v>0</v>
      </c>
      <c r="AK433" s="663">
        <f t="shared" si="3181"/>
        <v>0</v>
      </c>
      <c r="AL433" s="663">
        <f t="shared" si="3181"/>
        <v>0</v>
      </c>
      <c r="AM433" s="663">
        <f t="shared" si="3181"/>
        <v>0</v>
      </c>
      <c r="AN433" s="663">
        <f t="shared" si="3181"/>
        <v>0</v>
      </c>
      <c r="AO433" s="521"/>
      <c r="AP433" s="663">
        <f t="shared" si="3182"/>
        <v>0</v>
      </c>
      <c r="AQ433" s="663">
        <f t="shared" si="3183"/>
        <v>0</v>
      </c>
      <c r="AR433" s="663">
        <f t="shared" si="3183"/>
        <v>0</v>
      </c>
      <c r="AS433" s="663">
        <f t="shared" si="3183"/>
        <v>0</v>
      </c>
      <c r="AT433" s="663">
        <f t="shared" si="3183"/>
        <v>0</v>
      </c>
      <c r="AU433" s="663" cm="1">
        <f t="array" ref="AU433">LOOKUP(2,1/($F$57:$F$416=$D433),AU$57:AU$416)</f>
        <v>0</v>
      </c>
      <c r="AV433" s="663">
        <f t="shared" si="3184"/>
        <v>0</v>
      </c>
      <c r="AW433" s="663">
        <f t="shared" si="3184"/>
        <v>0</v>
      </c>
      <c r="AX433" s="663">
        <f t="shared" si="3184"/>
        <v>0</v>
      </c>
      <c r="AY433" s="663">
        <f t="shared" si="3184"/>
        <v>0</v>
      </c>
      <c r="AZ433" s="663">
        <f t="shared" si="3184"/>
        <v>0</v>
      </c>
      <c r="BA433" s="521"/>
      <c r="BB433" s="663">
        <f t="shared" si="3185"/>
        <v>0</v>
      </c>
      <c r="BC433" s="663">
        <f t="shared" si="3185"/>
        <v>0</v>
      </c>
      <c r="BD433" s="651"/>
      <c r="BE433" s="663">
        <f t="shared" si="3186"/>
        <v>0</v>
      </c>
      <c r="BF433" s="663">
        <f t="shared" si="3186"/>
        <v>0</v>
      </c>
      <c r="BG433" s="663">
        <f t="shared" si="3186"/>
        <v>0</v>
      </c>
      <c r="BI433" s="663">
        <f t="shared" si="3187"/>
        <v>0</v>
      </c>
      <c r="BJ433" s="663">
        <f t="shared" si="3187"/>
        <v>0</v>
      </c>
      <c r="BK433" s="663">
        <f t="shared" si="3187"/>
        <v>0</v>
      </c>
      <c r="BL433" s="663">
        <f t="shared" si="3187"/>
        <v>0</v>
      </c>
      <c r="BM433" s="663">
        <f t="shared" si="3187"/>
        <v>0</v>
      </c>
      <c r="BN433" s="663">
        <f t="shared" si="3187"/>
        <v>0</v>
      </c>
      <c r="BO433" s="663">
        <f t="shared" si="3187"/>
        <v>0</v>
      </c>
      <c r="BP433" s="663">
        <f t="shared" si="3187"/>
        <v>0</v>
      </c>
      <c r="BQ433" s="663">
        <f t="shared" si="3187"/>
        <v>0</v>
      </c>
      <c r="BR433" s="663">
        <f t="shared" si="3187"/>
        <v>0</v>
      </c>
      <c r="BS433" s="663">
        <f t="shared" si="3187"/>
        <v>0</v>
      </c>
      <c r="BT433" s="663">
        <f t="shared" si="3187"/>
        <v>0</v>
      </c>
      <c r="BU433" s="663">
        <f t="shared" si="3187"/>
        <v>0</v>
      </c>
      <c r="BX433" s="663">
        <f t="shared" si="3188"/>
        <v>0</v>
      </c>
      <c r="BY433" s="663">
        <f t="shared" si="3188"/>
        <v>0</v>
      </c>
      <c r="BZ433" s="663">
        <f t="shared" si="3188"/>
        <v>0</v>
      </c>
      <c r="CA433" s="663">
        <f t="shared" si="3188"/>
        <v>0</v>
      </c>
      <c r="CB433" s="663">
        <f t="shared" si="3188"/>
        <v>0</v>
      </c>
      <c r="CC433" s="663">
        <f t="shared" si="3188"/>
        <v>0</v>
      </c>
      <c r="CD433" s="663">
        <f t="shared" si="3188"/>
        <v>0</v>
      </c>
    </row>
    <row r="434" spans="4:82" ht="16" hidden="1" thickTop="1" thickBot="1">
      <c r="D434" s="680"/>
      <c r="E434" s="681"/>
      <c r="F434" s="682"/>
      <c r="G434" s="683">
        <f t="shared" si="3174"/>
        <v>0</v>
      </c>
      <c r="I434" s="663">
        <f t="shared" si="3189"/>
        <v>0</v>
      </c>
      <c r="J434" s="663">
        <f t="shared" si="3175"/>
        <v>0</v>
      </c>
      <c r="K434" s="663">
        <f t="shared" si="3175"/>
        <v>0</v>
      </c>
      <c r="L434" s="663">
        <f t="shared" si="3175"/>
        <v>0</v>
      </c>
      <c r="M434" s="663" cm="1">
        <f t="array" ref="M434">LOOKUP(2,1/($F$57:$F$416=$D434),M$57:M$416)</f>
        <v>0</v>
      </c>
      <c r="N434" s="663">
        <f t="shared" si="3176"/>
        <v>0</v>
      </c>
      <c r="O434" s="663">
        <f t="shared" si="3176"/>
        <v>0</v>
      </c>
      <c r="P434" s="663">
        <f t="shared" si="3176"/>
        <v>0</v>
      </c>
      <c r="Q434" s="663">
        <f t="shared" si="3176"/>
        <v>0</v>
      </c>
      <c r="R434" s="521"/>
      <c r="S434" s="663">
        <f t="shared" si="3190"/>
        <v>0</v>
      </c>
      <c r="T434" s="663">
        <f t="shared" si="3177"/>
        <v>0</v>
      </c>
      <c r="U434" s="663">
        <f t="shared" si="3177"/>
        <v>0</v>
      </c>
      <c r="V434" s="663">
        <f t="shared" si="3177"/>
        <v>0</v>
      </c>
      <c r="W434" s="663">
        <f t="shared" si="3177"/>
        <v>0</v>
      </c>
      <c r="X434" s="663" cm="1">
        <f t="array" ref="X434">LOOKUP(2,1/($F$57:$F$416=$D434),X$57:X$416)</f>
        <v>0</v>
      </c>
      <c r="Y434" s="663">
        <f t="shared" si="3178"/>
        <v>0</v>
      </c>
      <c r="Z434" s="663">
        <f t="shared" si="3178"/>
        <v>0</v>
      </c>
      <c r="AA434" s="663">
        <f t="shared" si="3178"/>
        <v>0</v>
      </c>
      <c r="AB434" s="663">
        <f t="shared" si="3178"/>
        <v>0</v>
      </c>
      <c r="AC434" s="521"/>
      <c r="AD434" s="663">
        <f t="shared" si="3179"/>
        <v>0</v>
      </c>
      <c r="AE434" s="663">
        <f t="shared" si="3180"/>
        <v>0</v>
      </c>
      <c r="AF434" s="663">
        <f t="shared" si="3180"/>
        <v>0</v>
      </c>
      <c r="AG434" s="663">
        <f t="shared" si="3180"/>
        <v>0</v>
      </c>
      <c r="AH434" s="663">
        <f t="shared" si="3180"/>
        <v>0</v>
      </c>
      <c r="AI434" s="663" cm="1">
        <f t="array" ref="AI434">LOOKUP(2,1/($F$57:$F$416=$D434),AI$57:AI$416)</f>
        <v>0</v>
      </c>
      <c r="AJ434" s="663">
        <f t="shared" si="3181"/>
        <v>0</v>
      </c>
      <c r="AK434" s="663">
        <f t="shared" si="3181"/>
        <v>0</v>
      </c>
      <c r="AL434" s="663">
        <f t="shared" si="3181"/>
        <v>0</v>
      </c>
      <c r="AM434" s="663">
        <f t="shared" si="3181"/>
        <v>0</v>
      </c>
      <c r="AN434" s="663">
        <f t="shared" si="3181"/>
        <v>0</v>
      </c>
      <c r="AO434" s="521"/>
      <c r="AP434" s="663">
        <f t="shared" si="3182"/>
        <v>0</v>
      </c>
      <c r="AQ434" s="663">
        <f t="shared" si="3183"/>
        <v>0</v>
      </c>
      <c r="AR434" s="663">
        <f t="shared" si="3183"/>
        <v>0</v>
      </c>
      <c r="AS434" s="663">
        <f t="shared" si="3183"/>
        <v>0</v>
      </c>
      <c r="AT434" s="663">
        <f t="shared" si="3183"/>
        <v>0</v>
      </c>
      <c r="AU434" s="663" cm="1">
        <f t="array" ref="AU434">LOOKUP(2,1/($F$57:$F$416=$D434),AU$57:AU$416)</f>
        <v>0</v>
      </c>
      <c r="AV434" s="663">
        <f t="shared" si="3184"/>
        <v>0</v>
      </c>
      <c r="AW434" s="663">
        <f t="shared" si="3184"/>
        <v>0</v>
      </c>
      <c r="AX434" s="663">
        <f t="shared" si="3184"/>
        <v>0</v>
      </c>
      <c r="AY434" s="663">
        <f t="shared" si="3184"/>
        <v>0</v>
      </c>
      <c r="AZ434" s="663">
        <f t="shared" si="3184"/>
        <v>0</v>
      </c>
      <c r="BA434" s="521"/>
      <c r="BB434" s="663">
        <f t="shared" si="3185"/>
        <v>0</v>
      </c>
      <c r="BC434" s="663">
        <f t="shared" si="3185"/>
        <v>0</v>
      </c>
      <c r="BD434" s="651"/>
      <c r="BE434" s="663">
        <f t="shared" si="3186"/>
        <v>0</v>
      </c>
      <c r="BF434" s="663">
        <f t="shared" si="3186"/>
        <v>0</v>
      </c>
      <c r="BG434" s="663">
        <f t="shared" si="3186"/>
        <v>0</v>
      </c>
      <c r="BI434" s="663">
        <f t="shared" si="3187"/>
        <v>0</v>
      </c>
      <c r="BJ434" s="663">
        <f t="shared" si="3187"/>
        <v>0</v>
      </c>
      <c r="BK434" s="663">
        <f t="shared" si="3187"/>
        <v>0</v>
      </c>
      <c r="BL434" s="663">
        <f t="shared" si="3187"/>
        <v>0</v>
      </c>
      <c r="BM434" s="663">
        <f t="shared" si="3187"/>
        <v>0</v>
      </c>
      <c r="BN434" s="663">
        <f t="shared" si="3187"/>
        <v>0</v>
      </c>
      <c r="BO434" s="663">
        <f t="shared" si="3187"/>
        <v>0</v>
      </c>
      <c r="BP434" s="663">
        <f t="shared" si="3187"/>
        <v>0</v>
      </c>
      <c r="BQ434" s="663">
        <f t="shared" si="3187"/>
        <v>0</v>
      </c>
      <c r="BR434" s="663">
        <f t="shared" si="3187"/>
        <v>0</v>
      </c>
      <c r="BS434" s="663">
        <f t="shared" si="3187"/>
        <v>0</v>
      </c>
      <c r="BT434" s="663">
        <f t="shared" si="3187"/>
        <v>0</v>
      </c>
      <c r="BU434" s="663">
        <f t="shared" si="3187"/>
        <v>0</v>
      </c>
      <c r="BX434" s="663">
        <f t="shared" si="3188"/>
        <v>0</v>
      </c>
      <c r="BY434" s="663">
        <f t="shared" si="3188"/>
        <v>0</v>
      </c>
      <c r="BZ434" s="663">
        <f t="shared" si="3188"/>
        <v>0</v>
      </c>
      <c r="CA434" s="663">
        <f t="shared" si="3188"/>
        <v>0</v>
      </c>
      <c r="CB434" s="663">
        <f t="shared" si="3188"/>
        <v>0</v>
      </c>
      <c r="CC434" s="663">
        <f t="shared" si="3188"/>
        <v>0</v>
      </c>
      <c r="CD434" s="663">
        <f t="shared" si="3188"/>
        <v>0</v>
      </c>
    </row>
    <row r="435" spans="4:82" ht="16" hidden="1" thickTop="1" thickBot="1">
      <c r="D435" s="680"/>
      <c r="E435" s="681"/>
      <c r="F435" s="682"/>
      <c r="G435" s="683">
        <f t="shared" si="3174"/>
        <v>0</v>
      </c>
      <c r="I435" s="663">
        <f t="shared" si="3189"/>
        <v>0</v>
      </c>
      <c r="J435" s="663">
        <f t="shared" si="3175"/>
        <v>0</v>
      </c>
      <c r="K435" s="663">
        <f t="shared" si="3175"/>
        <v>0</v>
      </c>
      <c r="L435" s="663">
        <f t="shared" si="3175"/>
        <v>0</v>
      </c>
      <c r="M435" s="663" cm="1">
        <f t="array" ref="M435">LOOKUP(2,1/($F$57:$F$416=$D435),M$57:M$416)</f>
        <v>0</v>
      </c>
      <c r="N435" s="663">
        <f t="shared" si="3176"/>
        <v>0</v>
      </c>
      <c r="O435" s="663">
        <f t="shared" si="3176"/>
        <v>0</v>
      </c>
      <c r="P435" s="663">
        <f t="shared" si="3176"/>
        <v>0</v>
      </c>
      <c r="Q435" s="663">
        <f t="shared" si="3176"/>
        <v>0</v>
      </c>
      <c r="R435" s="521"/>
      <c r="S435" s="663">
        <f t="shared" si="3190"/>
        <v>0</v>
      </c>
      <c r="T435" s="663">
        <f t="shared" si="3177"/>
        <v>0</v>
      </c>
      <c r="U435" s="663">
        <f t="shared" si="3177"/>
        <v>0</v>
      </c>
      <c r="V435" s="663">
        <f t="shared" si="3177"/>
        <v>0</v>
      </c>
      <c r="W435" s="663">
        <f t="shared" si="3177"/>
        <v>0</v>
      </c>
      <c r="X435" s="663" cm="1">
        <f t="array" ref="X435">LOOKUP(2,1/($F$57:$F$416=$D435),X$57:X$416)</f>
        <v>0</v>
      </c>
      <c r="Y435" s="663">
        <f t="shared" si="3178"/>
        <v>0</v>
      </c>
      <c r="Z435" s="663">
        <f t="shared" si="3178"/>
        <v>0</v>
      </c>
      <c r="AA435" s="663">
        <f t="shared" si="3178"/>
        <v>0</v>
      </c>
      <c r="AB435" s="663">
        <f t="shared" si="3178"/>
        <v>0</v>
      </c>
      <c r="AC435" s="521"/>
      <c r="AD435" s="663">
        <f t="shared" si="3179"/>
        <v>0</v>
      </c>
      <c r="AE435" s="663">
        <f t="shared" si="3180"/>
        <v>0</v>
      </c>
      <c r="AF435" s="663">
        <f t="shared" si="3180"/>
        <v>0</v>
      </c>
      <c r="AG435" s="663">
        <f t="shared" si="3180"/>
        <v>0</v>
      </c>
      <c r="AH435" s="663">
        <f t="shared" si="3180"/>
        <v>0</v>
      </c>
      <c r="AI435" s="663" cm="1">
        <f t="array" ref="AI435">LOOKUP(2,1/($F$57:$F$416=$D435),AI$57:AI$416)</f>
        <v>0</v>
      </c>
      <c r="AJ435" s="663">
        <f t="shared" si="3181"/>
        <v>0</v>
      </c>
      <c r="AK435" s="663">
        <f t="shared" si="3181"/>
        <v>0</v>
      </c>
      <c r="AL435" s="663">
        <f t="shared" si="3181"/>
        <v>0</v>
      </c>
      <c r="AM435" s="663">
        <f t="shared" si="3181"/>
        <v>0</v>
      </c>
      <c r="AN435" s="663">
        <f t="shared" si="3181"/>
        <v>0</v>
      </c>
      <c r="AO435" s="521"/>
      <c r="AP435" s="663">
        <f t="shared" si="3182"/>
        <v>0</v>
      </c>
      <c r="AQ435" s="663">
        <f t="shared" si="3183"/>
        <v>0</v>
      </c>
      <c r="AR435" s="663">
        <f t="shared" si="3183"/>
        <v>0</v>
      </c>
      <c r="AS435" s="663">
        <f t="shared" si="3183"/>
        <v>0</v>
      </c>
      <c r="AT435" s="663">
        <f t="shared" si="3183"/>
        <v>0</v>
      </c>
      <c r="AU435" s="663" cm="1">
        <f t="array" ref="AU435">LOOKUP(2,1/($F$57:$F$416=$D435),AU$57:AU$416)</f>
        <v>0</v>
      </c>
      <c r="AV435" s="663">
        <f t="shared" si="3184"/>
        <v>0</v>
      </c>
      <c r="AW435" s="663">
        <f t="shared" si="3184"/>
        <v>0</v>
      </c>
      <c r="AX435" s="663">
        <f t="shared" si="3184"/>
        <v>0</v>
      </c>
      <c r="AY435" s="663">
        <f t="shared" si="3184"/>
        <v>0</v>
      </c>
      <c r="AZ435" s="663">
        <f t="shared" si="3184"/>
        <v>0</v>
      </c>
      <c r="BA435" s="521"/>
      <c r="BB435" s="663">
        <f t="shared" si="3185"/>
        <v>0</v>
      </c>
      <c r="BC435" s="663">
        <f t="shared" si="3185"/>
        <v>0</v>
      </c>
      <c r="BD435" s="651"/>
      <c r="BE435" s="663">
        <f t="shared" si="3186"/>
        <v>0</v>
      </c>
      <c r="BF435" s="663">
        <f t="shared" si="3186"/>
        <v>0</v>
      </c>
      <c r="BG435" s="663">
        <f t="shared" si="3186"/>
        <v>0</v>
      </c>
      <c r="BI435" s="663">
        <f t="shared" si="3187"/>
        <v>0</v>
      </c>
      <c r="BJ435" s="663">
        <f t="shared" si="3187"/>
        <v>0</v>
      </c>
      <c r="BK435" s="663">
        <f t="shared" si="3187"/>
        <v>0</v>
      </c>
      <c r="BL435" s="663">
        <f t="shared" si="3187"/>
        <v>0</v>
      </c>
      <c r="BM435" s="663">
        <f t="shared" si="3187"/>
        <v>0</v>
      </c>
      <c r="BN435" s="663">
        <f t="shared" si="3187"/>
        <v>0</v>
      </c>
      <c r="BO435" s="663">
        <f t="shared" si="3187"/>
        <v>0</v>
      </c>
      <c r="BP435" s="663">
        <f t="shared" si="3187"/>
        <v>0</v>
      </c>
      <c r="BQ435" s="663">
        <f t="shared" si="3187"/>
        <v>0</v>
      </c>
      <c r="BR435" s="663">
        <f t="shared" si="3187"/>
        <v>0</v>
      </c>
      <c r="BS435" s="663">
        <f t="shared" si="3187"/>
        <v>0</v>
      </c>
      <c r="BT435" s="663">
        <f t="shared" si="3187"/>
        <v>0</v>
      </c>
      <c r="BU435" s="663">
        <f t="shared" si="3187"/>
        <v>0</v>
      </c>
      <c r="BX435" s="663">
        <f t="shared" si="3188"/>
        <v>0</v>
      </c>
      <c r="BY435" s="663">
        <f t="shared" si="3188"/>
        <v>0</v>
      </c>
      <c r="BZ435" s="663">
        <f t="shared" si="3188"/>
        <v>0</v>
      </c>
      <c r="CA435" s="663">
        <f t="shared" si="3188"/>
        <v>0</v>
      </c>
      <c r="CB435" s="663">
        <f t="shared" si="3188"/>
        <v>0</v>
      </c>
      <c r="CC435" s="663">
        <f t="shared" si="3188"/>
        <v>0</v>
      </c>
      <c r="CD435" s="663">
        <f t="shared" si="3188"/>
        <v>0</v>
      </c>
    </row>
    <row r="436" spans="4:82" ht="16" hidden="1" thickTop="1" thickBot="1">
      <c r="D436" s="680"/>
      <c r="E436" s="681"/>
      <c r="F436" s="682"/>
      <c r="G436" s="683">
        <f t="shared" si="3174"/>
        <v>0</v>
      </c>
      <c r="I436" s="663">
        <f t="shared" si="3189"/>
        <v>0</v>
      </c>
      <c r="J436" s="663">
        <f t="shared" si="3175"/>
        <v>0</v>
      </c>
      <c r="K436" s="663">
        <f t="shared" si="3175"/>
        <v>0</v>
      </c>
      <c r="L436" s="663">
        <f t="shared" si="3175"/>
        <v>0</v>
      </c>
      <c r="M436" s="663" cm="1">
        <f t="array" ref="M436">LOOKUP(2,1/($F$57:$F$416=$D436),M$57:M$416)</f>
        <v>0</v>
      </c>
      <c r="N436" s="663">
        <f t="shared" si="3176"/>
        <v>0</v>
      </c>
      <c r="O436" s="663">
        <f t="shared" si="3176"/>
        <v>0</v>
      </c>
      <c r="P436" s="663">
        <f t="shared" si="3176"/>
        <v>0</v>
      </c>
      <c r="Q436" s="663">
        <f t="shared" si="3176"/>
        <v>0</v>
      </c>
      <c r="R436" s="521"/>
      <c r="S436" s="663">
        <f t="shared" si="3190"/>
        <v>0</v>
      </c>
      <c r="T436" s="663">
        <f t="shared" si="3177"/>
        <v>0</v>
      </c>
      <c r="U436" s="663">
        <f t="shared" si="3177"/>
        <v>0</v>
      </c>
      <c r="V436" s="663">
        <f t="shared" si="3177"/>
        <v>0</v>
      </c>
      <c r="W436" s="663">
        <f t="shared" si="3177"/>
        <v>0</v>
      </c>
      <c r="X436" s="663" cm="1">
        <f t="array" ref="X436">LOOKUP(2,1/($F$57:$F$416=$D436),X$57:X$416)</f>
        <v>0</v>
      </c>
      <c r="Y436" s="663">
        <f t="shared" si="3178"/>
        <v>0</v>
      </c>
      <c r="Z436" s="663">
        <f t="shared" si="3178"/>
        <v>0</v>
      </c>
      <c r="AA436" s="663">
        <f t="shared" si="3178"/>
        <v>0</v>
      </c>
      <c r="AB436" s="663">
        <f t="shared" si="3178"/>
        <v>0</v>
      </c>
      <c r="AC436" s="521"/>
      <c r="AD436" s="663">
        <f t="shared" si="3179"/>
        <v>0</v>
      </c>
      <c r="AE436" s="663">
        <f t="shared" si="3180"/>
        <v>0</v>
      </c>
      <c r="AF436" s="663">
        <f t="shared" si="3180"/>
        <v>0</v>
      </c>
      <c r="AG436" s="663">
        <f t="shared" si="3180"/>
        <v>0</v>
      </c>
      <c r="AH436" s="663">
        <f t="shared" si="3180"/>
        <v>0</v>
      </c>
      <c r="AI436" s="663" cm="1">
        <f t="array" ref="AI436">LOOKUP(2,1/($F$57:$F$416=$D436),AI$57:AI$416)</f>
        <v>0</v>
      </c>
      <c r="AJ436" s="663">
        <f t="shared" ref="AJ436:AN449" si="3191">SUMIF($F$57:$F$416,$D436,AJ$57:AJ$416)</f>
        <v>0</v>
      </c>
      <c r="AK436" s="663">
        <f t="shared" si="3191"/>
        <v>0</v>
      </c>
      <c r="AL436" s="663">
        <f t="shared" si="3191"/>
        <v>0</v>
      </c>
      <c r="AM436" s="663">
        <f t="shared" si="3191"/>
        <v>0</v>
      </c>
      <c r="AN436" s="663">
        <f t="shared" si="3191"/>
        <v>0</v>
      </c>
      <c r="AO436" s="521"/>
      <c r="AP436" s="663">
        <f t="shared" si="3182"/>
        <v>0</v>
      </c>
      <c r="AQ436" s="663">
        <f t="shared" si="3183"/>
        <v>0</v>
      </c>
      <c r="AR436" s="663">
        <f t="shared" si="3183"/>
        <v>0</v>
      </c>
      <c r="AS436" s="663">
        <f t="shared" si="3183"/>
        <v>0</v>
      </c>
      <c r="AT436" s="663">
        <f t="shared" si="3183"/>
        <v>0</v>
      </c>
      <c r="AU436" s="663" cm="1">
        <f t="array" ref="AU436">LOOKUP(2,1/($F$57:$F$416=$D436),AU$57:AU$416)</f>
        <v>0</v>
      </c>
      <c r="AV436" s="663">
        <f t="shared" ref="AV436:AZ449" si="3192">SUMIF($F$57:$F$416,$D436,AV$57:AV$416)</f>
        <v>0</v>
      </c>
      <c r="AW436" s="663">
        <f t="shared" si="3192"/>
        <v>0</v>
      </c>
      <c r="AX436" s="663">
        <f t="shared" si="3192"/>
        <v>0</v>
      </c>
      <c r="AY436" s="663">
        <f t="shared" si="3192"/>
        <v>0</v>
      </c>
      <c r="AZ436" s="663">
        <f t="shared" si="3192"/>
        <v>0</v>
      </c>
      <c r="BA436" s="521"/>
      <c r="BB436" s="663">
        <f t="shared" si="3185"/>
        <v>0</v>
      </c>
      <c r="BC436" s="663">
        <f t="shared" si="3185"/>
        <v>0</v>
      </c>
      <c r="BD436" s="651"/>
      <c r="BE436" s="663">
        <f t="shared" si="3186"/>
        <v>0</v>
      </c>
      <c r="BF436" s="663">
        <f t="shared" si="3186"/>
        <v>0</v>
      </c>
      <c r="BG436" s="663">
        <f t="shared" si="3186"/>
        <v>0</v>
      </c>
      <c r="BI436" s="663">
        <f t="shared" ref="BI436:BU449" si="3193">SUMIF($F$57:$F$416,$D436,BI$57:BI$416)</f>
        <v>0</v>
      </c>
      <c r="BJ436" s="663">
        <f t="shared" si="3193"/>
        <v>0</v>
      </c>
      <c r="BK436" s="663">
        <f t="shared" si="3193"/>
        <v>0</v>
      </c>
      <c r="BL436" s="663">
        <f t="shared" si="3193"/>
        <v>0</v>
      </c>
      <c r="BM436" s="663">
        <f t="shared" si="3193"/>
        <v>0</v>
      </c>
      <c r="BN436" s="663">
        <f t="shared" si="3193"/>
        <v>0</v>
      </c>
      <c r="BO436" s="663">
        <f t="shared" si="3193"/>
        <v>0</v>
      </c>
      <c r="BP436" s="663">
        <f t="shared" si="3193"/>
        <v>0</v>
      </c>
      <c r="BQ436" s="663">
        <f t="shared" si="3193"/>
        <v>0</v>
      </c>
      <c r="BR436" s="663">
        <f t="shared" si="3193"/>
        <v>0</v>
      </c>
      <c r="BS436" s="663">
        <f t="shared" si="3193"/>
        <v>0</v>
      </c>
      <c r="BT436" s="663">
        <f t="shared" si="3193"/>
        <v>0</v>
      </c>
      <c r="BU436" s="663">
        <f t="shared" si="3193"/>
        <v>0</v>
      </c>
      <c r="BX436" s="663">
        <f t="shared" ref="BX436:CD449" si="3194">SUMIF($F$57:$F$416,$D436,BX$57:BX$416)</f>
        <v>0</v>
      </c>
      <c r="BY436" s="663">
        <f t="shared" si="3194"/>
        <v>0</v>
      </c>
      <c r="BZ436" s="663">
        <f t="shared" si="3194"/>
        <v>0</v>
      </c>
      <c r="CA436" s="663">
        <f t="shared" si="3194"/>
        <v>0</v>
      </c>
      <c r="CB436" s="663">
        <f t="shared" si="3194"/>
        <v>0</v>
      </c>
      <c r="CC436" s="663">
        <f t="shared" si="3194"/>
        <v>0</v>
      </c>
      <c r="CD436" s="663">
        <f t="shared" si="3194"/>
        <v>0</v>
      </c>
    </row>
    <row r="437" spans="4:82" ht="16" hidden="1" thickTop="1" thickBot="1">
      <c r="D437" s="680"/>
      <c r="E437" s="681"/>
      <c r="F437" s="682"/>
      <c r="G437" s="683">
        <f t="shared" si="3174"/>
        <v>0</v>
      </c>
      <c r="I437" s="663">
        <f t="shared" si="3189"/>
        <v>0</v>
      </c>
      <c r="J437" s="663">
        <f t="shared" si="3175"/>
        <v>0</v>
      </c>
      <c r="K437" s="663">
        <f t="shared" si="3175"/>
        <v>0</v>
      </c>
      <c r="L437" s="663">
        <f t="shared" si="3175"/>
        <v>0</v>
      </c>
      <c r="M437" s="663" cm="1">
        <f t="array" ref="M437">LOOKUP(2,1/($F$57:$F$416=$D437),M$57:M$416)</f>
        <v>0</v>
      </c>
      <c r="N437" s="663">
        <f t="shared" si="3176"/>
        <v>0</v>
      </c>
      <c r="O437" s="663">
        <f t="shared" si="3176"/>
        <v>0</v>
      </c>
      <c r="P437" s="663">
        <f t="shared" si="3176"/>
        <v>0</v>
      </c>
      <c r="Q437" s="663">
        <f t="shared" si="3176"/>
        <v>0</v>
      </c>
      <c r="R437" s="521"/>
      <c r="S437" s="663">
        <f t="shared" si="3190"/>
        <v>0</v>
      </c>
      <c r="T437" s="663">
        <f t="shared" si="3177"/>
        <v>0</v>
      </c>
      <c r="U437" s="663">
        <f t="shared" si="3177"/>
        <v>0</v>
      </c>
      <c r="V437" s="663">
        <f t="shared" si="3177"/>
        <v>0</v>
      </c>
      <c r="W437" s="663">
        <f t="shared" si="3177"/>
        <v>0</v>
      </c>
      <c r="X437" s="663" cm="1">
        <f t="array" ref="X437">LOOKUP(2,1/($F$57:$F$416=$D437),X$57:X$416)</f>
        <v>0</v>
      </c>
      <c r="Y437" s="663">
        <f t="shared" si="3178"/>
        <v>0</v>
      </c>
      <c r="Z437" s="663">
        <f t="shared" si="3178"/>
        <v>0</v>
      </c>
      <c r="AA437" s="663">
        <f t="shared" si="3178"/>
        <v>0</v>
      </c>
      <c r="AB437" s="663">
        <f t="shared" si="3178"/>
        <v>0</v>
      </c>
      <c r="AC437" s="521"/>
      <c r="AD437" s="663">
        <f t="shared" si="3179"/>
        <v>0</v>
      </c>
      <c r="AE437" s="663">
        <f t="shared" si="3180"/>
        <v>0</v>
      </c>
      <c r="AF437" s="663">
        <f t="shared" si="3180"/>
        <v>0</v>
      </c>
      <c r="AG437" s="663">
        <f t="shared" si="3180"/>
        <v>0</v>
      </c>
      <c r="AH437" s="663">
        <f t="shared" si="3180"/>
        <v>0</v>
      </c>
      <c r="AI437" s="663" cm="1">
        <f t="array" ref="AI437">LOOKUP(2,1/($F$57:$F$416=$D437),AI$57:AI$416)</f>
        <v>0</v>
      </c>
      <c r="AJ437" s="663">
        <f t="shared" si="3191"/>
        <v>0</v>
      </c>
      <c r="AK437" s="663">
        <f t="shared" si="3191"/>
        <v>0</v>
      </c>
      <c r="AL437" s="663">
        <f t="shared" si="3191"/>
        <v>0</v>
      </c>
      <c r="AM437" s="663">
        <f t="shared" si="3191"/>
        <v>0</v>
      </c>
      <c r="AN437" s="663">
        <f t="shared" si="3191"/>
        <v>0</v>
      </c>
      <c r="AO437" s="521"/>
      <c r="AP437" s="663">
        <f t="shared" si="3182"/>
        <v>0</v>
      </c>
      <c r="AQ437" s="663">
        <f t="shared" si="3183"/>
        <v>0</v>
      </c>
      <c r="AR437" s="663">
        <f t="shared" si="3183"/>
        <v>0</v>
      </c>
      <c r="AS437" s="663">
        <f t="shared" si="3183"/>
        <v>0</v>
      </c>
      <c r="AT437" s="663">
        <f t="shared" si="3183"/>
        <v>0</v>
      </c>
      <c r="AU437" s="663" cm="1">
        <f t="array" ref="AU437">LOOKUP(2,1/($F$57:$F$416=$D437),AU$57:AU$416)</f>
        <v>0</v>
      </c>
      <c r="AV437" s="663">
        <f t="shared" si="3192"/>
        <v>0</v>
      </c>
      <c r="AW437" s="663">
        <f t="shared" si="3192"/>
        <v>0</v>
      </c>
      <c r="AX437" s="663">
        <f t="shared" si="3192"/>
        <v>0</v>
      </c>
      <c r="AY437" s="663">
        <f t="shared" si="3192"/>
        <v>0</v>
      </c>
      <c r="AZ437" s="663">
        <f t="shared" si="3192"/>
        <v>0</v>
      </c>
      <c r="BA437" s="521"/>
      <c r="BB437" s="663">
        <f t="shared" si="3185"/>
        <v>0</v>
      </c>
      <c r="BC437" s="663">
        <f t="shared" si="3185"/>
        <v>0</v>
      </c>
      <c r="BD437" s="651"/>
      <c r="BE437" s="663">
        <f t="shared" si="3186"/>
        <v>0</v>
      </c>
      <c r="BF437" s="663">
        <f t="shared" si="3186"/>
        <v>0</v>
      </c>
      <c r="BG437" s="663">
        <f t="shared" si="3186"/>
        <v>0</v>
      </c>
      <c r="BI437" s="663">
        <f t="shared" si="3193"/>
        <v>0</v>
      </c>
      <c r="BJ437" s="663">
        <f t="shared" si="3193"/>
        <v>0</v>
      </c>
      <c r="BK437" s="663">
        <f t="shared" si="3193"/>
        <v>0</v>
      </c>
      <c r="BL437" s="663">
        <f t="shared" si="3193"/>
        <v>0</v>
      </c>
      <c r="BM437" s="663">
        <f t="shared" si="3193"/>
        <v>0</v>
      </c>
      <c r="BN437" s="663">
        <f t="shared" si="3193"/>
        <v>0</v>
      </c>
      <c r="BO437" s="663">
        <f t="shared" si="3193"/>
        <v>0</v>
      </c>
      <c r="BP437" s="663">
        <f t="shared" si="3193"/>
        <v>0</v>
      </c>
      <c r="BQ437" s="663">
        <f t="shared" si="3193"/>
        <v>0</v>
      </c>
      <c r="BR437" s="663">
        <f t="shared" si="3193"/>
        <v>0</v>
      </c>
      <c r="BS437" s="663">
        <f t="shared" si="3193"/>
        <v>0</v>
      </c>
      <c r="BT437" s="663">
        <f t="shared" si="3193"/>
        <v>0</v>
      </c>
      <c r="BU437" s="663">
        <f t="shared" si="3193"/>
        <v>0</v>
      </c>
      <c r="BX437" s="663">
        <f t="shared" si="3194"/>
        <v>0</v>
      </c>
      <c r="BY437" s="663">
        <f t="shared" si="3194"/>
        <v>0</v>
      </c>
      <c r="BZ437" s="663">
        <f t="shared" si="3194"/>
        <v>0</v>
      </c>
      <c r="CA437" s="663">
        <f t="shared" si="3194"/>
        <v>0</v>
      </c>
      <c r="CB437" s="663">
        <f t="shared" si="3194"/>
        <v>0</v>
      </c>
      <c r="CC437" s="663">
        <f t="shared" si="3194"/>
        <v>0</v>
      </c>
      <c r="CD437" s="663">
        <f t="shared" si="3194"/>
        <v>0</v>
      </c>
    </row>
    <row r="438" spans="4:82" ht="16" hidden="1" thickTop="1" thickBot="1">
      <c r="D438" s="680"/>
      <c r="E438" s="681"/>
      <c r="F438" s="682"/>
      <c r="G438" s="683">
        <f t="shared" si="3174"/>
        <v>0</v>
      </c>
      <c r="I438" s="663">
        <f t="shared" si="3189"/>
        <v>0</v>
      </c>
      <c r="J438" s="663">
        <f t="shared" si="3175"/>
        <v>0</v>
      </c>
      <c r="K438" s="663">
        <f t="shared" si="3175"/>
        <v>0</v>
      </c>
      <c r="L438" s="663">
        <f t="shared" si="3175"/>
        <v>0</v>
      </c>
      <c r="M438" s="663" cm="1">
        <f t="array" ref="M438">LOOKUP(2,1/($F$57:$F$416=$D438),M$57:M$416)</f>
        <v>0</v>
      </c>
      <c r="N438" s="663">
        <f t="shared" si="3176"/>
        <v>0</v>
      </c>
      <c r="O438" s="663">
        <f t="shared" si="3176"/>
        <v>0</v>
      </c>
      <c r="P438" s="663">
        <f t="shared" si="3176"/>
        <v>0</v>
      </c>
      <c r="Q438" s="663">
        <f t="shared" si="3176"/>
        <v>0</v>
      </c>
      <c r="R438" s="521"/>
      <c r="S438" s="663">
        <f t="shared" si="3190"/>
        <v>0</v>
      </c>
      <c r="T438" s="663">
        <f t="shared" si="3177"/>
        <v>0</v>
      </c>
      <c r="U438" s="663">
        <f t="shared" si="3177"/>
        <v>0</v>
      </c>
      <c r="V438" s="663">
        <f t="shared" si="3177"/>
        <v>0</v>
      </c>
      <c r="W438" s="663">
        <f t="shared" si="3177"/>
        <v>0</v>
      </c>
      <c r="X438" s="663" cm="1">
        <f t="array" ref="X438">LOOKUP(2,1/($F$57:$F$416=$D438),X$57:X$416)</f>
        <v>0</v>
      </c>
      <c r="Y438" s="663">
        <f t="shared" si="3178"/>
        <v>0</v>
      </c>
      <c r="Z438" s="663">
        <f t="shared" si="3178"/>
        <v>0</v>
      </c>
      <c r="AA438" s="663">
        <f t="shared" si="3178"/>
        <v>0</v>
      </c>
      <c r="AB438" s="663">
        <f t="shared" si="3178"/>
        <v>0</v>
      </c>
      <c r="AC438" s="521"/>
      <c r="AD438" s="663">
        <f t="shared" si="3179"/>
        <v>0</v>
      </c>
      <c r="AE438" s="663">
        <f t="shared" si="3180"/>
        <v>0</v>
      </c>
      <c r="AF438" s="663">
        <f t="shared" si="3180"/>
        <v>0</v>
      </c>
      <c r="AG438" s="663">
        <f t="shared" si="3180"/>
        <v>0</v>
      </c>
      <c r="AH438" s="663">
        <f t="shared" si="3180"/>
        <v>0</v>
      </c>
      <c r="AI438" s="663" cm="1">
        <f t="array" ref="AI438">LOOKUP(2,1/($F$57:$F$416=$D438),AI$57:AI$416)</f>
        <v>0</v>
      </c>
      <c r="AJ438" s="663">
        <f t="shared" si="3191"/>
        <v>0</v>
      </c>
      <c r="AK438" s="663">
        <f t="shared" si="3191"/>
        <v>0</v>
      </c>
      <c r="AL438" s="663">
        <f t="shared" si="3191"/>
        <v>0</v>
      </c>
      <c r="AM438" s="663">
        <f t="shared" si="3191"/>
        <v>0</v>
      </c>
      <c r="AN438" s="663">
        <f t="shared" si="3191"/>
        <v>0</v>
      </c>
      <c r="AO438" s="521"/>
      <c r="AP438" s="663">
        <f t="shared" si="3182"/>
        <v>0</v>
      </c>
      <c r="AQ438" s="663">
        <f t="shared" si="3183"/>
        <v>0</v>
      </c>
      <c r="AR438" s="663">
        <f t="shared" si="3183"/>
        <v>0</v>
      </c>
      <c r="AS438" s="663">
        <f t="shared" si="3183"/>
        <v>0</v>
      </c>
      <c r="AT438" s="663">
        <f t="shared" si="3183"/>
        <v>0</v>
      </c>
      <c r="AU438" s="663" cm="1">
        <f t="array" ref="AU438">LOOKUP(2,1/($F$57:$F$416=$D438),AU$57:AU$416)</f>
        <v>0</v>
      </c>
      <c r="AV438" s="663">
        <f t="shared" si="3192"/>
        <v>0</v>
      </c>
      <c r="AW438" s="663">
        <f t="shared" si="3192"/>
        <v>0</v>
      </c>
      <c r="AX438" s="663">
        <f t="shared" si="3192"/>
        <v>0</v>
      </c>
      <c r="AY438" s="663">
        <f t="shared" si="3192"/>
        <v>0</v>
      </c>
      <c r="AZ438" s="663">
        <f t="shared" si="3192"/>
        <v>0</v>
      </c>
      <c r="BA438" s="521"/>
      <c r="BB438" s="663">
        <f t="shared" si="3185"/>
        <v>0</v>
      </c>
      <c r="BC438" s="663">
        <f t="shared" si="3185"/>
        <v>0</v>
      </c>
      <c r="BD438" s="651"/>
      <c r="BE438" s="663">
        <f t="shared" si="3186"/>
        <v>0</v>
      </c>
      <c r="BF438" s="663">
        <f t="shared" si="3186"/>
        <v>0</v>
      </c>
      <c r="BG438" s="663">
        <f t="shared" si="3186"/>
        <v>0</v>
      </c>
      <c r="BI438" s="663">
        <f t="shared" si="3193"/>
        <v>0</v>
      </c>
      <c r="BJ438" s="663">
        <f t="shared" si="3193"/>
        <v>0</v>
      </c>
      <c r="BK438" s="663">
        <f t="shared" si="3193"/>
        <v>0</v>
      </c>
      <c r="BL438" s="663">
        <f t="shared" si="3193"/>
        <v>0</v>
      </c>
      <c r="BM438" s="663">
        <f t="shared" si="3193"/>
        <v>0</v>
      </c>
      <c r="BN438" s="663">
        <f t="shared" si="3193"/>
        <v>0</v>
      </c>
      <c r="BO438" s="663">
        <f t="shared" si="3193"/>
        <v>0</v>
      </c>
      <c r="BP438" s="663">
        <f t="shared" si="3193"/>
        <v>0</v>
      </c>
      <c r="BQ438" s="663">
        <f t="shared" si="3193"/>
        <v>0</v>
      </c>
      <c r="BR438" s="663">
        <f t="shared" si="3193"/>
        <v>0</v>
      </c>
      <c r="BS438" s="663">
        <f t="shared" si="3193"/>
        <v>0</v>
      </c>
      <c r="BT438" s="663">
        <f t="shared" si="3193"/>
        <v>0</v>
      </c>
      <c r="BU438" s="663">
        <f t="shared" si="3193"/>
        <v>0</v>
      </c>
      <c r="BX438" s="663">
        <f t="shared" si="3194"/>
        <v>0</v>
      </c>
      <c r="BY438" s="663">
        <f t="shared" si="3194"/>
        <v>0</v>
      </c>
      <c r="BZ438" s="663">
        <f t="shared" si="3194"/>
        <v>0</v>
      </c>
      <c r="CA438" s="663">
        <f t="shared" si="3194"/>
        <v>0</v>
      </c>
      <c r="CB438" s="663">
        <f t="shared" si="3194"/>
        <v>0</v>
      </c>
      <c r="CC438" s="663">
        <f t="shared" si="3194"/>
        <v>0</v>
      </c>
      <c r="CD438" s="663">
        <f t="shared" si="3194"/>
        <v>0</v>
      </c>
    </row>
    <row r="439" spans="4:82" ht="16" hidden="1" thickTop="1" thickBot="1">
      <c r="D439" s="680"/>
      <c r="E439" s="681"/>
      <c r="F439" s="682"/>
      <c r="G439" s="683">
        <f t="shared" si="3174"/>
        <v>0</v>
      </c>
      <c r="I439" s="663">
        <f t="shared" si="3189"/>
        <v>0</v>
      </c>
      <c r="J439" s="663">
        <f t="shared" si="3175"/>
        <v>0</v>
      </c>
      <c r="K439" s="663">
        <f t="shared" si="3175"/>
        <v>0</v>
      </c>
      <c r="L439" s="663">
        <f t="shared" si="3175"/>
        <v>0</v>
      </c>
      <c r="M439" s="663" cm="1">
        <f t="array" ref="M439">LOOKUP(2,1/($F$57:$F$416=$D439),M$57:M$416)</f>
        <v>0</v>
      </c>
      <c r="N439" s="663">
        <f t="shared" si="3176"/>
        <v>0</v>
      </c>
      <c r="O439" s="663">
        <f t="shared" si="3176"/>
        <v>0</v>
      </c>
      <c r="P439" s="663">
        <f t="shared" si="3176"/>
        <v>0</v>
      </c>
      <c r="Q439" s="663">
        <f t="shared" si="3176"/>
        <v>0</v>
      </c>
      <c r="R439" s="521"/>
      <c r="S439" s="663">
        <f t="shared" si="3190"/>
        <v>0</v>
      </c>
      <c r="T439" s="663">
        <f t="shared" si="3177"/>
        <v>0</v>
      </c>
      <c r="U439" s="663">
        <f t="shared" si="3177"/>
        <v>0</v>
      </c>
      <c r="V439" s="663">
        <f t="shared" si="3177"/>
        <v>0</v>
      </c>
      <c r="W439" s="663">
        <f t="shared" si="3177"/>
        <v>0</v>
      </c>
      <c r="X439" s="663" cm="1">
        <f t="array" ref="X439">LOOKUP(2,1/($F$57:$F$416=$D439),X$57:X$416)</f>
        <v>0</v>
      </c>
      <c r="Y439" s="663">
        <f t="shared" si="3178"/>
        <v>0</v>
      </c>
      <c r="Z439" s="663">
        <f t="shared" si="3178"/>
        <v>0</v>
      </c>
      <c r="AA439" s="663">
        <f t="shared" si="3178"/>
        <v>0</v>
      </c>
      <c r="AB439" s="663">
        <f t="shared" si="3178"/>
        <v>0</v>
      </c>
      <c r="AC439" s="521"/>
      <c r="AD439" s="663">
        <f t="shared" si="3179"/>
        <v>0</v>
      </c>
      <c r="AE439" s="663">
        <f t="shared" si="3180"/>
        <v>0</v>
      </c>
      <c r="AF439" s="663">
        <f t="shared" si="3180"/>
        <v>0</v>
      </c>
      <c r="AG439" s="663">
        <f t="shared" si="3180"/>
        <v>0</v>
      </c>
      <c r="AH439" s="663">
        <f t="shared" si="3180"/>
        <v>0</v>
      </c>
      <c r="AI439" s="663" cm="1">
        <f t="array" ref="AI439">LOOKUP(2,1/($F$57:$F$416=$D439),AI$57:AI$416)</f>
        <v>0</v>
      </c>
      <c r="AJ439" s="663">
        <f t="shared" si="3191"/>
        <v>0</v>
      </c>
      <c r="AK439" s="663">
        <f t="shared" si="3191"/>
        <v>0</v>
      </c>
      <c r="AL439" s="663">
        <f t="shared" si="3191"/>
        <v>0</v>
      </c>
      <c r="AM439" s="663">
        <f t="shared" si="3191"/>
        <v>0</v>
      </c>
      <c r="AN439" s="663">
        <f t="shared" si="3191"/>
        <v>0</v>
      </c>
      <c r="AO439" s="521"/>
      <c r="AP439" s="663">
        <f t="shared" si="3182"/>
        <v>0</v>
      </c>
      <c r="AQ439" s="663">
        <f t="shared" si="3183"/>
        <v>0</v>
      </c>
      <c r="AR439" s="663">
        <f t="shared" si="3183"/>
        <v>0</v>
      </c>
      <c r="AS439" s="663">
        <f t="shared" si="3183"/>
        <v>0</v>
      </c>
      <c r="AT439" s="663">
        <f t="shared" si="3183"/>
        <v>0</v>
      </c>
      <c r="AU439" s="663" cm="1">
        <f t="array" ref="AU439">LOOKUP(2,1/($F$57:$F$416=$D439),AU$57:AU$416)</f>
        <v>0</v>
      </c>
      <c r="AV439" s="663">
        <f t="shared" si="3192"/>
        <v>0</v>
      </c>
      <c r="AW439" s="663">
        <f t="shared" si="3192"/>
        <v>0</v>
      </c>
      <c r="AX439" s="663">
        <f t="shared" si="3192"/>
        <v>0</v>
      </c>
      <c r="AY439" s="663">
        <f t="shared" si="3192"/>
        <v>0</v>
      </c>
      <c r="AZ439" s="663">
        <f t="shared" si="3192"/>
        <v>0</v>
      </c>
      <c r="BA439" s="521"/>
      <c r="BB439" s="663">
        <f t="shared" si="3185"/>
        <v>0</v>
      </c>
      <c r="BC439" s="663">
        <f t="shared" si="3185"/>
        <v>0</v>
      </c>
      <c r="BD439" s="651"/>
      <c r="BE439" s="663">
        <f t="shared" si="3186"/>
        <v>0</v>
      </c>
      <c r="BF439" s="663">
        <f t="shared" si="3186"/>
        <v>0</v>
      </c>
      <c r="BG439" s="663">
        <f t="shared" si="3186"/>
        <v>0</v>
      </c>
      <c r="BI439" s="663">
        <f t="shared" si="3193"/>
        <v>0</v>
      </c>
      <c r="BJ439" s="663">
        <f t="shared" si="3193"/>
        <v>0</v>
      </c>
      <c r="BK439" s="663">
        <f t="shared" si="3193"/>
        <v>0</v>
      </c>
      <c r="BL439" s="663">
        <f t="shared" si="3193"/>
        <v>0</v>
      </c>
      <c r="BM439" s="663">
        <f t="shared" si="3193"/>
        <v>0</v>
      </c>
      <c r="BN439" s="663">
        <f t="shared" si="3193"/>
        <v>0</v>
      </c>
      <c r="BO439" s="663">
        <f t="shared" si="3193"/>
        <v>0</v>
      </c>
      <c r="BP439" s="663">
        <f t="shared" si="3193"/>
        <v>0</v>
      </c>
      <c r="BQ439" s="663">
        <f t="shared" si="3193"/>
        <v>0</v>
      </c>
      <c r="BR439" s="663">
        <f t="shared" si="3193"/>
        <v>0</v>
      </c>
      <c r="BS439" s="663">
        <f t="shared" si="3193"/>
        <v>0</v>
      </c>
      <c r="BT439" s="663">
        <f t="shared" si="3193"/>
        <v>0</v>
      </c>
      <c r="BU439" s="663">
        <f t="shared" si="3193"/>
        <v>0</v>
      </c>
      <c r="BX439" s="663">
        <f t="shared" si="3194"/>
        <v>0</v>
      </c>
      <c r="BY439" s="663">
        <f t="shared" si="3194"/>
        <v>0</v>
      </c>
      <c r="BZ439" s="663">
        <f t="shared" si="3194"/>
        <v>0</v>
      </c>
      <c r="CA439" s="663">
        <f t="shared" si="3194"/>
        <v>0</v>
      </c>
      <c r="CB439" s="663">
        <f t="shared" si="3194"/>
        <v>0</v>
      </c>
      <c r="CC439" s="663">
        <f t="shared" si="3194"/>
        <v>0</v>
      </c>
      <c r="CD439" s="663">
        <f t="shared" si="3194"/>
        <v>0</v>
      </c>
    </row>
    <row r="440" spans="4:82" ht="16" hidden="1" thickTop="1" thickBot="1">
      <c r="D440" s="680"/>
      <c r="E440" s="681"/>
      <c r="F440" s="682"/>
      <c r="G440" s="683">
        <f t="shared" si="3174"/>
        <v>0</v>
      </c>
      <c r="I440" s="663">
        <f t="shared" si="3189"/>
        <v>0</v>
      </c>
      <c r="J440" s="663">
        <f t="shared" si="3175"/>
        <v>0</v>
      </c>
      <c r="K440" s="663">
        <f t="shared" si="3175"/>
        <v>0</v>
      </c>
      <c r="L440" s="663">
        <f t="shared" si="3175"/>
        <v>0</v>
      </c>
      <c r="M440" s="663" cm="1">
        <f t="array" ref="M440">LOOKUP(2,1/($F$57:$F$416=$D440),M$57:M$416)</f>
        <v>0</v>
      </c>
      <c r="N440" s="663">
        <f t="shared" si="3176"/>
        <v>0</v>
      </c>
      <c r="O440" s="663">
        <f t="shared" si="3176"/>
        <v>0</v>
      </c>
      <c r="P440" s="663">
        <f t="shared" si="3176"/>
        <v>0</v>
      </c>
      <c r="Q440" s="663">
        <f t="shared" si="3176"/>
        <v>0</v>
      </c>
      <c r="R440" s="521"/>
      <c r="S440" s="663">
        <f t="shared" si="3190"/>
        <v>0</v>
      </c>
      <c r="T440" s="663">
        <f t="shared" si="3177"/>
        <v>0</v>
      </c>
      <c r="U440" s="663">
        <f t="shared" si="3177"/>
        <v>0</v>
      </c>
      <c r="V440" s="663">
        <f t="shared" si="3177"/>
        <v>0</v>
      </c>
      <c r="W440" s="663">
        <f t="shared" si="3177"/>
        <v>0</v>
      </c>
      <c r="X440" s="663" cm="1">
        <f t="array" ref="X440">LOOKUP(2,1/($F$57:$F$416=$D440),X$57:X$416)</f>
        <v>0</v>
      </c>
      <c r="Y440" s="663">
        <f t="shared" si="3178"/>
        <v>0</v>
      </c>
      <c r="Z440" s="663">
        <f t="shared" si="3178"/>
        <v>0</v>
      </c>
      <c r="AA440" s="663">
        <f t="shared" si="3178"/>
        <v>0</v>
      </c>
      <c r="AB440" s="663">
        <f t="shared" si="3178"/>
        <v>0</v>
      </c>
      <c r="AC440" s="521"/>
      <c r="AD440" s="663">
        <f t="shared" si="3179"/>
        <v>0</v>
      </c>
      <c r="AE440" s="663">
        <f t="shared" si="3180"/>
        <v>0</v>
      </c>
      <c r="AF440" s="663">
        <f t="shared" si="3180"/>
        <v>0</v>
      </c>
      <c r="AG440" s="663">
        <f t="shared" si="3180"/>
        <v>0</v>
      </c>
      <c r="AH440" s="663">
        <f t="shared" si="3180"/>
        <v>0</v>
      </c>
      <c r="AI440" s="663" cm="1">
        <f t="array" ref="AI440">LOOKUP(2,1/($F$57:$F$416=$D440),AI$57:AI$416)</f>
        <v>0</v>
      </c>
      <c r="AJ440" s="663">
        <f t="shared" si="3191"/>
        <v>0</v>
      </c>
      <c r="AK440" s="663">
        <f t="shared" si="3191"/>
        <v>0</v>
      </c>
      <c r="AL440" s="663">
        <f t="shared" si="3191"/>
        <v>0</v>
      </c>
      <c r="AM440" s="663">
        <f t="shared" si="3191"/>
        <v>0</v>
      </c>
      <c r="AN440" s="663">
        <f t="shared" si="3191"/>
        <v>0</v>
      </c>
      <c r="AO440" s="521"/>
      <c r="AP440" s="663">
        <f t="shared" si="3182"/>
        <v>0</v>
      </c>
      <c r="AQ440" s="663">
        <f t="shared" si="3183"/>
        <v>0</v>
      </c>
      <c r="AR440" s="663">
        <f t="shared" si="3183"/>
        <v>0</v>
      </c>
      <c r="AS440" s="663">
        <f t="shared" si="3183"/>
        <v>0</v>
      </c>
      <c r="AT440" s="663">
        <f t="shared" si="3183"/>
        <v>0</v>
      </c>
      <c r="AU440" s="663" cm="1">
        <f t="array" ref="AU440">LOOKUP(2,1/($F$57:$F$416=$D440),AU$57:AU$416)</f>
        <v>0</v>
      </c>
      <c r="AV440" s="663">
        <f t="shared" si="3192"/>
        <v>0</v>
      </c>
      <c r="AW440" s="663">
        <f t="shared" si="3192"/>
        <v>0</v>
      </c>
      <c r="AX440" s="663">
        <f t="shared" si="3192"/>
        <v>0</v>
      </c>
      <c r="AY440" s="663">
        <f t="shared" si="3192"/>
        <v>0</v>
      </c>
      <c r="AZ440" s="663">
        <f t="shared" si="3192"/>
        <v>0</v>
      </c>
      <c r="BA440" s="521"/>
      <c r="BB440" s="663">
        <f t="shared" si="3185"/>
        <v>0</v>
      </c>
      <c r="BC440" s="663">
        <f t="shared" si="3185"/>
        <v>0</v>
      </c>
      <c r="BD440" s="651"/>
      <c r="BE440" s="663">
        <f t="shared" si="3186"/>
        <v>0</v>
      </c>
      <c r="BF440" s="663">
        <f t="shared" si="3186"/>
        <v>0</v>
      </c>
      <c r="BG440" s="663">
        <f t="shared" si="3186"/>
        <v>0</v>
      </c>
      <c r="BI440" s="663">
        <f t="shared" si="3193"/>
        <v>0</v>
      </c>
      <c r="BJ440" s="663">
        <f t="shared" si="3193"/>
        <v>0</v>
      </c>
      <c r="BK440" s="663">
        <f t="shared" si="3193"/>
        <v>0</v>
      </c>
      <c r="BL440" s="663">
        <f t="shared" si="3193"/>
        <v>0</v>
      </c>
      <c r="BM440" s="663">
        <f t="shared" si="3193"/>
        <v>0</v>
      </c>
      <c r="BN440" s="663">
        <f t="shared" si="3193"/>
        <v>0</v>
      </c>
      <c r="BO440" s="663">
        <f t="shared" si="3193"/>
        <v>0</v>
      </c>
      <c r="BP440" s="663">
        <f t="shared" si="3193"/>
        <v>0</v>
      </c>
      <c r="BQ440" s="663">
        <f t="shared" si="3193"/>
        <v>0</v>
      </c>
      <c r="BR440" s="663">
        <f t="shared" si="3193"/>
        <v>0</v>
      </c>
      <c r="BS440" s="663">
        <f t="shared" si="3193"/>
        <v>0</v>
      </c>
      <c r="BT440" s="663">
        <f t="shared" si="3193"/>
        <v>0</v>
      </c>
      <c r="BU440" s="663">
        <f t="shared" si="3193"/>
        <v>0</v>
      </c>
      <c r="BX440" s="663">
        <f t="shared" si="3194"/>
        <v>0</v>
      </c>
      <c r="BY440" s="663">
        <f t="shared" si="3194"/>
        <v>0</v>
      </c>
      <c r="BZ440" s="663">
        <f t="shared" si="3194"/>
        <v>0</v>
      </c>
      <c r="CA440" s="663">
        <f t="shared" si="3194"/>
        <v>0</v>
      </c>
      <c r="CB440" s="663">
        <f t="shared" si="3194"/>
        <v>0</v>
      </c>
      <c r="CC440" s="663">
        <f t="shared" si="3194"/>
        <v>0</v>
      </c>
      <c r="CD440" s="663">
        <f t="shared" si="3194"/>
        <v>0</v>
      </c>
    </row>
    <row r="441" spans="4:82" ht="16" hidden="1" thickTop="1" thickBot="1">
      <c r="D441" s="680"/>
      <c r="E441" s="681"/>
      <c r="F441" s="682"/>
      <c r="G441" s="683">
        <f t="shared" si="3174"/>
        <v>0</v>
      </c>
      <c r="I441" s="663">
        <f t="shared" si="3189"/>
        <v>0</v>
      </c>
      <c r="J441" s="663">
        <f t="shared" si="3175"/>
        <v>0</v>
      </c>
      <c r="K441" s="663">
        <f t="shared" si="3175"/>
        <v>0</v>
      </c>
      <c r="L441" s="663">
        <f t="shared" si="3175"/>
        <v>0</v>
      </c>
      <c r="M441" s="663" cm="1">
        <f t="array" ref="M441">LOOKUP(2,1/($F$57:$F$416=$D441),M$57:M$416)</f>
        <v>0</v>
      </c>
      <c r="N441" s="663">
        <f t="shared" si="3176"/>
        <v>0</v>
      </c>
      <c r="O441" s="663">
        <f t="shared" si="3176"/>
        <v>0</v>
      </c>
      <c r="P441" s="663">
        <f t="shared" si="3176"/>
        <v>0</v>
      </c>
      <c r="Q441" s="663">
        <f t="shared" si="3176"/>
        <v>0</v>
      </c>
      <c r="R441" s="521"/>
      <c r="S441" s="663">
        <f t="shared" si="3190"/>
        <v>0</v>
      </c>
      <c r="T441" s="663">
        <f t="shared" si="3177"/>
        <v>0</v>
      </c>
      <c r="U441" s="663">
        <f t="shared" si="3177"/>
        <v>0</v>
      </c>
      <c r="V441" s="663">
        <f t="shared" si="3177"/>
        <v>0</v>
      </c>
      <c r="W441" s="663">
        <f t="shared" si="3177"/>
        <v>0</v>
      </c>
      <c r="X441" s="663" cm="1">
        <f t="array" ref="X441">LOOKUP(2,1/($F$57:$F$416=$D441),X$57:X$416)</f>
        <v>0</v>
      </c>
      <c r="Y441" s="663">
        <f t="shared" si="3178"/>
        <v>0</v>
      </c>
      <c r="Z441" s="663">
        <f t="shared" si="3178"/>
        <v>0</v>
      </c>
      <c r="AA441" s="663">
        <f t="shared" si="3178"/>
        <v>0</v>
      </c>
      <c r="AB441" s="663">
        <f t="shared" si="3178"/>
        <v>0</v>
      </c>
      <c r="AC441" s="521"/>
      <c r="AD441" s="663">
        <f t="shared" si="3179"/>
        <v>0</v>
      </c>
      <c r="AE441" s="663">
        <f t="shared" si="3180"/>
        <v>0</v>
      </c>
      <c r="AF441" s="663">
        <f t="shared" si="3180"/>
        <v>0</v>
      </c>
      <c r="AG441" s="663">
        <f t="shared" si="3180"/>
        <v>0</v>
      </c>
      <c r="AH441" s="663">
        <f t="shared" si="3180"/>
        <v>0</v>
      </c>
      <c r="AI441" s="663" cm="1">
        <f t="array" ref="AI441">LOOKUP(2,1/($F$57:$F$416=$D441),AI$57:AI$416)</f>
        <v>0</v>
      </c>
      <c r="AJ441" s="663">
        <f t="shared" si="3191"/>
        <v>0</v>
      </c>
      <c r="AK441" s="663">
        <f t="shared" si="3191"/>
        <v>0</v>
      </c>
      <c r="AL441" s="663">
        <f t="shared" si="3191"/>
        <v>0</v>
      </c>
      <c r="AM441" s="663">
        <f t="shared" si="3191"/>
        <v>0</v>
      </c>
      <c r="AN441" s="663">
        <f t="shared" si="3191"/>
        <v>0</v>
      </c>
      <c r="AO441" s="521"/>
      <c r="AP441" s="663">
        <f t="shared" si="3182"/>
        <v>0</v>
      </c>
      <c r="AQ441" s="663">
        <f t="shared" si="3183"/>
        <v>0</v>
      </c>
      <c r="AR441" s="663">
        <f t="shared" si="3183"/>
        <v>0</v>
      </c>
      <c r="AS441" s="663">
        <f t="shared" si="3183"/>
        <v>0</v>
      </c>
      <c r="AT441" s="663">
        <f t="shared" si="3183"/>
        <v>0</v>
      </c>
      <c r="AU441" s="663" cm="1">
        <f t="array" ref="AU441">LOOKUP(2,1/($F$57:$F$416=$D441),AU$57:AU$416)</f>
        <v>0</v>
      </c>
      <c r="AV441" s="663">
        <f t="shared" si="3192"/>
        <v>0</v>
      </c>
      <c r="AW441" s="663">
        <f t="shared" si="3192"/>
        <v>0</v>
      </c>
      <c r="AX441" s="663">
        <f t="shared" si="3192"/>
        <v>0</v>
      </c>
      <c r="AY441" s="663">
        <f t="shared" si="3192"/>
        <v>0</v>
      </c>
      <c r="AZ441" s="663">
        <f t="shared" si="3192"/>
        <v>0</v>
      </c>
      <c r="BA441" s="521"/>
      <c r="BB441" s="663">
        <f t="shared" si="3185"/>
        <v>0</v>
      </c>
      <c r="BC441" s="663">
        <f t="shared" si="3185"/>
        <v>0</v>
      </c>
      <c r="BD441" s="651"/>
      <c r="BE441" s="663">
        <f t="shared" si="3186"/>
        <v>0</v>
      </c>
      <c r="BF441" s="663">
        <f t="shared" si="3186"/>
        <v>0</v>
      </c>
      <c r="BG441" s="663">
        <f t="shared" si="3186"/>
        <v>0</v>
      </c>
      <c r="BI441" s="663">
        <f t="shared" si="3193"/>
        <v>0</v>
      </c>
      <c r="BJ441" s="663">
        <f t="shared" si="3193"/>
        <v>0</v>
      </c>
      <c r="BK441" s="663">
        <f t="shared" si="3193"/>
        <v>0</v>
      </c>
      <c r="BL441" s="663">
        <f t="shared" si="3193"/>
        <v>0</v>
      </c>
      <c r="BM441" s="663">
        <f t="shared" si="3193"/>
        <v>0</v>
      </c>
      <c r="BN441" s="663">
        <f t="shared" si="3193"/>
        <v>0</v>
      </c>
      <c r="BO441" s="663">
        <f t="shared" si="3193"/>
        <v>0</v>
      </c>
      <c r="BP441" s="663">
        <f t="shared" si="3193"/>
        <v>0</v>
      </c>
      <c r="BQ441" s="663">
        <f t="shared" si="3193"/>
        <v>0</v>
      </c>
      <c r="BR441" s="663">
        <f t="shared" si="3193"/>
        <v>0</v>
      </c>
      <c r="BS441" s="663">
        <f t="shared" si="3193"/>
        <v>0</v>
      </c>
      <c r="BT441" s="663">
        <f t="shared" si="3193"/>
        <v>0</v>
      </c>
      <c r="BU441" s="663">
        <f t="shared" si="3193"/>
        <v>0</v>
      </c>
      <c r="BX441" s="663">
        <f t="shared" si="3194"/>
        <v>0</v>
      </c>
      <c r="BY441" s="663">
        <f t="shared" si="3194"/>
        <v>0</v>
      </c>
      <c r="BZ441" s="663">
        <f t="shared" si="3194"/>
        <v>0</v>
      </c>
      <c r="CA441" s="663">
        <f t="shared" si="3194"/>
        <v>0</v>
      </c>
      <c r="CB441" s="663">
        <f t="shared" si="3194"/>
        <v>0</v>
      </c>
      <c r="CC441" s="663">
        <f t="shared" si="3194"/>
        <v>0</v>
      </c>
      <c r="CD441" s="663">
        <f t="shared" si="3194"/>
        <v>0</v>
      </c>
    </row>
    <row r="442" spans="4:82" ht="16" hidden="1" thickTop="1" thickBot="1">
      <c r="D442" s="680"/>
      <c r="E442" s="681"/>
      <c r="F442" s="682"/>
      <c r="G442" s="683">
        <f t="shared" si="3174"/>
        <v>0</v>
      </c>
      <c r="I442" s="663">
        <f t="shared" si="3189"/>
        <v>0</v>
      </c>
      <c r="J442" s="663">
        <f t="shared" si="3175"/>
        <v>0</v>
      </c>
      <c r="K442" s="663">
        <f t="shared" si="3175"/>
        <v>0</v>
      </c>
      <c r="L442" s="663">
        <f t="shared" si="3175"/>
        <v>0</v>
      </c>
      <c r="M442" s="663" cm="1">
        <f t="array" ref="M442">LOOKUP(2,1/($F$57:$F$416=$D442),M$57:M$416)</f>
        <v>0</v>
      </c>
      <c r="N442" s="663">
        <f t="shared" si="3176"/>
        <v>0</v>
      </c>
      <c r="O442" s="663">
        <f t="shared" si="3176"/>
        <v>0</v>
      </c>
      <c r="P442" s="663">
        <f t="shared" si="3176"/>
        <v>0</v>
      </c>
      <c r="Q442" s="663">
        <f t="shared" si="3176"/>
        <v>0</v>
      </c>
      <c r="R442" s="521"/>
      <c r="S442" s="663">
        <f t="shared" si="3190"/>
        <v>0</v>
      </c>
      <c r="T442" s="663">
        <f t="shared" si="3177"/>
        <v>0</v>
      </c>
      <c r="U442" s="663">
        <f t="shared" si="3177"/>
        <v>0</v>
      </c>
      <c r="V442" s="663">
        <f t="shared" si="3177"/>
        <v>0</v>
      </c>
      <c r="W442" s="663">
        <f t="shared" si="3177"/>
        <v>0</v>
      </c>
      <c r="X442" s="663" cm="1">
        <f t="array" ref="X442">LOOKUP(2,1/($F$57:$F$416=$D442),X$57:X$416)</f>
        <v>0</v>
      </c>
      <c r="Y442" s="663">
        <f t="shared" si="3178"/>
        <v>0</v>
      </c>
      <c r="Z442" s="663">
        <f t="shared" si="3178"/>
        <v>0</v>
      </c>
      <c r="AA442" s="663">
        <f t="shared" si="3178"/>
        <v>0</v>
      </c>
      <c r="AB442" s="663">
        <f t="shared" si="3178"/>
        <v>0</v>
      </c>
      <c r="AC442" s="521"/>
      <c r="AD442" s="663">
        <f t="shared" si="3179"/>
        <v>0</v>
      </c>
      <c r="AE442" s="663">
        <f t="shared" si="3180"/>
        <v>0</v>
      </c>
      <c r="AF442" s="663">
        <f t="shared" si="3180"/>
        <v>0</v>
      </c>
      <c r="AG442" s="663">
        <f t="shared" si="3180"/>
        <v>0</v>
      </c>
      <c r="AH442" s="663">
        <f t="shared" si="3180"/>
        <v>0</v>
      </c>
      <c r="AI442" s="663" cm="1">
        <f t="array" ref="AI442">LOOKUP(2,1/($F$57:$F$416=$D442),AI$57:AI$416)</f>
        <v>0</v>
      </c>
      <c r="AJ442" s="663">
        <f t="shared" si="3191"/>
        <v>0</v>
      </c>
      <c r="AK442" s="663">
        <f t="shared" si="3191"/>
        <v>0</v>
      </c>
      <c r="AL442" s="663">
        <f t="shared" si="3191"/>
        <v>0</v>
      </c>
      <c r="AM442" s="663">
        <f t="shared" si="3191"/>
        <v>0</v>
      </c>
      <c r="AN442" s="663">
        <f t="shared" si="3191"/>
        <v>0</v>
      </c>
      <c r="AO442" s="521"/>
      <c r="AP442" s="663">
        <f t="shared" si="3182"/>
        <v>0</v>
      </c>
      <c r="AQ442" s="663">
        <f t="shared" si="3183"/>
        <v>0</v>
      </c>
      <c r="AR442" s="663">
        <f t="shared" si="3183"/>
        <v>0</v>
      </c>
      <c r="AS442" s="663">
        <f t="shared" si="3183"/>
        <v>0</v>
      </c>
      <c r="AT442" s="663">
        <f t="shared" si="3183"/>
        <v>0</v>
      </c>
      <c r="AU442" s="663" cm="1">
        <f t="array" ref="AU442">LOOKUP(2,1/($F$57:$F$416=$D442),AU$57:AU$416)</f>
        <v>0</v>
      </c>
      <c r="AV442" s="663">
        <f t="shared" si="3192"/>
        <v>0</v>
      </c>
      <c r="AW442" s="663">
        <f t="shared" si="3192"/>
        <v>0</v>
      </c>
      <c r="AX442" s="663">
        <f t="shared" si="3192"/>
        <v>0</v>
      </c>
      <c r="AY442" s="663">
        <f t="shared" si="3192"/>
        <v>0</v>
      </c>
      <c r="AZ442" s="663">
        <f t="shared" si="3192"/>
        <v>0</v>
      </c>
      <c r="BA442" s="521"/>
      <c r="BB442" s="663">
        <f t="shared" si="3185"/>
        <v>0</v>
      </c>
      <c r="BC442" s="663">
        <f t="shared" si="3185"/>
        <v>0</v>
      </c>
      <c r="BD442" s="651"/>
      <c r="BE442" s="663">
        <f t="shared" si="3186"/>
        <v>0</v>
      </c>
      <c r="BF442" s="663">
        <f t="shared" si="3186"/>
        <v>0</v>
      </c>
      <c r="BG442" s="663">
        <f t="shared" si="3186"/>
        <v>0</v>
      </c>
      <c r="BI442" s="663">
        <f t="shared" si="3193"/>
        <v>0</v>
      </c>
      <c r="BJ442" s="663">
        <f t="shared" si="3193"/>
        <v>0</v>
      </c>
      <c r="BK442" s="663">
        <f t="shared" si="3193"/>
        <v>0</v>
      </c>
      <c r="BL442" s="663">
        <f t="shared" si="3193"/>
        <v>0</v>
      </c>
      <c r="BM442" s="663">
        <f t="shared" si="3193"/>
        <v>0</v>
      </c>
      <c r="BN442" s="663">
        <f t="shared" si="3193"/>
        <v>0</v>
      </c>
      <c r="BO442" s="663">
        <f t="shared" si="3193"/>
        <v>0</v>
      </c>
      <c r="BP442" s="663">
        <f t="shared" si="3193"/>
        <v>0</v>
      </c>
      <c r="BQ442" s="663">
        <f t="shared" si="3193"/>
        <v>0</v>
      </c>
      <c r="BR442" s="663">
        <f t="shared" si="3193"/>
        <v>0</v>
      </c>
      <c r="BS442" s="663">
        <f t="shared" si="3193"/>
        <v>0</v>
      </c>
      <c r="BT442" s="663">
        <f t="shared" si="3193"/>
        <v>0</v>
      </c>
      <c r="BU442" s="663">
        <f t="shared" si="3193"/>
        <v>0</v>
      </c>
      <c r="BX442" s="663">
        <f t="shared" si="3194"/>
        <v>0</v>
      </c>
      <c r="BY442" s="663">
        <f t="shared" si="3194"/>
        <v>0</v>
      </c>
      <c r="BZ442" s="663">
        <f t="shared" si="3194"/>
        <v>0</v>
      </c>
      <c r="CA442" s="663">
        <f t="shared" si="3194"/>
        <v>0</v>
      </c>
      <c r="CB442" s="663">
        <f t="shared" si="3194"/>
        <v>0</v>
      </c>
      <c r="CC442" s="663">
        <f t="shared" si="3194"/>
        <v>0</v>
      </c>
      <c r="CD442" s="663">
        <f t="shared" si="3194"/>
        <v>0</v>
      </c>
    </row>
    <row r="443" spans="4:82" ht="16" hidden="1" thickTop="1" thickBot="1">
      <c r="D443" s="680"/>
      <c r="E443" s="681"/>
      <c r="F443" s="682"/>
      <c r="G443" s="683">
        <f t="shared" si="3174"/>
        <v>0</v>
      </c>
      <c r="I443" s="663">
        <f t="shared" si="3189"/>
        <v>0</v>
      </c>
      <c r="J443" s="663">
        <f t="shared" si="3175"/>
        <v>0</v>
      </c>
      <c r="K443" s="663">
        <f t="shared" si="3175"/>
        <v>0</v>
      </c>
      <c r="L443" s="663">
        <f t="shared" si="3175"/>
        <v>0</v>
      </c>
      <c r="M443" s="663" cm="1">
        <f t="array" ref="M443">LOOKUP(2,1/($F$57:$F$416=$D443),M$57:M$416)</f>
        <v>0</v>
      </c>
      <c r="N443" s="663">
        <f t="shared" si="3176"/>
        <v>0</v>
      </c>
      <c r="O443" s="663">
        <f t="shared" si="3176"/>
        <v>0</v>
      </c>
      <c r="P443" s="663">
        <f t="shared" si="3176"/>
        <v>0</v>
      </c>
      <c r="Q443" s="663">
        <f t="shared" si="3176"/>
        <v>0</v>
      </c>
      <c r="R443" s="521"/>
      <c r="S443" s="663">
        <f t="shared" si="3190"/>
        <v>0</v>
      </c>
      <c r="T443" s="663">
        <f t="shared" si="3177"/>
        <v>0</v>
      </c>
      <c r="U443" s="663">
        <f t="shared" si="3177"/>
        <v>0</v>
      </c>
      <c r="V443" s="663">
        <f t="shared" si="3177"/>
        <v>0</v>
      </c>
      <c r="W443" s="663">
        <f t="shared" si="3177"/>
        <v>0</v>
      </c>
      <c r="X443" s="663" cm="1">
        <f t="array" ref="X443">LOOKUP(2,1/($F$57:$F$416=$D443),X$57:X$416)</f>
        <v>0</v>
      </c>
      <c r="Y443" s="663">
        <f t="shared" si="3178"/>
        <v>0</v>
      </c>
      <c r="Z443" s="663">
        <f t="shared" si="3178"/>
        <v>0</v>
      </c>
      <c r="AA443" s="663">
        <f t="shared" si="3178"/>
        <v>0</v>
      </c>
      <c r="AB443" s="663">
        <f t="shared" si="3178"/>
        <v>0</v>
      </c>
      <c r="AC443" s="521"/>
      <c r="AD443" s="663">
        <f t="shared" si="3179"/>
        <v>0</v>
      </c>
      <c r="AE443" s="663">
        <f t="shared" si="3180"/>
        <v>0</v>
      </c>
      <c r="AF443" s="663">
        <f t="shared" si="3180"/>
        <v>0</v>
      </c>
      <c r="AG443" s="663">
        <f t="shared" si="3180"/>
        <v>0</v>
      </c>
      <c r="AH443" s="663">
        <f t="shared" si="3180"/>
        <v>0</v>
      </c>
      <c r="AI443" s="663" cm="1">
        <f t="array" ref="AI443">LOOKUP(2,1/($F$57:$F$416=$D443),AI$57:AI$416)</f>
        <v>0</v>
      </c>
      <c r="AJ443" s="663">
        <f t="shared" si="3191"/>
        <v>0</v>
      </c>
      <c r="AK443" s="663">
        <f t="shared" si="3191"/>
        <v>0</v>
      </c>
      <c r="AL443" s="663">
        <f t="shared" si="3191"/>
        <v>0</v>
      </c>
      <c r="AM443" s="663">
        <f t="shared" si="3191"/>
        <v>0</v>
      </c>
      <c r="AN443" s="663">
        <f t="shared" si="3191"/>
        <v>0</v>
      </c>
      <c r="AO443" s="521"/>
      <c r="AP443" s="663">
        <f t="shared" si="3182"/>
        <v>0</v>
      </c>
      <c r="AQ443" s="663">
        <f t="shared" si="3183"/>
        <v>0</v>
      </c>
      <c r="AR443" s="663">
        <f t="shared" si="3183"/>
        <v>0</v>
      </c>
      <c r="AS443" s="663">
        <f t="shared" si="3183"/>
        <v>0</v>
      </c>
      <c r="AT443" s="663">
        <f t="shared" si="3183"/>
        <v>0</v>
      </c>
      <c r="AU443" s="663" cm="1">
        <f t="array" ref="AU443">LOOKUP(2,1/($F$57:$F$416=$D443),AU$57:AU$416)</f>
        <v>0</v>
      </c>
      <c r="AV443" s="663">
        <f t="shared" si="3192"/>
        <v>0</v>
      </c>
      <c r="AW443" s="663">
        <f t="shared" si="3192"/>
        <v>0</v>
      </c>
      <c r="AX443" s="663">
        <f t="shared" si="3192"/>
        <v>0</v>
      </c>
      <c r="AY443" s="663">
        <f t="shared" si="3192"/>
        <v>0</v>
      </c>
      <c r="AZ443" s="663">
        <f t="shared" si="3192"/>
        <v>0</v>
      </c>
      <c r="BA443" s="521"/>
      <c r="BB443" s="663">
        <f t="shared" si="3185"/>
        <v>0</v>
      </c>
      <c r="BC443" s="663">
        <f t="shared" si="3185"/>
        <v>0</v>
      </c>
      <c r="BD443" s="651"/>
      <c r="BE443" s="663">
        <f t="shared" si="3186"/>
        <v>0</v>
      </c>
      <c r="BF443" s="663">
        <f t="shared" si="3186"/>
        <v>0</v>
      </c>
      <c r="BG443" s="663">
        <f t="shared" si="3186"/>
        <v>0</v>
      </c>
      <c r="BI443" s="663">
        <f t="shared" si="3193"/>
        <v>0</v>
      </c>
      <c r="BJ443" s="663">
        <f t="shared" si="3193"/>
        <v>0</v>
      </c>
      <c r="BK443" s="663">
        <f t="shared" si="3193"/>
        <v>0</v>
      </c>
      <c r="BL443" s="663">
        <f t="shared" si="3193"/>
        <v>0</v>
      </c>
      <c r="BM443" s="663">
        <f t="shared" si="3193"/>
        <v>0</v>
      </c>
      <c r="BN443" s="663">
        <f t="shared" si="3193"/>
        <v>0</v>
      </c>
      <c r="BO443" s="663">
        <f t="shared" si="3193"/>
        <v>0</v>
      </c>
      <c r="BP443" s="663">
        <f t="shared" si="3193"/>
        <v>0</v>
      </c>
      <c r="BQ443" s="663">
        <f t="shared" si="3193"/>
        <v>0</v>
      </c>
      <c r="BR443" s="663">
        <f t="shared" si="3193"/>
        <v>0</v>
      </c>
      <c r="BS443" s="663">
        <f t="shared" si="3193"/>
        <v>0</v>
      </c>
      <c r="BT443" s="663">
        <f t="shared" si="3193"/>
        <v>0</v>
      </c>
      <c r="BU443" s="663">
        <f t="shared" si="3193"/>
        <v>0</v>
      </c>
      <c r="BX443" s="663">
        <f t="shared" si="3194"/>
        <v>0</v>
      </c>
      <c r="BY443" s="663">
        <f t="shared" si="3194"/>
        <v>0</v>
      </c>
      <c r="BZ443" s="663">
        <f t="shared" si="3194"/>
        <v>0</v>
      </c>
      <c r="CA443" s="663">
        <f t="shared" si="3194"/>
        <v>0</v>
      </c>
      <c r="CB443" s="663">
        <f t="shared" si="3194"/>
        <v>0</v>
      </c>
      <c r="CC443" s="663">
        <f t="shared" si="3194"/>
        <v>0</v>
      </c>
      <c r="CD443" s="663">
        <f t="shared" si="3194"/>
        <v>0</v>
      </c>
    </row>
    <row r="444" spans="4:82" ht="16" hidden="1" thickTop="1" thickBot="1">
      <c r="D444" s="680"/>
      <c r="E444" s="681"/>
      <c r="F444" s="682"/>
      <c r="G444" s="683">
        <f t="shared" si="3174"/>
        <v>0</v>
      </c>
      <c r="I444" s="663">
        <f t="shared" si="3189"/>
        <v>0</v>
      </c>
      <c r="J444" s="663">
        <f t="shared" si="3175"/>
        <v>0</v>
      </c>
      <c r="K444" s="663">
        <f t="shared" si="3175"/>
        <v>0</v>
      </c>
      <c r="L444" s="663">
        <f t="shared" si="3175"/>
        <v>0</v>
      </c>
      <c r="M444" s="663" cm="1">
        <f t="array" ref="M444">LOOKUP(2,1/($F$57:$F$416=$D444),M$57:M$416)</f>
        <v>0</v>
      </c>
      <c r="N444" s="663">
        <f t="shared" si="3176"/>
        <v>0</v>
      </c>
      <c r="O444" s="663">
        <f t="shared" si="3176"/>
        <v>0</v>
      </c>
      <c r="P444" s="663">
        <f t="shared" si="3176"/>
        <v>0</v>
      </c>
      <c r="Q444" s="663">
        <f t="shared" si="3176"/>
        <v>0</v>
      </c>
      <c r="R444" s="521"/>
      <c r="S444" s="663">
        <f t="shared" si="3190"/>
        <v>0</v>
      </c>
      <c r="T444" s="663">
        <f t="shared" si="3177"/>
        <v>0</v>
      </c>
      <c r="U444" s="663">
        <f t="shared" si="3177"/>
        <v>0</v>
      </c>
      <c r="V444" s="663">
        <f t="shared" si="3177"/>
        <v>0</v>
      </c>
      <c r="W444" s="663">
        <f t="shared" si="3177"/>
        <v>0</v>
      </c>
      <c r="X444" s="663" cm="1">
        <f t="array" ref="X444">LOOKUP(2,1/($F$57:$F$416=$D444),X$57:X$416)</f>
        <v>0</v>
      </c>
      <c r="Y444" s="663">
        <f t="shared" si="3178"/>
        <v>0</v>
      </c>
      <c r="Z444" s="663">
        <f t="shared" si="3178"/>
        <v>0</v>
      </c>
      <c r="AA444" s="663">
        <f t="shared" si="3178"/>
        <v>0</v>
      </c>
      <c r="AB444" s="663">
        <f t="shared" si="3178"/>
        <v>0</v>
      </c>
      <c r="AC444" s="521"/>
      <c r="AD444" s="663">
        <f t="shared" si="3179"/>
        <v>0</v>
      </c>
      <c r="AE444" s="663">
        <f t="shared" si="3180"/>
        <v>0</v>
      </c>
      <c r="AF444" s="663">
        <f t="shared" si="3180"/>
        <v>0</v>
      </c>
      <c r="AG444" s="663">
        <f t="shared" si="3180"/>
        <v>0</v>
      </c>
      <c r="AH444" s="663">
        <f t="shared" si="3180"/>
        <v>0</v>
      </c>
      <c r="AI444" s="663" cm="1">
        <f t="array" ref="AI444">LOOKUP(2,1/($F$57:$F$416=$D444),AI$57:AI$416)</f>
        <v>0</v>
      </c>
      <c r="AJ444" s="663">
        <f t="shared" si="3191"/>
        <v>0</v>
      </c>
      <c r="AK444" s="663">
        <f t="shared" si="3191"/>
        <v>0</v>
      </c>
      <c r="AL444" s="663">
        <f t="shared" si="3191"/>
        <v>0</v>
      </c>
      <c r="AM444" s="663">
        <f t="shared" si="3191"/>
        <v>0</v>
      </c>
      <c r="AN444" s="663">
        <f t="shared" si="3191"/>
        <v>0</v>
      </c>
      <c r="AO444" s="521"/>
      <c r="AP444" s="663">
        <f t="shared" si="3182"/>
        <v>0</v>
      </c>
      <c r="AQ444" s="663">
        <f t="shared" si="3183"/>
        <v>0</v>
      </c>
      <c r="AR444" s="663">
        <f t="shared" si="3183"/>
        <v>0</v>
      </c>
      <c r="AS444" s="663">
        <f t="shared" si="3183"/>
        <v>0</v>
      </c>
      <c r="AT444" s="663">
        <f t="shared" si="3183"/>
        <v>0</v>
      </c>
      <c r="AU444" s="663" cm="1">
        <f t="array" ref="AU444">LOOKUP(2,1/($F$57:$F$416=$D444),AU$57:AU$416)</f>
        <v>0</v>
      </c>
      <c r="AV444" s="663">
        <f t="shared" si="3192"/>
        <v>0</v>
      </c>
      <c r="AW444" s="663">
        <f t="shared" si="3192"/>
        <v>0</v>
      </c>
      <c r="AX444" s="663">
        <f t="shared" si="3192"/>
        <v>0</v>
      </c>
      <c r="AY444" s="663">
        <f t="shared" si="3192"/>
        <v>0</v>
      </c>
      <c r="AZ444" s="663">
        <f t="shared" si="3192"/>
        <v>0</v>
      </c>
      <c r="BA444" s="521"/>
      <c r="BB444" s="663">
        <f t="shared" si="3185"/>
        <v>0</v>
      </c>
      <c r="BC444" s="663">
        <f t="shared" si="3185"/>
        <v>0</v>
      </c>
      <c r="BD444" s="651"/>
      <c r="BE444" s="663">
        <f t="shared" si="3186"/>
        <v>0</v>
      </c>
      <c r="BF444" s="663">
        <f t="shared" si="3186"/>
        <v>0</v>
      </c>
      <c r="BG444" s="663">
        <f t="shared" si="3186"/>
        <v>0</v>
      </c>
      <c r="BI444" s="663">
        <f t="shared" si="3193"/>
        <v>0</v>
      </c>
      <c r="BJ444" s="663">
        <f t="shared" si="3193"/>
        <v>0</v>
      </c>
      <c r="BK444" s="663">
        <f t="shared" si="3193"/>
        <v>0</v>
      </c>
      <c r="BL444" s="663">
        <f t="shared" si="3193"/>
        <v>0</v>
      </c>
      <c r="BM444" s="663">
        <f t="shared" si="3193"/>
        <v>0</v>
      </c>
      <c r="BN444" s="663">
        <f t="shared" si="3193"/>
        <v>0</v>
      </c>
      <c r="BO444" s="663">
        <f t="shared" si="3193"/>
        <v>0</v>
      </c>
      <c r="BP444" s="663">
        <f t="shared" si="3193"/>
        <v>0</v>
      </c>
      <c r="BQ444" s="663">
        <f t="shared" si="3193"/>
        <v>0</v>
      </c>
      <c r="BR444" s="663">
        <f t="shared" si="3193"/>
        <v>0</v>
      </c>
      <c r="BS444" s="663">
        <f t="shared" si="3193"/>
        <v>0</v>
      </c>
      <c r="BT444" s="663">
        <f t="shared" si="3193"/>
        <v>0</v>
      </c>
      <c r="BU444" s="663">
        <f t="shared" si="3193"/>
        <v>0</v>
      </c>
      <c r="BX444" s="663">
        <f t="shared" si="3194"/>
        <v>0</v>
      </c>
      <c r="BY444" s="663">
        <f t="shared" si="3194"/>
        <v>0</v>
      </c>
      <c r="BZ444" s="663">
        <f t="shared" si="3194"/>
        <v>0</v>
      </c>
      <c r="CA444" s="663">
        <f t="shared" si="3194"/>
        <v>0</v>
      </c>
      <c r="CB444" s="663">
        <f t="shared" si="3194"/>
        <v>0</v>
      </c>
      <c r="CC444" s="663">
        <f t="shared" si="3194"/>
        <v>0</v>
      </c>
      <c r="CD444" s="663">
        <f t="shared" si="3194"/>
        <v>0</v>
      </c>
    </row>
    <row r="445" spans="4:82" ht="16" hidden="1" thickTop="1" thickBot="1">
      <c r="D445" s="680"/>
      <c r="E445" s="681"/>
      <c r="F445" s="682"/>
      <c r="G445" s="683">
        <f t="shared" si="3174"/>
        <v>0</v>
      </c>
      <c r="I445" s="663">
        <f t="shared" si="3189"/>
        <v>0</v>
      </c>
      <c r="J445" s="663">
        <f t="shared" si="3175"/>
        <v>0</v>
      </c>
      <c r="K445" s="663">
        <f t="shared" si="3175"/>
        <v>0</v>
      </c>
      <c r="L445" s="663">
        <f t="shared" si="3175"/>
        <v>0</v>
      </c>
      <c r="M445" s="663" cm="1">
        <f t="array" ref="M445">LOOKUP(2,1/($F$57:$F$416=$D445),M$57:M$416)</f>
        <v>0</v>
      </c>
      <c r="N445" s="663">
        <f t="shared" si="3176"/>
        <v>0</v>
      </c>
      <c r="O445" s="663">
        <f t="shared" si="3176"/>
        <v>0</v>
      </c>
      <c r="P445" s="663">
        <f t="shared" si="3176"/>
        <v>0</v>
      </c>
      <c r="Q445" s="663">
        <f t="shared" si="3176"/>
        <v>0</v>
      </c>
      <c r="R445" s="521"/>
      <c r="S445" s="663">
        <f t="shared" si="3190"/>
        <v>0</v>
      </c>
      <c r="T445" s="663">
        <f t="shared" si="3177"/>
        <v>0</v>
      </c>
      <c r="U445" s="663">
        <f t="shared" si="3177"/>
        <v>0</v>
      </c>
      <c r="V445" s="663">
        <f t="shared" si="3177"/>
        <v>0</v>
      </c>
      <c r="W445" s="663">
        <f t="shared" si="3177"/>
        <v>0</v>
      </c>
      <c r="X445" s="663" cm="1">
        <f t="array" ref="X445">LOOKUP(2,1/($F$57:$F$416=$D445),X$57:X$416)</f>
        <v>0</v>
      </c>
      <c r="Y445" s="663">
        <f t="shared" si="3178"/>
        <v>0</v>
      </c>
      <c r="Z445" s="663">
        <f t="shared" si="3178"/>
        <v>0</v>
      </c>
      <c r="AA445" s="663">
        <f t="shared" si="3178"/>
        <v>0</v>
      </c>
      <c r="AB445" s="663">
        <f t="shared" si="3178"/>
        <v>0</v>
      </c>
      <c r="AC445" s="521"/>
      <c r="AD445" s="663">
        <f t="shared" si="3179"/>
        <v>0</v>
      </c>
      <c r="AE445" s="663">
        <f t="shared" si="3180"/>
        <v>0</v>
      </c>
      <c r="AF445" s="663">
        <f t="shared" si="3180"/>
        <v>0</v>
      </c>
      <c r="AG445" s="663">
        <f t="shared" si="3180"/>
        <v>0</v>
      </c>
      <c r="AH445" s="663">
        <f t="shared" si="3180"/>
        <v>0</v>
      </c>
      <c r="AI445" s="663" cm="1">
        <f t="array" ref="AI445">LOOKUP(2,1/($F$57:$F$416=$D445),AI$57:AI$416)</f>
        <v>0</v>
      </c>
      <c r="AJ445" s="663">
        <f t="shared" si="3191"/>
        <v>0</v>
      </c>
      <c r="AK445" s="663">
        <f t="shared" si="3191"/>
        <v>0</v>
      </c>
      <c r="AL445" s="663">
        <f t="shared" si="3191"/>
        <v>0</v>
      </c>
      <c r="AM445" s="663">
        <f t="shared" si="3191"/>
        <v>0</v>
      </c>
      <c r="AN445" s="663">
        <f t="shared" si="3191"/>
        <v>0</v>
      </c>
      <c r="AO445" s="521"/>
      <c r="AP445" s="663">
        <f t="shared" si="3182"/>
        <v>0</v>
      </c>
      <c r="AQ445" s="663">
        <f t="shared" si="3183"/>
        <v>0</v>
      </c>
      <c r="AR445" s="663">
        <f t="shared" si="3183"/>
        <v>0</v>
      </c>
      <c r="AS445" s="663">
        <f t="shared" si="3183"/>
        <v>0</v>
      </c>
      <c r="AT445" s="663">
        <f t="shared" si="3183"/>
        <v>0</v>
      </c>
      <c r="AU445" s="663" cm="1">
        <f t="array" ref="AU445">LOOKUP(2,1/($F$57:$F$416=$D445),AU$57:AU$416)</f>
        <v>0</v>
      </c>
      <c r="AV445" s="663">
        <f t="shared" si="3192"/>
        <v>0</v>
      </c>
      <c r="AW445" s="663">
        <f t="shared" si="3192"/>
        <v>0</v>
      </c>
      <c r="AX445" s="663">
        <f t="shared" si="3192"/>
        <v>0</v>
      </c>
      <c r="AY445" s="663">
        <f t="shared" si="3192"/>
        <v>0</v>
      </c>
      <c r="AZ445" s="663">
        <f t="shared" si="3192"/>
        <v>0</v>
      </c>
      <c r="BA445" s="521"/>
      <c r="BB445" s="663">
        <f t="shared" si="3185"/>
        <v>0</v>
      </c>
      <c r="BC445" s="663">
        <f t="shared" si="3185"/>
        <v>0</v>
      </c>
      <c r="BD445" s="651"/>
      <c r="BE445" s="663">
        <f t="shared" si="3186"/>
        <v>0</v>
      </c>
      <c r="BF445" s="663">
        <f t="shared" si="3186"/>
        <v>0</v>
      </c>
      <c r="BG445" s="663">
        <f t="shared" si="3186"/>
        <v>0</v>
      </c>
      <c r="BI445" s="663">
        <f t="shared" si="3193"/>
        <v>0</v>
      </c>
      <c r="BJ445" s="663">
        <f t="shared" si="3193"/>
        <v>0</v>
      </c>
      <c r="BK445" s="663">
        <f t="shared" si="3193"/>
        <v>0</v>
      </c>
      <c r="BL445" s="663">
        <f t="shared" si="3193"/>
        <v>0</v>
      </c>
      <c r="BM445" s="663">
        <f t="shared" si="3193"/>
        <v>0</v>
      </c>
      <c r="BN445" s="663">
        <f t="shared" si="3193"/>
        <v>0</v>
      </c>
      <c r="BO445" s="663">
        <f t="shared" si="3193"/>
        <v>0</v>
      </c>
      <c r="BP445" s="663">
        <f t="shared" si="3193"/>
        <v>0</v>
      </c>
      <c r="BQ445" s="663">
        <f t="shared" si="3193"/>
        <v>0</v>
      </c>
      <c r="BR445" s="663">
        <f t="shared" si="3193"/>
        <v>0</v>
      </c>
      <c r="BS445" s="663">
        <f t="shared" si="3193"/>
        <v>0</v>
      </c>
      <c r="BT445" s="663">
        <f t="shared" si="3193"/>
        <v>0</v>
      </c>
      <c r="BU445" s="663">
        <f t="shared" si="3193"/>
        <v>0</v>
      </c>
      <c r="BX445" s="663">
        <f t="shared" si="3194"/>
        <v>0</v>
      </c>
      <c r="BY445" s="663">
        <f t="shared" si="3194"/>
        <v>0</v>
      </c>
      <c r="BZ445" s="663">
        <f t="shared" si="3194"/>
        <v>0</v>
      </c>
      <c r="CA445" s="663">
        <f t="shared" si="3194"/>
        <v>0</v>
      </c>
      <c r="CB445" s="663">
        <f t="shared" si="3194"/>
        <v>0</v>
      </c>
      <c r="CC445" s="663">
        <f t="shared" si="3194"/>
        <v>0</v>
      </c>
      <c r="CD445" s="663">
        <f t="shared" si="3194"/>
        <v>0</v>
      </c>
    </row>
    <row r="446" spans="4:82" ht="16" hidden="1" thickTop="1" thickBot="1">
      <c r="D446" s="680"/>
      <c r="E446" s="681"/>
      <c r="F446" s="682"/>
      <c r="G446" s="683">
        <f t="shared" si="3174"/>
        <v>0</v>
      </c>
      <c r="I446" s="663">
        <f t="shared" si="3189"/>
        <v>0</v>
      </c>
      <c r="J446" s="663">
        <f t="shared" si="3175"/>
        <v>0</v>
      </c>
      <c r="K446" s="663">
        <f t="shared" si="3175"/>
        <v>0</v>
      </c>
      <c r="L446" s="663">
        <f t="shared" si="3175"/>
        <v>0</v>
      </c>
      <c r="M446" s="663" cm="1">
        <f t="array" ref="M446">LOOKUP(2,1/($F$57:$F$416=$D446),M$57:M$416)</f>
        <v>0</v>
      </c>
      <c r="N446" s="663">
        <f t="shared" si="3176"/>
        <v>0</v>
      </c>
      <c r="O446" s="663">
        <f t="shared" si="3176"/>
        <v>0</v>
      </c>
      <c r="P446" s="663">
        <f t="shared" si="3176"/>
        <v>0</v>
      </c>
      <c r="Q446" s="663">
        <f t="shared" si="3176"/>
        <v>0</v>
      </c>
      <c r="R446" s="521"/>
      <c r="S446" s="663">
        <f t="shared" si="3190"/>
        <v>0</v>
      </c>
      <c r="T446" s="663">
        <f t="shared" si="3177"/>
        <v>0</v>
      </c>
      <c r="U446" s="663">
        <f t="shared" si="3177"/>
        <v>0</v>
      </c>
      <c r="V446" s="663">
        <f t="shared" si="3177"/>
        <v>0</v>
      </c>
      <c r="W446" s="663">
        <f t="shared" si="3177"/>
        <v>0</v>
      </c>
      <c r="X446" s="663" cm="1">
        <f t="array" ref="X446">LOOKUP(2,1/($F$57:$F$416=$D446),X$57:X$416)</f>
        <v>0</v>
      </c>
      <c r="Y446" s="663">
        <f t="shared" si="3178"/>
        <v>0</v>
      </c>
      <c r="Z446" s="663">
        <f t="shared" si="3178"/>
        <v>0</v>
      </c>
      <c r="AA446" s="663">
        <f t="shared" si="3178"/>
        <v>0</v>
      </c>
      <c r="AB446" s="663">
        <f t="shared" si="3178"/>
        <v>0</v>
      </c>
      <c r="AC446" s="521"/>
      <c r="AD446" s="663">
        <f t="shared" si="3179"/>
        <v>0</v>
      </c>
      <c r="AE446" s="663">
        <f t="shared" si="3180"/>
        <v>0</v>
      </c>
      <c r="AF446" s="663">
        <f t="shared" si="3180"/>
        <v>0</v>
      </c>
      <c r="AG446" s="663">
        <f t="shared" si="3180"/>
        <v>0</v>
      </c>
      <c r="AH446" s="663">
        <f t="shared" si="3180"/>
        <v>0</v>
      </c>
      <c r="AI446" s="663" cm="1">
        <f t="array" ref="AI446">LOOKUP(2,1/($F$57:$F$416=$D446),AI$57:AI$416)</f>
        <v>0</v>
      </c>
      <c r="AJ446" s="663">
        <f t="shared" si="3191"/>
        <v>0</v>
      </c>
      <c r="AK446" s="663">
        <f t="shared" si="3191"/>
        <v>0</v>
      </c>
      <c r="AL446" s="663">
        <f t="shared" si="3191"/>
        <v>0</v>
      </c>
      <c r="AM446" s="663">
        <f t="shared" si="3191"/>
        <v>0</v>
      </c>
      <c r="AN446" s="663">
        <f t="shared" si="3191"/>
        <v>0</v>
      </c>
      <c r="AO446" s="521"/>
      <c r="AP446" s="663">
        <f t="shared" si="3182"/>
        <v>0</v>
      </c>
      <c r="AQ446" s="663">
        <f t="shared" si="3183"/>
        <v>0</v>
      </c>
      <c r="AR446" s="663">
        <f t="shared" si="3183"/>
        <v>0</v>
      </c>
      <c r="AS446" s="663">
        <f t="shared" si="3183"/>
        <v>0</v>
      </c>
      <c r="AT446" s="663">
        <f t="shared" si="3183"/>
        <v>0</v>
      </c>
      <c r="AU446" s="663" cm="1">
        <f t="array" ref="AU446">LOOKUP(2,1/($F$57:$F$416=$D446),AU$57:AU$416)</f>
        <v>0</v>
      </c>
      <c r="AV446" s="663">
        <f t="shared" si="3192"/>
        <v>0</v>
      </c>
      <c r="AW446" s="663">
        <f t="shared" si="3192"/>
        <v>0</v>
      </c>
      <c r="AX446" s="663">
        <f t="shared" si="3192"/>
        <v>0</v>
      </c>
      <c r="AY446" s="663">
        <f t="shared" si="3192"/>
        <v>0</v>
      </c>
      <c r="AZ446" s="663">
        <f t="shared" si="3192"/>
        <v>0</v>
      </c>
      <c r="BA446" s="521"/>
      <c r="BB446" s="663">
        <f t="shared" si="3185"/>
        <v>0</v>
      </c>
      <c r="BC446" s="663">
        <f t="shared" si="3185"/>
        <v>0</v>
      </c>
      <c r="BD446" s="651"/>
      <c r="BE446" s="663">
        <f t="shared" si="3186"/>
        <v>0</v>
      </c>
      <c r="BF446" s="663">
        <f t="shared" si="3186"/>
        <v>0</v>
      </c>
      <c r="BG446" s="663">
        <f t="shared" si="3186"/>
        <v>0</v>
      </c>
      <c r="BI446" s="663">
        <f t="shared" si="3193"/>
        <v>0</v>
      </c>
      <c r="BJ446" s="663">
        <f t="shared" si="3193"/>
        <v>0</v>
      </c>
      <c r="BK446" s="663">
        <f t="shared" si="3193"/>
        <v>0</v>
      </c>
      <c r="BL446" s="663">
        <f t="shared" si="3193"/>
        <v>0</v>
      </c>
      <c r="BM446" s="663">
        <f t="shared" si="3193"/>
        <v>0</v>
      </c>
      <c r="BN446" s="663">
        <f t="shared" si="3193"/>
        <v>0</v>
      </c>
      <c r="BO446" s="663">
        <f t="shared" si="3193"/>
        <v>0</v>
      </c>
      <c r="BP446" s="663">
        <f t="shared" si="3193"/>
        <v>0</v>
      </c>
      <c r="BQ446" s="663">
        <f t="shared" si="3193"/>
        <v>0</v>
      </c>
      <c r="BR446" s="663">
        <f t="shared" si="3193"/>
        <v>0</v>
      </c>
      <c r="BS446" s="663">
        <f t="shared" si="3193"/>
        <v>0</v>
      </c>
      <c r="BT446" s="663">
        <f t="shared" si="3193"/>
        <v>0</v>
      </c>
      <c r="BU446" s="663">
        <f t="shared" si="3193"/>
        <v>0</v>
      </c>
      <c r="BX446" s="663">
        <f t="shared" si="3194"/>
        <v>0</v>
      </c>
      <c r="BY446" s="663">
        <f t="shared" si="3194"/>
        <v>0</v>
      </c>
      <c r="BZ446" s="663">
        <f t="shared" si="3194"/>
        <v>0</v>
      </c>
      <c r="CA446" s="663">
        <f t="shared" si="3194"/>
        <v>0</v>
      </c>
      <c r="CB446" s="663">
        <f t="shared" si="3194"/>
        <v>0</v>
      </c>
      <c r="CC446" s="663">
        <f t="shared" si="3194"/>
        <v>0</v>
      </c>
      <c r="CD446" s="663">
        <f t="shared" si="3194"/>
        <v>0</v>
      </c>
    </row>
    <row r="447" spans="4:82" ht="16" hidden="1" thickTop="1" thickBot="1">
      <c r="D447" s="680"/>
      <c r="E447" s="681"/>
      <c r="F447" s="682"/>
      <c r="G447" s="683">
        <f t="shared" si="3174"/>
        <v>0</v>
      </c>
      <c r="I447" s="663">
        <f t="shared" si="3189"/>
        <v>0</v>
      </c>
      <c r="J447" s="663">
        <f t="shared" si="3175"/>
        <v>0</v>
      </c>
      <c r="K447" s="663">
        <f t="shared" si="3175"/>
        <v>0</v>
      </c>
      <c r="L447" s="663">
        <f t="shared" si="3175"/>
        <v>0</v>
      </c>
      <c r="M447" s="663" cm="1">
        <f t="array" ref="M447">LOOKUP(2,1/($F$57:$F$416=$D447),M$57:M$416)</f>
        <v>0</v>
      </c>
      <c r="N447" s="663">
        <f t="shared" si="3176"/>
        <v>0</v>
      </c>
      <c r="O447" s="663">
        <f t="shared" si="3176"/>
        <v>0</v>
      </c>
      <c r="P447" s="663">
        <f t="shared" si="3176"/>
        <v>0</v>
      </c>
      <c r="Q447" s="663">
        <f t="shared" si="3176"/>
        <v>0</v>
      </c>
      <c r="R447" s="521"/>
      <c r="S447" s="663">
        <f t="shared" si="3190"/>
        <v>0</v>
      </c>
      <c r="T447" s="663">
        <f t="shared" si="3177"/>
        <v>0</v>
      </c>
      <c r="U447" s="663">
        <f t="shared" si="3177"/>
        <v>0</v>
      </c>
      <c r="V447" s="663">
        <f t="shared" si="3177"/>
        <v>0</v>
      </c>
      <c r="W447" s="663">
        <f t="shared" si="3177"/>
        <v>0</v>
      </c>
      <c r="X447" s="663" cm="1">
        <f t="array" ref="X447">LOOKUP(2,1/($F$57:$F$416=$D447),X$57:X$416)</f>
        <v>0</v>
      </c>
      <c r="Y447" s="663">
        <f t="shared" si="3178"/>
        <v>0</v>
      </c>
      <c r="Z447" s="663">
        <f t="shared" si="3178"/>
        <v>0</v>
      </c>
      <c r="AA447" s="663">
        <f t="shared" si="3178"/>
        <v>0</v>
      </c>
      <c r="AB447" s="663">
        <f t="shared" si="3178"/>
        <v>0</v>
      </c>
      <c r="AC447" s="521"/>
      <c r="AD447" s="663">
        <f t="shared" si="3179"/>
        <v>0</v>
      </c>
      <c r="AE447" s="663">
        <f t="shared" si="3180"/>
        <v>0</v>
      </c>
      <c r="AF447" s="663">
        <f t="shared" si="3180"/>
        <v>0</v>
      </c>
      <c r="AG447" s="663">
        <f t="shared" si="3180"/>
        <v>0</v>
      </c>
      <c r="AH447" s="663">
        <f t="shared" si="3180"/>
        <v>0</v>
      </c>
      <c r="AI447" s="663" cm="1">
        <f t="array" ref="AI447">LOOKUP(2,1/($F$57:$F$416=$D447),AI$57:AI$416)</f>
        <v>0</v>
      </c>
      <c r="AJ447" s="663">
        <f t="shared" si="3191"/>
        <v>0</v>
      </c>
      <c r="AK447" s="663">
        <f t="shared" si="3191"/>
        <v>0</v>
      </c>
      <c r="AL447" s="663">
        <f t="shared" si="3191"/>
        <v>0</v>
      </c>
      <c r="AM447" s="663">
        <f t="shared" si="3191"/>
        <v>0</v>
      </c>
      <c r="AN447" s="663">
        <f t="shared" si="3191"/>
        <v>0</v>
      </c>
      <c r="AO447" s="521"/>
      <c r="AP447" s="663">
        <f t="shared" si="3182"/>
        <v>0</v>
      </c>
      <c r="AQ447" s="663">
        <f t="shared" si="3183"/>
        <v>0</v>
      </c>
      <c r="AR447" s="663">
        <f t="shared" si="3183"/>
        <v>0</v>
      </c>
      <c r="AS447" s="663">
        <f t="shared" si="3183"/>
        <v>0</v>
      </c>
      <c r="AT447" s="663">
        <f t="shared" si="3183"/>
        <v>0</v>
      </c>
      <c r="AU447" s="663" cm="1">
        <f t="array" ref="AU447">LOOKUP(2,1/($F$57:$F$416=$D447),AU$57:AU$416)</f>
        <v>0</v>
      </c>
      <c r="AV447" s="663">
        <f t="shared" si="3192"/>
        <v>0</v>
      </c>
      <c r="AW447" s="663">
        <f t="shared" si="3192"/>
        <v>0</v>
      </c>
      <c r="AX447" s="663">
        <f t="shared" si="3192"/>
        <v>0</v>
      </c>
      <c r="AY447" s="663">
        <f t="shared" si="3192"/>
        <v>0</v>
      </c>
      <c r="AZ447" s="663">
        <f t="shared" si="3192"/>
        <v>0</v>
      </c>
      <c r="BA447" s="521"/>
      <c r="BB447" s="663">
        <f t="shared" si="3185"/>
        <v>0</v>
      </c>
      <c r="BC447" s="663">
        <f t="shared" si="3185"/>
        <v>0</v>
      </c>
      <c r="BD447" s="651"/>
      <c r="BE447" s="663">
        <f t="shared" si="3186"/>
        <v>0</v>
      </c>
      <c r="BF447" s="663">
        <f t="shared" si="3186"/>
        <v>0</v>
      </c>
      <c r="BG447" s="663">
        <f t="shared" si="3186"/>
        <v>0</v>
      </c>
      <c r="BI447" s="663">
        <f t="shared" si="3193"/>
        <v>0</v>
      </c>
      <c r="BJ447" s="663">
        <f t="shared" si="3193"/>
        <v>0</v>
      </c>
      <c r="BK447" s="663">
        <f t="shared" si="3193"/>
        <v>0</v>
      </c>
      <c r="BL447" s="663">
        <f t="shared" si="3193"/>
        <v>0</v>
      </c>
      <c r="BM447" s="663">
        <f t="shared" si="3193"/>
        <v>0</v>
      </c>
      <c r="BN447" s="663">
        <f t="shared" si="3193"/>
        <v>0</v>
      </c>
      <c r="BO447" s="663">
        <f t="shared" si="3193"/>
        <v>0</v>
      </c>
      <c r="BP447" s="663">
        <f t="shared" si="3193"/>
        <v>0</v>
      </c>
      <c r="BQ447" s="663">
        <f t="shared" si="3193"/>
        <v>0</v>
      </c>
      <c r="BR447" s="663">
        <f t="shared" si="3193"/>
        <v>0</v>
      </c>
      <c r="BS447" s="663">
        <f t="shared" si="3193"/>
        <v>0</v>
      </c>
      <c r="BT447" s="663">
        <f t="shared" si="3193"/>
        <v>0</v>
      </c>
      <c r="BU447" s="663">
        <f t="shared" si="3193"/>
        <v>0</v>
      </c>
      <c r="BX447" s="663">
        <f t="shared" si="3194"/>
        <v>0</v>
      </c>
      <c r="BY447" s="663">
        <f t="shared" si="3194"/>
        <v>0</v>
      </c>
      <c r="BZ447" s="663">
        <f t="shared" si="3194"/>
        <v>0</v>
      </c>
      <c r="CA447" s="663">
        <f t="shared" si="3194"/>
        <v>0</v>
      </c>
      <c r="CB447" s="663">
        <f t="shared" si="3194"/>
        <v>0</v>
      </c>
      <c r="CC447" s="663">
        <f t="shared" si="3194"/>
        <v>0</v>
      </c>
      <c r="CD447" s="663">
        <f t="shared" si="3194"/>
        <v>0</v>
      </c>
    </row>
    <row r="448" spans="4:82" ht="16" hidden="1" thickTop="1" thickBot="1">
      <c r="D448" s="680"/>
      <c r="E448" s="681"/>
      <c r="F448" s="682"/>
      <c r="G448" s="683">
        <f t="shared" si="3174"/>
        <v>0</v>
      </c>
      <c r="I448" s="663">
        <f t="shared" si="3189"/>
        <v>0</v>
      </c>
      <c r="J448" s="663">
        <f t="shared" si="3175"/>
        <v>0</v>
      </c>
      <c r="K448" s="663">
        <f t="shared" si="3175"/>
        <v>0</v>
      </c>
      <c r="L448" s="663">
        <f t="shared" si="3175"/>
        <v>0</v>
      </c>
      <c r="M448" s="663" cm="1">
        <f t="array" ref="M448">LOOKUP(2,1/($F$57:$F$416=$D448),M$57:M$416)</f>
        <v>0</v>
      </c>
      <c r="N448" s="663">
        <f t="shared" si="3176"/>
        <v>0</v>
      </c>
      <c r="O448" s="663">
        <f t="shared" si="3176"/>
        <v>0</v>
      </c>
      <c r="P448" s="663">
        <f t="shared" si="3176"/>
        <v>0</v>
      </c>
      <c r="Q448" s="663">
        <f t="shared" si="3176"/>
        <v>0</v>
      </c>
      <c r="R448" s="521"/>
      <c r="S448" s="663">
        <f t="shared" si="3190"/>
        <v>0</v>
      </c>
      <c r="T448" s="663">
        <f t="shared" si="3177"/>
        <v>0</v>
      </c>
      <c r="U448" s="663">
        <f t="shared" si="3177"/>
        <v>0</v>
      </c>
      <c r="V448" s="663">
        <f t="shared" si="3177"/>
        <v>0</v>
      </c>
      <c r="W448" s="663">
        <f t="shared" si="3177"/>
        <v>0</v>
      </c>
      <c r="X448" s="663" cm="1">
        <f t="array" ref="X448">LOOKUP(2,1/($F$57:$F$416=$D448),X$57:X$416)</f>
        <v>0</v>
      </c>
      <c r="Y448" s="663">
        <f t="shared" si="3178"/>
        <v>0</v>
      </c>
      <c r="Z448" s="663">
        <f t="shared" si="3178"/>
        <v>0</v>
      </c>
      <c r="AA448" s="663">
        <f t="shared" si="3178"/>
        <v>0</v>
      </c>
      <c r="AB448" s="663">
        <f t="shared" si="3178"/>
        <v>0</v>
      </c>
      <c r="AC448" s="521"/>
      <c r="AD448" s="663">
        <f t="shared" si="3179"/>
        <v>0</v>
      </c>
      <c r="AE448" s="663">
        <f t="shared" si="3180"/>
        <v>0</v>
      </c>
      <c r="AF448" s="663">
        <f t="shared" si="3180"/>
        <v>0</v>
      </c>
      <c r="AG448" s="663">
        <f t="shared" si="3180"/>
        <v>0</v>
      </c>
      <c r="AH448" s="663">
        <f t="shared" si="3180"/>
        <v>0</v>
      </c>
      <c r="AI448" s="663" cm="1">
        <f t="array" ref="AI448">LOOKUP(2,1/($F$57:$F$416=$D448),AI$57:AI$416)</f>
        <v>0</v>
      </c>
      <c r="AJ448" s="663">
        <f t="shared" si="3191"/>
        <v>0</v>
      </c>
      <c r="AK448" s="663">
        <f t="shared" si="3191"/>
        <v>0</v>
      </c>
      <c r="AL448" s="663">
        <f t="shared" si="3191"/>
        <v>0</v>
      </c>
      <c r="AM448" s="663">
        <f t="shared" si="3191"/>
        <v>0</v>
      </c>
      <c r="AN448" s="663">
        <f t="shared" si="3191"/>
        <v>0</v>
      </c>
      <c r="AO448" s="521"/>
      <c r="AP448" s="663">
        <f t="shared" si="3182"/>
        <v>0</v>
      </c>
      <c r="AQ448" s="663">
        <f t="shared" si="3183"/>
        <v>0</v>
      </c>
      <c r="AR448" s="663">
        <f t="shared" si="3183"/>
        <v>0</v>
      </c>
      <c r="AS448" s="663">
        <f t="shared" si="3183"/>
        <v>0</v>
      </c>
      <c r="AT448" s="663">
        <f t="shared" si="3183"/>
        <v>0</v>
      </c>
      <c r="AU448" s="663" cm="1">
        <f t="array" ref="AU448">LOOKUP(2,1/($F$57:$F$416=$D448),AU$57:AU$416)</f>
        <v>0</v>
      </c>
      <c r="AV448" s="663">
        <f t="shared" si="3192"/>
        <v>0</v>
      </c>
      <c r="AW448" s="663">
        <f t="shared" si="3192"/>
        <v>0</v>
      </c>
      <c r="AX448" s="663">
        <f t="shared" si="3192"/>
        <v>0</v>
      </c>
      <c r="AY448" s="663">
        <f t="shared" si="3192"/>
        <v>0</v>
      </c>
      <c r="AZ448" s="663">
        <f t="shared" si="3192"/>
        <v>0</v>
      </c>
      <c r="BA448" s="521"/>
      <c r="BB448" s="663">
        <f t="shared" si="3185"/>
        <v>0</v>
      </c>
      <c r="BC448" s="663">
        <f t="shared" si="3185"/>
        <v>0</v>
      </c>
      <c r="BD448" s="651"/>
      <c r="BE448" s="663">
        <f t="shared" si="3186"/>
        <v>0</v>
      </c>
      <c r="BF448" s="663">
        <f t="shared" si="3186"/>
        <v>0</v>
      </c>
      <c r="BG448" s="663">
        <f t="shared" si="3186"/>
        <v>0</v>
      </c>
      <c r="BI448" s="663">
        <f t="shared" si="3193"/>
        <v>0</v>
      </c>
      <c r="BJ448" s="663">
        <f t="shared" si="3193"/>
        <v>0</v>
      </c>
      <c r="BK448" s="663">
        <f t="shared" si="3193"/>
        <v>0</v>
      </c>
      <c r="BL448" s="663">
        <f t="shared" si="3193"/>
        <v>0</v>
      </c>
      <c r="BM448" s="663">
        <f t="shared" si="3193"/>
        <v>0</v>
      </c>
      <c r="BN448" s="663">
        <f t="shared" si="3193"/>
        <v>0</v>
      </c>
      <c r="BO448" s="663">
        <f t="shared" si="3193"/>
        <v>0</v>
      </c>
      <c r="BP448" s="663">
        <f t="shared" si="3193"/>
        <v>0</v>
      </c>
      <c r="BQ448" s="663">
        <f t="shared" si="3193"/>
        <v>0</v>
      </c>
      <c r="BR448" s="663">
        <f t="shared" si="3193"/>
        <v>0</v>
      </c>
      <c r="BS448" s="663">
        <f t="shared" si="3193"/>
        <v>0</v>
      </c>
      <c r="BT448" s="663">
        <f t="shared" si="3193"/>
        <v>0</v>
      </c>
      <c r="BU448" s="663">
        <f t="shared" si="3193"/>
        <v>0</v>
      </c>
      <c r="BX448" s="663">
        <f t="shared" si="3194"/>
        <v>0</v>
      </c>
      <c r="BY448" s="663">
        <f t="shared" si="3194"/>
        <v>0</v>
      </c>
      <c r="BZ448" s="663">
        <f t="shared" si="3194"/>
        <v>0</v>
      </c>
      <c r="CA448" s="663">
        <f t="shared" si="3194"/>
        <v>0</v>
      </c>
      <c r="CB448" s="663">
        <f t="shared" si="3194"/>
        <v>0</v>
      </c>
      <c r="CC448" s="663">
        <f t="shared" si="3194"/>
        <v>0</v>
      </c>
      <c r="CD448" s="663">
        <f t="shared" si="3194"/>
        <v>0</v>
      </c>
    </row>
    <row r="449" spans="4:82" ht="16" hidden="1" thickTop="1" thickBot="1">
      <c r="D449" s="680"/>
      <c r="E449" s="681"/>
      <c r="F449" s="682"/>
      <c r="G449" s="683">
        <f t="shared" si="3174"/>
        <v>0</v>
      </c>
      <c r="I449" s="663">
        <f t="shared" si="3189"/>
        <v>0</v>
      </c>
      <c r="J449" s="663">
        <f t="shared" si="3175"/>
        <v>0</v>
      </c>
      <c r="K449" s="663">
        <f t="shared" si="3175"/>
        <v>0</v>
      </c>
      <c r="L449" s="663">
        <f t="shared" si="3175"/>
        <v>0</v>
      </c>
      <c r="M449" s="663" cm="1">
        <f t="array" ref="M449">LOOKUP(2,1/($F$57:$F$416=$D449),M$57:M$416)</f>
        <v>0</v>
      </c>
      <c r="N449" s="663">
        <f t="shared" si="3176"/>
        <v>0</v>
      </c>
      <c r="O449" s="663">
        <f t="shared" si="3176"/>
        <v>0</v>
      </c>
      <c r="P449" s="663">
        <f t="shared" si="3176"/>
        <v>0</v>
      </c>
      <c r="Q449" s="663">
        <f t="shared" si="3176"/>
        <v>0</v>
      </c>
      <c r="R449" s="521"/>
      <c r="S449" s="663">
        <f t="shared" si="3190"/>
        <v>0</v>
      </c>
      <c r="T449" s="663">
        <f t="shared" si="3177"/>
        <v>0</v>
      </c>
      <c r="U449" s="663">
        <f t="shared" si="3177"/>
        <v>0</v>
      </c>
      <c r="V449" s="663">
        <f t="shared" si="3177"/>
        <v>0</v>
      </c>
      <c r="W449" s="663">
        <f t="shared" si="3177"/>
        <v>0</v>
      </c>
      <c r="X449" s="663" cm="1">
        <f t="array" ref="X449">LOOKUP(2,1/($F$57:$F$416=$D449),X$57:X$416)</f>
        <v>0</v>
      </c>
      <c r="Y449" s="663">
        <f t="shared" si="3178"/>
        <v>0</v>
      </c>
      <c r="Z449" s="663">
        <f t="shared" si="3178"/>
        <v>0</v>
      </c>
      <c r="AA449" s="663">
        <f t="shared" si="3178"/>
        <v>0</v>
      </c>
      <c r="AB449" s="663">
        <f t="shared" si="3178"/>
        <v>0</v>
      </c>
      <c r="AC449" s="521"/>
      <c r="AD449" s="663">
        <f t="shared" si="3179"/>
        <v>0</v>
      </c>
      <c r="AE449" s="663">
        <f t="shared" si="3180"/>
        <v>0</v>
      </c>
      <c r="AF449" s="663">
        <f t="shared" si="3180"/>
        <v>0</v>
      </c>
      <c r="AG449" s="663">
        <f t="shared" si="3180"/>
        <v>0</v>
      </c>
      <c r="AH449" s="663">
        <f t="shared" si="3180"/>
        <v>0</v>
      </c>
      <c r="AI449" s="663" cm="1">
        <f t="array" ref="AI449">LOOKUP(2,1/($F$57:$F$416=$D449),AI$57:AI$416)</f>
        <v>0</v>
      </c>
      <c r="AJ449" s="663">
        <f t="shared" si="3191"/>
        <v>0</v>
      </c>
      <c r="AK449" s="663">
        <f t="shared" si="3191"/>
        <v>0</v>
      </c>
      <c r="AL449" s="663">
        <f t="shared" si="3191"/>
        <v>0</v>
      </c>
      <c r="AM449" s="663">
        <f t="shared" si="3191"/>
        <v>0</v>
      </c>
      <c r="AN449" s="663">
        <f t="shared" si="3191"/>
        <v>0</v>
      </c>
      <c r="AO449" s="521"/>
      <c r="AP449" s="663">
        <f t="shared" si="3182"/>
        <v>0</v>
      </c>
      <c r="AQ449" s="663">
        <f t="shared" si="3183"/>
        <v>0</v>
      </c>
      <c r="AR449" s="663">
        <f t="shared" si="3183"/>
        <v>0</v>
      </c>
      <c r="AS449" s="663">
        <f t="shared" si="3183"/>
        <v>0</v>
      </c>
      <c r="AT449" s="663">
        <f t="shared" si="3183"/>
        <v>0</v>
      </c>
      <c r="AU449" s="663" cm="1">
        <f t="array" ref="AU449">LOOKUP(2,1/($F$57:$F$416=$D449),AU$57:AU$416)</f>
        <v>0</v>
      </c>
      <c r="AV449" s="663">
        <f t="shared" si="3192"/>
        <v>0</v>
      </c>
      <c r="AW449" s="663">
        <f t="shared" si="3192"/>
        <v>0</v>
      </c>
      <c r="AX449" s="663">
        <f t="shared" si="3192"/>
        <v>0</v>
      </c>
      <c r="AY449" s="663">
        <f t="shared" si="3192"/>
        <v>0</v>
      </c>
      <c r="AZ449" s="663">
        <f t="shared" si="3192"/>
        <v>0</v>
      </c>
      <c r="BA449" s="521"/>
      <c r="BB449" s="663">
        <f t="shared" si="3185"/>
        <v>0</v>
      </c>
      <c r="BC449" s="663">
        <f t="shared" si="3185"/>
        <v>0</v>
      </c>
      <c r="BD449" s="651"/>
      <c r="BE449" s="663">
        <f t="shared" si="3186"/>
        <v>0</v>
      </c>
      <c r="BF449" s="663">
        <f t="shared" si="3186"/>
        <v>0</v>
      </c>
      <c r="BG449" s="663">
        <f t="shared" si="3186"/>
        <v>0</v>
      </c>
      <c r="BI449" s="663">
        <f t="shared" si="3193"/>
        <v>0</v>
      </c>
      <c r="BJ449" s="663">
        <f t="shared" si="3193"/>
        <v>0</v>
      </c>
      <c r="BK449" s="663">
        <f t="shared" si="3193"/>
        <v>0</v>
      </c>
      <c r="BL449" s="663">
        <f t="shared" si="3193"/>
        <v>0</v>
      </c>
      <c r="BM449" s="663">
        <f t="shared" si="3193"/>
        <v>0</v>
      </c>
      <c r="BN449" s="663">
        <f t="shared" si="3193"/>
        <v>0</v>
      </c>
      <c r="BO449" s="663">
        <f t="shared" si="3193"/>
        <v>0</v>
      </c>
      <c r="BP449" s="663">
        <f t="shared" si="3193"/>
        <v>0</v>
      </c>
      <c r="BQ449" s="663">
        <f t="shared" si="3193"/>
        <v>0</v>
      </c>
      <c r="BR449" s="663">
        <f t="shared" si="3193"/>
        <v>0</v>
      </c>
      <c r="BS449" s="663">
        <f t="shared" si="3193"/>
        <v>0</v>
      </c>
      <c r="BT449" s="663">
        <f t="shared" si="3193"/>
        <v>0</v>
      </c>
      <c r="BU449" s="663">
        <f t="shared" si="3193"/>
        <v>0</v>
      </c>
      <c r="BX449" s="663">
        <f t="shared" si="3194"/>
        <v>0</v>
      </c>
      <c r="BY449" s="663">
        <f t="shared" si="3194"/>
        <v>0</v>
      </c>
      <c r="BZ449" s="663">
        <f t="shared" si="3194"/>
        <v>0</v>
      </c>
      <c r="CA449" s="663">
        <f t="shared" si="3194"/>
        <v>0</v>
      </c>
      <c r="CB449" s="663">
        <f t="shared" si="3194"/>
        <v>0</v>
      </c>
      <c r="CC449" s="663">
        <f t="shared" si="3194"/>
        <v>0</v>
      </c>
      <c r="CD449" s="663">
        <f t="shared" si="3194"/>
        <v>0</v>
      </c>
    </row>
    <row r="450" spans="4:82" ht="16" hidden="1" thickTop="1" thickBot="1">
      <c r="E450" s="681"/>
      <c r="F450" s="48"/>
      <c r="N450" s="684"/>
      <c r="Y450" s="684"/>
      <c r="AJ450" s="684"/>
      <c r="AK450" s="684"/>
      <c r="AV450" s="684"/>
      <c r="AW450" s="684"/>
      <c r="BI450" s="48"/>
      <c r="BX450" s="48"/>
    </row>
    <row r="451" spans="4:82" ht="16" hidden="1" thickTop="1" thickBot="1">
      <c r="E451" s="681"/>
      <c r="F451" s="48"/>
      <c r="G451" s="669">
        <f>SUM(G420:G449)</f>
        <v>69117295.252200216</v>
      </c>
      <c r="I451" s="421"/>
      <c r="J451" s="669">
        <f>SUM(J420:J449)</f>
        <v>7663333.333333334</v>
      </c>
      <c r="K451" s="669">
        <f>SUM(K420:K449)</f>
        <v>0</v>
      </c>
      <c r="L451" s="669">
        <f>SUM(L420:L449)</f>
        <v>26213333.333333351</v>
      </c>
      <c r="M451" s="421"/>
      <c r="N451" s="669">
        <f>SUM(N420:N449)</f>
        <v>18550000.000000019</v>
      </c>
      <c r="O451" s="669">
        <f>SUM(O420:O449)</f>
        <v>0</v>
      </c>
      <c r="P451" s="669">
        <f>SUM(P420:P449)</f>
        <v>18550000.000000019</v>
      </c>
      <c r="Q451" s="669">
        <f>SUM(Q420:Q449)</f>
        <v>50567295.252200201</v>
      </c>
      <c r="T451" s="669">
        <f>SUM(T420:T449)</f>
        <v>7663333.333333334</v>
      </c>
      <c r="U451" s="669">
        <f>SUM(U420:U449)</f>
        <v>6763029.3644022625</v>
      </c>
      <c r="V451" s="669">
        <f>SUM(V420:V449)</f>
        <v>26213333.333333351</v>
      </c>
      <c r="W451" s="669">
        <f>SUM(W420:W449)</f>
        <v>6763029.3644022625</v>
      </c>
      <c r="Y451" s="669">
        <f>SUM(Y420:Y449)</f>
        <v>25313029.364402279</v>
      </c>
      <c r="Z451" s="669">
        <f>SUM(Z420:Z449)</f>
        <v>751447.70715580671</v>
      </c>
      <c r="AA451" s="669">
        <f>SUM(AA420:AA449)</f>
        <v>26064477.071558088</v>
      </c>
      <c r="AB451" s="669">
        <f>SUM(AB420:AB449)</f>
        <v>43052818.180642128</v>
      </c>
      <c r="AE451" s="669">
        <f>SUM(AE420:AE449)</f>
        <v>7663333.333333334</v>
      </c>
      <c r="AF451" s="669">
        <f>SUM(AF420:AF449)</f>
        <v>16427616.851666924</v>
      </c>
      <c r="AG451" s="669">
        <f>SUM(AG420:AG449)</f>
        <v>32976362.697735615</v>
      </c>
      <c r="AH451" s="669">
        <f>SUM(AH420:AH449)</f>
        <v>9664587.4872646723</v>
      </c>
      <c r="AJ451" s="669">
        <f>SUM(AJ420:AJ449)</f>
        <v>34977616.851666957</v>
      </c>
      <c r="AK451" s="669">
        <f>SUM(AK420:AK449)</f>
        <v>34977616.851666957</v>
      </c>
      <c r="AL451" s="669">
        <f>SUM(AL420:AL449)</f>
        <v>3167594.5789719741</v>
      </c>
      <c r="AM451" s="669">
        <f>SUM(AM420:AM449)</f>
        <v>38145211.430638924</v>
      </c>
      <c r="AN451" s="669">
        <f>SUM(AN420:AN449)</f>
        <v>30972083.821561292</v>
      </c>
      <c r="AQ451" s="669">
        <f>SUM(AQ420:AQ449)</f>
        <v>7663333.333333334</v>
      </c>
      <c r="AR451" s="669">
        <f>SUM(AR420:AR449)</f>
        <v>31590661.972630512</v>
      </c>
      <c r="AS451" s="669">
        <f>SUM(AS420:AS449)</f>
        <v>42640950.185000286</v>
      </c>
      <c r="AT451" s="669">
        <f>SUM(AT420:AT449)</f>
        <v>15163045.120963581</v>
      </c>
      <c r="AV451" s="669">
        <f>SUM(AV420:AV449)</f>
        <v>50140661.972630538</v>
      </c>
      <c r="AW451" s="669">
        <f>SUM(AW420:AW449)</f>
        <v>50140661.972630538</v>
      </c>
      <c r="AX451" s="669">
        <f>SUM(AX420:AX449)</f>
        <v>9666042.4879563674</v>
      </c>
      <c r="AY451" s="669">
        <f>SUM(AY420:AY449)</f>
        <v>59806704.460586905</v>
      </c>
      <c r="AZ451" s="669">
        <f>SUM(AZ420:AZ449)</f>
        <v>9310590.7916133143</v>
      </c>
      <c r="BB451" s="669">
        <f>SUM(BB420:BB449)</f>
        <v>4655295.3958066572</v>
      </c>
      <c r="BC451" s="669">
        <f>SUM(BC420:BC449)</f>
        <v>4655295.3958066572</v>
      </c>
      <c r="BE451" s="669">
        <f>SUM(BE420:BE449)</f>
        <v>54795957.368437193</v>
      </c>
      <c r="BF451" s="669">
        <f>SUM(BF420:BF449)</f>
        <v>14321337.883763025</v>
      </c>
      <c r="BG451" s="669">
        <f>SUM(BG420:BG449)</f>
        <v>69117295.252200216</v>
      </c>
      <c r="BI451" s="669">
        <f t="shared" ref="BI451:BS451" si="3195">SUM(BI420:BI449)</f>
        <v>69117295.252200216</v>
      </c>
      <c r="BJ451" s="669">
        <f t="shared" si="3195"/>
        <v>18550000.000000019</v>
      </c>
      <c r="BK451" s="669">
        <f t="shared" si="3195"/>
        <v>0</v>
      </c>
      <c r="BL451" s="669">
        <f t="shared" si="3195"/>
        <v>6763029.3644022625</v>
      </c>
      <c r="BM451" s="669">
        <f t="shared" si="3195"/>
        <v>751447.70715580671</v>
      </c>
      <c r="BN451" s="669">
        <f t="shared" si="3195"/>
        <v>9664587.4872646742</v>
      </c>
      <c r="BO451" s="669">
        <f t="shared" si="3195"/>
        <v>2416146.8718161671</v>
      </c>
      <c r="BP451" s="669">
        <f t="shared" si="3195"/>
        <v>15163045.120963581</v>
      </c>
      <c r="BQ451" s="669">
        <f t="shared" si="3195"/>
        <v>6498447.9089843929</v>
      </c>
      <c r="BR451" s="669">
        <f t="shared" si="3195"/>
        <v>4655295.3958066572</v>
      </c>
      <c r="BS451" s="669">
        <f t="shared" si="3195"/>
        <v>4655295.3958066572</v>
      </c>
      <c r="BX451" s="669">
        <f t="shared" ref="BX451:CC451" si="3196">SUM(BX420:BX449)</f>
        <v>69117295.252200216</v>
      </c>
      <c r="BY451" s="669">
        <f t="shared" si="3196"/>
        <v>18550000.000000019</v>
      </c>
      <c r="BZ451" s="669">
        <f t="shared" si="3196"/>
        <v>7514477.0715580694</v>
      </c>
      <c r="CA451" s="669">
        <f t="shared" si="3196"/>
        <v>12080734.35908084</v>
      </c>
      <c r="CB451" s="669">
        <f t="shared" si="3196"/>
        <v>21661493.029947974</v>
      </c>
      <c r="CC451" s="669">
        <f t="shared" si="3196"/>
        <v>9310590.7916133143</v>
      </c>
    </row>
    <row r="452" spans="4:82" ht="15" hidden="1" thickTop="1"/>
  </sheetData>
  <mergeCells count="4">
    <mergeCell ref="BB50:BC50"/>
    <mergeCell ref="BB51:BC51"/>
    <mergeCell ref="BT53:BT54"/>
    <mergeCell ref="BU53:BU54"/>
  </mergeCells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130B56-9116-B446-9530-4508192A2958}">
  <sheetPr codeName="Sheet9">
    <tabColor rgb="FF003399"/>
    <pageSetUpPr fitToPage="1"/>
  </sheetPr>
  <dimension ref="A1:AX85"/>
  <sheetViews>
    <sheetView showGridLines="0" topLeftCell="E2" zoomScale="82" zoomScaleNormal="82" workbookViewId="0">
      <selection activeCell="L19" sqref="L19"/>
    </sheetView>
  </sheetViews>
  <sheetFormatPr baseColWidth="10" defaultColWidth="8.83203125" defaultRowHeight="16"/>
  <cols>
    <col min="1" max="1" width="6.1640625" style="30" hidden="1" customWidth="1"/>
    <col min="2" max="2" width="7.5" style="5" hidden="1" customWidth="1"/>
    <col min="3" max="3" width="5.6640625" style="30" hidden="1" customWidth="1"/>
    <col min="4" max="4" width="7.83203125" style="30" hidden="1" customWidth="1"/>
    <col min="5" max="5" width="2.5" style="5" customWidth="1"/>
    <col min="6" max="6" width="7.1640625" style="5" customWidth="1"/>
    <col min="7" max="7" width="10.5" style="5" customWidth="1"/>
    <col min="8" max="8" width="13.33203125" style="5" bestFit="1" customWidth="1"/>
    <col min="9" max="9" width="11.1640625" style="5" bestFit="1" customWidth="1"/>
    <col min="10" max="10" width="13.33203125" style="5" bestFit="1" customWidth="1"/>
    <col min="11" max="11" width="12.1640625" style="5" bestFit="1" customWidth="1"/>
    <col min="12" max="12" width="13.6640625" style="5" customWidth="1"/>
    <col min="13" max="13" width="11.5" style="5" bestFit="1" customWidth="1"/>
    <col min="14" max="16" width="11.6640625" style="5" bestFit="1" customWidth="1"/>
    <col min="17" max="17" width="12.6640625" style="5" bestFit="1" customWidth="1"/>
    <col min="18" max="18" width="13.33203125" style="5" bestFit="1" customWidth="1"/>
    <col min="19" max="19" width="7.1640625" style="5" customWidth="1"/>
    <col min="20" max="20" width="9" style="21" customWidth="1"/>
    <col min="21" max="21" width="6.6640625" style="21" bestFit="1" customWidth="1"/>
    <col min="22" max="22" width="12.33203125" style="21" bestFit="1" customWidth="1"/>
    <col min="23" max="23" width="8.6640625" hidden="1" customWidth="1"/>
    <col min="24" max="24" width="6.33203125" hidden="1" customWidth="1"/>
    <col min="25" max="25" width="11.33203125" hidden="1" customWidth="1"/>
    <col min="26" max="26" width="9.6640625" hidden="1" customWidth="1"/>
    <col min="27" max="27" width="9.83203125" hidden="1" customWidth="1"/>
    <col min="28" max="33" width="10.5" bestFit="1" customWidth="1"/>
    <col min="34" max="34" width="6.6640625" bestFit="1" customWidth="1"/>
    <col min="35" max="35" width="4.33203125" customWidth="1"/>
    <col min="36" max="36" width="10.6640625" bestFit="1" customWidth="1"/>
    <col min="37" max="38" width="1.1640625" customWidth="1"/>
    <col min="39" max="39" width="11.6640625" style="251" hidden="1" customWidth="1"/>
    <col min="40" max="40" width="10.1640625" hidden="1" customWidth="1"/>
    <col min="41" max="41" width="10.1640625" bestFit="1" customWidth="1"/>
    <col min="43" max="43" width="21.83203125" bestFit="1" customWidth="1"/>
    <col min="44" max="44" width="15.6640625" style="136" bestFit="1" customWidth="1"/>
    <col min="45" max="45" width="15" customWidth="1"/>
    <col min="46" max="46" width="13.5" bestFit="1" customWidth="1"/>
    <col min="47" max="49" width="12.83203125" bestFit="1" customWidth="1"/>
    <col min="50" max="50" width="11.6640625" bestFit="1" customWidth="1"/>
  </cols>
  <sheetData>
    <row r="1" spans="5:50" hidden="1"/>
    <row r="2" spans="5:50" s="265" customFormat="1" ht="28.25" customHeight="1">
      <c r="E2" s="266" t="str">
        <f>iProject!D2</f>
        <v>Clarendon Preserve</v>
      </c>
      <c r="F2" s="266"/>
      <c r="G2" s="266"/>
      <c r="H2" s="266"/>
      <c r="I2" s="266"/>
      <c r="J2" s="266"/>
      <c r="K2" s="266"/>
      <c r="L2" s="266"/>
      <c r="M2" s="266"/>
      <c r="N2" s="266"/>
      <c r="O2" s="266"/>
      <c r="P2" s="266"/>
      <c r="Q2" s="266"/>
      <c r="R2" s="266"/>
      <c r="S2" s="266"/>
      <c r="T2" s="23"/>
      <c r="U2" s="23"/>
      <c r="V2" s="23"/>
      <c r="AR2" s="264"/>
    </row>
    <row r="3" spans="5:50" s="1" customFormat="1" ht="14" customHeight="1">
      <c r="E3" s="263" t="s">
        <v>133</v>
      </c>
      <c r="F3" s="263"/>
      <c r="G3" s="263"/>
      <c r="H3" s="263"/>
      <c r="I3" s="263"/>
      <c r="J3" s="263"/>
      <c r="K3" s="263"/>
      <c r="L3" s="263"/>
      <c r="M3" s="263"/>
      <c r="N3" s="263"/>
      <c r="O3" s="263"/>
      <c r="P3" s="263"/>
      <c r="Q3" s="263"/>
      <c r="R3" s="263"/>
      <c r="S3" s="263"/>
      <c r="AM3" s="252"/>
      <c r="AR3" s="264"/>
    </row>
    <row r="4" spans="5:50" s="1" customFormat="1">
      <c r="AM4" s="252"/>
      <c r="AR4" s="264"/>
    </row>
    <row r="5" spans="5:50" s="47" customFormat="1">
      <c r="E5" s="12"/>
      <c r="F5" s="12"/>
      <c r="G5" s="12"/>
      <c r="H5" s="12"/>
      <c r="I5" s="12"/>
      <c r="J5" s="12"/>
      <c r="K5" s="12"/>
      <c r="L5" s="12"/>
      <c r="M5" s="12"/>
      <c r="N5" s="12"/>
      <c r="O5" s="12"/>
      <c r="P5" s="12"/>
      <c r="Q5" s="12"/>
      <c r="R5" s="12"/>
      <c r="S5" s="12"/>
      <c r="T5" s="254"/>
      <c r="U5" s="254"/>
      <c r="V5" s="254"/>
      <c r="W5" s="255"/>
      <c r="X5" s="255"/>
      <c r="Y5" s="255"/>
      <c r="Z5" s="255"/>
      <c r="AA5" s="255"/>
      <c r="AB5" s="255"/>
      <c r="AC5" s="255"/>
      <c r="AD5" s="255"/>
      <c r="AE5" s="255"/>
      <c r="AF5" s="255"/>
      <c r="AG5" s="255"/>
      <c r="AH5" s="255"/>
      <c r="AI5" s="255"/>
      <c r="AJ5" s="255"/>
      <c r="AK5" s="255"/>
      <c r="AL5" s="255"/>
      <c r="AM5" s="256"/>
      <c r="AR5" s="331"/>
    </row>
    <row r="6" spans="5:50" ht="21.75" customHeight="1">
      <c r="E6" s="12"/>
      <c r="F6" s="1078" t="s">
        <v>328</v>
      </c>
      <c r="G6" s="1079"/>
      <c r="H6" s="947" t="s">
        <v>346</v>
      </c>
      <c r="I6" s="947" t="s">
        <v>120</v>
      </c>
      <c r="J6" s="947" t="s">
        <v>14</v>
      </c>
      <c r="K6" s="949" t="s">
        <v>90</v>
      </c>
      <c r="L6" s="1082" t="s">
        <v>126</v>
      </c>
      <c r="M6" s="1083"/>
      <c r="N6" s="1083"/>
      <c r="O6" s="1083"/>
      <c r="P6" s="1084"/>
      <c r="Q6" s="952" t="s">
        <v>90</v>
      </c>
      <c r="R6" s="949" t="s">
        <v>90</v>
      </c>
      <c r="S6" s="12"/>
      <c r="T6" s="1087" t="s">
        <v>269</v>
      </c>
      <c r="U6" s="1088"/>
      <c r="V6" s="1088"/>
      <c r="W6" s="1085" t="s">
        <v>93</v>
      </c>
      <c r="X6" s="1085"/>
      <c r="Y6" s="1010" t="s">
        <v>131</v>
      </c>
      <c r="Z6" s="1010"/>
      <c r="AA6" s="1010"/>
      <c r="AB6" s="1011" t="s">
        <v>134</v>
      </c>
      <c r="AC6" s="1012"/>
      <c r="AD6" s="1012"/>
      <c r="AE6" s="1012"/>
      <c r="AF6" s="1012"/>
      <c r="AG6" s="1012"/>
      <c r="AH6" s="1013" t="s">
        <v>135</v>
      </c>
      <c r="AI6" s="1014"/>
      <c r="AJ6" s="1015"/>
      <c r="AM6" s="1077" t="s">
        <v>326</v>
      </c>
      <c r="AN6" s="1077"/>
      <c r="AO6" s="257"/>
      <c r="AP6" s="257"/>
      <c r="AQ6" s="254"/>
      <c r="AR6" s="135"/>
      <c r="AS6" s="257"/>
      <c r="AT6" s="257"/>
      <c r="AU6" s="257"/>
      <c r="AV6" s="257"/>
      <c r="AW6" s="257"/>
      <c r="AX6" s="257"/>
    </row>
    <row r="7" spans="5:50" ht="23.25" customHeight="1">
      <c r="E7" s="12"/>
      <c r="F7" s="1080"/>
      <c r="G7" s="1081"/>
      <c r="H7" s="948" t="s">
        <v>298</v>
      </c>
      <c r="I7" s="948" t="s">
        <v>121</v>
      </c>
      <c r="J7" s="948" t="s">
        <v>121</v>
      </c>
      <c r="K7" s="950" t="s">
        <v>127</v>
      </c>
      <c r="L7" s="953" t="str">
        <f>mOption!Q6</f>
        <v xml:space="preserve">Jimmy Creek </v>
      </c>
      <c r="M7" s="953" t="str">
        <f>mOption!R6</f>
        <v>Deer Creek</v>
      </c>
      <c r="N7" s="953" t="str">
        <f>mOption!S6</f>
        <v>Forest</v>
      </c>
      <c r="O7" s="953" t="str">
        <f>mOption!T6</f>
        <v>Bench</v>
      </c>
      <c r="P7" s="953" t="str">
        <f>mOption!U6</f>
        <v>Hillside</v>
      </c>
      <c r="Q7" s="950" t="s">
        <v>71</v>
      </c>
      <c r="R7" s="950" t="s">
        <v>200</v>
      </c>
      <c r="S7" s="12"/>
      <c r="T7" s="1089"/>
      <c r="U7" s="1090"/>
      <c r="V7" s="1090"/>
      <c r="W7" s="1086"/>
      <c r="X7" s="1086"/>
      <c r="Y7" s="1075" t="s">
        <v>270</v>
      </c>
      <c r="Z7" s="1076"/>
      <c r="AA7" s="1076"/>
      <c r="AB7" s="968">
        <v>1</v>
      </c>
      <c r="AC7" s="968">
        <v>2</v>
      </c>
      <c r="AD7" s="968">
        <v>3</v>
      </c>
      <c r="AE7" s="968">
        <v>4</v>
      </c>
      <c r="AF7" s="968">
        <v>5</v>
      </c>
      <c r="AG7" s="968">
        <v>6</v>
      </c>
      <c r="AH7" s="1091" t="s">
        <v>169</v>
      </c>
      <c r="AI7" s="1092"/>
      <c r="AJ7" s="1016" t="s">
        <v>90</v>
      </c>
      <c r="AM7" s="883" t="s">
        <v>59</v>
      </c>
      <c r="AN7" s="883" t="s">
        <v>281</v>
      </c>
      <c r="AO7" s="257"/>
      <c r="AP7" s="257"/>
      <c r="AQ7" s="339" t="str">
        <f>iOption!AA7</f>
        <v>Absorption Summary</v>
      </c>
      <c r="AR7" s="418" t="s">
        <v>78</v>
      </c>
      <c r="AS7" s="340">
        <f>iOption!AE7</f>
        <v>1</v>
      </c>
      <c r="AT7" s="340">
        <f>iOption!AF7</f>
        <v>2</v>
      </c>
      <c r="AU7" s="340">
        <f>iOption!AG7</f>
        <v>3</v>
      </c>
      <c r="AV7" s="340">
        <f>iOption!AH7</f>
        <v>4</v>
      </c>
      <c r="AW7" s="340">
        <f>iOption!AI7</f>
        <v>5</v>
      </c>
      <c r="AX7" s="340">
        <f>iOption!AJ7</f>
        <v>6</v>
      </c>
    </row>
    <row r="8" spans="5:50" ht="18.75" customHeight="1">
      <c r="E8" s="12"/>
      <c r="F8" s="954" t="s">
        <v>100</v>
      </c>
      <c r="G8" s="954" t="s">
        <v>96</v>
      </c>
      <c r="H8" s="951">
        <f>SUM(H9:H82)</f>
        <v>-22900000</v>
      </c>
      <c r="I8" s="951">
        <f>mOption!N7</f>
        <v>-8360000.0000000009</v>
      </c>
      <c r="J8" s="951">
        <f>mOption!O7</f>
        <v>-31260000.000000015</v>
      </c>
      <c r="K8" s="951">
        <f>mOption!P7</f>
        <v>0</v>
      </c>
      <c r="L8" s="951">
        <f>mOption!Q7</f>
        <v>4305929.8150968645</v>
      </c>
      <c r="M8" s="951">
        <f>mOption!R7</f>
        <v>10057735.559631331</v>
      </c>
      <c r="N8" s="951">
        <f>mOption!S7</f>
        <v>24410126.850143902</v>
      </c>
      <c r="O8" s="951">
        <f>mOption!T7</f>
        <v>21666873.380542256</v>
      </c>
      <c r="P8" s="951">
        <f>mOption!U7</f>
        <v>23398134.959479116</v>
      </c>
      <c r="Q8" s="951">
        <f>mOption!V7</f>
        <v>83838800.564893469</v>
      </c>
      <c r="R8" s="951">
        <f>mOption!W7</f>
        <v>52578800.564893454</v>
      </c>
      <c r="S8" s="12"/>
      <c r="T8" s="1017" t="s">
        <v>128</v>
      </c>
      <c r="U8" s="966" t="str">
        <f>iProject!J6</f>
        <v>Merge</v>
      </c>
      <c r="V8" s="967" t="str">
        <f>iProject!K6</f>
        <v>Area</v>
      </c>
      <c r="W8" s="970" t="str">
        <f>iProject!M7</f>
        <v>SqFt</v>
      </c>
      <c r="X8" s="970" t="str">
        <f>iProject!N7</f>
        <v>Share</v>
      </c>
      <c r="Y8" s="964" t="str">
        <f>iBudget!Q7</f>
        <v>Land</v>
      </c>
      <c r="Z8" s="964" t="str">
        <f>iBudget!R7</f>
        <v>Infra</v>
      </c>
      <c r="AA8" s="964" t="str">
        <f>iBudget!S7</f>
        <v>total</v>
      </c>
      <c r="AB8" s="969" cm="1">
        <f t="array" ref="AB8:AG8">iOption!N7:S7</f>
        <v>1.75</v>
      </c>
      <c r="AC8" s="969">
        <v>2</v>
      </c>
      <c r="AD8" s="969">
        <v>2.25</v>
      </c>
      <c r="AE8" s="969">
        <v>2.5</v>
      </c>
      <c r="AF8" s="969">
        <v>2.75</v>
      </c>
      <c r="AG8" s="969">
        <v>3</v>
      </c>
      <c r="AH8" s="971" t="s">
        <v>110</v>
      </c>
      <c r="AI8" s="972" t="s">
        <v>112</v>
      </c>
      <c r="AJ8" s="1018" t="s">
        <v>329</v>
      </c>
      <c r="AK8" s="881"/>
      <c r="AL8" s="881"/>
      <c r="AM8" s="882" t="s">
        <v>280</v>
      </c>
      <c r="AN8" s="882" t="s">
        <v>282</v>
      </c>
      <c r="AO8" s="257"/>
      <c r="AP8" s="257"/>
      <c r="AQ8" s="188" t="s">
        <v>154</v>
      </c>
      <c r="AR8" s="332">
        <f>mOption!L7+mOption!M7</f>
        <v>-22900000</v>
      </c>
      <c r="AS8" s="332"/>
      <c r="AT8" s="332"/>
      <c r="AU8" s="332"/>
      <c r="AV8" s="332"/>
      <c r="AW8" s="332"/>
      <c r="AX8" s="332"/>
    </row>
    <row r="9" spans="5:50">
      <c r="E9" s="12"/>
      <c r="F9" s="937" cm="1">
        <f t="array" ref="F9:F81">_xlfn.SEQUENCE(MAX(iOption!U9:U53)+ 1, 1, 0)</f>
        <v>0</v>
      </c>
      <c r="G9" s="934" cm="1">
        <f t="array" ref="G9:G81">EDATE(EOMONTH(date.Start,-1),_xlfn.SEQUENCE(MAX(iOption!U9:U53) + 1, 1, 0))</f>
        <v>45688</v>
      </c>
      <c r="H9" s="892">
        <f>mOption!L8+mOption!M8</f>
        <v>-22900000</v>
      </c>
      <c r="I9" s="892">
        <f>mOption!N8</f>
        <v>0</v>
      </c>
      <c r="J9" s="913">
        <f>mOption!O8</f>
        <v>-22900000</v>
      </c>
      <c r="K9" s="913">
        <f>mOption!P8</f>
        <v>4350000.0000000019</v>
      </c>
      <c r="L9" s="892">
        <f>mOption!Q8</f>
        <v>0</v>
      </c>
      <c r="M9" s="892">
        <f>mOption!R8</f>
        <v>0</v>
      </c>
      <c r="N9" s="892">
        <f>mOption!S8</f>
        <v>0</v>
      </c>
      <c r="O9" s="892">
        <f>mOption!T8</f>
        <v>0</v>
      </c>
      <c r="P9" s="892">
        <f>mOption!U8</f>
        <v>0</v>
      </c>
      <c r="Q9" s="892">
        <f>mOption!V8</f>
        <v>4350000.0000000019</v>
      </c>
      <c r="R9" s="938">
        <f>mOption!W8</f>
        <v>-18550000</v>
      </c>
      <c r="S9" s="12"/>
      <c r="T9" s="1019">
        <f>iProject!I8</f>
        <v>1</v>
      </c>
      <c r="U9" s="307">
        <f>iProject!J8</f>
        <v>0</v>
      </c>
      <c r="V9" s="308" t="str">
        <f>iProject!K8</f>
        <v xml:space="preserve">Jimmy Creek </v>
      </c>
      <c r="W9" s="307">
        <f>iProject!M8</f>
        <v>12271.846303085129</v>
      </c>
      <c r="X9" s="310">
        <f>iProject!N8</f>
        <v>1.8921109267438219E-2</v>
      </c>
      <c r="Y9" s="311">
        <f>iBudget!Q8</f>
        <v>433293.40222433524</v>
      </c>
      <c r="Z9" s="312">
        <f>iBudget!R8</f>
        <v>158180.47347578351</v>
      </c>
      <c r="AA9" s="313">
        <f>iBudget!S8</f>
        <v>591473.87570011872</v>
      </c>
      <c r="AB9" s="314" cm="1">
        <f t="array" ref="AB9:AG53">iOption!N8:S52</f>
        <v>1035079.2824752077</v>
      </c>
      <c r="AC9" s="315">
        <v>1182947.7514002374</v>
      </c>
      <c r="AD9" s="315">
        <v>1330816.2203252672</v>
      </c>
      <c r="AE9" s="315">
        <v>1478684.6892502969</v>
      </c>
      <c r="AF9" s="823">
        <v>1626553.1581753264</v>
      </c>
      <c r="AG9" s="315">
        <v>1311851.2908869036</v>
      </c>
      <c r="AH9" s="963" cm="1">
        <f t="array" ref="AH9:AJ53">iOption!U8:W52</f>
        <v>13</v>
      </c>
      <c r="AI9" s="307">
        <v>2</v>
      </c>
      <c r="AJ9" s="1020">
        <v>1182947.7514002374</v>
      </c>
      <c r="AK9" s="268"/>
      <c r="AL9" s="268"/>
      <c r="AM9" s="312">
        <f>iBudget!AB8</f>
        <v>1403363.2612437012</v>
      </c>
      <c r="AN9" s="312">
        <f t="shared" ref="AN9:AN53" si="0">AM9-AJ9</f>
        <v>220415.50984346378</v>
      </c>
      <c r="AP9" s="257"/>
      <c r="AQ9" s="188" t="s">
        <v>155</v>
      </c>
      <c r="AR9" s="332"/>
      <c r="AS9" s="332"/>
      <c r="AT9" s="332"/>
      <c r="AU9" s="332"/>
      <c r="AV9" s="332"/>
      <c r="AW9" s="332"/>
      <c r="AX9" s="332"/>
    </row>
    <row r="10" spans="5:50">
      <c r="E10" s="12"/>
      <c r="F10" s="939">
        <v>1</v>
      </c>
      <c r="G10" s="935">
        <v>45716</v>
      </c>
      <c r="H10" s="890">
        <f>mOption!L9</f>
        <v>0</v>
      </c>
      <c r="I10" s="890">
        <f>mOption!N9</f>
        <v>0</v>
      </c>
      <c r="J10" s="917">
        <f>mOption!O9</f>
        <v>0</v>
      </c>
      <c r="K10" s="917">
        <f>mOption!P9</f>
        <v>0</v>
      </c>
      <c r="L10" s="890">
        <f>mOption!Q9</f>
        <v>0</v>
      </c>
      <c r="M10" s="890">
        <f>mOption!R9</f>
        <v>0</v>
      </c>
      <c r="N10" s="890">
        <f>mOption!S9</f>
        <v>0</v>
      </c>
      <c r="O10" s="890">
        <f>mOption!T9</f>
        <v>0</v>
      </c>
      <c r="P10" s="890">
        <f>mOption!U9</f>
        <v>0</v>
      </c>
      <c r="Q10" s="890">
        <f>mOption!V9</f>
        <v>0</v>
      </c>
      <c r="R10" s="940">
        <f>mOption!W9</f>
        <v>0</v>
      </c>
      <c r="S10" s="12"/>
      <c r="T10" s="1021">
        <f>iProject!I9</f>
        <v>2</v>
      </c>
      <c r="U10" s="318">
        <f>iProject!J9</f>
        <v>0</v>
      </c>
      <c r="V10" s="320" t="str">
        <f>iProject!K9</f>
        <v xml:space="preserve">Jimmy Creek </v>
      </c>
      <c r="W10" s="318">
        <f>iProject!M9</f>
        <v>12271.846303085129</v>
      </c>
      <c r="X10" s="322">
        <f>iProject!N9</f>
        <v>1.8921109267438219E-2</v>
      </c>
      <c r="Y10" s="323">
        <f>iBudget!Q9</f>
        <v>433293.40222433524</v>
      </c>
      <c r="Z10" s="324">
        <f>iBudget!R9</f>
        <v>158180.47347578351</v>
      </c>
      <c r="AA10" s="325">
        <f>iBudget!S9</f>
        <v>591473.87570011872</v>
      </c>
      <c r="AB10" s="326">
        <v>1035079.2824752077</v>
      </c>
      <c r="AC10" s="317">
        <v>1182947.7514002374</v>
      </c>
      <c r="AD10" s="317">
        <v>1330816.2203252672</v>
      </c>
      <c r="AE10" s="317">
        <v>1478684.6892502969</v>
      </c>
      <c r="AF10" s="316">
        <v>1626553.1581753264</v>
      </c>
      <c r="AG10" s="317">
        <v>1311851.2908869036</v>
      </c>
      <c r="AH10" s="721">
        <v>16</v>
      </c>
      <c r="AI10" s="318">
        <v>2</v>
      </c>
      <c r="AJ10" s="1022">
        <v>1182947.7514002374</v>
      </c>
      <c r="AK10" s="268"/>
      <c r="AL10" s="268"/>
      <c r="AM10" s="324">
        <f>iBudget!AB9</f>
        <v>1403363.2612437012</v>
      </c>
      <c r="AN10" s="324">
        <f t="shared" si="0"/>
        <v>220415.50984346378</v>
      </c>
      <c r="AP10" s="257"/>
      <c r="AR10" s="332"/>
      <c r="AS10" s="332"/>
      <c r="AT10" s="332"/>
      <c r="AU10" s="332"/>
      <c r="AV10" s="332"/>
      <c r="AW10" s="332"/>
      <c r="AX10" s="332"/>
    </row>
    <row r="11" spans="5:50">
      <c r="E11" s="12"/>
      <c r="F11" s="939">
        <v>2</v>
      </c>
      <c r="G11" s="935">
        <v>45747</v>
      </c>
      <c r="H11" s="890">
        <f>mOption!L10</f>
        <v>0</v>
      </c>
      <c r="I11" s="890">
        <f>mOption!N10</f>
        <v>-696666.66666666663</v>
      </c>
      <c r="J11" s="917">
        <f>mOption!O10</f>
        <v>-696666.66666666663</v>
      </c>
      <c r="K11" s="917">
        <f>mOption!P10</f>
        <v>0</v>
      </c>
      <c r="L11" s="890">
        <f>mOption!Q10</f>
        <v>0</v>
      </c>
      <c r="M11" s="890">
        <f>mOption!R10</f>
        <v>0</v>
      </c>
      <c r="N11" s="890">
        <f>mOption!S10</f>
        <v>0</v>
      </c>
      <c r="O11" s="890">
        <f>mOption!T10</f>
        <v>0</v>
      </c>
      <c r="P11" s="890">
        <f>mOption!U10</f>
        <v>0</v>
      </c>
      <c r="Q11" s="890">
        <f>mOption!V10</f>
        <v>0</v>
      </c>
      <c r="R11" s="940">
        <f>mOption!W10</f>
        <v>-696666.66666666663</v>
      </c>
      <c r="S11" s="12"/>
      <c r="T11" s="1021">
        <f>iProject!I10</f>
        <v>3</v>
      </c>
      <c r="U11" s="318">
        <f>iProject!J10</f>
        <v>0</v>
      </c>
      <c r="V11" s="320" t="str">
        <f>iProject!K10</f>
        <v xml:space="preserve">Jimmy Creek </v>
      </c>
      <c r="W11" s="318">
        <f>iProject!M10</f>
        <v>7853.981633974483</v>
      </c>
      <c r="X11" s="322">
        <f>iProject!N10</f>
        <v>1.210950993116046E-2</v>
      </c>
      <c r="Y11" s="323">
        <f>iBudget!Q10</f>
        <v>277307.77742357453</v>
      </c>
      <c r="Z11" s="324">
        <f>iBudget!R10</f>
        <v>101235.50302450145</v>
      </c>
      <c r="AA11" s="325">
        <f>iBudget!S10</f>
        <v>378543.28044807597</v>
      </c>
      <c r="AB11" s="326">
        <v>662450.74078413297</v>
      </c>
      <c r="AC11" s="317">
        <v>757086.56089615193</v>
      </c>
      <c r="AD11" s="317">
        <v>851722.38100817089</v>
      </c>
      <c r="AE11" s="317">
        <v>946358.20112018986</v>
      </c>
      <c r="AF11" s="316">
        <v>1040994.0212322089</v>
      </c>
      <c r="AG11" s="317">
        <v>842003.84273237432</v>
      </c>
      <c r="AH11" s="721">
        <v>19</v>
      </c>
      <c r="AI11" s="318">
        <v>2</v>
      </c>
      <c r="AJ11" s="1022">
        <v>757086.56089615193</v>
      </c>
      <c r="AK11" s="268"/>
      <c r="AL11" s="268"/>
      <c r="AM11" s="324">
        <f>iBudget!AB10</f>
        <v>900740.24923797848</v>
      </c>
      <c r="AN11" s="324">
        <f t="shared" si="0"/>
        <v>143653.68834182655</v>
      </c>
      <c r="AP11" s="257"/>
      <c r="AR11" s="332"/>
      <c r="AS11" s="332"/>
      <c r="AT11" s="332"/>
      <c r="AU11" s="332"/>
      <c r="AV11" s="332"/>
      <c r="AW11" s="332"/>
      <c r="AX11" s="332"/>
    </row>
    <row r="12" spans="5:50">
      <c r="E12" s="12"/>
      <c r="F12" s="941">
        <v>3</v>
      </c>
      <c r="G12" s="936">
        <v>45777</v>
      </c>
      <c r="H12" s="890">
        <f>mOption!L11</f>
        <v>0</v>
      </c>
      <c r="I12" s="890">
        <f>mOption!N11</f>
        <v>-696666.66666666663</v>
      </c>
      <c r="J12" s="917">
        <f>mOption!O11</f>
        <v>-696666.66666666663</v>
      </c>
      <c r="K12" s="917">
        <f>mOption!P11</f>
        <v>0</v>
      </c>
      <c r="L12" s="890">
        <f>mOption!Q11</f>
        <v>0</v>
      </c>
      <c r="M12" s="890">
        <f>mOption!R11</f>
        <v>0</v>
      </c>
      <c r="N12" s="890">
        <f>mOption!S11</f>
        <v>0</v>
      </c>
      <c r="O12" s="890">
        <f>mOption!T11</f>
        <v>0</v>
      </c>
      <c r="P12" s="890">
        <f>mOption!U11</f>
        <v>0</v>
      </c>
      <c r="Q12" s="890">
        <f>mOption!V11</f>
        <v>0</v>
      </c>
      <c r="R12" s="940">
        <f>mOption!W11</f>
        <v>-696666.66666666663</v>
      </c>
      <c r="S12" s="12"/>
      <c r="T12" s="1023">
        <f>iProject!I11</f>
        <v>45</v>
      </c>
      <c r="U12" s="318">
        <f>iProject!J11</f>
        <v>0</v>
      </c>
      <c r="V12" s="320" t="str">
        <f>iProject!K11</f>
        <v xml:space="preserve">Jimmy Creek </v>
      </c>
      <c r="W12" s="318">
        <f>iProject!M11</f>
        <v>12271.846303085129</v>
      </c>
      <c r="X12" s="322">
        <f>iProject!N11</f>
        <v>1.8921109267438219E-2</v>
      </c>
      <c r="Y12" s="323">
        <f>iBudget!Q11</f>
        <v>433293.40222433524</v>
      </c>
      <c r="Z12" s="324">
        <f>iBudget!R11</f>
        <v>158180.47347578351</v>
      </c>
      <c r="AA12" s="325">
        <f>iBudget!S11</f>
        <v>591473.87570011872</v>
      </c>
      <c r="AB12" s="328">
        <v>1035079.2824752077</v>
      </c>
      <c r="AC12" s="329">
        <v>1182947.7514002374</v>
      </c>
      <c r="AD12" s="329">
        <v>1330816.2203252672</v>
      </c>
      <c r="AE12" s="329">
        <v>1478684.6892502969</v>
      </c>
      <c r="AF12" s="330">
        <v>1626553.1581753264</v>
      </c>
      <c r="AG12" s="329">
        <v>1311851.2908869036</v>
      </c>
      <c r="AH12" s="721">
        <v>21</v>
      </c>
      <c r="AI12" s="318">
        <v>2</v>
      </c>
      <c r="AJ12" s="1022">
        <v>1182947.7514002374</v>
      </c>
      <c r="AK12" s="268"/>
      <c r="AL12" s="268"/>
      <c r="AM12" s="324">
        <f>iBudget!AB11</f>
        <v>1403363.2612437012</v>
      </c>
      <c r="AN12" s="324">
        <f t="shared" si="0"/>
        <v>220415.50984346378</v>
      </c>
      <c r="AP12" s="257"/>
      <c r="AR12" s="332"/>
      <c r="AS12" s="332"/>
      <c r="AT12" s="332"/>
      <c r="AU12" s="332"/>
      <c r="AV12" s="332"/>
      <c r="AW12" s="332"/>
      <c r="AX12" s="332"/>
    </row>
    <row r="13" spans="5:50">
      <c r="E13" s="12"/>
      <c r="F13" s="939">
        <v>4</v>
      </c>
      <c r="G13" s="935">
        <v>45808</v>
      </c>
      <c r="H13" s="890">
        <f>mOption!L12</f>
        <v>0</v>
      </c>
      <c r="I13" s="890">
        <f>mOption!N12</f>
        <v>-696666.66666666663</v>
      </c>
      <c r="J13" s="917">
        <f>mOption!O12</f>
        <v>-696666.66666666663</v>
      </c>
      <c r="K13" s="917">
        <f>mOption!P12</f>
        <v>0</v>
      </c>
      <c r="L13" s="890">
        <f>mOption!Q12</f>
        <v>0</v>
      </c>
      <c r="M13" s="890">
        <f>mOption!R12</f>
        <v>0</v>
      </c>
      <c r="N13" s="890">
        <f>mOption!S12</f>
        <v>0</v>
      </c>
      <c r="O13" s="890">
        <f>mOption!T12</f>
        <v>0</v>
      </c>
      <c r="P13" s="890">
        <f>mOption!U12</f>
        <v>0</v>
      </c>
      <c r="Q13" s="890">
        <f>mOption!V12</f>
        <v>0</v>
      </c>
      <c r="R13" s="940">
        <f>mOption!W12</f>
        <v>-696666.66666666663</v>
      </c>
      <c r="S13" s="12"/>
      <c r="T13" s="1021">
        <f>iProject!I12</f>
        <v>4</v>
      </c>
      <c r="U13" s="318">
        <f>iProject!J12</f>
        <v>0</v>
      </c>
      <c r="V13" s="320" t="str">
        <f>iProject!K12</f>
        <v>Deer Creek</v>
      </c>
      <c r="W13" s="318">
        <f>iProject!M12</f>
        <v>12271.846303085129</v>
      </c>
      <c r="X13" s="322">
        <f>iProject!N12</f>
        <v>1.8921109267438219E-2</v>
      </c>
      <c r="Y13" s="323">
        <f>iBudget!Q12</f>
        <v>433293.40222433524</v>
      </c>
      <c r="Z13" s="324">
        <f>iBudget!R12</f>
        <v>158180.47347578351</v>
      </c>
      <c r="AA13" s="325">
        <f>iBudget!S12</f>
        <v>591473.87570011872</v>
      </c>
      <c r="AB13" s="326">
        <v>1035079.2824752077</v>
      </c>
      <c r="AC13" s="317">
        <v>1182947.7514002374</v>
      </c>
      <c r="AD13" s="317">
        <v>1330816.2203252672</v>
      </c>
      <c r="AE13" s="317">
        <v>1478684.6892502969</v>
      </c>
      <c r="AF13" s="316">
        <v>1626553.1581753264</v>
      </c>
      <c r="AG13" s="317">
        <v>2011505.3126932518</v>
      </c>
      <c r="AH13" s="721">
        <v>72</v>
      </c>
      <c r="AI13" s="318">
        <v>6</v>
      </c>
      <c r="AJ13" s="1022">
        <v>2011505.3126932518</v>
      </c>
      <c r="AK13" s="268"/>
      <c r="AL13" s="268"/>
      <c r="AM13" s="324">
        <f>iBudget!AB12</f>
        <v>2151823.6672403417</v>
      </c>
      <c r="AN13" s="324">
        <f t="shared" si="0"/>
        <v>140318.3545470899</v>
      </c>
      <c r="AP13" s="257"/>
      <c r="AQ13" s="227" t="str">
        <f>iOption!AA8</f>
        <v xml:space="preserve">Jimmy Creek </v>
      </c>
      <c r="AR13" s="332">
        <f>iOption!AC8</f>
        <v>4</v>
      </c>
      <c r="AS13" s="332">
        <f>iOption!AE8</f>
        <v>0</v>
      </c>
      <c r="AT13" s="332">
        <f>iOption!AF8</f>
        <v>4</v>
      </c>
      <c r="AU13" s="332">
        <f>iOption!AG8</f>
        <v>0</v>
      </c>
      <c r="AV13" s="332">
        <f>iOption!AH8</f>
        <v>0</v>
      </c>
      <c r="AW13" s="332">
        <f>iOption!AI8</f>
        <v>0</v>
      </c>
      <c r="AX13" s="332">
        <f>iOption!AJ8</f>
        <v>0</v>
      </c>
    </row>
    <row r="14" spans="5:50">
      <c r="E14" s="12"/>
      <c r="F14" s="939">
        <v>5</v>
      </c>
      <c r="G14" s="935">
        <v>45838</v>
      </c>
      <c r="H14" s="890">
        <f>mOption!L13</f>
        <v>0</v>
      </c>
      <c r="I14" s="890">
        <f>mOption!N13</f>
        <v>-696666.66666666663</v>
      </c>
      <c r="J14" s="917">
        <f>mOption!O13</f>
        <v>-696666.66666666663</v>
      </c>
      <c r="K14" s="917">
        <f>mOption!P13</f>
        <v>0</v>
      </c>
      <c r="L14" s="890">
        <f>mOption!Q13</f>
        <v>0</v>
      </c>
      <c r="M14" s="890">
        <f>mOption!R13</f>
        <v>0</v>
      </c>
      <c r="N14" s="890">
        <f>mOption!S13</f>
        <v>0</v>
      </c>
      <c r="O14" s="890">
        <f>mOption!T13</f>
        <v>0</v>
      </c>
      <c r="P14" s="890">
        <f>mOption!U13</f>
        <v>0</v>
      </c>
      <c r="Q14" s="890">
        <f>mOption!V13</f>
        <v>0</v>
      </c>
      <c r="R14" s="940">
        <f>mOption!W13</f>
        <v>-696666.66666666663</v>
      </c>
      <c r="S14" s="12"/>
      <c r="T14" s="1021">
        <f>iProject!I13</f>
        <v>5</v>
      </c>
      <c r="U14" s="318">
        <f>iProject!J13</f>
        <v>0</v>
      </c>
      <c r="V14" s="320" t="str">
        <f>iProject!K13</f>
        <v>Deer Creek</v>
      </c>
      <c r="W14" s="318">
        <f>iProject!M13</f>
        <v>17671.458676442588</v>
      </c>
      <c r="X14" s="322">
        <f>iProject!N13</f>
        <v>2.7246397345111039E-2</v>
      </c>
      <c r="Y14" s="323">
        <f>iBudget!Q13</f>
        <v>623942.49920304283</v>
      </c>
      <c r="Z14" s="324">
        <f>iBudget!R13</f>
        <v>227779.88180512827</v>
      </c>
      <c r="AA14" s="325">
        <f>iBudget!S13</f>
        <v>851722.38100817113</v>
      </c>
      <c r="AB14" s="326">
        <v>1490514.1667642994</v>
      </c>
      <c r="AC14" s="317">
        <v>1703444.7620163423</v>
      </c>
      <c r="AD14" s="317">
        <v>1916375.3572683851</v>
      </c>
      <c r="AE14" s="317">
        <v>2129305.9525204278</v>
      </c>
      <c r="AF14" s="316">
        <v>2342236.5477724704</v>
      </c>
      <c r="AG14" s="317">
        <v>2895997.0104732639</v>
      </c>
      <c r="AH14" s="721">
        <v>13</v>
      </c>
      <c r="AI14" s="318">
        <v>2</v>
      </c>
      <c r="AJ14" s="1022">
        <v>1703444.7620163423</v>
      </c>
      <c r="AK14" s="268"/>
      <c r="AL14" s="268"/>
      <c r="AM14" s="324">
        <f>iBudget!AB13</f>
        <v>3098015.6343956697</v>
      </c>
      <c r="AN14" s="324">
        <f t="shared" si="0"/>
        <v>1394570.8723793274</v>
      </c>
      <c r="AP14" s="257"/>
      <c r="AQ14" s="227" t="str">
        <f>iOption!AA9</f>
        <v>Deer Creek</v>
      </c>
      <c r="AR14" s="332">
        <f>iOption!AC9</f>
        <v>6</v>
      </c>
      <c r="AS14" s="333">
        <f>iOption!AE9</f>
        <v>0</v>
      </c>
      <c r="AT14" s="333">
        <f>iOption!AF9</f>
        <v>1</v>
      </c>
      <c r="AU14" s="333">
        <f>iOption!AG9</f>
        <v>0</v>
      </c>
      <c r="AV14" s="333">
        <f>iOption!AH9</f>
        <v>0</v>
      </c>
      <c r="AW14" s="333">
        <f>iOption!AI9</f>
        <v>0</v>
      </c>
      <c r="AX14" s="333">
        <f>iOption!AJ9</f>
        <v>5</v>
      </c>
    </row>
    <row r="15" spans="5:50">
      <c r="E15" s="12"/>
      <c r="F15" s="939">
        <v>6</v>
      </c>
      <c r="G15" s="935">
        <v>45869</v>
      </c>
      <c r="H15" s="890">
        <f>mOption!L14</f>
        <v>0</v>
      </c>
      <c r="I15" s="890">
        <f>mOption!N14</f>
        <v>-696666.66666666663</v>
      </c>
      <c r="J15" s="917">
        <f>mOption!O14</f>
        <v>-696666.66666666663</v>
      </c>
      <c r="K15" s="917">
        <f>mOption!P14</f>
        <v>0</v>
      </c>
      <c r="L15" s="890">
        <f>mOption!Q14</f>
        <v>0</v>
      </c>
      <c r="M15" s="890">
        <f>mOption!R14</f>
        <v>0</v>
      </c>
      <c r="N15" s="890">
        <f>mOption!S14</f>
        <v>0</v>
      </c>
      <c r="O15" s="890">
        <f>mOption!T14</f>
        <v>0</v>
      </c>
      <c r="P15" s="890">
        <f>mOption!U14</f>
        <v>0</v>
      </c>
      <c r="Q15" s="890">
        <f>mOption!V14</f>
        <v>0</v>
      </c>
      <c r="R15" s="940">
        <f>mOption!W14</f>
        <v>-696666.66666666663</v>
      </c>
      <c r="S15" s="12"/>
      <c r="T15" s="1021">
        <f>iProject!I14</f>
        <v>6</v>
      </c>
      <c r="U15" s="318">
        <f>iProject!J14</f>
        <v>0</v>
      </c>
      <c r="V15" s="320" t="str">
        <f>iProject!K14</f>
        <v>Deer Creek</v>
      </c>
      <c r="W15" s="318">
        <f>iProject!M14</f>
        <v>7853.981633974483</v>
      </c>
      <c r="X15" s="322">
        <f>iProject!N14</f>
        <v>1.210950993116046E-2</v>
      </c>
      <c r="Y15" s="323">
        <f>iBudget!Q14</f>
        <v>277307.77742357453</v>
      </c>
      <c r="Z15" s="324">
        <f>iBudget!R14</f>
        <v>101235.50302450145</v>
      </c>
      <c r="AA15" s="325">
        <f>iBudget!S14</f>
        <v>378543.28044807597</v>
      </c>
      <c r="AB15" s="326">
        <v>662450.74078413297</v>
      </c>
      <c r="AC15" s="317">
        <v>757086.56089615193</v>
      </c>
      <c r="AD15" s="317">
        <v>851722.38100817089</v>
      </c>
      <c r="AE15" s="317">
        <v>946358.20112018986</v>
      </c>
      <c r="AF15" s="316">
        <v>1040994.0212322089</v>
      </c>
      <c r="AG15" s="317">
        <v>1291072.5588563073</v>
      </c>
      <c r="AH15" s="721">
        <v>61</v>
      </c>
      <c r="AI15" s="318">
        <v>6</v>
      </c>
      <c r="AJ15" s="1022">
        <v>1291072.5588563073</v>
      </c>
      <c r="AK15" s="268"/>
      <c r="AL15" s="268"/>
      <c r="AM15" s="324">
        <f>iBudget!AB14</f>
        <v>1381135.0488315669</v>
      </c>
      <c r="AN15" s="324">
        <f t="shared" si="0"/>
        <v>90062.489975259639</v>
      </c>
      <c r="AP15" s="257"/>
      <c r="AQ15" s="227" t="str">
        <f>iOption!AA10</f>
        <v>Forest</v>
      </c>
      <c r="AR15" s="332">
        <f>iOption!AC10</f>
        <v>10</v>
      </c>
      <c r="AS15" s="333">
        <f>iOption!AE10</f>
        <v>0</v>
      </c>
      <c r="AT15" s="333">
        <f>iOption!AF10</f>
        <v>0</v>
      </c>
      <c r="AU15" s="333">
        <f>iOption!AG10</f>
        <v>0</v>
      </c>
      <c r="AV15" s="333">
        <f>iOption!AH10</f>
        <v>5</v>
      </c>
      <c r="AW15" s="333">
        <f>iOption!AI10</f>
        <v>5</v>
      </c>
      <c r="AX15" s="333">
        <f>iOption!AJ10</f>
        <v>0</v>
      </c>
    </row>
    <row r="16" spans="5:50">
      <c r="E16" s="12"/>
      <c r="F16" s="939">
        <v>7</v>
      </c>
      <c r="G16" s="935">
        <v>45900</v>
      </c>
      <c r="H16" s="890">
        <f>mOption!L15</f>
        <v>0</v>
      </c>
      <c r="I16" s="890">
        <f>mOption!N15</f>
        <v>-696666.66666666663</v>
      </c>
      <c r="J16" s="917">
        <f>mOption!O15</f>
        <v>-696666.66666666663</v>
      </c>
      <c r="K16" s="917">
        <f>mOption!P15</f>
        <v>0</v>
      </c>
      <c r="L16" s="890">
        <f>mOption!Q15</f>
        <v>0</v>
      </c>
      <c r="M16" s="890">
        <f>mOption!R15</f>
        <v>0</v>
      </c>
      <c r="N16" s="890">
        <f>mOption!S15</f>
        <v>0</v>
      </c>
      <c r="O16" s="890">
        <f>mOption!T15</f>
        <v>0</v>
      </c>
      <c r="P16" s="890">
        <f>mOption!U15</f>
        <v>0</v>
      </c>
      <c r="Q16" s="890">
        <f>mOption!V15</f>
        <v>0</v>
      </c>
      <c r="R16" s="940">
        <f>mOption!W15</f>
        <v>-696666.66666666663</v>
      </c>
      <c r="S16" s="12"/>
      <c r="T16" s="1021">
        <f>iProject!I15</f>
        <v>7</v>
      </c>
      <c r="U16" s="318">
        <f>iProject!J15</f>
        <v>0</v>
      </c>
      <c r="V16" s="320" t="str">
        <f>iProject!K15</f>
        <v>Deer Creek</v>
      </c>
      <c r="W16" s="318">
        <f>iProject!M15</f>
        <v>12271.846303085129</v>
      </c>
      <c r="X16" s="322">
        <f>iProject!N15</f>
        <v>1.8921109267438219E-2</v>
      </c>
      <c r="Y16" s="323">
        <f>iBudget!Q15</f>
        <v>433293.40222433524</v>
      </c>
      <c r="Z16" s="324">
        <f>iBudget!R15</f>
        <v>158180.47347578351</v>
      </c>
      <c r="AA16" s="325">
        <f>iBudget!S15</f>
        <v>591473.87570011872</v>
      </c>
      <c r="AB16" s="326">
        <v>1035079.2824752077</v>
      </c>
      <c r="AC16" s="317">
        <v>1182947.7514002374</v>
      </c>
      <c r="AD16" s="317">
        <v>1330816.2203252672</v>
      </c>
      <c r="AE16" s="317">
        <v>1478684.6892502969</v>
      </c>
      <c r="AF16" s="316">
        <v>1626553.1581753264</v>
      </c>
      <c r="AG16" s="317">
        <v>1749135.0545158712</v>
      </c>
      <c r="AH16" s="721">
        <v>63</v>
      </c>
      <c r="AI16" s="318">
        <v>6</v>
      </c>
      <c r="AJ16" s="1022">
        <v>1749135.0545158712</v>
      </c>
      <c r="AK16" s="268"/>
      <c r="AL16" s="268"/>
      <c r="AM16" s="324">
        <f>iBudget!AB15</f>
        <v>1871151.0149916017</v>
      </c>
      <c r="AN16" s="324">
        <f t="shared" si="0"/>
        <v>122015.96047573048</v>
      </c>
      <c r="AP16" s="257"/>
      <c r="AQ16" s="227" t="str">
        <f>iOption!AA11</f>
        <v>Bench</v>
      </c>
      <c r="AR16" s="332">
        <f>iOption!AC11</f>
        <v>15</v>
      </c>
      <c r="AS16" s="333">
        <f>iOption!AE11</f>
        <v>0</v>
      </c>
      <c r="AT16" s="333">
        <f>iOption!AF11</f>
        <v>0</v>
      </c>
      <c r="AU16" s="333">
        <f>iOption!AG11</f>
        <v>8</v>
      </c>
      <c r="AV16" s="333">
        <f>iOption!AH11</f>
        <v>7</v>
      </c>
      <c r="AW16" s="333">
        <f>iOption!AI11</f>
        <v>0</v>
      </c>
      <c r="AX16" s="333">
        <f>iOption!AJ11</f>
        <v>0</v>
      </c>
    </row>
    <row r="17" spans="6:50">
      <c r="F17" s="939">
        <v>8</v>
      </c>
      <c r="G17" s="935">
        <v>45930</v>
      </c>
      <c r="H17" s="890">
        <f>mOption!L16</f>
        <v>0</v>
      </c>
      <c r="I17" s="890">
        <f>mOption!N16</f>
        <v>-696666.66666666663</v>
      </c>
      <c r="J17" s="917">
        <f>mOption!O16</f>
        <v>-696666.66666666663</v>
      </c>
      <c r="K17" s="917">
        <f>mOption!P16</f>
        <v>0</v>
      </c>
      <c r="L17" s="890">
        <f>mOption!Q16</f>
        <v>0</v>
      </c>
      <c r="M17" s="890">
        <f>mOption!R16</f>
        <v>0</v>
      </c>
      <c r="N17" s="890">
        <f>mOption!S16</f>
        <v>0</v>
      </c>
      <c r="O17" s="890">
        <f>mOption!T16</f>
        <v>0</v>
      </c>
      <c r="P17" s="890">
        <f>mOption!U16</f>
        <v>0</v>
      </c>
      <c r="Q17" s="890">
        <f>mOption!V16</f>
        <v>0</v>
      </c>
      <c r="R17" s="940">
        <f>mOption!W16</f>
        <v>-696666.66666666663</v>
      </c>
      <c r="S17" s="12"/>
      <c r="T17" s="1021">
        <f>iProject!I16</f>
        <v>8</v>
      </c>
      <c r="U17" s="318">
        <f>iProject!J16</f>
        <v>0</v>
      </c>
      <c r="V17" s="320" t="str">
        <f>iProject!K16</f>
        <v>Deer Creek</v>
      </c>
      <c r="W17" s="318">
        <f>iProject!M16</f>
        <v>12271.846303085129</v>
      </c>
      <c r="X17" s="322">
        <f>iProject!N16</f>
        <v>1.8921109267438219E-2</v>
      </c>
      <c r="Y17" s="323">
        <f>iBudget!Q16</f>
        <v>433293.40222433524</v>
      </c>
      <c r="Z17" s="324">
        <f>iBudget!R16</f>
        <v>158180.47347578351</v>
      </c>
      <c r="AA17" s="325">
        <f>iBudget!S16</f>
        <v>591473.87570011872</v>
      </c>
      <c r="AB17" s="326">
        <v>1035079.2824752077</v>
      </c>
      <c r="AC17" s="317">
        <v>1182947.7514002374</v>
      </c>
      <c r="AD17" s="317">
        <v>1330816.2203252672</v>
      </c>
      <c r="AE17" s="317">
        <v>1478684.6892502969</v>
      </c>
      <c r="AF17" s="316">
        <v>1626553.1581753264</v>
      </c>
      <c r="AG17" s="317">
        <v>2011505.3126932518</v>
      </c>
      <c r="AH17" s="721">
        <v>63</v>
      </c>
      <c r="AI17" s="318">
        <v>6</v>
      </c>
      <c r="AJ17" s="1022">
        <v>2011505.3126932518</v>
      </c>
      <c r="AK17" s="268"/>
      <c r="AL17" s="268"/>
      <c r="AM17" s="324">
        <f>iBudget!AB16</f>
        <v>2151823.6672403417</v>
      </c>
      <c r="AN17" s="324">
        <f t="shared" si="0"/>
        <v>140318.3545470899</v>
      </c>
      <c r="AP17" s="257"/>
      <c r="AQ17" s="228" t="str">
        <f>iOption!AA12</f>
        <v>Hillside</v>
      </c>
      <c r="AR17" s="334">
        <f>iOption!AC12</f>
        <v>10</v>
      </c>
      <c r="AS17" s="334">
        <f>iOption!AE12</f>
        <v>0</v>
      </c>
      <c r="AT17" s="334">
        <f>iOption!AF12</f>
        <v>0</v>
      </c>
      <c r="AU17" s="334">
        <f>iOption!AG12</f>
        <v>0</v>
      </c>
      <c r="AV17" s="334">
        <f>iOption!AH12</f>
        <v>0</v>
      </c>
      <c r="AW17" s="334">
        <f>iOption!AI12</f>
        <v>7</v>
      </c>
      <c r="AX17" s="334">
        <f>iOption!AJ12</f>
        <v>3</v>
      </c>
    </row>
    <row r="18" spans="6:50">
      <c r="F18" s="939">
        <v>9</v>
      </c>
      <c r="G18" s="935">
        <v>45961</v>
      </c>
      <c r="H18" s="890">
        <f>mOption!L17</f>
        <v>0</v>
      </c>
      <c r="I18" s="890">
        <f>mOption!N17</f>
        <v>-696666.66666666663</v>
      </c>
      <c r="J18" s="917">
        <f>mOption!O17</f>
        <v>-696666.66666666663</v>
      </c>
      <c r="K18" s="917">
        <f>mOption!P17</f>
        <v>0</v>
      </c>
      <c r="L18" s="890">
        <f>mOption!Q17</f>
        <v>0</v>
      </c>
      <c r="M18" s="890">
        <f>mOption!R17</f>
        <v>0</v>
      </c>
      <c r="N18" s="890">
        <f>mOption!S17</f>
        <v>0</v>
      </c>
      <c r="O18" s="890">
        <f>mOption!T17</f>
        <v>0</v>
      </c>
      <c r="P18" s="890">
        <f>mOption!U17</f>
        <v>0</v>
      </c>
      <c r="Q18" s="890">
        <f>mOption!V17</f>
        <v>0</v>
      </c>
      <c r="R18" s="940">
        <f>mOption!W17</f>
        <v>-696666.66666666663</v>
      </c>
      <c r="S18" s="12"/>
      <c r="T18" s="1021">
        <f>iProject!I17</f>
        <v>9</v>
      </c>
      <c r="U18" s="318">
        <f>iProject!J17</f>
        <v>0</v>
      </c>
      <c r="V18" s="320" t="str">
        <f>iProject!K17</f>
        <v>Deer Creek</v>
      </c>
      <c r="W18" s="318">
        <f>iProject!M17</f>
        <v>7853.981633974483</v>
      </c>
      <c r="X18" s="322">
        <f>iProject!N17</f>
        <v>1.210950993116046E-2</v>
      </c>
      <c r="Y18" s="323">
        <f>iBudget!Q17</f>
        <v>277307.77742357453</v>
      </c>
      <c r="Z18" s="324">
        <f>iBudget!R17</f>
        <v>101235.50302450145</v>
      </c>
      <c r="AA18" s="325">
        <f>iBudget!S17</f>
        <v>378543.28044807597</v>
      </c>
      <c r="AB18" s="326">
        <v>662450.74078413297</v>
      </c>
      <c r="AC18" s="317">
        <v>757086.56089615193</v>
      </c>
      <c r="AD18" s="317">
        <v>851722.38100817089</v>
      </c>
      <c r="AE18" s="317">
        <v>946358.20112018986</v>
      </c>
      <c r="AF18" s="316">
        <v>1040994.0212322089</v>
      </c>
      <c r="AG18" s="317">
        <v>1291072.5588563073</v>
      </c>
      <c r="AH18" s="721">
        <v>63</v>
      </c>
      <c r="AI18" s="318">
        <v>6</v>
      </c>
      <c r="AJ18" s="1022">
        <v>1291072.5588563073</v>
      </c>
      <c r="AK18" s="268"/>
      <c r="AL18" s="268"/>
      <c r="AM18" s="324">
        <f>iBudget!AB17</f>
        <v>1381135.0488315669</v>
      </c>
      <c r="AN18" s="324">
        <f t="shared" si="0"/>
        <v>90062.489975259639</v>
      </c>
      <c r="AP18" s="257"/>
      <c r="AQ18" s="188" t="str">
        <f>iOption!AA13</f>
        <v>Total Lots Sold</v>
      </c>
      <c r="AR18" s="333">
        <f>iOption!AC13</f>
        <v>45</v>
      </c>
      <c r="AS18" s="333">
        <f>iOption!AE13</f>
        <v>0</v>
      </c>
      <c r="AT18" s="333">
        <f>iOption!AF13</f>
        <v>5</v>
      </c>
      <c r="AU18" s="333">
        <f>iOption!AG13</f>
        <v>8</v>
      </c>
      <c r="AV18" s="333">
        <f>iOption!AH13</f>
        <v>12</v>
      </c>
      <c r="AW18" s="333">
        <f>iOption!AI13</f>
        <v>12</v>
      </c>
      <c r="AX18" s="333">
        <f>iOption!AJ13</f>
        <v>8</v>
      </c>
    </row>
    <row r="19" spans="6:50">
      <c r="F19" s="939">
        <v>10</v>
      </c>
      <c r="G19" s="935">
        <v>45991</v>
      </c>
      <c r="H19" s="890">
        <f>mOption!L18</f>
        <v>0</v>
      </c>
      <c r="I19" s="890">
        <f>mOption!N18</f>
        <v>-696666.66666666663</v>
      </c>
      <c r="J19" s="917">
        <f>mOption!O18</f>
        <v>-696666.66666666663</v>
      </c>
      <c r="K19" s="917">
        <f>mOption!P18</f>
        <v>0</v>
      </c>
      <c r="L19" s="890">
        <f>mOption!Q18</f>
        <v>0</v>
      </c>
      <c r="M19" s="890">
        <f>mOption!R18</f>
        <v>0</v>
      </c>
      <c r="N19" s="890">
        <f>mOption!S18</f>
        <v>0</v>
      </c>
      <c r="O19" s="890">
        <f>mOption!T18</f>
        <v>0</v>
      </c>
      <c r="P19" s="890">
        <f>mOption!U18</f>
        <v>0</v>
      </c>
      <c r="Q19" s="890">
        <f>mOption!V18</f>
        <v>0</v>
      </c>
      <c r="R19" s="940">
        <f>mOption!W18</f>
        <v>-696666.66666666663</v>
      </c>
      <c r="S19" s="12"/>
      <c r="T19" s="1021">
        <f>iProject!I18</f>
        <v>10</v>
      </c>
      <c r="U19" s="318">
        <f>iProject!J18</f>
        <v>12</v>
      </c>
      <c r="V19" s="320" t="str">
        <f>iProject!K18</f>
        <v>Forest</v>
      </c>
      <c r="W19" s="318">
        <f>iProject!M18</f>
        <v>17671.458676442588</v>
      </c>
      <c r="X19" s="322">
        <f>iProject!N18</f>
        <v>2.7246397345111039E-2</v>
      </c>
      <c r="Y19" s="323">
        <f>iBudget!Q18</f>
        <v>623942.49920304283</v>
      </c>
      <c r="Z19" s="324">
        <f>iBudget!R18</f>
        <v>227779.88180512827</v>
      </c>
      <c r="AA19" s="325">
        <f>iBudget!S18</f>
        <v>851722.38100817113</v>
      </c>
      <c r="AB19" s="326">
        <v>1490514.1667642994</v>
      </c>
      <c r="AC19" s="317">
        <v>1703444.7620163423</v>
      </c>
      <c r="AD19" s="317">
        <v>1916375.3572683851</v>
      </c>
      <c r="AE19" s="317">
        <v>2129305.9525204278</v>
      </c>
      <c r="AF19" s="316">
        <v>2342236.5477724704</v>
      </c>
      <c r="AG19" s="317">
        <v>2140519.5294802394</v>
      </c>
      <c r="AH19" s="721">
        <v>37</v>
      </c>
      <c r="AI19" s="318">
        <v>4</v>
      </c>
      <c r="AJ19" s="1022">
        <v>2129305.9525204278</v>
      </c>
      <c r="AK19" s="268"/>
      <c r="AL19" s="268"/>
      <c r="AM19" s="324">
        <f>iBudget!AB18</f>
        <v>2289837.6428141911</v>
      </c>
      <c r="AN19" s="324">
        <f t="shared" si="0"/>
        <v>160531.6902937633</v>
      </c>
      <c r="AP19" s="257"/>
    </row>
    <row r="20" spans="6:50">
      <c r="F20" s="939">
        <v>11</v>
      </c>
      <c r="G20" s="935">
        <v>46022</v>
      </c>
      <c r="H20" s="890">
        <f>mOption!L19</f>
        <v>0</v>
      </c>
      <c r="I20" s="890">
        <f>mOption!N19</f>
        <v>-696666.66666666663</v>
      </c>
      <c r="J20" s="917">
        <f>mOption!O19</f>
        <v>-696666.66666666663</v>
      </c>
      <c r="K20" s="917">
        <f>mOption!P19</f>
        <v>0</v>
      </c>
      <c r="L20" s="890">
        <f>mOption!Q19</f>
        <v>0</v>
      </c>
      <c r="M20" s="890">
        <f>mOption!R19</f>
        <v>0</v>
      </c>
      <c r="N20" s="890">
        <f>mOption!S19</f>
        <v>0</v>
      </c>
      <c r="O20" s="890">
        <f>mOption!T19</f>
        <v>0</v>
      </c>
      <c r="P20" s="890">
        <f>mOption!U19</f>
        <v>0</v>
      </c>
      <c r="Q20" s="890">
        <f>mOption!V19</f>
        <v>0</v>
      </c>
      <c r="R20" s="940">
        <f>mOption!W19</f>
        <v>-696666.66666666663</v>
      </c>
      <c r="S20" s="12"/>
      <c r="T20" s="1021">
        <f>iProject!I19</f>
        <v>11</v>
      </c>
      <c r="U20" s="318">
        <f>iProject!J19</f>
        <v>0</v>
      </c>
      <c r="V20" s="320" t="str">
        <f>iProject!K19</f>
        <v>Forest</v>
      </c>
      <c r="W20" s="318">
        <f>iProject!M19</f>
        <v>12271.846303085129</v>
      </c>
      <c r="X20" s="322">
        <f>iProject!N19</f>
        <v>1.8921109267438219E-2</v>
      </c>
      <c r="Y20" s="323">
        <f>iBudget!Q19</f>
        <v>433293.40222433524</v>
      </c>
      <c r="Z20" s="324">
        <f>iBudget!R19</f>
        <v>158180.47347578351</v>
      </c>
      <c r="AA20" s="325">
        <f>iBudget!S19</f>
        <v>591473.87570011872</v>
      </c>
      <c r="AB20" s="326">
        <v>1035079.2824752077</v>
      </c>
      <c r="AC20" s="317">
        <v>1182947.7514002374</v>
      </c>
      <c r="AD20" s="317">
        <v>1330816.2203252672</v>
      </c>
      <c r="AE20" s="317">
        <v>1478684.6892502969</v>
      </c>
      <c r="AF20" s="316">
        <v>1626553.1581753264</v>
      </c>
      <c r="AG20" s="317">
        <v>1749135.0545158698</v>
      </c>
      <c r="AH20" s="721">
        <v>39</v>
      </c>
      <c r="AI20" s="318">
        <v>4</v>
      </c>
      <c r="AJ20" s="1022">
        <v>1478684.6892502969</v>
      </c>
      <c r="AK20" s="268"/>
      <c r="AL20" s="268"/>
      <c r="AM20" s="324">
        <f>iBudget!AB19</f>
        <v>1871151.0149916001</v>
      </c>
      <c r="AN20" s="324">
        <f t="shared" si="0"/>
        <v>392466.32574130315</v>
      </c>
      <c r="AP20" s="257"/>
    </row>
    <row r="21" spans="6:50">
      <c r="F21" s="939">
        <v>12</v>
      </c>
      <c r="G21" s="935">
        <v>46053</v>
      </c>
      <c r="H21" s="890">
        <f>mOption!L20</f>
        <v>0</v>
      </c>
      <c r="I21" s="890">
        <f>mOption!N20</f>
        <v>-696666.66666666663</v>
      </c>
      <c r="J21" s="917">
        <f>mOption!O20</f>
        <v>-696666.66666666663</v>
      </c>
      <c r="K21" s="917">
        <f>mOption!P20</f>
        <v>0</v>
      </c>
      <c r="L21" s="890">
        <f>mOption!Q20</f>
        <v>0</v>
      </c>
      <c r="M21" s="890">
        <f>mOption!R20</f>
        <v>0</v>
      </c>
      <c r="N21" s="890">
        <f>mOption!S20</f>
        <v>0</v>
      </c>
      <c r="O21" s="890">
        <f>mOption!T20</f>
        <v>0</v>
      </c>
      <c r="P21" s="890">
        <f>mOption!U20</f>
        <v>0</v>
      </c>
      <c r="Q21" s="890">
        <f>mOption!V20</f>
        <v>0</v>
      </c>
      <c r="R21" s="940">
        <f>mOption!W20</f>
        <v>-696666.66666666663</v>
      </c>
      <c r="S21" s="12"/>
      <c r="T21" s="1021">
        <f>iProject!I20</f>
        <v>12</v>
      </c>
      <c r="U21" s="318">
        <f>iProject!J20</f>
        <v>10</v>
      </c>
      <c r="V21" s="320" t="str">
        <f>iProject!K20</f>
        <v>Forest</v>
      </c>
      <c r="W21" s="318">
        <f>iProject!M20</f>
        <v>12271.846303085129</v>
      </c>
      <c r="X21" s="322">
        <f>iProject!N20</f>
        <v>1.8921109267438219E-2</v>
      </c>
      <c r="Y21" s="323">
        <f>iBudget!Q20</f>
        <v>433293.40222433524</v>
      </c>
      <c r="Z21" s="324">
        <f>iBudget!R20</f>
        <v>158180.47347578351</v>
      </c>
      <c r="AA21" s="325">
        <f>iBudget!S20</f>
        <v>591473.87570011872</v>
      </c>
      <c r="AB21" s="326">
        <v>1035079.2824752077</v>
      </c>
      <c r="AC21" s="317">
        <v>1182947.7514002374</v>
      </c>
      <c r="AD21" s="317">
        <v>1330816.2203252672</v>
      </c>
      <c r="AE21" s="317">
        <v>1478684.6892502969</v>
      </c>
      <c r="AF21" s="316">
        <v>1626553.1581753264</v>
      </c>
      <c r="AG21" s="317">
        <v>1486764.7963384909</v>
      </c>
      <c r="AH21" s="721">
        <v>37</v>
      </c>
      <c r="AI21" s="318">
        <v>4</v>
      </c>
      <c r="AJ21" s="1022">
        <v>1478684.6892502969</v>
      </c>
      <c r="AK21" s="268"/>
      <c r="AL21" s="268"/>
      <c r="AM21" s="324">
        <f>iBudget!AB20</f>
        <v>1590478.3627428615</v>
      </c>
      <c r="AN21" s="324">
        <f t="shared" si="0"/>
        <v>111793.67349256459</v>
      </c>
      <c r="AP21" s="257"/>
    </row>
    <row r="22" spans="6:50">
      <c r="F22" s="939">
        <v>13</v>
      </c>
      <c r="G22" s="935">
        <v>46081</v>
      </c>
      <c r="H22" s="890">
        <f>mOption!L21</f>
        <v>0</v>
      </c>
      <c r="I22" s="890">
        <f>mOption!N21</f>
        <v>-696666.66666666663</v>
      </c>
      <c r="J22" s="917">
        <f>mOption!O21</f>
        <v>-696666.66666666663</v>
      </c>
      <c r="K22" s="917">
        <f>mOption!P21</f>
        <v>0</v>
      </c>
      <c r="L22" s="890">
        <f>mOption!Q21</f>
        <v>1182947.7514002374</v>
      </c>
      <c r="M22" s="890">
        <f>mOption!R21</f>
        <v>1703444.7620163423</v>
      </c>
      <c r="N22" s="890">
        <f>mOption!S21</f>
        <v>0</v>
      </c>
      <c r="O22" s="890">
        <f>mOption!T21</f>
        <v>0</v>
      </c>
      <c r="P22" s="890">
        <f>mOption!U21</f>
        <v>0</v>
      </c>
      <c r="Q22" s="890">
        <f>mOption!V21</f>
        <v>2886392.5134165799</v>
      </c>
      <c r="R22" s="940">
        <f>mOption!W21</f>
        <v>2189725.8467499134</v>
      </c>
      <c r="S22" s="12"/>
      <c r="T22" s="1021">
        <f>iProject!I21</f>
        <v>13</v>
      </c>
      <c r="U22" s="318">
        <f>iProject!J21</f>
        <v>0</v>
      </c>
      <c r="V22" s="320" t="str">
        <f>iProject!K21</f>
        <v>Forest</v>
      </c>
      <c r="W22" s="318">
        <f>iProject!M21</f>
        <v>21382.464998495529</v>
      </c>
      <c r="X22" s="322">
        <f>iProject!N21</f>
        <v>3.2968140787584352E-2</v>
      </c>
      <c r="Y22" s="323">
        <f>iBudget!Q21</f>
        <v>754970.42403568164</v>
      </c>
      <c r="Z22" s="324">
        <f>iBudget!R21</f>
        <v>275613.65698420518</v>
      </c>
      <c r="AA22" s="325">
        <f>iBudget!S21</f>
        <v>1030584.0810198868</v>
      </c>
      <c r="AB22" s="326">
        <v>1803522.1417848018</v>
      </c>
      <c r="AC22" s="317">
        <v>2061168.1620397735</v>
      </c>
      <c r="AD22" s="317">
        <v>2318814.182294745</v>
      </c>
      <c r="AE22" s="317">
        <v>2576460.2025497169</v>
      </c>
      <c r="AF22" s="316">
        <v>2834106.2228046888</v>
      </c>
      <c r="AG22" s="317">
        <v>3256368.4525561444</v>
      </c>
      <c r="AH22" s="721">
        <v>39</v>
      </c>
      <c r="AI22" s="318">
        <v>4</v>
      </c>
      <c r="AJ22" s="1022">
        <v>2576460.2025497169</v>
      </c>
      <c r="AK22" s="268"/>
      <c r="AL22" s="268"/>
      <c r="AM22" s="324">
        <f>iBudget!AB21</f>
        <v>3483525.8257822376</v>
      </c>
      <c r="AN22" s="324">
        <f t="shared" si="0"/>
        <v>907065.62323252065</v>
      </c>
      <c r="AP22" s="257"/>
    </row>
    <row r="23" spans="6:50">
      <c r="F23" s="939">
        <v>14</v>
      </c>
      <c r="G23" s="935">
        <v>46112</v>
      </c>
      <c r="H23" s="890">
        <f>mOption!L22</f>
        <v>0</v>
      </c>
      <c r="I23" s="890">
        <f>mOption!N22</f>
        <v>0</v>
      </c>
      <c r="J23" s="917">
        <f>mOption!O22</f>
        <v>0</v>
      </c>
      <c r="K23" s="917">
        <f>mOption!P22</f>
        <v>0</v>
      </c>
      <c r="L23" s="890">
        <f>mOption!Q22</f>
        <v>0</v>
      </c>
      <c r="M23" s="890">
        <f>mOption!R22</f>
        <v>0</v>
      </c>
      <c r="N23" s="890">
        <f>mOption!S22</f>
        <v>0</v>
      </c>
      <c r="O23" s="890">
        <f>mOption!T22</f>
        <v>0</v>
      </c>
      <c r="P23" s="890">
        <f>mOption!U22</f>
        <v>0</v>
      </c>
      <c r="Q23" s="890">
        <f>mOption!V22</f>
        <v>0</v>
      </c>
      <c r="R23" s="940">
        <f>mOption!W22</f>
        <v>0</v>
      </c>
      <c r="S23" s="12"/>
      <c r="T23" s="1021">
        <f>iProject!I22</f>
        <v>14</v>
      </c>
      <c r="U23" s="318">
        <f>iProject!J22</f>
        <v>0</v>
      </c>
      <c r="V23" s="320" t="str">
        <f>iProject!K22</f>
        <v>Forest</v>
      </c>
      <c r="W23" s="318">
        <f>iProject!M22</f>
        <v>21382.464998495529</v>
      </c>
      <c r="X23" s="322">
        <f>iProject!N22</f>
        <v>3.2968140787584352E-2</v>
      </c>
      <c r="Y23" s="323">
        <f>iBudget!Q22</f>
        <v>754970.42403568164</v>
      </c>
      <c r="Z23" s="324">
        <f>iBudget!R22</f>
        <v>275613.65698420518</v>
      </c>
      <c r="AA23" s="325">
        <f>iBudget!S22</f>
        <v>1030584.0810198868</v>
      </c>
      <c r="AB23" s="326">
        <v>1803522.1417848018</v>
      </c>
      <c r="AC23" s="317">
        <v>2061168.1620397735</v>
      </c>
      <c r="AD23" s="317">
        <v>2318814.182294745</v>
      </c>
      <c r="AE23" s="317">
        <v>2576460.2025497169</v>
      </c>
      <c r="AF23" s="316">
        <v>2834106.2228046888</v>
      </c>
      <c r="AG23" s="317">
        <v>3101303.2881487082</v>
      </c>
      <c r="AH23" s="721">
        <v>39</v>
      </c>
      <c r="AI23" s="318">
        <v>4</v>
      </c>
      <c r="AJ23" s="1022">
        <v>2576460.2025497169</v>
      </c>
      <c r="AK23" s="268"/>
      <c r="AL23" s="268"/>
      <c r="AM23" s="324">
        <f>iBudget!AB22</f>
        <v>3317643.6436021309</v>
      </c>
      <c r="AN23" s="324">
        <f t="shared" si="0"/>
        <v>741183.44105241401</v>
      </c>
      <c r="AP23" s="257"/>
      <c r="AQ23" s="339" t="str">
        <f>iOption!AA23</f>
        <v>Land Area Allocation</v>
      </c>
      <c r="AR23" s="346"/>
      <c r="AS23" s="347"/>
      <c r="AT23" s="347"/>
      <c r="AU23" s="347"/>
      <c r="AV23" s="347"/>
      <c r="AW23" s="347"/>
      <c r="AX23" s="347"/>
    </row>
    <row r="24" spans="6:50">
      <c r="F24" s="939">
        <v>15</v>
      </c>
      <c r="G24" s="935">
        <v>46142</v>
      </c>
      <c r="H24" s="890">
        <f>mOption!L23</f>
        <v>0</v>
      </c>
      <c r="I24" s="890">
        <f>mOption!N23</f>
        <v>0</v>
      </c>
      <c r="J24" s="917">
        <f>mOption!O23</f>
        <v>0</v>
      </c>
      <c r="K24" s="917">
        <f>mOption!P23</f>
        <v>0</v>
      </c>
      <c r="L24" s="890">
        <f>mOption!Q23</f>
        <v>0</v>
      </c>
      <c r="M24" s="890">
        <f>mOption!R23</f>
        <v>0</v>
      </c>
      <c r="N24" s="890">
        <f>mOption!S23</f>
        <v>0</v>
      </c>
      <c r="O24" s="890">
        <f>mOption!T23</f>
        <v>0</v>
      </c>
      <c r="P24" s="890">
        <f>mOption!U23</f>
        <v>0</v>
      </c>
      <c r="Q24" s="890">
        <f>mOption!V23</f>
        <v>0</v>
      </c>
      <c r="R24" s="940">
        <f>mOption!W23</f>
        <v>0</v>
      </c>
      <c r="S24" s="12"/>
      <c r="T24" s="1021">
        <f>iProject!I23</f>
        <v>15</v>
      </c>
      <c r="U24" s="318">
        <f>iProject!J23</f>
        <v>0</v>
      </c>
      <c r="V24" s="320" t="str">
        <f>iProject!K23</f>
        <v>Forest</v>
      </c>
      <c r="W24" s="318">
        <f>iProject!M23</f>
        <v>21382.464998495529</v>
      </c>
      <c r="X24" s="322">
        <f>iProject!N23</f>
        <v>3.2968140787584352E-2</v>
      </c>
      <c r="Y24" s="323">
        <f>iBudget!Q23</f>
        <v>754970.42403568164</v>
      </c>
      <c r="Z24" s="324">
        <f>iBudget!R23</f>
        <v>275613.65698420518</v>
      </c>
      <c r="AA24" s="325">
        <f>iBudget!S23</f>
        <v>1030584.0810198868</v>
      </c>
      <c r="AB24" s="326">
        <v>1803522.1417848018</v>
      </c>
      <c r="AC24" s="317">
        <v>2061168.1620397735</v>
      </c>
      <c r="AD24" s="317">
        <v>2318814.182294745</v>
      </c>
      <c r="AE24" s="317">
        <v>2576460.2025497169</v>
      </c>
      <c r="AF24" s="316">
        <v>2834106.2228046888</v>
      </c>
      <c r="AG24" s="317">
        <v>3101303.2881487082</v>
      </c>
      <c r="AH24" s="721">
        <v>49</v>
      </c>
      <c r="AI24" s="318">
        <v>5</v>
      </c>
      <c r="AJ24" s="1022">
        <v>2834106.2228046888</v>
      </c>
      <c r="AK24" s="268"/>
      <c r="AL24" s="268"/>
      <c r="AM24" s="324">
        <f>iBudget!AB23</f>
        <v>3317643.6436021309</v>
      </c>
      <c r="AN24" s="324">
        <f t="shared" si="0"/>
        <v>483537.42079744209</v>
      </c>
      <c r="AP24" s="257"/>
      <c r="AQ24" s="335" t="str">
        <f>iOption!AA24</f>
        <v xml:space="preserve">Jimmy Creek </v>
      </c>
      <c r="AR24" s="336">
        <f>iOption!AC24</f>
        <v>4305929.8150968645</v>
      </c>
      <c r="AS24" s="259">
        <f>iOption!AE24</f>
        <v>0</v>
      </c>
      <c r="AT24" s="259">
        <f>iOption!AF24</f>
        <v>4305929.8150968645</v>
      </c>
      <c r="AU24" s="259">
        <f>iOption!AG24</f>
        <v>0</v>
      </c>
      <c r="AV24" s="259">
        <f>iOption!AH24</f>
        <v>0</v>
      </c>
      <c r="AW24" s="259">
        <f>iOption!AI24</f>
        <v>0</v>
      </c>
      <c r="AX24" s="259">
        <f>iOption!AJ24</f>
        <v>0</v>
      </c>
    </row>
    <row r="25" spans="6:50">
      <c r="F25" s="939">
        <v>16</v>
      </c>
      <c r="G25" s="935">
        <v>46173</v>
      </c>
      <c r="H25" s="890">
        <f>mOption!L24</f>
        <v>0</v>
      </c>
      <c r="I25" s="890">
        <f>mOption!N24</f>
        <v>0</v>
      </c>
      <c r="J25" s="917">
        <f>mOption!O24</f>
        <v>0</v>
      </c>
      <c r="K25" s="917">
        <f>mOption!P24</f>
        <v>0</v>
      </c>
      <c r="L25" s="890">
        <f>mOption!Q24</f>
        <v>1182947.7514002374</v>
      </c>
      <c r="M25" s="890">
        <f>mOption!R24</f>
        <v>0</v>
      </c>
      <c r="N25" s="890">
        <f>mOption!S24</f>
        <v>0</v>
      </c>
      <c r="O25" s="890">
        <f>mOption!T24</f>
        <v>0</v>
      </c>
      <c r="P25" s="890">
        <f>mOption!U24</f>
        <v>0</v>
      </c>
      <c r="Q25" s="890">
        <f>mOption!V24</f>
        <v>1182947.7514002374</v>
      </c>
      <c r="R25" s="940">
        <f>mOption!W24</f>
        <v>1182947.7514002374</v>
      </c>
      <c r="S25" s="12"/>
      <c r="T25" s="1021">
        <f>iProject!I24</f>
        <v>16</v>
      </c>
      <c r="U25" s="318">
        <f>iProject!J24</f>
        <v>0</v>
      </c>
      <c r="V25" s="320" t="str">
        <f>iProject!K24</f>
        <v>Forest</v>
      </c>
      <c r="W25" s="318">
        <f>iProject!M24</f>
        <v>21382.464998495529</v>
      </c>
      <c r="X25" s="322">
        <f>iProject!N24</f>
        <v>3.2968140787584352E-2</v>
      </c>
      <c r="Y25" s="323">
        <f>iBudget!Q24</f>
        <v>754970.42403568164</v>
      </c>
      <c r="Z25" s="324">
        <f>iBudget!R24</f>
        <v>275613.65698420518</v>
      </c>
      <c r="AA25" s="325">
        <f>iBudget!S24</f>
        <v>1030584.0810198868</v>
      </c>
      <c r="AB25" s="326">
        <v>1803522.1417848018</v>
      </c>
      <c r="AC25" s="317">
        <v>2061168.1620397735</v>
      </c>
      <c r="AD25" s="317">
        <v>2318814.182294745</v>
      </c>
      <c r="AE25" s="317">
        <v>2576460.2025497169</v>
      </c>
      <c r="AF25" s="316">
        <v>2834106.2228046888</v>
      </c>
      <c r="AG25" s="317">
        <v>3101303.2881487082</v>
      </c>
      <c r="AH25" s="721">
        <v>49</v>
      </c>
      <c r="AI25" s="318">
        <v>5</v>
      </c>
      <c r="AJ25" s="1022">
        <v>2834106.2228046888</v>
      </c>
      <c r="AK25" s="268"/>
      <c r="AL25" s="268"/>
      <c r="AM25" s="324">
        <f>iBudget!AB24</f>
        <v>3317643.6436021309</v>
      </c>
      <c r="AN25" s="324">
        <f t="shared" si="0"/>
        <v>483537.42079744209</v>
      </c>
      <c r="AP25" s="257"/>
      <c r="AQ25" s="335" t="str">
        <f>iOption!AA25</f>
        <v>Deer Creek</v>
      </c>
      <c r="AR25" s="336">
        <f>iOption!AC25</f>
        <v>10057735.559631331</v>
      </c>
      <c r="AS25" s="259">
        <f>iOption!AE25</f>
        <v>0</v>
      </c>
      <c r="AT25" s="259">
        <f>iOption!AF25</f>
        <v>1703444.7620163423</v>
      </c>
      <c r="AU25" s="259">
        <f>iOption!AG25</f>
        <v>0</v>
      </c>
      <c r="AV25" s="259">
        <f>iOption!AH25</f>
        <v>0</v>
      </c>
      <c r="AW25" s="259">
        <f>iOption!AI25</f>
        <v>0</v>
      </c>
      <c r="AX25" s="259">
        <f>iOption!AJ25</f>
        <v>8354290.7976149889</v>
      </c>
    </row>
    <row r="26" spans="6:50">
      <c r="F26" s="939">
        <v>17</v>
      </c>
      <c r="G26" s="935">
        <v>46203</v>
      </c>
      <c r="H26" s="890">
        <f>mOption!L25</f>
        <v>0</v>
      </c>
      <c r="I26" s="890">
        <f>mOption!N25</f>
        <v>0</v>
      </c>
      <c r="J26" s="917">
        <f>mOption!O25</f>
        <v>0</v>
      </c>
      <c r="K26" s="917">
        <f>mOption!P25</f>
        <v>0</v>
      </c>
      <c r="L26" s="890">
        <f>mOption!Q25</f>
        <v>0</v>
      </c>
      <c r="M26" s="890">
        <f>mOption!R25</f>
        <v>0</v>
      </c>
      <c r="N26" s="890">
        <f>mOption!S25</f>
        <v>0</v>
      </c>
      <c r="O26" s="890">
        <f>mOption!T25</f>
        <v>0</v>
      </c>
      <c r="P26" s="890">
        <f>mOption!U25</f>
        <v>0</v>
      </c>
      <c r="Q26" s="890">
        <f>mOption!V25</f>
        <v>0</v>
      </c>
      <c r="R26" s="940">
        <f>mOption!W25</f>
        <v>0</v>
      </c>
      <c r="S26" s="12"/>
      <c r="T26" s="1021">
        <f>iProject!I25</f>
        <v>17</v>
      </c>
      <c r="U26" s="318">
        <f>iProject!J25</f>
        <v>0</v>
      </c>
      <c r="V26" s="320" t="str">
        <f>iProject!K25</f>
        <v>Forest</v>
      </c>
      <c r="W26" s="318">
        <f>iProject!M25</f>
        <v>21382.464998495529</v>
      </c>
      <c r="X26" s="322">
        <f>iProject!N25</f>
        <v>3.2968140787584352E-2</v>
      </c>
      <c r="Y26" s="323">
        <f>iBudget!Q25</f>
        <v>754970.42403568164</v>
      </c>
      <c r="Z26" s="324">
        <f>iBudget!R25</f>
        <v>275613.65698420518</v>
      </c>
      <c r="AA26" s="325">
        <f>iBudget!S25</f>
        <v>1030584.0810198868</v>
      </c>
      <c r="AB26" s="326">
        <v>1803522.1417848018</v>
      </c>
      <c r="AC26" s="317">
        <v>2061168.1620397735</v>
      </c>
      <c r="AD26" s="317">
        <v>2318814.182294745</v>
      </c>
      <c r="AE26" s="317">
        <v>2576460.2025497169</v>
      </c>
      <c r="AF26" s="316">
        <v>2834106.2228046888</v>
      </c>
      <c r="AG26" s="317">
        <v>3101303.2881487082</v>
      </c>
      <c r="AH26" s="721">
        <v>49</v>
      </c>
      <c r="AI26" s="318">
        <v>5</v>
      </c>
      <c r="AJ26" s="1022">
        <v>2834106.2228046888</v>
      </c>
      <c r="AK26" s="268"/>
      <c r="AL26" s="268"/>
      <c r="AM26" s="324">
        <f>iBudget!AB25</f>
        <v>3317643.6436021309</v>
      </c>
      <c r="AN26" s="324">
        <f t="shared" si="0"/>
        <v>483537.42079744209</v>
      </c>
      <c r="AP26" s="257"/>
      <c r="AQ26" s="335" t="str">
        <f>iOption!AA26</f>
        <v>Forest</v>
      </c>
      <c r="AR26" s="336">
        <f>iOption!AC26</f>
        <v>24410126.850143898</v>
      </c>
      <c r="AS26" s="259">
        <f>iOption!AE26</f>
        <v>0</v>
      </c>
      <c r="AT26" s="259">
        <f>iOption!AF26</f>
        <v>0</v>
      </c>
      <c r="AU26" s="259">
        <f>iOption!AG26</f>
        <v>0</v>
      </c>
      <c r="AV26" s="259">
        <f>iOption!AH26</f>
        <v>10239595.736120455</v>
      </c>
      <c r="AW26" s="259">
        <f>iOption!AI26</f>
        <v>14170531.114023443</v>
      </c>
      <c r="AX26" s="259">
        <f>iOption!AJ26</f>
        <v>0</v>
      </c>
    </row>
    <row r="27" spans="6:50">
      <c r="F27" s="939">
        <v>18</v>
      </c>
      <c r="G27" s="935">
        <v>46234</v>
      </c>
      <c r="H27" s="890">
        <f>mOption!L26</f>
        <v>0</v>
      </c>
      <c r="I27" s="890">
        <f>mOption!N26</f>
        <v>0</v>
      </c>
      <c r="J27" s="917">
        <f>mOption!O26</f>
        <v>0</v>
      </c>
      <c r="K27" s="917">
        <f>mOption!P26</f>
        <v>0</v>
      </c>
      <c r="L27" s="890">
        <f>mOption!Q26</f>
        <v>0</v>
      </c>
      <c r="M27" s="890">
        <f>mOption!R26</f>
        <v>0</v>
      </c>
      <c r="N27" s="890">
        <f>mOption!S26</f>
        <v>0</v>
      </c>
      <c r="O27" s="890">
        <f>mOption!T26</f>
        <v>0</v>
      </c>
      <c r="P27" s="890">
        <f>mOption!U26</f>
        <v>0</v>
      </c>
      <c r="Q27" s="890">
        <f>mOption!V26</f>
        <v>0</v>
      </c>
      <c r="R27" s="940">
        <f>mOption!W26</f>
        <v>0</v>
      </c>
      <c r="S27" s="12"/>
      <c r="T27" s="1021">
        <f>iProject!I26</f>
        <v>18</v>
      </c>
      <c r="U27" s="318">
        <f>iProject!J26</f>
        <v>0</v>
      </c>
      <c r="V27" s="320" t="str">
        <f>iProject!K26</f>
        <v>Forest</v>
      </c>
      <c r="W27" s="318">
        <f>iProject!M26</f>
        <v>21382.464998495529</v>
      </c>
      <c r="X27" s="322">
        <f>iProject!N26</f>
        <v>3.2968140787584352E-2</v>
      </c>
      <c r="Y27" s="323">
        <f>iBudget!Q26</f>
        <v>754970.42403568164</v>
      </c>
      <c r="Z27" s="324">
        <f>iBudget!R26</f>
        <v>275613.65698420518</v>
      </c>
      <c r="AA27" s="325">
        <f>iBudget!S26</f>
        <v>1030584.0810198868</v>
      </c>
      <c r="AB27" s="326">
        <v>1803522.1417848018</v>
      </c>
      <c r="AC27" s="317">
        <v>2061168.1620397735</v>
      </c>
      <c r="AD27" s="317">
        <v>2318814.182294745</v>
      </c>
      <c r="AE27" s="317">
        <v>2576460.2025497169</v>
      </c>
      <c r="AF27" s="316">
        <v>2834106.2228046888</v>
      </c>
      <c r="AG27" s="317">
        <v>3101303.2881487082</v>
      </c>
      <c r="AH27" s="721">
        <v>54</v>
      </c>
      <c r="AI27" s="318">
        <v>5</v>
      </c>
      <c r="AJ27" s="1022">
        <v>2834106.2228046888</v>
      </c>
      <c r="AK27" s="268"/>
      <c r="AL27" s="268"/>
      <c r="AM27" s="324">
        <f>iBudget!AB26</f>
        <v>3317643.6436021309</v>
      </c>
      <c r="AN27" s="324">
        <f t="shared" si="0"/>
        <v>483537.42079744209</v>
      </c>
      <c r="AP27" s="257"/>
      <c r="AQ27" s="335" t="str">
        <f>iOption!AA27</f>
        <v>Bench</v>
      </c>
      <c r="AR27" s="336">
        <f>iOption!AC27</f>
        <v>21666873.380542256</v>
      </c>
      <c r="AS27" s="259">
        <f>iOption!AE27</f>
        <v>0</v>
      </c>
      <c r="AT27" s="259">
        <f>iOption!AF27</f>
        <v>0</v>
      </c>
      <c r="AU27" s="259">
        <f>iOption!AG27</f>
        <v>12262438.756910365</v>
      </c>
      <c r="AV27" s="259">
        <f>iOption!AH27</f>
        <v>9404434.623631889</v>
      </c>
      <c r="AW27" s="259">
        <f>iOption!AI27</f>
        <v>0</v>
      </c>
      <c r="AX27" s="259">
        <f>iOption!AJ27</f>
        <v>0</v>
      </c>
    </row>
    <row r="28" spans="6:50" ht="19">
      <c r="F28" s="939">
        <v>19</v>
      </c>
      <c r="G28" s="935">
        <v>46265</v>
      </c>
      <c r="H28" s="890">
        <f>mOption!L27</f>
        <v>0</v>
      </c>
      <c r="I28" s="890">
        <f>mOption!N27</f>
        <v>0</v>
      </c>
      <c r="J28" s="917">
        <f>mOption!O27</f>
        <v>0</v>
      </c>
      <c r="K28" s="917">
        <f>mOption!P27</f>
        <v>0</v>
      </c>
      <c r="L28" s="890">
        <f>mOption!Q27</f>
        <v>757086.56089615193</v>
      </c>
      <c r="M28" s="890">
        <f>mOption!R27</f>
        <v>0</v>
      </c>
      <c r="N28" s="890">
        <f>mOption!S27</f>
        <v>0</v>
      </c>
      <c r="O28" s="890">
        <f>mOption!T27</f>
        <v>0</v>
      </c>
      <c r="P28" s="890">
        <f>mOption!U27</f>
        <v>0</v>
      </c>
      <c r="Q28" s="890">
        <f>mOption!V27</f>
        <v>757086.56089615193</v>
      </c>
      <c r="R28" s="940">
        <f>mOption!W27</f>
        <v>757086.56089615193</v>
      </c>
      <c r="S28" s="12"/>
      <c r="T28" s="1021">
        <f>iProject!I27</f>
        <v>19</v>
      </c>
      <c r="U28" s="318">
        <f>iProject!J27</f>
        <v>0</v>
      </c>
      <c r="V28" s="320" t="str">
        <f>iProject!K27</f>
        <v>Forest</v>
      </c>
      <c r="W28" s="318">
        <f>iProject!M27</f>
        <v>21382.464998495529</v>
      </c>
      <c r="X28" s="322">
        <f>iProject!N27</f>
        <v>3.2968140787584352E-2</v>
      </c>
      <c r="Y28" s="323">
        <f>iBudget!Q27</f>
        <v>754970.42403568164</v>
      </c>
      <c r="Z28" s="324">
        <f>iBudget!R27</f>
        <v>275613.65698420518</v>
      </c>
      <c r="AA28" s="325">
        <f>iBudget!S27</f>
        <v>1030584.0810198868</v>
      </c>
      <c r="AB28" s="326">
        <v>1803522.1417848018</v>
      </c>
      <c r="AC28" s="317">
        <v>2061168.1620397735</v>
      </c>
      <c r="AD28" s="317">
        <v>2318814.182294745</v>
      </c>
      <c r="AE28" s="317">
        <v>2576460.2025497169</v>
      </c>
      <c r="AF28" s="316">
        <v>2834106.2228046888</v>
      </c>
      <c r="AG28" s="317">
        <v>2946238.1237412728</v>
      </c>
      <c r="AH28" s="721">
        <v>54</v>
      </c>
      <c r="AI28" s="318">
        <v>5</v>
      </c>
      <c r="AJ28" s="1022">
        <v>2834106.2228046888</v>
      </c>
      <c r="AK28" s="268"/>
      <c r="AL28" s="268"/>
      <c r="AM28" s="324">
        <f>iBudget!AB27</f>
        <v>3151761.4614220243</v>
      </c>
      <c r="AN28" s="324">
        <f t="shared" si="0"/>
        <v>317655.23861733545</v>
      </c>
      <c r="AP28" s="257"/>
      <c r="AQ28" s="335" t="str">
        <f>iOption!AA28</f>
        <v>Hillside</v>
      </c>
      <c r="AR28" s="337">
        <f>iOption!AC28</f>
        <v>23398134.959479116</v>
      </c>
      <c r="AS28" s="338">
        <f>iOption!AE28</f>
        <v>0</v>
      </c>
      <c r="AT28" s="338">
        <f>iOption!AF28</f>
        <v>0</v>
      </c>
      <c r="AU28" s="338">
        <f>iOption!AG28</f>
        <v>0</v>
      </c>
      <c r="AV28" s="338">
        <f>iOption!AH28</f>
        <v>0</v>
      </c>
      <c r="AW28" s="338">
        <f>iOption!AI28</f>
        <v>12947363.1390756</v>
      </c>
      <c r="AX28" s="338">
        <f>iOption!AJ28</f>
        <v>10450771.820403518</v>
      </c>
    </row>
    <row r="29" spans="6:50">
      <c r="F29" s="939">
        <v>20</v>
      </c>
      <c r="G29" s="935">
        <v>46295</v>
      </c>
      <c r="H29" s="890">
        <f>mOption!L28</f>
        <v>0</v>
      </c>
      <c r="I29" s="890">
        <f>mOption!N28</f>
        <v>0</v>
      </c>
      <c r="J29" s="917">
        <f>mOption!O28</f>
        <v>0</v>
      </c>
      <c r="K29" s="917">
        <f>mOption!P28</f>
        <v>0</v>
      </c>
      <c r="L29" s="890">
        <f>mOption!Q28</f>
        <v>0</v>
      </c>
      <c r="M29" s="890">
        <f>mOption!R28</f>
        <v>0</v>
      </c>
      <c r="N29" s="890">
        <f>mOption!S28</f>
        <v>0</v>
      </c>
      <c r="O29" s="890">
        <f>mOption!T28</f>
        <v>0</v>
      </c>
      <c r="P29" s="890">
        <f>mOption!U28</f>
        <v>0</v>
      </c>
      <c r="Q29" s="890">
        <f>mOption!V28</f>
        <v>0</v>
      </c>
      <c r="R29" s="940">
        <f>mOption!W28</f>
        <v>0</v>
      </c>
      <c r="S29" s="12"/>
      <c r="T29" s="1021">
        <f>iProject!I28</f>
        <v>20</v>
      </c>
      <c r="U29" s="318">
        <f>iProject!J28</f>
        <v>0</v>
      </c>
      <c r="V29" s="320" t="str">
        <f>iProject!K28</f>
        <v>Bench</v>
      </c>
      <c r="W29" s="318">
        <f>iProject!M28</f>
        <v>12271.846303085129</v>
      </c>
      <c r="X29" s="322">
        <f>iProject!N28</f>
        <v>1.8921109267438219E-2</v>
      </c>
      <c r="Y29" s="323">
        <f>iBudget!Q28</f>
        <v>433293.40222433524</v>
      </c>
      <c r="Z29" s="324">
        <f>iBudget!R28</f>
        <v>158180.47347578351</v>
      </c>
      <c r="AA29" s="325">
        <f>iBudget!S28</f>
        <v>591473.87570011872</v>
      </c>
      <c r="AB29" s="326">
        <v>1035079.2824752077</v>
      </c>
      <c r="AC29" s="317">
        <v>1182947.7514002374</v>
      </c>
      <c r="AD29" s="317">
        <v>1330816.2203252672</v>
      </c>
      <c r="AE29" s="317">
        <v>1478684.6892502969</v>
      </c>
      <c r="AF29" s="316">
        <v>1626553.1581753264</v>
      </c>
      <c r="AG29" s="317">
        <v>1749135.0545158712</v>
      </c>
      <c r="AH29" s="721">
        <v>28</v>
      </c>
      <c r="AI29" s="318">
        <v>3</v>
      </c>
      <c r="AJ29" s="1022">
        <v>1330816.2203252672</v>
      </c>
      <c r="AK29" s="268"/>
      <c r="AL29" s="268"/>
      <c r="AM29" s="324">
        <f>iBudget!AB28</f>
        <v>1871151.0149916017</v>
      </c>
      <c r="AN29" s="324">
        <f t="shared" si="0"/>
        <v>540334.79466633452</v>
      </c>
      <c r="AP29" s="257"/>
      <c r="AQ29" s="188" t="str">
        <f>iOption!AA29</f>
        <v>Total Lot Revenue</v>
      </c>
      <c r="AR29" s="336">
        <f>iOption!AC29</f>
        <v>83838800.564893469</v>
      </c>
      <c r="AS29" s="259">
        <f>iOption!AE29</f>
        <v>0</v>
      </c>
      <c r="AT29" s="259">
        <f>iOption!AF29</f>
        <v>6009374.5771132065</v>
      </c>
      <c r="AU29" s="259">
        <f>iOption!AG29</f>
        <v>12262438.756910365</v>
      </c>
      <c r="AV29" s="259">
        <f>iOption!AH29</f>
        <v>19644030.359752342</v>
      </c>
      <c r="AW29" s="259">
        <f>iOption!AI29</f>
        <v>27117894.253099043</v>
      </c>
      <c r="AX29" s="259">
        <f>iOption!AJ29</f>
        <v>18805062.618018508</v>
      </c>
    </row>
    <row r="30" spans="6:50">
      <c r="F30" s="939">
        <v>21</v>
      </c>
      <c r="G30" s="935">
        <v>46326</v>
      </c>
      <c r="H30" s="890">
        <f>mOption!L29</f>
        <v>0</v>
      </c>
      <c r="I30" s="890">
        <f>mOption!N29</f>
        <v>0</v>
      </c>
      <c r="J30" s="917">
        <f>mOption!O29</f>
        <v>0</v>
      </c>
      <c r="K30" s="917">
        <f>mOption!P29</f>
        <v>0</v>
      </c>
      <c r="L30" s="890">
        <f>mOption!Q29</f>
        <v>1182947.7514002374</v>
      </c>
      <c r="M30" s="890">
        <f>mOption!R29</f>
        <v>0</v>
      </c>
      <c r="N30" s="890">
        <f>mOption!S29</f>
        <v>0</v>
      </c>
      <c r="O30" s="890">
        <f>mOption!T29</f>
        <v>0</v>
      </c>
      <c r="P30" s="890">
        <f>mOption!U29</f>
        <v>0</v>
      </c>
      <c r="Q30" s="890">
        <f>mOption!V29</f>
        <v>1182947.7514002374</v>
      </c>
      <c r="R30" s="940">
        <f>mOption!W29</f>
        <v>1182947.7514002374</v>
      </c>
      <c r="S30" s="12"/>
      <c r="T30" s="1021">
        <f>iProject!I29</f>
        <v>21</v>
      </c>
      <c r="U30" s="318">
        <f>iProject!J29</f>
        <v>22</v>
      </c>
      <c r="V30" s="320" t="str">
        <f>iProject!K29</f>
        <v>Bench</v>
      </c>
      <c r="W30" s="318">
        <f>iProject!M29</f>
        <v>12271.846303085129</v>
      </c>
      <c r="X30" s="322">
        <f>iProject!N29</f>
        <v>1.8921109267438219E-2</v>
      </c>
      <c r="Y30" s="323">
        <f>iBudget!Q29</f>
        <v>433293.40222433524</v>
      </c>
      <c r="Z30" s="324">
        <f>iBudget!R29</f>
        <v>158180.47347578351</v>
      </c>
      <c r="AA30" s="325">
        <f>iBudget!S29</f>
        <v>591473.87570011872</v>
      </c>
      <c r="AB30" s="326">
        <v>1035079.2824752077</v>
      </c>
      <c r="AC30" s="317">
        <v>1182947.7514002374</v>
      </c>
      <c r="AD30" s="317">
        <v>1330816.2203252672</v>
      </c>
      <c r="AE30" s="317">
        <v>1478684.6892502969</v>
      </c>
      <c r="AF30" s="316">
        <v>1626553.1581753264</v>
      </c>
      <c r="AG30" s="317">
        <v>1486764.7963384909</v>
      </c>
      <c r="AH30" s="721">
        <v>25</v>
      </c>
      <c r="AI30" s="318">
        <v>3</v>
      </c>
      <c r="AJ30" s="1022">
        <v>1330816.2203252672</v>
      </c>
      <c r="AK30" s="268"/>
      <c r="AL30" s="268"/>
      <c r="AM30" s="324">
        <f>iBudget!AB29</f>
        <v>1590478.3627428615</v>
      </c>
      <c r="AN30" s="324">
        <f t="shared" si="0"/>
        <v>259662.14241759432</v>
      </c>
      <c r="AP30" s="257"/>
      <c r="AQ30" s="257"/>
      <c r="AR30" s="135"/>
      <c r="AS30" s="257"/>
      <c r="AT30" s="257"/>
      <c r="AU30" s="257"/>
      <c r="AV30" s="257"/>
      <c r="AW30" s="257"/>
      <c r="AX30" s="257"/>
    </row>
    <row r="31" spans="6:50">
      <c r="F31" s="939">
        <v>22</v>
      </c>
      <c r="G31" s="935">
        <v>46356</v>
      </c>
      <c r="H31" s="890">
        <f>mOption!L30</f>
        <v>0</v>
      </c>
      <c r="I31" s="890">
        <f>mOption!N30</f>
        <v>0</v>
      </c>
      <c r="J31" s="917">
        <f>mOption!O30</f>
        <v>0</v>
      </c>
      <c r="K31" s="917">
        <f>mOption!P30</f>
        <v>0</v>
      </c>
      <c r="L31" s="890">
        <f>mOption!Q30</f>
        <v>0</v>
      </c>
      <c r="M31" s="890">
        <f>mOption!R30</f>
        <v>0</v>
      </c>
      <c r="N31" s="890">
        <f>mOption!S30</f>
        <v>0</v>
      </c>
      <c r="O31" s="890">
        <f>mOption!T30</f>
        <v>0</v>
      </c>
      <c r="P31" s="890">
        <f>mOption!U30</f>
        <v>0</v>
      </c>
      <c r="Q31" s="890">
        <f>mOption!V30</f>
        <v>0</v>
      </c>
      <c r="R31" s="940">
        <f>mOption!W30</f>
        <v>0</v>
      </c>
      <c r="S31" s="12"/>
      <c r="T31" s="1021">
        <f>iProject!I30</f>
        <v>22</v>
      </c>
      <c r="U31" s="318" t="str">
        <f>iProject!J30</f>
        <v>21,23</v>
      </c>
      <c r="V31" s="320" t="str">
        <f>iProject!K30</f>
        <v>Bench</v>
      </c>
      <c r="W31" s="318">
        <f>iProject!M30</f>
        <v>17671.458676442588</v>
      </c>
      <c r="X31" s="322">
        <f>iProject!N30</f>
        <v>2.7246397345111039E-2</v>
      </c>
      <c r="Y31" s="323">
        <f>iBudget!Q30</f>
        <v>623942.49920304283</v>
      </c>
      <c r="Z31" s="324">
        <f>iBudget!R30</f>
        <v>227779.88180512827</v>
      </c>
      <c r="AA31" s="325">
        <f>iBudget!S30</f>
        <v>851722.38100817113</v>
      </c>
      <c r="AB31" s="326">
        <v>1490514.1667642994</v>
      </c>
      <c r="AC31" s="317">
        <v>1703444.7620163423</v>
      </c>
      <c r="AD31" s="317">
        <v>1916375.3572683851</v>
      </c>
      <c r="AE31" s="317">
        <v>2129305.9525204278</v>
      </c>
      <c r="AF31" s="316">
        <v>2342236.5477724704</v>
      </c>
      <c r="AG31" s="317">
        <v>2140519.5294802394</v>
      </c>
      <c r="AH31" s="721">
        <v>25</v>
      </c>
      <c r="AI31" s="318">
        <v>3</v>
      </c>
      <c r="AJ31" s="1022">
        <v>1916375.3572683851</v>
      </c>
      <c r="AK31" s="268"/>
      <c r="AL31" s="268"/>
      <c r="AM31" s="324">
        <f>iBudget!AB30</f>
        <v>2289837.6428141911</v>
      </c>
      <c r="AN31" s="324">
        <f t="shared" si="0"/>
        <v>373462.28554580593</v>
      </c>
      <c r="AP31" s="257"/>
      <c r="AQ31" s="341" t="str">
        <f>iOption!AA31</f>
        <v>Variance to Retail</v>
      </c>
      <c r="AR31" s="342">
        <f>iOption!AC31</f>
        <v>16483093.809627011</v>
      </c>
      <c r="AS31" s="343">
        <f>iOption!AE31</f>
        <v>0</v>
      </c>
      <c r="AT31" s="343">
        <f>iOption!AF31</f>
        <v>2199471.0902515454</v>
      </c>
      <c r="AU31" s="343">
        <f>iOption!AG31</f>
        <v>3406792.1718224995</v>
      </c>
      <c r="AV31" s="343">
        <f>iOption!AH31</f>
        <v>3859152.5046182349</v>
      </c>
      <c r="AW31" s="343">
        <f>iOption!AI31</f>
        <v>5705876.6636073589</v>
      </c>
      <c r="AX31" s="344">
        <f>iOption!AJ31</f>
        <v>1311801.3793273717</v>
      </c>
    </row>
    <row r="32" spans="6:50">
      <c r="F32" s="939">
        <v>23</v>
      </c>
      <c r="G32" s="935">
        <v>46387</v>
      </c>
      <c r="H32" s="890">
        <f>mOption!L31</f>
        <v>0</v>
      </c>
      <c r="I32" s="890">
        <f>mOption!N31</f>
        <v>0</v>
      </c>
      <c r="J32" s="917">
        <f>mOption!O31</f>
        <v>0</v>
      </c>
      <c r="K32" s="917">
        <f>mOption!P31</f>
        <v>0</v>
      </c>
      <c r="L32" s="890">
        <f>mOption!Q31</f>
        <v>0</v>
      </c>
      <c r="M32" s="890">
        <f>mOption!R31</f>
        <v>0</v>
      </c>
      <c r="N32" s="890">
        <f>mOption!S31</f>
        <v>0</v>
      </c>
      <c r="O32" s="890">
        <f>mOption!T31</f>
        <v>0</v>
      </c>
      <c r="P32" s="890">
        <f>mOption!U31</f>
        <v>0</v>
      </c>
      <c r="Q32" s="890">
        <f>mOption!V31</f>
        <v>0</v>
      </c>
      <c r="R32" s="940">
        <f>mOption!W31</f>
        <v>0</v>
      </c>
      <c r="S32" s="12"/>
      <c r="T32" s="1021">
        <f>iProject!I31</f>
        <v>23</v>
      </c>
      <c r="U32" s="318">
        <f>iProject!J31</f>
        <v>22</v>
      </c>
      <c r="V32" s="320" t="str">
        <f>iProject!K31</f>
        <v>Bench</v>
      </c>
      <c r="W32" s="318">
        <f>iProject!M31</f>
        <v>12271.846303085129</v>
      </c>
      <c r="X32" s="322">
        <f>iProject!N31</f>
        <v>1.8921109267438219E-2</v>
      </c>
      <c r="Y32" s="323">
        <f>iBudget!Q31</f>
        <v>433293.40222433524</v>
      </c>
      <c r="Z32" s="324">
        <f>iBudget!R31</f>
        <v>158180.47347578351</v>
      </c>
      <c r="AA32" s="325">
        <f>iBudget!S31</f>
        <v>591473.87570011872</v>
      </c>
      <c r="AB32" s="326">
        <v>1035079.2824752077</v>
      </c>
      <c r="AC32" s="317">
        <v>1182947.7514002374</v>
      </c>
      <c r="AD32" s="317">
        <v>1330816.2203252672</v>
      </c>
      <c r="AE32" s="317">
        <v>1478684.6892502969</v>
      </c>
      <c r="AF32" s="316">
        <v>1626553.1581753264</v>
      </c>
      <c r="AG32" s="317">
        <v>1311851.2908869036</v>
      </c>
      <c r="AH32" s="721">
        <v>25</v>
      </c>
      <c r="AI32" s="318">
        <v>3</v>
      </c>
      <c r="AJ32" s="1022">
        <v>1330816.2203252672</v>
      </c>
      <c r="AK32" s="268"/>
      <c r="AL32" s="268"/>
      <c r="AM32" s="324">
        <f>iBudget!AB31</f>
        <v>1403363.2612437012</v>
      </c>
      <c r="AN32" s="324">
        <f t="shared" si="0"/>
        <v>72547.040918434039</v>
      </c>
      <c r="AP32" s="257"/>
      <c r="AQ32" s="257"/>
      <c r="AR32" s="135"/>
      <c r="AS32" s="257"/>
      <c r="AT32" s="257"/>
      <c r="AU32" s="257"/>
      <c r="AV32" s="257"/>
      <c r="AW32" s="257"/>
      <c r="AX32" s="257"/>
    </row>
    <row r="33" spans="6:45">
      <c r="F33" s="939">
        <v>24</v>
      </c>
      <c r="G33" s="935">
        <v>46418</v>
      </c>
      <c r="H33" s="890">
        <f>mOption!L32</f>
        <v>0</v>
      </c>
      <c r="I33" s="890">
        <f>mOption!N32</f>
        <v>0</v>
      </c>
      <c r="J33" s="917">
        <f>mOption!O32</f>
        <v>0</v>
      </c>
      <c r="K33" s="917">
        <f>mOption!P32</f>
        <v>0</v>
      </c>
      <c r="L33" s="890">
        <f>mOption!Q32</f>
        <v>0</v>
      </c>
      <c r="M33" s="890">
        <f>mOption!R32</f>
        <v>0</v>
      </c>
      <c r="N33" s="890">
        <f>mOption!S32</f>
        <v>0</v>
      </c>
      <c r="O33" s="890">
        <f>mOption!T32</f>
        <v>0</v>
      </c>
      <c r="P33" s="890">
        <f>mOption!U32</f>
        <v>0</v>
      </c>
      <c r="Q33" s="890">
        <f>mOption!V32</f>
        <v>0</v>
      </c>
      <c r="R33" s="940">
        <f>mOption!W32</f>
        <v>0</v>
      </c>
      <c r="S33" s="12"/>
      <c r="T33" s="1021">
        <f>iProject!I32</f>
        <v>24</v>
      </c>
      <c r="U33" s="318">
        <f>iProject!J32</f>
        <v>0</v>
      </c>
      <c r="V33" s="320" t="str">
        <f>iProject!K32</f>
        <v>Bench</v>
      </c>
      <c r="W33" s="318">
        <f>iProject!M32</f>
        <v>12271.846303085129</v>
      </c>
      <c r="X33" s="322">
        <f>iProject!N32</f>
        <v>1.8921109267438219E-2</v>
      </c>
      <c r="Y33" s="323">
        <f>iBudget!Q32</f>
        <v>433293.40222433524</v>
      </c>
      <c r="Z33" s="324">
        <f>iBudget!R32</f>
        <v>158180.47347578351</v>
      </c>
      <c r="AA33" s="325">
        <f>iBudget!S32</f>
        <v>591473.87570011872</v>
      </c>
      <c r="AB33" s="326">
        <v>1035079.2824752077</v>
      </c>
      <c r="AC33" s="317">
        <v>1182947.7514002374</v>
      </c>
      <c r="AD33" s="317">
        <v>1330816.2203252672</v>
      </c>
      <c r="AE33" s="317">
        <v>1478684.6892502969</v>
      </c>
      <c r="AF33" s="316">
        <v>1626553.1581753264</v>
      </c>
      <c r="AG33" s="317">
        <v>1311851.2908869036</v>
      </c>
      <c r="AH33" s="721">
        <v>28</v>
      </c>
      <c r="AI33" s="318">
        <v>3</v>
      </c>
      <c r="AJ33" s="1022">
        <v>1330816.2203252672</v>
      </c>
      <c r="AK33" s="268"/>
      <c r="AL33" s="268"/>
      <c r="AM33" s="324">
        <f>iBudget!AB32</f>
        <v>1403363.2612437012</v>
      </c>
      <c r="AN33" s="324">
        <f t="shared" si="0"/>
        <v>72547.040918434039</v>
      </c>
      <c r="AP33" s="257"/>
      <c r="AQ33" s="413"/>
      <c r="AR33" s="416" t="s">
        <v>151</v>
      </c>
      <c r="AS33" s="417" t="s">
        <v>153</v>
      </c>
    </row>
    <row r="34" spans="6:45">
      <c r="F34" s="939">
        <v>25</v>
      </c>
      <c r="G34" s="935">
        <v>46446</v>
      </c>
      <c r="H34" s="890">
        <f>mOption!L33</f>
        <v>0</v>
      </c>
      <c r="I34" s="890">
        <f>mOption!N33</f>
        <v>0</v>
      </c>
      <c r="J34" s="917">
        <f>mOption!O33</f>
        <v>0</v>
      </c>
      <c r="K34" s="917">
        <f>mOption!P33</f>
        <v>0</v>
      </c>
      <c r="L34" s="890">
        <f>mOption!Q33</f>
        <v>0</v>
      </c>
      <c r="M34" s="890">
        <f>mOption!R33</f>
        <v>0</v>
      </c>
      <c r="N34" s="890">
        <f>mOption!S33</f>
        <v>0</v>
      </c>
      <c r="O34" s="890">
        <f>mOption!T33</f>
        <v>4578007.7979189195</v>
      </c>
      <c r="P34" s="890">
        <f>mOption!U33</f>
        <v>0</v>
      </c>
      <c r="Q34" s="890">
        <f>mOption!V33</f>
        <v>4578007.7979189195</v>
      </c>
      <c r="R34" s="940">
        <f>mOption!W33</f>
        <v>4578007.7979189195</v>
      </c>
      <c r="S34" s="12"/>
      <c r="T34" s="1021">
        <f>iProject!I33</f>
        <v>25</v>
      </c>
      <c r="U34" s="318">
        <f>iProject!J33</f>
        <v>0</v>
      </c>
      <c r="V34" s="320" t="str">
        <f>iProject!K33</f>
        <v>Bench</v>
      </c>
      <c r="W34" s="318">
        <f>iProject!M33</f>
        <v>12271.846303085129</v>
      </c>
      <c r="X34" s="322">
        <f>iProject!N33</f>
        <v>1.8921109267438219E-2</v>
      </c>
      <c r="Y34" s="323">
        <f>iBudget!Q33</f>
        <v>433293.40222433524</v>
      </c>
      <c r="Z34" s="324">
        <f>iBudget!R33</f>
        <v>158180.47347578351</v>
      </c>
      <c r="AA34" s="325">
        <f>iBudget!S33</f>
        <v>591473.87570011872</v>
      </c>
      <c r="AB34" s="326">
        <v>1035079.2824752077</v>
      </c>
      <c r="AC34" s="317">
        <v>1182947.7514002374</v>
      </c>
      <c r="AD34" s="317">
        <v>1330816.2203252672</v>
      </c>
      <c r="AE34" s="317">
        <v>1478684.6892502969</v>
      </c>
      <c r="AF34" s="316">
        <v>1626553.1581753264</v>
      </c>
      <c r="AG34" s="317">
        <v>1311851.2908869036</v>
      </c>
      <c r="AH34" s="721">
        <v>32</v>
      </c>
      <c r="AI34" s="318">
        <v>3</v>
      </c>
      <c r="AJ34" s="1022">
        <v>1330816.2203252672</v>
      </c>
      <c r="AK34" s="268"/>
      <c r="AL34" s="268"/>
      <c r="AM34" s="324">
        <f>iBudget!AB33</f>
        <v>1403363.2612437012</v>
      </c>
      <c r="AN34" s="324">
        <f t="shared" si="0"/>
        <v>72547.040918434039</v>
      </c>
      <c r="AP34" s="257"/>
      <c r="AQ34" s="414" t="s">
        <v>152</v>
      </c>
      <c r="AR34" s="336">
        <f>iProject!G18/rOption!AR18</f>
        <v>694666.66666666663</v>
      </c>
      <c r="AS34" s="415"/>
    </row>
    <row r="35" spans="6:45">
      <c r="F35" s="939">
        <v>26</v>
      </c>
      <c r="G35" s="935">
        <v>46477</v>
      </c>
      <c r="H35" s="890">
        <f>mOption!L34</f>
        <v>0</v>
      </c>
      <c r="I35" s="890">
        <f>mOption!N34</f>
        <v>0</v>
      </c>
      <c r="J35" s="917">
        <f>mOption!O34</f>
        <v>0</v>
      </c>
      <c r="K35" s="917">
        <f>mOption!P34</f>
        <v>0</v>
      </c>
      <c r="L35" s="890">
        <f>mOption!Q34</f>
        <v>0</v>
      </c>
      <c r="M35" s="890">
        <f>mOption!R34</f>
        <v>0</v>
      </c>
      <c r="N35" s="890">
        <f>mOption!S34</f>
        <v>0</v>
      </c>
      <c r="O35" s="890">
        <f>mOption!T34</f>
        <v>0</v>
      </c>
      <c r="P35" s="890">
        <f>mOption!U34</f>
        <v>0</v>
      </c>
      <c r="Q35" s="890">
        <f>mOption!V34</f>
        <v>0</v>
      </c>
      <c r="R35" s="940">
        <f>mOption!W34</f>
        <v>0</v>
      </c>
      <c r="S35" s="12"/>
      <c r="T35" s="1021">
        <f>iProject!I34</f>
        <v>26</v>
      </c>
      <c r="U35" s="318">
        <f>iProject!J34</f>
        <v>0</v>
      </c>
      <c r="V35" s="320" t="str">
        <f>iProject!K34</f>
        <v>Bench</v>
      </c>
      <c r="W35" s="318">
        <f>iProject!M34</f>
        <v>12271.846303085129</v>
      </c>
      <c r="X35" s="322">
        <f>iProject!N34</f>
        <v>1.8921109267438219E-2</v>
      </c>
      <c r="Y35" s="323">
        <f>iBudget!Q34</f>
        <v>433293.40222433524</v>
      </c>
      <c r="Z35" s="324">
        <f>iBudget!R34</f>
        <v>158180.47347578351</v>
      </c>
      <c r="AA35" s="325">
        <f>iBudget!S34</f>
        <v>591473.87570011872</v>
      </c>
      <c r="AB35" s="326">
        <v>1035079.2824752077</v>
      </c>
      <c r="AC35" s="317">
        <v>1182947.7514002374</v>
      </c>
      <c r="AD35" s="317">
        <v>1330816.2203252672</v>
      </c>
      <c r="AE35" s="317">
        <v>1478684.6892502969</v>
      </c>
      <c r="AF35" s="316">
        <v>1626553.1581753264</v>
      </c>
      <c r="AG35" s="317">
        <v>1749135.0545158712</v>
      </c>
      <c r="AH35" s="721">
        <v>37</v>
      </c>
      <c r="AI35" s="318">
        <v>4</v>
      </c>
      <c r="AJ35" s="1022">
        <v>1478684.6892502969</v>
      </c>
      <c r="AK35" s="268"/>
      <c r="AL35" s="268"/>
      <c r="AM35" s="324">
        <f>iBudget!AB34</f>
        <v>1871151.0149916017</v>
      </c>
      <c r="AN35" s="324">
        <f t="shared" si="0"/>
        <v>392466.32574130478</v>
      </c>
      <c r="AP35" s="257"/>
      <c r="AQ35" s="414" t="s">
        <v>150</v>
      </c>
      <c r="AR35" s="336">
        <f>AR29/AR18</f>
        <v>1863084.4569976327</v>
      </c>
      <c r="AS35" s="415">
        <f>AR35/AR34</f>
        <v>2.6819833833939053</v>
      </c>
    </row>
    <row r="36" spans="6:45">
      <c r="F36" s="939">
        <v>27</v>
      </c>
      <c r="G36" s="935">
        <v>46507</v>
      </c>
      <c r="H36" s="890">
        <f>mOption!L35</f>
        <v>0</v>
      </c>
      <c r="I36" s="890">
        <f>mOption!N35</f>
        <v>0</v>
      </c>
      <c r="J36" s="917">
        <f>mOption!O35</f>
        <v>0</v>
      </c>
      <c r="K36" s="917">
        <f>mOption!P35</f>
        <v>0</v>
      </c>
      <c r="L36" s="890">
        <f>mOption!Q35</f>
        <v>0</v>
      </c>
      <c r="M36" s="890">
        <f>mOption!R35</f>
        <v>0</v>
      </c>
      <c r="N36" s="890">
        <f>mOption!S35</f>
        <v>0</v>
      </c>
      <c r="O36" s="890">
        <f>mOption!T35</f>
        <v>0</v>
      </c>
      <c r="P36" s="890">
        <f>mOption!U35</f>
        <v>0</v>
      </c>
      <c r="Q36" s="890">
        <f>mOption!V35</f>
        <v>0</v>
      </c>
      <c r="R36" s="940">
        <f>mOption!W35</f>
        <v>0</v>
      </c>
      <c r="S36" s="12"/>
      <c r="T36" s="1021">
        <f>iProject!I35</f>
        <v>27</v>
      </c>
      <c r="U36" s="318" t="str">
        <f>iProject!J35</f>
        <v>28, 20</v>
      </c>
      <c r="V36" s="320" t="str">
        <f>iProject!K35</f>
        <v>Bench</v>
      </c>
      <c r="W36" s="318">
        <f>iProject!M35</f>
        <v>12271.846303085129</v>
      </c>
      <c r="X36" s="322">
        <f>iProject!N35</f>
        <v>1.8921109267438219E-2</v>
      </c>
      <c r="Y36" s="323">
        <f>iBudget!Q35</f>
        <v>433293.40222433524</v>
      </c>
      <c r="Z36" s="324">
        <f>iBudget!R35</f>
        <v>158180.47347578351</v>
      </c>
      <c r="AA36" s="325">
        <f>iBudget!S35</f>
        <v>591473.87570011872</v>
      </c>
      <c r="AB36" s="326">
        <v>1035079.2824752077</v>
      </c>
      <c r="AC36" s="317">
        <v>1182947.7514002374</v>
      </c>
      <c r="AD36" s="317">
        <v>1330816.2203252672</v>
      </c>
      <c r="AE36" s="317">
        <v>1478684.6892502969</v>
      </c>
      <c r="AF36" s="316">
        <v>1626553.1581753264</v>
      </c>
      <c r="AG36" s="317">
        <v>1924048.5599674587</v>
      </c>
      <c r="AH36" s="721">
        <v>28</v>
      </c>
      <c r="AI36" s="318">
        <v>3</v>
      </c>
      <c r="AJ36" s="1022">
        <v>1330816.2203252672</v>
      </c>
      <c r="AK36" s="268"/>
      <c r="AL36" s="268"/>
      <c r="AM36" s="324">
        <f>iBudget!AB35</f>
        <v>2058266.116490762</v>
      </c>
      <c r="AN36" s="324">
        <f t="shared" si="0"/>
        <v>727449.89616549481</v>
      </c>
      <c r="AP36" s="257"/>
      <c r="AQ36" s="414" t="s">
        <v>149</v>
      </c>
      <c r="AR36" s="336">
        <f>Reports!K56/AR18</f>
        <v>2229375.4305448998</v>
      </c>
      <c r="AS36" s="415">
        <f>AR36/AR34</f>
        <v>3.2092736524158827</v>
      </c>
    </row>
    <row r="37" spans="6:45">
      <c r="F37" s="939">
        <v>28</v>
      </c>
      <c r="G37" s="935">
        <v>46538</v>
      </c>
      <c r="H37" s="890">
        <f>mOption!L36</f>
        <v>0</v>
      </c>
      <c r="I37" s="890">
        <f>mOption!N36</f>
        <v>0</v>
      </c>
      <c r="J37" s="917">
        <f>mOption!O36</f>
        <v>0</v>
      </c>
      <c r="K37" s="917">
        <f>mOption!P36</f>
        <v>0</v>
      </c>
      <c r="L37" s="890">
        <f>mOption!Q36</f>
        <v>0</v>
      </c>
      <c r="M37" s="890">
        <f>mOption!R36</f>
        <v>0</v>
      </c>
      <c r="N37" s="890">
        <f>mOption!S36</f>
        <v>0</v>
      </c>
      <c r="O37" s="890">
        <f>mOption!T36</f>
        <v>3992448.6609758018</v>
      </c>
      <c r="P37" s="890">
        <f>mOption!U36</f>
        <v>0</v>
      </c>
      <c r="Q37" s="890">
        <f>mOption!V36</f>
        <v>3992448.6609758018</v>
      </c>
      <c r="R37" s="940">
        <f>mOption!W36</f>
        <v>3992448.6609758018</v>
      </c>
      <c r="S37" s="12"/>
      <c r="T37" s="1021">
        <f>iProject!I36</f>
        <v>28</v>
      </c>
      <c r="U37" s="318">
        <f>iProject!J36</f>
        <v>0</v>
      </c>
      <c r="V37" s="320" t="str">
        <f>iProject!K36</f>
        <v>Bench</v>
      </c>
      <c r="W37" s="318">
        <f>iProject!M36</f>
        <v>21773.004235244909</v>
      </c>
      <c r="X37" s="322">
        <f>iProject!N36</f>
        <v>3.3570286168911306E-2</v>
      </c>
      <c r="Y37" s="323">
        <f>iBudget!Q36</f>
        <v>768759.55326806894</v>
      </c>
      <c r="Z37" s="324">
        <f>iBudget!R36</f>
        <v>280647.59237209853</v>
      </c>
      <c r="AA37" s="325">
        <f>iBudget!S36</f>
        <v>1049407.1456401674</v>
      </c>
      <c r="AB37" s="326">
        <v>1836462.504870293</v>
      </c>
      <c r="AC37" s="317">
        <v>2098814.2912803348</v>
      </c>
      <c r="AD37" s="317">
        <v>2361166.0776903769</v>
      </c>
      <c r="AE37" s="317">
        <v>2623517.8641004185</v>
      </c>
      <c r="AF37" s="316">
        <v>2885869.6505104601</v>
      </c>
      <c r="AG37" s="317">
        <v>3411433.6169635793</v>
      </c>
      <c r="AH37" s="721">
        <v>32</v>
      </c>
      <c r="AI37" s="318">
        <v>3</v>
      </c>
      <c r="AJ37" s="1022">
        <v>2361166.0776903769</v>
      </c>
      <c r="AK37" s="268"/>
      <c r="AL37" s="268"/>
      <c r="AM37" s="324">
        <f>iBudget!AB36</f>
        <v>3649408.0079623442</v>
      </c>
      <c r="AN37" s="324">
        <f t="shared" si="0"/>
        <v>1288241.9302719673</v>
      </c>
      <c r="AS37" s="415"/>
    </row>
    <row r="38" spans="6:45">
      <c r="F38" s="939">
        <v>29</v>
      </c>
      <c r="G38" s="935">
        <v>46568</v>
      </c>
      <c r="H38" s="890">
        <f>mOption!L37</f>
        <v>0</v>
      </c>
      <c r="I38" s="890">
        <f>mOption!N37</f>
        <v>0</v>
      </c>
      <c r="J38" s="917">
        <f>mOption!O37</f>
        <v>0</v>
      </c>
      <c r="K38" s="917">
        <f>mOption!P37</f>
        <v>0</v>
      </c>
      <c r="L38" s="890">
        <f>mOption!Q37</f>
        <v>0</v>
      </c>
      <c r="M38" s="890">
        <f>mOption!R37</f>
        <v>0</v>
      </c>
      <c r="N38" s="890">
        <f>mOption!S37</f>
        <v>0</v>
      </c>
      <c r="O38" s="890">
        <f>mOption!T37</f>
        <v>0</v>
      </c>
      <c r="P38" s="890">
        <f>mOption!U37</f>
        <v>0</v>
      </c>
      <c r="Q38" s="890">
        <f>mOption!V37</f>
        <v>0</v>
      </c>
      <c r="R38" s="940">
        <f>mOption!W37</f>
        <v>0</v>
      </c>
      <c r="S38" s="12"/>
      <c r="T38" s="1021">
        <f>iProject!I37</f>
        <v>29</v>
      </c>
      <c r="U38" s="318">
        <f>iProject!J37</f>
        <v>0</v>
      </c>
      <c r="V38" s="320" t="str">
        <f>iProject!K37</f>
        <v>Bench</v>
      </c>
      <c r="W38" s="318">
        <f>iProject!M37</f>
        <v>17671.458676442588</v>
      </c>
      <c r="X38" s="322">
        <f>iProject!N37</f>
        <v>2.7246397345111039E-2</v>
      </c>
      <c r="Y38" s="323">
        <f>iBudget!Q37</f>
        <v>623942.49920304283</v>
      </c>
      <c r="Z38" s="324">
        <f>iBudget!R37</f>
        <v>227779.88180512827</v>
      </c>
      <c r="AA38" s="325">
        <f>iBudget!S37</f>
        <v>851722.38100817113</v>
      </c>
      <c r="AB38" s="326">
        <v>1490514.1667642994</v>
      </c>
      <c r="AC38" s="317">
        <v>1703444.7620163423</v>
      </c>
      <c r="AD38" s="317">
        <v>1916375.3572683851</v>
      </c>
      <c r="AE38" s="317">
        <v>2129305.9525204278</v>
      </c>
      <c r="AF38" s="316">
        <v>2342236.5477724704</v>
      </c>
      <c r="AG38" s="317">
        <v>1888693.7024825632</v>
      </c>
      <c r="AH38" s="721">
        <v>42</v>
      </c>
      <c r="AI38" s="318">
        <v>4</v>
      </c>
      <c r="AJ38" s="1022">
        <v>2129305.9525204278</v>
      </c>
      <c r="AK38" s="268"/>
      <c r="AL38" s="268"/>
      <c r="AM38" s="324">
        <f>iBudget!AB37</f>
        <v>2020444.9789536975</v>
      </c>
      <c r="AN38" s="324">
        <f t="shared" si="0"/>
        <v>-108860.97356673027</v>
      </c>
      <c r="AQ38" s="336"/>
      <c r="AR38" s="336"/>
      <c r="AS38" s="415"/>
    </row>
    <row r="39" spans="6:45">
      <c r="F39" s="939">
        <v>30</v>
      </c>
      <c r="G39" s="935">
        <v>46599</v>
      </c>
      <c r="H39" s="890">
        <f>mOption!L38</f>
        <v>0</v>
      </c>
      <c r="I39" s="890">
        <f>mOption!N38</f>
        <v>0</v>
      </c>
      <c r="J39" s="917">
        <f>mOption!O38</f>
        <v>0</v>
      </c>
      <c r="K39" s="917">
        <f>mOption!P38</f>
        <v>0</v>
      </c>
      <c r="L39" s="890">
        <f>mOption!Q38</f>
        <v>0</v>
      </c>
      <c r="M39" s="890">
        <f>mOption!R38</f>
        <v>0</v>
      </c>
      <c r="N39" s="890">
        <f>mOption!S38</f>
        <v>0</v>
      </c>
      <c r="O39" s="890">
        <f>mOption!T38</f>
        <v>0</v>
      </c>
      <c r="P39" s="890">
        <f>mOption!U38</f>
        <v>0</v>
      </c>
      <c r="Q39" s="890">
        <f>mOption!V38</f>
        <v>0</v>
      </c>
      <c r="R39" s="940">
        <f>mOption!W38</f>
        <v>0</v>
      </c>
      <c r="S39" s="12"/>
      <c r="T39" s="1021">
        <f>iProject!I38</f>
        <v>30</v>
      </c>
      <c r="U39" s="318">
        <f>iProject!J38</f>
        <v>0</v>
      </c>
      <c r="V39" s="320" t="str">
        <f>iProject!K38</f>
        <v>Bench</v>
      </c>
      <c r="W39" s="318">
        <f>iProject!M38</f>
        <v>7853.981633974483</v>
      </c>
      <c r="X39" s="322">
        <f>iProject!N38</f>
        <v>1.210950993116046E-2</v>
      </c>
      <c r="Y39" s="323">
        <f>iBudget!Q38</f>
        <v>277307.77742357453</v>
      </c>
      <c r="Z39" s="324">
        <f>iBudget!R38</f>
        <v>101235.50302450145</v>
      </c>
      <c r="AA39" s="325">
        <f>iBudget!S38</f>
        <v>378543.28044807597</v>
      </c>
      <c r="AB39" s="326">
        <v>662450.74078413297</v>
      </c>
      <c r="AC39" s="317">
        <v>757086.56089615193</v>
      </c>
      <c r="AD39" s="317">
        <v>851722.38100817089</v>
      </c>
      <c r="AE39" s="317">
        <v>946358.20112018986</v>
      </c>
      <c r="AF39" s="316">
        <v>1040994.0212322089</v>
      </c>
      <c r="AG39" s="317">
        <v>842003.84273237432</v>
      </c>
      <c r="AH39" s="721">
        <v>42</v>
      </c>
      <c r="AI39" s="318">
        <v>4</v>
      </c>
      <c r="AJ39" s="1022">
        <v>946358.20112018986</v>
      </c>
      <c r="AK39" s="268"/>
      <c r="AL39" s="268"/>
      <c r="AM39" s="324">
        <f>iBudget!AB38</f>
        <v>900740.24923797848</v>
      </c>
      <c r="AN39" s="324">
        <f t="shared" si="0"/>
        <v>-45617.951882211375</v>
      </c>
      <c r="AQ39" s="336"/>
      <c r="AR39" s="336"/>
      <c r="AS39" s="415"/>
    </row>
    <row r="40" spans="6:45">
      <c r="F40" s="939">
        <v>31</v>
      </c>
      <c r="G40" s="935">
        <v>46630</v>
      </c>
      <c r="H40" s="890">
        <f>mOption!L39</f>
        <v>0</v>
      </c>
      <c r="I40" s="890">
        <f>mOption!N39</f>
        <v>0</v>
      </c>
      <c r="J40" s="917">
        <f>mOption!O39</f>
        <v>0</v>
      </c>
      <c r="K40" s="917">
        <f>mOption!P39</f>
        <v>0</v>
      </c>
      <c r="L40" s="890">
        <f>mOption!Q39</f>
        <v>0</v>
      </c>
      <c r="M40" s="890">
        <f>mOption!R39</f>
        <v>0</v>
      </c>
      <c r="N40" s="890">
        <f>mOption!S39</f>
        <v>0</v>
      </c>
      <c r="O40" s="890">
        <f>mOption!T39</f>
        <v>0</v>
      </c>
      <c r="P40" s="890">
        <f>mOption!U39</f>
        <v>0</v>
      </c>
      <c r="Q40" s="890">
        <f>mOption!V39</f>
        <v>0</v>
      </c>
      <c r="R40" s="940">
        <f>mOption!W39</f>
        <v>0</v>
      </c>
      <c r="S40" s="12"/>
      <c r="T40" s="1021">
        <f>iProject!I39</f>
        <v>31</v>
      </c>
      <c r="U40" s="318">
        <f>iProject!J39</f>
        <v>0</v>
      </c>
      <c r="V40" s="320" t="str">
        <f>iProject!K39</f>
        <v>Bench</v>
      </c>
      <c r="W40" s="318">
        <f>iProject!M39</f>
        <v>7853.981633974483</v>
      </c>
      <c r="X40" s="322">
        <f>iProject!N39</f>
        <v>1.210950993116046E-2</v>
      </c>
      <c r="Y40" s="323">
        <f>iBudget!Q39</f>
        <v>277307.77742357453</v>
      </c>
      <c r="Z40" s="324">
        <f>iBudget!R39</f>
        <v>101235.50302450145</v>
      </c>
      <c r="AA40" s="325">
        <f>iBudget!S39</f>
        <v>378543.28044807597</v>
      </c>
      <c r="AB40" s="326">
        <v>662450.74078413297</v>
      </c>
      <c r="AC40" s="317">
        <v>757086.56089615193</v>
      </c>
      <c r="AD40" s="317">
        <v>851722.38100817089</v>
      </c>
      <c r="AE40" s="317">
        <v>946358.20112018986</v>
      </c>
      <c r="AF40" s="316">
        <v>1040994.0212322089</v>
      </c>
      <c r="AG40" s="317">
        <v>954271.02176335745</v>
      </c>
      <c r="AH40" s="721">
        <v>39</v>
      </c>
      <c r="AI40" s="318">
        <v>4</v>
      </c>
      <c r="AJ40" s="1022">
        <v>946358.20112018986</v>
      </c>
      <c r="AK40" s="268"/>
      <c r="AL40" s="268"/>
      <c r="AM40" s="324">
        <f>iBudget!AB39</f>
        <v>1020838.9491363756</v>
      </c>
      <c r="AN40" s="324">
        <f t="shared" si="0"/>
        <v>74480.748016185709</v>
      </c>
      <c r="AQ40" s="336"/>
      <c r="AR40" s="336"/>
      <c r="AS40" s="415"/>
    </row>
    <row r="41" spans="6:45">
      <c r="F41" s="939">
        <v>32</v>
      </c>
      <c r="G41" s="935">
        <v>46660</v>
      </c>
      <c r="H41" s="890">
        <f>mOption!L40</f>
        <v>0</v>
      </c>
      <c r="I41" s="890">
        <f>mOption!N40</f>
        <v>0</v>
      </c>
      <c r="J41" s="917">
        <f>mOption!O40</f>
        <v>0</v>
      </c>
      <c r="K41" s="917">
        <f>mOption!P40</f>
        <v>0</v>
      </c>
      <c r="L41" s="890">
        <f>mOption!Q40</f>
        <v>0</v>
      </c>
      <c r="M41" s="890">
        <f>mOption!R40</f>
        <v>0</v>
      </c>
      <c r="N41" s="890">
        <f>mOption!S40</f>
        <v>0</v>
      </c>
      <c r="O41" s="890">
        <f>mOption!T40</f>
        <v>3691982.2980156438</v>
      </c>
      <c r="P41" s="890">
        <f>mOption!U40</f>
        <v>0</v>
      </c>
      <c r="Q41" s="890">
        <f>mOption!V40</f>
        <v>3691982.2980156438</v>
      </c>
      <c r="R41" s="940">
        <f>mOption!W40</f>
        <v>3691982.2980156438</v>
      </c>
      <c r="S41" s="12"/>
      <c r="T41" s="1021">
        <f>iProject!I40</f>
        <v>32</v>
      </c>
      <c r="U41" s="318">
        <f>iProject!J40</f>
        <v>0</v>
      </c>
      <c r="V41" s="320" t="str">
        <f>iProject!K40</f>
        <v>Bench</v>
      </c>
      <c r="W41" s="318">
        <f>iProject!M40</f>
        <v>7853.981633974483</v>
      </c>
      <c r="X41" s="322">
        <f>iProject!N40</f>
        <v>1.210950993116046E-2</v>
      </c>
      <c r="Y41" s="323">
        <f>iBudget!Q40</f>
        <v>277307.77742357453</v>
      </c>
      <c r="Z41" s="324">
        <f>iBudget!R40</f>
        <v>101235.50302450145</v>
      </c>
      <c r="AA41" s="325">
        <f>iBudget!S40</f>
        <v>378543.28044807597</v>
      </c>
      <c r="AB41" s="326">
        <v>662450.74078413297</v>
      </c>
      <c r="AC41" s="317">
        <v>757086.56089615193</v>
      </c>
      <c r="AD41" s="317">
        <v>851722.38100817089</v>
      </c>
      <c r="AE41" s="317">
        <v>946358.20112018986</v>
      </c>
      <c r="AF41" s="316">
        <v>1040994.0212322089</v>
      </c>
      <c r="AG41" s="317">
        <v>954271.02176335745</v>
      </c>
      <c r="AH41" s="721">
        <v>39</v>
      </c>
      <c r="AI41" s="318">
        <v>4</v>
      </c>
      <c r="AJ41" s="1022">
        <v>946358.20112018986</v>
      </c>
      <c r="AK41" s="268"/>
      <c r="AL41" s="268"/>
      <c r="AM41" s="324">
        <f>iBudget!AB40</f>
        <v>1020838.9491363756</v>
      </c>
      <c r="AN41" s="324">
        <f t="shared" si="0"/>
        <v>74480.748016185709</v>
      </c>
      <c r="AQ41" s="336"/>
      <c r="AR41" s="336"/>
      <c r="AS41" s="336"/>
    </row>
    <row r="42" spans="6:45">
      <c r="F42" s="939">
        <v>33</v>
      </c>
      <c r="G42" s="935">
        <v>46691</v>
      </c>
      <c r="H42" s="890">
        <f>mOption!L41</f>
        <v>0</v>
      </c>
      <c r="I42" s="890">
        <f>mOption!N41</f>
        <v>0</v>
      </c>
      <c r="J42" s="917">
        <f>mOption!O41</f>
        <v>0</v>
      </c>
      <c r="K42" s="917">
        <f>mOption!P41</f>
        <v>0</v>
      </c>
      <c r="L42" s="890">
        <f>mOption!Q41</f>
        <v>0</v>
      </c>
      <c r="M42" s="890">
        <f>mOption!R41</f>
        <v>0</v>
      </c>
      <c r="N42" s="890">
        <f>mOption!S41</f>
        <v>0</v>
      </c>
      <c r="O42" s="890">
        <f>mOption!T41</f>
        <v>0</v>
      </c>
      <c r="P42" s="890">
        <f>mOption!U41</f>
        <v>0</v>
      </c>
      <c r="Q42" s="890">
        <f>mOption!V41</f>
        <v>0</v>
      </c>
      <c r="R42" s="940">
        <f>mOption!W41</f>
        <v>0</v>
      </c>
      <c r="S42" s="12"/>
      <c r="T42" s="1021">
        <f>iProject!I41</f>
        <v>33</v>
      </c>
      <c r="U42" s="318" t="str">
        <f>iProject!J41</f>
        <v>31,32</v>
      </c>
      <c r="V42" s="320" t="str">
        <f>iProject!K41</f>
        <v>Bench</v>
      </c>
      <c r="W42" s="318">
        <f>iProject!M41</f>
        <v>12271.846303085129</v>
      </c>
      <c r="X42" s="322">
        <f>iProject!N41</f>
        <v>1.8921109267438219E-2</v>
      </c>
      <c r="Y42" s="323">
        <f>iBudget!Q41</f>
        <v>433293.40222433524</v>
      </c>
      <c r="Z42" s="324">
        <f>iBudget!R41</f>
        <v>158180.47347578351</v>
      </c>
      <c r="AA42" s="325">
        <f>iBudget!S41</f>
        <v>591473.87570011872</v>
      </c>
      <c r="AB42" s="326">
        <v>1035079.2824752077</v>
      </c>
      <c r="AC42" s="317">
        <v>1182947.7514002374</v>
      </c>
      <c r="AD42" s="317">
        <v>1330816.2203252672</v>
      </c>
      <c r="AE42" s="317">
        <v>1478684.6892502969</v>
      </c>
      <c r="AF42" s="316">
        <v>1626553.1581753264</v>
      </c>
      <c r="AG42" s="317">
        <v>1924048.5599674587</v>
      </c>
      <c r="AH42" s="721">
        <v>42</v>
      </c>
      <c r="AI42" s="318">
        <v>4</v>
      </c>
      <c r="AJ42" s="1022">
        <v>1478684.6892502969</v>
      </c>
      <c r="AK42" s="268"/>
      <c r="AL42" s="268"/>
      <c r="AM42" s="324">
        <f>iBudget!AB41</f>
        <v>2058266.116490762</v>
      </c>
      <c r="AN42" s="324">
        <f t="shared" si="0"/>
        <v>579581.42724046507</v>
      </c>
      <c r="AQ42" s="336"/>
      <c r="AR42" s="336"/>
      <c r="AS42" s="336"/>
    </row>
    <row r="43" spans="6:45">
      <c r="F43" s="939">
        <v>34</v>
      </c>
      <c r="G43" s="935">
        <v>46721</v>
      </c>
      <c r="H43" s="890">
        <f>mOption!L42</f>
        <v>0</v>
      </c>
      <c r="I43" s="890">
        <f>mOption!N42</f>
        <v>0</v>
      </c>
      <c r="J43" s="917">
        <f>mOption!O42</f>
        <v>0</v>
      </c>
      <c r="K43" s="917">
        <f>mOption!P42</f>
        <v>0</v>
      </c>
      <c r="L43" s="890">
        <f>mOption!Q42</f>
        <v>0</v>
      </c>
      <c r="M43" s="890">
        <f>mOption!R42</f>
        <v>0</v>
      </c>
      <c r="N43" s="890">
        <f>mOption!S42</f>
        <v>0</v>
      </c>
      <c r="O43" s="890">
        <f>mOption!T42</f>
        <v>0</v>
      </c>
      <c r="P43" s="890">
        <f>mOption!U42</f>
        <v>0</v>
      </c>
      <c r="Q43" s="890">
        <f>mOption!V42</f>
        <v>0</v>
      </c>
      <c r="R43" s="940">
        <f>mOption!W42</f>
        <v>0</v>
      </c>
      <c r="S43" s="12"/>
      <c r="T43" s="1021">
        <f>iProject!I42</f>
        <v>34</v>
      </c>
      <c r="U43" s="318">
        <f>iProject!J42</f>
        <v>0</v>
      </c>
      <c r="V43" s="320" t="str">
        <f>iProject!K42</f>
        <v>Bench</v>
      </c>
      <c r="W43" s="318">
        <f>iProject!M42</f>
        <v>12271.846303085129</v>
      </c>
      <c r="X43" s="322">
        <f>iProject!N42</f>
        <v>1.8921109267438219E-2</v>
      </c>
      <c r="Y43" s="323">
        <f>iBudget!Q42</f>
        <v>433293.40222433524</v>
      </c>
      <c r="Z43" s="324">
        <f>iBudget!R42</f>
        <v>158180.47347578351</v>
      </c>
      <c r="AA43" s="325">
        <f>iBudget!S42</f>
        <v>591473.87570011872</v>
      </c>
      <c r="AB43" s="326">
        <v>1035079.2824752077</v>
      </c>
      <c r="AC43" s="317">
        <v>1182947.7514002374</v>
      </c>
      <c r="AD43" s="317">
        <v>1330816.2203252672</v>
      </c>
      <c r="AE43" s="317">
        <v>1478684.6892502969</v>
      </c>
      <c r="AF43" s="316">
        <v>1626553.1581753264</v>
      </c>
      <c r="AG43" s="317">
        <v>1924048.5599674587</v>
      </c>
      <c r="AH43" s="721">
        <v>42</v>
      </c>
      <c r="AI43" s="318">
        <v>4</v>
      </c>
      <c r="AJ43" s="1022">
        <v>1478684.6892502969</v>
      </c>
      <c r="AK43" s="268"/>
      <c r="AL43" s="268"/>
      <c r="AM43" s="324">
        <f>iBudget!AB42</f>
        <v>2058266.116490762</v>
      </c>
      <c r="AN43" s="324">
        <f t="shared" si="0"/>
        <v>579581.42724046507</v>
      </c>
      <c r="AQ43" s="336"/>
      <c r="AR43" s="336"/>
      <c r="AS43" s="336"/>
    </row>
    <row r="44" spans="6:45">
      <c r="F44" s="939">
        <v>35</v>
      </c>
      <c r="G44" s="935">
        <v>46752</v>
      </c>
      <c r="H44" s="890">
        <f>mOption!L43</f>
        <v>0</v>
      </c>
      <c r="I44" s="890">
        <f>mOption!N43</f>
        <v>0</v>
      </c>
      <c r="J44" s="917">
        <f>mOption!O43</f>
        <v>0</v>
      </c>
      <c r="K44" s="917">
        <f>mOption!P43</f>
        <v>0</v>
      </c>
      <c r="L44" s="890">
        <f>mOption!Q43</f>
        <v>0</v>
      </c>
      <c r="M44" s="890">
        <f>mOption!R43</f>
        <v>0</v>
      </c>
      <c r="N44" s="890">
        <f>mOption!S43</f>
        <v>0</v>
      </c>
      <c r="O44" s="890">
        <f>mOption!T43</f>
        <v>0</v>
      </c>
      <c r="P44" s="890">
        <f>mOption!U43</f>
        <v>0</v>
      </c>
      <c r="Q44" s="890">
        <f>mOption!V43</f>
        <v>0</v>
      </c>
      <c r="R44" s="940">
        <f>mOption!W43</f>
        <v>0</v>
      </c>
      <c r="S44" s="12"/>
      <c r="T44" s="1021">
        <f>iProject!I43</f>
        <v>35</v>
      </c>
      <c r="U44" s="318">
        <f>iProject!J43</f>
        <v>0</v>
      </c>
      <c r="V44" s="320" t="str">
        <f>iProject!K43</f>
        <v>Hillside</v>
      </c>
      <c r="W44" s="318">
        <f>iProject!M43</f>
        <v>17671.458676442588</v>
      </c>
      <c r="X44" s="322">
        <f>iProject!N43</f>
        <v>2.7246397345111039E-2</v>
      </c>
      <c r="Y44" s="323">
        <f>iBudget!Q43</f>
        <v>623942.49920304283</v>
      </c>
      <c r="Z44" s="324">
        <f>iBudget!R43</f>
        <v>227779.88180512827</v>
      </c>
      <c r="AA44" s="325">
        <f>iBudget!S43</f>
        <v>851722.38100817113</v>
      </c>
      <c r="AB44" s="326">
        <v>1490514.1667642994</v>
      </c>
      <c r="AC44" s="317">
        <v>1703444.7620163423</v>
      </c>
      <c r="AD44" s="317">
        <v>1916375.3572683851</v>
      </c>
      <c r="AE44" s="317">
        <v>2129305.9525204278</v>
      </c>
      <c r="AF44" s="316">
        <v>2342236.5477724704</v>
      </c>
      <c r="AG44" s="317">
        <v>2392345.3564779134</v>
      </c>
      <c r="AH44" s="721">
        <v>49</v>
      </c>
      <c r="AI44" s="318">
        <v>5</v>
      </c>
      <c r="AJ44" s="1022">
        <v>2342236.5477724704</v>
      </c>
      <c r="AK44" s="268"/>
      <c r="AL44" s="268"/>
      <c r="AM44" s="324">
        <f>iBudget!AB43</f>
        <v>2559230.3066746835</v>
      </c>
      <c r="AN44" s="324">
        <f t="shared" si="0"/>
        <v>216993.75890221307</v>
      </c>
      <c r="AQ44" s="336"/>
      <c r="AR44" s="336"/>
      <c r="AS44" s="336"/>
    </row>
    <row r="45" spans="6:45">
      <c r="F45" s="939">
        <v>36</v>
      </c>
      <c r="G45" s="935">
        <v>46783</v>
      </c>
      <c r="H45" s="890">
        <f>mOption!L44</f>
        <v>0</v>
      </c>
      <c r="I45" s="890">
        <f>mOption!N44</f>
        <v>0</v>
      </c>
      <c r="J45" s="917">
        <f>mOption!O44</f>
        <v>0</v>
      </c>
      <c r="K45" s="917">
        <f>mOption!P44</f>
        <v>0</v>
      </c>
      <c r="L45" s="890">
        <f>mOption!Q44</f>
        <v>0</v>
      </c>
      <c r="M45" s="890">
        <f>mOption!R44</f>
        <v>0</v>
      </c>
      <c r="N45" s="890">
        <f>mOption!S44</f>
        <v>0</v>
      </c>
      <c r="O45" s="890">
        <f>mOption!T44</f>
        <v>0</v>
      </c>
      <c r="P45" s="890">
        <f>mOption!U44</f>
        <v>0</v>
      </c>
      <c r="Q45" s="890">
        <f>mOption!V44</f>
        <v>0</v>
      </c>
      <c r="R45" s="940">
        <f>mOption!W44</f>
        <v>0</v>
      </c>
      <c r="S45" s="12"/>
      <c r="T45" s="1021">
        <f>iProject!I44</f>
        <v>36</v>
      </c>
      <c r="U45" s="318">
        <f>iProject!J44</f>
        <v>0</v>
      </c>
      <c r="V45" s="320" t="str">
        <f>iProject!K44</f>
        <v>Hillside</v>
      </c>
      <c r="W45" s="318">
        <f>iProject!M44</f>
        <v>17671.458676442588</v>
      </c>
      <c r="X45" s="322">
        <f>iProject!N44</f>
        <v>2.7246397345111039E-2</v>
      </c>
      <c r="Y45" s="323">
        <f>iBudget!Q44</f>
        <v>623942.49920304283</v>
      </c>
      <c r="Z45" s="324">
        <f>iBudget!R44</f>
        <v>227779.88180512827</v>
      </c>
      <c r="AA45" s="325">
        <f>iBudget!S44</f>
        <v>851722.38100817113</v>
      </c>
      <c r="AB45" s="326">
        <v>1490514.1667642994</v>
      </c>
      <c r="AC45" s="317">
        <v>1703444.7620163423</v>
      </c>
      <c r="AD45" s="317">
        <v>1916375.3572683851</v>
      </c>
      <c r="AE45" s="317">
        <v>2129305.9525204278</v>
      </c>
      <c r="AF45" s="316">
        <v>2342236.5477724704</v>
      </c>
      <c r="AG45" s="317">
        <v>2518258.2699767514</v>
      </c>
      <c r="AH45" s="721">
        <v>49</v>
      </c>
      <c r="AI45" s="318">
        <v>5</v>
      </c>
      <c r="AJ45" s="1022">
        <v>2342236.5477724704</v>
      </c>
      <c r="AK45" s="268"/>
      <c r="AL45" s="268"/>
      <c r="AM45" s="324">
        <f>iBudget!AB44</f>
        <v>2693926.6386049301</v>
      </c>
      <c r="AN45" s="324">
        <f t="shared" si="0"/>
        <v>351690.09083245974</v>
      </c>
      <c r="AQ45" s="336"/>
      <c r="AR45" s="336"/>
      <c r="AS45" s="336"/>
    </row>
    <row r="46" spans="6:45">
      <c r="F46" s="939">
        <v>37</v>
      </c>
      <c r="G46" s="935">
        <v>46812</v>
      </c>
      <c r="H46" s="890">
        <f>mOption!L45</f>
        <v>0</v>
      </c>
      <c r="I46" s="890">
        <f>mOption!N45</f>
        <v>0</v>
      </c>
      <c r="J46" s="917">
        <f>mOption!O45</f>
        <v>0</v>
      </c>
      <c r="K46" s="917">
        <f>mOption!P45</f>
        <v>0</v>
      </c>
      <c r="L46" s="890">
        <f>mOption!Q45</f>
        <v>0</v>
      </c>
      <c r="M46" s="890">
        <f>mOption!R45</f>
        <v>0</v>
      </c>
      <c r="N46" s="890">
        <f>mOption!S45</f>
        <v>3607990.6417707247</v>
      </c>
      <c r="O46" s="890">
        <f>mOption!T45</f>
        <v>1478684.6892502969</v>
      </c>
      <c r="P46" s="890">
        <f>mOption!U45</f>
        <v>0</v>
      </c>
      <c r="Q46" s="890">
        <f>mOption!V45</f>
        <v>5086675.3310210221</v>
      </c>
      <c r="R46" s="940">
        <f>mOption!W45</f>
        <v>5086675.3310210221</v>
      </c>
      <c r="S46" s="12"/>
      <c r="T46" s="1021">
        <f>iProject!I45</f>
        <v>37</v>
      </c>
      <c r="U46" s="318">
        <f>iProject!J45</f>
        <v>0</v>
      </c>
      <c r="V46" s="320" t="str">
        <f>iProject!K45</f>
        <v>Hillside</v>
      </c>
      <c r="W46" s="318">
        <f>iProject!M45</f>
        <v>12271.846303085129</v>
      </c>
      <c r="X46" s="322">
        <f>iProject!N45</f>
        <v>1.8921109267438219E-2</v>
      </c>
      <c r="Y46" s="323">
        <f>iBudget!Q45</f>
        <v>433293.40222433524</v>
      </c>
      <c r="Z46" s="324">
        <f>iBudget!R45</f>
        <v>158180.47347578351</v>
      </c>
      <c r="AA46" s="325">
        <f>iBudget!S45</f>
        <v>591473.87570011872</v>
      </c>
      <c r="AB46" s="326">
        <v>1035079.2824752077</v>
      </c>
      <c r="AC46" s="317">
        <v>1182947.7514002374</v>
      </c>
      <c r="AD46" s="317">
        <v>1330816.2203252672</v>
      </c>
      <c r="AE46" s="317">
        <v>1478684.6892502969</v>
      </c>
      <c r="AF46" s="316">
        <v>1626553.1581753264</v>
      </c>
      <c r="AG46" s="317">
        <v>1924048.5599674587</v>
      </c>
      <c r="AH46" s="721">
        <v>51</v>
      </c>
      <c r="AI46" s="318">
        <v>5</v>
      </c>
      <c r="AJ46" s="1022">
        <v>1626553.1581753264</v>
      </c>
      <c r="AK46" s="268"/>
      <c r="AL46" s="268"/>
      <c r="AM46" s="324">
        <f>iBudget!AB45</f>
        <v>2058266.116490762</v>
      </c>
      <c r="AN46" s="324">
        <f t="shared" si="0"/>
        <v>431712.95831543556</v>
      </c>
    </row>
    <row r="47" spans="6:45">
      <c r="F47" s="939">
        <v>38</v>
      </c>
      <c r="G47" s="935">
        <v>46843</v>
      </c>
      <c r="H47" s="890">
        <f>mOption!L46</f>
        <v>0</v>
      </c>
      <c r="I47" s="890">
        <f>mOption!N46</f>
        <v>0</v>
      </c>
      <c r="J47" s="917">
        <f>mOption!O46</f>
        <v>0</v>
      </c>
      <c r="K47" s="917">
        <f>mOption!P46</f>
        <v>0</v>
      </c>
      <c r="L47" s="890">
        <f>mOption!Q46</f>
        <v>0</v>
      </c>
      <c r="M47" s="890">
        <f>mOption!R46</f>
        <v>0</v>
      </c>
      <c r="N47" s="890">
        <f>mOption!S46</f>
        <v>0</v>
      </c>
      <c r="O47" s="890">
        <f>mOption!T46</f>
        <v>0</v>
      </c>
      <c r="P47" s="890">
        <f>mOption!U46</f>
        <v>0</v>
      </c>
      <c r="Q47" s="890">
        <f>mOption!V46</f>
        <v>0</v>
      </c>
      <c r="R47" s="940">
        <f>mOption!W46</f>
        <v>0</v>
      </c>
      <c r="S47" s="12"/>
      <c r="T47" s="1021">
        <f>iProject!I46</f>
        <v>38</v>
      </c>
      <c r="U47" s="318">
        <f>iProject!J46</f>
        <v>0</v>
      </c>
      <c r="V47" s="320" t="str">
        <f>iProject!K46</f>
        <v>Hillside</v>
      </c>
      <c r="W47" s="318">
        <f>iProject!M46</f>
        <v>12271.846303085129</v>
      </c>
      <c r="X47" s="322">
        <f>iProject!N46</f>
        <v>1.8921109267438219E-2</v>
      </c>
      <c r="Y47" s="323">
        <f>iBudget!Q46</f>
        <v>433293.40222433524</v>
      </c>
      <c r="Z47" s="324">
        <f>iBudget!R46</f>
        <v>158180.47347578351</v>
      </c>
      <c r="AA47" s="325">
        <f>iBudget!S46</f>
        <v>591473.87570011872</v>
      </c>
      <c r="AB47" s="326">
        <v>1035079.2824752077</v>
      </c>
      <c r="AC47" s="317">
        <v>1182947.7514002374</v>
      </c>
      <c r="AD47" s="317">
        <v>1330816.2203252672</v>
      </c>
      <c r="AE47" s="317">
        <v>1478684.6892502969</v>
      </c>
      <c r="AF47" s="316">
        <v>1626553.1581753264</v>
      </c>
      <c r="AG47" s="317">
        <v>2186418.8181448393</v>
      </c>
      <c r="AH47" s="721">
        <v>51</v>
      </c>
      <c r="AI47" s="318">
        <v>5</v>
      </c>
      <c r="AJ47" s="1022">
        <v>1626553.1581753264</v>
      </c>
      <c r="AK47" s="268"/>
      <c r="AL47" s="268"/>
      <c r="AM47" s="324">
        <f>iBudget!AB46</f>
        <v>2338938.7687395019</v>
      </c>
      <c r="AN47" s="324">
        <f t="shared" si="0"/>
        <v>712385.61056417553</v>
      </c>
    </row>
    <row r="48" spans="6:45">
      <c r="F48" s="939">
        <v>39</v>
      </c>
      <c r="G48" s="935">
        <v>46873</v>
      </c>
      <c r="H48" s="890">
        <f>mOption!L47</f>
        <v>0</v>
      </c>
      <c r="I48" s="890">
        <f>mOption!N47</f>
        <v>0</v>
      </c>
      <c r="J48" s="917">
        <f>mOption!O47</f>
        <v>0</v>
      </c>
      <c r="K48" s="917">
        <f>mOption!P47</f>
        <v>0</v>
      </c>
      <c r="L48" s="890">
        <f>mOption!Q47</f>
        <v>0</v>
      </c>
      <c r="M48" s="890">
        <f>mOption!R47</f>
        <v>0</v>
      </c>
      <c r="N48" s="890">
        <f>mOption!S47</f>
        <v>6631605.0943497308</v>
      </c>
      <c r="O48" s="890">
        <f>mOption!T47</f>
        <v>1892716.4022403797</v>
      </c>
      <c r="P48" s="890">
        <f>mOption!U47</f>
        <v>0</v>
      </c>
      <c r="Q48" s="890">
        <f>mOption!V47</f>
        <v>8524321.4965901114</v>
      </c>
      <c r="R48" s="940">
        <f>mOption!W47</f>
        <v>8524321.4965901114</v>
      </c>
      <c r="S48" s="12"/>
      <c r="T48" s="1021">
        <f>iProject!I47</f>
        <v>39</v>
      </c>
      <c r="U48" s="318">
        <f>iProject!J47</f>
        <v>0</v>
      </c>
      <c r="V48" s="320" t="str">
        <f>iProject!K47</f>
        <v>Hillside</v>
      </c>
      <c r="W48" s="318">
        <f>iProject!M47</f>
        <v>17671.458676442588</v>
      </c>
      <c r="X48" s="322">
        <f>iProject!N47</f>
        <v>2.7246397345111039E-2</v>
      </c>
      <c r="Y48" s="323">
        <f>iBudget!Q47</f>
        <v>623942.49920304283</v>
      </c>
      <c r="Z48" s="324">
        <f>iBudget!R47</f>
        <v>227779.88180512827</v>
      </c>
      <c r="AA48" s="325">
        <f>iBudget!S47</f>
        <v>851722.38100817113</v>
      </c>
      <c r="AB48" s="326">
        <v>1490514.1667642994</v>
      </c>
      <c r="AC48" s="317">
        <v>1703444.7620163423</v>
      </c>
      <c r="AD48" s="317">
        <v>1916375.3572683851</v>
      </c>
      <c r="AE48" s="317">
        <v>2129305.9525204278</v>
      </c>
      <c r="AF48" s="316">
        <v>2342236.5477724704</v>
      </c>
      <c r="AG48" s="317">
        <v>2895997.0104732639</v>
      </c>
      <c r="AH48" s="721">
        <v>54</v>
      </c>
      <c r="AI48" s="318">
        <v>5</v>
      </c>
      <c r="AJ48" s="1022">
        <v>2342236.5477724704</v>
      </c>
      <c r="AK48" s="268"/>
      <c r="AL48" s="268"/>
      <c r="AM48" s="324">
        <f>iBudget!AB47</f>
        <v>3098015.6343956697</v>
      </c>
      <c r="AN48" s="324">
        <f t="shared" si="0"/>
        <v>755779.08662319928</v>
      </c>
    </row>
    <row r="49" spans="1:40">
      <c r="C49" s="60"/>
      <c r="E49" s="12"/>
      <c r="F49" s="939">
        <v>40</v>
      </c>
      <c r="G49" s="935">
        <v>46904</v>
      </c>
      <c r="H49" s="890">
        <f>mOption!L48</f>
        <v>0</v>
      </c>
      <c r="I49" s="890">
        <f>mOption!N48</f>
        <v>0</v>
      </c>
      <c r="J49" s="917">
        <f>mOption!O48</f>
        <v>0</v>
      </c>
      <c r="K49" s="917">
        <f>mOption!P48</f>
        <v>0</v>
      </c>
      <c r="L49" s="890">
        <f>mOption!Q48</f>
        <v>0</v>
      </c>
      <c r="M49" s="890">
        <f>mOption!R48</f>
        <v>0</v>
      </c>
      <c r="N49" s="890">
        <f>mOption!S48</f>
        <v>0</v>
      </c>
      <c r="O49" s="890">
        <f>mOption!T48</f>
        <v>0</v>
      </c>
      <c r="P49" s="890">
        <f>mOption!U48</f>
        <v>0</v>
      </c>
      <c r="Q49" s="890">
        <f>mOption!V48</f>
        <v>0</v>
      </c>
      <c r="R49" s="940">
        <f>mOption!W48</f>
        <v>0</v>
      </c>
      <c r="S49" s="12"/>
      <c r="T49" s="1021">
        <f>iProject!I48</f>
        <v>40</v>
      </c>
      <c r="U49" s="318">
        <f>iProject!J48</f>
        <v>0</v>
      </c>
      <c r="V49" s="320" t="str">
        <f>iProject!K48</f>
        <v>Hillside</v>
      </c>
      <c r="W49" s="318">
        <f>iProject!M48</f>
        <v>12271.846303085129</v>
      </c>
      <c r="X49" s="322">
        <f>iProject!N48</f>
        <v>1.8921109267438219E-2</v>
      </c>
      <c r="Y49" s="323">
        <f>iBudget!Q48</f>
        <v>433293.40222433524</v>
      </c>
      <c r="Z49" s="324">
        <f>iBudget!R48</f>
        <v>158180.47347578351</v>
      </c>
      <c r="AA49" s="325">
        <f>iBudget!S48</f>
        <v>591473.87570011872</v>
      </c>
      <c r="AB49" s="326">
        <v>1035079.2824752077</v>
      </c>
      <c r="AC49" s="317">
        <v>1182947.7514002374</v>
      </c>
      <c r="AD49" s="317">
        <v>1330816.2203252672</v>
      </c>
      <c r="AE49" s="317">
        <v>1478684.6892502969</v>
      </c>
      <c r="AF49" s="316">
        <v>1626553.1581753264</v>
      </c>
      <c r="AG49" s="317">
        <v>2011505.3126932518</v>
      </c>
      <c r="AH49" s="721">
        <v>54</v>
      </c>
      <c r="AI49" s="318">
        <v>5</v>
      </c>
      <c r="AJ49" s="1022">
        <v>1626553.1581753264</v>
      </c>
      <c r="AK49" s="268"/>
      <c r="AL49" s="268"/>
      <c r="AM49" s="324">
        <f>iBudget!AB48</f>
        <v>2151823.6672403417</v>
      </c>
      <c r="AN49" s="324">
        <f t="shared" si="0"/>
        <v>525270.50906501524</v>
      </c>
    </row>
    <row r="50" spans="1:40">
      <c r="C50" s="60"/>
      <c r="E50" s="12"/>
      <c r="F50" s="939">
        <v>41</v>
      </c>
      <c r="G50" s="935">
        <v>46934</v>
      </c>
      <c r="H50" s="890">
        <f>mOption!L49</f>
        <v>0</v>
      </c>
      <c r="I50" s="890">
        <f>mOption!N49</f>
        <v>0</v>
      </c>
      <c r="J50" s="917">
        <f>mOption!O49</f>
        <v>0</v>
      </c>
      <c r="K50" s="917">
        <f>mOption!P49</f>
        <v>0</v>
      </c>
      <c r="L50" s="890">
        <f>mOption!Q49</f>
        <v>0</v>
      </c>
      <c r="M50" s="890">
        <f>mOption!R49</f>
        <v>0</v>
      </c>
      <c r="N50" s="890">
        <f>mOption!S49</f>
        <v>0</v>
      </c>
      <c r="O50" s="890">
        <f>mOption!T49</f>
        <v>0</v>
      </c>
      <c r="P50" s="890">
        <f>mOption!U49</f>
        <v>0</v>
      </c>
      <c r="Q50" s="890">
        <f>mOption!V49</f>
        <v>0</v>
      </c>
      <c r="R50" s="940">
        <f>mOption!W49</f>
        <v>0</v>
      </c>
      <c r="S50" s="12"/>
      <c r="T50" s="1021">
        <f>iProject!I49</f>
        <v>41</v>
      </c>
      <c r="U50" s="318">
        <f>iProject!J49</f>
        <v>0</v>
      </c>
      <c r="V50" s="320" t="str">
        <f>iProject!K49</f>
        <v>Hillside</v>
      </c>
      <c r="W50" s="318">
        <f>iProject!M49</f>
        <v>7853.981633974483</v>
      </c>
      <c r="X50" s="322">
        <f>iProject!N49</f>
        <v>1.210950993116046E-2</v>
      </c>
      <c r="Y50" s="323">
        <f>iBudget!Q49</f>
        <v>277307.77742357453</v>
      </c>
      <c r="Z50" s="324">
        <f>iBudget!R49</f>
        <v>101235.50302450145</v>
      </c>
      <c r="AA50" s="325">
        <f>iBudget!S49</f>
        <v>378543.28044807597</v>
      </c>
      <c r="AB50" s="326">
        <v>662450.74078413297</v>
      </c>
      <c r="AC50" s="317">
        <v>757086.56089615193</v>
      </c>
      <c r="AD50" s="317">
        <v>851722.38100817089</v>
      </c>
      <c r="AE50" s="317">
        <v>946358.20112018986</v>
      </c>
      <c r="AF50" s="316">
        <v>1040994.0212322089</v>
      </c>
      <c r="AG50" s="317">
        <v>1403339.7378872908</v>
      </c>
      <c r="AH50" s="721">
        <v>60</v>
      </c>
      <c r="AI50" s="318">
        <v>5</v>
      </c>
      <c r="AJ50" s="1022">
        <v>1040994.0212322089</v>
      </c>
      <c r="AK50" s="268"/>
      <c r="AL50" s="268"/>
      <c r="AM50" s="324">
        <f>iBudget!AB49</f>
        <v>1501233.7487299643</v>
      </c>
      <c r="AN50" s="324">
        <f t="shared" si="0"/>
        <v>460239.72749775532</v>
      </c>
    </row>
    <row r="51" spans="1:40">
      <c r="C51" s="60"/>
      <c r="E51" s="12"/>
      <c r="F51" s="939">
        <v>42</v>
      </c>
      <c r="G51" s="935">
        <v>46965</v>
      </c>
      <c r="H51" s="890">
        <f>mOption!L50</f>
        <v>0</v>
      </c>
      <c r="I51" s="890">
        <f>mOption!N50</f>
        <v>0</v>
      </c>
      <c r="J51" s="917">
        <f>mOption!O50</f>
        <v>0</v>
      </c>
      <c r="K51" s="917">
        <f>mOption!P50</f>
        <v>0</v>
      </c>
      <c r="L51" s="890">
        <f>mOption!Q50</f>
        <v>0</v>
      </c>
      <c r="M51" s="890">
        <f>mOption!R50</f>
        <v>0</v>
      </c>
      <c r="N51" s="890">
        <f>mOption!S50</f>
        <v>0</v>
      </c>
      <c r="O51" s="890">
        <f>mOption!T50</f>
        <v>6033033.5321412114</v>
      </c>
      <c r="P51" s="890">
        <f>mOption!U50</f>
        <v>0</v>
      </c>
      <c r="Q51" s="890">
        <f>mOption!V50</f>
        <v>6033033.5321412114</v>
      </c>
      <c r="R51" s="940">
        <f>mOption!W50</f>
        <v>6033033.5321412114</v>
      </c>
      <c r="S51" s="12"/>
      <c r="T51" s="1021">
        <f>iProject!I50</f>
        <v>42</v>
      </c>
      <c r="U51" s="318">
        <f>iProject!J50</f>
        <v>0</v>
      </c>
      <c r="V51" s="320" t="str">
        <f>iProject!K50</f>
        <v>Hillside</v>
      </c>
      <c r="W51" s="318">
        <f>iProject!M50</f>
        <v>17671.458676442588</v>
      </c>
      <c r="X51" s="322">
        <f>iProject!N50</f>
        <v>2.7246397345111039E-2</v>
      </c>
      <c r="Y51" s="323">
        <f>iBudget!Q50</f>
        <v>623942.49920304283</v>
      </c>
      <c r="Z51" s="324">
        <f>iBudget!R50</f>
        <v>227779.88180512827</v>
      </c>
      <c r="AA51" s="325">
        <f>iBudget!S50</f>
        <v>851722.38100817113</v>
      </c>
      <c r="AB51" s="326">
        <v>1490514.1667642994</v>
      </c>
      <c r="AC51" s="317">
        <v>1703444.7620163423</v>
      </c>
      <c r="AD51" s="317">
        <v>1916375.3572683851</v>
      </c>
      <c r="AE51" s="317">
        <v>2129305.9525204278</v>
      </c>
      <c r="AF51" s="316">
        <v>2342236.5477724704</v>
      </c>
      <c r="AG51" s="317">
        <v>3399648.6644686144</v>
      </c>
      <c r="AH51" s="721">
        <v>61</v>
      </c>
      <c r="AI51" s="318">
        <v>6</v>
      </c>
      <c r="AJ51" s="1022">
        <v>3399648.6644686144</v>
      </c>
      <c r="AK51" s="268"/>
      <c r="AL51" s="268"/>
      <c r="AM51" s="324">
        <f>iBudget!AB50</f>
        <v>3636800.9621166564</v>
      </c>
      <c r="AN51" s="324">
        <f t="shared" si="0"/>
        <v>237152.29764804197</v>
      </c>
    </row>
    <row r="52" spans="1:40">
      <c r="C52" s="60"/>
      <c r="E52" s="12"/>
      <c r="F52" s="939">
        <v>43</v>
      </c>
      <c r="G52" s="935">
        <v>46996</v>
      </c>
      <c r="H52" s="890">
        <f>mOption!L51</f>
        <v>0</v>
      </c>
      <c r="I52" s="890">
        <f>mOption!N51</f>
        <v>0</v>
      </c>
      <c r="J52" s="917">
        <f>mOption!O51</f>
        <v>0</v>
      </c>
      <c r="K52" s="917">
        <f>mOption!P51</f>
        <v>0</v>
      </c>
      <c r="L52" s="890">
        <f>mOption!Q51</f>
        <v>0</v>
      </c>
      <c r="M52" s="890">
        <f>mOption!R51</f>
        <v>0</v>
      </c>
      <c r="N52" s="890">
        <f>mOption!S51</f>
        <v>0</v>
      </c>
      <c r="O52" s="890">
        <f>mOption!T51</f>
        <v>0</v>
      </c>
      <c r="P52" s="890">
        <f>mOption!U51</f>
        <v>0</v>
      </c>
      <c r="Q52" s="890">
        <f>mOption!V51</f>
        <v>0</v>
      </c>
      <c r="R52" s="940">
        <f>mOption!W51</f>
        <v>0</v>
      </c>
      <c r="S52" s="12"/>
      <c r="T52" s="1021">
        <f>iProject!I51</f>
        <v>43</v>
      </c>
      <c r="U52" s="318">
        <f>iProject!J51</f>
        <v>0</v>
      </c>
      <c r="V52" s="320" t="str">
        <f>iProject!K51</f>
        <v>Hillside</v>
      </c>
      <c r="W52" s="318">
        <f>iProject!M51</f>
        <v>17671.458676442588</v>
      </c>
      <c r="X52" s="322">
        <f>iProject!N51</f>
        <v>2.7246397345111039E-2</v>
      </c>
      <c r="Y52" s="323">
        <f>iBudget!Q51</f>
        <v>623942.49920304283</v>
      </c>
      <c r="Z52" s="324">
        <f>iBudget!R51</f>
        <v>227779.88180512827</v>
      </c>
      <c r="AA52" s="325">
        <f>iBudget!S51</f>
        <v>851722.38100817113</v>
      </c>
      <c r="AB52" s="326">
        <v>1490514.1667642994</v>
      </c>
      <c r="AC52" s="317">
        <v>1703444.7620163423</v>
      </c>
      <c r="AD52" s="317">
        <v>1916375.3572683851</v>
      </c>
      <c r="AE52" s="317">
        <v>2129305.9525204278</v>
      </c>
      <c r="AF52" s="316">
        <v>2342236.5477724704</v>
      </c>
      <c r="AG52" s="317">
        <v>3399648.6644686144</v>
      </c>
      <c r="AH52" s="721">
        <v>64</v>
      </c>
      <c r="AI52" s="318">
        <v>6</v>
      </c>
      <c r="AJ52" s="1022">
        <v>3399648.6644686144</v>
      </c>
      <c r="AK52" s="268"/>
      <c r="AL52" s="268"/>
      <c r="AM52" s="324">
        <f>iBudget!AB51</f>
        <v>3636800.9621166564</v>
      </c>
      <c r="AN52" s="324">
        <f t="shared" si="0"/>
        <v>237152.29764804197</v>
      </c>
    </row>
    <row r="53" spans="1:40">
      <c r="C53" s="60"/>
      <c r="E53" s="12"/>
      <c r="F53" s="939">
        <v>44</v>
      </c>
      <c r="G53" s="935">
        <v>47026</v>
      </c>
      <c r="H53" s="890">
        <f>mOption!L52</f>
        <v>0</v>
      </c>
      <c r="I53" s="890">
        <f>mOption!N52</f>
        <v>0</v>
      </c>
      <c r="J53" s="917">
        <f>mOption!O52</f>
        <v>0</v>
      </c>
      <c r="K53" s="917">
        <f>mOption!P52</f>
        <v>0</v>
      </c>
      <c r="L53" s="890">
        <f>mOption!Q52</f>
        <v>0</v>
      </c>
      <c r="M53" s="890">
        <f>mOption!R52</f>
        <v>0</v>
      </c>
      <c r="N53" s="890">
        <f>mOption!S52</f>
        <v>0</v>
      </c>
      <c r="O53" s="890">
        <f>mOption!T52</f>
        <v>0</v>
      </c>
      <c r="P53" s="890">
        <f>mOption!U52</f>
        <v>0</v>
      </c>
      <c r="Q53" s="890">
        <f>mOption!V52</f>
        <v>0</v>
      </c>
      <c r="R53" s="940">
        <f>mOption!W52</f>
        <v>0</v>
      </c>
      <c r="S53" s="12"/>
      <c r="T53" s="1024">
        <f>iProject!I52</f>
        <v>44</v>
      </c>
      <c r="U53" s="1025">
        <f>iProject!J52</f>
        <v>0</v>
      </c>
      <c r="V53" s="1026" t="str">
        <f>iProject!K52</f>
        <v>Hillside</v>
      </c>
      <c r="W53" s="1025">
        <f>iProject!M52</f>
        <v>17671.458676442588</v>
      </c>
      <c r="X53" s="1027">
        <f>iProject!N52</f>
        <v>2.7246397345111039E-2</v>
      </c>
      <c r="Y53" s="1028">
        <f>iBudget!Q52</f>
        <v>623942.49920304283</v>
      </c>
      <c r="Z53" s="1029">
        <f>iBudget!R52</f>
        <v>227779.88180512827</v>
      </c>
      <c r="AA53" s="1030">
        <f>iBudget!S52</f>
        <v>851722.38100817113</v>
      </c>
      <c r="AB53" s="1031">
        <v>1490514.1667642994</v>
      </c>
      <c r="AC53" s="1032">
        <v>1703444.7620163423</v>
      </c>
      <c r="AD53" s="1032">
        <v>1916375.3572683851</v>
      </c>
      <c r="AE53" s="1032">
        <v>2129305.9525204278</v>
      </c>
      <c r="AF53" s="1033">
        <v>2342236.5477724704</v>
      </c>
      <c r="AG53" s="1032">
        <v>3651474.4914662894</v>
      </c>
      <c r="AH53" s="1034">
        <v>64</v>
      </c>
      <c r="AI53" s="1025">
        <v>6</v>
      </c>
      <c r="AJ53" s="1035">
        <v>3651474.4914662894</v>
      </c>
      <c r="AK53" s="268"/>
      <c r="AL53" s="268"/>
      <c r="AM53" s="745">
        <f>iBudget!AB52</f>
        <v>3906193.6259771492</v>
      </c>
      <c r="AN53" s="745">
        <f t="shared" si="0"/>
        <v>254719.13451085985</v>
      </c>
    </row>
    <row r="54" spans="1:40" ht="19">
      <c r="C54" s="60"/>
      <c r="E54" s="12"/>
      <c r="F54" s="939">
        <v>45</v>
      </c>
      <c r="G54" s="935">
        <v>47057</v>
      </c>
      <c r="H54" s="890">
        <f>mOption!L53</f>
        <v>0</v>
      </c>
      <c r="I54" s="890">
        <f>mOption!N53</f>
        <v>0</v>
      </c>
      <c r="J54" s="917">
        <f>mOption!O53</f>
        <v>0</v>
      </c>
      <c r="K54" s="917">
        <f>mOption!P53</f>
        <v>0</v>
      </c>
      <c r="L54" s="890">
        <f>mOption!Q53</f>
        <v>0</v>
      </c>
      <c r="M54" s="890">
        <f>mOption!R53</f>
        <v>0</v>
      </c>
      <c r="N54" s="890">
        <f>mOption!S53</f>
        <v>0</v>
      </c>
      <c r="O54" s="890">
        <f>mOption!T53</f>
        <v>0</v>
      </c>
      <c r="P54" s="890">
        <f>mOption!U53</f>
        <v>0</v>
      </c>
      <c r="Q54" s="890">
        <f>mOption!V53</f>
        <v>0</v>
      </c>
      <c r="R54" s="940">
        <f>mOption!W53</f>
        <v>0</v>
      </c>
      <c r="S54" s="12"/>
      <c r="T54" s="280"/>
      <c r="U54" s="281"/>
      <c r="V54" s="280"/>
      <c r="W54" s="281"/>
      <c r="X54" s="281"/>
      <c r="Y54" s="267"/>
      <c r="Z54" s="267"/>
      <c r="AA54" s="282"/>
      <c r="AB54" s="249"/>
      <c r="AC54" s="249"/>
      <c r="AD54" s="249"/>
      <c r="AE54" s="249"/>
      <c r="AF54" s="249"/>
      <c r="AG54" s="249"/>
      <c r="AH54" s="283"/>
      <c r="AI54" s="284"/>
      <c r="AJ54" s="285"/>
      <c r="AK54" s="268"/>
      <c r="AL54" s="268"/>
      <c r="AM54" s="267"/>
      <c r="AN54" s="267"/>
    </row>
    <row r="55" spans="1:40">
      <c r="A55" s="260"/>
      <c r="B55" s="261"/>
      <c r="C55" s="262"/>
      <c r="D55" s="260"/>
      <c r="E55" s="12"/>
      <c r="F55" s="939">
        <v>46</v>
      </c>
      <c r="G55" s="935">
        <v>47087</v>
      </c>
      <c r="H55" s="890">
        <f>mOption!L54</f>
        <v>0</v>
      </c>
      <c r="I55" s="890">
        <f>mOption!N54</f>
        <v>0</v>
      </c>
      <c r="J55" s="917">
        <f>mOption!O54</f>
        <v>0</v>
      </c>
      <c r="K55" s="917">
        <f>mOption!P54</f>
        <v>0</v>
      </c>
      <c r="L55" s="890">
        <f>mOption!Q54</f>
        <v>0</v>
      </c>
      <c r="M55" s="890">
        <f>mOption!R54</f>
        <v>0</v>
      </c>
      <c r="N55" s="890">
        <f>mOption!S54</f>
        <v>0</v>
      </c>
      <c r="O55" s="890">
        <f>mOption!T54</f>
        <v>0</v>
      </c>
      <c r="P55" s="890">
        <f>mOption!U54</f>
        <v>0</v>
      </c>
      <c r="Q55" s="890">
        <f>mOption!V54</f>
        <v>0</v>
      </c>
      <c r="R55" s="940">
        <f>mOption!W54</f>
        <v>0</v>
      </c>
      <c r="S55" s="12"/>
      <c r="T55" s="1036">
        <f>COUNTA(T9:T53)</f>
        <v>45</v>
      </c>
      <c r="U55" s="286"/>
      <c r="V55" s="286"/>
      <c r="W55" s="287">
        <f>AVERAGE(W9:W53)</f>
        <v>14412.880966414747</v>
      </c>
      <c r="X55" s="288">
        <f>iProject!N54</f>
        <v>0.99999999999999933</v>
      </c>
      <c r="Y55" s="287">
        <f t="shared" ref="Y55:AG55" si="1">SUM(Y9:Y53)</f>
        <v>22899999.999999989</v>
      </c>
      <c r="Z55" s="287">
        <f t="shared" si="1"/>
        <v>8359999.9999999981</v>
      </c>
      <c r="AA55" s="289">
        <f t="shared" si="1"/>
        <v>31259999.999999993</v>
      </c>
      <c r="AB55" s="287">
        <f t="shared" si="1"/>
        <v>54704999.999999978</v>
      </c>
      <c r="AC55" s="287">
        <f t="shared" si="1"/>
        <v>62519999.999999985</v>
      </c>
      <c r="AD55" s="287">
        <f t="shared" si="1"/>
        <v>70334999.999999985</v>
      </c>
      <c r="AE55" s="287">
        <f t="shared" si="1"/>
        <v>78150000</v>
      </c>
      <c r="AF55" s="287">
        <f t="shared" si="1"/>
        <v>85964999.999999925</v>
      </c>
      <c r="AG55" s="287">
        <f t="shared" si="1"/>
        <v>93779999.99999997</v>
      </c>
      <c r="AH55" s="1037">
        <f>MAX(AH9:AH53)</f>
        <v>72</v>
      </c>
      <c r="AI55" s="1037">
        <f>MAX(AI9:AI53)</f>
        <v>6</v>
      </c>
      <c r="AJ55" s="289">
        <f t="shared" ref="AJ55" si="2">SUM(AJ9:AJ53)</f>
        <v>83838800.564893454</v>
      </c>
      <c r="AK55" s="268"/>
      <c r="AL55" s="268"/>
      <c r="AM55" s="290">
        <f>SUM(AM9:AM53)</f>
        <v>100321894.3745205</v>
      </c>
      <c r="AN55" s="287">
        <f>SUM(AN9:AN53)</f>
        <v>16483093.809627008</v>
      </c>
    </row>
    <row r="56" spans="1:40">
      <c r="C56" s="60"/>
      <c r="E56" s="12"/>
      <c r="F56" s="939">
        <v>47</v>
      </c>
      <c r="G56" s="935">
        <v>47118</v>
      </c>
      <c r="H56" s="890">
        <f>mOption!L55</f>
        <v>0</v>
      </c>
      <c r="I56" s="890">
        <f>mOption!N55</f>
        <v>0</v>
      </c>
      <c r="J56" s="917">
        <f>mOption!O55</f>
        <v>0</v>
      </c>
      <c r="K56" s="917">
        <f>mOption!P55</f>
        <v>0</v>
      </c>
      <c r="L56" s="890">
        <f>mOption!Q55</f>
        <v>0</v>
      </c>
      <c r="M56" s="890">
        <f>mOption!R55</f>
        <v>0</v>
      </c>
      <c r="N56" s="890">
        <f>mOption!S55</f>
        <v>0</v>
      </c>
      <c r="O56" s="890">
        <f>mOption!T55</f>
        <v>0</v>
      </c>
      <c r="P56" s="890">
        <f>mOption!U55</f>
        <v>0</v>
      </c>
      <c r="Q56" s="890">
        <f>mOption!V55</f>
        <v>0</v>
      </c>
      <c r="R56" s="940">
        <f>mOption!W55</f>
        <v>0</v>
      </c>
      <c r="S56" s="12"/>
      <c r="T56" s="257"/>
      <c r="U56" s="257"/>
      <c r="V56" s="257"/>
      <c r="W56" s="257"/>
      <c r="X56" s="257"/>
      <c r="Y56" s="257"/>
      <c r="Z56" s="257"/>
      <c r="AA56" s="257"/>
      <c r="AK56" s="257"/>
      <c r="AL56" s="257"/>
      <c r="AM56" s="257"/>
    </row>
    <row r="57" spans="1:40">
      <c r="C57" s="60"/>
      <c r="E57" s="12"/>
      <c r="F57" s="939">
        <v>48</v>
      </c>
      <c r="G57" s="935">
        <v>47149</v>
      </c>
      <c r="H57" s="890">
        <f>mOption!L56</f>
        <v>0</v>
      </c>
      <c r="I57" s="890">
        <f>mOption!N56</f>
        <v>0</v>
      </c>
      <c r="J57" s="917">
        <f>mOption!O56</f>
        <v>0</v>
      </c>
      <c r="K57" s="917">
        <f>mOption!P56</f>
        <v>0</v>
      </c>
      <c r="L57" s="890">
        <f>mOption!Q56</f>
        <v>0</v>
      </c>
      <c r="M57" s="890">
        <f>mOption!R56</f>
        <v>0</v>
      </c>
      <c r="N57" s="890">
        <f>mOption!S56</f>
        <v>0</v>
      </c>
      <c r="O57" s="890">
        <f>mOption!T56</f>
        <v>0</v>
      </c>
      <c r="P57" s="890">
        <f>mOption!U56</f>
        <v>0</v>
      </c>
      <c r="Q57" s="890">
        <f>mOption!V56</f>
        <v>0</v>
      </c>
      <c r="R57" s="940">
        <f>mOption!W56</f>
        <v>0</v>
      </c>
      <c r="S57" s="12"/>
      <c r="AD57" s="257"/>
      <c r="AE57" s="257"/>
      <c r="AF57" s="257"/>
      <c r="AK57" s="257"/>
      <c r="AL57" s="257"/>
      <c r="AM57" s="257"/>
    </row>
    <row r="58" spans="1:40">
      <c r="C58" s="60"/>
      <c r="E58" s="12"/>
      <c r="F58" s="939">
        <v>49</v>
      </c>
      <c r="G58" s="935">
        <v>47177</v>
      </c>
      <c r="H58" s="890">
        <f>mOption!L57</f>
        <v>0</v>
      </c>
      <c r="I58" s="890">
        <f>mOption!N57</f>
        <v>0</v>
      </c>
      <c r="J58" s="917">
        <f>mOption!O57</f>
        <v>0</v>
      </c>
      <c r="K58" s="917">
        <f>mOption!P57</f>
        <v>0</v>
      </c>
      <c r="L58" s="890">
        <f>mOption!Q57</f>
        <v>0</v>
      </c>
      <c r="M58" s="890">
        <f>mOption!R57</f>
        <v>0</v>
      </c>
      <c r="N58" s="890">
        <f>mOption!S57</f>
        <v>8502318.6684140675</v>
      </c>
      <c r="O58" s="890">
        <f>mOption!T57</f>
        <v>0</v>
      </c>
      <c r="P58" s="890">
        <f>mOption!U57</f>
        <v>4684473.0955449408</v>
      </c>
      <c r="Q58" s="890">
        <f>mOption!V57</f>
        <v>13186791.763959009</v>
      </c>
      <c r="R58" s="940">
        <f>mOption!W57</f>
        <v>13186791.763959009</v>
      </c>
      <c r="S58" s="12"/>
      <c r="AK58" s="257"/>
      <c r="AL58" s="257"/>
      <c r="AM58" s="257"/>
    </row>
    <row r="59" spans="1:40">
      <c r="E59" s="12"/>
      <c r="F59" s="939">
        <v>50</v>
      </c>
      <c r="G59" s="935">
        <v>47208</v>
      </c>
      <c r="H59" s="890">
        <f>mOption!L58</f>
        <v>0</v>
      </c>
      <c r="I59" s="890">
        <f>mOption!N58</f>
        <v>0</v>
      </c>
      <c r="J59" s="917">
        <f>mOption!O58</f>
        <v>0</v>
      </c>
      <c r="K59" s="917">
        <f>mOption!P58</f>
        <v>0</v>
      </c>
      <c r="L59" s="890">
        <f>mOption!Q58</f>
        <v>0</v>
      </c>
      <c r="M59" s="890">
        <f>mOption!R58</f>
        <v>0</v>
      </c>
      <c r="N59" s="890">
        <f>mOption!S58</f>
        <v>0</v>
      </c>
      <c r="O59" s="890">
        <f>mOption!T58</f>
        <v>0</v>
      </c>
      <c r="P59" s="890">
        <f>mOption!U58</f>
        <v>0</v>
      </c>
      <c r="Q59" s="890">
        <f>mOption!V58</f>
        <v>0</v>
      </c>
      <c r="R59" s="940">
        <f>mOption!W58</f>
        <v>0</v>
      </c>
      <c r="S59" s="12"/>
    </row>
    <row r="60" spans="1:40" ht="19">
      <c r="A60" s="73"/>
      <c r="B60" s="29"/>
      <c r="C60" s="61"/>
      <c r="D60" s="73"/>
      <c r="F60" s="939">
        <v>51</v>
      </c>
      <c r="G60" s="935">
        <v>47238</v>
      </c>
      <c r="H60" s="890">
        <f>mOption!L59</f>
        <v>0</v>
      </c>
      <c r="I60" s="890">
        <f>mOption!N59</f>
        <v>0</v>
      </c>
      <c r="J60" s="917">
        <f>mOption!O59</f>
        <v>0</v>
      </c>
      <c r="K60" s="917">
        <f>mOption!P59</f>
        <v>0</v>
      </c>
      <c r="L60" s="890">
        <f>mOption!Q59</f>
        <v>0</v>
      </c>
      <c r="M60" s="890">
        <f>mOption!R59</f>
        <v>0</v>
      </c>
      <c r="N60" s="890">
        <f>mOption!S59</f>
        <v>0</v>
      </c>
      <c r="O60" s="890">
        <f>mOption!T59</f>
        <v>0</v>
      </c>
      <c r="P60" s="890">
        <f>mOption!U59</f>
        <v>3253106.3163506528</v>
      </c>
      <c r="Q60" s="890">
        <f>mOption!V59</f>
        <v>3253106.3163506528</v>
      </c>
      <c r="R60" s="940">
        <f>mOption!W59</f>
        <v>3253106.3163506528</v>
      </c>
    </row>
    <row r="61" spans="1:40">
      <c r="A61" s="50" t="s">
        <v>60</v>
      </c>
      <c r="B61" s="51" t="s">
        <v>60</v>
      </c>
      <c r="C61" s="49" t="s">
        <v>57</v>
      </c>
      <c r="D61" s="50" t="s">
        <v>12</v>
      </c>
      <c r="E61" s="46"/>
      <c r="F61" s="939">
        <v>52</v>
      </c>
      <c r="G61" s="935">
        <v>47269</v>
      </c>
      <c r="H61" s="890">
        <f>mOption!L60</f>
        <v>0</v>
      </c>
      <c r="I61" s="890">
        <f>mOption!N60</f>
        <v>0</v>
      </c>
      <c r="J61" s="917">
        <f>mOption!O60</f>
        <v>0</v>
      </c>
      <c r="K61" s="917">
        <f>mOption!P60</f>
        <v>0</v>
      </c>
      <c r="L61" s="890">
        <f>mOption!Q60</f>
        <v>0</v>
      </c>
      <c r="M61" s="890">
        <f>mOption!R60</f>
        <v>0</v>
      </c>
      <c r="N61" s="890">
        <f>mOption!S60</f>
        <v>0</v>
      </c>
      <c r="O61" s="890">
        <f>mOption!T60</f>
        <v>0</v>
      </c>
      <c r="P61" s="890">
        <f>mOption!U60</f>
        <v>0</v>
      </c>
      <c r="Q61" s="890">
        <f>mOption!V60</f>
        <v>0</v>
      </c>
      <c r="R61" s="940">
        <f>mOption!W60</f>
        <v>0</v>
      </c>
      <c r="S61" s="46"/>
    </row>
    <row r="62" spans="1:40">
      <c r="A62" s="35" t="e">
        <f>D62/#REF!</f>
        <v>#REF!</v>
      </c>
      <c r="B62" s="69" t="e">
        <f>#REF!/#REF!</f>
        <v>#REF!</v>
      </c>
      <c r="C62" s="32">
        <v>62.5</v>
      </c>
      <c r="D62" s="34" t="e">
        <f>#REF!/43560</f>
        <v>#REF!</v>
      </c>
      <c r="F62" s="939">
        <v>53</v>
      </c>
      <c r="G62" s="935">
        <v>47299</v>
      </c>
      <c r="H62" s="890">
        <f>mOption!L61</f>
        <v>0</v>
      </c>
      <c r="I62" s="890">
        <f>mOption!N61</f>
        <v>0</v>
      </c>
      <c r="J62" s="917">
        <f>mOption!O61</f>
        <v>0</v>
      </c>
      <c r="K62" s="917">
        <f>mOption!P61</f>
        <v>0</v>
      </c>
      <c r="L62" s="890">
        <f>mOption!Q61</f>
        <v>0</v>
      </c>
      <c r="M62" s="890">
        <f>mOption!R61</f>
        <v>0</v>
      </c>
      <c r="N62" s="890">
        <f>mOption!S61</f>
        <v>0</v>
      </c>
      <c r="O62" s="890">
        <f>mOption!T61</f>
        <v>0</v>
      </c>
      <c r="P62" s="890">
        <f>mOption!U61</f>
        <v>0</v>
      </c>
      <c r="Q62" s="890">
        <f>mOption!V61</f>
        <v>0</v>
      </c>
      <c r="R62" s="940">
        <f>mOption!W61</f>
        <v>0</v>
      </c>
    </row>
    <row r="63" spans="1:40">
      <c r="A63" s="41" t="e">
        <f>D63/#REF!</f>
        <v>#REF!</v>
      </c>
      <c r="B63" s="70" t="e">
        <f>#REF!/#REF!</f>
        <v>#REF!</v>
      </c>
      <c r="C63" s="39">
        <v>62.5</v>
      </c>
      <c r="D63" s="40" t="e">
        <f>#REF!/43560</f>
        <v>#REF!</v>
      </c>
      <c r="F63" s="939">
        <v>54</v>
      </c>
      <c r="G63" s="935">
        <v>47330</v>
      </c>
      <c r="H63" s="890">
        <f>mOption!L62</f>
        <v>0</v>
      </c>
      <c r="I63" s="890">
        <f>mOption!N62</f>
        <v>0</v>
      </c>
      <c r="J63" s="917">
        <f>mOption!O62</f>
        <v>0</v>
      </c>
      <c r="K63" s="917">
        <f>mOption!P62</f>
        <v>0</v>
      </c>
      <c r="L63" s="890">
        <f>mOption!Q62</f>
        <v>0</v>
      </c>
      <c r="M63" s="890">
        <f>mOption!R62</f>
        <v>0</v>
      </c>
      <c r="N63" s="890">
        <f>mOption!S62</f>
        <v>5668212.4456093777</v>
      </c>
      <c r="O63" s="890">
        <f>mOption!T62</f>
        <v>0</v>
      </c>
      <c r="P63" s="890">
        <f>mOption!U62</f>
        <v>3968789.7059477968</v>
      </c>
      <c r="Q63" s="890">
        <f>mOption!V62</f>
        <v>9637002.1515571736</v>
      </c>
      <c r="R63" s="940">
        <f>mOption!W62</f>
        <v>9637002.1515571736</v>
      </c>
    </row>
    <row r="64" spans="1:40">
      <c r="A64" s="41" t="e">
        <f>D64/#REF!</f>
        <v>#REF!</v>
      </c>
      <c r="B64" s="70" t="e">
        <f>#REF!/#REF!</f>
        <v>#REF!</v>
      </c>
      <c r="C64" s="39">
        <v>50</v>
      </c>
      <c r="D64" s="40" t="e">
        <f>#REF!/43560</f>
        <v>#REF!</v>
      </c>
      <c r="F64" s="939">
        <v>55</v>
      </c>
      <c r="G64" s="935">
        <v>47361</v>
      </c>
      <c r="H64" s="890">
        <f>mOption!L63</f>
        <v>0</v>
      </c>
      <c r="I64" s="890">
        <f>mOption!N63</f>
        <v>0</v>
      </c>
      <c r="J64" s="917">
        <f>mOption!O63</f>
        <v>0</v>
      </c>
      <c r="K64" s="917">
        <f>mOption!P63</f>
        <v>0</v>
      </c>
      <c r="L64" s="890">
        <f>mOption!Q63</f>
        <v>0</v>
      </c>
      <c r="M64" s="890">
        <f>mOption!R63</f>
        <v>0</v>
      </c>
      <c r="N64" s="890">
        <f>mOption!S63</f>
        <v>0</v>
      </c>
      <c r="O64" s="890">
        <f>mOption!T63</f>
        <v>0</v>
      </c>
      <c r="P64" s="890">
        <f>mOption!U63</f>
        <v>0</v>
      </c>
      <c r="Q64" s="890">
        <f>mOption!V63</f>
        <v>0</v>
      </c>
      <c r="R64" s="940">
        <f>mOption!W63</f>
        <v>0</v>
      </c>
    </row>
    <row r="65" spans="1:18">
      <c r="A65" s="38" t="e">
        <f>D65/#REF!</f>
        <v>#REF!</v>
      </c>
      <c r="B65" s="71" t="e">
        <f>#REF!/#REF!</f>
        <v>#REF!</v>
      </c>
      <c r="C65" s="36">
        <v>62.5</v>
      </c>
      <c r="D65" s="37" t="e">
        <f>#REF!/43560</f>
        <v>#REF!</v>
      </c>
      <c r="F65" s="939">
        <v>56</v>
      </c>
      <c r="G65" s="935">
        <v>47391</v>
      </c>
      <c r="H65" s="890">
        <f>mOption!L64</f>
        <v>0</v>
      </c>
      <c r="I65" s="890">
        <f>mOption!N64</f>
        <v>0</v>
      </c>
      <c r="J65" s="917">
        <f>mOption!O64</f>
        <v>0</v>
      </c>
      <c r="K65" s="917">
        <f>mOption!P64</f>
        <v>0</v>
      </c>
      <c r="L65" s="890">
        <f>mOption!Q64</f>
        <v>0</v>
      </c>
      <c r="M65" s="890">
        <f>mOption!R64</f>
        <v>0</v>
      </c>
      <c r="N65" s="890">
        <f>mOption!S64</f>
        <v>0</v>
      </c>
      <c r="O65" s="890">
        <f>mOption!T64</f>
        <v>0</v>
      </c>
      <c r="P65" s="890">
        <f>mOption!U64</f>
        <v>0</v>
      </c>
      <c r="Q65" s="890">
        <f>mOption!V64</f>
        <v>0</v>
      </c>
      <c r="R65" s="940">
        <f>mOption!W64</f>
        <v>0</v>
      </c>
    </row>
    <row r="66" spans="1:18">
      <c r="A66" s="41" t="e">
        <f>D66/#REF!</f>
        <v>#REF!</v>
      </c>
      <c r="B66" s="70" t="e">
        <f>#REF!/#REF!</f>
        <v>#REF!</v>
      </c>
      <c r="C66" s="39">
        <v>62.5</v>
      </c>
      <c r="D66" s="40" t="e">
        <f>#REF!/43560</f>
        <v>#REF!</v>
      </c>
      <c r="F66" s="939">
        <v>57</v>
      </c>
      <c r="G66" s="935">
        <v>47422</v>
      </c>
      <c r="H66" s="890">
        <f>mOption!L65</f>
        <v>0</v>
      </c>
      <c r="I66" s="890">
        <f>mOption!N65</f>
        <v>0</v>
      </c>
      <c r="J66" s="917">
        <f>mOption!O65</f>
        <v>0</v>
      </c>
      <c r="K66" s="917">
        <f>mOption!P65</f>
        <v>0</v>
      </c>
      <c r="L66" s="890">
        <f>mOption!Q65</f>
        <v>0</v>
      </c>
      <c r="M66" s="890">
        <f>mOption!R65</f>
        <v>0</v>
      </c>
      <c r="N66" s="890">
        <f>mOption!S65</f>
        <v>0</v>
      </c>
      <c r="O66" s="890">
        <f>mOption!T65</f>
        <v>0</v>
      </c>
      <c r="P66" s="890">
        <f>mOption!U65</f>
        <v>0</v>
      </c>
      <c r="Q66" s="890">
        <f>mOption!V65</f>
        <v>0</v>
      </c>
      <c r="R66" s="940">
        <f>mOption!W65</f>
        <v>0</v>
      </c>
    </row>
    <row r="67" spans="1:18">
      <c r="A67" s="41" t="e">
        <f>D67/#REF!</f>
        <v>#REF!</v>
      </c>
      <c r="B67" s="70" t="e">
        <f>#REF!/#REF!</f>
        <v>#REF!</v>
      </c>
      <c r="C67" s="39">
        <v>75</v>
      </c>
      <c r="D67" s="40" t="e">
        <f>#REF!/43560</f>
        <v>#REF!</v>
      </c>
      <c r="F67" s="939">
        <v>58</v>
      </c>
      <c r="G67" s="935">
        <v>47452</v>
      </c>
      <c r="H67" s="890">
        <f>mOption!L66</f>
        <v>0</v>
      </c>
      <c r="I67" s="890">
        <f>mOption!N66</f>
        <v>0</v>
      </c>
      <c r="J67" s="917">
        <f>mOption!O66</f>
        <v>0</v>
      </c>
      <c r="K67" s="917">
        <f>mOption!P66</f>
        <v>0</v>
      </c>
      <c r="L67" s="890">
        <f>mOption!Q66</f>
        <v>0</v>
      </c>
      <c r="M67" s="890">
        <f>mOption!R66</f>
        <v>0</v>
      </c>
      <c r="N67" s="890">
        <f>mOption!S66</f>
        <v>0</v>
      </c>
      <c r="O67" s="890">
        <f>mOption!T66</f>
        <v>0</v>
      </c>
      <c r="P67" s="890">
        <f>mOption!U66</f>
        <v>0</v>
      </c>
      <c r="Q67" s="890">
        <f>mOption!V66</f>
        <v>0</v>
      </c>
      <c r="R67" s="940">
        <f>mOption!W66</f>
        <v>0</v>
      </c>
    </row>
    <row r="68" spans="1:18">
      <c r="A68" s="41" t="e">
        <f>D68/#REF!</f>
        <v>#REF!</v>
      </c>
      <c r="B68" s="70" t="e">
        <f>#REF!/#REF!</f>
        <v>#REF!</v>
      </c>
      <c r="C68" s="39">
        <v>50</v>
      </c>
      <c r="D68" s="40" t="e">
        <f>#REF!/43560</f>
        <v>#REF!</v>
      </c>
      <c r="F68" s="939">
        <v>59</v>
      </c>
      <c r="G68" s="935">
        <v>47483</v>
      </c>
      <c r="H68" s="890">
        <f>mOption!L67</f>
        <v>0</v>
      </c>
      <c r="I68" s="890">
        <f>mOption!N67</f>
        <v>0</v>
      </c>
      <c r="J68" s="917">
        <f>mOption!O67</f>
        <v>0</v>
      </c>
      <c r="K68" s="917">
        <f>mOption!P67</f>
        <v>0</v>
      </c>
      <c r="L68" s="890">
        <f>mOption!Q67</f>
        <v>0</v>
      </c>
      <c r="M68" s="890">
        <f>mOption!R67</f>
        <v>0</v>
      </c>
      <c r="N68" s="890">
        <f>mOption!S67</f>
        <v>0</v>
      </c>
      <c r="O68" s="890">
        <f>mOption!T67</f>
        <v>0</v>
      </c>
      <c r="P68" s="890">
        <f>mOption!U67</f>
        <v>0</v>
      </c>
      <c r="Q68" s="890">
        <f>mOption!V67</f>
        <v>0</v>
      </c>
      <c r="R68" s="940">
        <f>mOption!W67</f>
        <v>0</v>
      </c>
    </row>
    <row r="69" spans="1:18">
      <c r="A69" s="41" t="e">
        <f>D69/#REF!</f>
        <v>#REF!</v>
      </c>
      <c r="B69" s="70" t="e">
        <f>#REF!/#REF!</f>
        <v>#REF!</v>
      </c>
      <c r="C69" s="39">
        <v>62.5</v>
      </c>
      <c r="D69" s="40" t="e">
        <f>#REF!/43560</f>
        <v>#REF!</v>
      </c>
      <c r="F69" s="939">
        <v>60</v>
      </c>
      <c r="G69" s="935">
        <v>47514</v>
      </c>
      <c r="H69" s="890">
        <f>mOption!L68</f>
        <v>0</v>
      </c>
      <c r="I69" s="890">
        <f>mOption!N68</f>
        <v>0</v>
      </c>
      <c r="J69" s="917">
        <f>mOption!O68</f>
        <v>0</v>
      </c>
      <c r="K69" s="917">
        <f>mOption!P68</f>
        <v>0</v>
      </c>
      <c r="L69" s="890">
        <f>mOption!Q68</f>
        <v>0</v>
      </c>
      <c r="M69" s="890">
        <f>mOption!R68</f>
        <v>0</v>
      </c>
      <c r="N69" s="890">
        <f>mOption!S68</f>
        <v>0</v>
      </c>
      <c r="O69" s="890">
        <f>mOption!T68</f>
        <v>0</v>
      </c>
      <c r="P69" s="890">
        <f>mOption!U68</f>
        <v>1040994.0212322089</v>
      </c>
      <c r="Q69" s="890">
        <f>mOption!V68</f>
        <v>1040994.0212322089</v>
      </c>
      <c r="R69" s="940">
        <f>mOption!W68</f>
        <v>1040994.0212322089</v>
      </c>
    </row>
    <row r="70" spans="1:18">
      <c r="A70" s="41" t="e">
        <f>D70/#REF!</f>
        <v>#REF!</v>
      </c>
      <c r="B70" s="70" t="e">
        <f>#REF!/#REF!</f>
        <v>#REF!</v>
      </c>
      <c r="C70" s="39">
        <v>62.5</v>
      </c>
      <c r="D70" s="40" t="e">
        <f>#REF!/43560</f>
        <v>#REF!</v>
      </c>
      <c r="F70" s="939">
        <v>61</v>
      </c>
      <c r="G70" s="935">
        <v>47542</v>
      </c>
      <c r="H70" s="890">
        <f>mOption!L69</f>
        <v>0</v>
      </c>
      <c r="I70" s="890">
        <f>mOption!N69</f>
        <v>0</v>
      </c>
      <c r="J70" s="917">
        <f>mOption!O69</f>
        <v>0</v>
      </c>
      <c r="K70" s="917">
        <f>mOption!P69</f>
        <v>0</v>
      </c>
      <c r="L70" s="890">
        <f>mOption!Q69</f>
        <v>0</v>
      </c>
      <c r="M70" s="890">
        <f>mOption!R69</f>
        <v>1291072.5588563073</v>
      </c>
      <c r="N70" s="890">
        <f>mOption!S69</f>
        <v>0</v>
      </c>
      <c r="O70" s="890">
        <f>mOption!T69</f>
        <v>0</v>
      </c>
      <c r="P70" s="890">
        <f>mOption!U69</f>
        <v>3399648.6644686144</v>
      </c>
      <c r="Q70" s="890">
        <f>mOption!V69</f>
        <v>4690721.2233249219</v>
      </c>
      <c r="R70" s="940">
        <f>mOption!W69</f>
        <v>4690721.2233249219</v>
      </c>
    </row>
    <row r="71" spans="1:18">
      <c r="A71" s="41" t="e">
        <f>D71/#REF!</f>
        <v>#REF!</v>
      </c>
      <c r="B71" s="70" t="e">
        <f>#REF!/#REF!</f>
        <v>#REF!</v>
      </c>
      <c r="C71" s="39">
        <v>50</v>
      </c>
      <c r="D71" s="40" t="e">
        <f>#REF!/43560</f>
        <v>#REF!</v>
      </c>
      <c r="F71" s="939">
        <v>62</v>
      </c>
      <c r="G71" s="935">
        <v>47573</v>
      </c>
      <c r="H71" s="890">
        <f>mOption!L70</f>
        <v>0</v>
      </c>
      <c r="I71" s="890">
        <f>mOption!N70</f>
        <v>0</v>
      </c>
      <c r="J71" s="917">
        <f>mOption!O70</f>
        <v>0</v>
      </c>
      <c r="K71" s="917">
        <f>mOption!P70</f>
        <v>0</v>
      </c>
      <c r="L71" s="890">
        <f>mOption!Q70</f>
        <v>0</v>
      </c>
      <c r="M71" s="890">
        <f>mOption!R70</f>
        <v>0</v>
      </c>
      <c r="N71" s="890">
        <f>mOption!S70</f>
        <v>0</v>
      </c>
      <c r="O71" s="890">
        <f>mOption!T70</f>
        <v>0</v>
      </c>
      <c r="P71" s="890">
        <f>mOption!U70</f>
        <v>0</v>
      </c>
      <c r="Q71" s="890">
        <f>mOption!V70</f>
        <v>0</v>
      </c>
      <c r="R71" s="940">
        <f>mOption!W70</f>
        <v>0</v>
      </c>
    </row>
    <row r="72" spans="1:18">
      <c r="A72" s="41" t="e">
        <f>D72/#REF!</f>
        <v>#REF!</v>
      </c>
      <c r="B72" s="70" t="e">
        <f>#REF!/#REF!</f>
        <v>#REF!</v>
      </c>
      <c r="C72" s="39">
        <v>75</v>
      </c>
      <c r="D72" s="40" t="e">
        <f>#REF!/43560</f>
        <v>#REF!</v>
      </c>
      <c r="F72" s="939">
        <v>63</v>
      </c>
      <c r="G72" s="935">
        <v>47603</v>
      </c>
      <c r="H72" s="890">
        <f>mOption!L71</f>
        <v>0</v>
      </c>
      <c r="I72" s="890">
        <f>mOption!N71</f>
        <v>0</v>
      </c>
      <c r="J72" s="917">
        <f>mOption!O71</f>
        <v>0</v>
      </c>
      <c r="K72" s="917">
        <f>mOption!P71</f>
        <v>-4350000.0000000019</v>
      </c>
      <c r="L72" s="890">
        <f>mOption!Q71</f>
        <v>0</v>
      </c>
      <c r="M72" s="890">
        <f>mOption!R71</f>
        <v>5051712.92606543</v>
      </c>
      <c r="N72" s="890">
        <f>mOption!S71</f>
        <v>0</v>
      </c>
      <c r="O72" s="890">
        <f>mOption!T71</f>
        <v>0</v>
      </c>
      <c r="P72" s="890">
        <f>mOption!U71</f>
        <v>0</v>
      </c>
      <c r="Q72" s="890">
        <f>mOption!V71</f>
        <v>701712.92606542818</v>
      </c>
      <c r="R72" s="940">
        <f>mOption!W71</f>
        <v>701712.92606542818</v>
      </c>
    </row>
    <row r="73" spans="1:18">
      <c r="A73" s="41" t="e">
        <f>D73/#REF!</f>
        <v>#REF!</v>
      </c>
      <c r="B73" s="70" t="e">
        <f>#REF!/#REF!</f>
        <v>#REF!</v>
      </c>
      <c r="C73" s="39">
        <v>62.5</v>
      </c>
      <c r="D73" s="40" t="e">
        <f>#REF!/43560</f>
        <v>#REF!</v>
      </c>
      <c r="F73" s="939">
        <v>64</v>
      </c>
      <c r="G73" s="935">
        <v>47634</v>
      </c>
      <c r="H73" s="890">
        <f>mOption!L72</f>
        <v>0</v>
      </c>
      <c r="I73" s="890">
        <f>mOption!N72</f>
        <v>0</v>
      </c>
      <c r="J73" s="917">
        <f>mOption!O72</f>
        <v>0</v>
      </c>
      <c r="K73" s="917">
        <f>mOption!P72</f>
        <v>0</v>
      </c>
      <c r="L73" s="890">
        <f>mOption!Q72</f>
        <v>0</v>
      </c>
      <c r="M73" s="890">
        <f>mOption!R72</f>
        <v>0</v>
      </c>
      <c r="N73" s="890">
        <f>mOption!S72</f>
        <v>0</v>
      </c>
      <c r="O73" s="890">
        <f>mOption!T72</f>
        <v>0</v>
      </c>
      <c r="P73" s="890">
        <f>mOption!U72</f>
        <v>7051123.1559349038</v>
      </c>
      <c r="Q73" s="890">
        <f>mOption!V72</f>
        <v>7051123.1559349038</v>
      </c>
      <c r="R73" s="940">
        <f>mOption!W72</f>
        <v>7051123.1559349038</v>
      </c>
    </row>
    <row r="74" spans="1:18">
      <c r="A74" s="41" t="e">
        <f>D74/#REF!</f>
        <v>#REF!</v>
      </c>
      <c r="B74" s="70" t="e">
        <f>#REF!/#REF!</f>
        <v>#REF!</v>
      </c>
      <c r="C74" s="39">
        <v>62.5</v>
      </c>
      <c r="D74" s="40" t="e">
        <f>#REF!/43560</f>
        <v>#REF!</v>
      </c>
      <c r="F74" s="939">
        <v>65</v>
      </c>
      <c r="G74" s="935">
        <v>47664</v>
      </c>
      <c r="H74" s="890">
        <f>mOption!L73</f>
        <v>0</v>
      </c>
      <c r="I74" s="890">
        <f>mOption!N73</f>
        <v>0</v>
      </c>
      <c r="J74" s="917">
        <f>mOption!O73</f>
        <v>0</v>
      </c>
      <c r="K74" s="917">
        <f>mOption!P73</f>
        <v>0</v>
      </c>
      <c r="L74" s="890">
        <f>mOption!Q73</f>
        <v>0</v>
      </c>
      <c r="M74" s="890">
        <f>mOption!R73</f>
        <v>0</v>
      </c>
      <c r="N74" s="890">
        <f>mOption!S73</f>
        <v>0</v>
      </c>
      <c r="O74" s="890">
        <f>mOption!T73</f>
        <v>0</v>
      </c>
      <c r="P74" s="890">
        <f>mOption!U73</f>
        <v>0</v>
      </c>
      <c r="Q74" s="890">
        <f>mOption!V73</f>
        <v>0</v>
      </c>
      <c r="R74" s="940">
        <f>mOption!W73</f>
        <v>0</v>
      </c>
    </row>
    <row r="75" spans="1:18">
      <c r="A75" s="41" t="e">
        <f>D75/#REF!</f>
        <v>#REF!</v>
      </c>
      <c r="B75" s="70" t="e">
        <f>#REF!/#REF!</f>
        <v>#REF!</v>
      </c>
      <c r="C75" s="39">
        <v>82.5</v>
      </c>
      <c r="D75" s="40" t="e">
        <f>#REF!/43560</f>
        <v>#REF!</v>
      </c>
      <c r="F75" s="939">
        <v>66</v>
      </c>
      <c r="G75" s="935">
        <v>47695</v>
      </c>
      <c r="H75" s="890">
        <f>mOption!L74</f>
        <v>0</v>
      </c>
      <c r="I75" s="890">
        <f>mOption!N74</f>
        <v>0</v>
      </c>
      <c r="J75" s="917">
        <f>mOption!O74</f>
        <v>0</v>
      </c>
      <c r="K75" s="917">
        <f>mOption!P74</f>
        <v>0</v>
      </c>
      <c r="L75" s="890">
        <f>mOption!Q74</f>
        <v>0</v>
      </c>
      <c r="M75" s="890">
        <f>mOption!R74</f>
        <v>0</v>
      </c>
      <c r="N75" s="890">
        <f>mOption!S74</f>
        <v>0</v>
      </c>
      <c r="O75" s="890">
        <f>mOption!T74</f>
        <v>0</v>
      </c>
      <c r="P75" s="890">
        <f>mOption!U74</f>
        <v>0</v>
      </c>
      <c r="Q75" s="890">
        <f>mOption!V74</f>
        <v>0</v>
      </c>
      <c r="R75" s="940">
        <f>mOption!W74</f>
        <v>0</v>
      </c>
    </row>
    <row r="76" spans="1:18">
      <c r="A76" s="41" t="e">
        <f>D76/#REF!</f>
        <v>#REF!</v>
      </c>
      <c r="B76" s="70" t="e">
        <f>#REF!/#REF!</f>
        <v>#REF!</v>
      </c>
      <c r="C76" s="39">
        <v>82.5</v>
      </c>
      <c r="D76" s="40" t="e">
        <f>#REF!/43560</f>
        <v>#REF!</v>
      </c>
      <c r="F76" s="939">
        <v>67</v>
      </c>
      <c r="G76" s="935">
        <v>47726</v>
      </c>
      <c r="H76" s="890">
        <f>mOption!L75</f>
        <v>0</v>
      </c>
      <c r="I76" s="890">
        <f>mOption!N75</f>
        <v>0</v>
      </c>
      <c r="J76" s="917">
        <f>mOption!O75</f>
        <v>0</v>
      </c>
      <c r="K76" s="917">
        <f>mOption!P75</f>
        <v>0</v>
      </c>
      <c r="L76" s="890">
        <f>mOption!Q75</f>
        <v>0</v>
      </c>
      <c r="M76" s="890">
        <f>mOption!R75</f>
        <v>0</v>
      </c>
      <c r="N76" s="890">
        <f>mOption!S75</f>
        <v>0</v>
      </c>
      <c r="O76" s="890">
        <f>mOption!T75</f>
        <v>0</v>
      </c>
      <c r="P76" s="890">
        <f>mOption!U75</f>
        <v>0</v>
      </c>
      <c r="Q76" s="890">
        <f>mOption!V75</f>
        <v>0</v>
      </c>
      <c r="R76" s="940">
        <f>mOption!W75</f>
        <v>0</v>
      </c>
    </row>
    <row r="77" spans="1:18">
      <c r="A77" s="41" t="e">
        <f>D77/#REF!</f>
        <v>#REF!</v>
      </c>
      <c r="B77" s="70" t="e">
        <f>#REF!/#REF!</f>
        <v>#REF!</v>
      </c>
      <c r="C77" s="39">
        <v>82.5</v>
      </c>
      <c r="D77" s="40" t="e">
        <f>#REF!/43560</f>
        <v>#REF!</v>
      </c>
      <c r="F77" s="939">
        <v>68</v>
      </c>
      <c r="G77" s="935">
        <v>47756</v>
      </c>
      <c r="H77" s="890">
        <f>mOption!L76</f>
        <v>0</v>
      </c>
      <c r="I77" s="890">
        <f>mOption!N76</f>
        <v>0</v>
      </c>
      <c r="J77" s="917">
        <f>mOption!O76</f>
        <v>0</v>
      </c>
      <c r="K77" s="917">
        <f>mOption!P76</f>
        <v>0</v>
      </c>
      <c r="L77" s="890">
        <f>mOption!Q76</f>
        <v>0</v>
      </c>
      <c r="M77" s="890">
        <f>mOption!R76</f>
        <v>0</v>
      </c>
      <c r="N77" s="890">
        <f>mOption!S76</f>
        <v>0</v>
      </c>
      <c r="O77" s="890">
        <f>mOption!T76</f>
        <v>0</v>
      </c>
      <c r="P77" s="890">
        <f>mOption!U76</f>
        <v>0</v>
      </c>
      <c r="Q77" s="890">
        <f>mOption!V76</f>
        <v>0</v>
      </c>
      <c r="R77" s="940">
        <f>mOption!W76</f>
        <v>0</v>
      </c>
    </row>
    <row r="78" spans="1:18">
      <c r="A78" s="41" t="e">
        <f>D78/#REF!</f>
        <v>#REF!</v>
      </c>
      <c r="B78" s="70" t="e">
        <f>#REF!/#REF!</f>
        <v>#REF!</v>
      </c>
      <c r="C78" s="39">
        <v>82.5</v>
      </c>
      <c r="D78" s="40" t="e">
        <f>#REF!/43560</f>
        <v>#REF!</v>
      </c>
      <c r="F78" s="939">
        <v>69</v>
      </c>
      <c r="G78" s="935">
        <v>47787</v>
      </c>
      <c r="H78" s="890">
        <f>mOption!L77</f>
        <v>0</v>
      </c>
      <c r="I78" s="890">
        <f>mOption!N77</f>
        <v>0</v>
      </c>
      <c r="J78" s="917">
        <f>mOption!O77</f>
        <v>0</v>
      </c>
      <c r="K78" s="917">
        <f>mOption!P77</f>
        <v>0</v>
      </c>
      <c r="L78" s="890">
        <f>mOption!Q77</f>
        <v>0</v>
      </c>
      <c r="M78" s="890">
        <f>mOption!R77</f>
        <v>0</v>
      </c>
      <c r="N78" s="890">
        <f>mOption!S77</f>
        <v>0</v>
      </c>
      <c r="O78" s="890">
        <f>mOption!T77</f>
        <v>0</v>
      </c>
      <c r="P78" s="890">
        <f>mOption!U77</f>
        <v>0</v>
      </c>
      <c r="Q78" s="890">
        <f>mOption!V77</f>
        <v>0</v>
      </c>
      <c r="R78" s="940">
        <f>mOption!W77</f>
        <v>0</v>
      </c>
    </row>
    <row r="79" spans="1:18">
      <c r="A79" s="41" t="e">
        <f>D79/#REF!</f>
        <v>#REF!</v>
      </c>
      <c r="B79" s="70" t="e">
        <f>#REF!/#REF!</f>
        <v>#REF!</v>
      </c>
      <c r="C79" s="39">
        <v>82.5</v>
      </c>
      <c r="D79" s="40" t="e">
        <f>#REF!/43560</f>
        <v>#REF!</v>
      </c>
      <c r="F79" s="939">
        <v>70</v>
      </c>
      <c r="G79" s="935">
        <v>47817</v>
      </c>
      <c r="H79" s="890">
        <f>mOption!L78</f>
        <v>0</v>
      </c>
      <c r="I79" s="890">
        <f>mOption!N78</f>
        <v>0</v>
      </c>
      <c r="J79" s="917">
        <f>mOption!O78</f>
        <v>0</v>
      </c>
      <c r="K79" s="917">
        <f>mOption!P78</f>
        <v>0</v>
      </c>
      <c r="L79" s="890">
        <f>mOption!Q78</f>
        <v>0</v>
      </c>
      <c r="M79" s="890">
        <f>mOption!R78</f>
        <v>0</v>
      </c>
      <c r="N79" s="890">
        <f>mOption!S78</f>
        <v>0</v>
      </c>
      <c r="O79" s="890">
        <f>mOption!T78</f>
        <v>0</v>
      </c>
      <c r="P79" s="890">
        <f>mOption!U78</f>
        <v>0</v>
      </c>
      <c r="Q79" s="890">
        <f>mOption!V78</f>
        <v>0</v>
      </c>
      <c r="R79" s="940">
        <f>mOption!W78</f>
        <v>0</v>
      </c>
    </row>
    <row r="80" spans="1:18">
      <c r="A80" s="41" t="e">
        <f>D80/#REF!</f>
        <v>#REF!</v>
      </c>
      <c r="B80" s="70" t="e">
        <f>#REF!/#REF!</f>
        <v>#REF!</v>
      </c>
      <c r="C80" s="39">
        <v>82.5</v>
      </c>
      <c r="D80" s="40" t="e">
        <f>#REF!/43560</f>
        <v>#REF!</v>
      </c>
      <c r="F80" s="939">
        <v>71</v>
      </c>
      <c r="G80" s="935">
        <v>47848</v>
      </c>
      <c r="H80" s="890">
        <f>mOption!L79</f>
        <v>0</v>
      </c>
      <c r="I80" s="890">
        <f>mOption!N79</f>
        <v>0</v>
      </c>
      <c r="J80" s="917">
        <f>mOption!O79</f>
        <v>0</v>
      </c>
      <c r="K80" s="917">
        <f>mOption!P79</f>
        <v>0</v>
      </c>
      <c r="L80" s="890">
        <f>mOption!Q79</f>
        <v>0</v>
      </c>
      <c r="M80" s="890">
        <f>mOption!R79</f>
        <v>0</v>
      </c>
      <c r="N80" s="890">
        <f>mOption!S79</f>
        <v>0</v>
      </c>
      <c r="O80" s="890">
        <f>mOption!T79</f>
        <v>0</v>
      </c>
      <c r="P80" s="890">
        <f>mOption!U79</f>
        <v>0</v>
      </c>
      <c r="Q80" s="890">
        <f>mOption!V79</f>
        <v>0</v>
      </c>
      <c r="R80" s="940">
        <f>mOption!W79</f>
        <v>0</v>
      </c>
    </row>
    <row r="81" spans="1:18">
      <c r="A81" s="41" t="e">
        <f>D81/#REF!</f>
        <v>#REF!</v>
      </c>
      <c r="B81" s="70" t="e">
        <f>#REF!/#REF!</f>
        <v>#REF!</v>
      </c>
      <c r="C81" s="39">
        <v>82.5</v>
      </c>
      <c r="D81" s="40" t="e">
        <f>#REF!/43560</f>
        <v>#REF!</v>
      </c>
      <c r="F81" s="939">
        <v>72</v>
      </c>
      <c r="G81" s="935">
        <v>47879</v>
      </c>
      <c r="H81" s="890">
        <f>mOption!L80</f>
        <v>0</v>
      </c>
      <c r="I81" s="890">
        <f>mOption!N80</f>
        <v>0</v>
      </c>
      <c r="J81" s="917">
        <f>mOption!O80</f>
        <v>0</v>
      </c>
      <c r="K81" s="917">
        <f>mOption!P80</f>
        <v>0</v>
      </c>
      <c r="L81" s="890">
        <f>mOption!Q80</f>
        <v>0</v>
      </c>
      <c r="M81" s="890">
        <f>mOption!R80</f>
        <v>2011505.3126932518</v>
      </c>
      <c r="N81" s="890">
        <f>mOption!S80</f>
        <v>0</v>
      </c>
      <c r="O81" s="890">
        <f>mOption!T80</f>
        <v>0</v>
      </c>
      <c r="P81" s="890">
        <f>mOption!U80</f>
        <v>0</v>
      </c>
      <c r="Q81" s="890">
        <f>mOption!V80</f>
        <v>2011505.3126932518</v>
      </c>
      <c r="R81" s="940">
        <f>mOption!W80</f>
        <v>2011505.3126932518</v>
      </c>
    </row>
    <row r="82" spans="1:18">
      <c r="A82" s="41" t="e">
        <f>D82/#REF!</f>
        <v>#REF!</v>
      </c>
      <c r="B82" s="70" t="e">
        <f>#REF!/#REF!</f>
        <v>#REF!</v>
      </c>
      <c r="C82" s="39">
        <v>62.5</v>
      </c>
      <c r="D82" s="40" t="e">
        <f>#REF!/43560</f>
        <v>#REF!</v>
      </c>
      <c r="F82" s="942"/>
      <c r="G82" s="943"/>
      <c r="H82" s="944">
        <f>mOption!L81</f>
        <v>0</v>
      </c>
      <c r="I82" s="944">
        <f>mOption!N81</f>
        <v>0</v>
      </c>
      <c r="J82" s="945">
        <f>mOption!O81</f>
        <v>0</v>
      </c>
      <c r="K82" s="945">
        <f>mOption!P81</f>
        <v>0</v>
      </c>
      <c r="L82" s="944">
        <f>mOption!Q81</f>
        <v>0</v>
      </c>
      <c r="M82" s="944">
        <f>mOption!R81</f>
        <v>0</v>
      </c>
      <c r="N82" s="944">
        <f>mOption!S81</f>
        <v>0</v>
      </c>
      <c r="O82" s="944">
        <f>mOption!T81</f>
        <v>0</v>
      </c>
      <c r="P82" s="944">
        <f>mOption!U81</f>
        <v>0</v>
      </c>
      <c r="Q82" s="944">
        <f>mOption!V81</f>
        <v>0</v>
      </c>
      <c r="R82" s="946">
        <f>mOption!W81</f>
        <v>0</v>
      </c>
    </row>
    <row r="83" spans="1:18">
      <c r="A83" s="41" t="e">
        <f>D83/#REF!</f>
        <v>#REF!</v>
      </c>
      <c r="B83" s="70" t="e">
        <f>#REF!/#REF!</f>
        <v>#REF!</v>
      </c>
      <c r="C83" s="39">
        <v>62.5</v>
      </c>
      <c r="D83" s="40" t="e">
        <f>#REF!/43560</f>
        <v>#REF!</v>
      </c>
    </row>
    <row r="84" spans="1:18">
      <c r="A84" s="41" t="e">
        <f>D84/#REF!</f>
        <v>#REF!</v>
      </c>
      <c r="B84" s="70" t="e">
        <f>#REF!/#REF!</f>
        <v>#REF!</v>
      </c>
      <c r="C84" s="39">
        <v>75</v>
      </c>
      <c r="D84" s="40" t="e">
        <f>#REF!/43560</f>
        <v>#REF!</v>
      </c>
    </row>
    <row r="85" spans="1:18">
      <c r="A85" s="41" t="e">
        <f>D85/#REF!</f>
        <v>#REF!</v>
      </c>
      <c r="B85" s="70" t="e">
        <f>#REF!/#REF!</f>
        <v>#REF!</v>
      </c>
      <c r="C85" s="39">
        <v>62.5</v>
      </c>
      <c r="D85" s="40" t="e">
        <f>#REF!/43560</f>
        <v>#REF!</v>
      </c>
    </row>
  </sheetData>
  <mergeCells count="7">
    <mergeCell ref="Y7:AA7"/>
    <mergeCell ref="AM6:AN6"/>
    <mergeCell ref="F6:G7"/>
    <mergeCell ref="L6:P6"/>
    <mergeCell ref="W6:X7"/>
    <mergeCell ref="T6:V7"/>
    <mergeCell ref="AH7:AI7"/>
  </mergeCells>
  <conditionalFormatting sqref="T9:AG53">
    <cfRule type="expression" dxfId="10" priority="57">
      <formula>MOD(ROW(), 2) = 1</formula>
    </cfRule>
  </conditionalFormatting>
  <conditionalFormatting sqref="AM9:AN53">
    <cfRule type="expression" dxfId="9" priority="9">
      <formula>MOD(ROW(), 2) = 1</formula>
    </cfRule>
  </conditionalFormatting>
  <conditionalFormatting sqref="H9:K82">
    <cfRule type="expression" dxfId="8" priority="5">
      <formula>MOD(ROW(), 2) = 1</formula>
    </cfRule>
  </conditionalFormatting>
  <conditionalFormatting sqref="F9:G82">
    <cfRule type="expression" dxfId="7" priority="4">
      <formula>MOD(ROW(), 2) = 1</formula>
    </cfRule>
  </conditionalFormatting>
  <conditionalFormatting sqref="F9:F82">
    <cfRule type="expression" dxfId="6" priority="3">
      <formula>MOD(ROW(), 2) = 1</formula>
    </cfRule>
  </conditionalFormatting>
  <conditionalFormatting sqref="G9:G82">
    <cfRule type="expression" dxfId="5" priority="2">
      <formula>MOD(ROW(), 2) = 1</formula>
    </cfRule>
  </conditionalFormatting>
  <conditionalFormatting sqref="L9:R82">
    <cfRule type="expression" dxfId="4" priority="1">
      <formula>MOD(ROW(), 2) = 1</formula>
    </cfRule>
  </conditionalFormatting>
  <conditionalFormatting sqref="AB9:AG53">
    <cfRule type="expression" dxfId="3" priority="59">
      <formula>AB$7=$AI9</formula>
    </cfRule>
  </conditionalFormatting>
  <pageMargins left="0.25" right="0.25" top="0.75" bottom="0.75" header="0.3" footer="0.3"/>
  <pageSetup scale="56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5871E4-8EBA-1349-A059-C3BF608F9A2C}">
  <sheetPr codeName="Sheet12">
    <tabColor rgb="FF003399"/>
    <pageSetUpPr fitToPage="1"/>
  </sheetPr>
  <dimension ref="A2:AK106"/>
  <sheetViews>
    <sheetView topLeftCell="B2" workbookViewId="0">
      <selection activeCell="S11" sqref="S11"/>
    </sheetView>
  </sheetViews>
  <sheetFormatPr baseColWidth="10" defaultColWidth="8.83203125" defaultRowHeight="16"/>
  <cols>
    <col min="1" max="1" width="6.1640625" style="30" hidden="1" customWidth="1"/>
    <col min="2" max="2" width="2.5" style="5" customWidth="1"/>
    <col min="3" max="3" width="7" style="21" bestFit="1" customWidth="1"/>
    <col min="4" max="4" width="6.1640625" style="21" bestFit="1" customWidth="1"/>
    <col min="5" max="5" width="12.33203125" style="21" bestFit="1" customWidth="1"/>
    <col min="6" max="6" width="6.1640625" bestFit="1" customWidth="1"/>
    <col min="7" max="7" width="7.83203125" bestFit="1" customWidth="1"/>
    <col min="8" max="8" width="6.33203125" bestFit="1" customWidth="1"/>
    <col min="9" max="9" width="11.33203125" customWidth="1"/>
    <col min="10" max="10" width="9.6640625" bestFit="1" customWidth="1"/>
    <col min="11" max="11" width="9.83203125" bestFit="1" customWidth="1"/>
    <col min="12" max="17" width="10.5" bestFit="1" customWidth="1"/>
    <col min="18" max="18" width="6.6640625" bestFit="1" customWidth="1"/>
    <col min="19" max="19" width="3" bestFit="1" customWidth="1"/>
    <col min="20" max="20" width="10.6640625" bestFit="1" customWidth="1"/>
    <col min="21" max="21" width="11.83203125" bestFit="1" customWidth="1"/>
    <col min="22" max="22" width="12.6640625" style="251" bestFit="1" customWidth="1"/>
    <col min="23" max="23" width="11.6640625" style="251" bestFit="1" customWidth="1"/>
    <col min="30" max="30" width="21.83203125" bestFit="1" customWidth="1"/>
    <col min="31" max="31" width="15.6640625" style="136" bestFit="1" customWidth="1"/>
    <col min="32" max="32" width="15" customWidth="1"/>
    <col min="33" max="33" width="13.5" bestFit="1" customWidth="1"/>
    <col min="34" max="36" width="12.83203125" bestFit="1" customWidth="1"/>
    <col min="37" max="37" width="11.6640625" bestFit="1" customWidth="1"/>
  </cols>
  <sheetData>
    <row r="2" spans="2:37" s="265" customFormat="1" ht="28.25" customHeight="1">
      <c r="B2" s="266" t="str">
        <f>iProject!D2</f>
        <v>Clarendon Preserve</v>
      </c>
      <c r="C2" s="23"/>
      <c r="D2" s="23"/>
      <c r="E2" s="23"/>
      <c r="AE2" s="264"/>
    </row>
    <row r="3" spans="2:37" s="1" customFormat="1" ht="14" customHeight="1">
      <c r="B3" s="263" t="s">
        <v>133</v>
      </c>
      <c r="V3" s="252"/>
      <c r="W3" s="252"/>
      <c r="AE3" s="264"/>
    </row>
    <row r="4" spans="2:37" s="1" customFormat="1" ht="14" customHeight="1">
      <c r="V4" s="252"/>
      <c r="W4" s="252"/>
      <c r="AE4" s="264"/>
    </row>
    <row r="5" spans="2:37" s="47" customFormat="1">
      <c r="B5" s="12"/>
      <c r="C5" s="254"/>
      <c r="D5" s="254"/>
      <c r="E5" s="254"/>
      <c r="F5" s="255"/>
      <c r="G5" s="255"/>
      <c r="H5" s="255"/>
      <c r="I5" s="255"/>
      <c r="J5" s="255"/>
      <c r="K5" s="255"/>
      <c r="L5" s="255"/>
      <c r="M5" s="255"/>
      <c r="N5" s="255"/>
      <c r="O5" s="255"/>
      <c r="P5" s="255"/>
      <c r="Q5" s="255"/>
      <c r="R5" s="255"/>
      <c r="S5" s="255"/>
      <c r="T5" s="255"/>
      <c r="U5" s="255"/>
      <c r="V5" s="256"/>
      <c r="W5" s="256"/>
      <c r="X5" s="255"/>
      <c r="Y5" s="255"/>
      <c r="AE5" s="331"/>
    </row>
    <row r="6" spans="2:37" ht="19">
      <c r="B6" s="12"/>
      <c r="C6" s="715" t="s">
        <v>269</v>
      </c>
      <c r="D6" s="258"/>
      <c r="E6" s="258"/>
      <c r="F6" s="1038" t="s">
        <v>93</v>
      </c>
      <c r="G6" s="1093"/>
      <c r="H6" s="1093"/>
      <c r="I6" s="716" t="s">
        <v>131</v>
      </c>
      <c r="J6" s="717"/>
      <c r="K6" s="717"/>
      <c r="L6" s="345" t="s">
        <v>134</v>
      </c>
      <c r="M6" s="302"/>
      <c r="N6" s="302"/>
      <c r="O6" s="302"/>
      <c r="P6" s="302"/>
      <c r="Q6" s="302"/>
      <c r="R6" s="718" t="s">
        <v>135</v>
      </c>
      <c r="S6" s="719"/>
      <c r="T6" s="728"/>
      <c r="W6" s="297" t="s">
        <v>131</v>
      </c>
      <c r="X6" s="297"/>
      <c r="Y6" s="297"/>
      <c r="Z6" s="298"/>
      <c r="AA6" s="298"/>
      <c r="AC6" s="257"/>
      <c r="AD6" s="254"/>
      <c r="AE6" s="135"/>
      <c r="AF6" s="257"/>
      <c r="AG6" s="257"/>
      <c r="AH6" s="257"/>
      <c r="AI6" s="257"/>
      <c r="AJ6" s="257"/>
      <c r="AK6" s="257"/>
    </row>
    <row r="7" spans="2:37" ht="19">
      <c r="B7" s="12"/>
      <c r="C7" s="293"/>
      <c r="D7" s="729"/>
      <c r="E7" s="729"/>
      <c r="F7" s="1094"/>
      <c r="G7" s="1094"/>
      <c r="H7" s="1094"/>
      <c r="I7" s="1095" t="s">
        <v>270</v>
      </c>
      <c r="J7" s="1076"/>
      <c r="K7" s="1076"/>
      <c r="L7" s="824">
        <v>1</v>
      </c>
      <c r="M7" s="825">
        <v>2</v>
      </c>
      <c r="N7" s="825">
        <v>3</v>
      </c>
      <c r="O7" s="825">
        <v>4</v>
      </c>
      <c r="P7" s="825">
        <v>5</v>
      </c>
      <c r="Q7" s="826">
        <v>6</v>
      </c>
      <c r="R7" s="822" t="s">
        <v>109</v>
      </c>
      <c r="S7" s="730"/>
      <c r="T7" s="731" t="s">
        <v>72</v>
      </c>
      <c r="W7" s="1096" t="str">
        <f>iBudget!AB6</f>
        <v>MTN Estimate</v>
      </c>
      <c r="X7" s="1096"/>
      <c r="Y7" s="1097" t="s">
        <v>132</v>
      </c>
      <c r="Z7" s="1097"/>
      <c r="AA7" s="1097"/>
      <c r="AC7" s="257"/>
      <c r="AD7" s="339" t="str">
        <f>iOption!AA7</f>
        <v>Absorption Summary</v>
      </c>
      <c r="AE7" s="418" t="s">
        <v>78</v>
      </c>
      <c r="AF7" s="340">
        <f>iOption!AE7</f>
        <v>1</v>
      </c>
      <c r="AG7" s="340">
        <f>iOption!AF7</f>
        <v>2</v>
      </c>
      <c r="AH7" s="340">
        <f>iOption!AG7</f>
        <v>3</v>
      </c>
      <c r="AI7" s="340">
        <f>iOption!AH7</f>
        <v>4</v>
      </c>
      <c r="AJ7" s="340">
        <f>iOption!AI7</f>
        <v>5</v>
      </c>
      <c r="AK7" s="340">
        <f>iOption!AJ7</f>
        <v>6</v>
      </c>
    </row>
    <row r="8" spans="2:37" ht="16.25" customHeight="1">
      <c r="B8" s="12"/>
      <c r="C8" s="303" t="s">
        <v>128</v>
      </c>
      <c r="D8" s="732" t="str">
        <f>iProject!J6</f>
        <v>Merge</v>
      </c>
      <c r="E8" s="733" t="str">
        <f>iProject!K6</f>
        <v>Area</v>
      </c>
      <c r="F8" s="734" t="str">
        <f>iProject!L7</f>
        <v>Radius</v>
      </c>
      <c r="G8" s="734" t="str">
        <f>iProject!M7</f>
        <v>SqFt</v>
      </c>
      <c r="H8" s="734" t="str">
        <f>iProject!N7</f>
        <v>Share</v>
      </c>
      <c r="I8" s="301" t="str">
        <f>iBudget!Q7</f>
        <v>Land</v>
      </c>
      <c r="J8" s="735" t="str">
        <f>iBudget!R7</f>
        <v>Infra</v>
      </c>
      <c r="K8" s="735" t="str">
        <f>iBudget!S7</f>
        <v>total</v>
      </c>
      <c r="L8" s="827" cm="1">
        <f t="array" ref="L8:Q8">iOption!N7:S7</f>
        <v>1.75</v>
      </c>
      <c r="M8" s="828">
        <v>2</v>
      </c>
      <c r="N8" s="828">
        <v>2.25</v>
      </c>
      <c r="O8" s="828">
        <v>2.5</v>
      </c>
      <c r="P8" s="828">
        <v>2.75</v>
      </c>
      <c r="Q8" s="829">
        <v>3</v>
      </c>
      <c r="R8" s="736" t="s">
        <v>110</v>
      </c>
      <c r="S8" s="736" t="s">
        <v>112</v>
      </c>
      <c r="T8" s="737" t="s">
        <v>71</v>
      </c>
      <c r="U8" s="268"/>
      <c r="V8" s="269"/>
      <c r="W8" s="299" t="str">
        <f>iBudget!AB7</f>
        <v>Retail</v>
      </c>
      <c r="X8" s="299" t="str">
        <f>iBudget!AC7</f>
        <v>Share</v>
      </c>
      <c r="Y8" s="300" t="str">
        <f>iBudget!AD7</f>
        <v>Land</v>
      </c>
      <c r="Z8" s="300" t="str">
        <f>iBudget!AE7</f>
        <v>Infra</v>
      </c>
      <c r="AA8" s="300" t="str">
        <f>iBudget!AF7</f>
        <v>total</v>
      </c>
      <c r="AC8" s="257"/>
      <c r="AD8" s="188" t="s">
        <v>154</v>
      </c>
      <c r="AE8" s="332">
        <f>mOption!L7+mOption!M7</f>
        <v>-22900000</v>
      </c>
      <c r="AF8" s="332"/>
      <c r="AG8" s="332"/>
      <c r="AH8" s="332"/>
      <c r="AI8" s="332"/>
      <c r="AJ8" s="332"/>
      <c r="AK8" s="332"/>
    </row>
    <row r="9" spans="2:37">
      <c r="B9" s="12"/>
      <c r="C9" s="306">
        <f>iProject!I8</f>
        <v>1</v>
      </c>
      <c r="D9" s="307">
        <f>iProject!J8</f>
        <v>0</v>
      </c>
      <c r="E9" s="308" t="str">
        <f>iProject!K8</f>
        <v xml:space="preserve">Jimmy Creek </v>
      </c>
      <c r="F9" s="309">
        <f>iProject!L8</f>
        <v>62.5</v>
      </c>
      <c r="G9" s="307">
        <f>iProject!M8</f>
        <v>12271.846303085129</v>
      </c>
      <c r="H9" s="310">
        <f>iProject!N8</f>
        <v>1.8921109267438219E-2</v>
      </c>
      <c r="I9" s="311" cm="1">
        <f t="array" ref="I9:K53">iBudget!Q8:S52</f>
        <v>433293.40222433524</v>
      </c>
      <c r="J9" s="312">
        <v>158180.47347578351</v>
      </c>
      <c r="K9" s="313">
        <v>591473.87570011872</v>
      </c>
      <c r="L9" s="314" cm="1">
        <f t="array" ref="L9:Q53">iOption!N8:S52</f>
        <v>1035079.2824752077</v>
      </c>
      <c r="M9" s="315">
        <v>1182947.7514002374</v>
      </c>
      <c r="N9" s="315">
        <v>1330816.2203252672</v>
      </c>
      <c r="O9" s="315">
        <v>1478684.6892502969</v>
      </c>
      <c r="P9" s="823">
        <v>1626553.1581753264</v>
      </c>
      <c r="Q9" s="315">
        <v>1311851.2908869036</v>
      </c>
      <c r="R9" s="721" cm="1">
        <f t="array" ref="R9:R53">iOption!U8:U52</f>
        <v>13</v>
      </c>
      <c r="S9" s="318">
        <f>IF(R9="","",INT(R9/12)+1)</f>
        <v>2</v>
      </c>
      <c r="T9" s="738">
        <f>LOOKUP(S9,$L$7:$Q$7,L9:Q9)</f>
        <v>1182947.7514002374</v>
      </c>
      <c r="U9" s="268"/>
      <c r="V9" s="269"/>
      <c r="W9" s="294">
        <f>iBudget!AB8</f>
        <v>1403363.2612437012</v>
      </c>
      <c r="X9" s="295">
        <f>iBudget!AC8</f>
        <v>1.3988604082820469E-2</v>
      </c>
      <c r="Y9" s="292">
        <f>iBudget!AD8</f>
        <v>320339.03349658876</v>
      </c>
      <c r="Z9" s="296">
        <f>iBudget!AE8</f>
        <v>116944.73013237912</v>
      </c>
      <c r="AA9" s="270">
        <f>iBudget!AF8</f>
        <v>437283.76362896786</v>
      </c>
      <c r="AC9" s="257"/>
      <c r="AD9" s="188" t="s">
        <v>155</v>
      </c>
      <c r="AE9" s="332"/>
      <c r="AF9" s="332"/>
      <c r="AG9" s="332"/>
      <c r="AH9" s="332"/>
      <c r="AI9" s="332"/>
      <c r="AJ9" s="332"/>
      <c r="AK9" s="332"/>
    </row>
    <row r="10" spans="2:37">
      <c r="B10" s="12"/>
      <c r="C10" s="319">
        <f>iProject!I9</f>
        <v>2</v>
      </c>
      <c r="D10" s="318">
        <f>iProject!J9</f>
        <v>0</v>
      </c>
      <c r="E10" s="320" t="str">
        <f>iProject!K9</f>
        <v xml:space="preserve">Jimmy Creek </v>
      </c>
      <c r="F10" s="321">
        <f>iProject!L9</f>
        <v>62.5</v>
      </c>
      <c r="G10" s="318">
        <f>iProject!M9</f>
        <v>12271.846303085129</v>
      </c>
      <c r="H10" s="322">
        <f>iProject!N9</f>
        <v>1.8921109267438219E-2</v>
      </c>
      <c r="I10" s="323">
        <v>433293.40222433524</v>
      </c>
      <c r="J10" s="324">
        <v>158180.47347578351</v>
      </c>
      <c r="K10" s="325">
        <v>591473.87570011872</v>
      </c>
      <c r="L10" s="326">
        <v>1035079.2824752077</v>
      </c>
      <c r="M10" s="317">
        <v>1182947.7514002374</v>
      </c>
      <c r="N10" s="317">
        <v>1330816.2203252672</v>
      </c>
      <c r="O10" s="317">
        <v>1478684.6892502969</v>
      </c>
      <c r="P10" s="316">
        <v>1626553.1581753264</v>
      </c>
      <c r="Q10" s="317">
        <v>1311851.2908869036</v>
      </c>
      <c r="R10" s="721">
        <v>16</v>
      </c>
      <c r="S10" s="318">
        <f t="shared" ref="S10:S53" si="0">IF(R10="","",INT(R10/12)+1)</f>
        <v>2</v>
      </c>
      <c r="T10" s="738">
        <f>LOOKUP(S10,$L$7:$Q$7,L10:Q10)</f>
        <v>1182947.7514002374</v>
      </c>
      <c r="U10" s="268"/>
      <c r="V10" s="269"/>
      <c r="W10" s="273">
        <f>iBudget!AB9</f>
        <v>1403363.2612437012</v>
      </c>
      <c r="X10" s="274">
        <f>iBudget!AC9</f>
        <v>1.3988604082820469E-2</v>
      </c>
      <c r="Y10" s="271">
        <f>iBudget!AD9</f>
        <v>320339.03349658876</v>
      </c>
      <c r="Z10" s="275">
        <f>iBudget!AE9</f>
        <v>116944.73013237912</v>
      </c>
      <c r="AA10" s="272">
        <f>iBudget!AF9</f>
        <v>437283.76362896786</v>
      </c>
      <c r="AC10" s="257"/>
      <c r="AE10" s="332"/>
      <c r="AF10" s="332"/>
      <c r="AG10" s="332"/>
      <c r="AH10" s="332"/>
      <c r="AI10" s="332"/>
      <c r="AJ10" s="332"/>
      <c r="AK10" s="332"/>
    </row>
    <row r="11" spans="2:37">
      <c r="B11" s="12"/>
      <c r="C11" s="319">
        <f>iProject!I10</f>
        <v>3</v>
      </c>
      <c r="D11" s="318">
        <f>iProject!J10</f>
        <v>0</v>
      </c>
      <c r="E11" s="320" t="str">
        <f>iProject!K10</f>
        <v xml:space="preserve">Jimmy Creek </v>
      </c>
      <c r="F11" s="321">
        <f>iProject!L10</f>
        <v>50</v>
      </c>
      <c r="G11" s="318">
        <f>iProject!M10</f>
        <v>7853.981633974483</v>
      </c>
      <c r="H11" s="322">
        <f>iProject!N10</f>
        <v>1.210950993116046E-2</v>
      </c>
      <c r="I11" s="323">
        <v>277307.77742357453</v>
      </c>
      <c r="J11" s="324">
        <v>101235.50302450145</v>
      </c>
      <c r="K11" s="325">
        <v>378543.28044807597</v>
      </c>
      <c r="L11" s="326">
        <v>662450.74078413297</v>
      </c>
      <c r="M11" s="317">
        <v>757086.56089615193</v>
      </c>
      <c r="N11" s="317">
        <v>851722.38100817089</v>
      </c>
      <c r="O11" s="317">
        <v>946358.20112018986</v>
      </c>
      <c r="P11" s="316">
        <v>1040994.0212322089</v>
      </c>
      <c r="Q11" s="317">
        <v>842003.84273237432</v>
      </c>
      <c r="R11" s="721">
        <v>19</v>
      </c>
      <c r="S11" s="318">
        <f t="shared" si="0"/>
        <v>2</v>
      </c>
      <c r="T11" s="738">
        <f>LOOKUP(S11,$L$7:$Q$7,L11:Q11)</f>
        <v>757086.56089615193</v>
      </c>
      <c r="U11" s="268"/>
      <c r="V11" s="269"/>
      <c r="W11" s="273">
        <f>iBudget!AB10</f>
        <v>900740.24923797848</v>
      </c>
      <c r="X11" s="274">
        <f>iBudget!AC10</f>
        <v>8.978501202093989E-3</v>
      </c>
      <c r="Y11" s="271">
        <f>iBudget!AD10</f>
        <v>205607.67752795236</v>
      </c>
      <c r="Z11" s="275">
        <f>iBudget!AE10</f>
        <v>75060.270049505751</v>
      </c>
      <c r="AA11" s="272">
        <f>iBudget!AF10</f>
        <v>280667.94757745811</v>
      </c>
      <c r="AC11" s="257"/>
      <c r="AE11" s="332"/>
      <c r="AF11" s="332"/>
      <c r="AG11" s="332"/>
      <c r="AH11" s="332"/>
      <c r="AI11" s="332"/>
      <c r="AJ11" s="332"/>
      <c r="AK11" s="332"/>
    </row>
    <row r="12" spans="2:37">
      <c r="B12" s="12"/>
      <c r="C12" s="327">
        <f>iProject!I11</f>
        <v>45</v>
      </c>
      <c r="D12" s="318">
        <f>iProject!J11</f>
        <v>0</v>
      </c>
      <c r="E12" s="320" t="str">
        <f>iProject!K11</f>
        <v xml:space="preserve">Jimmy Creek </v>
      </c>
      <c r="F12" s="321">
        <f>iProject!L11</f>
        <v>62.5</v>
      </c>
      <c r="G12" s="318">
        <f>iProject!M11</f>
        <v>12271.846303085129</v>
      </c>
      <c r="H12" s="322">
        <f>iProject!N11</f>
        <v>1.8921109267438219E-2</v>
      </c>
      <c r="I12" s="323">
        <v>433293.40222433524</v>
      </c>
      <c r="J12" s="324">
        <v>158180.47347578351</v>
      </c>
      <c r="K12" s="325">
        <v>591473.87570011872</v>
      </c>
      <c r="L12" s="328">
        <v>1035079.2824752077</v>
      </c>
      <c r="M12" s="329">
        <v>1182947.7514002374</v>
      </c>
      <c r="N12" s="329">
        <v>1330816.2203252672</v>
      </c>
      <c r="O12" s="329">
        <v>1478684.6892502969</v>
      </c>
      <c r="P12" s="330">
        <v>1626553.1581753264</v>
      </c>
      <c r="Q12" s="329">
        <v>1311851.2908869036</v>
      </c>
      <c r="R12" s="721">
        <v>21</v>
      </c>
      <c r="S12" s="318">
        <f t="shared" si="0"/>
        <v>2</v>
      </c>
      <c r="T12" s="738">
        <f t="shared" ref="T12:T53" si="1">LOOKUP(S12,$L$7:$Q$7,L12:Q12)</f>
        <v>1182947.7514002374</v>
      </c>
      <c r="U12" s="268"/>
      <c r="V12" s="269"/>
      <c r="W12" s="278">
        <f>iBudget!AB11</f>
        <v>1403363.2612437012</v>
      </c>
      <c r="X12" s="279">
        <f>iBudget!AC11</f>
        <v>1.3988604082820469E-2</v>
      </c>
      <c r="Y12" s="276">
        <f>iBudget!AD11</f>
        <v>320339.03349658876</v>
      </c>
      <c r="Z12" s="250">
        <f>iBudget!AE11</f>
        <v>116944.73013237912</v>
      </c>
      <c r="AA12" s="277">
        <f>iBudget!AF11</f>
        <v>437283.76362896786</v>
      </c>
      <c r="AC12" s="257"/>
      <c r="AE12" s="332"/>
      <c r="AF12" s="332"/>
      <c r="AG12" s="332"/>
      <c r="AH12" s="332"/>
      <c r="AI12" s="332"/>
      <c r="AJ12" s="332"/>
      <c r="AK12" s="332"/>
    </row>
    <row r="13" spans="2:37">
      <c r="B13" s="12"/>
      <c r="C13" s="319">
        <f>iProject!I12</f>
        <v>4</v>
      </c>
      <c r="D13" s="318">
        <f>iProject!J12</f>
        <v>0</v>
      </c>
      <c r="E13" s="320" t="str">
        <f>iProject!K12</f>
        <v>Deer Creek</v>
      </c>
      <c r="F13" s="321">
        <f>iProject!L12</f>
        <v>62.5</v>
      </c>
      <c r="G13" s="318">
        <f>iProject!M12</f>
        <v>12271.846303085129</v>
      </c>
      <c r="H13" s="322">
        <f>iProject!N12</f>
        <v>1.8921109267438219E-2</v>
      </c>
      <c r="I13" s="323">
        <v>433293.40222433524</v>
      </c>
      <c r="J13" s="324">
        <v>158180.47347578351</v>
      </c>
      <c r="K13" s="325">
        <v>591473.87570011872</v>
      </c>
      <c r="L13" s="326">
        <v>1035079.2824752077</v>
      </c>
      <c r="M13" s="317">
        <v>1182947.7514002374</v>
      </c>
      <c r="N13" s="317">
        <v>1330816.2203252672</v>
      </c>
      <c r="O13" s="317">
        <v>1478684.6892502969</v>
      </c>
      <c r="P13" s="316">
        <v>1626553.1581753264</v>
      </c>
      <c r="Q13" s="317">
        <v>2011505.3126932518</v>
      </c>
      <c r="R13" s="721">
        <v>72</v>
      </c>
      <c r="S13" s="318">
        <f t="shared" si="0"/>
        <v>7</v>
      </c>
      <c r="T13" s="738">
        <f t="shared" si="1"/>
        <v>2011505.3126932518</v>
      </c>
      <c r="U13" s="268"/>
      <c r="V13" s="269"/>
      <c r="W13" s="273">
        <f>iBudget!AB12</f>
        <v>2151823.6672403417</v>
      </c>
      <c r="X13" s="274">
        <f>iBudget!AC12</f>
        <v>2.1449192926991382E-2</v>
      </c>
      <c r="Y13" s="271">
        <f>iBudget!AD12</f>
        <v>491186.51802810264</v>
      </c>
      <c r="Z13" s="275">
        <f>iBudget!AE12</f>
        <v>179315.25286964796</v>
      </c>
      <c r="AA13" s="272">
        <f>iBudget!AF12</f>
        <v>670501.77089775063</v>
      </c>
      <c r="AC13" s="257"/>
      <c r="AD13" s="227" t="str">
        <f>iOption!AA8</f>
        <v xml:space="preserve">Jimmy Creek </v>
      </c>
      <c r="AE13" s="332">
        <f>iOption!AC8</f>
        <v>4</v>
      </c>
      <c r="AF13" s="332">
        <f>iOption!AE8</f>
        <v>0</v>
      </c>
      <c r="AG13" s="332">
        <f>iOption!AF8</f>
        <v>4</v>
      </c>
      <c r="AH13" s="332">
        <f>iOption!AG8</f>
        <v>0</v>
      </c>
      <c r="AI13" s="332">
        <f>iOption!AH8</f>
        <v>0</v>
      </c>
      <c r="AJ13" s="332">
        <f>iOption!AI8</f>
        <v>0</v>
      </c>
      <c r="AK13" s="332">
        <f>iOption!AJ8</f>
        <v>0</v>
      </c>
    </row>
    <row r="14" spans="2:37">
      <c r="B14" s="12"/>
      <c r="C14" s="319">
        <f>iProject!I13</f>
        <v>5</v>
      </c>
      <c r="D14" s="318">
        <f>iProject!J13</f>
        <v>0</v>
      </c>
      <c r="E14" s="320" t="str">
        <f>iProject!K13</f>
        <v>Deer Creek</v>
      </c>
      <c r="F14" s="321">
        <f>iProject!L13</f>
        <v>75</v>
      </c>
      <c r="G14" s="318">
        <f>iProject!M13</f>
        <v>17671.458676442588</v>
      </c>
      <c r="H14" s="322">
        <f>iProject!N13</f>
        <v>2.7246397345111039E-2</v>
      </c>
      <c r="I14" s="323">
        <v>623942.49920304283</v>
      </c>
      <c r="J14" s="324">
        <v>227779.88180512827</v>
      </c>
      <c r="K14" s="325">
        <v>851722.38100817113</v>
      </c>
      <c r="L14" s="326">
        <v>1490514.1667642994</v>
      </c>
      <c r="M14" s="317">
        <v>1703444.7620163423</v>
      </c>
      <c r="N14" s="317">
        <v>1916375.3572683851</v>
      </c>
      <c r="O14" s="317">
        <v>2129305.9525204278</v>
      </c>
      <c r="P14" s="316">
        <v>2342236.5477724704</v>
      </c>
      <c r="Q14" s="317">
        <v>2895997.0104732639</v>
      </c>
      <c r="R14" s="721">
        <v>13</v>
      </c>
      <c r="S14" s="318">
        <f t="shared" si="0"/>
        <v>2</v>
      </c>
      <c r="T14" s="738">
        <f t="shared" si="1"/>
        <v>1703444.7620163423</v>
      </c>
      <c r="U14" s="268"/>
      <c r="V14" s="269"/>
      <c r="W14" s="273">
        <f>iBudget!AB13</f>
        <v>3098015.6343956697</v>
      </c>
      <c r="X14" s="274">
        <f>iBudget!AC13</f>
        <v>3.08807529374415E-2</v>
      </c>
      <c r="Y14" s="271">
        <f>iBudget!AD13</f>
        <v>707169.24226741039</v>
      </c>
      <c r="Z14" s="275">
        <f>iBudget!AE13</f>
        <v>258163.09455701095</v>
      </c>
      <c r="AA14" s="272">
        <f>iBudget!AF13</f>
        <v>965332.33682442131</v>
      </c>
      <c r="AC14" s="257"/>
      <c r="AD14" s="227" t="str">
        <f>iOption!AA9</f>
        <v>Deer Creek</v>
      </c>
      <c r="AE14" s="332">
        <f>iOption!AC9</f>
        <v>6</v>
      </c>
      <c r="AF14" s="333">
        <f>iOption!AE9</f>
        <v>0</v>
      </c>
      <c r="AG14" s="333">
        <f>iOption!AF9</f>
        <v>1</v>
      </c>
      <c r="AH14" s="333">
        <f>iOption!AG9</f>
        <v>0</v>
      </c>
      <c r="AI14" s="333">
        <f>iOption!AH9</f>
        <v>0</v>
      </c>
      <c r="AJ14" s="333">
        <f>iOption!AI9</f>
        <v>0</v>
      </c>
      <c r="AK14" s="333">
        <f>iOption!AJ9</f>
        <v>5</v>
      </c>
    </row>
    <row r="15" spans="2:37">
      <c r="B15" s="12"/>
      <c r="C15" s="319">
        <f>iProject!I14</f>
        <v>6</v>
      </c>
      <c r="D15" s="318">
        <f>iProject!J14</f>
        <v>0</v>
      </c>
      <c r="E15" s="320" t="str">
        <f>iProject!K14</f>
        <v>Deer Creek</v>
      </c>
      <c r="F15" s="321">
        <f>iProject!L14</f>
        <v>50</v>
      </c>
      <c r="G15" s="318">
        <f>iProject!M14</f>
        <v>7853.981633974483</v>
      </c>
      <c r="H15" s="322">
        <f>iProject!N14</f>
        <v>1.210950993116046E-2</v>
      </c>
      <c r="I15" s="323">
        <v>277307.77742357453</v>
      </c>
      <c r="J15" s="324">
        <v>101235.50302450145</v>
      </c>
      <c r="K15" s="325">
        <v>378543.28044807597</v>
      </c>
      <c r="L15" s="326">
        <v>662450.74078413297</v>
      </c>
      <c r="M15" s="317">
        <v>757086.56089615193</v>
      </c>
      <c r="N15" s="317">
        <v>851722.38100817089</v>
      </c>
      <c r="O15" s="317">
        <v>946358.20112018986</v>
      </c>
      <c r="P15" s="316">
        <v>1040994.0212322089</v>
      </c>
      <c r="Q15" s="317">
        <v>1291072.5588563073</v>
      </c>
      <c r="R15" s="721">
        <v>61</v>
      </c>
      <c r="S15" s="318">
        <f t="shared" si="0"/>
        <v>6</v>
      </c>
      <c r="T15" s="738">
        <f t="shared" si="1"/>
        <v>1291072.5588563073</v>
      </c>
      <c r="U15" s="268"/>
      <c r="V15" s="269"/>
      <c r="W15" s="273">
        <f>iBudget!AB14</f>
        <v>1381135.0488315669</v>
      </c>
      <c r="X15" s="274">
        <f>iBudget!AC14</f>
        <v>1.3767035176544117E-2</v>
      </c>
      <c r="Y15" s="271">
        <f>iBudget!AD14</f>
        <v>315265.10554286028</v>
      </c>
      <c r="Z15" s="275">
        <f>iBudget!AE14</f>
        <v>115092.41407590882</v>
      </c>
      <c r="AA15" s="272">
        <f>iBudget!AF14</f>
        <v>430357.51961876912</v>
      </c>
      <c r="AC15" s="257"/>
      <c r="AD15" s="227" t="str">
        <f>iOption!AA10</f>
        <v>Forest</v>
      </c>
      <c r="AE15" s="332">
        <f>iOption!AC10</f>
        <v>10</v>
      </c>
      <c r="AF15" s="333">
        <f>iOption!AE10</f>
        <v>0</v>
      </c>
      <c r="AG15" s="333">
        <f>iOption!AF10</f>
        <v>0</v>
      </c>
      <c r="AH15" s="333">
        <f>iOption!AG10</f>
        <v>0</v>
      </c>
      <c r="AI15" s="333">
        <f>iOption!AH10</f>
        <v>5</v>
      </c>
      <c r="AJ15" s="333">
        <f>iOption!AI10</f>
        <v>5</v>
      </c>
      <c r="AK15" s="333">
        <f>iOption!AJ10</f>
        <v>0</v>
      </c>
    </row>
    <row r="16" spans="2:37">
      <c r="B16" s="12"/>
      <c r="C16" s="319">
        <f>iProject!I15</f>
        <v>7</v>
      </c>
      <c r="D16" s="318">
        <f>iProject!J15</f>
        <v>0</v>
      </c>
      <c r="E16" s="320" t="str">
        <f>iProject!K15</f>
        <v>Deer Creek</v>
      </c>
      <c r="F16" s="321">
        <f>iProject!L15</f>
        <v>62.5</v>
      </c>
      <c r="G16" s="318">
        <f>iProject!M15</f>
        <v>12271.846303085129</v>
      </c>
      <c r="H16" s="322">
        <f>iProject!N15</f>
        <v>1.8921109267438219E-2</v>
      </c>
      <c r="I16" s="323">
        <v>433293.40222433524</v>
      </c>
      <c r="J16" s="324">
        <v>158180.47347578351</v>
      </c>
      <c r="K16" s="325">
        <v>591473.87570011872</v>
      </c>
      <c r="L16" s="326">
        <v>1035079.2824752077</v>
      </c>
      <c r="M16" s="317">
        <v>1182947.7514002374</v>
      </c>
      <c r="N16" s="317">
        <v>1330816.2203252672</v>
      </c>
      <c r="O16" s="317">
        <v>1478684.6892502969</v>
      </c>
      <c r="P16" s="316">
        <v>1626553.1581753264</v>
      </c>
      <c r="Q16" s="317">
        <v>1749135.0545158712</v>
      </c>
      <c r="R16" s="721">
        <v>63</v>
      </c>
      <c r="S16" s="318">
        <f t="shared" si="0"/>
        <v>6</v>
      </c>
      <c r="T16" s="738">
        <f t="shared" si="1"/>
        <v>1749135.0545158712</v>
      </c>
      <c r="U16" s="268"/>
      <c r="V16" s="269"/>
      <c r="W16" s="273">
        <f>iBudget!AB15</f>
        <v>1871151.0149916017</v>
      </c>
      <c r="X16" s="274">
        <f>iBudget!AC15</f>
        <v>1.8651472110427291E-2</v>
      </c>
      <c r="Y16" s="271">
        <f>iBudget!AD15</f>
        <v>427118.71132878499</v>
      </c>
      <c r="Z16" s="275">
        <f>iBudget!AE15</f>
        <v>155926.30684317215</v>
      </c>
      <c r="AA16" s="272">
        <f>iBudget!AF15</f>
        <v>583045.01817195711</v>
      </c>
      <c r="AC16" s="257"/>
      <c r="AD16" s="227" t="str">
        <f>iOption!AA11</f>
        <v>Bench</v>
      </c>
      <c r="AE16" s="332">
        <f>iOption!AC11</f>
        <v>15</v>
      </c>
      <c r="AF16" s="333">
        <f>iOption!AE11</f>
        <v>0</v>
      </c>
      <c r="AG16" s="333">
        <f>iOption!AF11</f>
        <v>0</v>
      </c>
      <c r="AH16" s="333">
        <f>iOption!AG11</f>
        <v>8</v>
      </c>
      <c r="AI16" s="333">
        <f>iOption!AH11</f>
        <v>7</v>
      </c>
      <c r="AJ16" s="333">
        <f>iOption!AI11</f>
        <v>0</v>
      </c>
      <c r="AK16" s="333">
        <f>iOption!AJ11</f>
        <v>0</v>
      </c>
    </row>
    <row r="17" spans="3:37">
      <c r="C17" s="319">
        <f>iProject!I16</f>
        <v>8</v>
      </c>
      <c r="D17" s="318">
        <f>iProject!J16</f>
        <v>0</v>
      </c>
      <c r="E17" s="320" t="str">
        <f>iProject!K16</f>
        <v>Deer Creek</v>
      </c>
      <c r="F17" s="321">
        <f>iProject!L16</f>
        <v>62.5</v>
      </c>
      <c r="G17" s="318">
        <f>iProject!M16</f>
        <v>12271.846303085129</v>
      </c>
      <c r="H17" s="322">
        <f>iProject!N16</f>
        <v>1.8921109267438219E-2</v>
      </c>
      <c r="I17" s="323">
        <v>433293.40222433524</v>
      </c>
      <c r="J17" s="324">
        <v>158180.47347578351</v>
      </c>
      <c r="K17" s="325">
        <v>591473.87570011872</v>
      </c>
      <c r="L17" s="326">
        <v>1035079.2824752077</v>
      </c>
      <c r="M17" s="317">
        <v>1182947.7514002374</v>
      </c>
      <c r="N17" s="317">
        <v>1330816.2203252672</v>
      </c>
      <c r="O17" s="317">
        <v>1478684.6892502969</v>
      </c>
      <c r="P17" s="316">
        <v>1626553.1581753264</v>
      </c>
      <c r="Q17" s="317">
        <v>2011505.3126932518</v>
      </c>
      <c r="R17" s="721">
        <v>63</v>
      </c>
      <c r="S17" s="318">
        <f t="shared" si="0"/>
        <v>6</v>
      </c>
      <c r="T17" s="738">
        <f t="shared" si="1"/>
        <v>2011505.3126932518</v>
      </c>
      <c r="U17" s="268"/>
      <c r="V17" s="269"/>
      <c r="W17" s="273">
        <f>iBudget!AB16</f>
        <v>2151823.6672403417</v>
      </c>
      <c r="X17" s="274">
        <f>iBudget!AC16</f>
        <v>2.1449192926991382E-2</v>
      </c>
      <c r="Y17" s="271">
        <f>iBudget!AD16</f>
        <v>491186.51802810264</v>
      </c>
      <c r="Z17" s="275">
        <f>iBudget!AE16</f>
        <v>179315.25286964796</v>
      </c>
      <c r="AA17" s="272">
        <f>iBudget!AF16</f>
        <v>670501.77089775063</v>
      </c>
      <c r="AC17" s="257"/>
      <c r="AD17" s="228" t="str">
        <f>iOption!AA12</f>
        <v>Hillside</v>
      </c>
      <c r="AE17" s="334">
        <f>iOption!AC12</f>
        <v>10</v>
      </c>
      <c r="AF17" s="334">
        <f>iOption!AE12</f>
        <v>0</v>
      </c>
      <c r="AG17" s="334">
        <f>iOption!AF12</f>
        <v>0</v>
      </c>
      <c r="AH17" s="334">
        <f>iOption!AG12</f>
        <v>0</v>
      </c>
      <c r="AI17" s="334">
        <f>iOption!AH12</f>
        <v>0</v>
      </c>
      <c r="AJ17" s="334">
        <f>iOption!AI12</f>
        <v>7</v>
      </c>
      <c r="AK17" s="334">
        <f>iOption!AJ12</f>
        <v>3</v>
      </c>
    </row>
    <row r="18" spans="3:37">
      <c r="C18" s="319">
        <f>iProject!I17</f>
        <v>9</v>
      </c>
      <c r="D18" s="318">
        <f>iProject!J17</f>
        <v>0</v>
      </c>
      <c r="E18" s="320" t="str">
        <f>iProject!K17</f>
        <v>Deer Creek</v>
      </c>
      <c r="F18" s="321">
        <f>iProject!L17</f>
        <v>50</v>
      </c>
      <c r="G18" s="318">
        <f>iProject!M17</f>
        <v>7853.981633974483</v>
      </c>
      <c r="H18" s="322">
        <f>iProject!N17</f>
        <v>1.210950993116046E-2</v>
      </c>
      <c r="I18" s="323">
        <v>277307.77742357453</v>
      </c>
      <c r="J18" s="324">
        <v>101235.50302450145</v>
      </c>
      <c r="K18" s="325">
        <v>378543.28044807597</v>
      </c>
      <c r="L18" s="326">
        <v>662450.74078413297</v>
      </c>
      <c r="M18" s="317">
        <v>757086.56089615193</v>
      </c>
      <c r="N18" s="317">
        <v>851722.38100817089</v>
      </c>
      <c r="O18" s="317">
        <v>946358.20112018986</v>
      </c>
      <c r="P18" s="316">
        <v>1040994.0212322089</v>
      </c>
      <c r="Q18" s="317">
        <v>1291072.5588563073</v>
      </c>
      <c r="R18" s="721">
        <v>63</v>
      </c>
      <c r="S18" s="318">
        <f t="shared" si="0"/>
        <v>6</v>
      </c>
      <c r="T18" s="738">
        <f t="shared" si="1"/>
        <v>1291072.5588563073</v>
      </c>
      <c r="U18" s="268"/>
      <c r="V18" s="269"/>
      <c r="W18" s="273">
        <f>iBudget!AB17</f>
        <v>1381135.0488315669</v>
      </c>
      <c r="X18" s="274">
        <f>iBudget!AC17</f>
        <v>1.3767035176544117E-2</v>
      </c>
      <c r="Y18" s="271">
        <f>iBudget!AD17</f>
        <v>315265.10554286028</v>
      </c>
      <c r="Z18" s="275">
        <f>iBudget!AE17</f>
        <v>115092.41407590882</v>
      </c>
      <c r="AA18" s="272">
        <f>iBudget!AF17</f>
        <v>430357.51961876912</v>
      </c>
      <c r="AC18" s="257"/>
      <c r="AD18" s="188" t="str">
        <f>iOption!AA13</f>
        <v>Total Lots Sold</v>
      </c>
      <c r="AE18" s="333">
        <f>iOption!AC13</f>
        <v>45</v>
      </c>
      <c r="AF18" s="333">
        <f>iOption!AE13</f>
        <v>0</v>
      </c>
      <c r="AG18" s="333">
        <f>iOption!AF13</f>
        <v>5</v>
      </c>
      <c r="AH18" s="333">
        <f>iOption!AG13</f>
        <v>8</v>
      </c>
      <c r="AI18" s="333">
        <f>iOption!AH13</f>
        <v>12</v>
      </c>
      <c r="AJ18" s="333">
        <f>iOption!AI13</f>
        <v>12</v>
      </c>
      <c r="AK18" s="333">
        <f>iOption!AJ13</f>
        <v>8</v>
      </c>
    </row>
    <row r="19" spans="3:37">
      <c r="C19" s="319">
        <f>iProject!I18</f>
        <v>10</v>
      </c>
      <c r="D19" s="318">
        <f>iProject!J18</f>
        <v>12</v>
      </c>
      <c r="E19" s="320" t="str">
        <f>iProject!K18</f>
        <v>Forest</v>
      </c>
      <c r="F19" s="321">
        <f>iProject!L18</f>
        <v>75</v>
      </c>
      <c r="G19" s="318">
        <f>iProject!M18</f>
        <v>17671.458676442588</v>
      </c>
      <c r="H19" s="322">
        <f>iProject!N18</f>
        <v>2.7246397345111039E-2</v>
      </c>
      <c r="I19" s="323">
        <v>623942.49920304283</v>
      </c>
      <c r="J19" s="324">
        <v>227779.88180512827</v>
      </c>
      <c r="K19" s="325">
        <v>851722.38100817113</v>
      </c>
      <c r="L19" s="326">
        <v>1490514.1667642994</v>
      </c>
      <c r="M19" s="317">
        <v>1703444.7620163423</v>
      </c>
      <c r="N19" s="317">
        <v>1916375.3572683851</v>
      </c>
      <c r="O19" s="317">
        <v>2129305.9525204278</v>
      </c>
      <c r="P19" s="316">
        <v>2342236.5477724704</v>
      </c>
      <c r="Q19" s="317">
        <v>2140519.5294802394</v>
      </c>
      <c r="R19" s="721">
        <v>37</v>
      </c>
      <c r="S19" s="318">
        <f t="shared" si="0"/>
        <v>4</v>
      </c>
      <c r="T19" s="738">
        <f t="shared" si="1"/>
        <v>2129305.9525204278</v>
      </c>
      <c r="U19" s="268"/>
      <c r="V19" s="269"/>
      <c r="W19" s="273">
        <f>iBudget!AB18</f>
        <v>2289837.6428141911</v>
      </c>
      <c r="X19" s="274">
        <f>iBudget!AC18</f>
        <v>2.2824904345065462E-2</v>
      </c>
      <c r="Y19" s="271">
        <f>iBudget!AD18</f>
        <v>522690.30950199912</v>
      </c>
      <c r="Z19" s="275">
        <f>iBudget!AE18</f>
        <v>190816.20032474727</v>
      </c>
      <c r="AA19" s="272">
        <f>iBudget!AF18</f>
        <v>713506.50982674642</v>
      </c>
      <c r="AC19" s="257"/>
    </row>
    <row r="20" spans="3:37">
      <c r="C20" s="319">
        <f>iProject!I19</f>
        <v>11</v>
      </c>
      <c r="D20" s="318">
        <f>iProject!J19</f>
        <v>0</v>
      </c>
      <c r="E20" s="320" t="str">
        <f>iProject!K19</f>
        <v>Forest</v>
      </c>
      <c r="F20" s="321">
        <f>iProject!L19</f>
        <v>62.5</v>
      </c>
      <c r="G20" s="318">
        <f>iProject!M19</f>
        <v>12271.846303085129</v>
      </c>
      <c r="H20" s="322">
        <f>iProject!N19</f>
        <v>1.8921109267438219E-2</v>
      </c>
      <c r="I20" s="323">
        <v>433293.40222433524</v>
      </c>
      <c r="J20" s="324">
        <v>158180.47347578351</v>
      </c>
      <c r="K20" s="325">
        <v>591473.87570011872</v>
      </c>
      <c r="L20" s="326">
        <v>1035079.2824752077</v>
      </c>
      <c r="M20" s="317">
        <v>1182947.7514002374</v>
      </c>
      <c r="N20" s="317">
        <v>1330816.2203252672</v>
      </c>
      <c r="O20" s="317">
        <v>1478684.6892502969</v>
      </c>
      <c r="P20" s="316">
        <v>1626553.1581753264</v>
      </c>
      <c r="Q20" s="317">
        <v>1749135.0545158698</v>
      </c>
      <c r="R20" s="721">
        <v>39</v>
      </c>
      <c r="S20" s="318">
        <f t="shared" si="0"/>
        <v>4</v>
      </c>
      <c r="T20" s="738">
        <f t="shared" si="1"/>
        <v>1478684.6892502969</v>
      </c>
      <c r="U20" s="268"/>
      <c r="V20" s="269"/>
      <c r="W20" s="273">
        <f>iBudget!AB19</f>
        <v>1871151.0149916001</v>
      </c>
      <c r="X20" s="274">
        <f>iBudget!AC19</f>
        <v>1.8651472110427277E-2</v>
      </c>
      <c r="Y20" s="271">
        <f>iBudget!AD19</f>
        <v>427118.71132878464</v>
      </c>
      <c r="Z20" s="275">
        <f>iBudget!AE19</f>
        <v>155926.30684317203</v>
      </c>
      <c r="AA20" s="272">
        <f>iBudget!AF19</f>
        <v>583045.01817195665</v>
      </c>
      <c r="AC20" s="257"/>
    </row>
    <row r="21" spans="3:37">
      <c r="C21" s="319">
        <f>iProject!I20</f>
        <v>12</v>
      </c>
      <c r="D21" s="318">
        <f>iProject!J20</f>
        <v>10</v>
      </c>
      <c r="E21" s="320" t="str">
        <f>iProject!K20</f>
        <v>Forest</v>
      </c>
      <c r="F21" s="321">
        <f>iProject!L20</f>
        <v>62.5</v>
      </c>
      <c r="G21" s="318">
        <f>iProject!M20</f>
        <v>12271.846303085129</v>
      </c>
      <c r="H21" s="322">
        <f>iProject!N20</f>
        <v>1.8921109267438219E-2</v>
      </c>
      <c r="I21" s="323">
        <v>433293.40222433524</v>
      </c>
      <c r="J21" s="324">
        <v>158180.47347578351</v>
      </c>
      <c r="K21" s="325">
        <v>591473.87570011872</v>
      </c>
      <c r="L21" s="326">
        <v>1035079.2824752077</v>
      </c>
      <c r="M21" s="317">
        <v>1182947.7514002374</v>
      </c>
      <c r="N21" s="317">
        <v>1330816.2203252672</v>
      </c>
      <c r="O21" s="317">
        <v>1478684.6892502969</v>
      </c>
      <c r="P21" s="316">
        <v>1626553.1581753264</v>
      </c>
      <c r="Q21" s="317">
        <v>1486764.7963384909</v>
      </c>
      <c r="R21" s="721">
        <v>37</v>
      </c>
      <c r="S21" s="318">
        <f t="shared" si="0"/>
        <v>4</v>
      </c>
      <c r="T21" s="738">
        <f t="shared" si="1"/>
        <v>1478684.6892502969</v>
      </c>
      <c r="U21" s="268"/>
      <c r="V21" s="269"/>
      <c r="W21" s="273">
        <f>iBudget!AB20</f>
        <v>1590478.3627428615</v>
      </c>
      <c r="X21" s="274">
        <f>iBudget!AC20</f>
        <v>1.58537512938632E-2</v>
      </c>
      <c r="Y21" s="271">
        <f>iBudget!AD20</f>
        <v>363050.90462946729</v>
      </c>
      <c r="Z21" s="275">
        <f>iBudget!AE20</f>
        <v>132537.36081669637</v>
      </c>
      <c r="AA21" s="272">
        <f>iBudget!AF20</f>
        <v>495588.26544616366</v>
      </c>
      <c r="AC21" s="257"/>
    </row>
    <row r="22" spans="3:37">
      <c r="C22" s="319">
        <f>iProject!I21</f>
        <v>13</v>
      </c>
      <c r="D22" s="318">
        <f>iProject!J21</f>
        <v>0</v>
      </c>
      <c r="E22" s="320" t="str">
        <f>iProject!K21</f>
        <v>Forest</v>
      </c>
      <c r="F22" s="321">
        <f>iProject!L21</f>
        <v>82.5</v>
      </c>
      <c r="G22" s="318">
        <f>iProject!M21</f>
        <v>21382.464998495529</v>
      </c>
      <c r="H22" s="322">
        <f>iProject!N21</f>
        <v>3.2968140787584352E-2</v>
      </c>
      <c r="I22" s="323">
        <v>754970.42403568164</v>
      </c>
      <c r="J22" s="324">
        <v>275613.65698420518</v>
      </c>
      <c r="K22" s="325">
        <v>1030584.0810198868</v>
      </c>
      <c r="L22" s="326">
        <v>1803522.1417848018</v>
      </c>
      <c r="M22" s="317">
        <v>2061168.1620397735</v>
      </c>
      <c r="N22" s="317">
        <v>2318814.182294745</v>
      </c>
      <c r="O22" s="317">
        <v>2576460.2025497169</v>
      </c>
      <c r="P22" s="316">
        <v>2834106.2228046888</v>
      </c>
      <c r="Q22" s="317">
        <v>3256368.4525561444</v>
      </c>
      <c r="R22" s="721">
        <v>39</v>
      </c>
      <c r="S22" s="318">
        <f t="shared" si="0"/>
        <v>4</v>
      </c>
      <c r="T22" s="738">
        <f t="shared" si="1"/>
        <v>2576460.2025497169</v>
      </c>
      <c r="U22" s="268"/>
      <c r="V22" s="269"/>
      <c r="W22" s="273">
        <f>iBudget!AB21</f>
        <v>3483525.8257822376</v>
      </c>
      <c r="X22" s="274">
        <f>iBudget!AC21</f>
        <v>3.4723485311965709E-2</v>
      </c>
      <c r="Y22" s="271">
        <f>iBudget!AD21</f>
        <v>795167.81364401476</v>
      </c>
      <c r="Z22" s="275">
        <f>iBudget!AE21</f>
        <v>290288.33720803331</v>
      </c>
      <c r="AA22" s="272">
        <f>iBudget!AF21</f>
        <v>1085456.1508520481</v>
      </c>
      <c r="AC22" s="257"/>
    </row>
    <row r="23" spans="3:37">
      <c r="C23" s="319">
        <f>iProject!I22</f>
        <v>14</v>
      </c>
      <c r="D23" s="318">
        <f>iProject!J22</f>
        <v>0</v>
      </c>
      <c r="E23" s="320" t="str">
        <f>iProject!K22</f>
        <v>Forest</v>
      </c>
      <c r="F23" s="321">
        <f>iProject!L22</f>
        <v>82.5</v>
      </c>
      <c r="G23" s="318">
        <f>iProject!M22</f>
        <v>21382.464998495529</v>
      </c>
      <c r="H23" s="322">
        <f>iProject!N22</f>
        <v>3.2968140787584352E-2</v>
      </c>
      <c r="I23" s="323">
        <v>754970.42403568164</v>
      </c>
      <c r="J23" s="324">
        <v>275613.65698420518</v>
      </c>
      <c r="K23" s="325">
        <v>1030584.0810198868</v>
      </c>
      <c r="L23" s="326">
        <v>1803522.1417848018</v>
      </c>
      <c r="M23" s="317">
        <v>2061168.1620397735</v>
      </c>
      <c r="N23" s="317">
        <v>2318814.182294745</v>
      </c>
      <c r="O23" s="317">
        <v>2576460.2025497169</v>
      </c>
      <c r="P23" s="316">
        <v>2834106.2228046888</v>
      </c>
      <c r="Q23" s="317">
        <v>3101303.2881487082</v>
      </c>
      <c r="R23" s="721">
        <v>39</v>
      </c>
      <c r="S23" s="318">
        <f t="shared" si="0"/>
        <v>4</v>
      </c>
      <c r="T23" s="738">
        <f t="shared" si="1"/>
        <v>2576460.2025497169</v>
      </c>
      <c r="U23" s="268"/>
      <c r="V23" s="269"/>
      <c r="W23" s="273">
        <f>iBudget!AB22</f>
        <v>3317643.6436021309</v>
      </c>
      <c r="X23" s="274">
        <f>iBudget!AC22</f>
        <v>3.3069986011395908E-2</v>
      </c>
      <c r="Y23" s="271">
        <f>iBudget!AD22</f>
        <v>757302.67966096627</v>
      </c>
      <c r="Z23" s="275">
        <f>iBudget!AE22</f>
        <v>276465.08305526979</v>
      </c>
      <c r="AA23" s="272">
        <f>iBudget!AF22</f>
        <v>1033767.7627162361</v>
      </c>
      <c r="AC23" s="257"/>
      <c r="AD23" s="339" t="str">
        <f>iOption!AA23</f>
        <v>Land Area Allocation</v>
      </c>
      <c r="AE23" s="346"/>
      <c r="AF23" s="347"/>
      <c r="AG23" s="347"/>
      <c r="AH23" s="347"/>
      <c r="AI23" s="347"/>
      <c r="AJ23" s="347"/>
      <c r="AK23" s="347"/>
    </row>
    <row r="24" spans="3:37">
      <c r="C24" s="319">
        <f>iProject!I23</f>
        <v>15</v>
      </c>
      <c r="D24" s="318">
        <f>iProject!J23</f>
        <v>0</v>
      </c>
      <c r="E24" s="320" t="str">
        <f>iProject!K23</f>
        <v>Forest</v>
      </c>
      <c r="F24" s="321">
        <f>iProject!L23</f>
        <v>82.5</v>
      </c>
      <c r="G24" s="318">
        <f>iProject!M23</f>
        <v>21382.464998495529</v>
      </c>
      <c r="H24" s="322">
        <f>iProject!N23</f>
        <v>3.2968140787584352E-2</v>
      </c>
      <c r="I24" s="323">
        <v>754970.42403568164</v>
      </c>
      <c r="J24" s="324">
        <v>275613.65698420518</v>
      </c>
      <c r="K24" s="325">
        <v>1030584.0810198868</v>
      </c>
      <c r="L24" s="326">
        <v>1803522.1417848018</v>
      </c>
      <c r="M24" s="317">
        <v>2061168.1620397735</v>
      </c>
      <c r="N24" s="317">
        <v>2318814.182294745</v>
      </c>
      <c r="O24" s="317">
        <v>2576460.2025497169</v>
      </c>
      <c r="P24" s="316">
        <v>2834106.2228046888</v>
      </c>
      <c r="Q24" s="317">
        <v>3101303.2881487082</v>
      </c>
      <c r="R24" s="721">
        <v>49</v>
      </c>
      <c r="S24" s="318">
        <f t="shared" si="0"/>
        <v>5</v>
      </c>
      <c r="T24" s="738">
        <f t="shared" si="1"/>
        <v>2834106.2228046888</v>
      </c>
      <c r="U24" s="268"/>
      <c r="V24" s="269"/>
      <c r="W24" s="273">
        <f>iBudget!AB23</f>
        <v>3317643.6436021309</v>
      </c>
      <c r="X24" s="274">
        <f>iBudget!AC23</f>
        <v>3.3069986011395908E-2</v>
      </c>
      <c r="Y24" s="271">
        <f>iBudget!AD23</f>
        <v>757302.67966096627</v>
      </c>
      <c r="Z24" s="275">
        <f>iBudget!AE23</f>
        <v>276465.08305526979</v>
      </c>
      <c r="AA24" s="272">
        <f>iBudget!AF23</f>
        <v>1033767.7627162361</v>
      </c>
      <c r="AC24" s="257"/>
      <c r="AD24" s="335" t="str">
        <f>iOption!AA24</f>
        <v xml:space="preserve">Jimmy Creek </v>
      </c>
      <c r="AE24" s="336">
        <f>iOption!AC24</f>
        <v>4305929.8150968645</v>
      </c>
      <c r="AF24" s="259">
        <f>iOption!AE24</f>
        <v>0</v>
      </c>
      <c r="AG24" s="259">
        <f>iOption!AF24</f>
        <v>4305929.8150968645</v>
      </c>
      <c r="AH24" s="259">
        <f>iOption!AG24</f>
        <v>0</v>
      </c>
      <c r="AI24" s="259">
        <f>iOption!AH24</f>
        <v>0</v>
      </c>
      <c r="AJ24" s="259">
        <f>iOption!AI24</f>
        <v>0</v>
      </c>
      <c r="AK24" s="259">
        <f>iOption!AJ24</f>
        <v>0</v>
      </c>
    </row>
    <row r="25" spans="3:37">
      <c r="C25" s="319">
        <f>iProject!I24</f>
        <v>16</v>
      </c>
      <c r="D25" s="318">
        <f>iProject!J24</f>
        <v>0</v>
      </c>
      <c r="E25" s="320" t="str">
        <f>iProject!K24</f>
        <v>Forest</v>
      </c>
      <c r="F25" s="321">
        <f>iProject!L24</f>
        <v>82.5</v>
      </c>
      <c r="G25" s="318">
        <f>iProject!M24</f>
        <v>21382.464998495529</v>
      </c>
      <c r="H25" s="322">
        <f>iProject!N24</f>
        <v>3.2968140787584352E-2</v>
      </c>
      <c r="I25" s="323">
        <v>754970.42403568164</v>
      </c>
      <c r="J25" s="324">
        <v>275613.65698420518</v>
      </c>
      <c r="K25" s="325">
        <v>1030584.0810198868</v>
      </c>
      <c r="L25" s="326">
        <v>1803522.1417848018</v>
      </c>
      <c r="M25" s="317">
        <v>2061168.1620397735</v>
      </c>
      <c r="N25" s="317">
        <v>2318814.182294745</v>
      </c>
      <c r="O25" s="317">
        <v>2576460.2025497169</v>
      </c>
      <c r="P25" s="316">
        <v>2834106.2228046888</v>
      </c>
      <c r="Q25" s="317">
        <v>3101303.2881487082</v>
      </c>
      <c r="R25" s="721">
        <v>49</v>
      </c>
      <c r="S25" s="318">
        <f t="shared" si="0"/>
        <v>5</v>
      </c>
      <c r="T25" s="738">
        <f t="shared" si="1"/>
        <v>2834106.2228046888</v>
      </c>
      <c r="U25" s="268"/>
      <c r="V25" s="269"/>
      <c r="W25" s="273">
        <f>iBudget!AB24</f>
        <v>3317643.6436021309</v>
      </c>
      <c r="X25" s="274">
        <f>iBudget!AC24</f>
        <v>3.3069986011395908E-2</v>
      </c>
      <c r="Y25" s="271">
        <f>iBudget!AD24</f>
        <v>757302.67966096627</v>
      </c>
      <c r="Z25" s="275">
        <f>iBudget!AE24</f>
        <v>276465.08305526979</v>
      </c>
      <c r="AA25" s="272">
        <f>iBudget!AF24</f>
        <v>1033767.7627162361</v>
      </c>
      <c r="AC25" s="257"/>
      <c r="AD25" s="335" t="str">
        <f>iOption!AA25</f>
        <v>Deer Creek</v>
      </c>
      <c r="AE25" s="336">
        <f>iOption!AC25</f>
        <v>10057735.559631331</v>
      </c>
      <c r="AF25" s="259">
        <f>iOption!AE25</f>
        <v>0</v>
      </c>
      <c r="AG25" s="259">
        <f>iOption!AF25</f>
        <v>1703444.7620163423</v>
      </c>
      <c r="AH25" s="259">
        <f>iOption!AG25</f>
        <v>0</v>
      </c>
      <c r="AI25" s="259">
        <f>iOption!AH25</f>
        <v>0</v>
      </c>
      <c r="AJ25" s="259">
        <f>iOption!AI25</f>
        <v>0</v>
      </c>
      <c r="AK25" s="259">
        <f>iOption!AJ25</f>
        <v>8354290.7976149889</v>
      </c>
    </row>
    <row r="26" spans="3:37">
      <c r="C26" s="319">
        <f>iProject!I25</f>
        <v>17</v>
      </c>
      <c r="D26" s="318">
        <f>iProject!J25</f>
        <v>0</v>
      </c>
      <c r="E26" s="320" t="str">
        <f>iProject!K25</f>
        <v>Forest</v>
      </c>
      <c r="F26" s="321">
        <f>iProject!L25</f>
        <v>82.5</v>
      </c>
      <c r="G26" s="318">
        <f>iProject!M25</f>
        <v>21382.464998495529</v>
      </c>
      <c r="H26" s="322">
        <f>iProject!N25</f>
        <v>3.2968140787584352E-2</v>
      </c>
      <c r="I26" s="323">
        <v>754970.42403568164</v>
      </c>
      <c r="J26" s="324">
        <v>275613.65698420518</v>
      </c>
      <c r="K26" s="325">
        <v>1030584.0810198868</v>
      </c>
      <c r="L26" s="326">
        <v>1803522.1417848018</v>
      </c>
      <c r="M26" s="317">
        <v>2061168.1620397735</v>
      </c>
      <c r="N26" s="317">
        <v>2318814.182294745</v>
      </c>
      <c r="O26" s="317">
        <v>2576460.2025497169</v>
      </c>
      <c r="P26" s="316">
        <v>2834106.2228046888</v>
      </c>
      <c r="Q26" s="317">
        <v>3101303.2881487082</v>
      </c>
      <c r="R26" s="721">
        <v>49</v>
      </c>
      <c r="S26" s="318">
        <f t="shared" si="0"/>
        <v>5</v>
      </c>
      <c r="T26" s="738">
        <f t="shared" si="1"/>
        <v>2834106.2228046888</v>
      </c>
      <c r="U26" s="268"/>
      <c r="V26" s="269"/>
      <c r="W26" s="273">
        <f>iBudget!AB25</f>
        <v>3317643.6436021309</v>
      </c>
      <c r="X26" s="274">
        <f>iBudget!AC25</f>
        <v>3.3069986011395908E-2</v>
      </c>
      <c r="Y26" s="271">
        <f>iBudget!AD25</f>
        <v>757302.67966096627</v>
      </c>
      <c r="Z26" s="275">
        <f>iBudget!AE25</f>
        <v>276465.08305526979</v>
      </c>
      <c r="AA26" s="272">
        <f>iBudget!AF25</f>
        <v>1033767.7627162361</v>
      </c>
      <c r="AC26" s="257"/>
      <c r="AD26" s="335" t="str">
        <f>iOption!AA26</f>
        <v>Forest</v>
      </c>
      <c r="AE26" s="336">
        <f>iOption!AC26</f>
        <v>24410126.850143898</v>
      </c>
      <c r="AF26" s="259">
        <f>iOption!AE26</f>
        <v>0</v>
      </c>
      <c r="AG26" s="259">
        <f>iOption!AF26</f>
        <v>0</v>
      </c>
      <c r="AH26" s="259">
        <f>iOption!AG26</f>
        <v>0</v>
      </c>
      <c r="AI26" s="259">
        <f>iOption!AH26</f>
        <v>10239595.736120455</v>
      </c>
      <c r="AJ26" s="259">
        <f>iOption!AI26</f>
        <v>14170531.114023443</v>
      </c>
      <c r="AK26" s="259">
        <f>iOption!AJ26</f>
        <v>0</v>
      </c>
    </row>
    <row r="27" spans="3:37">
      <c r="C27" s="319">
        <f>iProject!I26</f>
        <v>18</v>
      </c>
      <c r="D27" s="318">
        <f>iProject!J26</f>
        <v>0</v>
      </c>
      <c r="E27" s="320" t="str">
        <f>iProject!K26</f>
        <v>Forest</v>
      </c>
      <c r="F27" s="321">
        <f>iProject!L26</f>
        <v>82.5</v>
      </c>
      <c r="G27" s="318">
        <f>iProject!M26</f>
        <v>21382.464998495529</v>
      </c>
      <c r="H27" s="322">
        <f>iProject!N26</f>
        <v>3.2968140787584352E-2</v>
      </c>
      <c r="I27" s="323">
        <v>754970.42403568164</v>
      </c>
      <c r="J27" s="324">
        <v>275613.65698420518</v>
      </c>
      <c r="K27" s="325">
        <v>1030584.0810198868</v>
      </c>
      <c r="L27" s="326">
        <v>1803522.1417848018</v>
      </c>
      <c r="M27" s="317">
        <v>2061168.1620397735</v>
      </c>
      <c r="N27" s="317">
        <v>2318814.182294745</v>
      </c>
      <c r="O27" s="317">
        <v>2576460.2025497169</v>
      </c>
      <c r="P27" s="316">
        <v>2834106.2228046888</v>
      </c>
      <c r="Q27" s="317">
        <v>3101303.2881487082</v>
      </c>
      <c r="R27" s="721">
        <v>54</v>
      </c>
      <c r="S27" s="318">
        <f t="shared" si="0"/>
        <v>5</v>
      </c>
      <c r="T27" s="738">
        <f t="shared" si="1"/>
        <v>2834106.2228046888</v>
      </c>
      <c r="U27" s="268"/>
      <c r="V27" s="269"/>
      <c r="W27" s="273">
        <f>iBudget!AB26</f>
        <v>3317643.6436021309</v>
      </c>
      <c r="X27" s="274">
        <f>iBudget!AC26</f>
        <v>3.3069986011395908E-2</v>
      </c>
      <c r="Y27" s="271">
        <f>iBudget!AD26</f>
        <v>757302.67966096627</v>
      </c>
      <c r="Z27" s="275">
        <f>iBudget!AE26</f>
        <v>276465.08305526979</v>
      </c>
      <c r="AA27" s="272">
        <f>iBudget!AF26</f>
        <v>1033767.7627162361</v>
      </c>
      <c r="AC27" s="257"/>
      <c r="AD27" s="335" t="str">
        <f>iOption!AA27</f>
        <v>Bench</v>
      </c>
      <c r="AE27" s="336">
        <f>iOption!AC27</f>
        <v>21666873.380542256</v>
      </c>
      <c r="AF27" s="259">
        <f>iOption!AE27</f>
        <v>0</v>
      </c>
      <c r="AG27" s="259">
        <f>iOption!AF27</f>
        <v>0</v>
      </c>
      <c r="AH27" s="259">
        <f>iOption!AG27</f>
        <v>12262438.756910365</v>
      </c>
      <c r="AI27" s="259">
        <f>iOption!AH27</f>
        <v>9404434.623631889</v>
      </c>
      <c r="AJ27" s="259">
        <f>iOption!AI27</f>
        <v>0</v>
      </c>
      <c r="AK27" s="259">
        <f>iOption!AJ27</f>
        <v>0</v>
      </c>
    </row>
    <row r="28" spans="3:37" ht="19">
      <c r="C28" s="319">
        <f>iProject!I27</f>
        <v>19</v>
      </c>
      <c r="D28" s="318">
        <f>iProject!J27</f>
        <v>0</v>
      </c>
      <c r="E28" s="320" t="str">
        <f>iProject!K27</f>
        <v>Forest</v>
      </c>
      <c r="F28" s="321">
        <f>iProject!L27</f>
        <v>82.5</v>
      </c>
      <c r="G28" s="318">
        <f>iProject!M27</f>
        <v>21382.464998495529</v>
      </c>
      <c r="H28" s="322">
        <f>iProject!N27</f>
        <v>3.2968140787584352E-2</v>
      </c>
      <c r="I28" s="323">
        <v>754970.42403568164</v>
      </c>
      <c r="J28" s="324">
        <v>275613.65698420518</v>
      </c>
      <c r="K28" s="325">
        <v>1030584.0810198868</v>
      </c>
      <c r="L28" s="326">
        <v>1803522.1417848018</v>
      </c>
      <c r="M28" s="317">
        <v>2061168.1620397735</v>
      </c>
      <c r="N28" s="317">
        <v>2318814.182294745</v>
      </c>
      <c r="O28" s="317">
        <v>2576460.2025497169</v>
      </c>
      <c r="P28" s="316">
        <v>2834106.2228046888</v>
      </c>
      <c r="Q28" s="317">
        <v>2946238.1237412728</v>
      </c>
      <c r="R28" s="721">
        <v>54</v>
      </c>
      <c r="S28" s="318">
        <f t="shared" si="0"/>
        <v>5</v>
      </c>
      <c r="T28" s="738">
        <f t="shared" si="1"/>
        <v>2834106.2228046888</v>
      </c>
      <c r="U28" s="268"/>
      <c r="V28" s="269"/>
      <c r="W28" s="273">
        <f>iBudget!AB27</f>
        <v>3151761.4614220243</v>
      </c>
      <c r="X28" s="274">
        <f>iBudget!AC27</f>
        <v>3.1416486710826114E-2</v>
      </c>
      <c r="Y28" s="271">
        <f>iBudget!AD27</f>
        <v>719437.54567791801</v>
      </c>
      <c r="Z28" s="275">
        <f>iBudget!AE27</f>
        <v>262641.82890250633</v>
      </c>
      <c r="AA28" s="272">
        <f>iBudget!AF27</f>
        <v>982079.37458042428</v>
      </c>
      <c r="AC28" s="257"/>
      <c r="AD28" s="335" t="str">
        <f>iOption!AA28</f>
        <v>Hillside</v>
      </c>
      <c r="AE28" s="337">
        <f>iOption!AC28</f>
        <v>23398134.959479116</v>
      </c>
      <c r="AF28" s="338">
        <f>iOption!AE28</f>
        <v>0</v>
      </c>
      <c r="AG28" s="338">
        <f>iOption!AF28</f>
        <v>0</v>
      </c>
      <c r="AH28" s="338">
        <f>iOption!AG28</f>
        <v>0</v>
      </c>
      <c r="AI28" s="338">
        <f>iOption!AH28</f>
        <v>0</v>
      </c>
      <c r="AJ28" s="338">
        <f>iOption!AI28</f>
        <v>12947363.1390756</v>
      </c>
      <c r="AK28" s="338">
        <f>iOption!AJ28</f>
        <v>10450771.820403518</v>
      </c>
    </row>
    <row r="29" spans="3:37">
      <c r="C29" s="319">
        <f>iProject!I28</f>
        <v>20</v>
      </c>
      <c r="D29" s="318">
        <f>iProject!J28</f>
        <v>0</v>
      </c>
      <c r="E29" s="320" t="str">
        <f>iProject!K28</f>
        <v>Bench</v>
      </c>
      <c r="F29" s="321">
        <f>iProject!L28</f>
        <v>62.5</v>
      </c>
      <c r="G29" s="318">
        <f>iProject!M28</f>
        <v>12271.846303085129</v>
      </c>
      <c r="H29" s="322">
        <f>iProject!N28</f>
        <v>1.8921109267438219E-2</v>
      </c>
      <c r="I29" s="323">
        <v>433293.40222433524</v>
      </c>
      <c r="J29" s="324">
        <v>158180.47347578351</v>
      </c>
      <c r="K29" s="325">
        <v>591473.87570011872</v>
      </c>
      <c r="L29" s="326">
        <v>1035079.2824752077</v>
      </c>
      <c r="M29" s="317">
        <v>1182947.7514002374</v>
      </c>
      <c r="N29" s="317">
        <v>1330816.2203252672</v>
      </c>
      <c r="O29" s="317">
        <v>1478684.6892502969</v>
      </c>
      <c r="P29" s="316">
        <v>1626553.1581753264</v>
      </c>
      <c r="Q29" s="317">
        <v>1749135.0545158712</v>
      </c>
      <c r="R29" s="721">
        <v>28</v>
      </c>
      <c r="S29" s="318">
        <f t="shared" si="0"/>
        <v>3</v>
      </c>
      <c r="T29" s="738">
        <f t="shared" si="1"/>
        <v>1330816.2203252672</v>
      </c>
      <c r="U29" s="268"/>
      <c r="V29" s="269"/>
      <c r="W29" s="273">
        <f>iBudget!AB28</f>
        <v>1871151.0149916017</v>
      </c>
      <c r="X29" s="274">
        <f>iBudget!AC28</f>
        <v>1.8651472110427291E-2</v>
      </c>
      <c r="Y29" s="271">
        <f>iBudget!AD28</f>
        <v>427118.71132878499</v>
      </c>
      <c r="Z29" s="275">
        <f>iBudget!AE28</f>
        <v>155926.30684317215</v>
      </c>
      <c r="AA29" s="272">
        <f>iBudget!AF28</f>
        <v>583045.01817195711</v>
      </c>
      <c r="AC29" s="257"/>
      <c r="AD29" s="188" t="str">
        <f>iOption!AA29</f>
        <v>Total Lot Revenue</v>
      </c>
      <c r="AE29" s="336">
        <f>iOption!AC29</f>
        <v>83838800.564893469</v>
      </c>
      <c r="AF29" s="259">
        <f>iOption!AE29</f>
        <v>0</v>
      </c>
      <c r="AG29" s="259">
        <f>iOption!AF29</f>
        <v>6009374.5771132065</v>
      </c>
      <c r="AH29" s="259">
        <f>iOption!AG29</f>
        <v>12262438.756910365</v>
      </c>
      <c r="AI29" s="259">
        <f>iOption!AH29</f>
        <v>19644030.359752342</v>
      </c>
      <c r="AJ29" s="259">
        <f>iOption!AI29</f>
        <v>27117894.253099043</v>
      </c>
      <c r="AK29" s="259">
        <f>iOption!AJ29</f>
        <v>18805062.618018508</v>
      </c>
    </row>
    <row r="30" spans="3:37">
      <c r="C30" s="319">
        <f>iProject!I29</f>
        <v>21</v>
      </c>
      <c r="D30" s="318">
        <f>iProject!J29</f>
        <v>22</v>
      </c>
      <c r="E30" s="320" t="str">
        <f>iProject!K29</f>
        <v>Bench</v>
      </c>
      <c r="F30" s="321">
        <f>iProject!L29</f>
        <v>62.5</v>
      </c>
      <c r="G30" s="318">
        <f>iProject!M29</f>
        <v>12271.846303085129</v>
      </c>
      <c r="H30" s="322">
        <f>iProject!N29</f>
        <v>1.8921109267438219E-2</v>
      </c>
      <c r="I30" s="323">
        <v>433293.40222433524</v>
      </c>
      <c r="J30" s="324">
        <v>158180.47347578351</v>
      </c>
      <c r="K30" s="325">
        <v>591473.87570011872</v>
      </c>
      <c r="L30" s="326">
        <v>1035079.2824752077</v>
      </c>
      <c r="M30" s="317">
        <v>1182947.7514002374</v>
      </c>
      <c r="N30" s="317">
        <v>1330816.2203252672</v>
      </c>
      <c r="O30" s="317">
        <v>1478684.6892502969</v>
      </c>
      <c r="P30" s="316">
        <v>1626553.1581753264</v>
      </c>
      <c r="Q30" s="317">
        <v>1486764.7963384909</v>
      </c>
      <c r="R30" s="721">
        <v>25</v>
      </c>
      <c r="S30" s="318">
        <f t="shared" si="0"/>
        <v>3</v>
      </c>
      <c r="T30" s="738">
        <f t="shared" si="1"/>
        <v>1330816.2203252672</v>
      </c>
      <c r="U30" s="268"/>
      <c r="V30" s="269"/>
      <c r="W30" s="273">
        <f>iBudget!AB29</f>
        <v>1590478.3627428615</v>
      </c>
      <c r="X30" s="274">
        <f>iBudget!AC29</f>
        <v>1.58537512938632E-2</v>
      </c>
      <c r="Y30" s="271">
        <f>iBudget!AD29</f>
        <v>363050.90462946729</v>
      </c>
      <c r="Z30" s="275">
        <f>iBudget!AE29</f>
        <v>132537.36081669637</v>
      </c>
      <c r="AA30" s="272">
        <f>iBudget!AF29</f>
        <v>495588.26544616366</v>
      </c>
      <c r="AC30" s="257"/>
      <c r="AD30" s="257"/>
      <c r="AE30" s="135"/>
      <c r="AF30" s="257"/>
      <c r="AG30" s="257"/>
      <c r="AH30" s="257"/>
      <c r="AI30" s="257"/>
      <c r="AJ30" s="257"/>
      <c r="AK30" s="257"/>
    </row>
    <row r="31" spans="3:37">
      <c r="C31" s="319">
        <f>iProject!I30</f>
        <v>22</v>
      </c>
      <c r="D31" s="318" t="str">
        <f>iProject!J30</f>
        <v>21,23</v>
      </c>
      <c r="E31" s="320" t="str">
        <f>iProject!K30</f>
        <v>Bench</v>
      </c>
      <c r="F31" s="321">
        <f>iProject!L30</f>
        <v>75</v>
      </c>
      <c r="G31" s="318">
        <f>iProject!M30</f>
        <v>17671.458676442588</v>
      </c>
      <c r="H31" s="322">
        <f>iProject!N30</f>
        <v>2.7246397345111039E-2</v>
      </c>
      <c r="I31" s="323">
        <v>623942.49920304283</v>
      </c>
      <c r="J31" s="324">
        <v>227779.88180512827</v>
      </c>
      <c r="K31" s="325">
        <v>851722.38100817113</v>
      </c>
      <c r="L31" s="326">
        <v>1490514.1667642994</v>
      </c>
      <c r="M31" s="317">
        <v>1703444.7620163423</v>
      </c>
      <c r="N31" s="317">
        <v>1916375.3572683851</v>
      </c>
      <c r="O31" s="317">
        <v>2129305.9525204278</v>
      </c>
      <c r="P31" s="316">
        <v>2342236.5477724704</v>
      </c>
      <c r="Q31" s="317">
        <v>2140519.5294802394</v>
      </c>
      <c r="R31" s="721">
        <v>25</v>
      </c>
      <c r="S31" s="318">
        <f t="shared" si="0"/>
        <v>3</v>
      </c>
      <c r="T31" s="738">
        <f t="shared" si="1"/>
        <v>1916375.3572683851</v>
      </c>
      <c r="U31" s="268"/>
      <c r="V31" s="269"/>
      <c r="W31" s="273">
        <f>iBudget!AB30</f>
        <v>2289837.6428141911</v>
      </c>
      <c r="X31" s="274">
        <f>iBudget!AC30</f>
        <v>2.2824904345065462E-2</v>
      </c>
      <c r="Y31" s="271">
        <f>iBudget!AD30</f>
        <v>522690.30950199912</v>
      </c>
      <c r="Z31" s="275">
        <f>iBudget!AE30</f>
        <v>190816.20032474727</v>
      </c>
      <c r="AA31" s="272">
        <f>iBudget!AF30</f>
        <v>713506.50982674642</v>
      </c>
      <c r="AC31" s="257"/>
      <c r="AD31" s="341" t="str">
        <f>iOption!AA31</f>
        <v>Variance to Retail</v>
      </c>
      <c r="AE31" s="342">
        <f>iOption!AC31</f>
        <v>16483093.809627011</v>
      </c>
      <c r="AF31" s="343">
        <f>iOption!AE31</f>
        <v>0</v>
      </c>
      <c r="AG31" s="343">
        <f>iOption!AF31</f>
        <v>2199471.0902515454</v>
      </c>
      <c r="AH31" s="343">
        <f>iOption!AG31</f>
        <v>3406792.1718224995</v>
      </c>
      <c r="AI31" s="343">
        <f>iOption!AH31</f>
        <v>3859152.5046182349</v>
      </c>
      <c r="AJ31" s="343">
        <f>iOption!AI31</f>
        <v>5705876.6636073589</v>
      </c>
      <c r="AK31" s="344">
        <f>iOption!AJ31</f>
        <v>1311801.3793273717</v>
      </c>
    </row>
    <row r="32" spans="3:37">
      <c r="C32" s="319">
        <f>iProject!I31</f>
        <v>23</v>
      </c>
      <c r="D32" s="318">
        <f>iProject!J31</f>
        <v>22</v>
      </c>
      <c r="E32" s="320" t="str">
        <f>iProject!K31</f>
        <v>Bench</v>
      </c>
      <c r="F32" s="321">
        <f>iProject!L31</f>
        <v>62.5</v>
      </c>
      <c r="G32" s="318">
        <f>iProject!M31</f>
        <v>12271.846303085129</v>
      </c>
      <c r="H32" s="322">
        <f>iProject!N31</f>
        <v>1.8921109267438219E-2</v>
      </c>
      <c r="I32" s="323">
        <v>433293.40222433524</v>
      </c>
      <c r="J32" s="324">
        <v>158180.47347578351</v>
      </c>
      <c r="K32" s="325">
        <v>591473.87570011872</v>
      </c>
      <c r="L32" s="326">
        <v>1035079.2824752077</v>
      </c>
      <c r="M32" s="317">
        <v>1182947.7514002374</v>
      </c>
      <c r="N32" s="317">
        <v>1330816.2203252672</v>
      </c>
      <c r="O32" s="317">
        <v>1478684.6892502969</v>
      </c>
      <c r="P32" s="316">
        <v>1626553.1581753264</v>
      </c>
      <c r="Q32" s="317">
        <v>1311851.2908869036</v>
      </c>
      <c r="R32" s="721">
        <v>25</v>
      </c>
      <c r="S32" s="318">
        <f t="shared" si="0"/>
        <v>3</v>
      </c>
      <c r="T32" s="738">
        <f t="shared" si="1"/>
        <v>1330816.2203252672</v>
      </c>
      <c r="U32" s="268"/>
      <c r="V32" s="269"/>
      <c r="W32" s="273">
        <f>iBudget!AB31</f>
        <v>1403363.2612437012</v>
      </c>
      <c r="X32" s="274">
        <f>iBudget!AC31</f>
        <v>1.3988604082820469E-2</v>
      </c>
      <c r="Y32" s="271">
        <f>iBudget!AD31</f>
        <v>320339.03349658876</v>
      </c>
      <c r="Z32" s="275">
        <f>iBudget!AE31</f>
        <v>116944.73013237912</v>
      </c>
      <c r="AA32" s="272">
        <f>iBudget!AF31</f>
        <v>437283.76362896786</v>
      </c>
      <c r="AC32" s="257"/>
      <c r="AD32" s="257"/>
      <c r="AE32" s="135"/>
      <c r="AF32" s="257"/>
      <c r="AG32" s="257"/>
      <c r="AH32" s="257"/>
      <c r="AI32" s="257"/>
      <c r="AJ32" s="257"/>
      <c r="AK32" s="257"/>
    </row>
    <row r="33" spans="3:32">
      <c r="C33" s="319">
        <f>iProject!I32</f>
        <v>24</v>
      </c>
      <c r="D33" s="318">
        <f>iProject!J32</f>
        <v>0</v>
      </c>
      <c r="E33" s="320" t="str">
        <f>iProject!K32</f>
        <v>Bench</v>
      </c>
      <c r="F33" s="321">
        <f>iProject!L32</f>
        <v>62.5</v>
      </c>
      <c r="G33" s="318">
        <f>iProject!M32</f>
        <v>12271.846303085129</v>
      </c>
      <c r="H33" s="322">
        <f>iProject!N32</f>
        <v>1.8921109267438219E-2</v>
      </c>
      <c r="I33" s="323">
        <v>433293.40222433524</v>
      </c>
      <c r="J33" s="324">
        <v>158180.47347578351</v>
      </c>
      <c r="K33" s="325">
        <v>591473.87570011872</v>
      </c>
      <c r="L33" s="326">
        <v>1035079.2824752077</v>
      </c>
      <c r="M33" s="317">
        <v>1182947.7514002374</v>
      </c>
      <c r="N33" s="317">
        <v>1330816.2203252672</v>
      </c>
      <c r="O33" s="317">
        <v>1478684.6892502969</v>
      </c>
      <c r="P33" s="316">
        <v>1626553.1581753264</v>
      </c>
      <c r="Q33" s="317">
        <v>1311851.2908869036</v>
      </c>
      <c r="R33" s="721">
        <v>28</v>
      </c>
      <c r="S33" s="318">
        <f t="shared" si="0"/>
        <v>3</v>
      </c>
      <c r="T33" s="738">
        <f t="shared" si="1"/>
        <v>1330816.2203252672</v>
      </c>
      <c r="U33" s="268"/>
      <c r="V33" s="269"/>
      <c r="W33" s="273">
        <f>iBudget!AB32</f>
        <v>1403363.2612437012</v>
      </c>
      <c r="X33" s="274">
        <f>iBudget!AC32</f>
        <v>1.3988604082820469E-2</v>
      </c>
      <c r="Y33" s="271">
        <f>iBudget!AD32</f>
        <v>320339.03349658876</v>
      </c>
      <c r="Z33" s="275">
        <f>iBudget!AE32</f>
        <v>116944.73013237912</v>
      </c>
      <c r="AA33" s="272">
        <f>iBudget!AF32</f>
        <v>437283.76362896786</v>
      </c>
      <c r="AC33" s="257"/>
      <c r="AD33" s="413"/>
      <c r="AE33" s="416" t="s">
        <v>151</v>
      </c>
      <c r="AF33" s="417" t="s">
        <v>153</v>
      </c>
    </row>
    <row r="34" spans="3:32">
      <c r="C34" s="319">
        <f>iProject!I33</f>
        <v>25</v>
      </c>
      <c r="D34" s="318">
        <f>iProject!J33</f>
        <v>0</v>
      </c>
      <c r="E34" s="320" t="str">
        <f>iProject!K33</f>
        <v>Bench</v>
      </c>
      <c r="F34" s="321">
        <f>iProject!L33</f>
        <v>62.5</v>
      </c>
      <c r="G34" s="318">
        <f>iProject!M33</f>
        <v>12271.846303085129</v>
      </c>
      <c r="H34" s="322">
        <f>iProject!N33</f>
        <v>1.8921109267438219E-2</v>
      </c>
      <c r="I34" s="323">
        <v>433293.40222433524</v>
      </c>
      <c r="J34" s="324">
        <v>158180.47347578351</v>
      </c>
      <c r="K34" s="325">
        <v>591473.87570011872</v>
      </c>
      <c r="L34" s="326">
        <v>1035079.2824752077</v>
      </c>
      <c r="M34" s="317">
        <v>1182947.7514002374</v>
      </c>
      <c r="N34" s="317">
        <v>1330816.2203252672</v>
      </c>
      <c r="O34" s="317">
        <v>1478684.6892502969</v>
      </c>
      <c r="P34" s="316">
        <v>1626553.1581753264</v>
      </c>
      <c r="Q34" s="317">
        <v>1311851.2908869036</v>
      </c>
      <c r="R34" s="721">
        <v>32</v>
      </c>
      <c r="S34" s="318">
        <f t="shared" si="0"/>
        <v>3</v>
      </c>
      <c r="T34" s="738">
        <f t="shared" si="1"/>
        <v>1330816.2203252672</v>
      </c>
      <c r="U34" s="268"/>
      <c r="V34" s="269"/>
      <c r="W34" s="273">
        <f>iBudget!AB33</f>
        <v>1403363.2612437012</v>
      </c>
      <c r="X34" s="274">
        <f>iBudget!AC33</f>
        <v>1.3988604082820469E-2</v>
      </c>
      <c r="Y34" s="271">
        <f>iBudget!AD33</f>
        <v>320339.03349658876</v>
      </c>
      <c r="Z34" s="275">
        <f>iBudget!AE33</f>
        <v>116944.73013237912</v>
      </c>
      <c r="AA34" s="272">
        <f>iBudget!AF33</f>
        <v>437283.76362896786</v>
      </c>
      <c r="AC34" s="257"/>
      <c r="AD34" s="414" t="s">
        <v>152</v>
      </c>
      <c r="AE34" s="336">
        <f>iBudget!E19/rClarendonPartners!AE18</f>
        <v>694666.66666666663</v>
      </c>
      <c r="AF34" s="415"/>
    </row>
    <row r="35" spans="3:32">
      <c r="C35" s="319">
        <f>iProject!I34</f>
        <v>26</v>
      </c>
      <c r="D35" s="318">
        <f>iProject!J34</f>
        <v>0</v>
      </c>
      <c r="E35" s="320" t="str">
        <f>iProject!K34</f>
        <v>Bench</v>
      </c>
      <c r="F35" s="321">
        <f>iProject!L34</f>
        <v>62.5</v>
      </c>
      <c r="G35" s="318">
        <f>iProject!M34</f>
        <v>12271.846303085129</v>
      </c>
      <c r="H35" s="322">
        <f>iProject!N34</f>
        <v>1.8921109267438219E-2</v>
      </c>
      <c r="I35" s="323">
        <v>433293.40222433524</v>
      </c>
      <c r="J35" s="324">
        <v>158180.47347578351</v>
      </c>
      <c r="K35" s="325">
        <v>591473.87570011872</v>
      </c>
      <c r="L35" s="326">
        <v>1035079.2824752077</v>
      </c>
      <c r="M35" s="317">
        <v>1182947.7514002374</v>
      </c>
      <c r="N35" s="317">
        <v>1330816.2203252672</v>
      </c>
      <c r="O35" s="317">
        <v>1478684.6892502969</v>
      </c>
      <c r="P35" s="316">
        <v>1626553.1581753264</v>
      </c>
      <c r="Q35" s="317">
        <v>1749135.0545158712</v>
      </c>
      <c r="R35" s="721">
        <v>37</v>
      </c>
      <c r="S35" s="318">
        <f t="shared" si="0"/>
        <v>4</v>
      </c>
      <c r="T35" s="738">
        <f t="shared" si="1"/>
        <v>1478684.6892502969</v>
      </c>
      <c r="U35" s="268"/>
      <c r="V35" s="269"/>
      <c r="W35" s="273">
        <f>iBudget!AB34</f>
        <v>1871151.0149916017</v>
      </c>
      <c r="X35" s="274">
        <f>iBudget!AC34</f>
        <v>1.8651472110427291E-2</v>
      </c>
      <c r="Y35" s="271">
        <f>iBudget!AD34</f>
        <v>427118.71132878499</v>
      </c>
      <c r="Z35" s="275">
        <f>iBudget!AE34</f>
        <v>155926.30684317215</v>
      </c>
      <c r="AA35" s="272">
        <f>iBudget!AF34</f>
        <v>583045.01817195711</v>
      </c>
      <c r="AC35" s="257"/>
      <c r="AD35" s="414" t="s">
        <v>150</v>
      </c>
      <c r="AE35" s="336">
        <f>AE29/AE18</f>
        <v>1863084.4569976327</v>
      </c>
      <c r="AF35" s="415">
        <f>AE35/AE34</f>
        <v>2.6819833833939053</v>
      </c>
    </row>
    <row r="36" spans="3:32">
      <c r="C36" s="319">
        <f>iProject!I35</f>
        <v>27</v>
      </c>
      <c r="D36" s="318" t="str">
        <f>iProject!J35</f>
        <v>28, 20</v>
      </c>
      <c r="E36" s="320" t="str">
        <f>iProject!K35</f>
        <v>Bench</v>
      </c>
      <c r="F36" s="321">
        <f>iProject!L35</f>
        <v>62.5</v>
      </c>
      <c r="G36" s="318">
        <f>iProject!M35</f>
        <v>12271.846303085129</v>
      </c>
      <c r="H36" s="322">
        <f>iProject!N35</f>
        <v>1.8921109267438219E-2</v>
      </c>
      <c r="I36" s="323">
        <v>433293.40222433524</v>
      </c>
      <c r="J36" s="324">
        <v>158180.47347578351</v>
      </c>
      <c r="K36" s="325">
        <v>591473.87570011872</v>
      </c>
      <c r="L36" s="326">
        <v>1035079.2824752077</v>
      </c>
      <c r="M36" s="317">
        <v>1182947.7514002374</v>
      </c>
      <c r="N36" s="317">
        <v>1330816.2203252672</v>
      </c>
      <c r="O36" s="317">
        <v>1478684.6892502969</v>
      </c>
      <c r="P36" s="316">
        <v>1626553.1581753264</v>
      </c>
      <c r="Q36" s="317">
        <v>1924048.5599674587</v>
      </c>
      <c r="R36" s="721">
        <v>28</v>
      </c>
      <c r="S36" s="318">
        <f t="shared" si="0"/>
        <v>3</v>
      </c>
      <c r="T36" s="738">
        <f t="shared" si="1"/>
        <v>1330816.2203252672</v>
      </c>
      <c r="U36" s="268"/>
      <c r="V36" s="269"/>
      <c r="W36" s="273">
        <f>iBudget!AB35</f>
        <v>2058266.116490762</v>
      </c>
      <c r="X36" s="274">
        <f>iBudget!AC35</f>
        <v>2.0516619321470024E-2</v>
      </c>
      <c r="Y36" s="271">
        <f>iBudget!AD35</f>
        <v>469830.58246166352</v>
      </c>
      <c r="Z36" s="275">
        <f>iBudget!AE35</f>
        <v>171518.93752748941</v>
      </c>
      <c r="AA36" s="272">
        <f>iBudget!AF35</f>
        <v>641349.5199891529</v>
      </c>
      <c r="AC36" s="257"/>
      <c r="AD36" s="414" t="s">
        <v>149</v>
      </c>
      <c r="AE36" s="336">
        <f>Reports!K56/AE18</f>
        <v>2229375.4305448998</v>
      </c>
      <c r="AF36" s="415">
        <f>AE36/AE34</f>
        <v>3.2092736524158827</v>
      </c>
    </row>
    <row r="37" spans="3:32">
      <c r="C37" s="319">
        <f>iProject!I36</f>
        <v>28</v>
      </c>
      <c r="D37" s="318">
        <f>iProject!J36</f>
        <v>0</v>
      </c>
      <c r="E37" s="320" t="str">
        <f>iProject!K36</f>
        <v>Bench</v>
      </c>
      <c r="F37" s="321">
        <f>iProject!L36</f>
        <v>83.25</v>
      </c>
      <c r="G37" s="318">
        <f>iProject!M36</f>
        <v>21773.004235244909</v>
      </c>
      <c r="H37" s="322">
        <f>iProject!N36</f>
        <v>3.3570286168911306E-2</v>
      </c>
      <c r="I37" s="323">
        <v>768759.55326806894</v>
      </c>
      <c r="J37" s="324">
        <v>280647.59237209853</v>
      </c>
      <c r="K37" s="325">
        <v>1049407.1456401674</v>
      </c>
      <c r="L37" s="326">
        <v>1836462.504870293</v>
      </c>
      <c r="M37" s="317">
        <v>2098814.2912803348</v>
      </c>
      <c r="N37" s="317">
        <v>2361166.0776903769</v>
      </c>
      <c r="O37" s="317">
        <v>2623517.8641004185</v>
      </c>
      <c r="P37" s="316">
        <v>2885869.6505104601</v>
      </c>
      <c r="Q37" s="317">
        <v>3411433.6169635793</v>
      </c>
      <c r="R37" s="721">
        <v>32</v>
      </c>
      <c r="S37" s="318">
        <f t="shared" si="0"/>
        <v>3</v>
      </c>
      <c r="T37" s="738">
        <f t="shared" si="1"/>
        <v>2361166.0776903769</v>
      </c>
      <c r="U37" s="268"/>
      <c r="V37" s="269"/>
      <c r="W37" s="273">
        <f>iBudget!AB36</f>
        <v>3649408.0079623442</v>
      </c>
      <c r="X37" s="274">
        <f>iBudget!AC36</f>
        <v>3.6376984612535503E-2</v>
      </c>
      <c r="Y37" s="271">
        <f>iBudget!AD36</f>
        <v>833032.94762706303</v>
      </c>
      <c r="Z37" s="275">
        <f>iBudget!AE36</f>
        <v>304111.59136079683</v>
      </c>
      <c r="AA37" s="272">
        <f>iBudget!AF36</f>
        <v>1137144.5389878599</v>
      </c>
      <c r="AF37" s="415"/>
    </row>
    <row r="38" spans="3:32">
      <c r="C38" s="319">
        <f>iProject!I37</f>
        <v>29</v>
      </c>
      <c r="D38" s="318">
        <f>iProject!J37</f>
        <v>0</v>
      </c>
      <c r="E38" s="320" t="str">
        <f>iProject!K37</f>
        <v>Bench</v>
      </c>
      <c r="F38" s="321">
        <f>iProject!L37</f>
        <v>75</v>
      </c>
      <c r="G38" s="318">
        <f>iProject!M37</f>
        <v>17671.458676442588</v>
      </c>
      <c r="H38" s="322">
        <f>iProject!N37</f>
        <v>2.7246397345111039E-2</v>
      </c>
      <c r="I38" s="323">
        <v>623942.49920304283</v>
      </c>
      <c r="J38" s="324">
        <v>227779.88180512827</v>
      </c>
      <c r="K38" s="325">
        <v>851722.38100817113</v>
      </c>
      <c r="L38" s="326">
        <v>1490514.1667642994</v>
      </c>
      <c r="M38" s="317">
        <v>1703444.7620163423</v>
      </c>
      <c r="N38" s="317">
        <v>1916375.3572683851</v>
      </c>
      <c r="O38" s="317">
        <v>2129305.9525204278</v>
      </c>
      <c r="P38" s="316">
        <v>2342236.5477724704</v>
      </c>
      <c r="Q38" s="317">
        <v>1888693.7024825632</v>
      </c>
      <c r="R38" s="721">
        <v>42</v>
      </c>
      <c r="S38" s="318">
        <f t="shared" si="0"/>
        <v>4</v>
      </c>
      <c r="T38" s="738">
        <f t="shared" si="1"/>
        <v>2129305.9525204278</v>
      </c>
      <c r="U38" s="268"/>
      <c r="V38" s="269"/>
      <c r="W38" s="273">
        <f>iBudget!AB37</f>
        <v>2020444.9789536975</v>
      </c>
      <c r="X38" s="274">
        <f>iBudget!AC37</f>
        <v>2.0139621480940107E-2</v>
      </c>
      <c r="Y38" s="271">
        <f>iBudget!AD37</f>
        <v>461197.33191352844</v>
      </c>
      <c r="Z38" s="275">
        <f>iBudget!AE37</f>
        <v>168367.2355806593</v>
      </c>
      <c r="AA38" s="272">
        <f>iBudget!AF37</f>
        <v>629564.56749418774</v>
      </c>
      <c r="AD38" s="336"/>
      <c r="AE38" s="336"/>
      <c r="AF38" s="415"/>
    </row>
    <row r="39" spans="3:32">
      <c r="C39" s="319">
        <f>iProject!I38</f>
        <v>30</v>
      </c>
      <c r="D39" s="318">
        <f>iProject!J38</f>
        <v>0</v>
      </c>
      <c r="E39" s="320" t="str">
        <f>iProject!K38</f>
        <v>Bench</v>
      </c>
      <c r="F39" s="321">
        <f>iProject!L38</f>
        <v>50</v>
      </c>
      <c r="G39" s="318">
        <f>iProject!M38</f>
        <v>7853.981633974483</v>
      </c>
      <c r="H39" s="322">
        <f>iProject!N38</f>
        <v>1.210950993116046E-2</v>
      </c>
      <c r="I39" s="323">
        <v>277307.77742357453</v>
      </c>
      <c r="J39" s="324">
        <v>101235.50302450145</v>
      </c>
      <c r="K39" s="325">
        <v>378543.28044807597</v>
      </c>
      <c r="L39" s="326">
        <v>662450.74078413297</v>
      </c>
      <c r="M39" s="317">
        <v>757086.56089615193</v>
      </c>
      <c r="N39" s="317">
        <v>851722.38100817089</v>
      </c>
      <c r="O39" s="317">
        <v>946358.20112018986</v>
      </c>
      <c r="P39" s="316">
        <v>1040994.0212322089</v>
      </c>
      <c r="Q39" s="317">
        <v>842003.84273237432</v>
      </c>
      <c r="R39" s="721">
        <v>42</v>
      </c>
      <c r="S39" s="318">
        <f t="shared" si="0"/>
        <v>4</v>
      </c>
      <c r="T39" s="738">
        <f t="shared" si="1"/>
        <v>946358.20112018986</v>
      </c>
      <c r="U39" s="268"/>
      <c r="V39" s="269"/>
      <c r="W39" s="273">
        <f>iBudget!AB38</f>
        <v>900740.24923797848</v>
      </c>
      <c r="X39" s="274">
        <f>iBudget!AC38</f>
        <v>8.978501202093989E-3</v>
      </c>
      <c r="Y39" s="271">
        <f>iBudget!AD38</f>
        <v>205607.67752795236</v>
      </c>
      <c r="Z39" s="275">
        <f>iBudget!AE38</f>
        <v>75060.270049505751</v>
      </c>
      <c r="AA39" s="272">
        <f>iBudget!AF38</f>
        <v>280667.94757745811</v>
      </c>
      <c r="AD39" s="336"/>
      <c r="AE39" s="336"/>
      <c r="AF39" s="415"/>
    </row>
    <row r="40" spans="3:32">
      <c r="C40" s="319">
        <f>iProject!I39</f>
        <v>31</v>
      </c>
      <c r="D40" s="318">
        <f>iProject!J39</f>
        <v>0</v>
      </c>
      <c r="E40" s="320" t="str">
        <f>iProject!K39</f>
        <v>Bench</v>
      </c>
      <c r="F40" s="321">
        <f>iProject!L39</f>
        <v>50</v>
      </c>
      <c r="G40" s="318">
        <f>iProject!M39</f>
        <v>7853.981633974483</v>
      </c>
      <c r="H40" s="322">
        <f>iProject!N39</f>
        <v>1.210950993116046E-2</v>
      </c>
      <c r="I40" s="323">
        <v>277307.77742357453</v>
      </c>
      <c r="J40" s="324">
        <v>101235.50302450145</v>
      </c>
      <c r="K40" s="325">
        <v>378543.28044807597</v>
      </c>
      <c r="L40" s="326">
        <v>662450.74078413297</v>
      </c>
      <c r="M40" s="317">
        <v>757086.56089615193</v>
      </c>
      <c r="N40" s="317">
        <v>851722.38100817089</v>
      </c>
      <c r="O40" s="317">
        <v>946358.20112018986</v>
      </c>
      <c r="P40" s="316">
        <v>1040994.0212322089</v>
      </c>
      <c r="Q40" s="317">
        <v>954271.02176335745</v>
      </c>
      <c r="R40" s="721">
        <v>39</v>
      </c>
      <c r="S40" s="318">
        <f t="shared" si="0"/>
        <v>4</v>
      </c>
      <c r="T40" s="738">
        <f t="shared" si="1"/>
        <v>946358.20112018986</v>
      </c>
      <c r="U40" s="268"/>
      <c r="V40" s="269"/>
      <c r="W40" s="273">
        <f>iBudget!AB39</f>
        <v>1020838.9491363756</v>
      </c>
      <c r="X40" s="274">
        <f>iBudget!AC39</f>
        <v>1.0175634695706521E-2</v>
      </c>
      <c r="Y40" s="271">
        <f>iBudget!AD39</f>
        <v>233022.03453167932</v>
      </c>
      <c r="Z40" s="275">
        <f>iBudget!AE39</f>
        <v>85068.306056106521</v>
      </c>
      <c r="AA40" s="272">
        <f>iBudget!AF39</f>
        <v>318090.34058778582</v>
      </c>
      <c r="AD40" s="336"/>
      <c r="AE40" s="336"/>
      <c r="AF40" s="415"/>
    </row>
    <row r="41" spans="3:32">
      <c r="C41" s="319">
        <f>iProject!I40</f>
        <v>32</v>
      </c>
      <c r="D41" s="318">
        <f>iProject!J40</f>
        <v>0</v>
      </c>
      <c r="E41" s="320" t="str">
        <f>iProject!K40</f>
        <v>Bench</v>
      </c>
      <c r="F41" s="321">
        <f>iProject!L40</f>
        <v>50</v>
      </c>
      <c r="G41" s="318">
        <f>iProject!M40</f>
        <v>7853.981633974483</v>
      </c>
      <c r="H41" s="322">
        <f>iProject!N40</f>
        <v>1.210950993116046E-2</v>
      </c>
      <c r="I41" s="323">
        <v>277307.77742357453</v>
      </c>
      <c r="J41" s="324">
        <v>101235.50302450145</v>
      </c>
      <c r="K41" s="325">
        <v>378543.28044807597</v>
      </c>
      <c r="L41" s="326">
        <v>662450.74078413297</v>
      </c>
      <c r="M41" s="317">
        <v>757086.56089615193</v>
      </c>
      <c r="N41" s="317">
        <v>851722.38100817089</v>
      </c>
      <c r="O41" s="317">
        <v>946358.20112018986</v>
      </c>
      <c r="P41" s="316">
        <v>1040994.0212322089</v>
      </c>
      <c r="Q41" s="317">
        <v>954271.02176335745</v>
      </c>
      <c r="R41" s="721">
        <v>39</v>
      </c>
      <c r="S41" s="318">
        <f t="shared" si="0"/>
        <v>4</v>
      </c>
      <c r="T41" s="738">
        <f t="shared" si="1"/>
        <v>946358.20112018986</v>
      </c>
      <c r="U41" s="268"/>
      <c r="V41" s="269"/>
      <c r="W41" s="273">
        <f>iBudget!AB40</f>
        <v>1020838.9491363756</v>
      </c>
      <c r="X41" s="274">
        <f>iBudget!AC40</f>
        <v>1.0175634695706521E-2</v>
      </c>
      <c r="Y41" s="271">
        <f>iBudget!AD40</f>
        <v>233022.03453167932</v>
      </c>
      <c r="Z41" s="275">
        <f>iBudget!AE40</f>
        <v>85068.306056106521</v>
      </c>
      <c r="AA41" s="272">
        <f>iBudget!AF40</f>
        <v>318090.34058778582</v>
      </c>
      <c r="AD41" s="336"/>
      <c r="AE41" s="336"/>
      <c r="AF41" s="336"/>
    </row>
    <row r="42" spans="3:32">
      <c r="C42" s="319">
        <f>iProject!I41</f>
        <v>33</v>
      </c>
      <c r="D42" s="318" t="str">
        <f>iProject!J41</f>
        <v>31,32</v>
      </c>
      <c r="E42" s="320" t="str">
        <f>iProject!K41</f>
        <v>Bench</v>
      </c>
      <c r="F42" s="321">
        <f>iProject!L41</f>
        <v>62.5</v>
      </c>
      <c r="G42" s="318">
        <f>iProject!M41</f>
        <v>12271.846303085129</v>
      </c>
      <c r="H42" s="322">
        <f>iProject!N41</f>
        <v>1.8921109267438219E-2</v>
      </c>
      <c r="I42" s="323">
        <v>433293.40222433524</v>
      </c>
      <c r="J42" s="324">
        <v>158180.47347578351</v>
      </c>
      <c r="K42" s="325">
        <v>591473.87570011872</v>
      </c>
      <c r="L42" s="326">
        <v>1035079.2824752077</v>
      </c>
      <c r="M42" s="317">
        <v>1182947.7514002374</v>
      </c>
      <c r="N42" s="317">
        <v>1330816.2203252672</v>
      </c>
      <c r="O42" s="317">
        <v>1478684.6892502969</v>
      </c>
      <c r="P42" s="316">
        <v>1626553.1581753264</v>
      </c>
      <c r="Q42" s="317">
        <v>1924048.5599674587</v>
      </c>
      <c r="R42" s="721">
        <v>42</v>
      </c>
      <c r="S42" s="318">
        <f t="shared" si="0"/>
        <v>4</v>
      </c>
      <c r="T42" s="738">
        <f t="shared" si="1"/>
        <v>1478684.6892502969</v>
      </c>
      <c r="U42" s="268"/>
      <c r="V42" s="269"/>
      <c r="W42" s="273">
        <f>iBudget!AB41</f>
        <v>2058266.116490762</v>
      </c>
      <c r="X42" s="274">
        <f>iBudget!AC41</f>
        <v>2.0516619321470024E-2</v>
      </c>
      <c r="Y42" s="271">
        <f>iBudget!AD41</f>
        <v>469830.58246166352</v>
      </c>
      <c r="Z42" s="275">
        <f>iBudget!AE41</f>
        <v>171518.93752748941</v>
      </c>
      <c r="AA42" s="272">
        <f>iBudget!AF41</f>
        <v>641349.5199891529</v>
      </c>
      <c r="AD42" s="336"/>
      <c r="AE42" s="336"/>
      <c r="AF42" s="336"/>
    </row>
    <row r="43" spans="3:32">
      <c r="C43" s="319">
        <f>iProject!I42</f>
        <v>34</v>
      </c>
      <c r="D43" s="318">
        <f>iProject!J42</f>
        <v>0</v>
      </c>
      <c r="E43" s="320" t="str">
        <f>iProject!K42</f>
        <v>Bench</v>
      </c>
      <c r="F43" s="321">
        <f>iProject!L42</f>
        <v>62.5</v>
      </c>
      <c r="G43" s="318">
        <f>iProject!M42</f>
        <v>12271.846303085129</v>
      </c>
      <c r="H43" s="322">
        <f>iProject!N42</f>
        <v>1.8921109267438219E-2</v>
      </c>
      <c r="I43" s="323">
        <v>433293.40222433524</v>
      </c>
      <c r="J43" s="324">
        <v>158180.47347578351</v>
      </c>
      <c r="K43" s="325">
        <v>591473.87570011872</v>
      </c>
      <c r="L43" s="326">
        <v>1035079.2824752077</v>
      </c>
      <c r="M43" s="317">
        <v>1182947.7514002374</v>
      </c>
      <c r="N43" s="317">
        <v>1330816.2203252672</v>
      </c>
      <c r="O43" s="317">
        <v>1478684.6892502969</v>
      </c>
      <c r="P43" s="316">
        <v>1626553.1581753264</v>
      </c>
      <c r="Q43" s="317">
        <v>1924048.5599674587</v>
      </c>
      <c r="R43" s="721">
        <v>42</v>
      </c>
      <c r="S43" s="318">
        <f t="shared" si="0"/>
        <v>4</v>
      </c>
      <c r="T43" s="738">
        <f t="shared" si="1"/>
        <v>1478684.6892502969</v>
      </c>
      <c r="U43" s="268"/>
      <c r="V43" s="269"/>
      <c r="W43" s="273">
        <f>iBudget!AB42</f>
        <v>2058266.116490762</v>
      </c>
      <c r="X43" s="274">
        <f>iBudget!AC42</f>
        <v>2.0516619321470024E-2</v>
      </c>
      <c r="Y43" s="271">
        <f>iBudget!AD42</f>
        <v>469830.58246166352</v>
      </c>
      <c r="Z43" s="275">
        <f>iBudget!AE42</f>
        <v>171518.93752748941</v>
      </c>
      <c r="AA43" s="272">
        <f>iBudget!AF42</f>
        <v>641349.5199891529</v>
      </c>
      <c r="AD43" s="336"/>
      <c r="AE43" s="336"/>
      <c r="AF43" s="336"/>
    </row>
    <row r="44" spans="3:32">
      <c r="C44" s="319">
        <f>iProject!I43</f>
        <v>35</v>
      </c>
      <c r="D44" s="318">
        <f>iProject!J43</f>
        <v>0</v>
      </c>
      <c r="E44" s="320" t="str">
        <f>iProject!K43</f>
        <v>Hillside</v>
      </c>
      <c r="F44" s="321">
        <f>iProject!L43</f>
        <v>75</v>
      </c>
      <c r="G44" s="318">
        <f>iProject!M43</f>
        <v>17671.458676442588</v>
      </c>
      <c r="H44" s="322">
        <f>iProject!N43</f>
        <v>2.7246397345111039E-2</v>
      </c>
      <c r="I44" s="323">
        <v>623942.49920304283</v>
      </c>
      <c r="J44" s="324">
        <v>227779.88180512827</v>
      </c>
      <c r="K44" s="325">
        <v>851722.38100817113</v>
      </c>
      <c r="L44" s="326">
        <v>1490514.1667642994</v>
      </c>
      <c r="M44" s="317">
        <v>1703444.7620163423</v>
      </c>
      <c r="N44" s="317">
        <v>1916375.3572683851</v>
      </c>
      <c r="O44" s="317">
        <v>2129305.9525204278</v>
      </c>
      <c r="P44" s="316">
        <v>2342236.5477724704</v>
      </c>
      <c r="Q44" s="317">
        <v>2392345.3564779134</v>
      </c>
      <c r="R44" s="721">
        <v>49</v>
      </c>
      <c r="S44" s="318">
        <f t="shared" si="0"/>
        <v>5</v>
      </c>
      <c r="T44" s="738">
        <f t="shared" si="1"/>
        <v>2342236.5477724704</v>
      </c>
      <c r="U44" s="268"/>
      <c r="V44" s="269"/>
      <c r="W44" s="273">
        <f>iBudget!AB43</f>
        <v>2559230.3066746835</v>
      </c>
      <c r="X44" s="274">
        <f>iBudget!AC43</f>
        <v>2.5510187209190804E-2</v>
      </c>
      <c r="Y44" s="271">
        <f>iBudget!AD43</f>
        <v>584183.28709046938</v>
      </c>
      <c r="Z44" s="275">
        <f>iBudget!AE43</f>
        <v>213265.16506883511</v>
      </c>
      <c r="AA44" s="272">
        <f>iBudget!AF43</f>
        <v>797448.45215930452</v>
      </c>
      <c r="AD44" s="336"/>
      <c r="AE44" s="336"/>
      <c r="AF44" s="336"/>
    </row>
    <row r="45" spans="3:32">
      <c r="C45" s="319">
        <f>iProject!I44</f>
        <v>36</v>
      </c>
      <c r="D45" s="318">
        <f>iProject!J44</f>
        <v>0</v>
      </c>
      <c r="E45" s="320" t="str">
        <f>iProject!K44</f>
        <v>Hillside</v>
      </c>
      <c r="F45" s="321">
        <f>iProject!L44</f>
        <v>75</v>
      </c>
      <c r="G45" s="318">
        <f>iProject!M44</f>
        <v>17671.458676442588</v>
      </c>
      <c r="H45" s="322">
        <f>iProject!N44</f>
        <v>2.7246397345111039E-2</v>
      </c>
      <c r="I45" s="323">
        <v>623942.49920304283</v>
      </c>
      <c r="J45" s="324">
        <v>227779.88180512827</v>
      </c>
      <c r="K45" s="325">
        <v>851722.38100817113</v>
      </c>
      <c r="L45" s="326">
        <v>1490514.1667642994</v>
      </c>
      <c r="M45" s="317">
        <v>1703444.7620163423</v>
      </c>
      <c r="N45" s="317">
        <v>1916375.3572683851</v>
      </c>
      <c r="O45" s="317">
        <v>2129305.9525204278</v>
      </c>
      <c r="P45" s="316">
        <v>2342236.5477724704</v>
      </c>
      <c r="Q45" s="317">
        <v>2518258.2699767514</v>
      </c>
      <c r="R45" s="721">
        <v>49</v>
      </c>
      <c r="S45" s="318">
        <f t="shared" si="0"/>
        <v>5</v>
      </c>
      <c r="T45" s="738">
        <f t="shared" si="1"/>
        <v>2342236.5477724704</v>
      </c>
      <c r="U45" s="268"/>
      <c r="V45" s="269"/>
      <c r="W45" s="273">
        <f>iBudget!AB44</f>
        <v>2693926.6386049301</v>
      </c>
      <c r="X45" s="274">
        <f>iBudget!AC44</f>
        <v>2.685282864125348E-2</v>
      </c>
      <c r="Y45" s="271">
        <f>iBudget!AD44</f>
        <v>614929.77588470466</v>
      </c>
      <c r="Z45" s="275">
        <f>iBudget!AE44</f>
        <v>224489.64744087908</v>
      </c>
      <c r="AA45" s="272">
        <f>iBudget!AF44</f>
        <v>839419.4233255838</v>
      </c>
      <c r="AD45" s="336"/>
      <c r="AE45" s="336"/>
      <c r="AF45" s="336"/>
    </row>
    <row r="46" spans="3:32">
      <c r="C46" s="319">
        <f>iProject!I45</f>
        <v>37</v>
      </c>
      <c r="D46" s="318">
        <f>iProject!J45</f>
        <v>0</v>
      </c>
      <c r="E46" s="320" t="str">
        <f>iProject!K45</f>
        <v>Hillside</v>
      </c>
      <c r="F46" s="321">
        <f>iProject!L45</f>
        <v>62.5</v>
      </c>
      <c r="G46" s="318">
        <f>iProject!M45</f>
        <v>12271.846303085129</v>
      </c>
      <c r="H46" s="322">
        <f>iProject!N45</f>
        <v>1.8921109267438219E-2</v>
      </c>
      <c r="I46" s="323">
        <v>433293.40222433524</v>
      </c>
      <c r="J46" s="324">
        <v>158180.47347578351</v>
      </c>
      <c r="K46" s="325">
        <v>591473.87570011872</v>
      </c>
      <c r="L46" s="326">
        <v>1035079.2824752077</v>
      </c>
      <c r="M46" s="317">
        <v>1182947.7514002374</v>
      </c>
      <c r="N46" s="317">
        <v>1330816.2203252672</v>
      </c>
      <c r="O46" s="317">
        <v>1478684.6892502969</v>
      </c>
      <c r="P46" s="316">
        <v>1626553.1581753264</v>
      </c>
      <c r="Q46" s="317">
        <v>1924048.5599674587</v>
      </c>
      <c r="R46" s="721">
        <v>51</v>
      </c>
      <c r="S46" s="318">
        <f t="shared" si="0"/>
        <v>5</v>
      </c>
      <c r="T46" s="738">
        <f t="shared" si="1"/>
        <v>1626553.1581753264</v>
      </c>
      <c r="U46" s="268"/>
      <c r="V46" s="269"/>
      <c r="W46" s="273">
        <f>iBudget!AB45</f>
        <v>2058266.116490762</v>
      </c>
      <c r="X46" s="274">
        <f>iBudget!AC45</f>
        <v>2.0516619321470024E-2</v>
      </c>
      <c r="Y46" s="271">
        <f>iBudget!AD45</f>
        <v>469830.58246166352</v>
      </c>
      <c r="Z46" s="275">
        <f>iBudget!AE45</f>
        <v>171518.93752748941</v>
      </c>
      <c r="AA46" s="272">
        <f>iBudget!AF45</f>
        <v>641349.5199891529</v>
      </c>
    </row>
    <row r="47" spans="3:32">
      <c r="C47" s="319">
        <f>iProject!I46</f>
        <v>38</v>
      </c>
      <c r="D47" s="318">
        <f>iProject!J46</f>
        <v>0</v>
      </c>
      <c r="E47" s="320" t="str">
        <f>iProject!K46</f>
        <v>Hillside</v>
      </c>
      <c r="F47" s="321">
        <f>iProject!L46</f>
        <v>62.5</v>
      </c>
      <c r="G47" s="318">
        <f>iProject!M46</f>
        <v>12271.846303085129</v>
      </c>
      <c r="H47" s="322">
        <f>iProject!N46</f>
        <v>1.8921109267438219E-2</v>
      </c>
      <c r="I47" s="323">
        <v>433293.40222433524</v>
      </c>
      <c r="J47" s="324">
        <v>158180.47347578351</v>
      </c>
      <c r="K47" s="325">
        <v>591473.87570011872</v>
      </c>
      <c r="L47" s="326">
        <v>1035079.2824752077</v>
      </c>
      <c r="M47" s="317">
        <v>1182947.7514002374</v>
      </c>
      <c r="N47" s="317">
        <v>1330816.2203252672</v>
      </c>
      <c r="O47" s="317">
        <v>1478684.6892502969</v>
      </c>
      <c r="P47" s="316">
        <v>1626553.1581753264</v>
      </c>
      <c r="Q47" s="317">
        <v>2186418.8181448393</v>
      </c>
      <c r="R47" s="721">
        <v>51</v>
      </c>
      <c r="S47" s="318">
        <f t="shared" si="0"/>
        <v>5</v>
      </c>
      <c r="T47" s="738">
        <f t="shared" si="1"/>
        <v>1626553.1581753264</v>
      </c>
      <c r="U47" s="268"/>
      <c r="V47" s="269"/>
      <c r="W47" s="273">
        <f>iBudget!AB46</f>
        <v>2338938.7687395019</v>
      </c>
      <c r="X47" s="274">
        <f>iBudget!AC46</f>
        <v>2.3314340138034115E-2</v>
      </c>
      <c r="Y47" s="271">
        <f>iBudget!AD46</f>
        <v>533898.38916098129</v>
      </c>
      <c r="Z47" s="275">
        <f>iBudget!AE46</f>
        <v>194907.88355396519</v>
      </c>
      <c r="AA47" s="272">
        <f>iBudget!AF46</f>
        <v>728806.27271494642</v>
      </c>
    </row>
    <row r="48" spans="3:32">
      <c r="C48" s="319">
        <f>iProject!I47</f>
        <v>39</v>
      </c>
      <c r="D48" s="318">
        <f>iProject!J47</f>
        <v>0</v>
      </c>
      <c r="E48" s="320" t="str">
        <f>iProject!K47</f>
        <v>Hillside</v>
      </c>
      <c r="F48" s="321">
        <f>iProject!L47</f>
        <v>75</v>
      </c>
      <c r="G48" s="318">
        <f>iProject!M47</f>
        <v>17671.458676442588</v>
      </c>
      <c r="H48" s="322">
        <f>iProject!N47</f>
        <v>2.7246397345111039E-2</v>
      </c>
      <c r="I48" s="323">
        <v>623942.49920304283</v>
      </c>
      <c r="J48" s="324">
        <v>227779.88180512827</v>
      </c>
      <c r="K48" s="325">
        <v>851722.38100817113</v>
      </c>
      <c r="L48" s="326">
        <v>1490514.1667642994</v>
      </c>
      <c r="M48" s="317">
        <v>1703444.7620163423</v>
      </c>
      <c r="N48" s="317">
        <v>1916375.3572683851</v>
      </c>
      <c r="O48" s="317">
        <v>2129305.9525204278</v>
      </c>
      <c r="P48" s="316">
        <v>2342236.5477724704</v>
      </c>
      <c r="Q48" s="317">
        <v>2895997.0104732639</v>
      </c>
      <c r="R48" s="721">
        <v>54</v>
      </c>
      <c r="S48" s="318">
        <f t="shared" si="0"/>
        <v>5</v>
      </c>
      <c r="T48" s="738">
        <f t="shared" si="1"/>
        <v>2342236.5477724704</v>
      </c>
      <c r="U48" s="268"/>
      <c r="V48" s="269"/>
      <c r="W48" s="273">
        <f>iBudget!AB47</f>
        <v>3098015.6343956697</v>
      </c>
      <c r="X48" s="274">
        <f>iBudget!AC47</f>
        <v>3.08807529374415E-2</v>
      </c>
      <c r="Y48" s="271">
        <f>iBudget!AD47</f>
        <v>707169.24226741039</v>
      </c>
      <c r="Z48" s="275">
        <f>iBudget!AE47</f>
        <v>258163.09455701095</v>
      </c>
      <c r="AA48" s="272">
        <f>iBudget!AF47</f>
        <v>965332.33682442131</v>
      </c>
    </row>
    <row r="49" spans="1:27">
      <c r="B49" s="12"/>
      <c r="C49" s="319">
        <f>iProject!I48</f>
        <v>40</v>
      </c>
      <c r="D49" s="318">
        <f>iProject!J48</f>
        <v>0</v>
      </c>
      <c r="E49" s="320" t="str">
        <f>iProject!K48</f>
        <v>Hillside</v>
      </c>
      <c r="F49" s="321">
        <f>iProject!L48</f>
        <v>62.5</v>
      </c>
      <c r="G49" s="318">
        <f>iProject!M48</f>
        <v>12271.846303085129</v>
      </c>
      <c r="H49" s="322">
        <f>iProject!N48</f>
        <v>1.8921109267438219E-2</v>
      </c>
      <c r="I49" s="323">
        <v>433293.40222433524</v>
      </c>
      <c r="J49" s="324">
        <v>158180.47347578351</v>
      </c>
      <c r="K49" s="325">
        <v>591473.87570011872</v>
      </c>
      <c r="L49" s="326">
        <v>1035079.2824752077</v>
      </c>
      <c r="M49" s="317">
        <v>1182947.7514002374</v>
      </c>
      <c r="N49" s="317">
        <v>1330816.2203252672</v>
      </c>
      <c r="O49" s="317">
        <v>1478684.6892502969</v>
      </c>
      <c r="P49" s="316">
        <v>1626553.1581753264</v>
      </c>
      <c r="Q49" s="317">
        <v>2011505.3126932518</v>
      </c>
      <c r="R49" s="721">
        <v>54</v>
      </c>
      <c r="S49" s="318">
        <f t="shared" si="0"/>
        <v>5</v>
      </c>
      <c r="T49" s="738">
        <f t="shared" si="1"/>
        <v>1626553.1581753264</v>
      </c>
      <c r="U49" s="268"/>
      <c r="V49" s="269"/>
      <c r="W49" s="273">
        <f>iBudget!AB48</f>
        <v>2151823.6672403417</v>
      </c>
      <c r="X49" s="274">
        <f>iBudget!AC48</f>
        <v>2.1449192926991382E-2</v>
      </c>
      <c r="Y49" s="271">
        <f>iBudget!AD48</f>
        <v>491186.51802810264</v>
      </c>
      <c r="Z49" s="275">
        <f>iBudget!AE48</f>
        <v>179315.25286964796</v>
      </c>
      <c r="AA49" s="272">
        <f>iBudget!AF48</f>
        <v>670501.77089775063</v>
      </c>
    </row>
    <row r="50" spans="1:27">
      <c r="B50" s="12"/>
      <c r="C50" s="319">
        <f>iProject!I49</f>
        <v>41</v>
      </c>
      <c r="D50" s="318">
        <f>iProject!J49</f>
        <v>0</v>
      </c>
      <c r="E50" s="320" t="str">
        <f>iProject!K49</f>
        <v>Hillside</v>
      </c>
      <c r="F50" s="321">
        <f>iProject!L49</f>
        <v>50</v>
      </c>
      <c r="G50" s="318">
        <f>iProject!M49</f>
        <v>7853.981633974483</v>
      </c>
      <c r="H50" s="322">
        <f>iProject!N49</f>
        <v>1.210950993116046E-2</v>
      </c>
      <c r="I50" s="323">
        <v>277307.77742357453</v>
      </c>
      <c r="J50" s="324">
        <v>101235.50302450145</v>
      </c>
      <c r="K50" s="325">
        <v>378543.28044807597</v>
      </c>
      <c r="L50" s="326">
        <v>662450.74078413297</v>
      </c>
      <c r="M50" s="317">
        <v>757086.56089615193</v>
      </c>
      <c r="N50" s="317">
        <v>851722.38100817089</v>
      </c>
      <c r="O50" s="317">
        <v>946358.20112018986</v>
      </c>
      <c r="P50" s="316">
        <v>1040994.0212322089</v>
      </c>
      <c r="Q50" s="317">
        <v>1403339.7378872908</v>
      </c>
      <c r="R50" s="721">
        <v>60</v>
      </c>
      <c r="S50" s="318">
        <f t="shared" si="0"/>
        <v>6</v>
      </c>
      <c r="T50" s="738">
        <f t="shared" si="1"/>
        <v>1403339.7378872908</v>
      </c>
      <c r="U50" s="268"/>
      <c r="V50" s="269"/>
      <c r="W50" s="273">
        <f>iBudget!AB49</f>
        <v>1501233.7487299643</v>
      </c>
      <c r="X50" s="274">
        <f>iBudget!AC49</f>
        <v>1.4964168670156651E-2</v>
      </c>
      <c r="Y50" s="271">
        <f>iBudget!AD49</f>
        <v>342679.46254658728</v>
      </c>
      <c r="Z50" s="275">
        <f>iBudget!AE49</f>
        <v>125100.4500825096</v>
      </c>
      <c r="AA50" s="272">
        <f>iBudget!AF49</f>
        <v>467779.91262909689</v>
      </c>
    </row>
    <row r="51" spans="1:27">
      <c r="B51" s="12"/>
      <c r="C51" s="319">
        <f>iProject!I50</f>
        <v>42</v>
      </c>
      <c r="D51" s="318">
        <f>iProject!J50</f>
        <v>0</v>
      </c>
      <c r="E51" s="320" t="str">
        <f>iProject!K50</f>
        <v>Hillside</v>
      </c>
      <c r="F51" s="321">
        <f>iProject!L50</f>
        <v>75</v>
      </c>
      <c r="G51" s="318">
        <f>iProject!M50</f>
        <v>17671.458676442588</v>
      </c>
      <c r="H51" s="322">
        <f>iProject!N50</f>
        <v>2.7246397345111039E-2</v>
      </c>
      <c r="I51" s="323">
        <v>623942.49920304283</v>
      </c>
      <c r="J51" s="324">
        <v>227779.88180512827</v>
      </c>
      <c r="K51" s="325">
        <v>851722.38100817113</v>
      </c>
      <c r="L51" s="326">
        <v>1490514.1667642994</v>
      </c>
      <c r="M51" s="317">
        <v>1703444.7620163423</v>
      </c>
      <c r="N51" s="317">
        <v>1916375.3572683851</v>
      </c>
      <c r="O51" s="317">
        <v>2129305.9525204278</v>
      </c>
      <c r="P51" s="316">
        <v>2342236.5477724704</v>
      </c>
      <c r="Q51" s="317">
        <v>3399648.6644686144</v>
      </c>
      <c r="R51" s="721">
        <v>61</v>
      </c>
      <c r="S51" s="318">
        <f t="shared" si="0"/>
        <v>6</v>
      </c>
      <c r="T51" s="738">
        <f t="shared" si="1"/>
        <v>3399648.6644686144</v>
      </c>
      <c r="U51" s="268"/>
      <c r="V51" s="269"/>
      <c r="W51" s="273">
        <f>iBudget!AB50</f>
        <v>3636800.9621166564</v>
      </c>
      <c r="X51" s="274">
        <f>iBudget!AC50</f>
        <v>3.62513186656922E-2</v>
      </c>
      <c r="Y51" s="271">
        <f>iBudget!AD50</f>
        <v>830155.19744435139</v>
      </c>
      <c r="Z51" s="275">
        <f>iBudget!AE50</f>
        <v>303061.02404518682</v>
      </c>
      <c r="AA51" s="272">
        <f>iBudget!AF50</f>
        <v>1133216.2214895382</v>
      </c>
    </row>
    <row r="52" spans="1:27">
      <c r="B52" s="12"/>
      <c r="C52" s="319">
        <f>iProject!I51</f>
        <v>43</v>
      </c>
      <c r="D52" s="318">
        <f>iProject!J51</f>
        <v>0</v>
      </c>
      <c r="E52" s="320" t="str">
        <f>iProject!K51</f>
        <v>Hillside</v>
      </c>
      <c r="F52" s="321">
        <f>iProject!L51</f>
        <v>75</v>
      </c>
      <c r="G52" s="318">
        <f>iProject!M51</f>
        <v>17671.458676442588</v>
      </c>
      <c r="H52" s="322">
        <f>iProject!N51</f>
        <v>2.7246397345111039E-2</v>
      </c>
      <c r="I52" s="323">
        <v>623942.49920304283</v>
      </c>
      <c r="J52" s="324">
        <v>227779.88180512827</v>
      </c>
      <c r="K52" s="325">
        <v>851722.38100817113</v>
      </c>
      <c r="L52" s="326">
        <v>1490514.1667642994</v>
      </c>
      <c r="M52" s="317">
        <v>1703444.7620163423</v>
      </c>
      <c r="N52" s="317">
        <v>1916375.3572683851</v>
      </c>
      <c r="O52" s="317">
        <v>2129305.9525204278</v>
      </c>
      <c r="P52" s="316">
        <v>2342236.5477724704</v>
      </c>
      <c r="Q52" s="317">
        <v>3399648.6644686144</v>
      </c>
      <c r="R52" s="721">
        <v>64</v>
      </c>
      <c r="S52" s="318">
        <f t="shared" si="0"/>
        <v>6</v>
      </c>
      <c r="T52" s="738">
        <f t="shared" si="1"/>
        <v>3399648.6644686144</v>
      </c>
      <c r="U52" s="268"/>
      <c r="V52" s="269"/>
      <c r="W52" s="273">
        <f>iBudget!AB51</f>
        <v>3636800.9621166564</v>
      </c>
      <c r="X52" s="274">
        <f>iBudget!AC51</f>
        <v>3.62513186656922E-2</v>
      </c>
      <c r="Y52" s="271">
        <f>iBudget!AD51</f>
        <v>830155.19744435139</v>
      </c>
      <c r="Z52" s="275">
        <f>iBudget!AE51</f>
        <v>303061.02404518682</v>
      </c>
      <c r="AA52" s="272">
        <f>iBudget!AF51</f>
        <v>1133216.2214895382</v>
      </c>
    </row>
    <row r="53" spans="1:27">
      <c r="B53" s="12"/>
      <c r="C53" s="739">
        <f>iProject!I52</f>
        <v>44</v>
      </c>
      <c r="D53" s="740">
        <f>iProject!J52</f>
        <v>0</v>
      </c>
      <c r="E53" s="741" t="str">
        <f>iProject!K52</f>
        <v>Hillside</v>
      </c>
      <c r="F53" s="742">
        <f>iProject!L52</f>
        <v>75</v>
      </c>
      <c r="G53" s="740">
        <f>iProject!M52</f>
        <v>17671.458676442588</v>
      </c>
      <c r="H53" s="743">
        <f>iProject!N52</f>
        <v>2.7246397345111039E-2</v>
      </c>
      <c r="I53" s="744">
        <v>623942.49920304283</v>
      </c>
      <c r="J53" s="745">
        <v>227779.88180512827</v>
      </c>
      <c r="K53" s="746">
        <v>851722.38100817113</v>
      </c>
      <c r="L53" s="747">
        <v>1490514.1667642994</v>
      </c>
      <c r="M53" s="748">
        <v>1703444.7620163423</v>
      </c>
      <c r="N53" s="748">
        <v>1916375.3572683851</v>
      </c>
      <c r="O53" s="748">
        <v>2129305.9525204278</v>
      </c>
      <c r="P53" s="749">
        <v>2342236.5477724704</v>
      </c>
      <c r="Q53" s="748">
        <v>3651474.4914662894</v>
      </c>
      <c r="R53" s="750">
        <v>64</v>
      </c>
      <c r="S53" s="740">
        <f t="shared" si="0"/>
        <v>6</v>
      </c>
      <c r="T53" s="751">
        <f t="shared" si="1"/>
        <v>3651474.4914662894</v>
      </c>
      <c r="U53" s="268"/>
      <c r="V53" s="269"/>
      <c r="W53" s="273">
        <f>iBudget!AB52</f>
        <v>3906193.6259771492</v>
      </c>
      <c r="X53" s="274">
        <f>iBudget!AC52</f>
        <v>3.8936601529817545E-2</v>
      </c>
      <c r="Y53" s="271">
        <f>iBudget!AD52</f>
        <v>891648.17503282183</v>
      </c>
      <c r="Z53" s="275">
        <f>iBudget!AE52</f>
        <v>325509.98878927471</v>
      </c>
      <c r="AA53" s="272">
        <f>iBudget!AF52</f>
        <v>1217158.1638220965</v>
      </c>
    </row>
    <row r="54" spans="1:27" ht="11.25" customHeight="1">
      <c r="B54" s="12"/>
      <c r="C54" s="280"/>
      <c r="D54" s="281"/>
      <c r="E54" s="280"/>
      <c r="F54" s="281"/>
      <c r="G54" s="281"/>
      <c r="H54" s="281"/>
      <c r="I54" s="267"/>
      <c r="J54" s="267"/>
      <c r="K54" s="282"/>
      <c r="L54" s="249"/>
      <c r="M54" s="249"/>
      <c r="N54" s="249"/>
      <c r="O54" s="249"/>
      <c r="P54" s="249"/>
      <c r="Q54" s="249"/>
      <c r="R54" s="283"/>
      <c r="S54" s="284"/>
      <c r="T54" s="285"/>
      <c r="U54" s="268"/>
      <c r="V54" s="269"/>
      <c r="W54" s="267"/>
      <c r="X54" s="267"/>
      <c r="Y54" s="267"/>
      <c r="Z54" s="267"/>
      <c r="AA54" s="282"/>
    </row>
    <row r="55" spans="1:27">
      <c r="A55" s="260"/>
      <c r="B55" s="12"/>
      <c r="C55" s="305">
        <f>COUNTA(C9:C53)</f>
        <v>45</v>
      </c>
      <c r="D55" s="286"/>
      <c r="E55" s="286"/>
      <c r="F55" s="304">
        <f>AVERAGE(F9:F53)</f>
        <v>66.905555555555551</v>
      </c>
      <c r="G55" s="287">
        <f>AVERAGE(G9:G53)</f>
        <v>14412.880966414747</v>
      </c>
      <c r="H55" s="288">
        <f>iProject!N54</f>
        <v>0.99999999999999933</v>
      </c>
      <c r="I55" s="287">
        <f>SUM(I9:I53)</f>
        <v>22899999.999999989</v>
      </c>
      <c r="J55" s="287">
        <f>SUM(J9:J53)</f>
        <v>8359999.9999999981</v>
      </c>
      <c r="K55" s="289">
        <f>SUM(K9:K53)</f>
        <v>31259999.999999993</v>
      </c>
      <c r="L55" s="287">
        <f t="shared" ref="L55:O55" si="2">SUM(L9:L53)</f>
        <v>54704999.999999978</v>
      </c>
      <c r="M55" s="287">
        <f t="shared" si="2"/>
        <v>62519999.999999985</v>
      </c>
      <c r="N55" s="287">
        <f t="shared" si="2"/>
        <v>70334999.999999985</v>
      </c>
      <c r="O55" s="287">
        <f t="shared" si="2"/>
        <v>78150000</v>
      </c>
      <c r="P55" s="287">
        <f>SUM(P9:P53)</f>
        <v>85964999.999999925</v>
      </c>
      <c r="Q55" s="287">
        <f>SUM(Q9:Q53)</f>
        <v>93779999.99999997</v>
      </c>
      <c r="R55" s="291"/>
      <c r="S55" s="752">
        <f>MAX(S9:S53)</f>
        <v>7</v>
      </c>
      <c r="T55" s="791">
        <f t="shared" ref="T55" si="3">SUM(T9:T53)</f>
        <v>84201146.281548545</v>
      </c>
      <c r="U55" s="268"/>
      <c r="V55" s="268"/>
      <c r="W55" s="290">
        <f>SUM(W9:W53)</f>
        <v>100321894.3745205</v>
      </c>
      <c r="X55" s="288">
        <f>SUM(X9:X53)</f>
        <v>0.99999999999999933</v>
      </c>
      <c r="Y55" s="287">
        <f>SUM(Y9:Y53)</f>
        <v>22899999.999999989</v>
      </c>
      <c r="Z55" s="287">
        <f>SUM(Z9:Z53)</f>
        <v>8360000.0000000009</v>
      </c>
      <c r="AA55" s="289">
        <f>SUM(AA9:AA53)</f>
        <v>31259999.999999985</v>
      </c>
    </row>
    <row r="56" spans="1:27">
      <c r="B56" s="12"/>
      <c r="C56" s="257"/>
      <c r="D56" s="257"/>
      <c r="E56" s="257"/>
      <c r="F56" s="257"/>
      <c r="G56" s="257"/>
      <c r="H56" s="257"/>
      <c r="I56" s="257"/>
      <c r="J56" s="257"/>
      <c r="K56" s="257"/>
      <c r="U56" s="257"/>
      <c r="V56" s="253"/>
      <c r="W56" s="257"/>
      <c r="X56" s="257"/>
      <c r="Y56" s="257"/>
      <c r="Z56" s="257"/>
      <c r="AA56" s="257"/>
    </row>
    <row r="57" spans="1:27">
      <c r="B57" s="12"/>
      <c r="N57" s="257"/>
      <c r="O57" s="257"/>
      <c r="P57" s="257"/>
      <c r="U57" s="257"/>
      <c r="V57" s="253"/>
      <c r="W57" s="257"/>
      <c r="X57" s="257"/>
      <c r="Y57" s="257"/>
      <c r="Z57" s="257"/>
      <c r="AA57" s="257"/>
    </row>
    <row r="58" spans="1:27" ht="27" customHeight="1">
      <c r="B58" s="12"/>
      <c r="U58" s="257"/>
      <c r="V58" s="253"/>
      <c r="W58" s="257"/>
      <c r="X58" s="257"/>
      <c r="Y58" s="257"/>
      <c r="Z58" s="257"/>
      <c r="AA58" s="257"/>
    </row>
    <row r="59" spans="1:27">
      <c r="B59" s="12"/>
    </row>
    <row r="60" spans="1:27" ht="18" customHeight="1">
      <c r="A60" s="73"/>
    </row>
    <row r="61" spans="1:27" ht="15.75" customHeight="1">
      <c r="A61" s="50" t="s">
        <v>60</v>
      </c>
      <c r="B61" s="46"/>
    </row>
    <row r="62" spans="1:27">
      <c r="A62" s="35" t="e">
        <f>#REF!/#REF!</f>
        <v>#REF!</v>
      </c>
    </row>
    <row r="63" spans="1:27">
      <c r="A63" s="41" t="e">
        <f>#REF!/#REF!</f>
        <v>#REF!</v>
      </c>
    </row>
    <row r="64" spans="1:27">
      <c r="A64" s="41" t="e">
        <f>#REF!/#REF!</f>
        <v>#REF!</v>
      </c>
    </row>
    <row r="65" spans="1:1">
      <c r="A65" s="38" t="e">
        <f>#REF!/#REF!</f>
        <v>#REF!</v>
      </c>
    </row>
    <row r="66" spans="1:1">
      <c r="A66" s="41" t="e">
        <f>#REF!/#REF!</f>
        <v>#REF!</v>
      </c>
    </row>
    <row r="67" spans="1:1">
      <c r="A67" s="41" t="e">
        <f>#REF!/#REF!</f>
        <v>#REF!</v>
      </c>
    </row>
    <row r="68" spans="1:1">
      <c r="A68" s="41" t="e">
        <f>#REF!/#REF!</f>
        <v>#REF!</v>
      </c>
    </row>
    <row r="69" spans="1:1">
      <c r="A69" s="41" t="e">
        <f>#REF!/#REF!</f>
        <v>#REF!</v>
      </c>
    </row>
    <row r="70" spans="1:1">
      <c r="A70" s="41" t="e">
        <f>#REF!/#REF!</f>
        <v>#REF!</v>
      </c>
    </row>
    <row r="71" spans="1:1">
      <c r="A71" s="41" t="e">
        <f>#REF!/#REF!</f>
        <v>#REF!</v>
      </c>
    </row>
    <row r="72" spans="1:1">
      <c r="A72" s="41" t="e">
        <f>#REF!/#REF!</f>
        <v>#REF!</v>
      </c>
    </row>
    <row r="73" spans="1:1">
      <c r="A73" s="41" t="e">
        <f>#REF!/#REF!</f>
        <v>#REF!</v>
      </c>
    </row>
    <row r="74" spans="1:1">
      <c r="A74" s="41" t="e">
        <f>#REF!/#REF!</f>
        <v>#REF!</v>
      </c>
    </row>
    <row r="75" spans="1:1">
      <c r="A75" s="41" t="e">
        <f>#REF!/#REF!</f>
        <v>#REF!</v>
      </c>
    </row>
    <row r="76" spans="1:1">
      <c r="A76" s="41" t="e">
        <f>#REF!/#REF!</f>
        <v>#REF!</v>
      </c>
    </row>
    <row r="77" spans="1:1">
      <c r="A77" s="41" t="e">
        <f>#REF!/#REF!</f>
        <v>#REF!</v>
      </c>
    </row>
    <row r="78" spans="1:1">
      <c r="A78" s="41" t="e">
        <f>#REF!/#REF!</f>
        <v>#REF!</v>
      </c>
    </row>
    <row r="79" spans="1:1">
      <c r="A79" s="41" t="e">
        <f>#REF!/#REF!</f>
        <v>#REF!</v>
      </c>
    </row>
    <row r="80" spans="1:1">
      <c r="A80" s="41" t="e">
        <f>#REF!/#REF!</f>
        <v>#REF!</v>
      </c>
    </row>
    <row r="81" spans="1:1">
      <c r="A81" s="41" t="e">
        <f>#REF!/#REF!</f>
        <v>#REF!</v>
      </c>
    </row>
    <row r="82" spans="1:1">
      <c r="A82" s="41" t="e">
        <f>#REF!/#REF!</f>
        <v>#REF!</v>
      </c>
    </row>
    <row r="83" spans="1:1">
      <c r="A83" s="41" t="e">
        <f>#REF!/#REF!</f>
        <v>#REF!</v>
      </c>
    </row>
    <row r="84" spans="1:1">
      <c r="A84" s="41" t="e">
        <f>#REF!/#REF!</f>
        <v>#REF!</v>
      </c>
    </row>
    <row r="85" spans="1:1">
      <c r="A85" s="41" t="e">
        <f>#REF!/#REF!</f>
        <v>#REF!</v>
      </c>
    </row>
    <row r="86" spans="1:1">
      <c r="A86" s="41" t="e">
        <f>#REF!/#REF!</f>
        <v>#REF!</v>
      </c>
    </row>
    <row r="87" spans="1:1">
      <c r="A87" s="41" t="e">
        <f>#REF!/#REF!</f>
        <v>#REF!</v>
      </c>
    </row>
    <row r="88" spans="1:1">
      <c r="A88" s="41" t="e">
        <f>#REF!/#REF!</f>
        <v>#REF!</v>
      </c>
    </row>
    <row r="89" spans="1:1">
      <c r="A89" s="41" t="e">
        <f>#REF!/#REF!</f>
        <v>#REF!</v>
      </c>
    </row>
    <row r="90" spans="1:1">
      <c r="A90" s="41" t="e">
        <f>#REF!/#REF!</f>
        <v>#REF!</v>
      </c>
    </row>
    <row r="91" spans="1:1">
      <c r="A91" s="41" t="e">
        <f>#REF!/#REF!</f>
        <v>#REF!</v>
      </c>
    </row>
    <row r="92" spans="1:1">
      <c r="A92" s="41" t="e">
        <f>#REF!/#REF!</f>
        <v>#REF!</v>
      </c>
    </row>
    <row r="93" spans="1:1">
      <c r="A93" s="41" t="e">
        <f>#REF!/#REF!</f>
        <v>#REF!</v>
      </c>
    </row>
    <row r="94" spans="1:1">
      <c r="A94" s="41" t="e">
        <f>#REF!/#REF!</f>
        <v>#REF!</v>
      </c>
    </row>
    <row r="95" spans="1:1">
      <c r="A95" s="41" t="e">
        <f>#REF!/#REF!</f>
        <v>#REF!</v>
      </c>
    </row>
    <row r="96" spans="1:1">
      <c r="A96" s="41" t="e">
        <f>#REF!/#REF!</f>
        <v>#REF!</v>
      </c>
    </row>
    <row r="97" spans="1:1">
      <c r="A97" s="41" t="e">
        <f>#REF!/#REF!</f>
        <v>#REF!</v>
      </c>
    </row>
    <row r="98" spans="1:1">
      <c r="A98" s="41" t="e">
        <f>#REF!/#REF!</f>
        <v>#REF!</v>
      </c>
    </row>
    <row r="99" spans="1:1">
      <c r="A99" s="41" t="e">
        <f>#REF!/#REF!</f>
        <v>#REF!</v>
      </c>
    </row>
    <row r="100" spans="1:1">
      <c r="A100" s="41" t="e">
        <f>#REF!/#REF!</f>
        <v>#REF!</v>
      </c>
    </row>
    <row r="101" spans="1:1">
      <c r="A101" s="41" t="e">
        <f>#REF!/#REF!</f>
        <v>#REF!</v>
      </c>
    </row>
    <row r="102" spans="1:1">
      <c r="A102" s="41" t="e">
        <f>#REF!/#REF!</f>
        <v>#REF!</v>
      </c>
    </row>
    <row r="103" spans="1:1">
      <c r="A103" s="41" t="e">
        <f>#REF!/#REF!</f>
        <v>#REF!</v>
      </c>
    </row>
    <row r="104" spans="1:1">
      <c r="A104" s="41" t="e">
        <f>#REF!/#REF!</f>
        <v>#REF!</v>
      </c>
    </row>
    <row r="105" spans="1:1" ht="7.25" customHeight="1">
      <c r="A105" s="41" t="e">
        <f>#REF!/#REF!</f>
        <v>#REF!</v>
      </c>
    </row>
    <row r="106" spans="1:1">
      <c r="A106" s="41" t="e">
        <f>#REF!/#REF!</f>
        <v>#REF!</v>
      </c>
    </row>
  </sheetData>
  <mergeCells count="4">
    <mergeCell ref="F6:H7"/>
    <mergeCell ref="I7:K7"/>
    <mergeCell ref="W7:X7"/>
    <mergeCell ref="Y7:AA7"/>
  </mergeCells>
  <conditionalFormatting sqref="C9:Q53">
    <cfRule type="expression" dxfId="2" priority="2">
      <formula>MOD(ROW(), 2) = 1</formula>
    </cfRule>
  </conditionalFormatting>
  <conditionalFormatting sqref="L9:Q53">
    <cfRule type="expression" dxfId="1" priority="1">
      <formula>L$7=$S9</formula>
    </cfRule>
  </conditionalFormatting>
  <pageMargins left="0.25" right="0.25" top="0.75" bottom="0.75" header="0.3" footer="0.3"/>
  <pageSetup scale="24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29E091-BE90-493D-8AC7-4B16452600E3}">
  <sheetPr codeName="Sheet7">
    <tabColor rgb="FF003399"/>
  </sheetPr>
  <dimension ref="A2:AY57"/>
  <sheetViews>
    <sheetView topLeftCell="E32" workbookViewId="0">
      <selection activeCell="AC8" sqref="AC8"/>
    </sheetView>
  </sheetViews>
  <sheetFormatPr baseColWidth="10" defaultColWidth="8.83203125" defaultRowHeight="15"/>
  <cols>
    <col min="1" max="1" width="6.1640625" style="30" hidden="1" customWidth="1"/>
    <col min="2" max="2" width="7.5" style="5" hidden="1" customWidth="1"/>
    <col min="3" max="3" width="5.6640625" style="30" hidden="1" customWidth="1"/>
    <col min="4" max="4" width="7.83203125" style="30" hidden="1" customWidth="1"/>
    <col min="5" max="5" width="2.5" style="5" customWidth="1"/>
    <col min="6" max="6" width="13.1640625" style="5" customWidth="1"/>
    <col min="7" max="7" width="17.5" style="5" customWidth="1"/>
    <col min="8" max="8" width="8" style="5" customWidth="1"/>
    <col min="9" max="9" width="6.5" style="5" customWidth="1"/>
    <col min="10" max="10" width="14.6640625" style="83" bestFit="1" customWidth="1"/>
    <col min="11" max="11" width="14" bestFit="1" customWidth="1"/>
    <col min="12" max="12" width="13.6640625" bestFit="1" customWidth="1"/>
    <col min="13" max="13" width="13.5" bestFit="1" customWidth="1"/>
    <col min="14" max="21" width="13" bestFit="1" customWidth="1"/>
    <col min="22" max="23" width="10" bestFit="1" customWidth="1"/>
    <col min="24" max="25" width="10" customWidth="1"/>
    <col min="26" max="26" width="3" bestFit="1" customWidth="1"/>
    <col min="27" max="27" width="8.6640625" bestFit="1" customWidth="1"/>
    <col min="28" max="30" width="10.33203125" bestFit="1" customWidth="1"/>
    <col min="31" max="32" width="10" customWidth="1"/>
    <col min="33" max="33" width="23" style="5" customWidth="1"/>
    <col min="34" max="34" width="11.6640625" style="83" bestFit="1" customWidth="1"/>
    <col min="35" max="35" width="13.33203125" bestFit="1" customWidth="1"/>
    <col min="36" max="36" width="12.1640625" bestFit="1" customWidth="1"/>
    <col min="37" max="40" width="12.6640625" bestFit="1" customWidth="1"/>
    <col min="41" max="41" width="10.83203125" bestFit="1" customWidth="1"/>
    <col min="42" max="44" width="6.6640625" bestFit="1" customWidth="1"/>
    <col min="45" max="45" width="7.83203125" bestFit="1" customWidth="1"/>
    <col min="46" max="48" width="10" bestFit="1" customWidth="1"/>
    <col min="49" max="49" width="9.1640625" bestFit="1" customWidth="1"/>
    <col min="50" max="50" width="10" bestFit="1" customWidth="1"/>
  </cols>
  <sheetData>
    <row r="2" spans="1:51" s="1" customFormat="1" ht="28.25" customHeight="1">
      <c r="A2" s="2"/>
      <c r="C2" s="2"/>
      <c r="D2" s="2"/>
      <c r="E2" s="129" t="str">
        <f>iProject!D2</f>
        <v>Clarendon Preserve</v>
      </c>
      <c r="F2" s="23"/>
      <c r="G2" s="23"/>
      <c r="H2" s="23"/>
      <c r="I2" s="23"/>
      <c r="J2" s="23"/>
      <c r="K2" s="23"/>
      <c r="L2" s="23"/>
      <c r="AH2" s="99"/>
    </row>
    <row r="3" spans="1:51" s="1" customFormat="1" ht="14" customHeight="1">
      <c r="A3" s="2"/>
      <c r="C3" s="2"/>
      <c r="D3" s="2"/>
      <c r="AH3" s="99"/>
    </row>
    <row r="4" spans="1:51" s="47" customFormat="1" ht="17" thickBot="1">
      <c r="C4" s="60"/>
      <c r="E4" s="12"/>
      <c r="F4" s="5"/>
      <c r="G4" s="5"/>
      <c r="H4" s="5"/>
      <c r="I4" s="5"/>
      <c r="J4" s="83"/>
      <c r="K4"/>
      <c r="L4"/>
      <c r="M4"/>
      <c r="N4"/>
      <c r="O4"/>
      <c r="P4"/>
      <c r="Q4"/>
      <c r="R4"/>
      <c r="S4"/>
      <c r="T4"/>
      <c r="U4"/>
      <c r="V4" s="74" t="str">
        <f>IF(Reports!AT4&lt;&gt;"",Reports!AS6+1,"")</f>
        <v/>
      </c>
      <c r="W4" s="5"/>
      <c r="X4" s="5"/>
      <c r="Y4" s="5"/>
      <c r="Z4" s="5"/>
      <c r="AA4" s="5"/>
      <c r="AB4" s="5"/>
      <c r="AC4" s="5"/>
      <c r="AD4" s="5"/>
      <c r="AE4" s="5"/>
      <c r="AF4" s="5"/>
      <c r="AT4" s="5"/>
      <c r="AU4" s="5"/>
      <c r="AV4" s="5"/>
      <c r="AW4" s="5"/>
      <c r="AX4" s="5"/>
    </row>
    <row r="5" spans="1:51" ht="18" thickTop="1" thickBot="1">
      <c r="C5" s="60"/>
      <c r="E5" s="12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491" t="s">
        <v>187</v>
      </c>
      <c r="Y5" s="492"/>
      <c r="Z5" s="492"/>
      <c r="AA5" s="492" t="s">
        <v>259</v>
      </c>
      <c r="AB5" s="494" t="s">
        <v>14</v>
      </c>
      <c r="AC5" s="495" t="s">
        <v>256</v>
      </c>
      <c r="AD5" s="495" t="s">
        <v>257</v>
      </c>
      <c r="AE5" s="5"/>
      <c r="AF5" s="5"/>
      <c r="AG5" s="76"/>
      <c r="AH5" s="84"/>
      <c r="AI5" s="119">
        <v>0</v>
      </c>
      <c r="AJ5" s="78" cm="1">
        <f t="array" ref="AJ5:AO5">TRANSPOSE(_xlfn.SEQUENCE(iProject!G31/12))</f>
        <v>1</v>
      </c>
      <c r="AK5" s="78">
        <v>2</v>
      </c>
      <c r="AL5" s="78">
        <v>3</v>
      </c>
      <c r="AM5" s="78">
        <v>4</v>
      </c>
      <c r="AN5" s="78">
        <v>5</v>
      </c>
      <c r="AO5" s="78">
        <v>6</v>
      </c>
      <c r="AP5" s="78"/>
      <c r="AQ5" s="78"/>
      <c r="AR5" s="78"/>
      <c r="AS5" s="77"/>
      <c r="AU5" s="5"/>
      <c r="AV5" s="5"/>
      <c r="AW5" s="5"/>
      <c r="AX5" s="5"/>
    </row>
    <row r="6" spans="1:51" ht="16.25" customHeight="1" thickTop="1" thickBot="1">
      <c r="E6" s="12"/>
      <c r="F6" s="1098" t="s">
        <v>156</v>
      </c>
      <c r="G6" s="1099"/>
      <c r="H6" s="1099"/>
      <c r="I6" s="1099"/>
      <c r="J6" s="1100"/>
      <c r="K6" s="429"/>
      <c r="L6" s="429" cm="1">
        <f t="array" ref="L6:Q6">_xlfn.SEQUENCE(1,MAX(mOption!J8:J99))</f>
        <v>1</v>
      </c>
      <c r="M6" s="429">
        <v>2</v>
      </c>
      <c r="N6" s="429">
        <v>3</v>
      </c>
      <c r="O6" s="429">
        <v>4</v>
      </c>
      <c r="P6" s="429">
        <v>5</v>
      </c>
      <c r="Q6" s="429">
        <v>6</v>
      </c>
      <c r="R6" s="429" t="s">
        <v>244</v>
      </c>
      <c r="S6" s="429" t="s">
        <v>244</v>
      </c>
      <c r="T6" s="429" t="s">
        <v>244</v>
      </c>
      <c r="U6" s="429" t="s">
        <v>244</v>
      </c>
      <c r="W6" s="5"/>
      <c r="X6" s="693" t="s">
        <v>190</v>
      </c>
      <c r="Y6" s="5"/>
      <c r="Z6" s="5"/>
      <c r="AA6" s="5"/>
      <c r="AB6" s="498">
        <f>mOption!Z7</f>
        <v>77997245.892577857</v>
      </c>
      <c r="AC6" s="83"/>
      <c r="AE6" s="5"/>
      <c r="AF6" s="5"/>
      <c r="AG6" s="75"/>
      <c r="AH6" s="86" t="s">
        <v>14</v>
      </c>
      <c r="AI6" s="79">
        <v>45657</v>
      </c>
      <c r="AJ6" s="80">
        <f>YEAR(date.Start)</f>
        <v>2025</v>
      </c>
      <c r="AK6" s="80">
        <f t="shared" ref="AK6:AS6" si="0">IF(AK5&lt;&gt;"",AJ6+1,"")</f>
        <v>2026</v>
      </c>
      <c r="AL6" s="80">
        <f t="shared" si="0"/>
        <v>2027</v>
      </c>
      <c r="AM6" s="80">
        <f t="shared" si="0"/>
        <v>2028</v>
      </c>
      <c r="AN6" s="80">
        <f t="shared" si="0"/>
        <v>2029</v>
      </c>
      <c r="AO6" s="80">
        <f t="shared" si="0"/>
        <v>2030</v>
      </c>
      <c r="AP6" s="80" t="str">
        <f t="shared" si="0"/>
        <v/>
      </c>
      <c r="AQ6" s="80" t="str">
        <f t="shared" si="0"/>
        <v/>
      </c>
      <c r="AR6" s="80" t="str">
        <f t="shared" si="0"/>
        <v/>
      </c>
      <c r="AS6" s="81" t="str">
        <f t="shared" si="0"/>
        <v/>
      </c>
      <c r="AU6" s="5"/>
      <c r="AV6" s="5"/>
      <c r="AW6" s="5"/>
      <c r="AX6" s="5"/>
    </row>
    <row r="7" spans="1:51" ht="18" customHeight="1" thickTop="1" thickBot="1">
      <c r="A7" s="73"/>
      <c r="B7" s="29"/>
      <c r="C7" s="61"/>
      <c r="D7" s="73"/>
      <c r="F7" s="1098"/>
      <c r="G7" s="1099"/>
      <c r="H7" s="1099"/>
      <c r="I7" s="1099"/>
      <c r="J7" s="1100"/>
      <c r="K7" s="430" t="s">
        <v>78</v>
      </c>
      <c r="L7" s="431">
        <f>Reports!AJ6</f>
        <v>2025</v>
      </c>
      <c r="M7" s="431">
        <f>Reports!AK6</f>
        <v>2026</v>
      </c>
      <c r="N7" s="431">
        <f>Reports!AL6</f>
        <v>2027</v>
      </c>
      <c r="O7" s="431">
        <f>Reports!AM6</f>
        <v>2028</v>
      </c>
      <c r="P7" s="431">
        <f>Reports!AN6</f>
        <v>2029</v>
      </c>
      <c r="Q7" s="431">
        <f>Reports!AO6</f>
        <v>2030</v>
      </c>
      <c r="R7" s="431" t="str">
        <f>Reports!AP6</f>
        <v/>
      </c>
      <c r="S7" s="431" t="str">
        <f>Reports!AQ6</f>
        <v/>
      </c>
      <c r="T7" s="431" t="str">
        <f>Reports!AR6</f>
        <v/>
      </c>
      <c r="U7" s="431" t="str">
        <f>Reports!AS6</f>
        <v/>
      </c>
      <c r="V7" s="47"/>
      <c r="X7" s="479" t="s">
        <v>260</v>
      </c>
      <c r="Y7" s="699" t="s">
        <v>258</v>
      </c>
      <c r="Z7" s="465"/>
      <c r="AA7" s="688">
        <v>1</v>
      </c>
      <c r="AB7" s="498">
        <f>mOption!AA7</f>
        <v>26213333.333333347</v>
      </c>
      <c r="AC7" s="498">
        <f>AB7</f>
        <v>26213333.333333347</v>
      </c>
      <c r="AD7" s="498">
        <v>0</v>
      </c>
      <c r="AG7" s="82" t="s">
        <v>77</v>
      </c>
      <c r="AH7" s="85" t="e">
        <f t="shared" ref="AH7:AH55" si="1">SUM(AI7:AS7)</f>
        <v>#REF!</v>
      </c>
      <c r="AI7" s="15" t="e">
        <f>-iBudget!E7-iProject!#REF!</f>
        <v>#REF!</v>
      </c>
      <c r="AJ7" s="15">
        <v>0</v>
      </c>
      <c r="AK7" s="15"/>
      <c r="AL7" s="15"/>
      <c r="AM7" s="15"/>
      <c r="AN7" s="15"/>
      <c r="AO7" s="15"/>
      <c r="AP7" s="15"/>
      <c r="AQ7" s="15"/>
      <c r="AR7" s="15"/>
      <c r="AS7" s="15"/>
    </row>
    <row r="8" spans="1:51" ht="18" customHeight="1" thickTop="1" thickBot="1">
      <c r="A8" s="50" t="s">
        <v>60</v>
      </c>
      <c r="B8" s="51" t="s">
        <v>60</v>
      </c>
      <c r="C8" s="49" t="s">
        <v>57</v>
      </c>
      <c r="D8" s="50" t="s">
        <v>12</v>
      </c>
      <c r="E8" s="46"/>
      <c r="F8" s="109" t="s">
        <v>81</v>
      </c>
      <c r="G8" s="109"/>
      <c r="H8" s="109"/>
      <c r="I8" s="109"/>
      <c r="J8" s="112"/>
      <c r="K8" s="113"/>
      <c r="L8" s="113"/>
      <c r="M8" s="113"/>
      <c r="N8" s="113"/>
      <c r="O8" s="113"/>
      <c r="P8" s="113"/>
      <c r="Q8" s="113"/>
      <c r="R8" s="113"/>
      <c r="S8" s="113"/>
      <c r="T8" s="113"/>
      <c r="U8" s="113"/>
      <c r="W8" s="47"/>
      <c r="X8" s="479" t="s">
        <v>261</v>
      </c>
      <c r="Y8" s="699" t="s">
        <v>262</v>
      </c>
      <c r="Z8" s="702">
        <v>1.5</v>
      </c>
      <c r="AA8" s="688">
        <v>0.9</v>
      </c>
      <c r="AB8" s="497">
        <f>AC8/AA8</f>
        <v>14562962.962962972</v>
      </c>
      <c r="AC8" s="498">
        <f>(AC7*Z8)-AC7</f>
        <v>13106666.666666675</v>
      </c>
      <c r="AD8" s="498">
        <f>AB8-AC8</f>
        <v>1456296.2962962966</v>
      </c>
      <c r="AE8" s="47"/>
      <c r="AF8" s="47"/>
      <c r="AG8" s="103" t="s">
        <v>79</v>
      </c>
      <c r="AH8" s="104">
        <f t="shared" si="1"/>
        <v>-8360000</v>
      </c>
      <c r="AI8" s="100"/>
      <c r="AJ8" s="100">
        <f>-iProject!G17</f>
        <v>-8360000</v>
      </c>
      <c r="AK8" s="100"/>
      <c r="AL8" s="100"/>
      <c r="AM8" s="100"/>
      <c r="AN8" s="100"/>
      <c r="AO8" s="100"/>
      <c r="AP8" s="100"/>
      <c r="AQ8" s="100"/>
      <c r="AR8" s="100"/>
      <c r="AS8" s="100"/>
      <c r="AU8" s="47"/>
      <c r="AV8" s="47"/>
      <c r="AW8" s="47"/>
      <c r="AX8" s="47"/>
    </row>
    <row r="9" spans="1:51" ht="18" thickTop="1" thickBot="1">
      <c r="A9" s="35" t="e">
        <f t="shared" ref="A9:A32" si="2">D9/$D$56</f>
        <v>#REF!</v>
      </c>
      <c r="B9" s="69" t="e">
        <f>#REF!/#REF!</f>
        <v>#REF!</v>
      </c>
      <c r="C9" s="32">
        <v>62.5</v>
      </c>
      <c r="D9" s="34" t="e">
        <f>#REF!/43560</f>
        <v>#REF!</v>
      </c>
      <c r="F9" s="106" t="s">
        <v>77</v>
      </c>
      <c r="G9" s="106"/>
      <c r="H9" s="106"/>
      <c r="I9" s="106"/>
      <c r="J9" s="117" t="e">
        <f>SUM(K9:U9)</f>
        <v>#REF!</v>
      </c>
      <c r="K9" s="114" t="e">
        <f>-iBudget!#REF!</f>
        <v>#REF!</v>
      </c>
      <c r="L9" s="114">
        <f>Reports!AJ7</f>
        <v>0</v>
      </c>
      <c r="M9" s="114">
        <f>Reports!AK7</f>
        <v>0</v>
      </c>
      <c r="N9" s="114">
        <f>Reports!AL7</f>
        <v>0</v>
      </c>
      <c r="O9" s="114">
        <f>Reports!AM7</f>
        <v>0</v>
      </c>
      <c r="P9" s="114">
        <f>Reports!AN7</f>
        <v>0</v>
      </c>
      <c r="Q9" s="114">
        <f>Reports!AO7</f>
        <v>0</v>
      </c>
      <c r="R9" s="114">
        <f>Reports!AP7</f>
        <v>0</v>
      </c>
      <c r="S9" s="114">
        <f>Reports!AQ7</f>
        <v>0</v>
      </c>
      <c r="T9" s="114">
        <f>Reports!AR7</f>
        <v>0</v>
      </c>
      <c r="U9" s="114">
        <f>Reports!AS7</f>
        <v>0</v>
      </c>
      <c r="W9" s="63"/>
      <c r="X9" s="479" t="s">
        <v>264</v>
      </c>
      <c r="Y9" s="699" t="s">
        <v>262</v>
      </c>
      <c r="Z9" s="702">
        <v>2.5</v>
      </c>
      <c r="AA9" s="688">
        <v>0.8</v>
      </c>
      <c r="AB9" s="497">
        <f>AC9/AA9</f>
        <v>24575000.000000011</v>
      </c>
      <c r="AC9" s="498">
        <f>(AC8*Z9)-AC8</f>
        <v>19660000.000000011</v>
      </c>
      <c r="AD9" s="498">
        <f>AB9-AC9</f>
        <v>4915000</v>
      </c>
      <c r="AE9" s="63"/>
      <c r="AF9" s="63"/>
      <c r="AG9" s="103" t="s">
        <v>80</v>
      </c>
      <c r="AH9" s="104">
        <f t="shared" si="1"/>
        <v>0</v>
      </c>
      <c r="AI9" s="100"/>
      <c r="AJ9" s="100"/>
      <c r="AK9" s="100"/>
      <c r="AL9" s="100"/>
      <c r="AM9" s="100"/>
      <c r="AN9" s="100"/>
      <c r="AO9" s="100"/>
      <c r="AP9" s="100"/>
      <c r="AQ9" s="100"/>
      <c r="AR9" s="100"/>
      <c r="AS9" s="100"/>
      <c r="AU9" s="63">
        <f>iBudget!$AB8-iOption!N8</f>
        <v>368283.97876849351</v>
      </c>
      <c r="AV9" s="63">
        <f>iBudget!$AB8-iOption!O8</f>
        <v>220415.50984346378</v>
      </c>
      <c r="AW9" s="63">
        <f>iBudget!$AB8-iOption!P8</f>
        <v>72547.040918434039</v>
      </c>
      <c r="AX9" s="63">
        <f>iBudget!$AB8-iOption!Q8</f>
        <v>-75321.428006595699</v>
      </c>
      <c r="AY9" s="63">
        <f>iBudget!$AB8-iOption!R8</f>
        <v>-223189.8969316252</v>
      </c>
    </row>
    <row r="10" spans="1:51" ht="17" thickTop="1">
      <c r="A10" s="41" t="e">
        <f t="shared" si="2"/>
        <v>#REF!</v>
      </c>
      <c r="B10" s="70" t="e">
        <f>#REF!/#REF!</f>
        <v>#REF!</v>
      </c>
      <c r="C10" s="39">
        <v>62.5</v>
      </c>
      <c r="D10" s="40" t="e">
        <f>#REF!/43560</f>
        <v>#REF!</v>
      </c>
      <c r="F10" s="106" t="s">
        <v>325</v>
      </c>
      <c r="G10" s="106"/>
      <c r="H10" s="106"/>
      <c r="I10" s="106"/>
      <c r="J10" s="117">
        <f>SUM(K10:U10)</f>
        <v>-900000</v>
      </c>
      <c r="K10" s="114">
        <f>mOption!M7</f>
        <v>-900000</v>
      </c>
      <c r="L10" s="114">
        <v>0</v>
      </c>
      <c r="M10" s="114">
        <v>0</v>
      </c>
      <c r="N10" s="114">
        <v>0</v>
      </c>
      <c r="O10" s="114">
        <v>0</v>
      </c>
      <c r="P10" s="114">
        <v>0</v>
      </c>
      <c r="Q10" s="114">
        <v>0</v>
      </c>
      <c r="R10" s="114">
        <v>0</v>
      </c>
      <c r="S10" s="114">
        <v>0</v>
      </c>
      <c r="T10" s="114">
        <v>0</v>
      </c>
      <c r="U10" s="114">
        <v>0</v>
      </c>
      <c r="W10" s="63"/>
      <c r="X10" s="707" t="s">
        <v>186</v>
      </c>
      <c r="Y10" s="708"/>
      <c r="Z10" s="709"/>
      <c r="AA10" s="710">
        <v>0.5</v>
      </c>
      <c r="AB10" s="711">
        <f>AB6-AB7-AB8-AB9</f>
        <v>12645949.596281532</v>
      </c>
      <c r="AC10" s="712">
        <f>AB10*AA10</f>
        <v>6322974.7981407661</v>
      </c>
      <c r="AD10" s="712">
        <f>AB10-AC10</f>
        <v>6322974.7981407661</v>
      </c>
      <c r="AE10" s="63"/>
      <c r="AF10" s="63"/>
      <c r="AG10" s="105" cm="1">
        <f t="array" ref="AG10:AG54">iProject!I8:I52</f>
        <v>1</v>
      </c>
      <c r="AH10" s="104">
        <f t="shared" si="1"/>
        <v>1182947.7514002374</v>
      </c>
      <c r="AI10" s="100"/>
      <c r="AJ10" s="100">
        <f>IF(iOption!$V8=AJ$5,iOption!$W8,0)</f>
        <v>0</v>
      </c>
      <c r="AK10" s="100">
        <f>IF(iOption!$V8=AK$5,iOption!$W8,0)</f>
        <v>1182947.7514002374</v>
      </c>
      <c r="AL10" s="100">
        <f>IF(iOption!$V8=AL$5,iOption!$W8,0)</f>
        <v>0</v>
      </c>
      <c r="AM10" s="100">
        <f>IF(iOption!$V8=AM$5,iOption!$W8,0)</f>
        <v>0</v>
      </c>
      <c r="AN10" s="100">
        <f>IF(iOption!$V8=AN$5,iOption!$W8,0)</f>
        <v>0</v>
      </c>
      <c r="AO10" s="100">
        <f>IF(iOption!$V8=AO$5,iOption!$W8,0)</f>
        <v>0</v>
      </c>
      <c r="AP10" s="100">
        <f>IF(iOption!$V8=AP$5,iOption!$W8,0)</f>
        <v>0</v>
      </c>
      <c r="AQ10" s="100">
        <f>IF(iOption!$V8=AQ$5,iOption!$W8,0)</f>
        <v>0</v>
      </c>
      <c r="AR10" s="100">
        <f>IF(iOption!$V8=AR$5,iOption!$W8,0)</f>
        <v>0</v>
      </c>
      <c r="AS10" s="100">
        <f>IF(iOption!$V8=AS$5,iOption!$W8,0)</f>
        <v>0</v>
      </c>
      <c r="AU10" s="63">
        <f>iBudget!$AB9-iOption!N9</f>
        <v>368283.97876849351</v>
      </c>
      <c r="AV10" s="63">
        <f>iBudget!$AB9-iOption!O9</f>
        <v>220415.50984346378</v>
      </c>
      <c r="AW10" s="63">
        <f>iBudget!$AB9-iOption!P9</f>
        <v>72547.040918434039</v>
      </c>
      <c r="AX10" s="63">
        <f>iBudget!$AB9-iOption!Q9</f>
        <v>-75321.428006595699</v>
      </c>
      <c r="AY10" s="63">
        <f>iBudget!$AB9-iOption!R9</f>
        <v>-223189.8969316252</v>
      </c>
    </row>
    <row r="11" spans="1:51" ht="20" thickBot="1">
      <c r="A11" s="41" t="e">
        <f t="shared" si="2"/>
        <v>#REF!</v>
      </c>
      <c r="B11" s="70" t="e">
        <f>#REF!/#REF!</f>
        <v>#REF!</v>
      </c>
      <c r="C11" s="39">
        <v>50</v>
      </c>
      <c r="D11" s="40" t="e">
        <f>#REF!/43560</f>
        <v>#REF!</v>
      </c>
      <c r="F11" s="106" t="s">
        <v>79</v>
      </c>
      <c r="G11" s="106"/>
      <c r="H11" s="106"/>
      <c r="I11" s="106"/>
      <c r="J11" s="118">
        <f>SUM(K11:U11)</f>
        <v>-8360000.0000000009</v>
      </c>
      <c r="K11" s="115">
        <f>SUMIFS(mOption!$N$8:$N$79, mOption!$J$8:$J$79, K$6)</f>
        <v>0</v>
      </c>
      <c r="L11" s="115">
        <f>SUMIFS(mOption!$N$8:$N$79, mOption!$J$8:$J$79, L$6)</f>
        <v>-7663333.333333334</v>
      </c>
      <c r="M11" s="115">
        <f>SUMIFS(mOption!$N$8:$N$79, mOption!$J$8:$J$79, M$6)</f>
        <v>-696666.66666666663</v>
      </c>
      <c r="N11" s="115">
        <f>SUMIFS(mOption!$N$8:$N$79, mOption!$J$8:$J$79, N$6)</f>
        <v>0</v>
      </c>
      <c r="O11" s="115">
        <f>SUMIFS(mOption!$N$8:$N$79, mOption!$J$8:$J$79, O$6)</f>
        <v>0</v>
      </c>
      <c r="P11" s="115">
        <f>SUMIFS(mOption!$N$8:$N$79, mOption!$J$8:$J$79, P$6)</f>
        <v>0</v>
      </c>
      <c r="Q11" s="115">
        <f>SUMIFS(mOption!$N$8:$N$79, mOption!$J$8:$J$79, Q$6)</f>
        <v>0</v>
      </c>
      <c r="R11" s="115">
        <f>SUMIFS(mOption!$N$8:$N$79, mOption!$J$8:$J$79, R$6)</f>
        <v>0</v>
      </c>
      <c r="S11" s="115">
        <f>SUMIFS(mOption!$N$8:$N$79, mOption!$J$8:$J$79, S$6)</f>
        <v>0</v>
      </c>
      <c r="T11" s="115">
        <f>SUMIFS(mOption!$N$8:$N$79, mOption!$J$8:$J$79, T$6)</f>
        <v>0</v>
      </c>
      <c r="U11" s="115">
        <f>SUMIFS(mOption!$N$8:$N$79, mOption!$J$8:$J$79, U$6)</f>
        <v>0</v>
      </c>
      <c r="W11" s="63"/>
      <c r="X11" s="703" t="s">
        <v>190</v>
      </c>
      <c r="Y11" s="704"/>
      <c r="Z11" s="705"/>
      <c r="AA11" s="510"/>
      <c r="AB11" s="706">
        <f>AB7+AB8+AB9+AB10</f>
        <v>77997245.892577857</v>
      </c>
      <c r="AC11" s="706">
        <f>SUM(AC6:AC10)</f>
        <v>65302974.798140794</v>
      </c>
      <c r="AD11" s="706">
        <f>SUM(AD6:AD10)</f>
        <v>12694271.094437063</v>
      </c>
      <c r="AE11" s="63"/>
      <c r="AF11" s="63"/>
      <c r="AG11" s="105">
        <v>2</v>
      </c>
      <c r="AH11" s="104">
        <f t="shared" si="1"/>
        <v>1182947.7514002374</v>
      </c>
      <c r="AI11" s="100"/>
      <c r="AJ11" s="100">
        <f>IF(iOption!$V9=AJ$5,iOption!$W9,0)</f>
        <v>0</v>
      </c>
      <c r="AK11" s="100">
        <f>IF(iOption!$V9=AK$5,iOption!$W9,0)</f>
        <v>1182947.7514002374</v>
      </c>
      <c r="AL11" s="100">
        <f>IF(iOption!$V9=AL$5,iOption!$W9,0)</f>
        <v>0</v>
      </c>
      <c r="AM11" s="100">
        <f>IF(iOption!$V9=AM$5,iOption!$W9,0)</f>
        <v>0</v>
      </c>
      <c r="AN11" s="100">
        <f>IF(iOption!$V9=AN$5,iOption!$W9,0)</f>
        <v>0</v>
      </c>
      <c r="AO11" s="100">
        <f>IF(iOption!$V9=AO$5,iOption!$W9,0)</f>
        <v>0</v>
      </c>
      <c r="AP11" s="100">
        <f>IF(iOption!$V9=AP$5,iOption!$W9,0)</f>
        <v>0</v>
      </c>
      <c r="AQ11" s="100">
        <f>IF(iOption!$V9=AQ$5,iOption!$W9,0)</f>
        <v>0</v>
      </c>
      <c r="AR11" s="100">
        <f>IF(iOption!$V9=AR$5,iOption!$W9,0)</f>
        <v>0</v>
      </c>
      <c r="AS11" s="100">
        <f>IF(iOption!$V9=AS$5,iOption!$W9,0)</f>
        <v>0</v>
      </c>
      <c r="AU11" s="63">
        <f>iBudget!$AB10-iOption!N10</f>
        <v>238289.50845384551</v>
      </c>
      <c r="AV11" s="63">
        <f>iBudget!$AB10-iOption!O10</f>
        <v>143653.68834182655</v>
      </c>
      <c r="AW11" s="63">
        <f>iBudget!$AB10-iOption!P10</f>
        <v>49017.868229807587</v>
      </c>
      <c r="AX11" s="63">
        <f>iBudget!$AB10-iOption!Q10</f>
        <v>-45617.951882211375</v>
      </c>
      <c r="AY11" s="63">
        <f>iBudget!$AB10-iOption!R10</f>
        <v>-140253.77199423045</v>
      </c>
    </row>
    <row r="12" spans="1:51" ht="18" thickTop="1" thickBot="1">
      <c r="A12" s="38" t="e">
        <f t="shared" si="2"/>
        <v>#REF!</v>
      </c>
      <c r="B12" s="71" t="e">
        <f>#REF!/#REF!</f>
        <v>#REF!</v>
      </c>
      <c r="C12" s="36">
        <v>62.5</v>
      </c>
      <c r="D12" s="37" t="e">
        <f>#REF!/43560</f>
        <v>#REF!</v>
      </c>
      <c r="F12" s="419" t="s">
        <v>82</v>
      </c>
      <c r="G12" s="419"/>
      <c r="H12" s="419"/>
      <c r="I12" s="419"/>
      <c r="J12" s="117" t="e">
        <f t="shared" ref="J12:U12" si="3">SUM(J9:J11)</f>
        <v>#REF!</v>
      </c>
      <c r="K12" s="114" t="e">
        <f t="shared" si="3"/>
        <v>#REF!</v>
      </c>
      <c r="L12" s="114">
        <f t="shared" si="3"/>
        <v>-7663333.333333334</v>
      </c>
      <c r="M12" s="114">
        <f t="shared" si="3"/>
        <v>-696666.66666666663</v>
      </c>
      <c r="N12" s="114">
        <f t="shared" si="3"/>
        <v>0</v>
      </c>
      <c r="O12" s="114">
        <f t="shared" si="3"/>
        <v>0</v>
      </c>
      <c r="P12" s="114">
        <f t="shared" si="3"/>
        <v>0</v>
      </c>
      <c r="Q12" s="114">
        <f t="shared" si="3"/>
        <v>0</v>
      </c>
      <c r="R12" s="114">
        <f t="shared" si="3"/>
        <v>0</v>
      </c>
      <c r="S12" s="114">
        <f t="shared" si="3"/>
        <v>0</v>
      </c>
      <c r="T12" s="114">
        <f t="shared" si="3"/>
        <v>0</v>
      </c>
      <c r="U12" s="114">
        <f t="shared" si="3"/>
        <v>0</v>
      </c>
      <c r="W12" s="63"/>
      <c r="X12" s="514" t="s">
        <v>191</v>
      </c>
      <c r="Y12" s="515"/>
      <c r="Z12" s="516"/>
      <c r="AA12" s="517"/>
      <c r="AB12" s="519">
        <v>1</v>
      </c>
      <c r="AC12" s="481">
        <f>AC11/AB11</f>
        <v>0.83724718803635301</v>
      </c>
      <c r="AD12" s="481">
        <f>AB12-AC12</f>
        <v>0.16275281196364699</v>
      </c>
      <c r="AE12" s="63"/>
      <c r="AF12" s="63"/>
      <c r="AG12" s="105">
        <v>3</v>
      </c>
      <c r="AH12" s="104">
        <f t="shared" si="1"/>
        <v>757086.56089615193</v>
      </c>
      <c r="AI12" s="100"/>
      <c r="AJ12" s="100">
        <f>IF(iOption!$V10=AJ$5,iOption!$W10,0)</f>
        <v>0</v>
      </c>
      <c r="AK12" s="100">
        <f>IF(iOption!$V10=AK$5,iOption!$W10,0)</f>
        <v>757086.56089615193</v>
      </c>
      <c r="AL12" s="100">
        <f>IF(iOption!$V10=AL$5,iOption!$W10,0)</f>
        <v>0</v>
      </c>
      <c r="AM12" s="100">
        <f>IF(iOption!$V10=AM$5,iOption!$W10,0)</f>
        <v>0</v>
      </c>
      <c r="AN12" s="100">
        <f>IF(iOption!$V10=AN$5,iOption!$W10,0)</f>
        <v>0</v>
      </c>
      <c r="AO12" s="100">
        <f>IF(iOption!$V10=AO$5,iOption!$W10,0)</f>
        <v>0</v>
      </c>
      <c r="AP12" s="100">
        <f>IF(iOption!$V10=AP$5,iOption!$W10,0)</f>
        <v>0</v>
      </c>
      <c r="AQ12" s="100">
        <f>IF(iOption!$V10=AQ$5,iOption!$W10,0)</f>
        <v>0</v>
      </c>
      <c r="AR12" s="100">
        <f>IF(iOption!$V10=AR$5,iOption!$W10,0)</f>
        <v>0</v>
      </c>
      <c r="AS12" s="100">
        <f>IF(iOption!$V10=AS$5,iOption!$W10,0)</f>
        <v>0</v>
      </c>
      <c r="AU12" s="63">
        <f>iBudget!$AB12-iOption!N12</f>
        <v>1116744.384765134</v>
      </c>
      <c r="AV12" s="63">
        <f>iBudget!$AB12-iOption!O12</f>
        <v>968875.91584010422</v>
      </c>
      <c r="AW12" s="63">
        <f>iBudget!$AB12-iOption!P12</f>
        <v>821007.44691507448</v>
      </c>
      <c r="AX12" s="63">
        <f>iBudget!$AB12-iOption!Q12</f>
        <v>673138.97799004475</v>
      </c>
      <c r="AY12" s="63">
        <f>iBudget!$AB12-iOption!R12</f>
        <v>525270.50906501524</v>
      </c>
    </row>
    <row r="13" spans="1:51" ht="9" customHeight="1" thickTop="1" thickBot="1">
      <c r="A13" s="41" t="e">
        <f t="shared" si="2"/>
        <v>#REF!</v>
      </c>
      <c r="B13" s="70" t="e">
        <f>#REF!/#REF!</f>
        <v>#REF!</v>
      </c>
      <c r="C13" s="39">
        <v>62.5</v>
      </c>
      <c r="D13" s="40" t="e">
        <f>#REF!/43560</f>
        <v>#REF!</v>
      </c>
      <c r="F13" s="107"/>
      <c r="G13" s="107"/>
      <c r="H13" s="107"/>
      <c r="I13" s="107"/>
      <c r="J13" s="117"/>
      <c r="K13" s="116"/>
      <c r="L13" s="116"/>
      <c r="M13" s="116"/>
      <c r="N13" s="116"/>
      <c r="O13" s="116"/>
      <c r="P13" s="116"/>
      <c r="Q13" s="116"/>
      <c r="R13" s="116"/>
      <c r="S13" s="116"/>
      <c r="T13" s="116"/>
      <c r="U13" s="116"/>
      <c r="W13" s="63"/>
      <c r="X13" s="5"/>
      <c r="Y13" s="5"/>
      <c r="Z13" s="5"/>
      <c r="AA13" s="5"/>
      <c r="AB13" s="5"/>
      <c r="AC13" s="83"/>
      <c r="AE13" s="63"/>
      <c r="AF13" s="63"/>
      <c r="AG13" s="105">
        <v>45</v>
      </c>
      <c r="AH13" s="104">
        <f t="shared" si="1"/>
        <v>1182947.7514002374</v>
      </c>
      <c r="AI13" s="100"/>
      <c r="AJ13" s="100">
        <f>IF(iOption!$V11=AJ$5,iOption!$W11,0)</f>
        <v>0</v>
      </c>
      <c r="AK13" s="100">
        <f>IF(iOption!$V11=AK$5,iOption!$W11,0)</f>
        <v>1182947.7514002374</v>
      </c>
      <c r="AL13" s="100">
        <f>IF(iOption!$V11=AL$5,iOption!$W11,0)</f>
        <v>0</v>
      </c>
      <c r="AM13" s="100">
        <f>IF(iOption!$V11=AM$5,iOption!$W11,0)</f>
        <v>0</v>
      </c>
      <c r="AN13" s="100">
        <f>IF(iOption!$V11=AN$5,iOption!$W11,0)</f>
        <v>0</v>
      </c>
      <c r="AO13" s="100">
        <f>IF(iOption!$V11=AO$5,iOption!$W11,0)</f>
        <v>0</v>
      </c>
      <c r="AP13" s="100">
        <f>IF(iOption!$V11=AP$5,iOption!$W11,0)</f>
        <v>0</v>
      </c>
      <c r="AQ13" s="100">
        <f>IF(iOption!$V11=AQ$5,iOption!$W11,0)</f>
        <v>0</v>
      </c>
      <c r="AR13" s="100">
        <f>IF(iOption!$V11=AR$5,iOption!$W11,0)</f>
        <v>0</v>
      </c>
      <c r="AS13" s="100">
        <f>IF(iOption!$V11=AS$5,iOption!$W11,0)</f>
        <v>0</v>
      </c>
      <c r="AU13" s="63">
        <f>iBudget!$AB13-iOption!N13</f>
        <v>1607501.4676313703</v>
      </c>
      <c r="AV13" s="63">
        <f>iBudget!$AB13-iOption!O13</f>
        <v>1394570.8723793274</v>
      </c>
      <c r="AW13" s="63">
        <f>iBudget!$AB13-iOption!P13</f>
        <v>1181640.2771272846</v>
      </c>
      <c r="AX13" s="63">
        <f>iBudget!$AB13-iOption!Q13</f>
        <v>968709.68187524192</v>
      </c>
      <c r="AY13" s="63">
        <f>iBudget!$AB13-iOption!R13</f>
        <v>755779.08662319928</v>
      </c>
    </row>
    <row r="14" spans="1:51" ht="21" thickTop="1" thickBot="1">
      <c r="A14" s="41" t="e">
        <f t="shared" si="2"/>
        <v>#REF!</v>
      </c>
      <c r="B14" s="70" t="e">
        <f>#REF!/#REF!</f>
        <v>#REF!</v>
      </c>
      <c r="C14" s="39">
        <v>75</v>
      </c>
      <c r="D14" s="40" t="e">
        <f>#REF!/43560</f>
        <v>#REF!</v>
      </c>
      <c r="F14" s="419" t="s">
        <v>243</v>
      </c>
      <c r="G14" s="419"/>
      <c r="H14" s="419"/>
      <c r="I14" s="419"/>
      <c r="J14" s="114"/>
      <c r="K14" s="115">
        <f>SUMIFS(mOption!$P$8:$P$79, mOption!$J$8:$J$79, K$6)</f>
        <v>4350000.0000000019</v>
      </c>
      <c r="L14" s="115">
        <f>SUMIFS(mOption!$P$8:$P$79, mOption!$J$8:$J$79, L$6)</f>
        <v>0</v>
      </c>
      <c r="M14" s="115">
        <f>SUMIFS(mOption!$P$8:$P$79, mOption!$J$8:$J$79, M$6)</f>
        <v>0</v>
      </c>
      <c r="N14" s="115">
        <f>SUMIFS(mOption!$P$8:$P$79, mOption!$J$8:$J$79, N$6)</f>
        <v>0</v>
      </c>
      <c r="O14" s="115">
        <f>SUMIFS(mOption!$P$8:$P$79, mOption!$J$8:$J$79, O$6)</f>
        <v>0</v>
      </c>
      <c r="P14" s="115">
        <f>SUMIFS(mOption!$P$8:$P$79, mOption!$J$8:$J$79, P$6)</f>
        <v>0</v>
      </c>
      <c r="Q14" s="115">
        <f>SUMIFS(mOption!$P$8:$P$79, mOption!$J$8:$J$79, Q$6)</f>
        <v>-4350000.0000000019</v>
      </c>
      <c r="R14" s="115">
        <f>SUMIFS(mOption!$P$8:$P$79, mOption!$J$8:$J$79, R$6)</f>
        <v>0</v>
      </c>
      <c r="S14" s="115">
        <f>SUMIFS(mOption!$P$8:$P$79, mOption!$J$8:$J$79, S$6)</f>
        <v>0</v>
      </c>
      <c r="T14" s="115">
        <f>SUMIFS(mOption!$P$8:$P$79, mOption!$J$8:$J$79, T$6)</f>
        <v>0</v>
      </c>
      <c r="U14" s="115">
        <f>SUMIFS(mOption!$P$8:$P$79, mOption!$J$8:$J$79, U$6)</f>
        <v>0</v>
      </c>
      <c r="W14" s="63"/>
      <c r="X14" s="491" t="s">
        <v>170</v>
      </c>
      <c r="Y14" s="492"/>
      <c r="Z14" s="492"/>
      <c r="AA14" s="492"/>
      <c r="AB14" s="494" t="s">
        <v>120</v>
      </c>
      <c r="AC14" s="495" t="s">
        <v>176</v>
      </c>
      <c r="AD14" s="495" t="s">
        <v>175</v>
      </c>
      <c r="AE14" s="63"/>
      <c r="AF14" s="63"/>
      <c r="AG14" s="105">
        <v>4</v>
      </c>
      <c r="AH14" s="104">
        <f t="shared" si="1"/>
        <v>2011505.3126932518</v>
      </c>
      <c r="AI14" s="100"/>
      <c r="AJ14" s="100">
        <f>IF(iOption!$V12=AJ$5,iOption!$W12,0)</f>
        <v>0</v>
      </c>
      <c r="AK14" s="100">
        <f>IF(iOption!$V12=AK$5,iOption!$W12,0)</f>
        <v>0</v>
      </c>
      <c r="AL14" s="100">
        <f>IF(iOption!$V12=AL$5,iOption!$W12,0)</f>
        <v>0</v>
      </c>
      <c r="AM14" s="100">
        <f>IF(iOption!$V12=AM$5,iOption!$W12,0)</f>
        <v>0</v>
      </c>
      <c r="AN14" s="100">
        <f>IF(iOption!$V12=AN$5,iOption!$W12,0)</f>
        <v>0</v>
      </c>
      <c r="AO14" s="100">
        <f>IF(iOption!$V12=AO$5,iOption!$W12,0)</f>
        <v>2011505.3126932518</v>
      </c>
      <c r="AP14" s="100">
        <f>IF(iOption!$V12=AP$5,iOption!$W12,0)</f>
        <v>0</v>
      </c>
      <c r="AQ14" s="100">
        <f>IF(iOption!$V12=AQ$5,iOption!$W12,0)</f>
        <v>0</v>
      </c>
      <c r="AR14" s="100">
        <f>IF(iOption!$V12=AR$5,iOption!$W12,0)</f>
        <v>0</v>
      </c>
      <c r="AS14" s="100">
        <f>IF(iOption!$V12=AS$5,iOption!$W12,0)</f>
        <v>0</v>
      </c>
      <c r="AU14" s="63">
        <f>iBudget!$AB14-iOption!N14</f>
        <v>718684.30804743397</v>
      </c>
      <c r="AV14" s="63">
        <f>iBudget!$AB14-iOption!O14</f>
        <v>624048.487935415</v>
      </c>
      <c r="AW14" s="63">
        <f>iBudget!$AB14-iOption!P14</f>
        <v>529412.66782339604</v>
      </c>
      <c r="AX14" s="63">
        <f>iBudget!$AB14-iOption!Q14</f>
        <v>434776.84771137708</v>
      </c>
      <c r="AY14" s="63">
        <f>iBudget!$AB14-iOption!R14</f>
        <v>340141.027599358</v>
      </c>
    </row>
    <row r="15" spans="1:51" ht="8" customHeight="1" thickTop="1" thickBot="1">
      <c r="A15" s="41" t="e">
        <f t="shared" si="2"/>
        <v>#REF!</v>
      </c>
      <c r="B15" s="70" t="e">
        <f>#REF!/#REF!</f>
        <v>#REF!</v>
      </c>
      <c r="C15" s="39">
        <v>50</v>
      </c>
      <c r="D15" s="40" t="e">
        <f>#REF!/43560</f>
        <v>#REF!</v>
      </c>
      <c r="W15" s="63"/>
      <c r="X15" s="479" t="s">
        <v>192</v>
      </c>
      <c r="Y15" s="522"/>
      <c r="Z15" s="522"/>
      <c r="AA15" s="522"/>
      <c r="AB15" s="523">
        <v>23014226.968756296</v>
      </c>
      <c r="AC15" s="524">
        <v>23014226.968756296</v>
      </c>
      <c r="AD15" s="524">
        <v>0</v>
      </c>
      <c r="AE15" s="63"/>
      <c r="AF15" s="63"/>
      <c r="AG15" s="105">
        <v>5</v>
      </c>
      <c r="AH15" s="104">
        <f t="shared" si="1"/>
        <v>1703444.7620163423</v>
      </c>
      <c r="AI15" s="100"/>
      <c r="AJ15" s="100">
        <f>IF(iOption!$V13=AJ$5,iOption!$W13,0)</f>
        <v>0</v>
      </c>
      <c r="AK15" s="100">
        <f>IF(iOption!$V13=AK$5,iOption!$W13,0)</f>
        <v>1703444.7620163423</v>
      </c>
      <c r="AL15" s="100">
        <f>IF(iOption!$V13=AL$5,iOption!$W13,0)</f>
        <v>0</v>
      </c>
      <c r="AM15" s="100">
        <f>IF(iOption!$V13=AM$5,iOption!$W13,0)</f>
        <v>0</v>
      </c>
      <c r="AN15" s="100">
        <f>IF(iOption!$V13=AN$5,iOption!$W13,0)</f>
        <v>0</v>
      </c>
      <c r="AO15" s="100">
        <f>IF(iOption!$V13=AO$5,iOption!$W13,0)</f>
        <v>0</v>
      </c>
      <c r="AP15" s="100">
        <f>IF(iOption!$V13=AP$5,iOption!$W13,0)</f>
        <v>0</v>
      </c>
      <c r="AQ15" s="100">
        <f>IF(iOption!$V13=AQ$5,iOption!$W13,0)</f>
        <v>0</v>
      </c>
      <c r="AR15" s="100">
        <f>IF(iOption!$V13=AR$5,iOption!$W13,0)</f>
        <v>0</v>
      </c>
      <c r="AS15" s="100">
        <f>IF(iOption!$V13=AS$5,iOption!$W13,0)</f>
        <v>0</v>
      </c>
      <c r="AU15" s="63">
        <f>iBudget!$AB15-iOption!N15</f>
        <v>836071.732516394</v>
      </c>
      <c r="AV15" s="63">
        <f>iBudget!$AB15-iOption!O15</f>
        <v>688203.26359136426</v>
      </c>
      <c r="AW15" s="63">
        <f>iBudget!$AB15-iOption!P15</f>
        <v>540334.79466633452</v>
      </c>
      <c r="AX15" s="63">
        <f>iBudget!$AB15-iOption!Q15</f>
        <v>392466.32574130478</v>
      </c>
      <c r="AY15" s="63">
        <f>iBudget!$AB15-iOption!R15</f>
        <v>244597.85681627528</v>
      </c>
    </row>
    <row r="16" spans="1:51" ht="18" thickTop="1" thickBot="1">
      <c r="A16" s="41" t="e">
        <f t="shared" si="2"/>
        <v>#REF!</v>
      </c>
      <c r="B16" s="70" t="e">
        <f>#REF!/#REF!</f>
        <v>#REF!</v>
      </c>
      <c r="C16" s="39">
        <v>62.5</v>
      </c>
      <c r="D16" s="40" t="e">
        <f>#REF!/43560</f>
        <v>#REF!</v>
      </c>
      <c r="F16" s="109" t="s">
        <v>266</v>
      </c>
      <c r="G16" s="109"/>
      <c r="H16" s="109"/>
      <c r="I16" s="109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W16" s="63"/>
      <c r="X16" s="479" t="s">
        <v>193</v>
      </c>
      <c r="Y16" s="522"/>
      <c r="Z16" s="522"/>
      <c r="AA16" s="522"/>
      <c r="AB16" s="523">
        <v>45955899.832098268</v>
      </c>
      <c r="AC16" s="524">
        <v>27859045.013199933</v>
      </c>
      <c r="AD16" s="524">
        <v>18096854.818898335</v>
      </c>
      <c r="AE16" s="63"/>
      <c r="AF16" s="63"/>
      <c r="AG16" s="105">
        <v>6</v>
      </c>
      <c r="AH16" s="104">
        <f t="shared" si="1"/>
        <v>1291072.5588563073</v>
      </c>
      <c r="AI16" s="100"/>
      <c r="AJ16" s="100">
        <f>IF(iOption!$V14=AJ$5,iOption!$W14,0)</f>
        <v>0</v>
      </c>
      <c r="AK16" s="100">
        <f>IF(iOption!$V14=AK$5,iOption!$W14,0)</f>
        <v>0</v>
      </c>
      <c r="AL16" s="100">
        <f>IF(iOption!$V14=AL$5,iOption!$W14,0)</f>
        <v>0</v>
      </c>
      <c r="AM16" s="100">
        <f>IF(iOption!$V14=AM$5,iOption!$W14,0)</f>
        <v>0</v>
      </c>
      <c r="AN16" s="100">
        <f>IF(iOption!$V14=AN$5,iOption!$W14,0)</f>
        <v>0</v>
      </c>
      <c r="AO16" s="100">
        <f>IF(iOption!$V14=AO$5,iOption!$W14,0)</f>
        <v>1291072.5588563073</v>
      </c>
      <c r="AP16" s="100">
        <f>IF(iOption!$V14=AP$5,iOption!$W14,0)</f>
        <v>0</v>
      </c>
      <c r="AQ16" s="100">
        <f>IF(iOption!$V14=AQ$5,iOption!$W14,0)</f>
        <v>0</v>
      </c>
      <c r="AR16" s="100">
        <f>IF(iOption!$V14=AR$5,iOption!$W14,0)</f>
        <v>0</v>
      </c>
      <c r="AS16" s="100">
        <f>IF(iOption!$V14=AS$5,iOption!$W14,0)</f>
        <v>0</v>
      </c>
      <c r="AU16" s="63">
        <f>iBudget!$AB16-iOption!N16</f>
        <v>1116744.384765134</v>
      </c>
      <c r="AV16" s="63">
        <f>iBudget!$AB16-iOption!O16</f>
        <v>968875.91584010422</v>
      </c>
      <c r="AW16" s="63">
        <f>iBudget!$AB16-iOption!P16</f>
        <v>821007.44691507448</v>
      </c>
      <c r="AX16" s="63">
        <f>iBudget!$AB16-iOption!Q16</f>
        <v>673138.97799004475</v>
      </c>
      <c r="AY16" s="63">
        <f>iBudget!$AB16-iOption!R16</f>
        <v>525270.50906501524</v>
      </c>
    </row>
    <row r="17" spans="1:51" ht="18" thickTop="1" thickBot="1">
      <c r="A17" s="41" t="e">
        <f t="shared" si="2"/>
        <v>#REF!</v>
      </c>
      <c r="B17" s="70" t="e">
        <f>#REF!/#REF!</f>
        <v>#REF!</v>
      </c>
      <c r="C17" s="39">
        <v>62.5</v>
      </c>
      <c r="D17" s="40" t="e">
        <f>#REF!/43560</f>
        <v>#REF!</v>
      </c>
      <c r="F17" s="108" t="str" cm="1">
        <f t="array" ref="F17:F21">_xlfn.UNIQUE((iOption!J8:J52))</f>
        <v xml:space="preserve">Jimmy Creek </v>
      </c>
      <c r="G17" s="108"/>
      <c r="H17" s="108"/>
      <c r="I17" s="108"/>
      <c r="J17" s="117" cm="1">
        <f t="array" ref="J17:R22">iOption!AC8:AK13</f>
        <v>4</v>
      </c>
      <c r="K17" s="114">
        <v>0</v>
      </c>
      <c r="L17" s="114">
        <v>0</v>
      </c>
      <c r="M17" s="114">
        <v>4</v>
      </c>
      <c r="N17" s="114">
        <v>0</v>
      </c>
      <c r="O17" s="114">
        <v>0</v>
      </c>
      <c r="P17" s="114">
        <v>0</v>
      </c>
      <c r="Q17" s="114">
        <v>0</v>
      </c>
      <c r="R17" s="114">
        <v>0</v>
      </c>
      <c r="S17" s="114"/>
      <c r="T17" s="114"/>
      <c r="U17" s="114"/>
      <c r="W17" s="63"/>
      <c r="X17" s="479" t="s">
        <v>190</v>
      </c>
      <c r="Y17" s="522"/>
      <c r="Z17" s="522"/>
      <c r="AA17" s="522"/>
      <c r="AB17" s="523">
        <v>45955899.832098275</v>
      </c>
      <c r="AC17" s="524">
        <v>27859045.013199933</v>
      </c>
      <c r="AD17" s="524">
        <v>18096854.818898339</v>
      </c>
      <c r="AE17" s="63"/>
      <c r="AF17" s="63"/>
      <c r="AG17" s="105">
        <v>7</v>
      </c>
      <c r="AH17" s="104">
        <f t="shared" si="1"/>
        <v>1749135.0545158712</v>
      </c>
      <c r="AI17" s="100"/>
      <c r="AJ17" s="100">
        <f>IF(iOption!$V15=AJ$5,iOption!$W15,0)</f>
        <v>0</v>
      </c>
      <c r="AK17" s="100">
        <f>IF(iOption!$V15=AK$5,iOption!$W15,0)</f>
        <v>0</v>
      </c>
      <c r="AL17" s="100">
        <f>IF(iOption!$V15=AL$5,iOption!$W15,0)</f>
        <v>0</v>
      </c>
      <c r="AM17" s="100">
        <f>IF(iOption!$V15=AM$5,iOption!$W15,0)</f>
        <v>0</v>
      </c>
      <c r="AN17" s="100">
        <f>IF(iOption!$V15=AN$5,iOption!$W15,0)</f>
        <v>0</v>
      </c>
      <c r="AO17" s="100">
        <f>IF(iOption!$V15=AO$5,iOption!$W15,0)</f>
        <v>1749135.0545158712</v>
      </c>
      <c r="AP17" s="100">
        <f>IF(iOption!$V15=AP$5,iOption!$W15,0)</f>
        <v>0</v>
      </c>
      <c r="AQ17" s="100">
        <f>IF(iOption!$V15=AQ$5,iOption!$W15,0)</f>
        <v>0</v>
      </c>
      <c r="AR17" s="100">
        <f>IF(iOption!$V15=AR$5,iOption!$W15,0)</f>
        <v>0</v>
      </c>
      <c r="AS17" s="100">
        <f>IF(iOption!$V15=AS$5,iOption!$W15,0)</f>
        <v>0</v>
      </c>
      <c r="AU17" s="63">
        <f>iBudget!$AB17-iOption!N17</f>
        <v>718684.30804743397</v>
      </c>
      <c r="AV17" s="63">
        <f>iBudget!$AB17-iOption!O17</f>
        <v>624048.487935415</v>
      </c>
      <c r="AW17" s="63">
        <f>iBudget!$AB17-iOption!P17</f>
        <v>529412.66782339604</v>
      </c>
      <c r="AX17" s="63">
        <f>iBudget!$AB17-iOption!Q17</f>
        <v>434776.84771137708</v>
      </c>
      <c r="AY17" s="63">
        <f>iBudget!$AB17-iOption!R17</f>
        <v>340141.027599358</v>
      </c>
    </row>
    <row r="18" spans="1:51" ht="18" thickTop="1" thickBot="1">
      <c r="A18" s="41" t="e">
        <f t="shared" si="2"/>
        <v>#REF!</v>
      </c>
      <c r="B18" s="70" t="e">
        <f>#REF!/#REF!</f>
        <v>#REF!</v>
      </c>
      <c r="C18" s="39">
        <v>50</v>
      </c>
      <c r="D18" s="40" t="e">
        <f>#REF!/43560</f>
        <v>#REF!</v>
      </c>
      <c r="F18" s="108" t="str">
        <v>Deer Creek</v>
      </c>
      <c r="G18" s="108"/>
      <c r="H18" s="108"/>
      <c r="I18" s="108"/>
      <c r="J18" s="117">
        <v>6</v>
      </c>
      <c r="K18" s="114">
        <v>0</v>
      </c>
      <c r="L18" s="114">
        <v>0</v>
      </c>
      <c r="M18" s="114">
        <v>1</v>
      </c>
      <c r="N18" s="114">
        <v>0</v>
      </c>
      <c r="O18" s="114">
        <v>0</v>
      </c>
      <c r="P18" s="114">
        <v>0</v>
      </c>
      <c r="Q18" s="114">
        <v>5</v>
      </c>
      <c r="R18" s="114">
        <v>0</v>
      </c>
      <c r="S18" s="114"/>
      <c r="T18" s="114"/>
      <c r="U18" s="114"/>
      <c r="W18" s="63"/>
      <c r="X18" s="479" t="s">
        <v>194</v>
      </c>
      <c r="Y18" s="522"/>
      <c r="Z18" s="522"/>
      <c r="AA18" s="522"/>
      <c r="AB18" s="525" t="e">
        <v>#REF!</v>
      </c>
      <c r="AC18" s="526">
        <v>0.44853730797767644</v>
      </c>
      <c r="AD18" s="526" t="e">
        <v>#NUM!</v>
      </c>
      <c r="AE18" s="63"/>
      <c r="AF18" s="63"/>
      <c r="AG18" s="105">
        <v>8</v>
      </c>
      <c r="AH18" s="104">
        <f t="shared" si="1"/>
        <v>2011505.3126932518</v>
      </c>
      <c r="AI18" s="100"/>
      <c r="AJ18" s="100">
        <f>IF(iOption!$V16=AJ$5,iOption!$W16,0)</f>
        <v>0</v>
      </c>
      <c r="AK18" s="100">
        <f>IF(iOption!$V16=AK$5,iOption!$W16,0)</f>
        <v>0</v>
      </c>
      <c r="AL18" s="100">
        <f>IF(iOption!$V16=AL$5,iOption!$W16,0)</f>
        <v>0</v>
      </c>
      <c r="AM18" s="100">
        <f>IF(iOption!$V16=AM$5,iOption!$W16,0)</f>
        <v>0</v>
      </c>
      <c r="AN18" s="100">
        <f>IF(iOption!$V16=AN$5,iOption!$W16,0)</f>
        <v>0</v>
      </c>
      <c r="AO18" s="100">
        <f>IF(iOption!$V16=AO$5,iOption!$W16,0)</f>
        <v>2011505.3126932518</v>
      </c>
      <c r="AP18" s="100">
        <f>IF(iOption!$V16=AP$5,iOption!$W16,0)</f>
        <v>0</v>
      </c>
      <c r="AQ18" s="100">
        <f>IF(iOption!$V16=AQ$5,iOption!$W16,0)</f>
        <v>0</v>
      </c>
      <c r="AR18" s="100">
        <f>IF(iOption!$V16=AR$5,iOption!$W16,0)</f>
        <v>0</v>
      </c>
      <c r="AS18" s="100">
        <f>IF(iOption!$V16=AS$5,iOption!$W16,0)</f>
        <v>0</v>
      </c>
      <c r="AU18" s="63">
        <f>iBudget!$AB18-iOption!N18</f>
        <v>799323.47604989167</v>
      </c>
      <c r="AV18" s="63">
        <f>iBudget!$AB18-iOption!O18</f>
        <v>586392.8807978488</v>
      </c>
      <c r="AW18" s="63">
        <f>iBudget!$AB18-iOption!P18</f>
        <v>373462.28554580593</v>
      </c>
      <c r="AX18" s="63">
        <f>iBudget!$AB18-iOption!Q18</f>
        <v>160531.6902937633</v>
      </c>
      <c r="AY18" s="63">
        <f>iBudget!$AB18-iOption!R18</f>
        <v>-52398.904958279338</v>
      </c>
    </row>
    <row r="19" spans="1:51" ht="18" thickTop="1" thickBot="1">
      <c r="A19" s="41" t="e">
        <f t="shared" si="2"/>
        <v>#REF!</v>
      </c>
      <c r="B19" s="70" t="e">
        <f>#REF!/#REF!</f>
        <v>#REF!</v>
      </c>
      <c r="C19" s="39">
        <v>75</v>
      </c>
      <c r="D19" s="40" t="e">
        <f>#REF!/43560</f>
        <v>#REF!</v>
      </c>
      <c r="F19" s="108" t="str">
        <v>Forest</v>
      </c>
      <c r="G19" s="108"/>
      <c r="H19" s="108"/>
      <c r="I19" s="108"/>
      <c r="J19" s="117">
        <v>10</v>
      </c>
      <c r="K19" s="114">
        <v>0</v>
      </c>
      <c r="L19" s="114">
        <v>0</v>
      </c>
      <c r="M19" s="114">
        <v>0</v>
      </c>
      <c r="N19" s="114">
        <v>0</v>
      </c>
      <c r="O19" s="114">
        <v>5</v>
      </c>
      <c r="P19" s="114">
        <v>5</v>
      </c>
      <c r="Q19" s="114">
        <v>0</v>
      </c>
      <c r="R19" s="114">
        <v>0</v>
      </c>
      <c r="S19" s="114"/>
      <c r="T19" s="114"/>
      <c r="U19" s="114"/>
      <c r="W19" s="63"/>
      <c r="X19" s="479" t="s">
        <v>195</v>
      </c>
      <c r="Y19" s="522"/>
      <c r="Z19" s="522"/>
      <c r="AA19" s="522"/>
      <c r="AB19" s="527">
        <v>1.996847423747371</v>
      </c>
      <c r="AC19" s="528">
        <v>1.2105140464209758</v>
      </c>
      <c r="AD19" s="528" t="e">
        <v>#DIV/0!</v>
      </c>
      <c r="AE19" s="63"/>
      <c r="AF19" s="63"/>
      <c r="AG19" s="105">
        <v>9</v>
      </c>
      <c r="AH19" s="104">
        <f t="shared" si="1"/>
        <v>1291072.5588563073</v>
      </c>
      <c r="AI19" s="100"/>
      <c r="AJ19" s="100">
        <f>IF(iOption!$V17=AJ$5,iOption!$W17,0)</f>
        <v>0</v>
      </c>
      <c r="AK19" s="100">
        <f>IF(iOption!$V17=AK$5,iOption!$W17,0)</f>
        <v>0</v>
      </c>
      <c r="AL19" s="100">
        <f>IF(iOption!$V17=AL$5,iOption!$W17,0)</f>
        <v>0</v>
      </c>
      <c r="AM19" s="100">
        <f>IF(iOption!$V17=AM$5,iOption!$W17,0)</f>
        <v>0</v>
      </c>
      <c r="AN19" s="100">
        <f>IF(iOption!$V17=AN$5,iOption!$W17,0)</f>
        <v>0</v>
      </c>
      <c r="AO19" s="100">
        <f>IF(iOption!$V17=AO$5,iOption!$W17,0)</f>
        <v>1291072.5588563073</v>
      </c>
      <c r="AP19" s="100">
        <f>IF(iOption!$V17=AP$5,iOption!$W17,0)</f>
        <v>0</v>
      </c>
      <c r="AQ19" s="100">
        <f>IF(iOption!$V17=AQ$5,iOption!$W17,0)</f>
        <v>0</v>
      </c>
      <c r="AR19" s="100">
        <f>IF(iOption!$V17=AR$5,iOption!$W17,0)</f>
        <v>0</v>
      </c>
      <c r="AS19" s="100">
        <f>IF(iOption!$V17=AS$5,iOption!$W17,0)</f>
        <v>0</v>
      </c>
      <c r="AU19" s="63">
        <f>iBudget!$AB19-iOption!N19</f>
        <v>836071.73251639237</v>
      </c>
      <c r="AV19" s="63">
        <f>iBudget!$AB19-iOption!O19</f>
        <v>688203.26359136263</v>
      </c>
      <c r="AW19" s="63">
        <f>iBudget!$AB19-iOption!P19</f>
        <v>540334.79466633289</v>
      </c>
      <c r="AX19" s="63">
        <f>iBudget!$AB19-iOption!Q19</f>
        <v>392466.32574130315</v>
      </c>
      <c r="AY19" s="63">
        <f>iBudget!$AB19-iOption!R19</f>
        <v>244597.85681627365</v>
      </c>
    </row>
    <row r="20" spans="1:51" ht="17" thickTop="1">
      <c r="A20" s="41" t="e">
        <f t="shared" si="2"/>
        <v>#REF!</v>
      </c>
      <c r="B20" s="70" t="e">
        <f>#REF!/#REF!</f>
        <v>#REF!</v>
      </c>
      <c r="C20" s="39">
        <v>62.5</v>
      </c>
      <c r="D20" s="40" t="e">
        <f>#REF!/43560</f>
        <v>#REF!</v>
      </c>
      <c r="F20" s="108" t="str">
        <v>Bench</v>
      </c>
      <c r="G20" s="108"/>
      <c r="H20" s="108"/>
      <c r="I20" s="108"/>
      <c r="J20" s="117">
        <v>15</v>
      </c>
      <c r="K20" s="114">
        <v>0</v>
      </c>
      <c r="L20" s="114">
        <v>0</v>
      </c>
      <c r="M20" s="114">
        <v>0</v>
      </c>
      <c r="N20" s="114">
        <v>8</v>
      </c>
      <c r="O20" s="114">
        <v>7</v>
      </c>
      <c r="P20" s="114">
        <v>0</v>
      </c>
      <c r="Q20" s="114">
        <v>0</v>
      </c>
      <c r="R20" s="114">
        <v>0</v>
      </c>
      <c r="S20" s="114"/>
      <c r="T20" s="114"/>
      <c r="U20" s="114"/>
      <c r="W20" s="63"/>
      <c r="X20" s="63"/>
      <c r="Y20" s="63"/>
      <c r="Z20" s="63"/>
      <c r="AA20" s="63"/>
      <c r="AB20" s="63"/>
      <c r="AC20" s="63"/>
      <c r="AD20" s="63"/>
      <c r="AE20" s="63"/>
      <c r="AF20" s="63"/>
      <c r="AG20" s="105">
        <v>10</v>
      </c>
      <c r="AH20" s="104">
        <f t="shared" si="1"/>
        <v>2129305.9525204278</v>
      </c>
      <c r="AI20" s="100"/>
      <c r="AJ20" s="100">
        <f>IF(iOption!$V18=AJ$5,iOption!$W18,0)</f>
        <v>0</v>
      </c>
      <c r="AK20" s="100">
        <f>IF(iOption!$V18=AK$5,iOption!$W18,0)</f>
        <v>0</v>
      </c>
      <c r="AL20" s="100">
        <f>IF(iOption!$V18=AL$5,iOption!$W18,0)</f>
        <v>0</v>
      </c>
      <c r="AM20" s="100">
        <f>IF(iOption!$V18=AM$5,iOption!$W18,0)</f>
        <v>2129305.9525204278</v>
      </c>
      <c r="AN20" s="100">
        <f>IF(iOption!$V18=AN$5,iOption!$W18,0)</f>
        <v>0</v>
      </c>
      <c r="AO20" s="100">
        <f>IF(iOption!$V18=AO$5,iOption!$W18,0)</f>
        <v>0</v>
      </c>
      <c r="AP20" s="100">
        <f>IF(iOption!$V18=AP$5,iOption!$W18,0)</f>
        <v>0</v>
      </c>
      <c r="AQ20" s="100">
        <f>IF(iOption!$V18=AQ$5,iOption!$W18,0)</f>
        <v>0</v>
      </c>
      <c r="AR20" s="100">
        <f>IF(iOption!$V18=AR$5,iOption!$W18,0)</f>
        <v>0</v>
      </c>
      <c r="AS20" s="100">
        <f>IF(iOption!$V18=AS$5,iOption!$W18,0)</f>
        <v>0</v>
      </c>
      <c r="AU20" s="63">
        <f>iBudget!$AB20-iOption!N20</f>
        <v>555399.0802676538</v>
      </c>
      <c r="AV20" s="63">
        <f>iBudget!$AB20-iOption!O20</f>
        <v>407530.61134262406</v>
      </c>
      <c r="AW20" s="63">
        <f>iBudget!$AB20-iOption!P20</f>
        <v>259662.14241759432</v>
      </c>
      <c r="AX20" s="63">
        <f>iBudget!$AB20-iOption!Q20</f>
        <v>111793.67349256459</v>
      </c>
      <c r="AY20" s="63">
        <f>iBudget!$AB20-iOption!R20</f>
        <v>-36074.795432464918</v>
      </c>
    </row>
    <row r="21" spans="1:51" ht="16">
      <c r="A21" s="41" t="e">
        <f t="shared" si="2"/>
        <v>#REF!</v>
      </c>
      <c r="B21" s="70" t="e">
        <f>#REF!/#REF!</f>
        <v>#REF!</v>
      </c>
      <c r="C21" s="39">
        <v>62.5</v>
      </c>
      <c r="D21" s="40" t="e">
        <f>#REF!/43560</f>
        <v>#REF!</v>
      </c>
      <c r="F21" s="108" t="str">
        <v>Hillside</v>
      </c>
      <c r="G21" s="108"/>
      <c r="H21" s="108"/>
      <c r="I21" s="108"/>
      <c r="J21" s="118">
        <v>10</v>
      </c>
      <c r="K21" s="432">
        <v>0</v>
      </c>
      <c r="L21" s="432">
        <v>0</v>
      </c>
      <c r="M21" s="432">
        <v>0</v>
      </c>
      <c r="N21" s="432">
        <v>0</v>
      </c>
      <c r="O21" s="432">
        <v>0</v>
      </c>
      <c r="P21" s="432">
        <v>7</v>
      </c>
      <c r="Q21" s="432">
        <v>3</v>
      </c>
      <c r="R21" s="432">
        <v>0</v>
      </c>
      <c r="S21" s="432"/>
      <c r="T21" s="432"/>
      <c r="U21" s="432"/>
      <c r="W21" s="63"/>
      <c r="X21" s="63"/>
      <c r="Y21" s="63"/>
      <c r="Z21" s="63"/>
      <c r="AA21" s="63"/>
      <c r="AB21" s="63"/>
      <c r="AC21" s="63"/>
      <c r="AD21" s="63"/>
      <c r="AE21" s="63"/>
      <c r="AF21" s="63"/>
      <c r="AG21" s="105">
        <v>11</v>
      </c>
      <c r="AH21" s="104">
        <f t="shared" si="1"/>
        <v>1478684.6892502969</v>
      </c>
      <c r="AI21" s="100"/>
      <c r="AJ21" s="100">
        <f>IF(iOption!$V19=AJ$5,iOption!$W19,0)</f>
        <v>0</v>
      </c>
      <c r="AK21" s="100">
        <f>IF(iOption!$V19=AK$5,iOption!$W19,0)</f>
        <v>0</v>
      </c>
      <c r="AL21" s="100">
        <f>IF(iOption!$V19=AL$5,iOption!$W19,0)</f>
        <v>0</v>
      </c>
      <c r="AM21" s="100">
        <f>IF(iOption!$V19=AM$5,iOption!$W19,0)</f>
        <v>1478684.6892502969</v>
      </c>
      <c r="AN21" s="100">
        <f>IF(iOption!$V19=AN$5,iOption!$W19,0)</f>
        <v>0</v>
      </c>
      <c r="AO21" s="100">
        <f>IF(iOption!$V19=AO$5,iOption!$W19,0)</f>
        <v>0</v>
      </c>
      <c r="AP21" s="100">
        <f>IF(iOption!$V19=AP$5,iOption!$W19,0)</f>
        <v>0</v>
      </c>
      <c r="AQ21" s="100">
        <f>IF(iOption!$V19=AQ$5,iOption!$W19,0)</f>
        <v>0</v>
      </c>
      <c r="AR21" s="100">
        <f>IF(iOption!$V19=AR$5,iOption!$W19,0)</f>
        <v>0</v>
      </c>
      <c r="AS21" s="100">
        <f>IF(iOption!$V19=AS$5,iOption!$W19,0)</f>
        <v>0</v>
      </c>
      <c r="AU21" s="63">
        <f>iBudget!$AB21-iOption!N21</f>
        <v>1680003.6839974357</v>
      </c>
      <c r="AV21" s="63">
        <f>iBudget!$AB21-iOption!O21</f>
        <v>1422357.663742464</v>
      </c>
      <c r="AW21" s="63">
        <f>iBudget!$AB21-iOption!P21</f>
        <v>1164711.6434874926</v>
      </c>
      <c r="AX21" s="63">
        <f>iBudget!$AB21-iOption!Q21</f>
        <v>907065.62323252065</v>
      </c>
      <c r="AY21" s="63">
        <f>iBudget!$AB21-iOption!R21</f>
        <v>649419.60297754873</v>
      </c>
    </row>
    <row r="22" spans="1:51" ht="16">
      <c r="A22" s="41" t="e">
        <f t="shared" si="2"/>
        <v>#REF!</v>
      </c>
      <c r="B22" s="70" t="e">
        <f>#REF!/#REF!</f>
        <v>#REF!</v>
      </c>
      <c r="C22" s="39">
        <v>82.5</v>
      </c>
      <c r="D22" s="40" t="e">
        <f>#REF!/43560</f>
        <v>#REF!</v>
      </c>
      <c r="F22" s="419" t="s">
        <v>268</v>
      </c>
      <c r="G22" s="419"/>
      <c r="H22" s="419"/>
      <c r="I22" s="419"/>
      <c r="J22" s="117">
        <v>45</v>
      </c>
      <c r="K22" s="420">
        <v>0</v>
      </c>
      <c r="L22" s="420">
        <v>0</v>
      </c>
      <c r="M22" s="420">
        <v>5</v>
      </c>
      <c r="N22" s="420">
        <v>8</v>
      </c>
      <c r="O22" s="420">
        <v>12</v>
      </c>
      <c r="P22" s="420">
        <v>12</v>
      </c>
      <c r="Q22" s="420">
        <v>8</v>
      </c>
      <c r="R22" s="420">
        <v>0</v>
      </c>
      <c r="S22" s="420"/>
      <c r="T22" s="420"/>
      <c r="U22" s="420"/>
      <c r="W22" s="63"/>
      <c r="X22" s="63"/>
      <c r="Y22" s="63"/>
      <c r="Z22" s="63"/>
      <c r="AA22" s="63"/>
      <c r="AB22" s="63"/>
      <c r="AC22" s="63"/>
      <c r="AD22" s="63"/>
      <c r="AE22" s="63"/>
      <c r="AF22" s="63"/>
      <c r="AG22" s="105">
        <v>12</v>
      </c>
      <c r="AH22" s="104">
        <f t="shared" si="1"/>
        <v>1478684.6892502969</v>
      </c>
      <c r="AI22" s="100"/>
      <c r="AJ22" s="100">
        <f>IF(iOption!$V20=AJ$5,iOption!$W20,0)</f>
        <v>0</v>
      </c>
      <c r="AK22" s="100">
        <f>IF(iOption!$V20=AK$5,iOption!$W20,0)</f>
        <v>0</v>
      </c>
      <c r="AL22" s="100">
        <f>IF(iOption!$V20=AL$5,iOption!$W20,0)</f>
        <v>0</v>
      </c>
      <c r="AM22" s="100">
        <f>IF(iOption!$V20=AM$5,iOption!$W20,0)</f>
        <v>1478684.6892502969</v>
      </c>
      <c r="AN22" s="100">
        <f>IF(iOption!$V20=AN$5,iOption!$W20,0)</f>
        <v>0</v>
      </c>
      <c r="AO22" s="100">
        <f>IF(iOption!$V20=AO$5,iOption!$W20,0)</f>
        <v>0</v>
      </c>
      <c r="AP22" s="100">
        <f>IF(iOption!$V20=AP$5,iOption!$W20,0)</f>
        <v>0</v>
      </c>
      <c r="AQ22" s="100">
        <f>IF(iOption!$V20=AQ$5,iOption!$W20,0)</f>
        <v>0</v>
      </c>
      <c r="AR22" s="100">
        <f>IF(iOption!$V20=AR$5,iOption!$W20,0)</f>
        <v>0</v>
      </c>
      <c r="AS22" s="100">
        <f>IF(iOption!$V20=AS$5,iOption!$W20,0)</f>
        <v>0</v>
      </c>
      <c r="AU22" s="63">
        <f>iBudget!$AB22-iOption!N22</f>
        <v>1514121.5018173291</v>
      </c>
      <c r="AV22" s="63">
        <f>iBudget!$AB22-iOption!O22</f>
        <v>1256475.4815623574</v>
      </c>
      <c r="AW22" s="63">
        <f>iBudget!$AB22-iOption!P22</f>
        <v>998829.46130738594</v>
      </c>
      <c r="AX22" s="63">
        <f>iBudget!$AB22-iOption!Q22</f>
        <v>741183.44105241401</v>
      </c>
      <c r="AY22" s="63">
        <f>iBudget!$AB22-iOption!R22</f>
        <v>483537.42079744209</v>
      </c>
    </row>
    <row r="23" spans="1:51" ht="16">
      <c r="A23" s="41" t="e">
        <f t="shared" si="2"/>
        <v>#REF!</v>
      </c>
      <c r="B23" s="70" t="e">
        <f>#REF!/#REF!</f>
        <v>#REF!</v>
      </c>
      <c r="C23" s="39">
        <v>82.5</v>
      </c>
      <c r="D23" s="40" t="e">
        <f>#REF!/43560</f>
        <v>#REF!</v>
      </c>
      <c r="W23" s="63"/>
      <c r="X23" s="63"/>
      <c r="Y23" s="63"/>
      <c r="Z23" s="63"/>
      <c r="AA23" s="63"/>
      <c r="AB23" s="63"/>
      <c r="AC23" s="63"/>
      <c r="AD23" s="63"/>
      <c r="AE23" s="63"/>
      <c r="AF23" s="63"/>
      <c r="AG23" s="105">
        <v>13</v>
      </c>
      <c r="AH23" s="104">
        <f t="shared" si="1"/>
        <v>2576460.2025497169</v>
      </c>
      <c r="AI23" s="100"/>
      <c r="AJ23" s="100">
        <f>IF(iOption!$V21=AJ$5,iOption!$W21,0)</f>
        <v>0</v>
      </c>
      <c r="AK23" s="100">
        <f>IF(iOption!$V21=AK$5,iOption!$W21,0)</f>
        <v>0</v>
      </c>
      <c r="AL23" s="100">
        <f>IF(iOption!$V21=AL$5,iOption!$W21,0)</f>
        <v>0</v>
      </c>
      <c r="AM23" s="100">
        <f>IF(iOption!$V21=AM$5,iOption!$W21,0)</f>
        <v>2576460.2025497169</v>
      </c>
      <c r="AN23" s="100">
        <f>IF(iOption!$V21=AN$5,iOption!$W21,0)</f>
        <v>0</v>
      </c>
      <c r="AO23" s="100">
        <f>IF(iOption!$V21=AO$5,iOption!$W21,0)</f>
        <v>0</v>
      </c>
      <c r="AP23" s="100">
        <f>IF(iOption!$V21=AP$5,iOption!$W21,0)</f>
        <v>0</v>
      </c>
      <c r="AQ23" s="100">
        <f>IF(iOption!$V21=AQ$5,iOption!$W21,0)</f>
        <v>0</v>
      </c>
      <c r="AR23" s="100">
        <f>IF(iOption!$V21=AR$5,iOption!$W21,0)</f>
        <v>0</v>
      </c>
      <c r="AS23" s="100">
        <f>IF(iOption!$V21=AS$5,iOption!$W21,0)</f>
        <v>0</v>
      </c>
      <c r="AU23" s="63">
        <f>iBudget!$AB23-iOption!N23</f>
        <v>1514121.5018173291</v>
      </c>
      <c r="AV23" s="63">
        <f>iBudget!$AB23-iOption!O23</f>
        <v>1256475.4815623574</v>
      </c>
      <c r="AW23" s="63">
        <f>iBudget!$AB23-iOption!P23</f>
        <v>998829.46130738594</v>
      </c>
      <c r="AX23" s="63">
        <f>iBudget!$AB23-iOption!Q23</f>
        <v>741183.44105241401</v>
      </c>
      <c r="AY23" s="63">
        <f>iBudget!$AB23-iOption!R23</f>
        <v>483537.42079744209</v>
      </c>
    </row>
    <row r="24" spans="1:51" ht="16">
      <c r="A24" s="41" t="e">
        <f t="shared" si="2"/>
        <v>#REF!</v>
      </c>
      <c r="B24" s="70" t="e">
        <f>#REF!/#REF!</f>
        <v>#REF!</v>
      </c>
      <c r="C24" s="39">
        <v>82.5</v>
      </c>
      <c r="D24" s="40" t="e">
        <f>#REF!/43560</f>
        <v>#REF!</v>
      </c>
      <c r="F24" s="109" t="s">
        <v>267</v>
      </c>
      <c r="G24" s="109"/>
      <c r="H24" s="109"/>
      <c r="I24" s="109"/>
      <c r="W24" s="63"/>
      <c r="X24" s="63"/>
      <c r="Y24" s="63"/>
      <c r="Z24" s="63"/>
      <c r="AA24" s="63"/>
      <c r="AB24" s="63"/>
      <c r="AC24" s="63"/>
      <c r="AD24" s="63"/>
      <c r="AE24" s="63"/>
      <c r="AF24" s="63"/>
      <c r="AG24" s="105">
        <v>14</v>
      </c>
      <c r="AH24" s="104">
        <f t="shared" si="1"/>
        <v>2576460.2025497169</v>
      </c>
      <c r="AI24" s="100"/>
      <c r="AJ24" s="100">
        <f>IF(iOption!$V22=AJ$5,iOption!$W22,0)</f>
        <v>0</v>
      </c>
      <c r="AK24" s="100">
        <f>IF(iOption!$V22=AK$5,iOption!$W22,0)</f>
        <v>0</v>
      </c>
      <c r="AL24" s="100">
        <f>IF(iOption!$V22=AL$5,iOption!$W22,0)</f>
        <v>0</v>
      </c>
      <c r="AM24" s="100">
        <f>IF(iOption!$V22=AM$5,iOption!$W22,0)</f>
        <v>2576460.2025497169</v>
      </c>
      <c r="AN24" s="100">
        <f>IF(iOption!$V22=AN$5,iOption!$W22,0)</f>
        <v>0</v>
      </c>
      <c r="AO24" s="100">
        <f>IF(iOption!$V22=AO$5,iOption!$W22,0)</f>
        <v>0</v>
      </c>
      <c r="AP24" s="100">
        <f>IF(iOption!$V22=AP$5,iOption!$W22,0)</f>
        <v>0</v>
      </c>
      <c r="AQ24" s="100">
        <f>IF(iOption!$V22=AQ$5,iOption!$W22,0)</f>
        <v>0</v>
      </c>
      <c r="AR24" s="100">
        <f>IF(iOption!$V22=AR$5,iOption!$W22,0)</f>
        <v>0</v>
      </c>
      <c r="AS24" s="100">
        <f>IF(iOption!$V22=AS$5,iOption!$W22,0)</f>
        <v>0</v>
      </c>
      <c r="AU24" s="63">
        <f>iBudget!$AB24-iOption!N24</f>
        <v>1514121.5018173291</v>
      </c>
      <c r="AV24" s="63">
        <f>iBudget!$AB24-iOption!O24</f>
        <v>1256475.4815623574</v>
      </c>
      <c r="AW24" s="63">
        <f>iBudget!$AB24-iOption!P24</f>
        <v>998829.46130738594</v>
      </c>
      <c r="AX24" s="63">
        <f>iBudget!$AB24-iOption!Q24</f>
        <v>741183.44105241401</v>
      </c>
      <c r="AY24" s="63">
        <f>iBudget!$AB24-iOption!R24</f>
        <v>483537.42079744209</v>
      </c>
    </row>
    <row r="25" spans="1:51" ht="16">
      <c r="A25" s="41" t="e">
        <f t="shared" si="2"/>
        <v>#REF!</v>
      </c>
      <c r="B25" s="70" t="e">
        <f>#REF!/#REF!</f>
        <v>#REF!</v>
      </c>
      <c r="C25" s="39">
        <v>82.5</v>
      </c>
      <c r="D25" s="40" t="e">
        <f>#REF!/43560</f>
        <v>#REF!</v>
      </c>
      <c r="F25" s="108" t="str" cm="1">
        <f t="array" ref="F25:F29">_xlfn.UNIQUE((iOption!J8:J52))</f>
        <v xml:space="preserve">Jimmy Creek </v>
      </c>
      <c r="G25" s="108"/>
      <c r="H25" s="108"/>
      <c r="I25" s="689">
        <f>J25/$J$30</f>
        <v>5.1359630458500657E-2</v>
      </c>
      <c r="J25" s="117">
        <f>SUM(K25:U25)</f>
        <v>4305929.8150968645</v>
      </c>
      <c r="K25" s="114">
        <f>SUMIFS(iOption!$W$8:$W$52, iOption!$J$8:$J$52, $F25, iOption!$V$8:$V$52, K$6)</f>
        <v>0</v>
      </c>
      <c r="L25" s="114">
        <f>SUMIFS(iOption!$W$8:$W$52, iOption!$J$8:$J$52, $F25, iOption!$V$8:$V$52, L$6)</f>
        <v>0</v>
      </c>
      <c r="M25" s="114">
        <f>SUMIFS(iOption!$W$8:$W$52, iOption!$J$8:$J$52, $F25, iOption!$V$8:$V$52, M$6)</f>
        <v>4305929.8150968645</v>
      </c>
      <c r="N25" s="114">
        <f>SUMIFS(iOption!$W$8:$W$52, iOption!$J$8:$J$52, $F25, iOption!$V$8:$V$52, N$6)</f>
        <v>0</v>
      </c>
      <c r="O25" s="114">
        <f>SUMIFS(iOption!$W$8:$W$52, iOption!$J$8:$J$52, $F25, iOption!$V$8:$V$52, O$6)</f>
        <v>0</v>
      </c>
      <c r="P25" s="114">
        <f>SUMIFS(iOption!$W$8:$W$52, iOption!$J$8:$J$52, $F25, iOption!$V$8:$V$52, P$6)</f>
        <v>0</v>
      </c>
      <c r="Q25" s="114">
        <f>SUMIFS(iOption!$W$8:$W$52, iOption!$J$8:$J$52, $F25, iOption!$V$8:$V$52, Q$6)</f>
        <v>0</v>
      </c>
      <c r="R25" s="114">
        <f>SUMIFS(iOption!$W$8:$W$52, iOption!$J$8:$J$52, $F25, iOption!$V$8:$V$52, R$6)</f>
        <v>0</v>
      </c>
      <c r="S25" s="114">
        <f>SUMIFS(iOption!$W$8:$W$52, iOption!$J$8:$J$52, $F25, iOption!$V$8:$V$52, S$6)</f>
        <v>0</v>
      </c>
      <c r="T25" s="114">
        <f>SUMIFS(iOption!$W$8:$W$52, iOption!$J$8:$J$52, $F25, iOption!$V$8:$V$52, T$6)</f>
        <v>0</v>
      </c>
      <c r="U25" s="114">
        <f>SUMIFS(iOption!$W$8:$W$52, iOption!$J$8:$J$52, $F25, iOption!$V$8:$V$52, U$6)</f>
        <v>0</v>
      </c>
      <c r="W25" s="63"/>
      <c r="X25" s="63"/>
      <c r="Y25" s="63"/>
      <c r="Z25" s="63"/>
      <c r="AA25" s="63"/>
      <c r="AB25" s="63"/>
      <c r="AC25" s="63"/>
      <c r="AD25" s="63"/>
      <c r="AE25" s="63"/>
      <c r="AF25" s="63"/>
      <c r="AG25" s="105">
        <v>15</v>
      </c>
      <c r="AH25" s="104">
        <f t="shared" si="1"/>
        <v>2834106.2228046888</v>
      </c>
      <c r="AI25" s="100"/>
      <c r="AJ25" s="100">
        <f>IF(iOption!$V23=AJ$5,iOption!$W23,0)</f>
        <v>0</v>
      </c>
      <c r="AK25" s="100">
        <f>IF(iOption!$V23=AK$5,iOption!$W23,0)</f>
        <v>0</v>
      </c>
      <c r="AL25" s="100">
        <f>IF(iOption!$V23=AL$5,iOption!$W23,0)</f>
        <v>0</v>
      </c>
      <c r="AM25" s="100">
        <f>IF(iOption!$V23=AM$5,iOption!$W23,0)</f>
        <v>0</v>
      </c>
      <c r="AN25" s="100">
        <f>IF(iOption!$V23=AN$5,iOption!$W23,0)</f>
        <v>2834106.2228046888</v>
      </c>
      <c r="AO25" s="100">
        <f>IF(iOption!$V23=AO$5,iOption!$W23,0)</f>
        <v>0</v>
      </c>
      <c r="AP25" s="100">
        <f>IF(iOption!$V23=AP$5,iOption!$W23,0)</f>
        <v>0</v>
      </c>
      <c r="AQ25" s="100">
        <f>IF(iOption!$V23=AQ$5,iOption!$W23,0)</f>
        <v>0</v>
      </c>
      <c r="AR25" s="100">
        <f>IF(iOption!$V23=AR$5,iOption!$W23,0)</f>
        <v>0</v>
      </c>
      <c r="AS25" s="100">
        <f>IF(iOption!$V23=AS$5,iOption!$W23,0)</f>
        <v>0</v>
      </c>
      <c r="AU25" s="63">
        <f>iBudget!$AB25-iOption!N25</f>
        <v>1514121.5018173291</v>
      </c>
      <c r="AV25" s="63">
        <f>iBudget!$AB25-iOption!O25</f>
        <v>1256475.4815623574</v>
      </c>
      <c r="AW25" s="63">
        <f>iBudget!$AB25-iOption!P25</f>
        <v>998829.46130738594</v>
      </c>
      <c r="AX25" s="63">
        <f>iBudget!$AB25-iOption!Q25</f>
        <v>741183.44105241401</v>
      </c>
      <c r="AY25" s="63">
        <f>iBudget!$AB25-iOption!R25</f>
        <v>483537.42079744209</v>
      </c>
    </row>
    <row r="26" spans="1:51" ht="16">
      <c r="A26" s="41" t="e">
        <f t="shared" si="2"/>
        <v>#REF!</v>
      </c>
      <c r="B26" s="70" t="e">
        <f>#REF!/#REF!</f>
        <v>#REF!</v>
      </c>
      <c r="C26" s="39">
        <v>82.5</v>
      </c>
      <c r="D26" s="40" t="e">
        <f>#REF!/43560</f>
        <v>#REF!</v>
      </c>
      <c r="F26" s="108" t="str">
        <v>Deer Creek</v>
      </c>
      <c r="G26" s="108"/>
      <c r="H26" s="108"/>
      <c r="I26" s="689">
        <f>J26/$J$30</f>
        <v>0.11996516519635053</v>
      </c>
      <c r="J26" s="117">
        <f>SUM(K26:U26)</f>
        <v>10057735.559631331</v>
      </c>
      <c r="K26" s="114">
        <f>SUMIFS(iOption!$W$8:$W$52, iOption!$J$8:$J$52, $F26, iOption!$V$8:$V$52, K$6)</f>
        <v>0</v>
      </c>
      <c r="L26" s="114">
        <f>SUMIFS(iOption!$W$8:$W$52, iOption!$J$8:$J$52, $F26, iOption!$V$8:$V$52, L$6)</f>
        <v>0</v>
      </c>
      <c r="M26" s="114">
        <f>SUMIFS(iOption!$W$8:$W$52, iOption!$J$8:$J$52, $F26, iOption!$V$8:$V$52, M$6)</f>
        <v>1703444.7620163423</v>
      </c>
      <c r="N26" s="114">
        <f>SUMIFS(iOption!$W$8:$W$52, iOption!$J$8:$J$52, $F26, iOption!$V$8:$V$52, N$6)</f>
        <v>0</v>
      </c>
      <c r="O26" s="114">
        <f>SUMIFS(iOption!$W$8:$W$52, iOption!$J$8:$J$52, $F26, iOption!$V$8:$V$52, O$6)</f>
        <v>0</v>
      </c>
      <c r="P26" s="114">
        <f>SUMIFS(iOption!$W$8:$W$52, iOption!$J$8:$J$52, $F26, iOption!$V$8:$V$52, P$6)</f>
        <v>0</v>
      </c>
      <c r="Q26" s="114">
        <f>SUMIFS(iOption!$W$8:$W$52, iOption!$J$8:$J$52, $F26, iOption!$V$8:$V$52, Q$6)</f>
        <v>8354290.7976149889</v>
      </c>
      <c r="R26" s="114">
        <f>SUMIFS(iOption!$W$8:$W$52, iOption!$J$8:$J$52, $F26, iOption!$V$8:$V$52, R$6)</f>
        <v>0</v>
      </c>
      <c r="S26" s="114">
        <f>SUMIFS(iOption!$W$8:$W$52, iOption!$J$8:$J$52, $F26, iOption!$V$8:$V$52, S$6)</f>
        <v>0</v>
      </c>
      <c r="T26" s="114">
        <f>SUMIFS(iOption!$W$8:$W$52, iOption!$J$8:$J$52, $F26, iOption!$V$8:$V$52, T$6)</f>
        <v>0</v>
      </c>
      <c r="U26" s="114">
        <f>SUMIFS(iOption!$W$8:$W$52, iOption!$J$8:$J$52, $F26, iOption!$V$8:$V$52, U$6)</f>
        <v>0</v>
      </c>
      <c r="W26" s="63"/>
      <c r="X26" s="63"/>
      <c r="Y26" s="63"/>
      <c r="Z26" s="63"/>
      <c r="AA26" s="63"/>
      <c r="AB26" s="63"/>
      <c r="AC26" s="63"/>
      <c r="AD26" s="63"/>
      <c r="AE26" s="63"/>
      <c r="AF26" s="63"/>
      <c r="AG26" s="105">
        <v>16</v>
      </c>
      <c r="AH26" s="104">
        <f t="shared" si="1"/>
        <v>2834106.2228046888</v>
      </c>
      <c r="AI26" s="100"/>
      <c r="AJ26" s="100">
        <f>IF(iOption!$V24=AJ$5,iOption!$W24,0)</f>
        <v>0</v>
      </c>
      <c r="AK26" s="100">
        <f>IF(iOption!$V24=AK$5,iOption!$W24,0)</f>
        <v>0</v>
      </c>
      <c r="AL26" s="100">
        <f>IF(iOption!$V24=AL$5,iOption!$W24,0)</f>
        <v>0</v>
      </c>
      <c r="AM26" s="100">
        <f>IF(iOption!$V24=AM$5,iOption!$W24,0)</f>
        <v>0</v>
      </c>
      <c r="AN26" s="100">
        <f>IF(iOption!$V24=AN$5,iOption!$W24,0)</f>
        <v>2834106.2228046888</v>
      </c>
      <c r="AO26" s="100">
        <f>IF(iOption!$V24=AO$5,iOption!$W24,0)</f>
        <v>0</v>
      </c>
      <c r="AP26" s="100">
        <f>IF(iOption!$V24=AP$5,iOption!$W24,0)</f>
        <v>0</v>
      </c>
      <c r="AQ26" s="100">
        <f>IF(iOption!$V24=AQ$5,iOption!$W24,0)</f>
        <v>0</v>
      </c>
      <c r="AR26" s="100">
        <f>IF(iOption!$V24=AR$5,iOption!$W24,0)</f>
        <v>0</v>
      </c>
      <c r="AS26" s="100">
        <f>IF(iOption!$V24=AS$5,iOption!$W24,0)</f>
        <v>0</v>
      </c>
      <c r="AU26" s="63">
        <f>iBudget!$AB26-iOption!N26</f>
        <v>1514121.5018173291</v>
      </c>
      <c r="AV26" s="63">
        <f>iBudget!$AB26-iOption!O26</f>
        <v>1256475.4815623574</v>
      </c>
      <c r="AW26" s="63">
        <f>iBudget!$AB26-iOption!P26</f>
        <v>998829.46130738594</v>
      </c>
      <c r="AX26" s="63">
        <f>iBudget!$AB26-iOption!Q26</f>
        <v>741183.44105241401</v>
      </c>
      <c r="AY26" s="63">
        <f>iBudget!$AB26-iOption!R26</f>
        <v>483537.42079744209</v>
      </c>
    </row>
    <row r="27" spans="1:51" ht="16">
      <c r="A27" s="41" t="e">
        <f t="shared" si="2"/>
        <v>#REF!</v>
      </c>
      <c r="B27" s="70" t="e">
        <f>#REF!/#REF!</f>
        <v>#REF!</v>
      </c>
      <c r="C27" s="39">
        <v>82.5</v>
      </c>
      <c r="D27" s="40" t="e">
        <f>#REF!/43560</f>
        <v>#REF!</v>
      </c>
      <c r="F27" s="108" t="str">
        <v>Forest</v>
      </c>
      <c r="G27" s="108"/>
      <c r="H27" s="108"/>
      <c r="I27" s="689">
        <f>J27/$J$30</f>
        <v>0.29115548750306619</v>
      </c>
      <c r="J27" s="117">
        <f>SUM(K27:U27)</f>
        <v>24410126.850143898</v>
      </c>
      <c r="K27" s="114">
        <f>SUMIFS(iOption!$W$8:$W$52, iOption!$J$8:$J$52, $F27, iOption!$V$8:$V$52, K$6)</f>
        <v>0</v>
      </c>
      <c r="L27" s="114">
        <f>SUMIFS(iOption!$W$8:$W$52, iOption!$J$8:$J$52, $F27, iOption!$V$8:$V$52, L$6)</f>
        <v>0</v>
      </c>
      <c r="M27" s="114">
        <f>SUMIFS(iOption!$W$8:$W$52, iOption!$J$8:$J$52, $F27, iOption!$V$8:$V$52, M$6)</f>
        <v>0</v>
      </c>
      <c r="N27" s="114">
        <f>SUMIFS(iOption!$W$8:$W$52, iOption!$J$8:$J$52, $F27, iOption!$V$8:$V$52, N$6)</f>
        <v>0</v>
      </c>
      <c r="O27" s="114">
        <f>SUMIFS(iOption!$W$8:$W$52, iOption!$J$8:$J$52, $F27, iOption!$V$8:$V$52, O$6)</f>
        <v>10239595.736120455</v>
      </c>
      <c r="P27" s="114">
        <f>SUMIFS(iOption!$W$8:$W$52, iOption!$J$8:$J$52, $F27, iOption!$V$8:$V$52, P$6)</f>
        <v>14170531.114023443</v>
      </c>
      <c r="Q27" s="114">
        <f>SUMIFS(iOption!$W$8:$W$52, iOption!$J$8:$J$52, $F27, iOption!$V$8:$V$52, Q$6)</f>
        <v>0</v>
      </c>
      <c r="R27" s="114">
        <f>SUMIFS(iOption!$W$8:$W$52, iOption!$J$8:$J$52, $F27, iOption!$V$8:$V$52, R$6)</f>
        <v>0</v>
      </c>
      <c r="S27" s="114">
        <f>SUMIFS(iOption!$W$8:$W$52, iOption!$J$8:$J$52, $F27, iOption!$V$8:$V$52, S$6)</f>
        <v>0</v>
      </c>
      <c r="T27" s="114">
        <f>SUMIFS(iOption!$W$8:$W$52, iOption!$J$8:$J$52, $F27, iOption!$V$8:$V$52, T$6)</f>
        <v>0</v>
      </c>
      <c r="U27" s="114">
        <f>SUMIFS(iOption!$W$8:$W$52, iOption!$J$8:$J$52, $F27, iOption!$V$8:$V$52, U$6)</f>
        <v>0</v>
      </c>
      <c r="W27" s="63"/>
      <c r="X27" s="63"/>
      <c r="Y27" s="63"/>
      <c r="Z27" s="63"/>
      <c r="AA27" s="63"/>
      <c r="AB27" s="63"/>
      <c r="AC27" s="63"/>
      <c r="AD27" s="63"/>
      <c r="AE27" s="63"/>
      <c r="AF27" s="63"/>
      <c r="AG27" s="105">
        <v>17</v>
      </c>
      <c r="AH27" s="104">
        <f t="shared" si="1"/>
        <v>2834106.2228046888</v>
      </c>
      <c r="AI27" s="100"/>
      <c r="AJ27" s="100">
        <f>IF(iOption!$V25=AJ$5,iOption!$W25,0)</f>
        <v>0</v>
      </c>
      <c r="AK27" s="100">
        <f>IF(iOption!$V25=AK$5,iOption!$W25,0)</f>
        <v>0</v>
      </c>
      <c r="AL27" s="100">
        <f>IF(iOption!$V25=AL$5,iOption!$W25,0)</f>
        <v>0</v>
      </c>
      <c r="AM27" s="100">
        <f>IF(iOption!$V25=AM$5,iOption!$W25,0)</f>
        <v>0</v>
      </c>
      <c r="AN27" s="100">
        <f>IF(iOption!$V25=AN$5,iOption!$W25,0)</f>
        <v>2834106.2228046888</v>
      </c>
      <c r="AO27" s="100">
        <f>IF(iOption!$V25=AO$5,iOption!$W25,0)</f>
        <v>0</v>
      </c>
      <c r="AP27" s="100">
        <f>IF(iOption!$V25=AP$5,iOption!$W25,0)</f>
        <v>0</v>
      </c>
      <c r="AQ27" s="100">
        <f>IF(iOption!$V25=AQ$5,iOption!$W25,0)</f>
        <v>0</v>
      </c>
      <c r="AR27" s="100">
        <f>IF(iOption!$V25=AR$5,iOption!$W25,0)</f>
        <v>0</v>
      </c>
      <c r="AS27" s="100">
        <f>IF(iOption!$V25=AS$5,iOption!$W25,0)</f>
        <v>0</v>
      </c>
      <c r="AU27" s="63">
        <f>iBudget!$AB27-iOption!N27</f>
        <v>1348239.3196372224</v>
      </c>
      <c r="AV27" s="63">
        <f>iBudget!$AB27-iOption!O27</f>
        <v>1090593.2993822508</v>
      </c>
      <c r="AW27" s="63">
        <f>iBudget!$AB27-iOption!P27</f>
        <v>832947.2791272793</v>
      </c>
      <c r="AX27" s="63">
        <f>iBudget!$AB27-iOption!Q27</f>
        <v>575301.25887230737</v>
      </c>
      <c r="AY27" s="63">
        <f>iBudget!$AB27-iOption!R27</f>
        <v>317655.23861733545</v>
      </c>
    </row>
    <row r="28" spans="1:51" ht="16">
      <c r="A28" s="41" t="e">
        <f t="shared" si="2"/>
        <v>#REF!</v>
      </c>
      <c r="B28" s="70" t="e">
        <f>#REF!/#REF!</f>
        <v>#REF!</v>
      </c>
      <c r="C28" s="39">
        <v>82.5</v>
      </c>
      <c r="D28" s="40" t="e">
        <f>#REF!/43560</f>
        <v>#REF!</v>
      </c>
      <c r="F28" s="108" t="str">
        <v>Bench</v>
      </c>
      <c r="G28" s="108"/>
      <c r="H28" s="108"/>
      <c r="I28" s="689">
        <f>J28/$J$30</f>
        <v>0.25843491598823048</v>
      </c>
      <c r="J28" s="117">
        <f>SUM(K28:U28)</f>
        <v>21666873.380542256</v>
      </c>
      <c r="K28" s="114">
        <f>SUMIFS(iOption!$W$8:$W$52, iOption!$J$8:$J$52, $F28, iOption!$V$8:$V$52, K$6)</f>
        <v>0</v>
      </c>
      <c r="L28" s="114">
        <f>SUMIFS(iOption!$W$8:$W$52, iOption!$J$8:$J$52, $F28, iOption!$V$8:$V$52, L$6)</f>
        <v>0</v>
      </c>
      <c r="M28" s="114">
        <f>SUMIFS(iOption!$W$8:$W$52, iOption!$J$8:$J$52, $F28, iOption!$V$8:$V$52, M$6)</f>
        <v>0</v>
      </c>
      <c r="N28" s="114">
        <f>SUMIFS(iOption!$W$8:$W$52, iOption!$J$8:$J$52, $F28, iOption!$V$8:$V$52, N$6)</f>
        <v>12262438.756910365</v>
      </c>
      <c r="O28" s="114">
        <f>SUMIFS(iOption!$W$8:$W$52, iOption!$J$8:$J$52, $F28, iOption!$V$8:$V$52, O$6)</f>
        <v>9404434.623631889</v>
      </c>
      <c r="P28" s="114">
        <f>SUMIFS(iOption!$W$8:$W$52, iOption!$J$8:$J$52, $F28, iOption!$V$8:$V$52, P$6)</f>
        <v>0</v>
      </c>
      <c r="Q28" s="114">
        <f>SUMIFS(iOption!$W$8:$W$52, iOption!$J$8:$J$52, $F28, iOption!$V$8:$V$52, Q$6)</f>
        <v>0</v>
      </c>
      <c r="R28" s="114">
        <f>SUMIFS(iOption!$W$8:$W$52, iOption!$J$8:$J$52, $F28, iOption!$V$8:$V$52, R$6)</f>
        <v>0</v>
      </c>
      <c r="S28" s="114">
        <f>SUMIFS(iOption!$W$8:$W$52, iOption!$J$8:$J$52, $F28, iOption!$V$8:$V$52, S$6)</f>
        <v>0</v>
      </c>
      <c r="T28" s="114">
        <f>SUMIFS(iOption!$W$8:$W$52, iOption!$J$8:$J$52, $F28, iOption!$V$8:$V$52, T$6)</f>
        <v>0</v>
      </c>
      <c r="U28" s="114">
        <f>SUMIFS(iOption!$W$8:$W$52, iOption!$J$8:$J$52, $F28, iOption!$V$8:$V$52, U$6)</f>
        <v>0</v>
      </c>
      <c r="W28" s="63"/>
      <c r="X28" s="63"/>
      <c r="Y28" s="63"/>
      <c r="Z28" s="63"/>
      <c r="AA28" s="63"/>
      <c r="AB28" s="63"/>
      <c r="AC28" s="63"/>
      <c r="AD28" s="63"/>
      <c r="AE28" s="63"/>
      <c r="AF28" s="63"/>
      <c r="AG28" s="105">
        <v>18</v>
      </c>
      <c r="AH28" s="104">
        <f t="shared" si="1"/>
        <v>2834106.2228046888</v>
      </c>
      <c r="AI28" s="100"/>
      <c r="AJ28" s="100">
        <f>IF(iOption!$V26=AJ$5,iOption!$W26,0)</f>
        <v>0</v>
      </c>
      <c r="AK28" s="100">
        <f>IF(iOption!$V26=AK$5,iOption!$W26,0)</f>
        <v>0</v>
      </c>
      <c r="AL28" s="100">
        <f>IF(iOption!$V26=AL$5,iOption!$W26,0)</f>
        <v>0</v>
      </c>
      <c r="AM28" s="100">
        <f>IF(iOption!$V26=AM$5,iOption!$W26,0)</f>
        <v>0</v>
      </c>
      <c r="AN28" s="100">
        <f>IF(iOption!$V26=AN$5,iOption!$W26,0)</f>
        <v>2834106.2228046888</v>
      </c>
      <c r="AO28" s="100">
        <f>IF(iOption!$V26=AO$5,iOption!$W26,0)</f>
        <v>0</v>
      </c>
      <c r="AP28" s="100">
        <f>IF(iOption!$V26=AP$5,iOption!$W26,0)</f>
        <v>0</v>
      </c>
      <c r="AQ28" s="100">
        <f>IF(iOption!$V26=AQ$5,iOption!$W26,0)</f>
        <v>0</v>
      </c>
      <c r="AR28" s="100">
        <f>IF(iOption!$V26=AR$5,iOption!$W26,0)</f>
        <v>0</v>
      </c>
      <c r="AS28" s="100">
        <f>IF(iOption!$V26=AS$5,iOption!$W26,0)</f>
        <v>0</v>
      </c>
      <c r="AU28" s="63">
        <f>iBudget!$AB28-iOption!N28</f>
        <v>836071.732516394</v>
      </c>
      <c r="AV28" s="63">
        <f>iBudget!$AB28-iOption!O28</f>
        <v>688203.26359136426</v>
      </c>
      <c r="AW28" s="63">
        <f>iBudget!$AB28-iOption!P28</f>
        <v>540334.79466633452</v>
      </c>
      <c r="AX28" s="63">
        <f>iBudget!$AB28-iOption!Q28</f>
        <v>392466.32574130478</v>
      </c>
      <c r="AY28" s="63">
        <f>iBudget!$AB28-iOption!R28</f>
        <v>244597.85681627528</v>
      </c>
    </row>
    <row r="29" spans="1:51" ht="19">
      <c r="A29" s="41" t="e">
        <f t="shared" si="2"/>
        <v>#REF!</v>
      </c>
      <c r="B29" s="70" t="e">
        <f>#REF!/#REF!</f>
        <v>#REF!</v>
      </c>
      <c r="C29" s="39">
        <v>62.5</v>
      </c>
      <c r="D29" s="40" t="e">
        <f>#REF!/43560</f>
        <v>#REF!</v>
      </c>
      <c r="F29" s="108" t="str">
        <v>Hillside</v>
      </c>
      <c r="G29" s="108"/>
      <c r="H29" s="108"/>
      <c r="I29" s="689">
        <f>J29/$J$30</f>
        <v>0.27908480085385207</v>
      </c>
      <c r="J29" s="118">
        <f>SUM(K29:U29)</f>
        <v>23398134.959479116</v>
      </c>
      <c r="K29" s="115">
        <f>SUMIFS(iOption!$W$8:$W$52, iOption!$J$8:$J$52, $F29, iOption!$V$8:$V$52, K$6)</f>
        <v>0</v>
      </c>
      <c r="L29" s="115">
        <f>SUMIFS(iOption!$W$8:$W$52, iOption!$J$8:$J$52, $F29, iOption!$V$8:$V$52, L$6)</f>
        <v>0</v>
      </c>
      <c r="M29" s="115">
        <f>SUMIFS(iOption!$W$8:$W$52, iOption!$J$8:$J$52, $F29, iOption!$V$8:$V$52, M$6)</f>
        <v>0</v>
      </c>
      <c r="N29" s="115">
        <f>SUMIFS(iOption!$W$8:$W$52, iOption!$J$8:$J$52, $F29, iOption!$V$8:$V$52, N$6)</f>
        <v>0</v>
      </c>
      <c r="O29" s="115">
        <f>SUMIFS(iOption!$W$8:$W$52, iOption!$J$8:$J$52, $F29, iOption!$V$8:$V$52, O$6)</f>
        <v>0</v>
      </c>
      <c r="P29" s="115">
        <f>SUMIFS(iOption!$W$8:$W$52, iOption!$J$8:$J$52, $F29, iOption!$V$8:$V$52, P$6)</f>
        <v>12947363.1390756</v>
      </c>
      <c r="Q29" s="115">
        <f>SUMIFS(iOption!$W$8:$W$52, iOption!$J$8:$J$52, $F29, iOption!$V$8:$V$52, Q$6)</f>
        <v>10450771.820403518</v>
      </c>
      <c r="R29" s="115">
        <f>SUMIFS(iOption!$W$8:$W$52, iOption!$J$8:$J$52, $F29, iOption!$V$8:$V$52, R$6)</f>
        <v>0</v>
      </c>
      <c r="S29" s="115">
        <f>SUMIFS(iOption!$W$8:$W$52, iOption!$J$8:$J$52, $F29, iOption!$V$8:$V$52, S$6)</f>
        <v>0</v>
      </c>
      <c r="T29" s="115">
        <f>SUMIFS(iOption!$W$8:$W$52, iOption!$J$8:$J$52, $F29, iOption!$V$8:$V$52, T$6)</f>
        <v>0</v>
      </c>
      <c r="U29" s="115">
        <f>SUMIFS(iOption!$W$8:$W$52, iOption!$J$8:$J$52, $F29, iOption!$V$8:$V$52, U$6)</f>
        <v>0</v>
      </c>
      <c r="W29" s="63"/>
      <c r="X29" s="63"/>
      <c r="Y29" s="63"/>
      <c r="Z29" s="63"/>
      <c r="AA29" s="63"/>
      <c r="AB29" s="63"/>
      <c r="AC29" s="63"/>
      <c r="AD29" s="63"/>
      <c r="AE29" s="63"/>
      <c r="AF29" s="63"/>
      <c r="AG29" s="105">
        <v>19</v>
      </c>
      <c r="AH29" s="104">
        <f t="shared" si="1"/>
        <v>2834106.2228046888</v>
      </c>
      <c r="AI29" s="100"/>
      <c r="AJ29" s="100">
        <f>IF(iOption!$V27=AJ$5,iOption!$W27,0)</f>
        <v>0</v>
      </c>
      <c r="AK29" s="100">
        <f>IF(iOption!$V27=AK$5,iOption!$W27,0)</f>
        <v>0</v>
      </c>
      <c r="AL29" s="100">
        <f>IF(iOption!$V27=AL$5,iOption!$W27,0)</f>
        <v>0</v>
      </c>
      <c r="AM29" s="100">
        <f>IF(iOption!$V27=AM$5,iOption!$W27,0)</f>
        <v>0</v>
      </c>
      <c r="AN29" s="100">
        <f>IF(iOption!$V27=AN$5,iOption!$W27,0)</f>
        <v>2834106.2228046888</v>
      </c>
      <c r="AO29" s="100">
        <f>IF(iOption!$V27=AO$5,iOption!$W27,0)</f>
        <v>0</v>
      </c>
      <c r="AP29" s="100">
        <f>IF(iOption!$V27=AP$5,iOption!$W27,0)</f>
        <v>0</v>
      </c>
      <c r="AQ29" s="100">
        <f>IF(iOption!$V27=AQ$5,iOption!$W27,0)</f>
        <v>0</v>
      </c>
      <c r="AR29" s="100">
        <f>IF(iOption!$V27=AR$5,iOption!$W27,0)</f>
        <v>0</v>
      </c>
      <c r="AS29" s="100">
        <f>IF(iOption!$V27=AS$5,iOption!$W27,0)</f>
        <v>0</v>
      </c>
      <c r="AU29" s="63">
        <f>iBudget!$AB29-iOption!N29</f>
        <v>555399.0802676538</v>
      </c>
      <c r="AV29" s="63">
        <f>iBudget!$AB29-iOption!O29</f>
        <v>407530.61134262406</v>
      </c>
      <c r="AW29" s="63">
        <f>iBudget!$AB29-iOption!P29</f>
        <v>259662.14241759432</v>
      </c>
      <c r="AX29" s="63">
        <f>iBudget!$AB29-iOption!Q29</f>
        <v>111793.67349256459</v>
      </c>
      <c r="AY29" s="63">
        <f>iBudget!$AB29-iOption!R29</f>
        <v>-36074.795432464918</v>
      </c>
    </row>
    <row r="30" spans="1:51" ht="16">
      <c r="A30" s="41" t="e">
        <f t="shared" si="2"/>
        <v>#REF!</v>
      </c>
      <c r="B30" s="70" t="e">
        <f>#REF!/#REF!</f>
        <v>#REF!</v>
      </c>
      <c r="C30" s="39">
        <v>62.5</v>
      </c>
      <c r="D30" s="40" t="e">
        <f>#REF!/43560</f>
        <v>#REF!</v>
      </c>
      <c r="F30" s="419" t="s">
        <v>83</v>
      </c>
      <c r="G30" s="419"/>
      <c r="H30" s="419"/>
      <c r="J30" s="117">
        <f t="shared" ref="J30:U30" si="4">SUM(J25:J29)</f>
        <v>83838800.564893469</v>
      </c>
      <c r="K30" s="114">
        <f t="shared" si="4"/>
        <v>0</v>
      </c>
      <c r="L30" s="114">
        <f t="shared" si="4"/>
        <v>0</v>
      </c>
      <c r="M30" s="114">
        <f t="shared" si="4"/>
        <v>6009374.5771132065</v>
      </c>
      <c r="N30" s="114">
        <f t="shared" si="4"/>
        <v>12262438.756910365</v>
      </c>
      <c r="O30" s="114">
        <f t="shared" si="4"/>
        <v>19644030.359752342</v>
      </c>
      <c r="P30" s="114">
        <f t="shared" si="4"/>
        <v>27117894.253099043</v>
      </c>
      <c r="Q30" s="114">
        <f t="shared" si="4"/>
        <v>18805062.618018508</v>
      </c>
      <c r="R30" s="114">
        <f t="shared" si="4"/>
        <v>0</v>
      </c>
      <c r="S30" s="114">
        <f t="shared" si="4"/>
        <v>0</v>
      </c>
      <c r="T30" s="114">
        <f t="shared" si="4"/>
        <v>0</v>
      </c>
      <c r="U30" s="114">
        <f t="shared" si="4"/>
        <v>0</v>
      </c>
      <c r="W30" s="63"/>
      <c r="X30" s="63"/>
      <c r="Y30" s="63"/>
      <c r="Z30" s="63"/>
      <c r="AA30" s="63"/>
      <c r="AB30" s="63"/>
      <c r="AC30" s="63"/>
      <c r="AD30" s="63"/>
      <c r="AE30" s="63"/>
      <c r="AF30" s="63"/>
      <c r="AG30" s="105">
        <v>20</v>
      </c>
      <c r="AH30" s="104">
        <f t="shared" si="1"/>
        <v>1330816.2203252672</v>
      </c>
      <c r="AI30" s="100"/>
      <c r="AJ30" s="100">
        <f>IF(iOption!$V28=AJ$5,iOption!$W28,0)</f>
        <v>0</v>
      </c>
      <c r="AK30" s="100">
        <f>IF(iOption!$V28=AK$5,iOption!$W28,0)</f>
        <v>0</v>
      </c>
      <c r="AL30" s="100">
        <f>IF(iOption!$V28=AL$5,iOption!$W28,0)</f>
        <v>1330816.2203252672</v>
      </c>
      <c r="AM30" s="100">
        <f>IF(iOption!$V28=AM$5,iOption!$W28,0)</f>
        <v>0</v>
      </c>
      <c r="AN30" s="100">
        <f>IF(iOption!$V28=AN$5,iOption!$W28,0)</f>
        <v>0</v>
      </c>
      <c r="AO30" s="100">
        <f>IF(iOption!$V28=AO$5,iOption!$W28,0)</f>
        <v>0</v>
      </c>
      <c r="AP30" s="100">
        <f>IF(iOption!$V28=AP$5,iOption!$W28,0)</f>
        <v>0</v>
      </c>
      <c r="AQ30" s="100">
        <f>IF(iOption!$V28=AQ$5,iOption!$W28,0)</f>
        <v>0</v>
      </c>
      <c r="AR30" s="100">
        <f>IF(iOption!$V28=AR$5,iOption!$W28,0)</f>
        <v>0</v>
      </c>
      <c r="AS30" s="100">
        <f>IF(iOption!$V28=AS$5,iOption!$W28,0)</f>
        <v>0</v>
      </c>
      <c r="AU30" s="63">
        <f>iBudget!$AB30-iOption!N30</f>
        <v>799323.47604989167</v>
      </c>
      <c r="AV30" s="63">
        <f>iBudget!$AB30-iOption!O30</f>
        <v>586392.8807978488</v>
      </c>
      <c r="AW30" s="63">
        <f>iBudget!$AB30-iOption!P30</f>
        <v>373462.28554580593</v>
      </c>
      <c r="AX30" s="63">
        <f>iBudget!$AB30-iOption!Q30</f>
        <v>160531.6902937633</v>
      </c>
      <c r="AY30" s="63">
        <f>iBudget!$AB30-iOption!R30</f>
        <v>-52398.904958279338</v>
      </c>
    </row>
    <row r="31" spans="1:51" ht="16">
      <c r="A31" s="41" t="e">
        <f t="shared" si="2"/>
        <v>#REF!</v>
      </c>
      <c r="B31" s="70" t="e">
        <f>#REF!/#REF!</f>
        <v>#REF!</v>
      </c>
      <c r="C31" s="39">
        <v>75</v>
      </c>
      <c r="D31" s="40" t="e">
        <f>#REF!/43560</f>
        <v>#REF!</v>
      </c>
      <c r="F31" s="107"/>
      <c r="G31" s="107"/>
      <c r="H31" s="107"/>
      <c r="I31" s="107"/>
      <c r="J31" s="117"/>
      <c r="K31" s="116"/>
      <c r="L31" s="114"/>
      <c r="M31" s="116"/>
      <c r="N31" s="116"/>
      <c r="O31" s="116"/>
      <c r="P31" s="116"/>
      <c r="Q31" s="116"/>
      <c r="R31" s="116"/>
      <c r="S31" s="116"/>
      <c r="T31" s="116"/>
      <c r="U31" s="116"/>
      <c r="W31" s="63"/>
      <c r="X31" s="63"/>
      <c r="Y31" s="63"/>
      <c r="Z31" s="63"/>
      <c r="AA31" s="63"/>
      <c r="AB31" s="63"/>
      <c r="AC31" s="63"/>
      <c r="AD31" s="63"/>
      <c r="AE31" s="63"/>
      <c r="AF31" s="63"/>
      <c r="AG31" s="105">
        <v>21</v>
      </c>
      <c r="AH31" s="104">
        <f t="shared" si="1"/>
        <v>1330816.2203252672</v>
      </c>
      <c r="AI31" s="100"/>
      <c r="AJ31" s="100">
        <f>IF(iOption!$V29=AJ$5,iOption!$W29,0)</f>
        <v>0</v>
      </c>
      <c r="AK31" s="100">
        <f>IF(iOption!$V29=AK$5,iOption!$W29,0)</f>
        <v>0</v>
      </c>
      <c r="AL31" s="100">
        <f>IF(iOption!$V29=AL$5,iOption!$W29,0)</f>
        <v>1330816.2203252672</v>
      </c>
      <c r="AM31" s="100">
        <f>IF(iOption!$V29=AM$5,iOption!$W29,0)</f>
        <v>0</v>
      </c>
      <c r="AN31" s="100">
        <f>IF(iOption!$V29=AN$5,iOption!$W29,0)</f>
        <v>0</v>
      </c>
      <c r="AO31" s="100">
        <f>IF(iOption!$V29=AO$5,iOption!$W29,0)</f>
        <v>0</v>
      </c>
      <c r="AP31" s="100">
        <f>IF(iOption!$V29=AP$5,iOption!$W29,0)</f>
        <v>0</v>
      </c>
      <c r="AQ31" s="100">
        <f>IF(iOption!$V29=AQ$5,iOption!$W29,0)</f>
        <v>0</v>
      </c>
      <c r="AR31" s="100">
        <f>IF(iOption!$V29=AR$5,iOption!$W29,0)</f>
        <v>0</v>
      </c>
      <c r="AS31" s="100">
        <f>IF(iOption!$V29=AS$5,iOption!$W29,0)</f>
        <v>0</v>
      </c>
      <c r="AU31" s="63">
        <f>iBudget!$AB31-iOption!N31</f>
        <v>368283.97876849351</v>
      </c>
      <c r="AV31" s="63">
        <f>iBudget!$AB31-iOption!O31</f>
        <v>220415.50984346378</v>
      </c>
      <c r="AW31" s="63">
        <f>iBudget!$AB31-iOption!P31</f>
        <v>72547.040918434039</v>
      </c>
      <c r="AX31" s="63">
        <f>iBudget!$AB31-iOption!Q31</f>
        <v>-75321.428006595699</v>
      </c>
      <c r="AY31" s="63">
        <f>iBudget!$AB31-iOption!R31</f>
        <v>-223189.8969316252</v>
      </c>
    </row>
    <row r="32" spans="1:51" ht="16">
      <c r="A32" s="41" t="e">
        <f t="shared" si="2"/>
        <v>#REF!</v>
      </c>
      <c r="B32" s="70" t="e">
        <f>#REF!/#REF!</f>
        <v>#REF!</v>
      </c>
      <c r="C32" s="39">
        <v>62.5</v>
      </c>
      <c r="D32" s="40" t="e">
        <f>#REF!/43560</f>
        <v>#REF!</v>
      </c>
      <c r="F32" s="790" t="s">
        <v>278</v>
      </c>
      <c r="G32" s="107"/>
      <c r="H32" s="107"/>
      <c r="J32" s="117" t="e">
        <f>SUM(K32:U32)</f>
        <v>#REF!</v>
      </c>
      <c r="K32" s="420" t="e">
        <f t="shared" ref="K32:U32" si="5">K12+K30+K14</f>
        <v>#REF!</v>
      </c>
      <c r="L32" s="420">
        <f t="shared" si="5"/>
        <v>-7663333.333333334</v>
      </c>
      <c r="M32" s="420">
        <f t="shared" si="5"/>
        <v>5312707.9104465395</v>
      </c>
      <c r="N32" s="420">
        <f t="shared" si="5"/>
        <v>12262438.756910365</v>
      </c>
      <c r="O32" s="420">
        <f t="shared" si="5"/>
        <v>19644030.359752342</v>
      </c>
      <c r="P32" s="420">
        <f t="shared" si="5"/>
        <v>27117894.253099043</v>
      </c>
      <c r="Q32" s="420">
        <f t="shared" si="5"/>
        <v>14455062.618018506</v>
      </c>
      <c r="R32" s="420">
        <f t="shared" si="5"/>
        <v>0</v>
      </c>
      <c r="S32" s="420">
        <f t="shared" si="5"/>
        <v>0</v>
      </c>
      <c r="T32" s="420">
        <f t="shared" si="5"/>
        <v>0</v>
      </c>
      <c r="U32" s="420">
        <f t="shared" si="5"/>
        <v>0</v>
      </c>
      <c r="W32" s="63"/>
      <c r="X32" s="63"/>
      <c r="Y32" s="63"/>
      <c r="Z32" s="63"/>
      <c r="AA32" s="63"/>
      <c r="AB32" s="63"/>
      <c r="AC32" s="63"/>
      <c r="AD32" s="63"/>
      <c r="AE32" s="63"/>
      <c r="AF32" s="63"/>
      <c r="AG32" s="105">
        <v>22</v>
      </c>
      <c r="AH32" s="104">
        <f t="shared" si="1"/>
        <v>1916375.3572683851</v>
      </c>
      <c r="AI32" s="100"/>
      <c r="AJ32" s="100">
        <f>IF(iOption!$V30=AJ$5,iOption!$W30,0)</f>
        <v>0</v>
      </c>
      <c r="AK32" s="100">
        <f>IF(iOption!$V30=AK$5,iOption!$W30,0)</f>
        <v>0</v>
      </c>
      <c r="AL32" s="100">
        <f>IF(iOption!$V30=AL$5,iOption!$W30,0)</f>
        <v>1916375.3572683851</v>
      </c>
      <c r="AM32" s="100">
        <f>IF(iOption!$V30=AM$5,iOption!$W30,0)</f>
        <v>0</v>
      </c>
      <c r="AN32" s="100">
        <f>IF(iOption!$V30=AN$5,iOption!$W30,0)</f>
        <v>0</v>
      </c>
      <c r="AO32" s="100">
        <f>IF(iOption!$V30=AO$5,iOption!$W30,0)</f>
        <v>0</v>
      </c>
      <c r="AP32" s="100">
        <f>IF(iOption!$V30=AP$5,iOption!$W30,0)</f>
        <v>0</v>
      </c>
      <c r="AQ32" s="100">
        <f>IF(iOption!$V30=AQ$5,iOption!$W30,0)</f>
        <v>0</v>
      </c>
      <c r="AR32" s="100">
        <f>IF(iOption!$V30=AR$5,iOption!$W30,0)</f>
        <v>0</v>
      </c>
      <c r="AS32" s="100">
        <f>IF(iOption!$V30=AS$5,iOption!$W30,0)</f>
        <v>0</v>
      </c>
      <c r="AU32" s="63">
        <f>iBudget!$AB32-iOption!N32</f>
        <v>368283.97876849351</v>
      </c>
      <c r="AV32" s="63">
        <f>iBudget!$AB32-iOption!O32</f>
        <v>220415.50984346378</v>
      </c>
      <c r="AW32" s="63">
        <f>iBudget!$AB32-iOption!P32</f>
        <v>72547.040918434039</v>
      </c>
      <c r="AX32" s="63">
        <f>iBudget!$AB32-iOption!Q32</f>
        <v>-75321.428006595699</v>
      </c>
      <c r="AY32" s="63">
        <f>iBudget!$AB32-iOption!R32</f>
        <v>-223189.8969316252</v>
      </c>
    </row>
    <row r="33" spans="1:51" ht="16">
      <c r="F33" s="687" t="s">
        <v>251</v>
      </c>
      <c r="G33" s="687"/>
      <c r="H33" s="687"/>
      <c r="I33" s="688">
        <v>0.01</v>
      </c>
      <c r="J33" s="117">
        <f>SUM(K33:U33)</f>
        <v>-838388.00564893475</v>
      </c>
      <c r="K33" s="114"/>
      <c r="L33" s="114">
        <f t="shared" ref="L33:U33" si="6">-L30*$I$33</f>
        <v>0</v>
      </c>
      <c r="M33" s="114">
        <f t="shared" si="6"/>
        <v>-60093.745771132068</v>
      </c>
      <c r="N33" s="114">
        <f t="shared" si="6"/>
        <v>-122624.38756910365</v>
      </c>
      <c r="O33" s="114">
        <f t="shared" si="6"/>
        <v>-196440.30359752342</v>
      </c>
      <c r="P33" s="114">
        <f t="shared" si="6"/>
        <v>-271178.94253099046</v>
      </c>
      <c r="Q33" s="114">
        <f t="shared" si="6"/>
        <v>-188050.62618018509</v>
      </c>
      <c r="R33" s="114">
        <f t="shared" si="6"/>
        <v>0</v>
      </c>
      <c r="S33" s="114">
        <f t="shared" si="6"/>
        <v>0</v>
      </c>
      <c r="T33" s="114">
        <f t="shared" si="6"/>
        <v>0</v>
      </c>
      <c r="U33" s="114">
        <f t="shared" si="6"/>
        <v>0</v>
      </c>
      <c r="V33" s="251"/>
      <c r="AG33" s="5">
        <v>23</v>
      </c>
    </row>
    <row r="34" spans="1:51" ht="16">
      <c r="A34" s="41"/>
      <c r="B34" s="70"/>
      <c r="C34" s="39"/>
      <c r="D34" s="40"/>
      <c r="F34" s="109" t="s">
        <v>252</v>
      </c>
      <c r="G34" s="109"/>
      <c r="H34" s="109"/>
      <c r="I34" s="690" t="e">
        <f>IRR(K34:U34)</f>
        <v>#VALUE!</v>
      </c>
      <c r="J34" s="117" t="e">
        <f>J12+J30</f>
        <v>#REF!</v>
      </c>
      <c r="K34" s="114" t="e">
        <f t="shared" ref="K34:U34" si="7">K12+K30+K14+K33</f>
        <v>#REF!</v>
      </c>
      <c r="L34" s="114">
        <f t="shared" si="7"/>
        <v>-7663333.333333334</v>
      </c>
      <c r="M34" s="114">
        <f t="shared" si="7"/>
        <v>5252614.1646754071</v>
      </c>
      <c r="N34" s="114">
        <f t="shared" si="7"/>
        <v>12139814.369341262</v>
      </c>
      <c r="O34" s="114">
        <f t="shared" si="7"/>
        <v>19447590.056154817</v>
      </c>
      <c r="P34" s="114">
        <f t="shared" si="7"/>
        <v>26846715.310568053</v>
      </c>
      <c r="Q34" s="114">
        <f t="shared" si="7"/>
        <v>14267011.991838321</v>
      </c>
      <c r="R34" s="114">
        <f t="shared" si="7"/>
        <v>0</v>
      </c>
      <c r="S34" s="114">
        <f t="shared" si="7"/>
        <v>0</v>
      </c>
      <c r="T34" s="114">
        <f t="shared" si="7"/>
        <v>0</v>
      </c>
      <c r="U34" s="114">
        <f t="shared" si="7"/>
        <v>0</v>
      </c>
      <c r="W34" s="63"/>
      <c r="X34" s="63"/>
      <c r="Y34" s="63"/>
      <c r="Z34" s="63"/>
      <c r="AA34" s="63"/>
      <c r="AB34" s="63"/>
      <c r="AC34" s="63"/>
      <c r="AD34" s="63"/>
      <c r="AE34" s="63"/>
      <c r="AF34" s="63"/>
      <c r="AG34" s="105">
        <v>24</v>
      </c>
      <c r="AH34" s="104"/>
      <c r="AI34" s="100"/>
      <c r="AJ34" s="100"/>
      <c r="AK34" s="100"/>
      <c r="AL34" s="100"/>
      <c r="AM34" s="100"/>
      <c r="AN34" s="100"/>
      <c r="AO34" s="100"/>
      <c r="AP34" s="100"/>
      <c r="AQ34" s="100"/>
      <c r="AR34" s="100"/>
      <c r="AS34" s="100"/>
      <c r="AU34" s="63"/>
      <c r="AV34" s="63"/>
      <c r="AW34" s="63"/>
      <c r="AX34" s="63"/>
      <c r="AY34" s="63"/>
    </row>
    <row r="35" spans="1:51" ht="21" customHeight="1">
      <c r="A35" s="41" t="e">
        <f t="shared" ref="A35:A54" si="8">D35/$D$56</f>
        <v>#REF!</v>
      </c>
      <c r="B35" s="70" t="e">
        <f>#REF!/#REF!</f>
        <v>#REF!</v>
      </c>
      <c r="C35" s="39">
        <v>62.5</v>
      </c>
      <c r="D35" s="40" t="e">
        <f>#REF!/43560</f>
        <v>#REF!</v>
      </c>
      <c r="F35" s="713" t="s">
        <v>84</v>
      </c>
      <c r="G35" s="713"/>
      <c r="H35" s="713"/>
      <c r="I35" s="713"/>
      <c r="K35" s="714" t="e">
        <f>K32</f>
        <v>#REF!</v>
      </c>
      <c r="L35" s="714" t="e">
        <f t="shared" ref="L35:U35" si="9">K35+L32</f>
        <v>#REF!</v>
      </c>
      <c r="M35" s="714" t="e">
        <f t="shared" si="9"/>
        <v>#REF!</v>
      </c>
      <c r="N35" s="714" t="e">
        <f t="shared" si="9"/>
        <v>#REF!</v>
      </c>
      <c r="O35" s="714" t="e">
        <f t="shared" si="9"/>
        <v>#REF!</v>
      </c>
      <c r="P35" s="714" t="e">
        <f t="shared" si="9"/>
        <v>#REF!</v>
      </c>
      <c r="Q35" s="714" t="e">
        <f t="shared" si="9"/>
        <v>#REF!</v>
      </c>
      <c r="R35" s="714" t="e">
        <f t="shared" si="9"/>
        <v>#REF!</v>
      </c>
      <c r="S35" s="714" t="e">
        <f t="shared" si="9"/>
        <v>#REF!</v>
      </c>
      <c r="T35" s="714" t="e">
        <f t="shared" si="9"/>
        <v>#REF!</v>
      </c>
      <c r="U35" s="714" t="e">
        <f t="shared" si="9"/>
        <v>#REF!</v>
      </c>
      <c r="W35" s="63"/>
      <c r="X35" s="63"/>
      <c r="Y35" s="63"/>
      <c r="Z35" s="63"/>
      <c r="AA35" s="63"/>
      <c r="AB35" s="63"/>
      <c r="AC35" s="63"/>
      <c r="AD35" s="63"/>
      <c r="AE35" s="63"/>
      <c r="AF35" s="63"/>
      <c r="AG35" s="105">
        <v>25</v>
      </c>
      <c r="AH35" s="104">
        <f t="shared" si="1"/>
        <v>1330816.2203252672</v>
      </c>
      <c r="AI35" s="100"/>
      <c r="AJ35" s="100">
        <f>IF(iOption!$V32=AJ$5,iOption!$W32,0)</f>
        <v>0</v>
      </c>
      <c r="AK35" s="100">
        <f>IF(iOption!$V32=AK$5,iOption!$W32,0)</f>
        <v>0</v>
      </c>
      <c r="AL35" s="100">
        <f>IF(iOption!$V32=AL$5,iOption!$W32,0)</f>
        <v>1330816.2203252672</v>
      </c>
      <c r="AM35" s="100">
        <f>IF(iOption!$V32=AM$5,iOption!$W32,0)</f>
        <v>0</v>
      </c>
      <c r="AN35" s="100">
        <f>IF(iOption!$V32=AN$5,iOption!$W32,0)</f>
        <v>0</v>
      </c>
      <c r="AO35" s="100">
        <f>IF(iOption!$V32=AO$5,iOption!$W32,0)</f>
        <v>0</v>
      </c>
      <c r="AP35" s="100">
        <f>IF(iOption!$V32=AP$5,iOption!$W32,0)</f>
        <v>0</v>
      </c>
      <c r="AQ35" s="100">
        <f>IF(iOption!$V32=AQ$5,iOption!$W32,0)</f>
        <v>0</v>
      </c>
      <c r="AR35" s="100">
        <f>IF(iOption!$V32=AR$5,iOption!$W32,0)</f>
        <v>0</v>
      </c>
      <c r="AS35" s="100">
        <f>IF(iOption!$V32=AS$5,iOption!$W32,0)</f>
        <v>0</v>
      </c>
      <c r="AU35" s="63">
        <f>iBudget!$AB34-iOption!N34</f>
        <v>836071.732516394</v>
      </c>
      <c r="AV35" s="63">
        <f>iBudget!$AB34-iOption!O34</f>
        <v>688203.26359136426</v>
      </c>
      <c r="AW35" s="63">
        <f>iBudget!$AB34-iOption!P34</f>
        <v>540334.79466633452</v>
      </c>
      <c r="AX35" s="63">
        <f>iBudget!$AB34-iOption!Q34</f>
        <v>392466.32574130478</v>
      </c>
      <c r="AY35" s="63">
        <f>iBudget!$AB34-iOption!R34</f>
        <v>244597.85681627528</v>
      </c>
    </row>
    <row r="36" spans="1:51" ht="16">
      <c r="A36" s="41" t="e">
        <f>D36/$D$56</f>
        <v>#REF!</v>
      </c>
      <c r="B36" s="70" t="e">
        <f>#REF!/#REF!</f>
        <v>#REF!</v>
      </c>
      <c r="C36" s="39">
        <v>62.5</v>
      </c>
      <c r="D36" s="40" t="e">
        <f>#REF!/43560</f>
        <v>#REF!</v>
      </c>
      <c r="W36" s="63"/>
      <c r="X36" s="63"/>
      <c r="Y36" s="63"/>
      <c r="Z36" s="63"/>
      <c r="AA36" s="63"/>
      <c r="AB36" s="63"/>
      <c r="AC36" s="63"/>
      <c r="AD36" s="63"/>
      <c r="AE36" s="63"/>
      <c r="AF36" s="63"/>
      <c r="AG36" s="105">
        <v>26</v>
      </c>
      <c r="AH36" s="104">
        <f>SUM(AI36:AS36)</f>
        <v>1330816.2203252672</v>
      </c>
      <c r="AI36" s="100"/>
      <c r="AJ36" s="100">
        <f>IF(iOption!$V31=AJ$5,iOption!$W31,0)</f>
        <v>0</v>
      </c>
      <c r="AK36" s="100">
        <f>IF(iOption!$V31=AK$5,iOption!$W31,0)</f>
        <v>0</v>
      </c>
      <c r="AL36" s="100">
        <f>IF(iOption!$V31=AL$5,iOption!$W31,0)</f>
        <v>1330816.2203252672</v>
      </c>
      <c r="AM36" s="100">
        <f>IF(iOption!$V31=AM$5,iOption!$W31,0)</f>
        <v>0</v>
      </c>
      <c r="AN36" s="100">
        <f>IF(iOption!$V31=AN$5,iOption!$W31,0)</f>
        <v>0</v>
      </c>
      <c r="AO36" s="100">
        <f>IF(iOption!$V31=AO$5,iOption!$W31,0)</f>
        <v>0</v>
      </c>
      <c r="AP36" s="100">
        <f>IF(iOption!$V31=AP$5,iOption!$W31,0)</f>
        <v>0</v>
      </c>
      <c r="AQ36" s="100">
        <f>IF(iOption!$V31=AQ$5,iOption!$W31,0)</f>
        <v>0</v>
      </c>
      <c r="AR36" s="100">
        <f>IF(iOption!$V31=AR$5,iOption!$W31,0)</f>
        <v>0</v>
      </c>
      <c r="AS36" s="100">
        <f>IF(iOption!$V31=AS$5,iOption!$W31,0)</f>
        <v>0</v>
      </c>
      <c r="AU36" s="63">
        <f>iBudget!$AB33-iOption!N33</f>
        <v>368283.97876849351</v>
      </c>
      <c r="AV36" s="63">
        <f>iBudget!$AB33-iOption!O33</f>
        <v>220415.50984346378</v>
      </c>
      <c r="AW36" s="63">
        <f>iBudget!$AB33-iOption!P33</f>
        <v>72547.040918434039</v>
      </c>
      <c r="AX36" s="63">
        <f>iBudget!$AB33-iOption!Q33</f>
        <v>-75321.428006595699</v>
      </c>
      <c r="AY36" s="63">
        <f>iBudget!$AB33-iOption!R33</f>
        <v>-223189.8969316252</v>
      </c>
    </row>
    <row r="37" spans="1:51" ht="16">
      <c r="A37" s="41" t="e">
        <f t="shared" si="8"/>
        <v>#REF!</v>
      </c>
      <c r="B37" s="70" t="e">
        <f>#REF!/#REF!</f>
        <v>#REF!</v>
      </c>
      <c r="C37" s="39">
        <v>62.5</v>
      </c>
      <c r="D37" s="40" t="e">
        <f>#REF!/43560</f>
        <v>#REF!</v>
      </c>
      <c r="W37" s="63"/>
      <c r="X37" s="63"/>
      <c r="Y37" s="63"/>
      <c r="Z37" s="63"/>
      <c r="AA37" s="63"/>
      <c r="AB37" s="63"/>
      <c r="AC37" s="63"/>
      <c r="AD37" s="63"/>
      <c r="AE37" s="63"/>
      <c r="AF37" s="63"/>
      <c r="AG37" s="105">
        <v>27</v>
      </c>
      <c r="AH37" s="104">
        <f t="shared" si="1"/>
        <v>1478684.6892502969</v>
      </c>
      <c r="AI37" s="100"/>
      <c r="AJ37" s="100">
        <f>IF(iOption!$V34=AJ$5,iOption!$W34,0)</f>
        <v>0</v>
      </c>
      <c r="AK37" s="100">
        <f>IF(iOption!$V34=AK$5,iOption!$W34,0)</f>
        <v>0</v>
      </c>
      <c r="AL37" s="100">
        <f>IF(iOption!$V34=AL$5,iOption!$W34,0)</f>
        <v>0</v>
      </c>
      <c r="AM37" s="100">
        <f>IF(iOption!$V34=AM$5,iOption!$W34,0)</f>
        <v>1478684.6892502969</v>
      </c>
      <c r="AN37" s="100">
        <f>IF(iOption!$V34=AN$5,iOption!$W34,0)</f>
        <v>0</v>
      </c>
      <c r="AO37" s="100">
        <f>IF(iOption!$V34=AO$5,iOption!$W34,0)</f>
        <v>0</v>
      </c>
      <c r="AP37" s="100">
        <f>IF(iOption!$V34=AP$5,iOption!$W34,0)</f>
        <v>0</v>
      </c>
      <c r="AQ37" s="100">
        <f>IF(iOption!$V34=AQ$5,iOption!$W34,0)</f>
        <v>0</v>
      </c>
      <c r="AR37" s="100">
        <f>IF(iOption!$V34=AR$5,iOption!$W34,0)</f>
        <v>0</v>
      </c>
      <c r="AS37" s="100">
        <f>IF(iOption!$V34=AS$5,iOption!$W34,0)</f>
        <v>0</v>
      </c>
      <c r="AU37" s="63">
        <f>iBudget!$AB36-iOption!N36</f>
        <v>1812945.5030920513</v>
      </c>
      <c r="AV37" s="63">
        <f>iBudget!$AB36-iOption!O36</f>
        <v>1550593.7166820094</v>
      </c>
      <c r="AW37" s="63">
        <f>iBudget!$AB36-iOption!P36</f>
        <v>1288241.9302719673</v>
      </c>
      <c r="AX37" s="63">
        <f>iBudget!$AB36-iOption!Q36</f>
        <v>1025890.1438619257</v>
      </c>
      <c r="AY37" s="63">
        <f>iBudget!$AB36-iOption!R36</f>
        <v>763538.35745188408</v>
      </c>
    </row>
    <row r="38" spans="1:51" ht="16">
      <c r="A38" s="41" t="e">
        <f t="shared" si="8"/>
        <v>#REF!</v>
      </c>
      <c r="B38" s="70" t="e">
        <f>#REF!/#REF!</f>
        <v>#REF!</v>
      </c>
      <c r="C38" s="39">
        <v>83.25</v>
      </c>
      <c r="D38" s="40" t="e">
        <f>#REF!/43560</f>
        <v>#REF!</v>
      </c>
      <c r="W38" s="63"/>
      <c r="X38" s="63"/>
      <c r="Y38" s="63"/>
      <c r="Z38" s="63"/>
      <c r="AA38" s="63"/>
      <c r="AB38" s="63"/>
      <c r="AC38" s="63"/>
      <c r="AD38" s="63"/>
      <c r="AE38" s="63"/>
      <c r="AF38" s="63"/>
      <c r="AG38" s="105">
        <v>28</v>
      </c>
      <c r="AH38" s="104">
        <f t="shared" si="1"/>
        <v>1330816.2203252672</v>
      </c>
      <c r="AI38" s="100"/>
      <c r="AJ38" s="100">
        <f>IF(iOption!$V35=AJ$5,iOption!$W35,0)</f>
        <v>0</v>
      </c>
      <c r="AK38" s="100">
        <f>IF(iOption!$V35=AK$5,iOption!$W35,0)</f>
        <v>0</v>
      </c>
      <c r="AL38" s="100">
        <f>IF(iOption!$V35=AL$5,iOption!$W35,0)</f>
        <v>1330816.2203252672</v>
      </c>
      <c r="AM38" s="100">
        <f>IF(iOption!$V35=AM$5,iOption!$W35,0)</f>
        <v>0</v>
      </c>
      <c r="AN38" s="100">
        <f>IF(iOption!$V35=AN$5,iOption!$W35,0)</f>
        <v>0</v>
      </c>
      <c r="AO38" s="100">
        <f>IF(iOption!$V35=AO$5,iOption!$W35,0)</f>
        <v>0</v>
      </c>
      <c r="AP38" s="100">
        <f>IF(iOption!$V35=AP$5,iOption!$W35,0)</f>
        <v>0</v>
      </c>
      <c r="AQ38" s="100">
        <f>IF(iOption!$V35=AQ$5,iOption!$W35,0)</f>
        <v>0</v>
      </c>
      <c r="AR38" s="100">
        <f>IF(iOption!$V35=AR$5,iOption!$W35,0)</f>
        <v>0</v>
      </c>
      <c r="AS38" s="100">
        <f>IF(iOption!$V35=AS$5,iOption!$W35,0)</f>
        <v>0</v>
      </c>
      <c r="AU38" s="63">
        <f>iBudget!$AB37-iOption!N37</f>
        <v>529930.8121893981</v>
      </c>
      <c r="AV38" s="63">
        <f>iBudget!$AB37-iOption!O37</f>
        <v>317000.21693735523</v>
      </c>
      <c r="AW38" s="63">
        <f>iBudget!$AB37-iOption!P37</f>
        <v>104069.62168531236</v>
      </c>
      <c r="AX38" s="63">
        <f>iBudget!$AB37-iOption!Q37</f>
        <v>-108860.97356673027</v>
      </c>
      <c r="AY38" s="63">
        <f>iBudget!$AB37-iOption!R37</f>
        <v>-321791.56881877291</v>
      </c>
    </row>
    <row r="39" spans="1:51" ht="16">
      <c r="A39" s="41" t="e">
        <f t="shared" si="8"/>
        <v>#REF!</v>
      </c>
      <c r="B39" s="70" t="e">
        <f>#REF!/#REF!</f>
        <v>#REF!</v>
      </c>
      <c r="C39" s="39">
        <v>75</v>
      </c>
      <c r="D39" s="40" t="e">
        <f>#REF!/43560</f>
        <v>#REF!</v>
      </c>
      <c r="L39" s="136"/>
      <c r="M39" s="136"/>
      <c r="N39" s="136"/>
      <c r="W39" s="63"/>
      <c r="X39" s="63"/>
      <c r="Y39" s="63"/>
      <c r="Z39" s="63"/>
      <c r="AA39" s="63"/>
      <c r="AB39" s="63"/>
      <c r="AC39" s="63"/>
      <c r="AD39" s="63"/>
      <c r="AE39" s="63"/>
      <c r="AF39" s="63"/>
      <c r="AG39" s="105">
        <v>29</v>
      </c>
      <c r="AH39" s="104">
        <f t="shared" si="1"/>
        <v>2361166.0776903769</v>
      </c>
      <c r="AI39" s="100"/>
      <c r="AJ39" s="100">
        <f>IF(iOption!$V36=AJ$5,iOption!$W36,0)</f>
        <v>0</v>
      </c>
      <c r="AK39" s="100">
        <f>IF(iOption!$V36=AK$5,iOption!$W36,0)</f>
        <v>0</v>
      </c>
      <c r="AL39" s="100">
        <f>IF(iOption!$V36=AL$5,iOption!$W36,0)</f>
        <v>2361166.0776903769</v>
      </c>
      <c r="AM39" s="100">
        <f>IF(iOption!$V36=AM$5,iOption!$W36,0)</f>
        <v>0</v>
      </c>
      <c r="AN39" s="100">
        <f>IF(iOption!$V36=AN$5,iOption!$W36,0)</f>
        <v>0</v>
      </c>
      <c r="AO39" s="100">
        <f>IF(iOption!$V36=AO$5,iOption!$W36,0)</f>
        <v>0</v>
      </c>
      <c r="AP39" s="100">
        <f>IF(iOption!$V36=AP$5,iOption!$W36,0)</f>
        <v>0</v>
      </c>
      <c r="AQ39" s="100">
        <f>IF(iOption!$V36=AQ$5,iOption!$W36,0)</f>
        <v>0</v>
      </c>
      <c r="AR39" s="100">
        <f>IF(iOption!$V36=AR$5,iOption!$W36,0)</f>
        <v>0</v>
      </c>
      <c r="AS39" s="100">
        <f>IF(iOption!$V36=AS$5,iOption!$W36,0)</f>
        <v>0</v>
      </c>
      <c r="AU39" s="63">
        <f>iBudget!$AB38-iOption!N38</f>
        <v>238289.50845384551</v>
      </c>
      <c r="AV39" s="63">
        <f>iBudget!$AB38-iOption!O38</f>
        <v>143653.68834182655</v>
      </c>
      <c r="AW39" s="63">
        <f>iBudget!$AB38-iOption!P38</f>
        <v>49017.868229807587</v>
      </c>
      <c r="AX39" s="63">
        <f>iBudget!$AB38-iOption!Q38</f>
        <v>-45617.951882211375</v>
      </c>
      <c r="AY39" s="63">
        <f>iBudget!$AB38-iOption!R38</f>
        <v>-140253.77199423045</v>
      </c>
    </row>
    <row r="40" spans="1:51" ht="16">
      <c r="A40" s="41" t="e">
        <f t="shared" si="8"/>
        <v>#REF!</v>
      </c>
      <c r="B40" s="70" t="e">
        <f>#REF!/#REF!</f>
        <v>#REF!</v>
      </c>
      <c r="C40" s="39">
        <v>50</v>
      </c>
      <c r="D40" s="40" t="e">
        <f>#REF!/43560</f>
        <v>#REF!</v>
      </c>
      <c r="F40" s="698" t="s">
        <v>254</v>
      </c>
      <c r="G40" s="107"/>
      <c r="I40" s="696" t="s">
        <v>230</v>
      </c>
      <c r="J40" s="697" t="s">
        <v>231</v>
      </c>
      <c r="W40" s="63"/>
      <c r="X40" s="63"/>
      <c r="Y40" s="63"/>
      <c r="Z40" s="63"/>
      <c r="AA40" s="63"/>
      <c r="AB40" s="63"/>
      <c r="AC40" s="63"/>
      <c r="AD40" s="63"/>
      <c r="AE40" s="63"/>
      <c r="AF40" s="63"/>
      <c r="AG40" s="105">
        <v>30</v>
      </c>
      <c r="AH40" s="104">
        <f t="shared" si="1"/>
        <v>2129305.9525204278</v>
      </c>
      <c r="AI40" s="100"/>
      <c r="AJ40" s="100">
        <f>IF(iOption!$V37=AJ$5,iOption!$W37,0)</f>
        <v>0</v>
      </c>
      <c r="AK40" s="100">
        <f>IF(iOption!$V37=AK$5,iOption!$W37,0)</f>
        <v>0</v>
      </c>
      <c r="AL40" s="100">
        <f>IF(iOption!$V37=AL$5,iOption!$W37,0)</f>
        <v>0</v>
      </c>
      <c r="AM40" s="100">
        <f>IF(iOption!$V37=AM$5,iOption!$W37,0)</f>
        <v>2129305.9525204278</v>
      </c>
      <c r="AN40" s="100">
        <f>IF(iOption!$V37=AN$5,iOption!$W37,0)</f>
        <v>0</v>
      </c>
      <c r="AO40" s="100">
        <f>IF(iOption!$V37=AO$5,iOption!$W37,0)</f>
        <v>0</v>
      </c>
      <c r="AP40" s="100">
        <f>IF(iOption!$V37=AP$5,iOption!$W37,0)</f>
        <v>0</v>
      </c>
      <c r="AQ40" s="100">
        <f>IF(iOption!$V37=AQ$5,iOption!$W37,0)</f>
        <v>0</v>
      </c>
      <c r="AR40" s="100">
        <f>IF(iOption!$V37=AR$5,iOption!$W37,0)</f>
        <v>0</v>
      </c>
      <c r="AS40" s="100">
        <f>IF(iOption!$V37=AS$5,iOption!$W37,0)</f>
        <v>0</v>
      </c>
      <c r="AU40" s="63">
        <f>iBudget!$AB39-iOption!N39</f>
        <v>358388.2083522426</v>
      </c>
      <c r="AV40" s="63">
        <f>iBudget!$AB39-iOption!O39</f>
        <v>263752.38824022363</v>
      </c>
      <c r="AW40" s="63">
        <f>iBudget!$AB39-iOption!P39</f>
        <v>169116.56812820467</v>
      </c>
      <c r="AX40" s="63">
        <f>iBudget!$AB39-iOption!Q39</f>
        <v>74480.748016185709</v>
      </c>
      <c r="AY40" s="63">
        <f>iBudget!$AB39-iOption!R39</f>
        <v>-20155.07209583337</v>
      </c>
    </row>
    <row r="41" spans="1:51" ht="16">
      <c r="A41" s="41" t="e">
        <f t="shared" si="8"/>
        <v>#REF!</v>
      </c>
      <c r="B41" s="70" t="e">
        <f>#REF!/#REF!</f>
        <v>#REF!</v>
      </c>
      <c r="C41" s="39">
        <v>50</v>
      </c>
      <c r="D41" s="40" t="e">
        <f>#REF!/43560</f>
        <v>#REF!</v>
      </c>
      <c r="F41" s="695" t="s">
        <v>255</v>
      </c>
      <c r="H41" s="694">
        <v>1</v>
      </c>
      <c r="I41" s="114">
        <f>mOption!AA7</f>
        <v>26213333.333333347</v>
      </c>
      <c r="W41" s="63"/>
      <c r="X41" s="63"/>
      <c r="Y41" s="63"/>
      <c r="Z41" s="63"/>
      <c r="AA41" s="63"/>
      <c r="AB41" s="63"/>
      <c r="AC41" s="63"/>
      <c r="AD41" s="63"/>
      <c r="AE41" s="63"/>
      <c r="AF41" s="63"/>
      <c r="AG41" s="105">
        <v>31</v>
      </c>
      <c r="AH41" s="104">
        <f t="shared" si="1"/>
        <v>946358.20112018986</v>
      </c>
      <c r="AI41" s="100"/>
      <c r="AJ41" s="100">
        <f>IF(iOption!$V38=AJ$5,iOption!$W38,0)</f>
        <v>0</v>
      </c>
      <c r="AK41" s="100">
        <f>IF(iOption!$V38=AK$5,iOption!$W38,0)</f>
        <v>0</v>
      </c>
      <c r="AL41" s="100">
        <f>IF(iOption!$V38=AL$5,iOption!$W38,0)</f>
        <v>0</v>
      </c>
      <c r="AM41" s="100">
        <f>IF(iOption!$V38=AM$5,iOption!$W38,0)</f>
        <v>946358.20112018986</v>
      </c>
      <c r="AN41" s="100">
        <f>IF(iOption!$V38=AN$5,iOption!$W38,0)</f>
        <v>0</v>
      </c>
      <c r="AO41" s="100">
        <f>IF(iOption!$V38=AO$5,iOption!$W38,0)</f>
        <v>0</v>
      </c>
      <c r="AP41" s="100">
        <f>IF(iOption!$V38=AP$5,iOption!$W38,0)</f>
        <v>0</v>
      </c>
      <c r="AQ41" s="100">
        <f>IF(iOption!$V38=AQ$5,iOption!$W38,0)</f>
        <v>0</v>
      </c>
      <c r="AR41" s="100">
        <f>IF(iOption!$V38=AR$5,iOption!$W38,0)</f>
        <v>0</v>
      </c>
      <c r="AS41" s="100">
        <f>IF(iOption!$V38=AS$5,iOption!$W38,0)</f>
        <v>0</v>
      </c>
      <c r="AU41" s="63">
        <f>iBudget!$AB40-iOption!N40</f>
        <v>358388.2083522426</v>
      </c>
      <c r="AV41" s="63">
        <f>iBudget!$AB40-iOption!O40</f>
        <v>263752.38824022363</v>
      </c>
      <c r="AW41" s="63">
        <f>iBudget!$AB40-iOption!P40</f>
        <v>169116.56812820467</v>
      </c>
      <c r="AX41" s="63">
        <f>iBudget!$AB40-iOption!Q40</f>
        <v>74480.748016185709</v>
      </c>
      <c r="AY41" s="63">
        <f>iBudget!$AB40-iOption!R40</f>
        <v>-20155.07209583337</v>
      </c>
    </row>
    <row r="42" spans="1:51" ht="16">
      <c r="A42" s="41" t="e">
        <f t="shared" si="8"/>
        <v>#REF!</v>
      </c>
      <c r="B42" s="70" t="e">
        <f>#REF!/#REF!</f>
        <v>#REF!</v>
      </c>
      <c r="C42" s="39">
        <v>50</v>
      </c>
      <c r="D42" s="40" t="e">
        <f>#REF!/43560</f>
        <v>#REF!</v>
      </c>
      <c r="F42" s="107" t="s">
        <v>253</v>
      </c>
      <c r="G42" s="107"/>
      <c r="H42" s="136"/>
      <c r="I42" s="107"/>
      <c r="J42" s="114"/>
      <c r="W42" s="63"/>
      <c r="X42" s="63"/>
      <c r="Y42" s="63"/>
      <c r="Z42" s="63"/>
      <c r="AA42" s="63"/>
      <c r="AB42" s="63"/>
      <c r="AC42" s="63"/>
      <c r="AD42" s="63"/>
      <c r="AE42" s="63"/>
      <c r="AF42" s="63"/>
      <c r="AG42" s="105">
        <v>32</v>
      </c>
      <c r="AH42" s="104">
        <f t="shared" si="1"/>
        <v>946358.20112018986</v>
      </c>
      <c r="AI42" s="100"/>
      <c r="AJ42" s="100">
        <f>IF(iOption!$V39=AJ$5,iOption!$W39,0)</f>
        <v>0</v>
      </c>
      <c r="AK42" s="100">
        <f>IF(iOption!$V39=AK$5,iOption!$W39,0)</f>
        <v>0</v>
      </c>
      <c r="AL42" s="100">
        <f>IF(iOption!$V39=AL$5,iOption!$W39,0)</f>
        <v>0</v>
      </c>
      <c r="AM42" s="100">
        <f>IF(iOption!$V39=AM$5,iOption!$W39,0)</f>
        <v>946358.20112018986</v>
      </c>
      <c r="AN42" s="100">
        <f>IF(iOption!$V39=AN$5,iOption!$W39,0)</f>
        <v>0</v>
      </c>
      <c r="AO42" s="100">
        <f>IF(iOption!$V39=AO$5,iOption!$W39,0)</f>
        <v>0</v>
      </c>
      <c r="AP42" s="100">
        <f>IF(iOption!$V39=AP$5,iOption!$W39,0)</f>
        <v>0</v>
      </c>
      <c r="AQ42" s="100">
        <f>IF(iOption!$V39=AQ$5,iOption!$W39,0)</f>
        <v>0</v>
      </c>
      <c r="AR42" s="100">
        <f>IF(iOption!$V39=AR$5,iOption!$W39,0)</f>
        <v>0</v>
      </c>
      <c r="AS42" s="100">
        <f>IF(iOption!$V39=AS$5,iOption!$W39,0)</f>
        <v>0</v>
      </c>
      <c r="AU42" s="63">
        <f>iBudget!$AB41-iOption!N41</f>
        <v>1023186.8340155543</v>
      </c>
      <c r="AV42" s="63">
        <f>iBudget!$AB41-iOption!O41</f>
        <v>875318.36509052454</v>
      </c>
      <c r="AW42" s="63">
        <f>iBudget!$AB41-iOption!P41</f>
        <v>727449.89616549481</v>
      </c>
      <c r="AX42" s="63">
        <f>iBudget!$AB41-iOption!Q41</f>
        <v>579581.42724046507</v>
      </c>
      <c r="AY42" s="63">
        <f>iBudget!$AB41-iOption!R41</f>
        <v>431712.95831543556</v>
      </c>
    </row>
    <row r="43" spans="1:51" ht="16">
      <c r="A43" s="41" t="e">
        <f t="shared" si="8"/>
        <v>#REF!</v>
      </c>
      <c r="B43" s="70" t="e">
        <f>#REF!/#REF!</f>
        <v>#REF!</v>
      </c>
      <c r="C43" s="39">
        <v>62.5</v>
      </c>
      <c r="D43" s="40" t="e">
        <f>#REF!/43560</f>
        <v>#REF!</v>
      </c>
      <c r="F43" s="136"/>
      <c r="G43" s="136"/>
      <c r="H43" s="136"/>
      <c r="I43" s="107"/>
      <c r="J43" s="114"/>
      <c r="W43" s="63"/>
      <c r="X43" s="63"/>
      <c r="Y43" s="63"/>
      <c r="Z43" s="63"/>
      <c r="AA43" s="63"/>
      <c r="AB43" s="63"/>
      <c r="AC43" s="63"/>
      <c r="AD43" s="63"/>
      <c r="AE43" s="63"/>
      <c r="AF43" s="63"/>
      <c r="AG43" s="105">
        <v>33</v>
      </c>
      <c r="AH43" s="104">
        <f t="shared" si="1"/>
        <v>946358.20112018986</v>
      </c>
      <c r="AI43" s="100"/>
      <c r="AJ43" s="100">
        <f>IF(iOption!$V40=AJ$5,iOption!$W40,0)</f>
        <v>0</v>
      </c>
      <c r="AK43" s="100">
        <f>IF(iOption!$V40=AK$5,iOption!$W40,0)</f>
        <v>0</v>
      </c>
      <c r="AL43" s="100">
        <f>IF(iOption!$V40=AL$5,iOption!$W40,0)</f>
        <v>0</v>
      </c>
      <c r="AM43" s="100">
        <f>IF(iOption!$V40=AM$5,iOption!$W40,0)</f>
        <v>946358.20112018986</v>
      </c>
      <c r="AN43" s="100">
        <f>IF(iOption!$V40=AN$5,iOption!$W40,0)</f>
        <v>0</v>
      </c>
      <c r="AO43" s="100">
        <f>IF(iOption!$V40=AO$5,iOption!$W40,0)</f>
        <v>0</v>
      </c>
      <c r="AP43" s="100">
        <f>IF(iOption!$V40=AP$5,iOption!$W40,0)</f>
        <v>0</v>
      </c>
      <c r="AQ43" s="100">
        <f>IF(iOption!$V40=AQ$5,iOption!$W40,0)</f>
        <v>0</v>
      </c>
      <c r="AR43" s="100">
        <f>IF(iOption!$V40=AR$5,iOption!$W40,0)</f>
        <v>0</v>
      </c>
      <c r="AS43" s="100">
        <f>IF(iOption!$V40=AS$5,iOption!$W40,0)</f>
        <v>0</v>
      </c>
      <c r="AU43" s="63">
        <f>iBudget!$AB42-iOption!N42</f>
        <v>1023186.8340155543</v>
      </c>
      <c r="AV43" s="63">
        <f>iBudget!$AB42-iOption!O42</f>
        <v>875318.36509052454</v>
      </c>
      <c r="AW43" s="63">
        <f>iBudget!$AB42-iOption!P42</f>
        <v>727449.89616549481</v>
      </c>
      <c r="AX43" s="63">
        <f>iBudget!$AB42-iOption!Q42</f>
        <v>579581.42724046507</v>
      </c>
      <c r="AY43" s="63">
        <f>iBudget!$AB42-iOption!R42</f>
        <v>431712.95831543556</v>
      </c>
    </row>
    <row r="44" spans="1:51" ht="16">
      <c r="A44" s="41" t="e">
        <f t="shared" si="8"/>
        <v>#REF!</v>
      </c>
      <c r="B44" s="70" t="e">
        <f>#REF!/#REF!</f>
        <v>#REF!</v>
      </c>
      <c r="C44" s="39">
        <v>62.5</v>
      </c>
      <c r="D44" s="40" t="e">
        <f>#REF!/43560</f>
        <v>#REF!</v>
      </c>
      <c r="F44" s="107"/>
      <c r="G44" s="107"/>
      <c r="H44" s="107"/>
      <c r="I44" s="107"/>
      <c r="J44" s="114"/>
      <c r="K44" s="136"/>
      <c r="L44" s="136"/>
      <c r="M44" s="136"/>
      <c r="N44" s="136"/>
      <c r="W44" s="63"/>
      <c r="X44" s="63"/>
      <c r="Y44" s="63"/>
      <c r="Z44" s="63"/>
      <c r="AA44" s="63"/>
      <c r="AB44" s="63"/>
      <c r="AC44" s="63"/>
      <c r="AD44" s="63"/>
      <c r="AE44" s="63"/>
      <c r="AF44" s="63"/>
      <c r="AG44" s="105">
        <v>34</v>
      </c>
      <c r="AH44" s="104">
        <f t="shared" si="1"/>
        <v>1478684.6892502969</v>
      </c>
      <c r="AI44" s="100"/>
      <c r="AJ44" s="100">
        <f>IF(iOption!$V41=AJ$5,iOption!$W41,0)</f>
        <v>0</v>
      </c>
      <c r="AK44" s="100">
        <f>IF(iOption!$V41=AK$5,iOption!$W41,0)</f>
        <v>0</v>
      </c>
      <c r="AL44" s="100">
        <f>IF(iOption!$V41=AL$5,iOption!$W41,0)</f>
        <v>0</v>
      </c>
      <c r="AM44" s="100">
        <f>IF(iOption!$V41=AM$5,iOption!$W41,0)</f>
        <v>1478684.6892502969</v>
      </c>
      <c r="AN44" s="100">
        <f>IF(iOption!$V41=AN$5,iOption!$W41,0)</f>
        <v>0</v>
      </c>
      <c r="AO44" s="100">
        <f>IF(iOption!$V41=AO$5,iOption!$W41,0)</f>
        <v>0</v>
      </c>
      <c r="AP44" s="100">
        <f>IF(iOption!$V41=AP$5,iOption!$W41,0)</f>
        <v>0</v>
      </c>
      <c r="AQ44" s="100">
        <f>IF(iOption!$V41=AQ$5,iOption!$W41,0)</f>
        <v>0</v>
      </c>
      <c r="AR44" s="100">
        <f>IF(iOption!$V41=AR$5,iOption!$W41,0)</f>
        <v>0</v>
      </c>
      <c r="AS44" s="100">
        <f>IF(iOption!$V41=AS$5,iOption!$W41,0)</f>
        <v>0</v>
      </c>
      <c r="AU44" s="63">
        <f>iBudget!$AB43-iOption!N43</f>
        <v>1068716.1399103841</v>
      </c>
      <c r="AV44" s="63">
        <f>iBudget!$AB43-iOption!O43</f>
        <v>855785.54465834121</v>
      </c>
      <c r="AW44" s="63">
        <f>iBudget!$AB43-iOption!P43</f>
        <v>642854.94940629834</v>
      </c>
      <c r="AX44" s="63">
        <f>iBudget!$AB43-iOption!Q43</f>
        <v>429924.35415425571</v>
      </c>
      <c r="AY44" s="63">
        <f>iBudget!$AB43-iOption!R43</f>
        <v>216993.75890221307</v>
      </c>
    </row>
    <row r="45" spans="1:51" ht="16">
      <c r="A45" s="41" t="e">
        <f t="shared" si="8"/>
        <v>#REF!</v>
      </c>
      <c r="B45" s="70" t="e">
        <f>#REF!/#REF!</f>
        <v>#REF!</v>
      </c>
      <c r="C45" s="39">
        <v>75</v>
      </c>
      <c r="D45" s="40" t="e">
        <f>#REF!/43560</f>
        <v>#REF!</v>
      </c>
      <c r="J45" s="792">
        <f>J30/45</f>
        <v>1863084.4569976327</v>
      </c>
      <c r="M45" s="136"/>
      <c r="N45" s="136"/>
      <c r="W45" s="63"/>
      <c r="X45" s="63"/>
      <c r="Y45" s="63"/>
      <c r="Z45" s="63"/>
      <c r="AA45" s="63"/>
      <c r="AB45" s="63"/>
      <c r="AC45" s="63"/>
      <c r="AD45" s="63"/>
      <c r="AE45" s="63"/>
      <c r="AF45" s="63"/>
      <c r="AG45" s="105">
        <v>35</v>
      </c>
      <c r="AH45" s="104">
        <f t="shared" si="1"/>
        <v>1478684.6892502969</v>
      </c>
      <c r="AI45" s="100"/>
      <c r="AJ45" s="100">
        <f>IF(iOption!$V42=AJ$5,iOption!$W42,0)</f>
        <v>0</v>
      </c>
      <c r="AK45" s="100">
        <f>IF(iOption!$V42=AK$5,iOption!$W42,0)</f>
        <v>0</v>
      </c>
      <c r="AL45" s="100">
        <f>IF(iOption!$V42=AL$5,iOption!$W42,0)</f>
        <v>0</v>
      </c>
      <c r="AM45" s="100">
        <f>IF(iOption!$V42=AM$5,iOption!$W42,0)</f>
        <v>1478684.6892502969</v>
      </c>
      <c r="AN45" s="100">
        <f>IF(iOption!$V42=AN$5,iOption!$W42,0)</f>
        <v>0</v>
      </c>
      <c r="AO45" s="100">
        <f>IF(iOption!$V42=AO$5,iOption!$W42,0)</f>
        <v>0</v>
      </c>
      <c r="AP45" s="100">
        <f>IF(iOption!$V42=AP$5,iOption!$W42,0)</f>
        <v>0</v>
      </c>
      <c r="AQ45" s="100">
        <f>IF(iOption!$V42=AQ$5,iOption!$W42,0)</f>
        <v>0</v>
      </c>
      <c r="AR45" s="100">
        <f>IF(iOption!$V42=AR$5,iOption!$W42,0)</f>
        <v>0</v>
      </c>
      <c r="AS45" s="100">
        <f>IF(iOption!$V42=AS$5,iOption!$W42,0)</f>
        <v>0</v>
      </c>
      <c r="AU45" s="63">
        <f>iBudget!$AB44-iOption!N44</f>
        <v>1203412.4718406308</v>
      </c>
      <c r="AV45" s="63">
        <f>iBudget!$AB44-iOption!O44</f>
        <v>990481.87658858788</v>
      </c>
      <c r="AW45" s="63">
        <f>iBudget!$AB44-iOption!P44</f>
        <v>777551.28133654501</v>
      </c>
      <c r="AX45" s="63">
        <f>iBudget!$AB44-iOption!Q44</f>
        <v>564620.68608450238</v>
      </c>
      <c r="AY45" s="63">
        <f>iBudget!$AB44-iOption!R44</f>
        <v>351690.09083245974</v>
      </c>
    </row>
    <row r="46" spans="1:51" ht="16">
      <c r="A46" s="41" t="e">
        <f t="shared" si="8"/>
        <v>#REF!</v>
      </c>
      <c r="B46" s="70" t="e">
        <f>#REF!/#REF!</f>
        <v>#REF!</v>
      </c>
      <c r="C46" s="39">
        <v>75</v>
      </c>
      <c r="D46" s="40" t="e">
        <f>#REF!/43560</f>
        <v>#REF!</v>
      </c>
      <c r="M46" s="136"/>
      <c r="N46" s="136"/>
      <c r="W46" s="63"/>
      <c r="X46" s="63"/>
      <c r="Y46" s="63"/>
      <c r="Z46" s="63"/>
      <c r="AA46" s="63"/>
      <c r="AB46" s="63"/>
      <c r="AC46" s="63"/>
      <c r="AD46" s="63"/>
      <c r="AE46" s="63"/>
      <c r="AF46" s="63"/>
      <c r="AG46" s="105">
        <v>36</v>
      </c>
      <c r="AH46" s="104">
        <f t="shared" si="1"/>
        <v>2342236.5477724704</v>
      </c>
      <c r="AI46" s="100"/>
      <c r="AJ46" s="100">
        <f>IF(iOption!$V43=AJ$5,iOption!$W43,0)</f>
        <v>0</v>
      </c>
      <c r="AK46" s="100">
        <f>IF(iOption!$V43=AK$5,iOption!$W43,0)</f>
        <v>0</v>
      </c>
      <c r="AL46" s="100">
        <f>IF(iOption!$V43=AL$5,iOption!$W43,0)</f>
        <v>0</v>
      </c>
      <c r="AM46" s="100">
        <f>IF(iOption!$V43=AM$5,iOption!$W43,0)</f>
        <v>0</v>
      </c>
      <c r="AN46" s="100">
        <f>IF(iOption!$V43=AN$5,iOption!$W43,0)</f>
        <v>2342236.5477724704</v>
      </c>
      <c r="AO46" s="100">
        <f>IF(iOption!$V43=AO$5,iOption!$W43,0)</f>
        <v>0</v>
      </c>
      <c r="AP46" s="100">
        <f>IF(iOption!$V43=AP$5,iOption!$W43,0)</f>
        <v>0</v>
      </c>
      <c r="AQ46" s="100">
        <f>IF(iOption!$V43=AQ$5,iOption!$W43,0)</f>
        <v>0</v>
      </c>
      <c r="AR46" s="100">
        <f>IF(iOption!$V43=AR$5,iOption!$W43,0)</f>
        <v>0</v>
      </c>
      <c r="AS46" s="100">
        <f>IF(iOption!$V43=AS$5,iOption!$W43,0)</f>
        <v>0</v>
      </c>
      <c r="AU46" s="63">
        <f>iBudget!$AB45-iOption!N45</f>
        <v>1023186.8340155543</v>
      </c>
      <c r="AV46" s="63">
        <f>iBudget!$AB45-iOption!O45</f>
        <v>875318.36509052454</v>
      </c>
      <c r="AW46" s="63">
        <f>iBudget!$AB45-iOption!P45</f>
        <v>727449.89616549481</v>
      </c>
      <c r="AX46" s="63">
        <f>iBudget!$AB45-iOption!Q45</f>
        <v>579581.42724046507</v>
      </c>
      <c r="AY46" s="63">
        <f>iBudget!$AB45-iOption!R45</f>
        <v>431712.95831543556</v>
      </c>
    </row>
    <row r="47" spans="1:51" ht="16">
      <c r="A47" s="41" t="e">
        <f t="shared" si="8"/>
        <v>#REF!</v>
      </c>
      <c r="B47" s="70" t="e">
        <f>#REF!/#REF!</f>
        <v>#REF!</v>
      </c>
      <c r="C47" s="39">
        <v>62.5</v>
      </c>
      <c r="D47" s="40" t="e">
        <f>#REF!/43560</f>
        <v>#REF!</v>
      </c>
      <c r="W47" s="63"/>
      <c r="X47" s="63"/>
      <c r="Y47" s="63"/>
      <c r="Z47" s="63"/>
      <c r="AA47" s="63"/>
      <c r="AB47" s="63"/>
      <c r="AC47" s="63"/>
      <c r="AD47" s="63"/>
      <c r="AE47" s="63"/>
      <c r="AF47" s="63"/>
      <c r="AG47" s="105">
        <v>37</v>
      </c>
      <c r="AH47" s="104">
        <f t="shared" si="1"/>
        <v>2342236.5477724704</v>
      </c>
      <c r="AI47" s="100"/>
      <c r="AJ47" s="100">
        <f>IF(iOption!$V44=AJ$5,iOption!$W44,0)</f>
        <v>0</v>
      </c>
      <c r="AK47" s="100">
        <f>IF(iOption!$V44=AK$5,iOption!$W44,0)</f>
        <v>0</v>
      </c>
      <c r="AL47" s="100">
        <f>IF(iOption!$V44=AL$5,iOption!$W44,0)</f>
        <v>0</v>
      </c>
      <c r="AM47" s="100">
        <f>IF(iOption!$V44=AM$5,iOption!$W44,0)</f>
        <v>0</v>
      </c>
      <c r="AN47" s="100">
        <f>IF(iOption!$V44=AN$5,iOption!$W44,0)</f>
        <v>2342236.5477724704</v>
      </c>
      <c r="AO47" s="100">
        <f>IF(iOption!$V44=AO$5,iOption!$W44,0)</f>
        <v>0</v>
      </c>
      <c r="AP47" s="100">
        <f>IF(iOption!$V44=AP$5,iOption!$W44,0)</f>
        <v>0</v>
      </c>
      <c r="AQ47" s="100">
        <f>IF(iOption!$V44=AQ$5,iOption!$W44,0)</f>
        <v>0</v>
      </c>
      <c r="AR47" s="100">
        <f>IF(iOption!$V44=AR$5,iOption!$W44,0)</f>
        <v>0</v>
      </c>
      <c r="AS47" s="100">
        <f>IF(iOption!$V44=AS$5,iOption!$W44,0)</f>
        <v>0</v>
      </c>
      <c r="AU47" s="63">
        <f>iBudget!$AB46-iOption!N46</f>
        <v>1303859.4862642942</v>
      </c>
      <c r="AV47" s="63">
        <f>iBudget!$AB46-iOption!O46</f>
        <v>1155991.0173392645</v>
      </c>
      <c r="AW47" s="63">
        <f>iBudget!$AB46-iOption!P46</f>
        <v>1008122.5484142348</v>
      </c>
      <c r="AX47" s="63">
        <f>iBudget!$AB46-iOption!Q46</f>
        <v>860254.07948920503</v>
      </c>
      <c r="AY47" s="63">
        <f>iBudget!$AB46-iOption!R46</f>
        <v>712385.61056417553</v>
      </c>
    </row>
    <row r="48" spans="1:51" ht="16">
      <c r="A48" s="41" t="e">
        <f t="shared" si="8"/>
        <v>#REF!</v>
      </c>
      <c r="B48" s="70" t="e">
        <f>#REF!/#REF!</f>
        <v>#REF!</v>
      </c>
      <c r="C48" s="39">
        <v>62.5</v>
      </c>
      <c r="D48" s="40" t="e">
        <f>#REF!/43560</f>
        <v>#REF!</v>
      </c>
      <c r="M48" s="701"/>
      <c r="N48" s="136"/>
      <c r="W48" s="63"/>
      <c r="X48" s="63"/>
      <c r="Y48" s="63"/>
      <c r="Z48" s="63"/>
      <c r="AA48" s="63"/>
      <c r="AB48" s="63"/>
      <c r="AC48" s="63"/>
      <c r="AD48" s="63"/>
      <c r="AE48" s="63"/>
      <c r="AF48" s="63"/>
      <c r="AG48" s="105">
        <v>38</v>
      </c>
      <c r="AH48" s="104">
        <f t="shared" si="1"/>
        <v>1626553.1581753264</v>
      </c>
      <c r="AI48" s="100"/>
      <c r="AJ48" s="100">
        <f>IF(iOption!$V45=AJ$5,iOption!$W45,0)</f>
        <v>0</v>
      </c>
      <c r="AK48" s="100">
        <f>IF(iOption!$V45=AK$5,iOption!$W45,0)</f>
        <v>0</v>
      </c>
      <c r="AL48" s="100">
        <f>IF(iOption!$V45=AL$5,iOption!$W45,0)</f>
        <v>0</v>
      </c>
      <c r="AM48" s="100">
        <f>IF(iOption!$V45=AM$5,iOption!$W45,0)</f>
        <v>0</v>
      </c>
      <c r="AN48" s="100">
        <f>IF(iOption!$V45=AN$5,iOption!$W45,0)</f>
        <v>1626553.1581753264</v>
      </c>
      <c r="AO48" s="100">
        <f>IF(iOption!$V45=AO$5,iOption!$W45,0)</f>
        <v>0</v>
      </c>
      <c r="AP48" s="100">
        <f>IF(iOption!$V45=AP$5,iOption!$W45,0)</f>
        <v>0</v>
      </c>
      <c r="AQ48" s="100">
        <f>IF(iOption!$V45=AQ$5,iOption!$W45,0)</f>
        <v>0</v>
      </c>
      <c r="AR48" s="100">
        <f>IF(iOption!$V45=AR$5,iOption!$W45,0)</f>
        <v>0</v>
      </c>
      <c r="AS48" s="100">
        <f>IF(iOption!$V45=AS$5,iOption!$W45,0)</f>
        <v>0</v>
      </c>
      <c r="AU48" s="63">
        <f>iBudget!$AB47-iOption!N47</f>
        <v>1607501.4676313703</v>
      </c>
      <c r="AV48" s="63">
        <f>iBudget!$AB47-iOption!O47</f>
        <v>1394570.8723793274</v>
      </c>
      <c r="AW48" s="63">
        <f>iBudget!$AB47-iOption!P47</f>
        <v>1181640.2771272846</v>
      </c>
      <c r="AX48" s="63">
        <f>iBudget!$AB47-iOption!Q47</f>
        <v>968709.68187524192</v>
      </c>
      <c r="AY48" s="63">
        <f>iBudget!$AB47-iOption!R47</f>
        <v>755779.08662319928</v>
      </c>
    </row>
    <row r="49" spans="1:51" ht="16">
      <c r="A49" s="41" t="e">
        <f t="shared" si="8"/>
        <v>#REF!</v>
      </c>
      <c r="B49" s="70" t="e">
        <f>#REF!/#REF!</f>
        <v>#REF!</v>
      </c>
      <c r="C49" s="39">
        <v>75</v>
      </c>
      <c r="D49" s="40" t="e">
        <f>#REF!/43560</f>
        <v>#REF!</v>
      </c>
      <c r="F49" s="726" t="s">
        <v>274</v>
      </c>
      <c r="G49" s="724"/>
      <c r="H49" s="725"/>
      <c r="I49" s="430" t="s">
        <v>94</v>
      </c>
      <c r="J49" s="430" t="s">
        <v>273</v>
      </c>
      <c r="K49" s="430" t="s">
        <v>272</v>
      </c>
      <c r="M49" s="421"/>
      <c r="W49" s="63"/>
      <c r="X49" s="63"/>
      <c r="Y49" s="63"/>
      <c r="Z49" s="63"/>
      <c r="AA49" s="63"/>
      <c r="AB49" s="63"/>
      <c r="AC49" s="63"/>
      <c r="AD49" s="63"/>
      <c r="AE49" s="63"/>
      <c r="AF49" s="63"/>
      <c r="AG49" s="105">
        <v>39</v>
      </c>
      <c r="AH49" s="104">
        <f t="shared" si="1"/>
        <v>1626553.1581753264</v>
      </c>
      <c r="AI49" s="100"/>
      <c r="AJ49" s="100">
        <f>IF(iOption!$V46=AJ$5,iOption!$W46,0)</f>
        <v>0</v>
      </c>
      <c r="AK49" s="100">
        <f>IF(iOption!$V46=AK$5,iOption!$W46,0)</f>
        <v>0</v>
      </c>
      <c r="AL49" s="100">
        <f>IF(iOption!$V46=AL$5,iOption!$W46,0)</f>
        <v>0</v>
      </c>
      <c r="AM49" s="100">
        <f>IF(iOption!$V46=AM$5,iOption!$W46,0)</f>
        <v>0</v>
      </c>
      <c r="AN49" s="100">
        <f>IF(iOption!$V46=AN$5,iOption!$W46,0)</f>
        <v>1626553.1581753264</v>
      </c>
      <c r="AO49" s="100">
        <f>IF(iOption!$V46=AO$5,iOption!$W46,0)</f>
        <v>0</v>
      </c>
      <c r="AP49" s="100">
        <f>IF(iOption!$V46=AP$5,iOption!$W46,0)</f>
        <v>0</v>
      </c>
      <c r="AQ49" s="100">
        <f>IF(iOption!$V46=AQ$5,iOption!$W46,0)</f>
        <v>0</v>
      </c>
      <c r="AR49" s="100">
        <f>IF(iOption!$V46=AR$5,iOption!$W46,0)</f>
        <v>0</v>
      </c>
      <c r="AS49" s="100">
        <f>IF(iOption!$V46=AS$5,iOption!$W46,0)</f>
        <v>0</v>
      </c>
      <c r="AU49" s="63">
        <f>iBudget!$AB48-iOption!N48</f>
        <v>1116744.384765134</v>
      </c>
      <c r="AV49" s="63">
        <f>iBudget!$AB48-iOption!O48</f>
        <v>968875.91584010422</v>
      </c>
      <c r="AW49" s="63">
        <f>iBudget!$AB48-iOption!P48</f>
        <v>821007.44691507448</v>
      </c>
      <c r="AX49" s="63">
        <f>iBudget!$AB48-iOption!Q48</f>
        <v>673138.97799004475</v>
      </c>
      <c r="AY49" s="63">
        <f>iBudget!$AB48-iOption!R48</f>
        <v>525270.50906501524</v>
      </c>
    </row>
    <row r="50" spans="1:51" ht="16">
      <c r="A50" s="41" t="e">
        <f t="shared" si="8"/>
        <v>#REF!</v>
      </c>
      <c r="B50" s="70" t="e">
        <f>#REF!/#REF!</f>
        <v>#REF!</v>
      </c>
      <c r="C50" s="39">
        <v>62.5</v>
      </c>
      <c r="D50" s="40" t="e">
        <f>#REF!/43560</f>
        <v>#REF!</v>
      </c>
      <c r="F50" s="419" t="s">
        <v>139</v>
      </c>
      <c r="W50" s="63"/>
      <c r="X50" s="63"/>
      <c r="Y50" s="63"/>
      <c r="Z50" s="63"/>
      <c r="AA50" s="63"/>
      <c r="AB50" s="63"/>
      <c r="AC50" s="63"/>
      <c r="AD50" s="63"/>
      <c r="AE50" s="63"/>
      <c r="AF50" s="63"/>
      <c r="AG50" s="105">
        <v>40</v>
      </c>
      <c r="AH50" s="104">
        <f t="shared" si="1"/>
        <v>2342236.5477724704</v>
      </c>
      <c r="AI50" s="100"/>
      <c r="AJ50" s="100">
        <f>IF(iOption!$V47=AJ$5,iOption!$W47,0)</f>
        <v>0</v>
      </c>
      <c r="AK50" s="100">
        <f>IF(iOption!$V47=AK$5,iOption!$W47,0)</f>
        <v>0</v>
      </c>
      <c r="AL50" s="100">
        <f>IF(iOption!$V47=AL$5,iOption!$W47,0)</f>
        <v>0</v>
      </c>
      <c r="AM50" s="100">
        <f>IF(iOption!$V47=AM$5,iOption!$W47,0)</f>
        <v>0</v>
      </c>
      <c r="AN50" s="100">
        <f>IF(iOption!$V47=AN$5,iOption!$W47,0)</f>
        <v>2342236.5477724704</v>
      </c>
      <c r="AO50" s="100">
        <f>IF(iOption!$V47=AO$5,iOption!$W47,0)</f>
        <v>0</v>
      </c>
      <c r="AP50" s="100">
        <f>IF(iOption!$V47=AP$5,iOption!$W47,0)</f>
        <v>0</v>
      </c>
      <c r="AQ50" s="100">
        <f>IF(iOption!$V47=AQ$5,iOption!$W47,0)</f>
        <v>0</v>
      </c>
      <c r="AR50" s="100">
        <f>IF(iOption!$V47=AR$5,iOption!$W47,0)</f>
        <v>0</v>
      </c>
      <c r="AS50" s="100">
        <f>IF(iOption!$V47=AS$5,iOption!$W47,0)</f>
        <v>0</v>
      </c>
      <c r="AU50" s="63">
        <f>iBudget!$AB49-iOption!N49</f>
        <v>838783.00794583128</v>
      </c>
      <c r="AV50" s="63">
        <f>iBudget!$AB49-iOption!O49</f>
        <v>744147.18783381232</v>
      </c>
      <c r="AW50" s="63">
        <f>iBudget!$AB49-iOption!P49</f>
        <v>649511.36772179336</v>
      </c>
      <c r="AX50" s="63">
        <f>iBudget!$AB49-iOption!Q49</f>
        <v>554875.5476097744</v>
      </c>
      <c r="AY50" s="63">
        <f>iBudget!$AB49-iOption!R49</f>
        <v>460239.72749775532</v>
      </c>
    </row>
    <row r="51" spans="1:51" ht="16">
      <c r="A51" s="41" t="e">
        <f t="shared" si="8"/>
        <v>#REF!</v>
      </c>
      <c r="B51" s="70" t="e">
        <f>#REF!/#REF!</f>
        <v>#REF!</v>
      </c>
      <c r="C51" s="39">
        <v>50</v>
      </c>
      <c r="D51" s="40" t="e">
        <f>#REF!/43560</f>
        <v>#REF!</v>
      </c>
      <c r="F51" s="227" t="str">
        <f>iOption!AA16</f>
        <v xml:space="preserve">Jimmy Creek </v>
      </c>
      <c r="I51" s="723" cm="1">
        <f t="array" ref="I51:I56">rOption!AR13:AR18</f>
        <v>4</v>
      </c>
      <c r="J51" s="114">
        <f t="shared" ref="J51:J56" si="10">K51/I51</f>
        <v>1277707.5082422704</v>
      </c>
      <c r="K51" s="114">
        <f>iOption!AC16</f>
        <v>5110830.0329690818</v>
      </c>
      <c r="M51" s="421"/>
      <c r="W51" s="63"/>
      <c r="X51" s="63"/>
      <c r="Y51" s="63"/>
      <c r="Z51" s="63"/>
      <c r="AA51" s="63"/>
      <c r="AB51" s="63"/>
      <c r="AC51" s="63"/>
      <c r="AD51" s="63"/>
      <c r="AE51" s="63"/>
      <c r="AF51" s="63"/>
      <c r="AG51" s="105">
        <v>41</v>
      </c>
      <c r="AH51" s="104">
        <f t="shared" si="1"/>
        <v>1626553.1581753264</v>
      </c>
      <c r="AI51" s="100"/>
      <c r="AJ51" s="100">
        <f>IF(iOption!$V48=AJ$5,iOption!$W48,0)</f>
        <v>0</v>
      </c>
      <c r="AK51" s="100">
        <f>IF(iOption!$V48=AK$5,iOption!$W48,0)</f>
        <v>0</v>
      </c>
      <c r="AL51" s="100">
        <f>IF(iOption!$V48=AL$5,iOption!$W48,0)</f>
        <v>0</v>
      </c>
      <c r="AM51" s="100">
        <f>IF(iOption!$V48=AM$5,iOption!$W48,0)</f>
        <v>0</v>
      </c>
      <c r="AN51" s="100">
        <f>IF(iOption!$V48=AN$5,iOption!$W48,0)</f>
        <v>1626553.1581753264</v>
      </c>
      <c r="AO51" s="100">
        <f>IF(iOption!$V48=AO$5,iOption!$W48,0)</f>
        <v>0</v>
      </c>
      <c r="AP51" s="100">
        <f>IF(iOption!$V48=AP$5,iOption!$W48,0)</f>
        <v>0</v>
      </c>
      <c r="AQ51" s="100">
        <f>IF(iOption!$V48=AQ$5,iOption!$W48,0)</f>
        <v>0</v>
      </c>
      <c r="AR51" s="100">
        <f>IF(iOption!$V48=AR$5,iOption!$W48,0)</f>
        <v>0</v>
      </c>
      <c r="AS51" s="100">
        <f>IF(iOption!$V48=AS$5,iOption!$W48,0)</f>
        <v>0</v>
      </c>
      <c r="AU51" s="63">
        <f>iBudget!$AB50-iOption!N50</f>
        <v>2146286.795352357</v>
      </c>
      <c r="AV51" s="63">
        <f>iBudget!$AB50-iOption!O50</f>
        <v>1933356.2001003141</v>
      </c>
      <c r="AW51" s="63">
        <f>iBudget!$AB50-iOption!P50</f>
        <v>1720425.6048482712</v>
      </c>
      <c r="AX51" s="63">
        <f>iBudget!$AB50-iOption!Q50</f>
        <v>1507495.0095962286</v>
      </c>
      <c r="AY51" s="63">
        <f>iBudget!$AB50-iOption!R50</f>
        <v>1294564.414344186</v>
      </c>
    </row>
    <row r="52" spans="1:51" ht="16">
      <c r="A52" s="41" t="e">
        <f t="shared" si="8"/>
        <v>#REF!</v>
      </c>
      <c r="B52" s="70" t="e">
        <f>#REF!/#REF!</f>
        <v>#REF!</v>
      </c>
      <c r="C52" s="39">
        <v>75</v>
      </c>
      <c r="D52" s="40" t="e">
        <f>#REF!/43560</f>
        <v>#REF!</v>
      </c>
      <c r="F52" s="227" t="str">
        <f>iOption!AA17</f>
        <v>Deer Creek</v>
      </c>
      <c r="I52" s="723">
        <v>6</v>
      </c>
      <c r="J52" s="114">
        <f t="shared" si="10"/>
        <v>2005847.3469218481</v>
      </c>
      <c r="K52" s="114">
        <f>iOption!AC17</f>
        <v>12035084.081531089</v>
      </c>
      <c r="W52" s="63"/>
      <c r="X52" s="63"/>
      <c r="Y52" s="63"/>
      <c r="Z52" s="63"/>
      <c r="AA52" s="63"/>
      <c r="AB52" s="63"/>
      <c r="AC52" s="63"/>
      <c r="AD52" s="63"/>
      <c r="AE52" s="63"/>
      <c r="AF52" s="63"/>
      <c r="AG52" s="105">
        <v>42</v>
      </c>
      <c r="AH52" s="104">
        <f t="shared" si="1"/>
        <v>1040994.0212322089</v>
      </c>
      <c r="AI52" s="100"/>
      <c r="AJ52" s="100">
        <f>IF(iOption!$V49=AJ$5,iOption!$W49,0)</f>
        <v>0</v>
      </c>
      <c r="AK52" s="100">
        <f>IF(iOption!$V49=AK$5,iOption!$W49,0)</f>
        <v>0</v>
      </c>
      <c r="AL52" s="100">
        <f>IF(iOption!$V49=AL$5,iOption!$W49,0)</f>
        <v>0</v>
      </c>
      <c r="AM52" s="100">
        <f>IF(iOption!$V49=AM$5,iOption!$W49,0)</f>
        <v>0</v>
      </c>
      <c r="AN52" s="100">
        <f>IF(iOption!$V49=AN$5,iOption!$W49,0)</f>
        <v>1040994.0212322089</v>
      </c>
      <c r="AO52" s="100">
        <f>IF(iOption!$V49=AO$5,iOption!$W49,0)</f>
        <v>0</v>
      </c>
      <c r="AP52" s="100">
        <f>IF(iOption!$V49=AP$5,iOption!$W49,0)</f>
        <v>0</v>
      </c>
      <c r="AQ52" s="100">
        <f>IF(iOption!$V49=AQ$5,iOption!$W49,0)</f>
        <v>0</v>
      </c>
      <c r="AR52" s="100">
        <f>IF(iOption!$V49=AR$5,iOption!$W49,0)</f>
        <v>0</v>
      </c>
      <c r="AS52" s="100">
        <f>IF(iOption!$V49=AS$5,iOption!$W49,0)</f>
        <v>0</v>
      </c>
      <c r="AU52" s="63">
        <f>iBudget!$AB51-iOption!N51</f>
        <v>2146286.795352357</v>
      </c>
      <c r="AV52" s="63">
        <f>iBudget!$AB51-iOption!O51</f>
        <v>1933356.2001003141</v>
      </c>
      <c r="AW52" s="63">
        <f>iBudget!$AB51-iOption!P51</f>
        <v>1720425.6048482712</v>
      </c>
      <c r="AX52" s="63">
        <f>iBudget!$AB51-iOption!Q51</f>
        <v>1507495.0095962286</v>
      </c>
      <c r="AY52" s="63">
        <f>iBudget!$AB51-iOption!R51</f>
        <v>1294564.414344186</v>
      </c>
    </row>
    <row r="53" spans="1:51" ht="16">
      <c r="A53" s="41" t="e">
        <f t="shared" si="8"/>
        <v>#REF!</v>
      </c>
      <c r="B53" s="70" t="e">
        <f>#REF!/#REF!</f>
        <v>#REF!</v>
      </c>
      <c r="C53" s="39">
        <v>75</v>
      </c>
      <c r="D53" s="40" t="e">
        <f>#REF!/43560</f>
        <v>#REF!</v>
      </c>
      <c r="F53" s="227" t="str">
        <f>iOption!AA18</f>
        <v>Forest</v>
      </c>
      <c r="I53" s="723">
        <v>10</v>
      </c>
      <c r="J53" s="114">
        <f t="shared" si="10"/>
        <v>2897497.2525763572</v>
      </c>
      <c r="K53" s="114">
        <f>iOption!AC18</f>
        <v>28974972.525763571</v>
      </c>
      <c r="W53" s="63"/>
      <c r="X53" s="63"/>
      <c r="Y53" s="63"/>
      <c r="Z53" s="63"/>
      <c r="AA53" s="63"/>
      <c r="AB53" s="63"/>
      <c r="AC53" s="63"/>
      <c r="AD53" s="63"/>
      <c r="AE53" s="63"/>
      <c r="AF53" s="63"/>
      <c r="AG53" s="105">
        <v>43</v>
      </c>
      <c r="AH53" s="104">
        <f t="shared" si="1"/>
        <v>3399648.6644686144</v>
      </c>
      <c r="AI53" s="100"/>
      <c r="AJ53" s="100">
        <f>IF(iOption!$V50=AJ$5,iOption!$W50,0)</f>
        <v>0</v>
      </c>
      <c r="AK53" s="100">
        <f>IF(iOption!$V50=AK$5,iOption!$W50,0)</f>
        <v>0</v>
      </c>
      <c r="AL53" s="100">
        <f>IF(iOption!$V50=AL$5,iOption!$W50,0)</f>
        <v>0</v>
      </c>
      <c r="AM53" s="100">
        <f>IF(iOption!$V50=AM$5,iOption!$W50,0)</f>
        <v>0</v>
      </c>
      <c r="AN53" s="100">
        <f>IF(iOption!$V50=AN$5,iOption!$W50,0)</f>
        <v>0</v>
      </c>
      <c r="AO53" s="100">
        <f>IF(iOption!$V50=AO$5,iOption!$W50,0)</f>
        <v>3399648.6644686144</v>
      </c>
      <c r="AP53" s="100">
        <f>IF(iOption!$V50=AP$5,iOption!$W50,0)</f>
        <v>0</v>
      </c>
      <c r="AQ53" s="100">
        <f>IF(iOption!$V50=AQ$5,iOption!$W50,0)</f>
        <v>0</v>
      </c>
      <c r="AR53" s="100">
        <f>IF(iOption!$V50=AR$5,iOption!$W50,0)</f>
        <v>0</v>
      </c>
      <c r="AS53" s="100">
        <f>IF(iOption!$V50=AS$5,iOption!$W50,0)</f>
        <v>0</v>
      </c>
      <c r="AU53" s="63">
        <f>iBudget!$AB52-iOption!N52</f>
        <v>2415679.4592128498</v>
      </c>
      <c r="AV53" s="63">
        <f>iBudget!$AB52-iOption!O52</f>
        <v>2202748.8639608072</v>
      </c>
      <c r="AW53" s="63">
        <f>iBudget!$AB52-iOption!P52</f>
        <v>1989818.2687087641</v>
      </c>
      <c r="AX53" s="63">
        <f>iBudget!$AB52-iOption!Q52</f>
        <v>1776887.6734567215</v>
      </c>
      <c r="AY53" s="63">
        <f>iBudget!$AB52-iOption!R52</f>
        <v>1563957.0782046788</v>
      </c>
    </row>
    <row r="54" spans="1:51" ht="16">
      <c r="A54" s="41" t="e">
        <f t="shared" si="8"/>
        <v>#REF!</v>
      </c>
      <c r="B54" s="72" t="e">
        <f>#REF!/#REF!</f>
        <v>#REF!</v>
      </c>
      <c r="C54" s="39">
        <v>75</v>
      </c>
      <c r="D54" s="40" t="e">
        <f>#REF!/43560</f>
        <v>#REF!</v>
      </c>
      <c r="F54" s="227" t="str">
        <f>iOption!AA19</f>
        <v>Bench</v>
      </c>
      <c r="I54" s="723">
        <v>15</v>
      </c>
      <c r="J54" s="114">
        <f t="shared" si="10"/>
        <v>1774651.8202113614</v>
      </c>
      <c r="K54" s="114">
        <f>iOption!AC19</f>
        <v>26619777.30317042</v>
      </c>
      <c r="W54" s="63"/>
      <c r="X54" s="63"/>
      <c r="Y54" s="63"/>
      <c r="Z54" s="63"/>
      <c r="AA54" s="63"/>
      <c r="AB54" s="63"/>
      <c r="AC54" s="63"/>
      <c r="AD54" s="63"/>
      <c r="AE54" s="63"/>
      <c r="AF54" s="63"/>
      <c r="AG54" s="105">
        <v>44</v>
      </c>
      <c r="AH54" s="104">
        <f t="shared" si="1"/>
        <v>3399648.6644686144</v>
      </c>
      <c r="AI54" s="100"/>
      <c r="AJ54" s="100">
        <f>IF(iOption!$V51=AJ$5,iOption!$W51,0)</f>
        <v>0</v>
      </c>
      <c r="AK54" s="100">
        <f>IF(iOption!$V51=AK$5,iOption!$W51,0)</f>
        <v>0</v>
      </c>
      <c r="AL54" s="100">
        <f>IF(iOption!$V51=AL$5,iOption!$W51,0)</f>
        <v>0</v>
      </c>
      <c r="AM54" s="100">
        <f>IF(iOption!$V51=AM$5,iOption!$W51,0)</f>
        <v>0</v>
      </c>
      <c r="AN54" s="100">
        <f>IF(iOption!$V51=AN$5,iOption!$W51,0)</f>
        <v>0</v>
      </c>
      <c r="AO54" s="100">
        <f>IF(iOption!$V51=AO$5,iOption!$W51,0)</f>
        <v>3399648.6644686144</v>
      </c>
      <c r="AP54" s="100">
        <f>IF(iOption!$V51=AP$5,iOption!$W51,0)</f>
        <v>0</v>
      </c>
      <c r="AQ54" s="100">
        <f>IF(iOption!$V51=AQ$5,iOption!$W51,0)</f>
        <v>0</v>
      </c>
      <c r="AR54" s="100">
        <f>IF(iOption!$V51=AR$5,iOption!$W51,0)</f>
        <v>0</v>
      </c>
      <c r="AS54" s="100">
        <f>IF(iOption!$V51=AS$5,iOption!$W51,0)</f>
        <v>0</v>
      </c>
      <c r="AU54" s="63">
        <f>iBudget!$AB11-iOption!N11</f>
        <v>368283.97876849351</v>
      </c>
      <c r="AV54" s="63">
        <f>iBudget!$AB11-iOption!O11</f>
        <v>220415.50984346378</v>
      </c>
      <c r="AW54" s="63">
        <f>iBudget!$AB11-iOption!P11</f>
        <v>72547.040918434039</v>
      </c>
      <c r="AX54" s="63">
        <f>iBudget!$AB11-iOption!Q11</f>
        <v>-75321.428006595699</v>
      </c>
      <c r="AY54" s="63">
        <f>iBudget!$AB11-iOption!R11</f>
        <v>-223189.8969316252</v>
      </c>
    </row>
    <row r="55" spans="1:51" ht="19">
      <c r="F55" s="228" t="str">
        <f>iOption!AA20</f>
        <v>Hillside</v>
      </c>
      <c r="G55" s="727"/>
      <c r="I55" s="722">
        <v>10</v>
      </c>
      <c r="J55" s="115">
        <f t="shared" si="10"/>
        <v>2758123.0431086319</v>
      </c>
      <c r="K55" s="115">
        <f>iOption!AC20</f>
        <v>27581230.431086317</v>
      </c>
      <c r="AG55" s="105"/>
      <c r="AH55" s="104">
        <f t="shared" si="1"/>
        <v>3651474.4914662894</v>
      </c>
      <c r="AI55" s="100"/>
      <c r="AJ55" s="100">
        <f>IF(iOption!$V52=AJ$5,iOption!$W52,0)</f>
        <v>0</v>
      </c>
      <c r="AK55" s="100">
        <f>IF(iOption!$V52=AK$5,iOption!$W52,0)</f>
        <v>0</v>
      </c>
      <c r="AL55" s="100">
        <f>IF(iOption!$V52=AL$5,iOption!$W52,0)</f>
        <v>0</v>
      </c>
      <c r="AM55" s="100">
        <f>IF(iOption!$V52=AM$5,iOption!$W52,0)</f>
        <v>0</v>
      </c>
      <c r="AN55" s="100">
        <f>IF(iOption!$V52=AN$5,iOption!$W52,0)</f>
        <v>0</v>
      </c>
      <c r="AO55" s="100">
        <f>IF(iOption!$V52=AO$5,iOption!$W52,0)</f>
        <v>3651474.4914662894</v>
      </c>
      <c r="AP55" s="100">
        <f>IF(iOption!$V52=AP$5,iOption!$W52,0)</f>
        <v>0</v>
      </c>
      <c r="AQ55" s="100">
        <f>IF(iOption!$V52=AQ$5,iOption!$W52,0)</f>
        <v>0</v>
      </c>
      <c r="AR55" s="100">
        <f>IF(iOption!$V52=AR$5,iOption!$W52,0)</f>
        <v>0</v>
      </c>
      <c r="AS55" s="100">
        <f>IF(iOption!$V52=AS$5,iOption!$W52,0)</f>
        <v>0</v>
      </c>
    </row>
    <row r="56" spans="1:51" ht="16">
      <c r="A56" s="37"/>
      <c r="B56" s="16"/>
      <c r="C56" s="31"/>
      <c r="D56" s="37" t="e">
        <f>SUM(D9:D54)</f>
        <v>#REF!</v>
      </c>
      <c r="F56" s="188" t="str">
        <f>iOption!AA21</f>
        <v>Total Lot Revenue</v>
      </c>
      <c r="I56" s="723">
        <v>45</v>
      </c>
      <c r="J56" s="114">
        <f t="shared" si="10"/>
        <v>2229375.4305448998</v>
      </c>
      <c r="K56" s="114">
        <f>iOption!AC21</f>
        <v>100321894.37452048</v>
      </c>
      <c r="W56" s="63"/>
      <c r="X56" s="63"/>
      <c r="Y56" s="63"/>
      <c r="Z56" s="63"/>
      <c r="AA56" s="63"/>
      <c r="AB56" s="63"/>
      <c r="AC56" s="63"/>
      <c r="AD56" s="63"/>
      <c r="AE56" s="63"/>
      <c r="AF56" s="63"/>
      <c r="AR56" s="5"/>
      <c r="AU56" s="63">
        <f>COUNTIF(AU9:AU54,"&gt;0")</f>
        <v>44</v>
      </c>
      <c r="AV56" s="63">
        <f>COUNTIF(AV9:AV54,"&gt;0")</f>
        <v>44</v>
      </c>
      <c r="AW56" s="63">
        <f>COUNTIF(AW9:AW54,"&gt;0")</f>
        <v>44</v>
      </c>
      <c r="AX56" s="63">
        <f>COUNTIF(AX9:AX54,"&gt;0")</f>
        <v>35</v>
      </c>
      <c r="AY56" s="63">
        <f>COUNTIF(AY9:AY54,"&gt;0")</f>
        <v>29</v>
      </c>
    </row>
    <row r="57" spans="1:51" ht="16">
      <c r="F57" s="167"/>
      <c r="G57" s="107"/>
      <c r="I57" s="132"/>
      <c r="J57" s="107"/>
      <c r="K57" s="83"/>
      <c r="W57" s="58"/>
      <c r="X57" s="58"/>
      <c r="Y57" s="58"/>
      <c r="Z57" s="58"/>
      <c r="AA57" s="58"/>
      <c r="AB57" s="58"/>
      <c r="AC57" s="58"/>
      <c r="AD57" s="58"/>
      <c r="AE57" s="58"/>
      <c r="AF57" s="58"/>
      <c r="AG57" s="87" t="s">
        <v>14</v>
      </c>
      <c r="AH57" s="88" t="e">
        <f t="shared" ref="AH57:AS57" si="11">SUM(AH7:AH55)</f>
        <v>#REF!</v>
      </c>
      <c r="AI57" s="89" t="e">
        <f t="shared" si="11"/>
        <v>#REF!</v>
      </c>
      <c r="AJ57" s="89">
        <f t="shared" si="11"/>
        <v>-8360000</v>
      </c>
      <c r="AK57" s="89">
        <f t="shared" si="11"/>
        <v>6009374.5771132065</v>
      </c>
      <c r="AL57" s="89">
        <f t="shared" si="11"/>
        <v>10931622.536585096</v>
      </c>
      <c r="AM57" s="89">
        <f t="shared" si="11"/>
        <v>19644030.359752346</v>
      </c>
      <c r="AN57" s="89">
        <f t="shared" si="11"/>
        <v>27117894.253099047</v>
      </c>
      <c r="AO57" s="89">
        <f t="shared" si="11"/>
        <v>18805062.618018508</v>
      </c>
      <c r="AP57" s="89">
        <f t="shared" si="11"/>
        <v>0</v>
      </c>
      <c r="AQ57" s="89">
        <f t="shared" si="11"/>
        <v>0</v>
      </c>
      <c r="AR57" s="89">
        <f t="shared" si="11"/>
        <v>0</v>
      </c>
      <c r="AS57" s="89">
        <f t="shared" si="11"/>
        <v>0</v>
      </c>
      <c r="AU57" s="58" t="e" vm="1">
        <f>AU56/iProject!$I54</f>
        <v>#VALUE!</v>
      </c>
      <c r="AV57" s="58" t="e" vm="1">
        <f>AV56/iProject!$I54</f>
        <v>#VALUE!</v>
      </c>
      <c r="AW57" s="58" t="e" vm="1">
        <f>AW56/iProject!$I54</f>
        <v>#VALUE!</v>
      </c>
      <c r="AX57" s="58" t="e" vm="1">
        <f>AX56/iProject!$I54</f>
        <v>#VALUE!</v>
      </c>
      <c r="AY57" s="58" t="e" vm="1">
        <f>AY56/iProject!$I54</f>
        <v>#VALUE!</v>
      </c>
    </row>
  </sheetData>
  <mergeCells count="1">
    <mergeCell ref="F6:J7"/>
  </mergeCells>
  <conditionalFormatting sqref="A9:D32 A34:D54 A56:D56">
    <cfRule type="expression" dxfId="0" priority="5">
      <formula>MOD(ROW(), 2) = 1</formula>
    </cfRule>
  </conditionalFormatting>
  <pageMargins left="0.7" right="0.7" top="0.75" bottom="0.75" header="0.3" footer="0.3"/>
  <pageSetup orientation="portrait" horizontalDpi="0" verticalDpi="0"/>
  <drawing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AC35D4-3DB9-994B-9CC9-A7C3739C84C8}">
  <sheetPr codeName="Sheet11">
    <tabColor rgb="FF003399"/>
  </sheetPr>
  <dimension ref="A2:BJ56"/>
  <sheetViews>
    <sheetView topLeftCell="B5" workbookViewId="0">
      <selection activeCell="H38" sqref="H38"/>
    </sheetView>
  </sheetViews>
  <sheetFormatPr baseColWidth="10" defaultColWidth="0" defaultRowHeight="14"/>
  <cols>
    <col min="1" max="1" width="6.1640625" hidden="1" customWidth="1"/>
    <col min="2" max="2" width="4" customWidth="1"/>
    <col min="3" max="3" width="20.1640625" customWidth="1"/>
    <col min="4" max="4" width="8.83203125" bestFit="1" customWidth="1"/>
    <col min="5" max="5" width="14" bestFit="1" customWidth="1"/>
    <col min="6" max="6" width="11.6640625" bestFit="1" customWidth="1"/>
    <col min="7" max="7" width="12.83203125" bestFit="1" customWidth="1"/>
    <col min="8" max="8" width="10.5" bestFit="1" customWidth="1"/>
    <col min="9" max="9" width="13.83203125" customWidth="1"/>
    <col min="10" max="10" width="11.6640625" bestFit="1" customWidth="1"/>
    <col min="11" max="11" width="10.33203125" bestFit="1" customWidth="1"/>
    <col min="12" max="12" width="9.83203125" bestFit="1" customWidth="1"/>
    <col min="13" max="13" width="10.5" customWidth="1"/>
    <col min="14" max="17" width="4.1640625" bestFit="1" customWidth="1"/>
    <col min="18" max="28" width="4.1640625" customWidth="1"/>
    <col min="29" max="29" width="23" hidden="1" customWidth="1"/>
    <col min="30" max="30" width="18.1640625" hidden="1" customWidth="1"/>
    <col min="31" max="31" width="13.5" hidden="1" customWidth="1"/>
    <col min="32" max="32" width="13.6640625" hidden="1" customWidth="1"/>
    <col min="33" max="41" width="13" hidden="1" customWidth="1"/>
    <col min="42" max="43" width="10" hidden="1" customWidth="1"/>
    <col min="44" max="44" width="23" hidden="1" customWidth="1"/>
    <col min="45" max="45" width="11.6640625" hidden="1" customWidth="1"/>
    <col min="46" max="46" width="13.33203125" hidden="1" customWidth="1"/>
    <col min="47" max="47" width="12.1640625" hidden="1" customWidth="1"/>
    <col min="48" max="51" width="12.6640625" hidden="1" customWidth="1"/>
    <col min="52" max="52" width="10.83203125" hidden="1" customWidth="1"/>
    <col min="53" max="55" width="6.6640625" hidden="1" customWidth="1"/>
    <col min="56" max="56" width="7.83203125" hidden="1" customWidth="1"/>
    <col min="57" max="59" width="10" hidden="1" customWidth="1"/>
    <col min="60" max="60" width="9.1640625" hidden="1" customWidth="1"/>
    <col min="61" max="61" width="10" hidden="1" customWidth="1"/>
    <col min="62" max="62" width="0" hidden="1" customWidth="1"/>
    <col min="63" max="16384" width="8.83203125" hidden="1"/>
  </cols>
  <sheetData>
    <row r="2" spans="2:12" ht="20" customHeight="1">
      <c r="B2" s="404" t="str">
        <f>iProject!D2</f>
        <v>Clarendon Preserve</v>
      </c>
      <c r="C2" s="23"/>
    </row>
    <row r="3" spans="2:12" ht="25.25" customHeight="1">
      <c r="B3" s="405" t="s">
        <v>140</v>
      </c>
      <c r="C3" s="1"/>
    </row>
    <row r="4" spans="2:12">
      <c r="B4" s="47"/>
      <c r="C4" s="47"/>
    </row>
    <row r="5" spans="2:12">
      <c r="B5" s="47"/>
      <c r="C5" s="47"/>
    </row>
    <row r="6" spans="2:12">
      <c r="B6" s="47"/>
      <c r="C6" s="406" t="s">
        <v>141</v>
      </c>
    </row>
    <row r="7" spans="2:12">
      <c r="B7" s="47"/>
      <c r="C7" s="47" t="s">
        <v>142</v>
      </c>
    </row>
    <row r="8" spans="2:12">
      <c r="B8" s="47"/>
      <c r="C8" s="407" t="s">
        <v>143</v>
      </c>
    </row>
    <row r="9" spans="2:12">
      <c r="B9" s="47"/>
      <c r="C9" s="407" t="s">
        <v>144</v>
      </c>
    </row>
    <row r="13" spans="2:12" ht="16">
      <c r="C13" s="222" t="s">
        <v>118</v>
      </c>
      <c r="D13" s="392" t="s">
        <v>94</v>
      </c>
      <c r="E13" s="232">
        <v>1</v>
      </c>
      <c r="F13" s="232">
        <v>2</v>
      </c>
      <c r="G13" s="232">
        <v>3</v>
      </c>
      <c r="H13" s="232">
        <v>4</v>
      </c>
      <c r="I13" s="232">
        <v>5</v>
      </c>
      <c r="J13" s="232">
        <v>6</v>
      </c>
    </row>
    <row r="14" spans="2:12" ht="16">
      <c r="C14" s="188" t="str" cm="1">
        <f t="array" ref="C14:C19">iOption!AA8:AA13</f>
        <v xml:space="preserve">Jimmy Creek </v>
      </c>
      <c r="D14" s="394" cm="1">
        <f t="array" ref="D14:D19">iOption!AC8:AC13</f>
        <v>4</v>
      </c>
      <c r="E14" s="224" cm="1">
        <f t="array" ref="E14:J19">iOption!AE8:AJ13</f>
        <v>0</v>
      </c>
      <c r="F14" s="390">
        <v>4</v>
      </c>
      <c r="G14" s="390">
        <v>0</v>
      </c>
      <c r="H14" s="390">
        <v>0</v>
      </c>
      <c r="I14" s="390">
        <v>0</v>
      </c>
      <c r="J14" s="390">
        <v>0</v>
      </c>
    </row>
    <row r="15" spans="2:12" ht="16">
      <c r="C15" s="188" t="str">
        <v>Deer Creek</v>
      </c>
      <c r="D15" s="394">
        <v>6</v>
      </c>
      <c r="E15" s="224">
        <v>0</v>
      </c>
      <c r="F15" s="390">
        <v>1</v>
      </c>
      <c r="G15" s="390">
        <v>0</v>
      </c>
      <c r="H15" s="390">
        <v>0</v>
      </c>
      <c r="I15" s="390">
        <v>0</v>
      </c>
      <c r="J15" s="390">
        <v>5</v>
      </c>
    </row>
    <row r="16" spans="2:12" ht="16">
      <c r="C16" s="188" t="str">
        <v>Forest</v>
      </c>
      <c r="D16" s="394">
        <v>10</v>
      </c>
      <c r="E16" s="224">
        <v>0</v>
      </c>
      <c r="F16" s="390">
        <v>0</v>
      </c>
      <c r="G16" s="390">
        <v>0</v>
      </c>
      <c r="H16" s="390">
        <v>5</v>
      </c>
      <c r="I16" s="390">
        <v>5</v>
      </c>
      <c r="J16" s="390">
        <v>0</v>
      </c>
      <c r="K16" s="390"/>
      <c r="L16" s="390"/>
    </row>
    <row r="17" spans="3:13" ht="16">
      <c r="C17" s="188" t="str">
        <v>Bench</v>
      </c>
      <c r="D17" s="394">
        <v>15</v>
      </c>
      <c r="E17" s="224">
        <v>0</v>
      </c>
      <c r="F17" s="390">
        <v>0</v>
      </c>
      <c r="G17" s="390">
        <v>8</v>
      </c>
      <c r="H17" s="390">
        <v>7</v>
      </c>
      <c r="I17" s="390">
        <v>0</v>
      </c>
      <c r="J17" s="390">
        <v>0</v>
      </c>
      <c r="K17" s="390"/>
      <c r="L17" s="390"/>
    </row>
    <row r="18" spans="3:13" ht="16">
      <c r="C18" s="398" t="str">
        <v>Hillside</v>
      </c>
      <c r="D18" s="399">
        <v>10</v>
      </c>
      <c r="E18" s="400">
        <v>0</v>
      </c>
      <c r="F18" s="219">
        <v>0</v>
      </c>
      <c r="G18" s="219">
        <v>0</v>
      </c>
      <c r="H18" s="219">
        <v>0</v>
      </c>
      <c r="I18" s="219">
        <v>7</v>
      </c>
      <c r="J18" s="219">
        <v>3</v>
      </c>
      <c r="K18" s="390"/>
      <c r="L18" s="390"/>
    </row>
    <row r="19" spans="3:13" ht="16">
      <c r="C19" s="188" t="str">
        <v>Total Lots Sold</v>
      </c>
      <c r="D19" s="394">
        <v>45</v>
      </c>
      <c r="E19" s="224">
        <v>0</v>
      </c>
      <c r="F19" s="390">
        <v>5</v>
      </c>
      <c r="G19" s="390">
        <v>8</v>
      </c>
      <c r="H19" s="390">
        <v>12</v>
      </c>
      <c r="I19" s="390">
        <v>12</v>
      </c>
      <c r="J19" s="390">
        <v>8</v>
      </c>
      <c r="K19" s="390"/>
      <c r="L19" s="390"/>
    </row>
    <row r="20" spans="3:13" ht="16">
      <c r="C20" s="188"/>
      <c r="D20" s="244"/>
      <c r="E20" s="391"/>
      <c r="F20" s="390"/>
      <c r="G20" s="390"/>
      <c r="H20" s="390"/>
      <c r="I20" s="390"/>
      <c r="J20" s="390"/>
      <c r="K20" s="390"/>
      <c r="L20" s="390"/>
    </row>
    <row r="21" spans="3:13" ht="16">
      <c r="C21" s="109"/>
      <c r="D21" s="226"/>
      <c r="E21" s="1105" t="s">
        <v>138</v>
      </c>
      <c r="F21" s="1105"/>
    </row>
    <row r="22" spans="3:13" ht="16">
      <c r="C22" s="395" t="s">
        <v>291</v>
      </c>
      <c r="D22" s="396" t="s">
        <v>136</v>
      </c>
      <c r="E22" s="396" t="s">
        <v>94</v>
      </c>
      <c r="F22" s="396" t="s">
        <v>71</v>
      </c>
    </row>
    <row r="23" spans="3:13" ht="16">
      <c r="C23" s="144" t="str" cm="1">
        <f t="array" ref="C23:C27">C14:C18</f>
        <v xml:space="preserve">Jimmy Creek </v>
      </c>
      <c r="D23" s="333" cm="1">
        <f t="array" ref="D23:D28">iOption!AC8:AC13</f>
        <v>4</v>
      </c>
      <c r="E23" s="58">
        <f t="shared" ref="E23:E28" si="0">D23/$D$28</f>
        <v>8.8888888888888892E-2</v>
      </c>
      <c r="F23" s="58">
        <f t="shared" ref="F23:F28" si="1">G33/$G$38</f>
        <v>5.1359630458500657E-2</v>
      </c>
    </row>
    <row r="24" spans="3:13" ht="16">
      <c r="C24" s="144" t="str">
        <v>Deer Creek</v>
      </c>
      <c r="D24" s="333">
        <v>6</v>
      </c>
      <c r="E24" s="58">
        <f t="shared" si="0"/>
        <v>0.13333333333333333</v>
      </c>
      <c r="F24" s="58">
        <f t="shared" si="1"/>
        <v>0.11996516519635053</v>
      </c>
    </row>
    <row r="25" spans="3:13" ht="16">
      <c r="C25" s="144" t="str">
        <v>Forest</v>
      </c>
      <c r="D25" s="333">
        <v>10</v>
      </c>
      <c r="E25" s="58">
        <f t="shared" si="0"/>
        <v>0.22222222222222221</v>
      </c>
      <c r="F25" s="58">
        <f t="shared" si="1"/>
        <v>0.29115548750306619</v>
      </c>
    </row>
    <row r="26" spans="3:13" ht="16">
      <c r="C26" s="144" t="str">
        <v>Bench</v>
      </c>
      <c r="D26" s="333">
        <v>15</v>
      </c>
      <c r="E26" s="58">
        <f t="shared" si="0"/>
        <v>0.33333333333333331</v>
      </c>
      <c r="F26" s="58">
        <f t="shared" si="1"/>
        <v>0.25843491598823048</v>
      </c>
    </row>
    <row r="27" spans="3:13" ht="16">
      <c r="C27" s="389" t="str">
        <v>Hillside</v>
      </c>
      <c r="D27" s="334">
        <v>10</v>
      </c>
      <c r="E27" s="388">
        <f t="shared" si="0"/>
        <v>0.22222222222222221</v>
      </c>
      <c r="F27" s="388">
        <f t="shared" si="1"/>
        <v>0.27908480085385207</v>
      </c>
    </row>
    <row r="28" spans="3:13" ht="16">
      <c r="C28" s="397" t="s">
        <v>14</v>
      </c>
      <c r="D28" s="401">
        <v>45</v>
      </c>
      <c r="E28" s="402">
        <f t="shared" si="0"/>
        <v>1</v>
      </c>
      <c r="F28" s="402">
        <f t="shared" si="1"/>
        <v>1</v>
      </c>
    </row>
    <row r="29" spans="3:13" ht="16">
      <c r="C29" s="144"/>
      <c r="D29" s="387"/>
      <c r="E29" s="393"/>
      <c r="F29" s="393"/>
    </row>
    <row r="31" spans="3:13" ht="15.75" customHeight="1">
      <c r="C31" s="1103" t="s">
        <v>139</v>
      </c>
      <c r="D31" s="788"/>
      <c r="E31" s="1106" t="s">
        <v>276</v>
      </c>
      <c r="F31" s="1107"/>
      <c r="G31" s="1108" t="s">
        <v>277</v>
      </c>
      <c r="H31" s="1109"/>
      <c r="I31" s="1110" t="s">
        <v>275</v>
      </c>
      <c r="J31" s="1111"/>
      <c r="K31" s="783" t="s">
        <v>90</v>
      </c>
      <c r="M31" s="63">
        <f>(E38-mOption!P8)/D38</f>
        <v>598000</v>
      </c>
    </row>
    <row r="32" spans="3:13" ht="15.75" customHeight="1">
      <c r="C32" s="1104"/>
      <c r="D32" s="789" t="s">
        <v>136</v>
      </c>
      <c r="E32" s="759" t="s">
        <v>14</v>
      </c>
      <c r="F32" s="760" t="s">
        <v>137</v>
      </c>
      <c r="G32" s="767" t="s">
        <v>14</v>
      </c>
      <c r="H32" s="768" t="s">
        <v>137</v>
      </c>
      <c r="I32" s="775" t="s">
        <v>14</v>
      </c>
      <c r="J32" s="776" t="s">
        <v>137</v>
      </c>
      <c r="K32" s="784" t="s">
        <v>256</v>
      </c>
    </row>
    <row r="33" spans="3:11" ht="16">
      <c r="C33" s="753" t="str" cm="1">
        <f t="array" ref="C33:C38">_xlfn.ANCHORARRAY(C14)</f>
        <v xml:space="preserve">Jimmy Creek </v>
      </c>
      <c r="D33" s="754" cm="1">
        <f t="array" ref="D33:D38">_xlfn.ANCHORARRAY(D14)</f>
        <v>4</v>
      </c>
      <c r="E33" s="761">
        <f>iProject!$G$18*F23</f>
        <v>1605502.0481327306</v>
      </c>
      <c r="F33" s="762">
        <f t="shared" ref="F33:F38" si="2">E33/D33</f>
        <v>401375.51203318266</v>
      </c>
      <c r="G33" s="769" cm="1">
        <f t="array" ref="G33:G38">iOption!AC24:AC29</f>
        <v>4305929.8150968645</v>
      </c>
      <c r="H33" s="770">
        <f t="shared" ref="H33:H38" si="3">G33/D23</f>
        <v>1076482.4537742161</v>
      </c>
      <c r="I33" s="777" cm="1">
        <f t="array" ref="I33:I38">iOption!AC16:AC21</f>
        <v>5110830.0329690818</v>
      </c>
      <c r="J33" s="778">
        <f t="shared" ref="J33:J38" si="4">I33/D33</f>
        <v>1277707.5082422704</v>
      </c>
      <c r="K33" s="785">
        <f t="shared" ref="K33:K38" si="5">I33-G33</f>
        <v>804900.2178722173</v>
      </c>
    </row>
    <row r="34" spans="3:11" ht="16">
      <c r="C34" s="753" t="str">
        <v>Deer Creek</v>
      </c>
      <c r="D34" s="754">
        <v>6</v>
      </c>
      <c r="E34" s="761">
        <f>iProject!$G$18*F24</f>
        <v>3750111.0640379176</v>
      </c>
      <c r="F34" s="762">
        <f t="shared" si="2"/>
        <v>625018.51067298627</v>
      </c>
      <c r="G34" s="769">
        <v>10057735.559631331</v>
      </c>
      <c r="H34" s="770">
        <f t="shared" si="3"/>
        <v>1676289.2599385551</v>
      </c>
      <c r="I34" s="777">
        <v>12035084.081531089</v>
      </c>
      <c r="J34" s="778">
        <f t="shared" si="4"/>
        <v>2005847.3469218481</v>
      </c>
      <c r="K34" s="785">
        <f t="shared" si="5"/>
        <v>1977348.5218997579</v>
      </c>
    </row>
    <row r="35" spans="3:11" ht="16">
      <c r="C35" s="753" t="str">
        <v>Forest</v>
      </c>
      <c r="D35" s="754">
        <v>10</v>
      </c>
      <c r="E35" s="761">
        <f>iProject!$G$18*F25</f>
        <v>9101520.5393458493</v>
      </c>
      <c r="F35" s="762">
        <f t="shared" si="2"/>
        <v>910152.05393458495</v>
      </c>
      <c r="G35" s="769">
        <v>24410126.850143898</v>
      </c>
      <c r="H35" s="770">
        <f t="shared" si="3"/>
        <v>2441012.6850143899</v>
      </c>
      <c r="I35" s="777">
        <v>28974972.525763571</v>
      </c>
      <c r="J35" s="778">
        <f t="shared" si="4"/>
        <v>2897497.2525763572</v>
      </c>
      <c r="K35" s="785">
        <f t="shared" si="5"/>
        <v>4564845.675619673</v>
      </c>
    </row>
    <row r="36" spans="3:11" ht="16">
      <c r="C36" s="753" t="str">
        <v>Bench</v>
      </c>
      <c r="D36" s="754">
        <v>15</v>
      </c>
      <c r="E36" s="761">
        <f>iProject!$G$18*F26</f>
        <v>8078675.4737920845</v>
      </c>
      <c r="F36" s="762">
        <f t="shared" si="2"/>
        <v>538578.36491947225</v>
      </c>
      <c r="G36" s="769">
        <v>21666873.380542256</v>
      </c>
      <c r="H36" s="770">
        <f t="shared" si="3"/>
        <v>1444458.2253694837</v>
      </c>
      <c r="I36" s="777">
        <v>26619777.30317042</v>
      </c>
      <c r="J36" s="778">
        <f t="shared" si="4"/>
        <v>1774651.8202113614</v>
      </c>
      <c r="K36" s="785">
        <f t="shared" si="5"/>
        <v>4952903.9226281643</v>
      </c>
    </row>
    <row r="37" spans="3:11" ht="16">
      <c r="C37" s="755" t="str">
        <v>Hillside</v>
      </c>
      <c r="D37" s="756">
        <v>10</v>
      </c>
      <c r="E37" s="763">
        <f>iProject!$G$18*F27</f>
        <v>8724190.8746914156</v>
      </c>
      <c r="F37" s="764">
        <f t="shared" si="2"/>
        <v>872419.08746914158</v>
      </c>
      <c r="G37" s="771">
        <v>23398134.959479116</v>
      </c>
      <c r="H37" s="772">
        <f t="shared" si="3"/>
        <v>2339813.4959479114</v>
      </c>
      <c r="I37" s="779">
        <v>27581230.431086317</v>
      </c>
      <c r="J37" s="780">
        <f t="shared" si="4"/>
        <v>2758123.0431086319</v>
      </c>
      <c r="K37" s="786">
        <f t="shared" si="5"/>
        <v>4183095.4716072008</v>
      </c>
    </row>
    <row r="38" spans="3:11" ht="16">
      <c r="C38" s="757" t="str">
        <v>Total Lots Sold</v>
      </c>
      <c r="D38" s="758">
        <v>45</v>
      </c>
      <c r="E38" s="765">
        <f>iProject!$G$18*F28</f>
        <v>31260000</v>
      </c>
      <c r="F38" s="766">
        <f t="shared" si="2"/>
        <v>694666.66666666663</v>
      </c>
      <c r="G38" s="773">
        <v>83838800.564893469</v>
      </c>
      <c r="H38" s="774">
        <f t="shared" si="3"/>
        <v>1863084.4569976327</v>
      </c>
      <c r="I38" s="781">
        <v>100321894.37452048</v>
      </c>
      <c r="J38" s="782">
        <f t="shared" si="4"/>
        <v>2229375.4305448998</v>
      </c>
      <c r="K38" s="787">
        <f t="shared" si="5"/>
        <v>16483093.809627011</v>
      </c>
    </row>
    <row r="40" spans="3:11" ht="16">
      <c r="F40" s="403"/>
      <c r="I40" s="408"/>
      <c r="J40" s="408"/>
    </row>
    <row r="41" spans="3:11" ht="15" thickBot="1"/>
    <row r="42" spans="3:11" ht="17" thickTop="1" thickBot="1">
      <c r="C42" s="806" t="s">
        <v>13</v>
      </c>
      <c r="D42" s="806"/>
      <c r="E42" s="804" t="s">
        <v>290</v>
      </c>
      <c r="F42" s="804" t="s">
        <v>289</v>
      </c>
      <c r="G42" s="1101" t="s">
        <v>50</v>
      </c>
      <c r="H42" s="1101" t="s">
        <v>51</v>
      </c>
      <c r="I42" s="1102" t="s">
        <v>52</v>
      </c>
      <c r="J42" s="803"/>
      <c r="K42" s="793"/>
    </row>
    <row r="43" spans="3:11" ht="17" thickTop="1" thickBot="1">
      <c r="C43" s="806"/>
      <c r="D43" s="806"/>
      <c r="E43" s="805" t="s">
        <v>288</v>
      </c>
      <c r="F43" s="804" t="s">
        <v>288</v>
      </c>
      <c r="G43" s="1101"/>
      <c r="H43" s="1101"/>
      <c r="I43" s="1102"/>
      <c r="J43" s="803"/>
      <c r="K43" s="793"/>
    </row>
    <row r="44" spans="3:11" ht="17" thickTop="1" thickBot="1">
      <c r="C44" s="794" t="s">
        <v>136</v>
      </c>
      <c r="D44" s="794"/>
      <c r="E44" s="795">
        <v>4</v>
      </c>
      <c r="F44" s="795">
        <v>6</v>
      </c>
      <c r="G44" s="795">
        <v>10</v>
      </c>
      <c r="H44" s="795">
        <v>6</v>
      </c>
      <c r="I44" s="795">
        <v>15</v>
      </c>
      <c r="J44" s="793"/>
      <c r="K44" s="793"/>
    </row>
    <row r="45" spans="3:11" ht="17" thickTop="1" thickBot="1">
      <c r="C45" s="793" t="s">
        <v>287</v>
      </c>
      <c r="D45" s="796">
        <f>J52/SUM(E44:I44)</f>
        <v>3615.8536585365855</v>
      </c>
      <c r="E45" s="797">
        <v>3500</v>
      </c>
      <c r="F45" s="797">
        <v>3500</v>
      </c>
      <c r="G45" s="797">
        <v>3750</v>
      </c>
      <c r="H45" s="797">
        <v>3250</v>
      </c>
      <c r="I45" s="797">
        <v>3750</v>
      </c>
      <c r="J45" s="793"/>
      <c r="K45" s="793"/>
    </row>
    <row r="46" spans="3:11" ht="17" thickTop="1" thickBot="1">
      <c r="C46" s="793" t="s">
        <v>286</v>
      </c>
      <c r="D46" s="798">
        <v>1900</v>
      </c>
      <c r="E46" s="797">
        <f>E45*$D46</f>
        <v>6650000</v>
      </c>
      <c r="F46" s="797">
        <f>F45*$D46</f>
        <v>6650000</v>
      </c>
      <c r="G46" s="797">
        <f>G45*$D46</f>
        <v>7125000</v>
      </c>
      <c r="H46" s="797">
        <f>H45*$D46</f>
        <v>6175000</v>
      </c>
      <c r="I46" s="797">
        <f>I45*$D46</f>
        <v>7125000</v>
      </c>
      <c r="J46" s="793"/>
      <c r="K46" s="793"/>
    </row>
    <row r="47" spans="3:11" ht="17" thickTop="1" thickBot="1">
      <c r="C47" s="793" t="s">
        <v>285</v>
      </c>
      <c r="D47" s="798">
        <v>1000</v>
      </c>
      <c r="E47" s="799">
        <f>$D47*-E45</f>
        <v>-3500000</v>
      </c>
      <c r="F47" s="799">
        <f>$D47*-F45</f>
        <v>-3500000</v>
      </c>
      <c r="G47" s="799">
        <f>$D47*-G45</f>
        <v>-3750000</v>
      </c>
      <c r="H47" s="799">
        <f>$D47*-H45</f>
        <v>-3250000</v>
      </c>
      <c r="I47" s="799">
        <f>$D47*-I45</f>
        <v>-3750000</v>
      </c>
      <c r="J47" s="793"/>
      <c r="K47" s="793"/>
    </row>
    <row r="48" spans="3:11" ht="17" thickTop="1" thickBot="1">
      <c r="C48" s="793" t="s">
        <v>284</v>
      </c>
      <c r="D48" s="800">
        <v>0.2</v>
      </c>
      <c r="E48" s="801">
        <f>$D48*E47</f>
        <v>-700000</v>
      </c>
      <c r="F48" s="801">
        <f>$D48*F47</f>
        <v>-700000</v>
      </c>
      <c r="G48" s="801">
        <f>$D48*G47</f>
        <v>-750000</v>
      </c>
      <c r="H48" s="801">
        <f>$D48*H47</f>
        <v>-650000</v>
      </c>
      <c r="I48" s="801">
        <f>$D48*I47</f>
        <v>-750000</v>
      </c>
      <c r="J48" s="793"/>
    </row>
    <row r="49" spans="3:10" ht="17" thickTop="1" thickBot="1">
      <c r="C49" s="793" t="s">
        <v>283</v>
      </c>
      <c r="D49" s="796">
        <f>J53/45</f>
        <v>2306111.111111111</v>
      </c>
      <c r="E49" s="795">
        <f>SUM(E46:E48)</f>
        <v>2450000</v>
      </c>
      <c r="F49" s="795">
        <f>SUM(F46:F48)</f>
        <v>2450000</v>
      </c>
      <c r="G49" s="795">
        <f>SUM(G46:G48)</f>
        <v>2625000</v>
      </c>
      <c r="H49" s="795">
        <f>SUM(H46:H48)</f>
        <v>2275000</v>
      </c>
      <c r="I49" s="795">
        <f>SUM(I46:I48)</f>
        <v>2625000</v>
      </c>
      <c r="J49" s="793"/>
    </row>
    <row r="50" spans="3:10" ht="17" thickTop="1" thickBot="1">
      <c r="C50" s="793"/>
      <c r="D50" s="796"/>
      <c r="E50" s="797"/>
      <c r="F50" s="793"/>
      <c r="G50" s="793"/>
      <c r="H50" s="793"/>
      <c r="I50" s="793"/>
      <c r="J50" s="793"/>
    </row>
    <row r="51" spans="3:10" ht="17" thickTop="1" thickBot="1">
      <c r="C51" s="793"/>
      <c r="D51" s="793"/>
      <c r="E51" s="797"/>
      <c r="F51" s="793"/>
      <c r="G51" s="793"/>
      <c r="H51" s="793"/>
      <c r="I51" s="793"/>
      <c r="J51" s="793"/>
    </row>
    <row r="52" spans="3:10" ht="17" thickTop="1" thickBot="1">
      <c r="C52" s="793"/>
      <c r="D52" s="793"/>
      <c r="E52" s="797">
        <f>E45*E44</f>
        <v>14000</v>
      </c>
      <c r="F52" s="797">
        <f>F45*F44</f>
        <v>21000</v>
      </c>
      <c r="G52" s="797">
        <f>G45*G44</f>
        <v>37500</v>
      </c>
      <c r="H52" s="797">
        <f>H45*H44</f>
        <v>19500</v>
      </c>
      <c r="I52" s="797">
        <f>I45*I44</f>
        <v>56250</v>
      </c>
      <c r="J52" s="802">
        <f>SUM(E52:I52)</f>
        <v>148250</v>
      </c>
    </row>
    <row r="53" spans="3:10" ht="17" thickTop="1" thickBot="1">
      <c r="C53" s="793"/>
      <c r="D53" s="793"/>
      <c r="E53" s="797">
        <f>E49*E44</f>
        <v>9800000</v>
      </c>
      <c r="F53" s="797">
        <f t="shared" ref="F53:I53" si="6">F49*F44</f>
        <v>14700000</v>
      </c>
      <c r="G53" s="797">
        <f t="shared" si="6"/>
        <v>26250000</v>
      </c>
      <c r="H53" s="797">
        <f t="shared" si="6"/>
        <v>13650000</v>
      </c>
      <c r="I53" s="797">
        <f t="shared" si="6"/>
        <v>39375000</v>
      </c>
      <c r="J53" s="802">
        <f>SUM(E53:I53)</f>
        <v>103775000</v>
      </c>
    </row>
    <row r="54" spans="3:10" ht="17" thickTop="1" thickBot="1">
      <c r="C54" s="793"/>
      <c r="D54" s="793"/>
      <c r="E54" s="793"/>
      <c r="F54" s="793"/>
      <c r="G54" s="793"/>
      <c r="H54" s="793"/>
      <c r="I54" s="793"/>
      <c r="J54" s="793"/>
    </row>
    <row r="55" spans="3:10" ht="17" thickTop="1" thickBot="1">
      <c r="C55" s="793"/>
      <c r="D55" s="793"/>
      <c r="E55" s="793"/>
      <c r="F55" s="793"/>
      <c r="G55" s="793"/>
      <c r="H55" s="793"/>
      <c r="I55" s="793"/>
      <c r="J55" s="793"/>
    </row>
    <row r="56" spans="3:10" ht="15" thickTop="1"/>
  </sheetData>
  <mergeCells count="8">
    <mergeCell ref="G42:G43"/>
    <mergeCell ref="H42:H43"/>
    <mergeCell ref="I42:I43"/>
    <mergeCell ref="C31:C32"/>
    <mergeCell ref="E21:F21"/>
    <mergeCell ref="E31:F31"/>
    <mergeCell ref="G31:H31"/>
    <mergeCell ref="I31:J31"/>
  </mergeCells>
  <pageMargins left="0.25" right="0.25" top="0.75" bottom="0.75" header="0.3" footer="0.3"/>
  <pageSetup scale="65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A6F313-C3AE-4DD8-8521-3D804F60A29E}">
  <sheetPr codeName="Sheet8"/>
  <dimension ref="PTM641477"/>
  <sheetViews>
    <sheetView workbookViewId="0"/>
  </sheetViews>
  <sheetFormatPr baseColWidth="10" defaultColWidth="8.83203125" defaultRowHeight="14"/>
  <sheetData>
    <row r="641477" spans="11349:11349">
      <c r="PTM641477" t="s">
        <v>56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a01c79de-d6ca-44ed-8bcb-697d21a50add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4F46EACE72BF141912041392956A3F6" ma:contentTypeVersion="18" ma:contentTypeDescription="Create a new document." ma:contentTypeScope="" ma:versionID="cc96c730ba02ccb267514450f722d899">
  <xsd:schema xmlns:xsd="http://www.w3.org/2001/XMLSchema" xmlns:xs="http://www.w3.org/2001/XMLSchema" xmlns:p="http://schemas.microsoft.com/office/2006/metadata/properties" xmlns:ns3="476b2422-7e09-4a02-9822-bd0cbd231ef0" xmlns:ns4="a01c79de-d6ca-44ed-8bcb-697d21a50add" targetNamespace="http://schemas.microsoft.com/office/2006/metadata/properties" ma:root="true" ma:fieldsID="b43b662096312045404920cdd345d357" ns3:_="" ns4:_="">
    <xsd:import namespace="476b2422-7e09-4a02-9822-bd0cbd231ef0"/>
    <xsd:import namespace="a01c79de-d6ca-44ed-8bcb-697d21a50add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DateTaken" minOccurs="0"/>
                <xsd:element ref="ns4:MediaServiceAutoTags" minOccurs="0"/>
                <xsd:element ref="ns4:MediaServiceOCR" minOccurs="0"/>
                <xsd:element ref="ns4:MediaServiceLocation" minOccurs="0"/>
                <xsd:element ref="ns4:MediaServiceGenerationTime" minOccurs="0"/>
                <xsd:element ref="ns4:MediaServiceEventHashCode" minOccurs="0"/>
                <xsd:element ref="ns4:MediaServiceAutoKeyPoints" minOccurs="0"/>
                <xsd:element ref="ns4:MediaServiceKeyPoints" minOccurs="0"/>
                <xsd:element ref="ns4:MediaLengthInSeconds" minOccurs="0"/>
                <xsd:element ref="ns4:MediaServiceSearchProperties" minOccurs="0"/>
                <xsd:element ref="ns4:_activity" minOccurs="0"/>
                <xsd:element ref="ns4:MediaServiceObjectDetectorVersions" minOccurs="0"/>
                <xsd:element ref="ns4:MediaServiceSystemTag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76b2422-7e09-4a02-9822-bd0cbd231ef0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description="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01c79de-d6ca-44ed-8bcb-697d21a50ad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description="" ma:hidden="true" ma:indexed="true" ma:internalName="MediaServiceDateTaken" ma:readOnly="true">
      <xsd:simpleType>
        <xsd:restriction base="dms:Text"/>
      </xsd:simpleType>
    </xsd:element>
    <xsd:element name="MediaServiceAutoTags" ma:index="14" nillable="true" ma:displayName="MediaServiceAutoTags" ma:internalName="MediaServiceAutoTags" ma:readOnly="true">
      <xsd:simpleType>
        <xsd:restriction base="dms:Text"/>
      </xsd:simpleType>
    </xsd:element>
    <xsd:element name="MediaServiceOCR" ma:index="15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6" nillable="true" ma:displayName="MediaServiceLocation" ma:description="" ma:indexed="true" ma:internalName="MediaServiceLocation" ma:readOnly="true">
      <xsd:simpleType>
        <xsd:restriction base="dms:Text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1" nillable="true" ma:displayName="MediaLengthInSeconds" ma:hidden="true" ma:internalName="MediaLengthInSeconds" ma:readOnly="true">
      <xsd:simpleType>
        <xsd:restriction base="dms:Unknown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_activity" ma:index="23" nillable="true" ma:displayName="_activity" ma:hidden="true" ma:internalName="_activity">
      <xsd:simpleType>
        <xsd:restriction base="dms:Note"/>
      </xsd:simpleType>
    </xsd:element>
    <xsd:element name="MediaServiceObjectDetectorVersions" ma:index="24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ystemTags" ma:index="25" nillable="true" ma:displayName="MediaServiceSystemTags" ma:hidden="true" ma:internalName="MediaServiceSystemTag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5A69069-97BD-45DE-81C2-9741179A6BC6}">
  <ds:schemaRefs>
    <ds:schemaRef ds:uri="http://purl.org/dc/elements/1.1/"/>
    <ds:schemaRef ds:uri="http://purl.org/dc/dcmitype/"/>
    <ds:schemaRef ds:uri="http://schemas.microsoft.com/office/2006/documentManagement/types"/>
    <ds:schemaRef ds:uri="http://www.w3.org/XML/1998/namespace"/>
    <ds:schemaRef ds:uri="http://schemas.microsoft.com/office/infopath/2007/PartnerControls"/>
    <ds:schemaRef ds:uri="http://schemas.openxmlformats.org/package/2006/metadata/core-properties"/>
    <ds:schemaRef ds:uri="http://purl.org/dc/terms/"/>
    <ds:schemaRef ds:uri="a01c79de-d6ca-44ed-8bcb-697d21a50add"/>
    <ds:schemaRef ds:uri="476b2422-7e09-4a02-9822-bd0cbd231ef0"/>
    <ds:schemaRef ds:uri="http://schemas.microsoft.com/office/2006/metadata/properties"/>
  </ds:schemaRefs>
</ds:datastoreItem>
</file>

<file path=customXml/itemProps2.xml><?xml version="1.0" encoding="utf-8"?>
<ds:datastoreItem xmlns:ds="http://schemas.openxmlformats.org/officeDocument/2006/customXml" ds:itemID="{84BC7CCD-D171-4479-9775-77708390F40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76b2422-7e09-4a02-9822-bd0cbd231ef0"/>
    <ds:schemaRef ds:uri="a01c79de-d6ca-44ed-8bcb-697d21a50ad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CF8F2C32-7085-4DB7-B388-380822DD343E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16</vt:i4>
      </vt:variant>
    </vt:vector>
  </HeadingPairs>
  <TitlesOfParts>
    <vt:vector size="25" baseType="lpstr">
      <vt:lpstr>iProject</vt:lpstr>
      <vt:lpstr>iBudget</vt:lpstr>
      <vt:lpstr>iOption</vt:lpstr>
      <vt:lpstr>mOption</vt:lpstr>
      <vt:lpstr>mPrtnership</vt:lpstr>
      <vt:lpstr>rOption</vt:lpstr>
      <vt:lpstr>rClarendonPartners</vt:lpstr>
      <vt:lpstr>Reports</vt:lpstr>
      <vt:lpstr>rSummary</vt:lpstr>
      <vt:lpstr>mPrtnership!c_Hurdle1.Share_GP</vt:lpstr>
      <vt:lpstr>mPrtnership!c_Hurdle2.Share_GP</vt:lpstr>
      <vt:lpstr>mPrtnership!c_Hurdle3.Share_GP</vt:lpstr>
      <vt:lpstr>mPrtnership!c_Residual.Share_GP</vt:lpstr>
      <vt:lpstr>date.Start</vt:lpstr>
      <vt:lpstr>i_cost.Dev</vt:lpstr>
      <vt:lpstr>i_dev.Periods</vt:lpstr>
      <vt:lpstr>i_dev.Start</vt:lpstr>
      <vt:lpstr>mPrtnership!i_EquityShare.GP</vt:lpstr>
      <vt:lpstr>mPrtnership!i_Rate.Hurdle1</vt:lpstr>
      <vt:lpstr>mPrtnership!i_Rate.Hurdle2</vt:lpstr>
      <vt:lpstr>mPrtnership!i_Rate.Hurdle3</vt:lpstr>
      <vt:lpstr>mPrtnership!i_Rate.Pref</vt:lpstr>
      <vt:lpstr>rOption!Print_Area</vt:lpstr>
      <vt:lpstr>rSummary!Print_Area</vt:lpstr>
      <vt:lpstr>prnt_Option1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Gregg Wolin</dc:creator>
  <cp:keywords/>
  <dc:description/>
  <cp:lastModifiedBy>Gregg Wolin</cp:lastModifiedBy>
  <cp:lastPrinted>2024-12-10T20:46:04Z</cp:lastPrinted>
  <dcterms:created xsi:type="dcterms:W3CDTF">2021-08-12T14:58:48Z</dcterms:created>
  <dcterms:modified xsi:type="dcterms:W3CDTF">2026-04-11T19:12:39Z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0x010100D4F46EACE72BF141912041392956A3F6</vt:lpwstr>
  </property>
</Properties>
</file>