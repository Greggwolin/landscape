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trlProps/ctrlProp5.xml" ContentType="application/vnd.ms-excel.controlpropertie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tnorigins.sharepoint.com/sites/MTNO/Shared Documents/MTN O - PREDEV/`CLARENDON_DEV/01 - BUDGETS &amp; BILLINGS/00 - PROFORMA/CP PROFORMA v13.0 (CBH)/"/>
    </mc:Choice>
  </mc:AlternateContent>
  <xr:revisionPtr revIDLastSave="29" documentId="8_{DAFACA78-7595-7C45-9651-9CAF93B70F21}" xr6:coauthVersionLast="47" xr6:coauthVersionMax="47" xr10:uidLastSave="{CD86E563-7F53-934C-A263-9B6EEE3EC710}"/>
  <bookViews>
    <workbookView xWindow="3060" yWindow="760" windowWidth="30240" windowHeight="17880" tabRatio="846" activeTab="6" xr2:uid="{216E326F-CF09-4A77-BA33-FF461AE94CC2}"/>
  </bookViews>
  <sheets>
    <sheet name="Assumptions" sheetId="11" r:id="rId1"/>
    <sheet name="Exhibits" sheetId="14" state="hidden" r:id="rId2"/>
    <sheet name="COMB CASH FLOWS" sheetId="21" state="hidden" r:id="rId3"/>
    <sheet name="Combined Returns" sheetId="23" state="hidden" r:id="rId4"/>
    <sheet name="Proforma Resi" sheetId="8" state="hidden" r:id="rId5"/>
    <sheet name="Returns Resi" sheetId="9" state="hidden" r:id="rId6"/>
    <sheet name="Proforma Land+Home" sheetId="18" r:id="rId7"/>
    <sheet name="Returns Land+Home" sheetId="20" r:id="rId8"/>
    <sheet name="L+H Monthly Cash Flow" sheetId="19" state="hidden" r:id="rId9"/>
    <sheet name="Proforma A+H" sheetId="10" state="hidden" r:id="rId10"/>
    <sheet name="A+H Monthly CF" sheetId="12" state="hidden" r:id="rId11"/>
    <sheet name="A+H Annual CF" sheetId="24" state="hidden" r:id="rId12"/>
    <sheet name="Returns A+H" sheetId="15" state="hidden" r:id="rId13"/>
  </sheets>
  <definedNames>
    <definedName name="________________a1" hidden="1">{"Assump",#N/A,TRUE,"Proforma";"first",#N/A,TRUE,"Proforma";"second",#N/A,TRUE,"Proforma";"lease1",#N/A,TRUE,"Proforma";"lease2",#N/A,TRUE,"Proforma"}</definedName>
    <definedName name="________________jo2" hidden="1">{#N/A,#N/A,FALSE,"DCF-COM";#N/A,#N/A,FALSE,"VAC-COM"}</definedName>
    <definedName name="________________jo3" hidden="1">{"CASHFLOW",#N/A,FALSE,"Northpointe"}</definedName>
    <definedName name="________________jo4" hidden="1">{#N/A,#N/A,FALSE,"SHEET1";#N/A,#N/A,FALSE,"SHEET2";#N/A,#N/A,FALSE,"SHEET3";#N/A,#N/A,FALSE,"SHEET4"}</definedName>
    <definedName name="_______________a1" hidden="1">{"Assump",#N/A,TRUE,"Proforma";"first",#N/A,TRUE,"Proforma";"second",#N/A,TRUE,"Proforma";"lease1",#N/A,TRUE,"Proforma";"lease2",#N/A,TRUE,"Proforma"}</definedName>
    <definedName name="_______________jo2" hidden="1">{#N/A,#N/A,FALSE,"DCF-COM";#N/A,#N/A,FALSE,"VAC-COM"}</definedName>
    <definedName name="_______________jo3" hidden="1">{"CASHFLOW",#N/A,FALSE,"Northpointe"}</definedName>
    <definedName name="_______________jo4" hidden="1">{#N/A,#N/A,FALSE,"SHEET1";#N/A,#N/A,FALSE,"SHEET2";#N/A,#N/A,FALSE,"SHEET3";#N/A,#N/A,FALSE,"SHEET4"}</definedName>
    <definedName name="______________a1" hidden="1">{"Assump",#N/A,TRUE,"Proforma";"first",#N/A,TRUE,"Proforma";"second",#N/A,TRUE,"Proforma";"lease1",#N/A,TRUE,"Proforma";"lease2",#N/A,TRUE,"Proforma"}</definedName>
    <definedName name="______________jo2" hidden="1">{#N/A,#N/A,FALSE,"DCF-COM";#N/A,#N/A,FALSE,"VAC-COM"}</definedName>
    <definedName name="______________jo3" hidden="1">{"CASHFLOW",#N/A,FALSE,"Northpointe"}</definedName>
    <definedName name="______________jo4" hidden="1">{#N/A,#N/A,FALSE,"SHEET1";#N/A,#N/A,FALSE,"SHEET2";#N/A,#N/A,FALSE,"SHEET3";#N/A,#N/A,FALSE,"SHEET4"}</definedName>
    <definedName name="_____________a1" hidden="1">{"Assump",#N/A,TRUE,"Proforma";"first",#N/A,TRUE,"Proforma";"second",#N/A,TRUE,"Proforma";"lease1",#N/A,TRUE,"Proforma";"lease2",#N/A,TRUE,"Proforma"}</definedName>
    <definedName name="_____________jo2" hidden="1">{#N/A,#N/A,FALSE,"DCF-COM";#N/A,#N/A,FALSE,"VAC-COM"}</definedName>
    <definedName name="_____________jo3" hidden="1">{"CASHFLOW",#N/A,FALSE,"Northpointe"}</definedName>
    <definedName name="_____________jo4" hidden="1">{#N/A,#N/A,FALSE,"SHEET1";#N/A,#N/A,FALSE,"SHEET2";#N/A,#N/A,FALSE,"SHEET3";#N/A,#N/A,FALSE,"SHEET4"}</definedName>
    <definedName name="____________a1" hidden="1">{"Assump",#N/A,TRUE,"Proforma";"first",#N/A,TRUE,"Proforma";"second",#N/A,TRUE,"Proforma";"lease1",#N/A,TRUE,"Proforma";"lease2",#N/A,TRUE,"Proforma"}</definedName>
    <definedName name="____________jo2" hidden="1">{#N/A,#N/A,FALSE,"DCF-COM";#N/A,#N/A,FALSE,"VAC-COM"}</definedName>
    <definedName name="____________jo3" hidden="1">{"CASHFLOW",#N/A,FALSE,"Northpointe"}</definedName>
    <definedName name="____________jo4" hidden="1">{#N/A,#N/A,FALSE,"SHEET1";#N/A,#N/A,FALSE,"SHEET2";#N/A,#N/A,FALSE,"SHEET3";#N/A,#N/A,FALSE,"SHEET4"}</definedName>
    <definedName name="___________a1" hidden="1">{"Assump",#N/A,TRUE,"Proforma";"first",#N/A,TRUE,"Proforma";"second",#N/A,TRUE,"Proforma";"lease1",#N/A,TRUE,"Proforma";"lease2",#N/A,TRUE,"Proforma"}</definedName>
    <definedName name="___________jo2" hidden="1">{#N/A,#N/A,FALSE,"DCF-COM";#N/A,#N/A,FALSE,"VAC-COM"}</definedName>
    <definedName name="___________jo3" hidden="1">{"CASHFLOW",#N/A,FALSE,"Northpointe"}</definedName>
    <definedName name="___________jo4" hidden="1">{#N/A,#N/A,FALSE,"SHEET1";#N/A,#N/A,FALSE,"SHEET2";#N/A,#N/A,FALSE,"SHEET3";#N/A,#N/A,FALSE,"SHEET4"}</definedName>
    <definedName name="_________a1" hidden="1">{"Assump",#N/A,TRUE,"Proforma";"first",#N/A,TRUE,"Proforma";"second",#N/A,TRUE,"Proforma";"lease1",#N/A,TRUE,"Proforma";"lease2",#N/A,TRUE,"Proforma"}</definedName>
    <definedName name="_________jo2" hidden="1">{#N/A,#N/A,FALSE,"DCF-COM";#N/A,#N/A,FALSE,"VAC-COM"}</definedName>
    <definedName name="_________jo3" hidden="1">{"CASHFLOW",#N/A,FALSE,"Northpointe"}</definedName>
    <definedName name="_________jo4" hidden="1">{#N/A,#N/A,FALSE,"SHEET1";#N/A,#N/A,FALSE,"SHEET2";#N/A,#N/A,FALSE,"SHEET3";#N/A,#N/A,FALSE,"SHEET4"}</definedName>
    <definedName name="________a1" hidden="1">{"Assump",#N/A,TRUE,"Proforma";"first",#N/A,TRUE,"Proforma";"second",#N/A,TRUE,"Proforma";"lease1",#N/A,TRUE,"Proforma";"lease2",#N/A,TRUE,"Proforma"}</definedName>
    <definedName name="________jo2" hidden="1">{#N/A,#N/A,FALSE,"DCF-COM";#N/A,#N/A,FALSE,"VAC-COM"}</definedName>
    <definedName name="________jo3" hidden="1">{"CASHFLOW",#N/A,FALSE,"Northpointe"}</definedName>
    <definedName name="________jo4" hidden="1">{#N/A,#N/A,FALSE,"SHEET1";#N/A,#N/A,FALSE,"SHEET2";#N/A,#N/A,FALSE,"SHEET3";#N/A,#N/A,FALSE,"SHEET4"}</definedName>
    <definedName name="_______a1" hidden="1">{"Assump",#N/A,TRUE,"Proforma";"first",#N/A,TRUE,"Proforma";"second",#N/A,TRUE,"Proforma";"lease1",#N/A,TRUE,"Proforma";"lease2",#N/A,TRUE,"Proforma"}</definedName>
    <definedName name="_______jo2" hidden="1">{#N/A,#N/A,FALSE,"DCF-COM";#N/A,#N/A,FALSE,"VAC-COM"}</definedName>
    <definedName name="_______jo3" hidden="1">{"CASHFLOW",#N/A,FALSE,"Northpointe"}</definedName>
    <definedName name="_______jo4" hidden="1">{#N/A,#N/A,FALSE,"SHEET1";#N/A,#N/A,FALSE,"SHEET2";#N/A,#N/A,FALSE,"SHEET3";#N/A,#N/A,FALSE,"SHEET4"}</definedName>
    <definedName name="______a1" hidden="1">{"Assump",#N/A,TRUE,"Proforma";"first",#N/A,TRUE,"Proforma";"second",#N/A,TRUE,"Proforma";"lease1",#N/A,TRUE,"Proforma";"lease2",#N/A,TRUE,"Proforma"}</definedName>
    <definedName name="______jo2" hidden="1">{#N/A,#N/A,FALSE,"DCF-COM";#N/A,#N/A,FALSE,"VAC-COM"}</definedName>
    <definedName name="______jo3" hidden="1">{"CASHFLOW",#N/A,FALSE,"Northpointe"}</definedName>
    <definedName name="______jo4" hidden="1">{#N/A,#N/A,FALSE,"SHEET1";#N/A,#N/A,FALSE,"SHEET2";#N/A,#N/A,FALSE,"SHEET3";#N/A,#N/A,FALSE,"SHEET4"}</definedName>
    <definedName name="_____a1" hidden="1">{"Assump",#N/A,TRUE,"Proforma";"first",#N/A,TRUE,"Proforma";"second",#N/A,TRUE,"Proforma";"lease1",#N/A,TRUE,"Proforma";"lease2",#N/A,TRUE,"Proforma"}</definedName>
    <definedName name="_____jo2" hidden="1">{#N/A,#N/A,FALSE,"DCF-COM";#N/A,#N/A,FALSE,"VAC-COM"}</definedName>
    <definedName name="_____jo3" hidden="1">{"CASHFLOW",#N/A,FALSE,"Northpointe"}</definedName>
    <definedName name="_____jo4" hidden="1">{#N/A,#N/A,FALSE,"SHEET1";#N/A,#N/A,FALSE,"SHEET2";#N/A,#N/A,FALSE,"SHEET3";#N/A,#N/A,FALSE,"SHEET4"}</definedName>
    <definedName name="____a1" hidden="1">{"Assump",#N/A,TRUE,"Proforma";"first",#N/A,TRUE,"Proforma";"second",#N/A,TRUE,"Proforma";"lease1",#N/A,TRUE,"Proforma";"lease2",#N/A,TRUE,"Proforma"}</definedName>
    <definedName name="____jo2" hidden="1">{#N/A,#N/A,FALSE,"DCF-COM";#N/A,#N/A,FALSE,"VAC-COM"}</definedName>
    <definedName name="____jo3" hidden="1">{"CASHFLOW",#N/A,FALSE,"Northpointe"}</definedName>
    <definedName name="____jo4" hidden="1">{#N/A,#N/A,FALSE,"SHEET1";#N/A,#N/A,FALSE,"SHEET2";#N/A,#N/A,FALSE,"SHEET3";#N/A,#N/A,FALSE,"SHEET4"}</definedName>
    <definedName name="___a1" hidden="1">{"Assump",#N/A,TRUE,"Proforma";"first",#N/A,TRUE,"Proforma";"second",#N/A,TRUE,"Proforma";"lease1",#N/A,TRUE,"Proforma";"lease2",#N/A,TRUE,"Proforma"}</definedName>
    <definedName name="___del1" hidden="1">{"Page1",#N/A,FALSE,"7979";"Page2",#N/A,FALSE,"7979";"Page3",#N/A,FALSE,"7979"}</definedName>
    <definedName name="___jo2" hidden="1">{#N/A,#N/A,FALSE,"DCF-COM";#N/A,#N/A,FALSE,"VAC-COM"}</definedName>
    <definedName name="___jo3" hidden="1">{"CASHFLOW",#N/A,FALSE,"Northpointe"}</definedName>
    <definedName name="___jo4" hidden="1">{#N/A,#N/A,FALSE,"SHEET1";#N/A,#N/A,FALSE,"SHEET2";#N/A,#N/A,FALSE,"SHEET3";#N/A,#N/A,FALSE,"SHEET4"}</definedName>
    <definedName name="__10__123Graph_BCHART_2" hidden="1">#REF!</definedName>
    <definedName name="__123Graph_A" hidden="1">#REF!</definedName>
    <definedName name="__123Graph_AGRAPH1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METPLX" hidden="1">#REF!</definedName>
    <definedName name="__123Graph_LBL_ANDALLAS" hidden="1">#REF!</definedName>
    <definedName name="__123Graph_LBL_B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X" hidden="1">#REF!</definedName>
    <definedName name="__123Graph_XGRAPH1" hidden="1">#REF!</definedName>
    <definedName name="__2__123Graph_ACHART_2" hidden="1">#REF!</definedName>
    <definedName name="__3__123Graph_ACHART_2" hidden="1">#REF!</definedName>
    <definedName name="__6__123Graph_BCHART_2" hidden="1">#REF!</definedName>
    <definedName name="__a1" hidden="1">{"Assump",#N/A,TRUE,"Proforma";"first",#N/A,TRUE,"Proforma";"second",#N/A,TRUE,"Proforma";"lease1",#N/A,TRUE,"Proforma";"lease2",#N/A,TRUE,"Proforma"}</definedName>
    <definedName name="__adv2" hidden="1">{"Proforma",#N/A,FALSE,"Sheet1"}</definedName>
    <definedName name="__adv3" hidden="1">{"Proforma",#N/A,FALSE,"Sheet1"}</definedName>
    <definedName name="__adv4" hidden="1">{"Proforma",#N/A,FALSE,"Sheet1"}</definedName>
    <definedName name="__del1" hidden="1">{"Page1",#N/A,FALSE,"7979";"Page2",#N/A,FALSE,"7979";"Page3",#N/A,FALSE,"7979"}</definedName>
    <definedName name="__FDS_HYPERLINK_TOGGLE_STATE__" hidden="1">"ON"</definedName>
    <definedName name="__IntlFixup" hidden="1">TRUE</definedName>
    <definedName name="__jo2" hidden="1">{#N/A,#N/A,FALSE,"DCF-COM";#N/A,#N/A,FALSE,"VAC-COM"}</definedName>
    <definedName name="__jo3" hidden="1">{"CASHFLOW",#N/A,FALSE,"Northpointe"}</definedName>
    <definedName name="__jo4" hidden="1">{#N/A,#N/A,FALSE,"SHEET1";#N/A,#N/A,FALSE,"SHEET2";#N/A,#N/A,FALSE,"SHEET3";#N/A,#N/A,FALSE,"SHEET4"}</definedName>
    <definedName name="__New1" hidden="1">#REF!</definedName>
    <definedName name="__new3" hidden="1">#REF!</definedName>
    <definedName name="_1__123Graph_ACHART_1" hidden="1">#REF!</definedName>
    <definedName name="_1__123Graph_ACHART_2" hidden="1">#REF!</definedName>
    <definedName name="_1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0__123Graph_BCHART_2" hidden="1">#REF!</definedName>
    <definedName name="_10__123Graph_CCHART_2" hidden="1">#REF!</definedName>
    <definedName name="_10__FDSAUDITLINK__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1__123Graph_CCHART_3" hidden="1">#REF!</definedName>
    <definedName name="_11__FDSAUDITLINK__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2__123Graph_BCHART_3" hidden="1">#REF!</definedName>
    <definedName name="_12__123Graph_CCHART_4" hidden="1">#REF!</definedName>
    <definedName name="_12__123Graph_XCHART_2" hidden="1">#REF!</definedName>
    <definedName name="_12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23456" hidden="1">#REF!</definedName>
    <definedName name="_123Graph_A" hidden="1">#REF!</definedName>
    <definedName name="_123Graph_B2" hidden="1">#REF!</definedName>
    <definedName name="_123Graph_c3" hidden="1">#REF!</definedName>
    <definedName name="_13__123Graph_DCHART_1" hidden="1">#REF!</definedName>
    <definedName name="_14__123Graph_BCHART_4" hidden="1">#REF!</definedName>
    <definedName name="_14__123Graph_DCHART_2" hidden="1">#REF!</definedName>
    <definedName name="_15__123Graph_CCHART_2" hidden="1">#REF!</definedName>
    <definedName name="_15__123Graph_DCHART_3" hidden="1">#REF!</definedName>
    <definedName name="_16__123Graph_CCHART_1" hidden="1">#REF!</definedName>
    <definedName name="_16__123Graph_DCHART_4" hidden="1">#REF!</definedName>
    <definedName name="_17__123Graph_CCHART_2" hidden="1">#REF!</definedName>
    <definedName name="_17__123Graph_XCHART_2" hidden="1">#REF!</definedName>
    <definedName name="_18__123Graph_XCHART_3" hidden="1">#REF!</definedName>
    <definedName name="_19__123Graph_CCHART_3" hidden="1">#REF!</definedName>
    <definedName name="_19__123Graph_XCHART_4" hidden="1">#REF!</definedName>
    <definedName name="_2__123Graph_ACHART_1" hidden="1">#REF!</definedName>
    <definedName name="_2__123Graph_ACHART_2" hidden="1">#REF!</definedName>
    <definedName name="_2__123Graph_BCHART_2" hidden="1">#REF!</definedName>
    <definedName name="_2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0__123Graph_XCHART_2" hidden="1">#REF!</definedName>
    <definedName name="_21__123Graph_CCHART_4" hidden="1">#REF!</definedName>
    <definedName name="_23__123Graph_DCHART_1" hidden="1">#REF!</definedName>
    <definedName name="_25__123Graph_DCHART_2" hidden="1">#REF!</definedName>
    <definedName name="_27__123Graph_DCHART_3" hidden="1">#REF!</definedName>
    <definedName name="_29__123Graph_DCHART_4" hidden="1">#REF!</definedName>
    <definedName name="_3__123Graph_ACHART_2" hidden="1">#REF!</definedName>
    <definedName name="_3__123Graph_ACHART_3" hidden="1">#REF!</definedName>
    <definedName name="_3__123Graph_CCHART_2" hidden="1">#REF!</definedName>
    <definedName name="_3__FDSAUDITLINK__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0__123Graph_XCHART_2" hidden="1">#REF!</definedName>
    <definedName name="_32__123Graph_XCHART_3" hidden="1">#REF!</definedName>
    <definedName name="_34__123Graph_XCHART_4" hidden="1">#REF!</definedName>
    <definedName name="_4__123Graph_ACHART_4" hidden="1">#REF!</definedName>
    <definedName name="_4__123Graph_BCHART_2" hidden="1">#REF!</definedName>
    <definedName name="_4__123Graph_XCHART_2" hidden="1">#REF!</definedName>
    <definedName name="_4__FDSAUDITLINK__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5__123Graph_ACHART_2" hidden="1">#REF!</definedName>
    <definedName name="_5__123Graph_ACHART_3" hidden="1">#REF!</definedName>
    <definedName name="_5__123Graph_BCHART_1" hidden="1">#REF!</definedName>
    <definedName name="_5__FDSAUDITLINK__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6__123Graph_BCHART_2" hidden="1">#REF!</definedName>
    <definedName name="_6__123Graph_CCHART_2" hidden="1">#REF!</definedName>
    <definedName name="_6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7__123Graph_ACHART_4" hidden="1">#REF!</definedName>
    <definedName name="_7__123Graph_BCHART_3" hidden="1">#REF!</definedName>
    <definedName name="_7__FDSAUDITLINK__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8__123Graph_BCHART_4" hidden="1">#REF!</definedName>
    <definedName name="_8__123Graph_XCHART_2" hidden="1">#REF!</definedName>
    <definedName name="_8__FDSAUDITLINK__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9__123Graph_BCHART_1" hidden="1">#REF!</definedName>
    <definedName name="_9__123Graph_CCHART_1" hidden="1">#REF!</definedName>
    <definedName name="_9__123Graph_CCHART_2" hidden="1">#REF!</definedName>
    <definedName name="_9__FDSAUDITLINK__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a1" hidden="1">{"Assump",#N/A,TRUE,"Proforma";"first",#N/A,TRUE,"Proforma";"second",#N/A,TRUE,"Proforma";"lease1",#N/A,TRUE,"Proforma";"lease2",#N/A,TRUE,"Proforma"}</definedName>
    <definedName name="_adv2" hidden="1">{"Proforma",#N/A,FALSE,"Sheet1"}</definedName>
    <definedName name="_adv3" hidden="1">{"Proforma",#N/A,FALSE,"Sheet1"}</definedName>
    <definedName name="_adv4" hidden="1">{"Proforma",#N/A,FALSE,"Sheet1"}</definedName>
    <definedName name="_del1" hidden="1">{"Page1",#N/A,FALSE,"7979";"Page2",#N/A,FALSE,"7979";"Page3",#N/A,FALSE,"7979"}</definedName>
    <definedName name="_Fil1" hidden="1">#REF!</definedName>
    <definedName name="_Fill" hidden="1">#REF!</definedName>
    <definedName name="_Fill2" hidden="1">#REF!</definedName>
    <definedName name="_xlnm._FilterDatabase" hidden="1">#REF!</definedName>
    <definedName name="_jo2" hidden="1">{#N/A,#N/A,FALSE,"DCF-COM";#N/A,#N/A,FALSE,"VAC-COM"}</definedName>
    <definedName name="_jo3" hidden="1">{"CASHFLOW",#N/A,FALSE,"Northpointe"}</definedName>
    <definedName name="_jo4" hidden="1">{#N/A,#N/A,FALSE,"SHEET1";#N/A,#N/A,FALSE,"SHEET2";#N/A,#N/A,FALSE,"SHEET3";#N/A,#N/A,FALSE,"SHEET4"}</definedName>
    <definedName name="_Key1" hidden="1">#REF!</definedName>
    <definedName name="_Key2" hidden="1">#REF!</definedName>
    <definedName name="_Key5" hidden="1">#REF!</definedName>
    <definedName name="_Key6" hidden="1">#REF!</definedName>
    <definedName name="_Key8" hidden="1">#REF!</definedName>
    <definedName name="_Key9" hidden="1">#REF!</definedName>
    <definedName name="_New1" hidden="1">#REF!</definedName>
    <definedName name="_new3" hidden="1">#REF!</definedName>
    <definedName name="_off3">#REF!</definedName>
    <definedName name="_off4">#REF!</definedName>
    <definedName name="_off5">#REF!</definedName>
    <definedName name="_off6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sa1">#REF!</definedName>
    <definedName name="_sa2">#REF!</definedName>
    <definedName name="_sa3">#REF!</definedName>
    <definedName name="_sa4">#REF!</definedName>
    <definedName name="_sa5">#REF!</definedName>
    <definedName name="_sa6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x" hidden="1">#REF!</definedName>
    <definedName name="A" hidden="1">{"Output-BaseYear",#N/A,FALSE,"Output"}</definedName>
    <definedName name="a1a1" hidden="1">{"Assump",#N/A,TRUE,"Proforma";"first",#N/A,TRUE,"Proforma";"second",#N/A,TRUE,"Proforma";"lease1",#N/A,TRUE,"Proforma";"lease2",#N/A,TRUE,"Proforma"}</definedName>
    <definedName name="aa" hidden="1">{"Assump",#N/A,TRUE,"Proforma";"first",#N/A,TRUE,"Proforma";"second",#N/A,TRUE,"Proforma";"lease1",#N/A,TRUE,"Proforma";"lease2",#N/A,TRUE,"Proforma"}</definedName>
    <definedName name="aaa" hidden="1">{"Assump",#N/A,TRUE,"Proforma";"first",#N/A,TRUE,"Proforma";"second",#N/A,TRUE,"Proforma";"lease1",#N/A,TRUE,"Proforma";"lease2",#N/A,TRUE,"Proforma"}</definedName>
    <definedName name="AAA_DOCTOPS" hidden="1">"AAA_SET"</definedName>
    <definedName name="AAA_duser" hidden="1">"OFF"</definedName>
    <definedName name="aaaaa" hidden="1">{"Assump",#N/A,TRUE,"Proforma";"first",#N/A,TRUE,"Proforma";"second",#N/A,TRUE,"Proforma";"lease1",#N/A,TRUE,"Proforma";"lease2",#N/A,TRUE,"Proforma"}</definedName>
    <definedName name="AAB_Addin5" hidden="1">"AAB_Description for addin 5,Description for addin 5,Description for addin 5,Description for addin 5,Description for addin 5,Description for addin 5"</definedName>
    <definedName name="Access_Button" hidden="1">"Loan_Front_End_Input_List"</definedName>
    <definedName name="AccessDatabase" hidden="1">"C:\My Documents\DAVE\MODELS\Cash at Risk\Loan Front End.mdb"</definedName>
    <definedName name="ADASF" hidden="1">#REF!</definedName>
    <definedName name="adf" hidden="1">{#N/A,#N/A,FALSE,"SCHEDULE G"}</definedName>
    <definedName name="adfa" hidden="1">{"cap_structure",#N/A,FALSE,"Graph-Mkt Cap";"price",#N/A,FALSE,"Graph-Price";"ebit",#N/A,FALSE,"Graph-EBITDA";"ebitda",#N/A,FALSE,"Graph-EBITDA"}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FA" hidden="1">{"inputs raw data",#N/A,TRUE,"INPUT"}</definedName>
    <definedName name="adv" hidden="1">{"Proforma",#N/A,FALSE,"Sheet1"}</definedName>
    <definedName name="AEWEW" hidden="1">{"inputs raw data",#N/A,TRUE,"INPUT"}</definedName>
    <definedName name="andrew" hidden="1">{"eca",#N/A,TRUE,"E-C1 (R)";"ecb",#N/A,TRUE,"E-C1 (R)"}</definedName>
    <definedName name="anscount" hidden="1">2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rgusInput">#REF!</definedName>
    <definedName name="ArgusInput.New">#REF!</definedName>
    <definedName name="as" hidden="1">{"FCB_ALL",#N/A,FALSE,"FCB"}</definedName>
    <definedName name="AS2DocOpenMode" hidden="1">"AS2DocumentEdit"</definedName>
    <definedName name="asdf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asfaF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as" hidden="1">#REF!</definedName>
    <definedName name="asfget" hidden="1">{"Page1",#N/A,FALSE,"7979";"Page2",#N/A,FALSE,"7979";"Page3",#N/A,FALSE,"7979"}</definedName>
    <definedName name="b" hidden="1">#REF!</definedName>
    <definedName name="BadLink" hidden="1">#REF!</definedName>
    <definedName name="bb" hidden="1">{#N/A,#N/A,FALSE,"ExitStratigy"}</definedName>
    <definedName name="bbb" hidden="1">{#N/A,#N/A,FALSE,"ExitStratigy"}</definedName>
    <definedName name="bogus" hidden="1">{"CF",#N/A,FALSE,"Cash Flow";"RET",#N/A,FALSE,"Returns";"NPV",#N/A,FALSE,"Values";"ASMPT",#N/A,FALSE,"Assumptions"}</definedName>
    <definedName name="bogus2" hidden="1">{"CF",#N/A,FALSE,"Cash Flow";"RET",#N/A,FALSE,"Returns";"NPV",#N/A,FALSE,"Values";"ASMPT",#N/A,FALSE,"Assumptions"}</definedName>
    <definedName name="Budget.AnalystReport.Rows">#REF!</definedName>
    <definedName name="Budget.BudgetPeriods.Columns">#REF!</definedName>
    <definedName name="Budget.ColumnHeadings.Row">#REF!</definedName>
    <definedName name="Budget.HideColumns.Row">#REF!</definedName>
    <definedName name="Budget.HideRows.Column">#REF!</definedName>
    <definedName name="Budget.RowOrderBy.Column">#REF!</definedName>
    <definedName name="Budget.RowOrderByDescription.Column">#REF!</definedName>
    <definedName name="Budget.Total.Column">#REF!</definedName>
    <definedName name="Budget.WBCol.Column">#REF!</definedName>
    <definedName name="Budget.WBStatus.Column">#REF!</definedName>
    <definedName name="Case_A">#REF!</definedName>
    <definedName name="CAT_Com">#REF!</definedName>
    <definedName name="cb_sChart41E9A35_opts" hidden="1">"1, 9, 1, False, 2, False, False, , 0, False, True, 1, 1"</definedName>
    <definedName name="cc" hidden="1">{#N/A,#N/A,FALSE,"LoanAssumptions"}</definedName>
    <definedName name="cc." hidden="1">{"CD1",#N/A,TRUE,"C-D (R)";"CD2",#N/A,TRUE,"C-D (R)"}</definedName>
    <definedName name="ccc" hidden="1">{#N/A,#N/A,FALSE,"LoanAssumptions"}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flow" hidden="1">{"CF",#N/A,FALSE,"Cash Flow";"RET",#N/A,FALSE,"Returns";"NPV",#N/A,FALSE,"Values";"ASMPT",#N/A,FALSE,"Assumptions"}</definedName>
    <definedName name="Choices_Wrapper">#N/A</definedName>
    <definedName name="Choices_Wrapper5">#N/A</definedName>
    <definedName name="cnsld2">#REF!</definedName>
    <definedName name="cnsld3">#REF!</definedName>
    <definedName name="cnsld4">#REF!</definedName>
    <definedName name="cost1">#REF!</definedName>
    <definedName name="CostDetail" hidden="1">{"CF",#N/A,FALSE,"Cash Flow";"RET",#N/A,FALSE,"Returns";"NPV",#N/A,FALSE,"Values";"ASMPT",#N/A,FALSE,"Assumptions"}</definedName>
    <definedName name="CostInflation">#REF!</definedName>
    <definedName name="CostsDetail" hidden="1">{"CF",#N/A,FALSE,"Cash Flow";"RET",#N/A,FALSE,"Returns";"NPV",#N/A,FALSE,"Values";"ASMPT",#N/A,FALSE,"Assumptions"}</definedName>
    <definedName name="crap" hidden="1">{"CF",#N/A,FALSE,"Cash Flow";"RET",#N/A,FALSE,"Returns";"NPV",#N/A,FALSE,"Values";"ASMPT",#N/A,FALSE,"Assumptions"}</definedName>
    <definedName name="Cur_QTD_Total_Revenue">#REF!</definedName>
    <definedName name="d" hidden="1">{#N/A,#N/A,FALSE,"LoanAssumptions"}</definedName>
    <definedName name="DAFAD" hidden="1">{"cap_structure",#N/A,FALSE,"Graph-Mkt Cap";"price",#N/A,FALSE,"Graph-Price";"ebit",#N/A,FALSE,"Graph-EBITDA";"ebitda",#N/A,FALSE,"Graph-EBITDA"}</definedName>
    <definedName name="Dajl" hidden="1">#REF!</definedName>
    <definedName name="Date_Acquisition">#REF!</definedName>
    <definedName name="Date_AmortStart1">#REF!</definedName>
    <definedName name="Date_AmortStart2">#REF!</definedName>
    <definedName name="Date_CostsPricing">#REF!</definedName>
    <definedName name="Date_PreDevEnd">#REF!</definedName>
    <definedName name="Date_Refi">#REF!</definedName>
    <definedName name="Date_Sale">#REF!</definedName>
    <definedName name="Date_SaleParcel">#REF!</definedName>
    <definedName name="Date_Stabilization">#REF!</definedName>
    <definedName name="dd" hidden="1">{"MonthlyRentRoll",#N/A,FALSE,"RentRoll"}</definedName>
    <definedName name="ddd" hidden="1">{"MonthlyRentRoll",#N/A,FALSE,"RentRoll"}</definedName>
    <definedName name="dddddd" hidden="1">{#N/A,#N/A,FALSE,"CAPREIT"}</definedName>
    <definedName name="ddddddd" hidden="1">{#N/A,#N/A,FALSE,"CAPREIT"}</definedName>
    <definedName name="del" hidden="1">{"Page1",#N/A,FALSE,"7979";"Page2",#N/A,FALSE,"7979";"Page3",#N/A,FALSE,"7979"}</definedName>
    <definedName name="delta" hidden="1">{"ACCOUNTING COPY",#N/A,FALSE,"SCHEDULE A";"FINANCE COPY",#N/A,FALSE,"SCHEDULE A";"P.L. COPY",#N/A,FALSE,"SCHEDULE A"}</definedName>
    <definedName name="Description">#REF!</definedName>
    <definedName name="DetailedCosts" hidden="1">{"CF",#N/A,FALSE,"Cash Flow";"RET",#N/A,FALSE,"Returns";"NPV",#N/A,FALSE,"Values";"ASMPT",#N/A,FALSE,"Assumptions"}</definedName>
    <definedName name="DevFeeTarget">#REF!</definedName>
    <definedName name="dfd" hidden="1">{"FCB_ALL",#N/A,FALSE,"FCB";"GREY_ALL",#N/A,FALSE,"GREY"}</definedName>
    <definedName name="dfdas" hidden="1">{"FCB_ALL",#N/A,FALSE,"FCB";"GREY_ALL",#N/A,FALSE,"GREY"}</definedName>
    <definedName name="dfdf" hidden="1">{"History+Projection+5Comps",#N/A,FALSE,"HISTORY (2)";"$ Per Occupied History+Projection+5Comps",#N/A,FALSE,"HISTORY (2)";"History+Projection",#N/A,FALSE,"HISTORY (2)"}</definedName>
    <definedName name="dfdfd" hidden="1">{"FCB_ALL",#N/A,FALSE,"FCB";"GREY_ALL",#N/A,FALSE,"GREY"}</definedName>
    <definedName name="dfdfdfd" hidden="1">{"FCB_ALL",#N/A,FALSE,"FCB"}</definedName>
    <definedName name="dfjdklfj" hidden="1">{"$ Per Occupied History+Projection+5Comps",#N/A,FALSE,"HISTORY (2)";"History+Projection+5Comps",#N/A,FALSE,"HISTORY (2)";"History+Projection",#N/A,FALSE,"HISTORY (2)";"History+Projection per Occ'd",#N/A,FALSE,"HISTORY (2)"}</definedName>
    <definedName name="DHG" hidden="1">{"cap_structure",#N/A,FALSE,"Graph-Mkt Cap";"price",#N/A,FALSE,"Graph-Price";"ebit",#N/A,FALSE,"Graph-EBITDA";"ebitda",#N/A,FALSE,"Graph-EBITDA"}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e" hidden="1">{"MonthlyRentRoll",#N/A,FALSE,"RentRoll"}</definedName>
    <definedName name="ee" hidden="1">{"Assump",#N/A,TRUE,"Proforma";"first",#N/A,TRUE,"Proforma";"second",#N/A,TRUE,"Proforma";"lease1",#N/A,TRUE,"Proforma";"lease2",#N/A,TRUE,"Proforma"}</definedName>
    <definedName name="eee" hidden="1">{#N/A,#N/A,FALSE,"OperatingAssumptions"}</definedName>
    <definedName name="EntryCapRt">#REF!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v.Calculation" hidden="1">-4135</definedName>
    <definedName name="ev.Initialized" hidden="1">FALSE</definedName>
    <definedName name="ExitCapRt">#REF!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fdfd" hidden="1">{#N/A,#N/A,FALSE,"CAPREIT"}</definedName>
    <definedName name="fdfdfdf" hidden="1">{#N/A,#N/A,FALSE,"CAPREIT"}</definedName>
    <definedName name="fdgad" hidden="1">{"inputs raw data",#N/A,TRUE,"INPUT"}</definedName>
    <definedName name="ff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f" hidden="1">{0,#N/A,TRUE,0;0,#N/A,TRUE,0;0,#N/A,TRUE,0;0,#N/A,TRUE,0;0,#N/A,TRUE,0}</definedName>
    <definedName name="fghsgh" hidden="1">{"CF",#N/A,FALSE,"Cash Flow";"RET",#N/A,FALSE,"Returns";"NPV",#N/A,FALSE,"Values";"ASMPT",#N/A,FALSE,"Assumptions"}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leVersion">#REF!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FeeTarget">#REF!</definedName>
    <definedName name="fksajf" hidden="1">{#N/A,#N/A,FALSE,"SCHEDULE A";"MINIMUM RENT",#N/A,FALSE,"SCHEDULES B &amp; C";"PERCENTAGE RENT",#N/A,FALSE,"SCHEDULES B &amp; C"}</definedName>
    <definedName name="fldfjlsd" hidden="1">#REF!</definedName>
    <definedName name="fm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hidden="1">{#N/A,#N/A,FALSE,"PropertyInfo"}</definedName>
    <definedName name="ggg" hidden="1">{#N/A,#N/A,FALSE,"PropertyInfo"}</definedName>
    <definedName name="gkf" hidden="1">{"Proforma",#N/A,FALSE,"Sheet1"}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" hidden="1">{"ed1",#N/A,TRUE,"E-D";"ed2",#N/A,TRUE,"E-D"}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llo">#N/A</definedName>
    <definedName name="Hello5">#N/A</definedName>
    <definedName name="hh" hidden="1">{#N/A,#N/A,FALSE,"Summary"}</definedName>
    <definedName name="hhh" hidden="1">{#N/A,#N/A,FALSE,"Summary"}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MLkUp" hidden="1">#REF!</definedName>
    <definedName name="hmnxghj" hidden="1">{"CF",#N/A,FALSE,"Cash Flow";"RET",#N/A,FALSE,"Returns";"NPV",#N/A,FALSE,"Values";"ASMPT",#N/A,FALSE,"Assumptions"}</definedName>
    <definedName name="HMSeek" hidden="1">#REF!</definedName>
    <definedName name="hn.Delete015" hidden="1">#REF!,#REF!,#REF!,#REF!,#REF!</definedName>
    <definedName name="hn.DZ_MultByFXRates" hidden="1">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tl1">#REF!</definedName>
    <definedName name="hotl2">#REF!</definedName>
    <definedName name="hotl3">#REF!</definedName>
    <definedName name="hotl4">#REF!</definedName>
    <definedName name="hotl5">#REF!</definedName>
    <definedName name="hotl6">#REF!</definedName>
    <definedName name="hum" hidden="1">{"RATES",#N/A,FALSE,"RECOVERY RATES";"CONTRIBUTIONS",#N/A,FALSE,"RECOVERY RATES";"GLA CATEGORY SUMMARY",#N/A,FALSE,"RECOVERY RATES"}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nflation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ACT_FFO_THOM" hidden="1">"c4005"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FFO_DIFF_THOM" hidden="1">"c5186"</definedName>
    <definedName name="IQ_EST_FFO_SURPRISE_PERCENT_THOM" hidden="1">"c5187"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EST_THOM" hidden="1">"c3999"</definedName>
    <definedName name="IQ_FFO_HIGH_EST_CIQ" hidden="1">"c4977"</definedName>
    <definedName name="IQ_FFO_HIGH_EST_THOM" hidden="1">"c4001"</definedName>
    <definedName name="IQ_FFO_LOW_EST_CIQ" hidden="1">"c4978"</definedName>
    <definedName name="IQ_FFO_LOW_EST_THOM" hidden="1">"c4002"</definedName>
    <definedName name="IQ_FFO_MEDIAN_EST_CIQ" hidden="1">"c4979"</definedName>
    <definedName name="IQ_FFO_MEDIAN_EST_THOM" hidden="1">"c4000"</definedName>
    <definedName name="IQ_FFO_NUM_EST_CIQ" hidden="1">"c4980"</definedName>
    <definedName name="IQ_FFO_NUM_EST_THOM" hidden="1">"c4003"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40209.6785185185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ISION_DATE_" hidden="1">38854.5656481481</definedName>
    <definedName name="IQ_REVISION_DATE__1" hidden="1">39125.817037037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Item">#REF!</definedName>
    <definedName name="jb" hidden="1">{"summary1",#N/A,TRUE,"Comps";"summary2",#N/A,TRUE,"Comps";"summary3",#N/A,TRUE,"Comps"}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e" hidden="1">#REF!</definedName>
    <definedName name="Keys">#REF!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kk" hidden="1">{#N/A,#N/A,FALSE,"B_Spread"}</definedName>
    <definedName name="kyd.ChngCell.01." hidden="1">#REF!</definedName>
    <definedName name="kyd.CounterLimitCell.01." hidden="1">"x"</definedName>
    <definedName name="kyd.Dim.01." hidden="1">"toad:Company"</definedName>
    <definedName name="kyd.ElementList.01." hidden="1">#REF!</definedName>
    <definedName name="kyd.ElementType.01." hidden="1">3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"copybook"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3</definedName>
    <definedName name="kyd.SaveAsFile." hidden="1">FALSE</definedName>
    <definedName name="kyd.SelectString.01." hidden="1">"*"</definedName>
    <definedName name="kyd.StdSortHide." hidden="1">FALSE</definedName>
    <definedName name="LandPrice">#REF!</definedName>
    <definedName name="limcount" hidden="1">1</definedName>
    <definedName name="LoanTarget">#REF!</definedName>
    <definedName name="LTC">#REF!</definedName>
    <definedName name="LTC_Refi">#REF!</definedName>
    <definedName name="melo" hidden="1">{"AnnualRentRoll",#N/A,FALSE,"RentRoll"}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onths_Acquisition">#REF!</definedName>
    <definedName name="Months_Construction">#REF!</definedName>
    <definedName name="Months_PreDev">#REF!</definedName>
    <definedName name="Months_ProjectHold">#REF!</definedName>
    <definedName name="New" hidden="1">#REF!</definedName>
    <definedName name="NRSF">#REF!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Park">#REF!</definedName>
    <definedName name="PctLU">#REF!</definedName>
    <definedName name="PerCar">#REF!</definedName>
    <definedName name="Period">#REF!</definedName>
    <definedName name="_xlnm.Print_Area" localSheetId="3">'Combined Returns'!$B$1:$M$90</definedName>
    <definedName name="_xlnm.Print_Area" localSheetId="9">'Proforma A+H'!$B$1:$U$283</definedName>
    <definedName name="_xlnm.Print_Area" localSheetId="6">'Proforma Land+Home'!$A$1:$S$211</definedName>
    <definedName name="_xlnm.Print_Area" localSheetId="4">'Proforma Resi'!$A$1:$S$234</definedName>
    <definedName name="_xlnm.Print_Area" localSheetId="12">'Returns A+H'!$B$1:$M$17</definedName>
    <definedName name="_xlnm.Print_Area" localSheetId="7">'Returns Land+Home'!$B$1:$M$88</definedName>
    <definedName name="_xlnm.Print_Area" localSheetId="5">'Returns Resi'!$B$1:$M$76</definedName>
    <definedName name="Print_Area_MI">#REF!</definedName>
    <definedName name="Print_Area_Reset">OFFSET(Full_Print,0,0,Last_Row)</definedName>
    <definedName name="_xlnm.Print_Titles" localSheetId="3">'Combined Returns'!$1:$3</definedName>
    <definedName name="_xlnm.Print_Titles" localSheetId="9">'Proforma A+H'!$1:$2</definedName>
    <definedName name="_xlnm.Print_Titles" localSheetId="6">'Proforma Land+Home'!$1:$4</definedName>
    <definedName name="_xlnm.Print_Titles" localSheetId="4">'Proforma Resi'!$1:$4</definedName>
    <definedName name="_xlnm.Print_Titles" localSheetId="12">'Returns A+H'!$1:$3</definedName>
    <definedName name="_xlnm.Print_Titles" localSheetId="7">'Returns Land+Home'!$1:$3</definedName>
    <definedName name="_xlnm.Print_Titles" localSheetId="5">'Returns Resi'!$1:$3</definedName>
    <definedName name="PrintSum">#REF!</definedName>
    <definedName name="PrintSummary">#REF!</definedName>
    <definedName name="prntall" hidden="1">{#N/A,#N/A,FALSE,"Land";#N/A,#N/A,FALSE,"Cost Analysis";"Summary",#N/A,FALSE,"Equipment"}</definedName>
    <definedName name="PrntSummary">#REF!</definedName>
    <definedName name="ProductSaleDetail">#REF!</definedName>
    <definedName name="PUB_FileID" hidden="1">"L10003363.xls"</definedName>
    <definedName name="PUB_UserID" hidden="1">"MAYERX"</definedName>
    <definedName name="q" hidden="1">{"BB1",#N/A,TRUE,"B-B (R)";"BB2",#N/A,TRUE,"B-B (R)"}</definedName>
    <definedName name="qq" hidden="1">{"ed1",#N/A,TRUE,"E-D";"ed2",#N/A,TRUE,"E-D"}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uestion" hidden="1">{"CF",#N/A,FALSE,"Cash Flow";"RET",#N/A,FALSE,"Returns";"NPV",#N/A,FALSE,"Values";"ASMPT",#N/A,FALSE,"Assumptions"}</definedName>
    <definedName name="qw" hidden="1">{"FCB_ALL",#N/A,FALSE,"FCB";"GREY_ALL",#N/A,FALSE,"GREY"}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CIII" hidden="1">{"ba1",#N/A,TRUE,"B-A";"ba2",#N/A,TRUE,"B-A"}</definedName>
    <definedName name="Reconcilation" hidden="1">#REF!</definedName>
    <definedName name="RefiCapRt">#REF!</definedName>
    <definedName name="RefiOption">#REF!</definedName>
    <definedName name="renat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sdl1">#REF!</definedName>
    <definedName name="rrr" hidden="1">{#N/A,#N/A,FALSE,"ExecutiveSummary";#N/A,#N/A,FALSE,"CostDetail";#N/A,#N/A,FALSE,"IncomeDetail"}</definedName>
    <definedName name="rt" hidden="1">{"inputs raw data",#N/A,TRUE,"INPUT"}</definedName>
    <definedName name="sa" hidden="1">{"cap_structure",#N/A,FALSE,"Graph-Mkt Cap";"price",#N/A,FALSE,"Graph-Price";"ebit",#N/A,FALSE,"Graph-EBITDA";"ebitda",#N/A,FALSE,"Graph-EBITDA"}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" hidden="1">{"summary1",#N/A,TRUE,"Comps";"summary2",#N/A,TRUE,"Comps";"summary3",#N/A,TRUE,"Comps"}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ec_3_10yrs">#REF!</definedName>
    <definedName name="Sec._1_10yrs">#REF!</definedName>
    <definedName name="Sec2_10yrs">#REF!</definedName>
    <definedName name="Sec3_10yrs_1hotel">#REF!,#REF!</definedName>
    <definedName name="sencount" hidden="1">2</definedName>
    <definedName name="sfghsfgh" hidden="1">{"CF",#N/A,FALSE,"Cash Flow";"RET",#N/A,FALSE,"Returns";"NPV",#N/A,FALSE,"Values";"ASMPT",#N/A,FALSE,"Assumptions"}</definedName>
    <definedName name="SM.Formula">#REF!</definedName>
    <definedName name="SM.PerBasisAmt">#REF!</definedName>
    <definedName name="SM.SpreadMethod">#REF!</definedName>
    <definedName name="SM.Total">#REF!</definedName>
    <definedName name="SM.ValidRow">#REF!</definedName>
    <definedName name="srghs" hidden="1">{"CF",#N/A,FALSE,"Cash Flow";"RET",#N/A,FALSE,"Returns";"NPV",#N/A,FALSE,"Values";"ASMPT",#N/A,FALSE,"Assumptions"}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tements" hidden="1">{"CF",#N/A,FALSE,"Cash Flow";"RET",#N/A,FALSE,"Returns";"NPV",#N/A,FALSE,"Values";"ASMPT",#N/A,FALSE,"Assumptions"}</definedName>
    <definedName name="stupid" hidden="1">{"cap_structure",#N/A,FALSE,"Graph-Mkt Cap";"price",#N/A,FALSE,"Graph-Price";"ebit",#N/A,FALSE,"Graph-EBITDA";"ebitda",#N/A,FALSE,"Graph-EBITDA"}</definedName>
    <definedName name="tables" hidden="1">#REF!</definedName>
    <definedName name="TENYRS">#REF!</definedName>
    <definedName name="TENYRS_SEC1">#REF!</definedName>
    <definedName name="TENYRS_SEC2">#REF!</definedName>
    <definedName name="TENYRS_SEC3">#REF!</definedName>
    <definedName name="TENYRS_SEC4">#REF!</definedName>
    <definedName name="test" hidden="1">{"History+Projection+5Comps",#N/A,FALSE,"HISTORY (2)";"$ Per Occupied History+Projection+5Comps",#N/A,FALSE,"HISTORY (2)";"History+Projection",#N/A,FALSE,"HISTORY (2)"}</definedName>
    <definedName name="test1" hidden="1">#REF!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II" hidden="1">{"History+Projection+5Comps",#N/A,FALSE,"HISTORY (2)";"$ Per Occupied History+Projection+5Comps",#N/A,FALSE,"HISTORY (2)";"History+Projection",#N/A,FALSE,"HISTORY (2)"}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r96_96" hidden="1">{#N/A,#N/A,FALSE,"B_Spread"}</definedName>
    <definedName name="w" hidden="1">{"cap_structure",#N/A,FALSE,"Graph-Mkt Cap";"price",#N/A,FALSE,"Graph-Price";"ebit",#N/A,FALSE,"Graph-EBITDA";"ebitda",#N/A,FALSE,"Graph-EBITDA"}</definedName>
    <definedName name="wafe" hidden="1">{"summary1",#N/A,TRUE,"Comps";"summary2",#N/A,TRUE,"Comps";"summary3",#N/A,TRUE,"Comps"}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hidden="1">{"summary1",#N/A,TRUE,"Comps";"summary2",#N/A,TRUE,"Comps";"summary3",#N/A,TRUE,"Comps"}</definedName>
    <definedName name="what" hidden="1">{"Summary Including DHC",#N/A,TRUE,"SUMMARY";"Financial Assumptions",#N/A,TRUE,"Financial Assumptions";"Sources &amp; Uses",#N/A,TRUE,"Financial Assumptions";"History &amp; Projection",#N/A,TRUE,"History - Proforma"}</definedName>
    <definedName name="whatwhat" hidden="1">{"Page1",#N/A,FALSE,"7979";"Page2",#N/A,FALSE,"7979";"Page3",#N/A,FALSE,"7979"}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n.Accretion." hidden="1">{"Accretion",#N/A,FALSE,"Assum"}</definedName>
    <definedName name="wrn.Acquisitions." hidden="1">{"One",#N/A,FALSE,"Acquisitions";"Two",#N/A,FALSE,"Acquisitions"}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" hidden="1">{"ANNUAL",#N/A,FALSE,"Summary";"ANNUAL",#N/A,FALSE,"Pro Forma";"ANNUAL",#N/A,FALSE,"Equity"}</definedName>
    <definedName name="wrn.Annual._.Report." hidden="1">{"summary",#N/A,FALSE,"Summary";"pro forma annual",#N/A,FALSE,"Pro Forma";"equity annual",#N/A,FALSE,"Equity";"TCC annual",#N/A,FALSE,"TCC"}</definedName>
    <definedName name="wrn.AnnualRentRoll." hidden="1">{"AnnualRentRoll",#N/A,FALSE,"RentRoll"}</definedName>
    <definedName name="wrn.Assumptions." hidden="1">{"Assumptions",#N/A,FALSE,"Assum"}</definedName>
    <definedName name="wrn.B._.Spread._.Worksheet._.Summary.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_Sheet." hidden="1">{"One",#N/A,FALSE,"Balance Sheet"}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hidden="1">{#N/A,#N/A,FALSE}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th._.Outputs." hidden="1">{"LTV Output",#N/A,FALSE,"Output";"DCR Output",#N/A,FALSE,"Output"}</definedName>
    <definedName name="wrn.Budget." hidden="1">{"Budget",#N/A,FALSE,"2033K-R6"}</definedName>
    <definedName name="wrn.BUDGET._.PACKAGE.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Capital._.Expenditures." hidden="1">{"Commission Cost",#N/A,FALSE,"Capital Expenditures";"Tenant Improvements",#N/A,FALSE,"Capital Expenditures"}</definedName>
    <definedName name="wrn.CAPREIT." hidden="1">{#N/A,#N/A,FALSE,"CAPREIT"}</definedName>
    <definedName name="wrn.CAPREIT2" hidden="1">{#N/A,#N/A,FALSE,"CAPREIT"}</definedName>
    <definedName name="wrn.Cash_Flow." hidden="1">{"One",#N/A,FALSE,"Cash Flow Statement"}</definedName>
    <definedName name="wrn.Cash._.Flow._.Analysis." hidden="1">{"CF",#N/A,FALSE,"Cash Flow";"RET",#N/A,FALSE,"Returns";"NPV",#N/A,FALSE,"Values";"ASMPT",#N/A,FALSE,"Assumptions"}</definedName>
    <definedName name="wrn.CD." hidden="1">{"CD1",#N/A,TRUE,"C-D (R)";"CD2",#N/A,TRUE,"C-D (R)"}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ommissions." hidden="1">{"Commisions",#N/A,FALSE,"2033K-R6"}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rporate." hidden="1">{"One",#N/A,FALSE,"Corporate"}</definedName>
    <definedName name="wrn.cotop." hidden="1">{"ReportTop",#N/A,FALSE,"report top"}</definedName>
    <definedName name="wrn.Crossings." hidden="1">{"One",#N/A,FALSE,"Crossings";"Two",#N/A,FALSE,"Crossings";"Three",#N/A,FALSE,"Crossings";"Fous",#N/A,FALSE,"Crossings";"Five",#N/A,FALSE,"Crossings"}</definedName>
    <definedName name="wrn.data." hidden="1">{"data",#N/A,FALSE,"INPUT"}</definedName>
    <definedName name="wrn.data5" hidden="1">{"data",#N/A,FALSE,"INPUT"}</definedName>
    <definedName name="wrn.DCF." hidden="1">{#N/A,#N/A,FALSE,"DCF-COM";#N/A,#N/A,FALSE,"VAC-COM"}</definedName>
    <definedName name="wrn.DCR._.Output." hidden="1">{"DCR Output",#N/A,FALSE,"Output"}</definedName>
    <definedName name="wrn.Depreciation." hidden="1">{"One",#N/A,FALSE,"Depreciation"}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ed._.Partnership._.Returns._.Leveraged." hidden="1">{"Return Analysis - Leveraged",#N/A,FALSE,"Return Analysis - Leveraged"}</definedName>
    <definedName name="wrn.Development._.Budget." hidden="1">{"Year 1",#N/A,FALSE,"Budget";"Year 2",#N/A,FALSE,"Budget";"Year 3",#N/A,FALSE,"Budget";"Year 4",#N/A,FALSE,"Budget"}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C1." hidden="1">{"eca",#N/A,TRUE,"E-C1 (R)";"ecb",#N/A,TRUE,"E-C1 (R)"}</definedName>
    <definedName name="wrn.ED." hidden="1">{"ed1",#N/A,TRUE,"E-D";"ed2",#N/A,TRUE,"E-D"}</definedName>
    <definedName name="wrn.Entire._.Package." hidden="1">{"Summary",#N/A,FALSE,"Assumptions";"Development 1 2",#N/A,FALSE,"Budget";"Operating Income",#N/A,FALSE,"Budget"}</definedName>
    <definedName name="wrn.ExitAndSalesAssumptions." hidden="1">{#N/A,#N/A,FALSE,"ExitStratigy"}</definedName>
    <definedName name="wrn.Expense._.Detail." hidden="1">{"ONE",#N/A,FALSE,"Expenses";"TWO",#N/A,FALSE,"Expenses";"THREE",#N/A,FALSE,"Expenses";"FOUR",#N/A,FALSE,"Expenses";"Five",#N/A,FALSE,"Expenses";"Six",#N/A,FALSE,"Expenses";"Seven",#N/A,FALSE,"Expenses";"Eight",#N/A,FALSE,"Expenses";"eight.5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five",#N/A,FALSE,"Expenses"}</definedName>
    <definedName name="wrn.Expense._.Schedules." hidden="1">{"Expense Schedules",#N/A,FALSE,"Expense Schedules"}</definedName>
    <definedName name="wrn.FCB." hidden="1">{"FCB_ALL",#N/A,FALSE,"FCB"}</definedName>
    <definedName name="wrn.fcb2" hidden="1">{"FCB_ALL",#N/A,FALSE,"FCB"}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nancing." hidden="1">{"One",#N/A,FALSE,"Financing";"Two",#N/A,FALSE,"Financing";"Three",#N/A,FALSE,"Financing";"Four",#N/A,FALSE,"Financing"}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schedules." hidden="1">{"FOschedule1",#N/A,FALSE,"Sheet1";"FOschedule2",#N/A,FALSE,"Sheet1";"FOschedule3",#N/A,FALSE,"Sheet1"}</definedName>
    <definedName name="wrn.Full_Template." hidden="1">{#N/A,#N/A,FALSE,"1Summary";#N/A,#N/A,FALSE,"2Assumptions";#N/A,#N/A,FALSE,"3Cash Flow";#N/A,#N/A,FALSE,"5Residual";#N/A,#N/A,FALSE,"7Pricing Matrix";#N/A,#N/A,FALSE,"8Vacancy Matrix";#N/A,#N/A,FALSE,"9Expiration Schedule";#N/A,#N/A,FALSE,"ALease-up Schedule"}</definedName>
    <definedName name="wrn.Full." hidden="1">{#N/A,#N/A,FALSE,"ExecutiveSummary";#N/A,#N/A,FALSE,"CostDetail";#N/A,#N/A,FALSE,"IncomeDetail";#N/A,#N/A,FALSE,"InterestCalculation"}</definedName>
    <definedName name="wrn.Full._.Report.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Gen_Misc._.Input." hidden="1">{"General Input",#N/A,FALSE,"General Info";"Miscellaneous Input",#N/A,FALSE,"General Info"}</definedName>
    <definedName name="wrn.General." hidden="1">{"Balance",#N/A,FALSE,"General Assumptions";"Cost",#N/A,FALSE,"General Assumptions";"Working",#N/A,FALSE,"General Assumptions"}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History._.Proforma." hidden="1">{"History &amp; Projection",#N/A,FALSE,"History - Proforma"}</definedName>
    <definedName name="wrn.History._.Projection._.Comps.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yatt_.Report" hidden="1">{"History+Projection+5Comps",#N/A,FALSE,"HISTORY (2)";"$ Per Occupied History+Projection+5Comps",#N/A,FALSE,"HISTORY (2)";"History+Projection",#N/A,FALSE,"HISTORY (2)"}</definedName>
    <definedName name="wrn.Hyatt._.Report." hidden="1">{"History+Projection+5Comps",#N/A,FALSE,"HISTORY (2)";"$ Per Occupied History+Projection+5Comps",#N/A,FALSE,"HISTORY (2)";"History+Projection",#N/A,FALSE,"HISTORY (2)"}</definedName>
    <definedName name="wrn.III." hidden="1">{"CASHFLOW",#N/A,FALSE,"Northpointe"}</definedName>
    <definedName name="wrn.Income_Statement." hidden="1">{"One",#N/A,FALSE,"Income Statement";"Two",#N/A,FALSE,"Income Statement";"Three",#N/A,FALSE,"Income Statement";"Four",#N/A,FALSE,"Income Statement"}</definedName>
    <definedName name="wrn.Income._.Statements." hidden="1">{"Annual Income",#N/A,FALSE,"Revenues";"Quarter Income",#N/A,FALSE,"Revenues"}</definedName>
    <definedName name="wrn.Individual._.Regions." hidden="1">{#N/A,#N/A,FALSE,"Summary";#N/A,#N/A,FALSE,"AIME";#N/A,#N/A,FALSE,"Asia (2)";#N/A,#N/A,FALSE,"Europe";#N/A,#N/A,FALSE,"LA"}</definedName>
    <definedName name="wrn.Inputs." hidden="1">{#N/A,#N/A,FALSE,"Input"}</definedName>
    <definedName name="wrn.Internal._.Detail." hidden="1">{"IntDetail",#N/A,FALSE,"Reports";"IntSummary",#N/A,FALSE,"Reports"}</definedName>
    <definedName name="wrn.Investment._.Review." hidden="1">{#N/A,#N/A,FALSE,"Proforma Five Yr";#N/A,#N/A,FALSE,"Capital Input";#N/A,#N/A,FALSE,"Calculations";#N/A,#N/A,FALSE,"Transaction Summary-DTW"}</definedName>
    <definedName name="wrn.Investment._.Summary._.Golf._.Suites." hidden="1">{"Preferred Equity IRR",#N/A,FALSE,"PROFORMA";"GP Cash Flow and IRR",#N/A,FALSE,"PROFORMA"}</definedName>
    <definedName name="wrn.IRR._.and._.Sources._.and._.Uses." hidden="1">{"IRR",#N/A,FALSE,"IRR.XLS";"Sources and Uses",#N/A,FALSE,"IRR.XLS"}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hidden="1">{"One",#N/A,FALSE,"JV"}</definedName>
    <definedName name="wrn.Lease._.Up._.Summary." hidden="1">{"Lease Up Summary",#N/A,FALSE,"2033K-R6"}</definedName>
    <definedName name="wrn.Leasing._.Assumptions." hidden="1">{"Assumptions",#N/A,FALSE,"Leasing Assumptions"}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hidden="1">{"Loan Summary",#N/A,FALSE,"Phase 1 loan &amp; data"}</definedName>
    <definedName name="wrn.Loan._.Summary." hidden="1">{"Loan Summary",#N/A,FALSE,"Phase 1 loan &amp; data"}</definedName>
    <definedName name="wrn.LoanInformation." hidden="1">{#N/A,#N/A,FALSE,"LoanAssumptions"}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hidden="1">{"LTV Output",#N/A,FALSE,"Output"}</definedName>
    <definedName name="wrn.market." hidden="1">{#N/A,#N/A,FALSE,"SUBMKT";#N/A,#N/A,FALSE,"MARKET";#N/A,#N/A,FALSE,"VACANCY";#N/A,#N/A,FALSE,"ABSORB";#N/A,#N/A,FALSE,"SUBLEASE";#N/A,#N/A,FALSE,"CONSTRCT"}</definedName>
    <definedName name="wrn.MARKETING." hidden="1">{#N/A,#N/A,FALSE,"MARKETING I";#N/A,#N/A,FALSE,"MARKETING II";#N/A,#N/A,FALSE,"MARKETING III"}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inrenn" hidden="1">{"MINRENT2",#N/A,FALSE,"SCHEDULE B"}</definedName>
    <definedName name="wrn.MINRENT." hidden="1">{"MINRENT2",#N/A,FALSE,"SCHEDULE B"}</definedName>
    <definedName name="wrn.minrent.2" hidden="1">{"MINRENT2",#N/A,FALSE,"SCHEDULE B"}</definedName>
    <definedName name="wrn.mkting" hidden="1">{#N/A,#N/A,FALSE,"MARKETING I";#N/A,#N/A,FALSE,"MARKETING II";#N/A,#N/A,FALSE,"MARKETING III"}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hidden="1">{"MONTHLY",#N/A,FALSE,"Pro Forma";"MONTHLY",#N/A,FALSE,"Equity"}</definedName>
    <definedName name="wrn.Monthly._.Report." hidden="1">{"pro forma monthly",#N/A,FALSE,"Pro Forma";"equity monthly",#N/A,FALSE,"Equity";"TCC monthly",#N/A,FALSE,"TCC"}</definedName>
    <definedName name="wrn.MonthlyRentRoll." hidden="1">{"MonthlyRentRoll",#N/A,FALSE,"RentRoll"}</definedName>
    <definedName name="wrn.New_Business." hidden="1">{"One",#N/A,FALSE,"New Business"}</definedName>
    <definedName name="wrn.North._.America." hidden="1">{#N/A,#N/A,FALSE,"NA All";#N/A,#N/A,FALSE,"Joe Champ";#N/A,#N/A,FALSE,"Joe Long"}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perating._.Expenses." hidden="1">{"Operating Expenses",#N/A,FALSE,"2033K-R6"}</definedName>
    <definedName name="wrn.OperatingAssumtions.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Parking." hidden="1">{"Parking",#N/A,FALSE,"Parking"}</definedName>
    <definedName name="wrn.PERCENTAGE._.RENT." hidden="1">{"PERCENTAGE RENT",#N/A,TRUE,"SCHEDULE B"}</definedName>
    <definedName name="wrn.Phase._.I." hidden="1">{#N/A,#N/A,FALSE,"Transaction Summary-DTW";#N/A,#N/A,FALSE,"Proforma Five Yr";#N/A,#N/A,FALSE,"Occ and Rate"}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cntrent" hidden="1">{"PERCENTAGE RENT",#N/A,TRUE,"SCHEDULE B"}</definedName>
    <definedName name="wrn.Presentation." hidden="1">{#N/A,#N/A,FALSE,"Assum.";#N/A,#N/A,FALSE,"Cash Flow";#N/A,#N/A,FALSE,"Calc";#N/A,#N/A,FALSE,"Loan Schedule"}</definedName>
    <definedName name="wrn.print." hidden="1">{"Assump",#N/A,TRUE,"Proforma";"first",#N/A,TRUE,"Proforma";"second",#N/A,TRUE,"Proforma";"lease1",#N/A,TRUE,"Proforma";"lease2",#N/A,TRUE,"Proforma"}</definedName>
    <definedName name="wrn.Print._.All." hidden="1">{#N/A,#N/A,FALSE,"Land";#N/A,#N/A,FALSE,"Cost Analysis";"Summary",#N/A,FALSE,"Equipment"}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hidden="1">{"cap_structure",#N/A,FALSE,"Graph-Mkt Cap";"price",#N/A,FALSE,"Graph-Price";"ebit",#N/A,FALSE,"Graph-EBITDA";"ebitda",#N/A,FALSE,"Graph-EBITDA"}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raw._.data._.entry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summary._.sheets." hidden="1">{"summary1",#N/A,TRUE,"Comps";"summary2",#N/A,TRUE,"Comps";"summary3",#N/A,TRUE,"Comps"}</definedName>
    <definedName name="wrn.print2.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or._.Year._.Amounts." hidden="1">{"PriorYr1",#N/A,FALSE,"Prior Year Amounts";"PriorYr2",#N/A,FALSE,"Prior Year Amounts"}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orma." hidden="1">{"Proforma - Dollars",#N/A,FALSE,"Proforma"}</definedName>
    <definedName name="wrn.Proforma._.Review." hidden="1">{#N/A,#N/A,FALSE,"Occ and Rate";#N/A,#N/A,FALSE,"PF Input";#N/A,#N/A,FALSE,"Proforma Five Yr";#N/A,#N/A,FALSE,"Hotcomps"}</definedName>
    <definedName name="wrn.Property._.Improvements." hidden="1">{"Property Improvements",#N/A,FALSE,"Property Improvements"}</definedName>
    <definedName name="wrn.PropertyInformation." hidden="1">{#N/A,#N/A,FALSE,"PropertyInfo"}</definedName>
    <definedName name="wrn.Prototypes." hidden="1">{"One",#N/A,FALSE,"Prototypes";"Two",#N/A,FALSE,"Prototypes";"Three",#N/A,FALSE,"Prototypes";"Four",#N/A,FALSE,"Prototypes";"Five",#N/A,FALSE,"Prototypes"}</definedName>
    <definedName name="wrn.Rapport." hidden="1">{#N/A,#N/A,FALSE,"SHEET1";#N/A,#N/A,FALSE,"SHEET2";#N/A,#N/A,FALSE,"SHEET3";#N/A,#N/A,FALSE,"SHEET4"}</definedName>
    <definedName name="wrn.rate.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payments." hidden="1">{"One",#N/A,FALSE,"Repayments";"Two",#N/A,FALSE,"Repayments"}</definedName>
    <definedName name="wrn.Report." hidden="1">{#N/A,#N/A,FALSE,"Loan Summary";#N/A,#N/A,FALSE,"NOI";"RR and Expir",#N/A,FALSE,"Rental";"Sales History",#N/A,FALSE,"Rental";#N/A,#N/A,FALSE,"Reserves"}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venue." hidden="1">{"Revenue",#N/A,FALSE,"2033K-R6"}</definedName>
    <definedName name="wrn.Revenue._.Reports.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ummary." hidden="1">{"Revenue Summary",#N/A,FALSE,"Revenue Schedules"}</definedName>
    <definedName name="wrn.Roll_Out." hidden="1">{"One",#N/A,FALSE,"Roll-out";"Two",#N/A,FALSE,"Roll-out";"Three",#N/A,FALSE,"Roll-out";"Four",#N/A,FALSE,"Roll-out";"Five",#N/A,FALSE,"Roll-out"}</definedName>
    <definedName name="wrn.SCHAs.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hort." hidden="1">{#N/A,#N/A,FALSE,"ExecutiveSummary";#N/A,#N/A,FALSE,"CostDetail";#N/A,#N/A,FALSE,"IncomeDetail"}</definedName>
    <definedName name="wrn.Side._.by._.Side." hidden="1">{"Side 99",#N/A,FALSE,"S&amp;U Side by Side"}</definedName>
    <definedName name="wrn.STAND_ALONE_BOTH." hidden="1">{"FCB_ALL",#N/A,FALSE,"FCB";"GREY_ALL",#N/A,FALSE,"GREY"}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ubmittal._.Reconciliation._.Schedule." hidden="1">{"Submittable Reconciliation Schedule",#N/A,FALSE,"Reconciliation";"GSCP2 PCS 30 Day",#N/A,FALSE,"GSCP2 PCS 30 Day Activity List"}</definedName>
    <definedName name="wrn.Summary." hidden="1">{#N/A,#N/A,FALSE,"Summary"}</definedName>
    <definedName name="wrn.Summary._.Excluding._.DHC." hidden="1">{"Summary Excluding DHC",#N/A,FALSE,"SUMMARY"}</definedName>
    <definedName name="wrn.Summary._.Including._.DHC." hidden="1">{"Summary Including DHC",#N/A,FALSE,"SUMMARY"}</definedName>
    <definedName name="wrn.SumSchedules.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TEST." hidden="1">{#N/A,#N/A,FALSE,"SCHEDULE G"}</definedName>
    <definedName name="wrn.TI._.Fit._.Up." hidden="1">{"TI Fit Up",#N/A,FALSE,"2033K-R6"}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valuation." hidden="1">{"Page1",#N/A,FALSE,"7979";"Page2",#N/A,FALSE,"7979";"Page3",#N/A,FALSE,"7979"}</definedName>
    <definedName name="wrn.Variance._.Worksheet." hidden="1">{#N/A,#N/A,FALSE,"VARSTRIP"}</definedName>
    <definedName name="wrn.Wovenhearts." hidden="1">{"One",#N/A,FALSE,"Wovenhearts";"Two",#N/A,FALSE,"Wovenhearts";"Three",#N/A,FALSE,"Wovenhearts";"Four",#N/A,FALSE,"Wovenhearts";"Five",#N/A,FALSE,"Wovenhearts"}</definedName>
    <definedName name="wrn.Wynwood." hidden="1">{"One",#N/A,FALSE,"Wynwood";"Two",#N/A,FALSE,"Wynwood";"Three",#N/A,FALSE,"Wynwood";"Four",#N/A,FALSE,"Wynwood";"Five",#N/A,FALSE,"Wynwood"}</definedName>
    <definedName name="wrn.Yearly." hidden="1">{"One",#N/A,FALSE,"Yearly"}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hidden="1">{#N/A,#N/A,FALSE,"ExecutiveSummary";#N/A,#N/A,FALSE,"CostDetail";#N/A,#N/A,FALSE,"IncomeDetail";#N/A,#N/A,FALSE,"InterestCalculation"}</definedName>
    <definedName name="wwwww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xcfghjnhfj" hidden="1">{"CF",#N/A,FALSE,"Cash Flow";"RET",#N/A,FALSE,"Returns";"NPV",#N/A,FALSE,"Values";"ASMPT",#N/A,FALSE,"Assumptions"}</definedName>
    <definedName name="xfgnxfgn" hidden="1">{"CF",#N/A,FALSE,"Cash Flow";"RET",#N/A,FALSE,"Returns";"NPV",#N/A,FALSE,"Values";"ASMPT",#N/A,FALSE,"Assumptions"}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hidden="1">{"Year 1",#N/A,FALSE,"Budget";"Year 2",#N/A,FALSE,"Budget";"Year 3",#N/A,FALSE,"Budget";"Year 4",#N/A,FALSE,"Budget"}</definedName>
    <definedName name="XREF_COLUMN_1" hidden="1">#REF!</definedName>
    <definedName name="XRefActiveRow" hidden="1">#REF!</definedName>
    <definedName name="XRefColumnsCount" hidden="1">1</definedName>
    <definedName name="XRefCopy1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RangeCount" hidden="1">5</definedName>
    <definedName name="xxx" hidden="1">#REF!</definedName>
    <definedName name="xxxxxx" hidden="1">#REF!</definedName>
    <definedName name="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8" l="1"/>
  <c r="I5" i="18"/>
  <c r="G5" i="18"/>
  <c r="F5" i="18"/>
  <c r="E63" i="18"/>
  <c r="L139" i="18"/>
  <c r="E139" i="18"/>
  <c r="L121" i="18" l="1"/>
  <c r="F10" i="11" l="1"/>
  <c r="L151" i="18" l="1"/>
  <c r="L47" i="18"/>
  <c r="F9" i="11"/>
  <c r="C149" i="18" s="1"/>
  <c r="U149" i="18"/>
  <c r="S41" i="18"/>
  <c r="T40" i="18" s="1"/>
  <c r="T39" i="18" l="1"/>
  <c r="G25" i="20"/>
  <c r="C239" i="10"/>
  <c r="C195" i="18" l="1"/>
  <c r="S261" i="10" l="1"/>
  <c r="G261" i="10"/>
  <c r="S45" i="10"/>
  <c r="H35" i="23"/>
  <c r="H25" i="23"/>
  <c r="L220" i="18"/>
  <c r="M220" i="18"/>
  <c r="N220" i="18"/>
  <c r="O220" i="18"/>
  <c r="P220" i="18"/>
  <c r="Q220" i="18"/>
  <c r="E185" i="18"/>
  <c r="C200" i="18"/>
  <c r="T35" i="10" l="1"/>
  <c r="S257" i="10"/>
  <c r="R257" i="10"/>
  <c r="Q257" i="10"/>
  <c r="P257" i="10"/>
  <c r="O257" i="10"/>
  <c r="N257" i="10"/>
  <c r="M257" i="10"/>
  <c r="L257" i="10"/>
  <c r="K257" i="10"/>
  <c r="J257" i="10"/>
  <c r="H257" i="10"/>
  <c r="G257" i="10"/>
  <c r="B257" i="10"/>
  <c r="B69" i="14" s="1"/>
  <c r="H69" i="14" s="1"/>
  <c r="E221" i="18"/>
  <c r="F221" i="18"/>
  <c r="H221" i="18"/>
  <c r="I221" i="18"/>
  <c r="J221" i="18"/>
  <c r="K221" i="18"/>
  <c r="L221" i="18"/>
  <c r="M221" i="18"/>
  <c r="N221" i="18"/>
  <c r="O221" i="18"/>
  <c r="P221" i="18"/>
  <c r="Q221" i="18"/>
  <c r="G39" i="10"/>
  <c r="H39" i="10"/>
  <c r="J39" i="10"/>
  <c r="K39" i="10"/>
  <c r="L39" i="10"/>
  <c r="M39" i="10"/>
  <c r="N39" i="10"/>
  <c r="O39" i="10"/>
  <c r="P39" i="10"/>
  <c r="Q39" i="10"/>
  <c r="R39" i="10"/>
  <c r="S39" i="10"/>
  <c r="I36" i="10"/>
  <c r="I257" i="10" s="1"/>
  <c r="I72" i="10"/>
  <c r="G221" i="18"/>
  <c r="Q217" i="18"/>
  <c r="P217" i="18"/>
  <c r="O217" i="18"/>
  <c r="N217" i="18"/>
  <c r="M217" i="18"/>
  <c r="L217" i="18"/>
  <c r="K217" i="18"/>
  <c r="J217" i="18"/>
  <c r="I217" i="18"/>
  <c r="H217" i="18"/>
  <c r="G217" i="18"/>
  <c r="F217" i="18"/>
  <c r="B217" i="18"/>
  <c r="B40" i="14" s="1"/>
  <c r="H40" i="14" s="1"/>
  <c r="T36" i="10" l="1"/>
  <c r="T257" i="10" s="1"/>
  <c r="C69" i="14" s="1"/>
  <c r="I69" i="14" s="1"/>
  <c r="B8" i="14"/>
  <c r="H8" i="14" s="1"/>
  <c r="G25" i="23" l="1"/>
  <c r="P34" i="24"/>
  <c r="P33" i="24"/>
  <c r="M34" i="24"/>
  <c r="M33" i="24"/>
  <c r="J34" i="24"/>
  <c r="J33" i="24"/>
  <c r="G34" i="24"/>
  <c r="G33" i="24"/>
  <c r="D33" i="24"/>
  <c r="D34" i="24"/>
  <c r="F60" i="11"/>
  <c r="R22" i="24"/>
  <c r="U22" i="24" s="1"/>
  <c r="X22" i="24" s="1"/>
  <c r="R23" i="24"/>
  <c r="R33" i="24"/>
  <c r="U33" i="24" s="1"/>
  <c r="X33" i="24" s="1"/>
  <c r="R34" i="24"/>
  <c r="U34" i="24" s="1"/>
  <c r="X34" i="24" s="1"/>
  <c r="R43" i="24"/>
  <c r="U43" i="24" s="1"/>
  <c r="X43" i="24" s="1"/>
  <c r="R44" i="24"/>
  <c r="U44" i="24" s="1"/>
  <c r="X44" i="24" s="1"/>
  <c r="R45" i="24"/>
  <c r="U45" i="24" s="1"/>
  <c r="X45" i="24" s="1"/>
  <c r="M49" i="24"/>
  <c r="P49" i="24" s="1"/>
  <c r="S49" i="24" s="1"/>
  <c r="R54" i="24"/>
  <c r="U54" i="24" s="1"/>
  <c r="X54" i="24" s="1"/>
  <c r="F55" i="24"/>
  <c r="I55" i="24" s="1"/>
  <c r="L55" i="24" s="1"/>
  <c r="R56" i="24"/>
  <c r="R57" i="24"/>
  <c r="U57" i="24" s="1"/>
  <c r="X57" i="24" s="1"/>
  <c r="R58" i="24"/>
  <c r="U58" i="24" s="1"/>
  <c r="X58" i="24" s="1"/>
  <c r="R59" i="24"/>
  <c r="U59" i="24" s="1"/>
  <c r="X59" i="24" s="1"/>
  <c r="G60" i="24"/>
  <c r="J60" i="24" s="1"/>
  <c r="Y33" i="24" l="1"/>
  <c r="V33" i="24"/>
  <c r="S33" i="24"/>
  <c r="S34" i="24"/>
  <c r="M60" i="24"/>
  <c r="V49" i="24"/>
  <c r="Y49" i="24" s="1"/>
  <c r="O55" i="24"/>
  <c r="U56" i="24"/>
  <c r="X56" i="24" s="1"/>
  <c r="U23" i="24"/>
  <c r="X23" i="24" s="1"/>
  <c r="Y34" i="24" s="1"/>
  <c r="B259" i="10"/>
  <c r="G259" i="10"/>
  <c r="H259" i="10"/>
  <c r="J259" i="10"/>
  <c r="K259" i="10"/>
  <c r="L259" i="10"/>
  <c r="M259" i="10"/>
  <c r="N259" i="10"/>
  <c r="O259" i="10"/>
  <c r="P259" i="10"/>
  <c r="Q259" i="10"/>
  <c r="R259" i="10"/>
  <c r="S259" i="10"/>
  <c r="T259" i="10"/>
  <c r="H241" i="10"/>
  <c r="I241" i="10"/>
  <c r="J241" i="10"/>
  <c r="O241" i="10"/>
  <c r="P241" i="10"/>
  <c r="Q241" i="10"/>
  <c r="R241" i="10"/>
  <c r="G241" i="10"/>
  <c r="R239" i="10"/>
  <c r="Q239" i="10"/>
  <c r="P239" i="10"/>
  <c r="O239" i="10"/>
  <c r="I222" i="10"/>
  <c r="G32" i="20"/>
  <c r="L32" i="20"/>
  <c r="N32" i="20"/>
  <c r="N33" i="20" s="1"/>
  <c r="O32" i="20"/>
  <c r="O33" i="20" s="1"/>
  <c r="P32" i="20"/>
  <c r="P33" i="20" s="1"/>
  <c r="Q32" i="20"/>
  <c r="Q33" i="20" s="1"/>
  <c r="R32" i="20"/>
  <c r="R33" i="20" s="1"/>
  <c r="F32" i="20"/>
  <c r="Q228" i="18"/>
  <c r="Q231" i="18"/>
  <c r="M236" i="18"/>
  <c r="N236" i="18"/>
  <c r="O236" i="18"/>
  <c r="P236" i="18"/>
  <c r="Q236" i="18"/>
  <c r="M237" i="18"/>
  <c r="N237" i="18"/>
  <c r="O237" i="18"/>
  <c r="P237" i="18"/>
  <c r="Q237" i="18"/>
  <c r="R44" i="18"/>
  <c r="R218" i="18" s="1"/>
  <c r="F218" i="18"/>
  <c r="G218" i="18"/>
  <c r="H218" i="18"/>
  <c r="I218" i="18"/>
  <c r="J218" i="18"/>
  <c r="K218" i="18"/>
  <c r="L218" i="18"/>
  <c r="M218" i="18"/>
  <c r="N218" i="18"/>
  <c r="O218" i="18"/>
  <c r="P218" i="18"/>
  <c r="Q218" i="18"/>
  <c r="E218" i="18"/>
  <c r="B218" i="18"/>
  <c r="E200" i="18"/>
  <c r="L48" i="18"/>
  <c r="E156" i="18"/>
  <c r="F153" i="18" s="1"/>
  <c r="V34" i="24" l="1"/>
  <c r="R55" i="24"/>
  <c r="P60" i="24"/>
  <c r="E154" i="18"/>
  <c r="R154" i="18" l="1"/>
  <c r="U55" i="24"/>
  <c r="X55" i="24" s="1"/>
  <c r="S60" i="24"/>
  <c r="F53" i="11"/>
  <c r="F52" i="11"/>
  <c r="C5" i="12"/>
  <c r="C54" i="12" s="1"/>
  <c r="G44" i="11"/>
  <c r="H44" i="11" s="1"/>
  <c r="I44" i="11" s="1"/>
  <c r="J44" i="11" s="1"/>
  <c r="K44" i="11" s="1"/>
  <c r="L44" i="11" s="1"/>
  <c r="M44" i="11" s="1"/>
  <c r="N44" i="11" s="1"/>
  <c r="O44" i="11" s="1"/>
  <c r="C46" i="23"/>
  <c r="C47" i="23" s="1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C71" i="14"/>
  <c r="G258" i="10"/>
  <c r="B71" i="14"/>
  <c r="H71" i="14" s="1"/>
  <c r="B258" i="10"/>
  <c r="B70" i="14" s="1"/>
  <c r="G42" i="15"/>
  <c r="H42" i="15"/>
  <c r="I42" i="15"/>
  <c r="J42" i="15"/>
  <c r="K42" i="15"/>
  <c r="L42" i="15"/>
  <c r="N42" i="15"/>
  <c r="O42" i="15"/>
  <c r="P42" i="15"/>
  <c r="Q42" i="15"/>
  <c r="R42" i="15"/>
  <c r="F42" i="15"/>
  <c r="G32" i="15"/>
  <c r="H32" i="15"/>
  <c r="I32" i="15"/>
  <c r="N32" i="15"/>
  <c r="N33" i="15" s="1"/>
  <c r="O32" i="15"/>
  <c r="P32" i="15"/>
  <c r="P33" i="15" s="1"/>
  <c r="Q32" i="15"/>
  <c r="R32" i="15"/>
  <c r="R33" i="15" s="1"/>
  <c r="F32" i="15"/>
  <c r="G22" i="15"/>
  <c r="I22" i="15"/>
  <c r="J22" i="15"/>
  <c r="K22" i="15"/>
  <c r="L22" i="15"/>
  <c r="M22" i="15"/>
  <c r="N22" i="15"/>
  <c r="O22" i="15"/>
  <c r="O23" i="15" s="1"/>
  <c r="O24" i="15" s="1"/>
  <c r="O26" i="15" s="1"/>
  <c r="P22" i="15"/>
  <c r="P23" i="15" s="1"/>
  <c r="P24" i="15" s="1"/>
  <c r="P26" i="15" s="1"/>
  <c r="Q22" i="15"/>
  <c r="Q23" i="15" s="1"/>
  <c r="R22" i="15"/>
  <c r="R23" i="15" s="1"/>
  <c r="R24" i="15" s="1"/>
  <c r="R26" i="15" s="1"/>
  <c r="F22" i="15"/>
  <c r="G227" i="10"/>
  <c r="G231" i="10" s="1"/>
  <c r="G236" i="10" s="1"/>
  <c r="H224" i="10"/>
  <c r="H239" i="10" s="1"/>
  <c r="G224" i="10"/>
  <c r="G239" i="10" s="1"/>
  <c r="G244" i="10"/>
  <c r="H244" i="10"/>
  <c r="H240" i="10"/>
  <c r="J240" i="10"/>
  <c r="K240" i="10"/>
  <c r="L240" i="10"/>
  <c r="M240" i="10"/>
  <c r="G240" i="10"/>
  <c r="O216" i="10"/>
  <c r="O222" i="10"/>
  <c r="H221" i="10"/>
  <c r="G35" i="15" s="1"/>
  <c r="G35" i="23" s="1"/>
  <c r="H215" i="10"/>
  <c r="F25" i="15" s="1"/>
  <c r="D25" i="15" s="1"/>
  <c r="T37" i="10"/>
  <c r="T258" i="10" s="1"/>
  <c r="C70" i="14" s="1"/>
  <c r="O250" i="10"/>
  <c r="P250" i="10"/>
  <c r="Q250" i="10"/>
  <c r="R250" i="10"/>
  <c r="G41" i="18"/>
  <c r="H41" i="18"/>
  <c r="I41" i="18"/>
  <c r="J41" i="18"/>
  <c r="K41" i="18"/>
  <c r="L41" i="18"/>
  <c r="C234" i="10"/>
  <c r="T230" i="10"/>
  <c r="C230" i="10"/>
  <c r="T226" i="10"/>
  <c r="C219" i="10"/>
  <c r="N216" i="10"/>
  <c r="M216" i="10"/>
  <c r="M227" i="10" s="1"/>
  <c r="M231" i="10" s="1"/>
  <c r="M236" i="10" s="1"/>
  <c r="L216" i="10"/>
  <c r="L227" i="10" s="1"/>
  <c r="L231" i="10" s="1"/>
  <c r="L236" i="10" s="1"/>
  <c r="K216" i="10"/>
  <c r="K227" i="10" s="1"/>
  <c r="K231" i="10" s="1"/>
  <c r="K236" i="10" s="1"/>
  <c r="J216" i="10"/>
  <c r="J227" i="10" s="1"/>
  <c r="J231" i="10" s="1"/>
  <c r="J236" i="10" s="1"/>
  <c r="C213" i="10"/>
  <c r="H213" i="10" s="1"/>
  <c r="C46" i="15"/>
  <c r="C47" i="15" s="1"/>
  <c r="C45" i="20"/>
  <c r="C180" i="18"/>
  <c r="E180" i="18" s="1"/>
  <c r="U74" i="23"/>
  <c r="AA74" i="23"/>
  <c r="AD74" i="23" s="1"/>
  <c r="AB74" i="23"/>
  <c r="AC74" i="23"/>
  <c r="L8" i="11"/>
  <c r="C203" i="10" s="1"/>
  <c r="P50" i="11"/>
  <c r="Q50" i="11" s="1"/>
  <c r="F50" i="11"/>
  <c r="G50" i="11" s="1"/>
  <c r="H50" i="11" s="1"/>
  <c r="I50" i="11" s="1"/>
  <c r="J50" i="11" s="1"/>
  <c r="K50" i="11" s="1"/>
  <c r="L50" i="11" s="1"/>
  <c r="M50" i="11" s="1"/>
  <c r="N50" i="11" s="1"/>
  <c r="O50" i="11" s="1"/>
  <c r="C68" i="23"/>
  <c r="H63" i="23"/>
  <c r="H66" i="23" s="1"/>
  <c r="G63" i="23"/>
  <c r="G64" i="23" s="1"/>
  <c r="F63" i="23"/>
  <c r="F64" i="23" s="1"/>
  <c r="F65" i="23" s="1"/>
  <c r="C60" i="23"/>
  <c r="B60" i="23"/>
  <c r="C59" i="23"/>
  <c r="B59" i="23"/>
  <c r="T57" i="23"/>
  <c r="B44" i="23"/>
  <c r="B43" i="23"/>
  <c r="F20" i="23"/>
  <c r="F19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F18" i="20"/>
  <c r="G18" i="20"/>
  <c r="H18" i="20"/>
  <c r="I18" i="20"/>
  <c r="J18" i="20"/>
  <c r="K18" i="20"/>
  <c r="F20" i="15"/>
  <c r="R43" i="15"/>
  <c r="J260" i="10"/>
  <c r="K260" i="10"/>
  <c r="L260" i="10"/>
  <c r="M260" i="10"/>
  <c r="N260" i="10"/>
  <c r="O260" i="10"/>
  <c r="P260" i="10"/>
  <c r="Q260" i="10"/>
  <c r="R260" i="10"/>
  <c r="S260" i="10"/>
  <c r="G260" i="10"/>
  <c r="B260" i="10"/>
  <c r="N44" i="23"/>
  <c r="O44" i="23"/>
  <c r="P44" i="23"/>
  <c r="Q44" i="23"/>
  <c r="R44" i="23"/>
  <c r="N42" i="20"/>
  <c r="O42" i="20"/>
  <c r="P42" i="20"/>
  <c r="Q42" i="20"/>
  <c r="R42" i="20"/>
  <c r="F20" i="20"/>
  <c r="I195" i="18"/>
  <c r="C174" i="18"/>
  <c r="G86" i="10"/>
  <c r="C65" i="11" a="1"/>
  <c r="C6" i="24" l="1"/>
  <c r="F6" i="24" s="1"/>
  <c r="I6" i="24" s="1"/>
  <c r="L6" i="24" s="1"/>
  <c r="O6" i="24" s="1"/>
  <c r="R6" i="24" s="1"/>
  <c r="U6" i="24" s="1"/>
  <c r="X6" i="24" s="1"/>
  <c r="F158" i="18"/>
  <c r="R45" i="18"/>
  <c r="F156" i="18"/>
  <c r="G153" i="18" s="1"/>
  <c r="C27" i="12"/>
  <c r="V60" i="24"/>
  <c r="Y60" i="24" s="1"/>
  <c r="N33" i="23"/>
  <c r="L23" i="15"/>
  <c r="L24" i="15" s="1"/>
  <c r="L26" i="15" s="1"/>
  <c r="H222" i="10"/>
  <c r="G250" i="10"/>
  <c r="K23" i="15"/>
  <c r="K24" i="15" s="1"/>
  <c r="K26" i="15" s="1"/>
  <c r="P33" i="23"/>
  <c r="R33" i="23"/>
  <c r="C19" i="12"/>
  <c r="B5" i="12"/>
  <c r="I71" i="14"/>
  <c r="C65" i="11"/>
  <c r="G33" i="15"/>
  <c r="G34" i="15" s="1"/>
  <c r="G36" i="15" s="1"/>
  <c r="F23" i="15"/>
  <c r="F24" i="15" s="1"/>
  <c r="F26" i="15" s="1"/>
  <c r="J23" i="15"/>
  <c r="J24" i="15" s="1"/>
  <c r="J26" i="15" s="1"/>
  <c r="H250" i="10"/>
  <c r="R34" i="15"/>
  <c r="R36" i="15" s="1"/>
  <c r="F33" i="15"/>
  <c r="F34" i="15" s="1"/>
  <c r="G23" i="15"/>
  <c r="G24" i="15" s="1"/>
  <c r="G26" i="15" s="1"/>
  <c r="H33" i="15"/>
  <c r="H34" i="15" s="1"/>
  <c r="H36" i="15" s="1"/>
  <c r="I219" i="10"/>
  <c r="I221" i="10" s="1"/>
  <c r="N34" i="15"/>
  <c r="N36" i="15" s="1"/>
  <c r="Q33" i="15"/>
  <c r="Q34" i="15" s="1"/>
  <c r="Q36" i="15" s="1"/>
  <c r="P34" i="15"/>
  <c r="P36" i="15" s="1"/>
  <c r="O33" i="15"/>
  <c r="O33" i="23" s="1"/>
  <c r="Q24" i="15"/>
  <c r="Q26" i="15" s="1"/>
  <c r="I23" i="15"/>
  <c r="I24" i="15" s="1"/>
  <c r="I26" i="15" s="1"/>
  <c r="N23" i="15"/>
  <c r="N24" i="15" s="1"/>
  <c r="N26" i="15" s="1"/>
  <c r="I213" i="10"/>
  <c r="H216" i="10"/>
  <c r="H227" i="10" s="1"/>
  <c r="H231" i="10" s="1"/>
  <c r="H236" i="10" s="1"/>
  <c r="R42" i="23"/>
  <c r="N234" i="10"/>
  <c r="R45" i="15"/>
  <c r="R47" i="15" s="1"/>
  <c r="E195" i="18"/>
  <c r="E203" i="18" s="1"/>
  <c r="G195" i="18"/>
  <c r="K195" i="18"/>
  <c r="F195" i="18"/>
  <c r="F66" i="23"/>
  <c r="F67" i="23" s="1"/>
  <c r="H67" i="23"/>
  <c r="H68" i="23"/>
  <c r="G66" i="23"/>
  <c r="L195" i="18"/>
  <c r="J195" i="18"/>
  <c r="D54" i="12" l="1"/>
  <c r="O34" i="15"/>
  <c r="O36" i="15" s="1"/>
  <c r="Q33" i="23"/>
  <c r="F68" i="23"/>
  <c r="T68" i="23" s="1"/>
  <c r="D35" i="15"/>
  <c r="T213" i="10"/>
  <c r="I38" i="10"/>
  <c r="I39" i="10" s="1"/>
  <c r="F36" i="15"/>
  <c r="F39" i="15" s="1"/>
  <c r="G39" i="15" s="1"/>
  <c r="H39" i="15" s="1"/>
  <c r="F29" i="15"/>
  <c r="G29" i="15" s="1"/>
  <c r="T234" i="10"/>
  <c r="R46" i="15"/>
  <c r="G67" i="23"/>
  <c r="G68" i="23"/>
  <c r="R153" i="18" l="1"/>
  <c r="G155" i="18"/>
  <c r="R155" i="18" s="1"/>
  <c r="E54" i="12"/>
  <c r="T38" i="10"/>
  <c r="I214" i="10"/>
  <c r="I278" i="10" s="1"/>
  <c r="T39" i="10"/>
  <c r="H13" i="15"/>
  <c r="F54" i="12" l="1"/>
  <c r="T214" i="10"/>
  <c r="H22" i="15"/>
  <c r="I240" i="10"/>
  <c r="I216" i="10"/>
  <c r="R50" i="15"/>
  <c r="F19" i="15"/>
  <c r="C60" i="15"/>
  <c r="L60" i="15" s="1"/>
  <c r="L63" i="15" s="1"/>
  <c r="AC74" i="15"/>
  <c r="AB74" i="15"/>
  <c r="AA74" i="15"/>
  <c r="W74" i="15"/>
  <c r="C68" i="15"/>
  <c r="O68" i="15" s="1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B60" i="15"/>
  <c r="C59" i="15"/>
  <c r="L59" i="15" s="1"/>
  <c r="B59" i="15"/>
  <c r="T57" i="15"/>
  <c r="S271" i="10"/>
  <c r="F32" i="23"/>
  <c r="N22" i="20"/>
  <c r="O22" i="20"/>
  <c r="P22" i="20"/>
  <c r="Q22" i="20"/>
  <c r="R22" i="20"/>
  <c r="F22" i="20"/>
  <c r="F22" i="23" s="1"/>
  <c r="R187" i="18"/>
  <c r="L223" i="18"/>
  <c r="E223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Q216" i="18"/>
  <c r="P216" i="18"/>
  <c r="O216" i="18"/>
  <c r="N216" i="18"/>
  <c r="M216" i="18"/>
  <c r="L216" i="18"/>
  <c r="K216" i="18"/>
  <c r="J216" i="18"/>
  <c r="I216" i="18"/>
  <c r="H216" i="18"/>
  <c r="G216" i="18"/>
  <c r="F216" i="18"/>
  <c r="B221" i="18"/>
  <c r="B219" i="18"/>
  <c r="B216" i="18"/>
  <c r="E196" i="18"/>
  <c r="G160" i="18"/>
  <c r="F160" i="18"/>
  <c r="G9" i="11"/>
  <c r="G8" i="11"/>
  <c r="L7" i="11"/>
  <c r="C201" i="10" s="1"/>
  <c r="C200" i="10"/>
  <c r="C159" i="18"/>
  <c r="M48" i="18"/>
  <c r="R22" i="23" l="1"/>
  <c r="R23" i="20"/>
  <c r="R23" i="23" s="1"/>
  <c r="Q22" i="23"/>
  <c r="Q23" i="20"/>
  <c r="Q23" i="23" s="1"/>
  <c r="P22" i="23"/>
  <c r="P23" i="20"/>
  <c r="P23" i="23" s="1"/>
  <c r="O22" i="23"/>
  <c r="O23" i="20"/>
  <c r="O23" i="23" s="1"/>
  <c r="N22" i="23"/>
  <c r="N23" i="20"/>
  <c r="N23" i="23" s="1"/>
  <c r="I42" i="14"/>
  <c r="G54" i="12"/>
  <c r="P32" i="23"/>
  <c r="P34" i="23" s="1"/>
  <c r="P36" i="23" s="1"/>
  <c r="R32" i="23"/>
  <c r="R34" i="23" s="1"/>
  <c r="R36" i="23" s="1"/>
  <c r="Q32" i="23"/>
  <c r="Q34" i="23" s="1"/>
  <c r="Q36" i="23" s="1"/>
  <c r="O32" i="23"/>
  <c r="O34" i="23" s="1"/>
  <c r="O36" i="23" s="1"/>
  <c r="N32" i="23"/>
  <c r="N34" i="23" s="1"/>
  <c r="N36" i="23" s="1"/>
  <c r="I227" i="10"/>
  <c r="T216" i="10"/>
  <c r="H23" i="15"/>
  <c r="H24" i="15" s="1"/>
  <c r="H26" i="15" s="1"/>
  <c r="H29" i="15" s="1"/>
  <c r="I29" i="15" s="1"/>
  <c r="J29" i="15" s="1"/>
  <c r="K29" i="15" s="1"/>
  <c r="L29" i="15" s="1"/>
  <c r="D22" i="15"/>
  <c r="F163" i="18"/>
  <c r="G158" i="18" s="1"/>
  <c r="G159" i="18" s="1"/>
  <c r="I162" i="18"/>
  <c r="R162" i="18" s="1"/>
  <c r="H68" i="15"/>
  <c r="I68" i="15"/>
  <c r="J68" i="15"/>
  <c r="K68" i="15"/>
  <c r="L68" i="15"/>
  <c r="F68" i="15"/>
  <c r="AD74" i="15"/>
  <c r="F42" i="20"/>
  <c r="F159" i="18"/>
  <c r="N34" i="20"/>
  <c r="N36" i="20" s="1"/>
  <c r="P34" i="20"/>
  <c r="P36" i="20" s="1"/>
  <c r="N68" i="15"/>
  <c r="P68" i="15"/>
  <c r="Q68" i="15"/>
  <c r="R68" i="15"/>
  <c r="L66" i="15"/>
  <c r="U74" i="15"/>
  <c r="F59" i="15"/>
  <c r="N59" i="15"/>
  <c r="F60" i="15"/>
  <c r="N60" i="15"/>
  <c r="N63" i="15" s="1"/>
  <c r="N66" i="15" s="1"/>
  <c r="M68" i="15"/>
  <c r="G59" i="15"/>
  <c r="O59" i="15"/>
  <c r="G60" i="15"/>
  <c r="O60" i="15"/>
  <c r="O63" i="15" s="1"/>
  <c r="O66" i="15" s="1"/>
  <c r="H59" i="15"/>
  <c r="P59" i="15"/>
  <c r="H60" i="15"/>
  <c r="P60" i="15"/>
  <c r="P63" i="15" s="1"/>
  <c r="P66" i="15" s="1"/>
  <c r="G68" i="15"/>
  <c r="I59" i="15"/>
  <c r="Q59" i="15"/>
  <c r="I60" i="15"/>
  <c r="I63" i="15" s="1"/>
  <c r="Q60" i="15"/>
  <c r="Q63" i="15" s="1"/>
  <c r="Q66" i="15" s="1"/>
  <c r="M60" i="15"/>
  <c r="M63" i="15" s="1"/>
  <c r="M66" i="15" s="1"/>
  <c r="J59" i="15"/>
  <c r="R59" i="15"/>
  <c r="J60" i="15"/>
  <c r="J63" i="15" s="1"/>
  <c r="R60" i="15"/>
  <c r="R63" i="15" s="1"/>
  <c r="R66" i="15" s="1"/>
  <c r="M59" i="15"/>
  <c r="K59" i="15"/>
  <c r="K60" i="15"/>
  <c r="K63" i="15" s="1"/>
  <c r="R160" i="18"/>
  <c r="O34" i="20"/>
  <c r="O36" i="20" s="1"/>
  <c r="Q24" i="20"/>
  <c r="R34" i="20"/>
  <c r="R36" i="20" s="1"/>
  <c r="Q34" i="20"/>
  <c r="Q36" i="20" s="1"/>
  <c r="P24" i="23" l="1"/>
  <c r="P26" i="23" s="1"/>
  <c r="R24" i="20"/>
  <c r="P24" i="20"/>
  <c r="Q24" i="23"/>
  <c r="Q26" i="23" s="1"/>
  <c r="R24" i="23"/>
  <c r="R26" i="23" s="1"/>
  <c r="O24" i="23"/>
  <c r="O26" i="23" s="1"/>
  <c r="N24" i="23"/>
  <c r="N26" i="23" s="1"/>
  <c r="N24" i="20"/>
  <c r="O24" i="20"/>
  <c r="H54" i="12"/>
  <c r="I231" i="10"/>
  <c r="F42" i="23"/>
  <c r="T68" i="15"/>
  <c r="K66" i="15"/>
  <c r="T60" i="15"/>
  <c r="T59" i="15"/>
  <c r="J66" i="15"/>
  <c r="I66" i="15"/>
  <c r="C157" i="10"/>
  <c r="K157" i="10" s="1"/>
  <c r="O130" i="10"/>
  <c r="O146" i="10" s="1"/>
  <c r="O154" i="10" s="1"/>
  <c r="P130" i="10"/>
  <c r="P146" i="10" s="1"/>
  <c r="O153" i="10" s="1"/>
  <c r="M8" i="10"/>
  <c r="N130" i="10" s="1"/>
  <c r="L8" i="10"/>
  <c r="M18" i="10" s="1"/>
  <c r="K8" i="10"/>
  <c r="L18" i="10" s="1"/>
  <c r="J8" i="10"/>
  <c r="L7" i="10"/>
  <c r="M17" i="10" s="1"/>
  <c r="K7" i="10"/>
  <c r="L17" i="10" s="1"/>
  <c r="J7" i="10"/>
  <c r="I7" i="10"/>
  <c r="J130" i="10" s="1"/>
  <c r="J146" i="10" s="1"/>
  <c r="J154" i="10" s="1"/>
  <c r="J6" i="10"/>
  <c r="I6" i="10"/>
  <c r="S183" i="10"/>
  <c r="S210" i="10" s="1"/>
  <c r="I146" i="10"/>
  <c r="H153" i="10" s="1"/>
  <c r="H146" i="10"/>
  <c r="G153" i="10" s="1"/>
  <c r="H133" i="10"/>
  <c r="G150" i="10" s="1"/>
  <c r="C142" i="10"/>
  <c r="I142" i="10" s="1"/>
  <c r="C143" i="10"/>
  <c r="H143" i="10" s="1"/>
  <c r="C144" i="10"/>
  <c r="I144" i="10" s="1"/>
  <c r="C141" i="10"/>
  <c r="I141" i="10" s="1"/>
  <c r="C140" i="10"/>
  <c r="H140" i="10" s="1"/>
  <c r="C139" i="10"/>
  <c r="I139" i="10" s="1"/>
  <c r="C138" i="10"/>
  <c r="I138" i="10" s="1"/>
  <c r="C137" i="10"/>
  <c r="H137" i="10" s="1"/>
  <c r="C136" i="10"/>
  <c r="I136" i="10" s="1"/>
  <c r="C135" i="10"/>
  <c r="H135" i="10" s="1"/>
  <c r="C134" i="10"/>
  <c r="J134" i="10" s="1"/>
  <c r="J145" i="10"/>
  <c r="I145" i="10"/>
  <c r="H145" i="10"/>
  <c r="H98" i="18"/>
  <c r="G98" i="18"/>
  <c r="F98" i="18"/>
  <c r="E98" i="18"/>
  <c r="H84" i="10"/>
  <c r="I84" i="10" s="1"/>
  <c r="H79" i="10"/>
  <c r="I79" i="10"/>
  <c r="H80" i="10"/>
  <c r="I80" i="10" s="1"/>
  <c r="R86" i="10"/>
  <c r="Q86" i="10"/>
  <c r="P86" i="10"/>
  <c r="O86" i="10"/>
  <c r="N86" i="10"/>
  <c r="M86" i="10"/>
  <c r="L86" i="10"/>
  <c r="B86" i="10"/>
  <c r="D83" i="10"/>
  <c r="H83" i="10" s="1"/>
  <c r="C82" i="10"/>
  <c r="D82" i="10" s="1"/>
  <c r="H82" i="10" s="1"/>
  <c r="D81" i="10"/>
  <c r="I81" i="10" s="1"/>
  <c r="J75" i="10"/>
  <c r="K75" i="10"/>
  <c r="L75" i="10"/>
  <c r="M75" i="10"/>
  <c r="N75" i="10"/>
  <c r="O75" i="10"/>
  <c r="P75" i="10"/>
  <c r="Q75" i="10"/>
  <c r="R75" i="10"/>
  <c r="H75" i="10"/>
  <c r="H9" i="10"/>
  <c r="I19" i="10" s="1"/>
  <c r="D118" i="10"/>
  <c r="I118" i="10" s="1"/>
  <c r="D117" i="10"/>
  <c r="D111" i="10"/>
  <c r="I111" i="10" s="1"/>
  <c r="D110" i="10"/>
  <c r="D109" i="10"/>
  <c r="D112" i="10"/>
  <c r="D93" i="10"/>
  <c r="J93" i="10" s="1"/>
  <c r="D91" i="10"/>
  <c r="K91" i="10" s="1"/>
  <c r="C92" i="10"/>
  <c r="D92" i="10" s="1"/>
  <c r="L92" i="10" s="1"/>
  <c r="I90" i="10"/>
  <c r="C103" i="10"/>
  <c r="D103" i="10" s="1"/>
  <c r="H105" i="10" s="1"/>
  <c r="B96" i="10"/>
  <c r="I89" i="10"/>
  <c r="G27" i="10"/>
  <c r="J27" i="10" s="1"/>
  <c r="H19" i="10"/>
  <c r="L19" i="10"/>
  <c r="M19" i="10"/>
  <c r="N19" i="10"/>
  <c r="O19" i="10"/>
  <c r="P19" i="10"/>
  <c r="Q19" i="10"/>
  <c r="R19" i="10"/>
  <c r="S19" i="10"/>
  <c r="O18" i="10"/>
  <c r="P18" i="10"/>
  <c r="Q18" i="10"/>
  <c r="R18" i="10"/>
  <c r="S18" i="10"/>
  <c r="H18" i="10"/>
  <c r="I18" i="10"/>
  <c r="N17" i="10"/>
  <c r="O17" i="10"/>
  <c r="P17" i="10"/>
  <c r="Q17" i="10"/>
  <c r="R17" i="10"/>
  <c r="S17" i="10"/>
  <c r="L16" i="10"/>
  <c r="M16" i="10"/>
  <c r="N16" i="10"/>
  <c r="O16" i="10"/>
  <c r="P16" i="10"/>
  <c r="Q16" i="10"/>
  <c r="R16" i="10"/>
  <c r="S16" i="10"/>
  <c r="H16" i="10"/>
  <c r="I16" i="10"/>
  <c r="K19" i="10"/>
  <c r="J19" i="10"/>
  <c r="C9" i="10"/>
  <c r="I103" i="10" s="1"/>
  <c r="B9" i="10"/>
  <c r="B19" i="10" s="1"/>
  <c r="I31" i="11"/>
  <c r="M85" i="18"/>
  <c r="M228" i="18" s="1"/>
  <c r="N85" i="18"/>
  <c r="N228" i="18" s="1"/>
  <c r="O85" i="18"/>
  <c r="O228" i="18" s="1"/>
  <c r="P85" i="18"/>
  <c r="P228" i="18" s="1"/>
  <c r="B8" i="10"/>
  <c r="B18" i="10" s="1"/>
  <c r="B7" i="10"/>
  <c r="B17" i="10" s="1"/>
  <c r="B6" i="10"/>
  <c r="B16" i="10" s="1"/>
  <c r="T73" i="10"/>
  <c r="T74" i="10"/>
  <c r="I54" i="12" l="1"/>
  <c r="F237" i="18"/>
  <c r="F41" i="18"/>
  <c r="I236" i="10"/>
  <c r="R98" i="18"/>
  <c r="N133" i="10"/>
  <c r="L130" i="10"/>
  <c r="K133" i="10" s="1"/>
  <c r="N153" i="10"/>
  <c r="I137" i="10"/>
  <c r="K130" i="10"/>
  <c r="K146" i="10" s="1"/>
  <c r="N18" i="10"/>
  <c r="I133" i="10"/>
  <c r="N146" i="10"/>
  <c r="M133" i="10"/>
  <c r="I154" i="10"/>
  <c r="H157" i="10"/>
  <c r="I157" i="10"/>
  <c r="J157" i="10"/>
  <c r="O133" i="10"/>
  <c r="M130" i="10"/>
  <c r="T138" i="10"/>
  <c r="H142" i="10"/>
  <c r="K140" i="10"/>
  <c r="J140" i="10"/>
  <c r="H141" i="10"/>
  <c r="H136" i="10"/>
  <c r="I135" i="10"/>
  <c r="H138" i="10"/>
  <c r="H139" i="10"/>
  <c r="I143" i="10"/>
  <c r="H144" i="10"/>
  <c r="I140" i="10"/>
  <c r="T142" i="10"/>
  <c r="T141" i="10"/>
  <c r="T139" i="10"/>
  <c r="T134" i="10"/>
  <c r="T135" i="10"/>
  <c r="I82" i="10"/>
  <c r="I83" i="10"/>
  <c r="T83" i="10" s="1"/>
  <c r="D123" i="10"/>
  <c r="J123" i="10" s="1"/>
  <c r="T123" i="10" s="1"/>
  <c r="F145" i="10"/>
  <c r="D114" i="10"/>
  <c r="T145" i="10"/>
  <c r="H81" i="10"/>
  <c r="H86" i="10" s="1"/>
  <c r="D86" i="10"/>
  <c r="T80" i="10"/>
  <c r="T84" i="10"/>
  <c r="D85" i="10"/>
  <c r="H27" i="10"/>
  <c r="H59" i="10" s="1"/>
  <c r="K93" i="10"/>
  <c r="K103" i="10"/>
  <c r="L93" i="10"/>
  <c r="H103" i="10"/>
  <c r="J103" i="10"/>
  <c r="I27" i="10"/>
  <c r="I59" i="10" s="1"/>
  <c r="D113" i="10"/>
  <c r="J113" i="10" s="1"/>
  <c r="T113" i="10" s="1"/>
  <c r="J118" i="10"/>
  <c r="T118" i="10" s="1"/>
  <c r="D95" i="10"/>
  <c r="J111" i="10"/>
  <c r="T111" i="10" s="1"/>
  <c r="I92" i="10"/>
  <c r="J92" i="10"/>
  <c r="K92" i="10"/>
  <c r="J90" i="10"/>
  <c r="T90" i="10" s="1"/>
  <c r="B103" i="10"/>
  <c r="B101" i="10"/>
  <c r="B99" i="10"/>
  <c r="B102" i="10"/>
  <c r="J91" i="10"/>
  <c r="L91" i="10"/>
  <c r="J59" i="10"/>
  <c r="G59" i="10"/>
  <c r="I91" i="10"/>
  <c r="C20" i="11"/>
  <c r="C127" i="18" s="1"/>
  <c r="C33" i="18"/>
  <c r="C32" i="18"/>
  <c r="E34" i="18"/>
  <c r="S15" i="18"/>
  <c r="E32" i="18"/>
  <c r="S11" i="18" s="1"/>
  <c r="C17" i="11"/>
  <c r="C89" i="18" s="1"/>
  <c r="G266" i="8"/>
  <c r="G267" i="8"/>
  <c r="C148" i="18"/>
  <c r="H17" i="14"/>
  <c r="H31" i="14"/>
  <c r="H19" i="14"/>
  <c r="H6" i="14"/>
  <c r="H4" i="14"/>
  <c r="B42" i="14"/>
  <c r="B10" i="14" s="1"/>
  <c r="H10" i="14" s="1"/>
  <c r="H36" i="14"/>
  <c r="B41" i="14"/>
  <c r="B9" i="14" s="1"/>
  <c r="H9" i="14" s="1"/>
  <c r="B44" i="14"/>
  <c r="H44" i="14" s="1"/>
  <c r="I28" i="18"/>
  <c r="J28" i="18"/>
  <c r="K28" i="18"/>
  <c r="L28" i="18"/>
  <c r="M28" i="18"/>
  <c r="N28" i="18"/>
  <c r="O28" i="18"/>
  <c r="P28" i="18"/>
  <c r="B1" i="20"/>
  <c r="L18" i="20"/>
  <c r="M18" i="20"/>
  <c r="N18" i="20"/>
  <c r="O18" i="20"/>
  <c r="P18" i="20"/>
  <c r="Q18" i="20"/>
  <c r="R18" i="20"/>
  <c r="F19" i="20"/>
  <c r="G61" i="20"/>
  <c r="G62" i="20" s="1"/>
  <c r="H61" i="20"/>
  <c r="H64" i="20" s="1"/>
  <c r="T55" i="20"/>
  <c r="B57" i="20"/>
  <c r="C57" i="20"/>
  <c r="B58" i="20"/>
  <c r="C66" i="20"/>
  <c r="AA72" i="20"/>
  <c r="AB72" i="20"/>
  <c r="AC72" i="20"/>
  <c r="C58" i="20"/>
  <c r="AH10" i="19"/>
  <c r="A12" i="19"/>
  <c r="A11" i="19"/>
  <c r="B13" i="19"/>
  <c r="AH13" i="19" s="1"/>
  <c r="B14" i="19"/>
  <c r="AH14" i="19" s="1"/>
  <c r="B15" i="19"/>
  <c r="AH15" i="19" s="1"/>
  <c r="B16" i="19"/>
  <c r="AH16" i="19" s="1"/>
  <c r="E17" i="19"/>
  <c r="F17" i="19"/>
  <c r="H17" i="19"/>
  <c r="H35" i="19" s="1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AD17" i="19"/>
  <c r="AE17" i="19"/>
  <c r="AH18" i="19"/>
  <c r="AH19" i="19"/>
  <c r="A20" i="19"/>
  <c r="B20" i="19"/>
  <c r="G20" i="19"/>
  <c r="AG20" i="19" s="1"/>
  <c r="A21" i="19"/>
  <c r="D22" i="19"/>
  <c r="E22" i="19"/>
  <c r="F22" i="19"/>
  <c r="I22" i="19"/>
  <c r="I35" i="19" s="1"/>
  <c r="K22" i="19"/>
  <c r="L22" i="19"/>
  <c r="N22" i="19"/>
  <c r="O22" i="19"/>
  <c r="Q22" i="19"/>
  <c r="R22" i="19"/>
  <c r="T22" i="19"/>
  <c r="U22" i="19"/>
  <c r="V22" i="19"/>
  <c r="W22" i="19"/>
  <c r="X22" i="19"/>
  <c r="Y22" i="19"/>
  <c r="Z22" i="19"/>
  <c r="Z35" i="19" s="1"/>
  <c r="AA22" i="19"/>
  <c r="AB22" i="19"/>
  <c r="AC22" i="19"/>
  <c r="AD22" i="19"/>
  <c r="AE22" i="19"/>
  <c r="AH23" i="19"/>
  <c r="AH24" i="19"/>
  <c r="AH25" i="19"/>
  <c r="AH26" i="19"/>
  <c r="N27" i="19"/>
  <c r="N35" i="19" s="1"/>
  <c r="Q27" i="19"/>
  <c r="T27" i="19"/>
  <c r="AH27" i="19"/>
  <c r="AH28" i="19"/>
  <c r="AH29" i="19"/>
  <c r="AH30" i="19"/>
  <c r="AH31" i="19"/>
  <c r="AH32" i="19"/>
  <c r="AH33" i="19"/>
  <c r="AH34" i="19"/>
  <c r="L35" i="19"/>
  <c r="Y35" i="19"/>
  <c r="AH36" i="19"/>
  <c r="AH37" i="19"/>
  <c r="AH38" i="19"/>
  <c r="B39" i="19"/>
  <c r="G39" i="19"/>
  <c r="AG39" i="19" s="1"/>
  <c r="D42" i="19"/>
  <c r="E42" i="19"/>
  <c r="F42" i="19"/>
  <c r="H42" i="19"/>
  <c r="I42" i="19"/>
  <c r="J42" i="19"/>
  <c r="K42" i="19"/>
  <c r="L42" i="19"/>
  <c r="M42" i="19"/>
  <c r="N42" i="19"/>
  <c r="O42" i="19"/>
  <c r="P42" i="19"/>
  <c r="Q42" i="19"/>
  <c r="R42" i="19"/>
  <c r="S42" i="19"/>
  <c r="T42" i="19"/>
  <c r="U42" i="19"/>
  <c r="V42" i="19"/>
  <c r="W42" i="19"/>
  <c r="X42" i="19"/>
  <c r="Y42" i="19"/>
  <c r="Z42" i="19"/>
  <c r="AA42" i="19"/>
  <c r="AB42" i="19"/>
  <c r="AC42" i="19"/>
  <c r="AD42" i="19"/>
  <c r="AE42" i="19"/>
  <c r="AH43" i="19"/>
  <c r="A44" i="19"/>
  <c r="AH44" i="19"/>
  <c r="B45" i="19"/>
  <c r="J45" i="19" s="1"/>
  <c r="B46" i="19"/>
  <c r="M46" i="19" s="1"/>
  <c r="D47" i="19"/>
  <c r="E47" i="19"/>
  <c r="F47" i="19"/>
  <c r="G47" i="19"/>
  <c r="H47" i="19"/>
  <c r="I47" i="19"/>
  <c r="AB47" i="19"/>
  <c r="AC47" i="19"/>
  <c r="AD47" i="19"/>
  <c r="AE47" i="19"/>
  <c r="AH48" i="19"/>
  <c r="AH49" i="19"/>
  <c r="AG50" i="19"/>
  <c r="AH50" i="19" s="1"/>
  <c r="B53" i="19"/>
  <c r="V53" i="19" s="1"/>
  <c r="B56" i="19"/>
  <c r="H56" i="19" s="1"/>
  <c r="P56" i="19"/>
  <c r="Q56" i="19"/>
  <c r="S78" i="19"/>
  <c r="T78" i="19"/>
  <c r="U78" i="19"/>
  <c r="AA78" i="19"/>
  <c r="AC78" i="19"/>
  <c r="AD78" i="19"/>
  <c r="AE78" i="19"/>
  <c r="S79" i="19"/>
  <c r="T79" i="19"/>
  <c r="U79" i="19"/>
  <c r="Z79" i="19"/>
  <c r="Z80" i="19" s="1"/>
  <c r="AA79" i="19"/>
  <c r="AB79" i="19"/>
  <c r="AB80" i="19" s="1"/>
  <c r="AC79" i="19"/>
  <c r="AD79" i="19"/>
  <c r="AE79" i="19"/>
  <c r="D80" i="19"/>
  <c r="E80" i="19"/>
  <c r="F80" i="19"/>
  <c r="G80" i="19"/>
  <c r="AH81" i="19"/>
  <c r="B82" i="19"/>
  <c r="AH82" i="19" s="1"/>
  <c r="AG82" i="19"/>
  <c r="AA86" i="19"/>
  <c r="AB86" i="19"/>
  <c r="AC86" i="19"/>
  <c r="AD86" i="19"/>
  <c r="AE86" i="19"/>
  <c r="D87" i="19"/>
  <c r="E87" i="19"/>
  <c r="E88" i="19" s="1"/>
  <c r="F87" i="19"/>
  <c r="F88" i="19" s="1"/>
  <c r="G87" i="19"/>
  <c r="G88" i="19" s="1"/>
  <c r="H87" i="19"/>
  <c r="H88" i="19" s="1"/>
  <c r="AA87" i="19"/>
  <c r="AB87" i="19"/>
  <c r="AC87" i="19"/>
  <c r="AD87" i="19"/>
  <c r="AE87" i="19"/>
  <c r="AH89" i="19"/>
  <c r="B90" i="19"/>
  <c r="AG90" i="19"/>
  <c r="D97" i="19"/>
  <c r="E97" i="19"/>
  <c r="F97" i="19"/>
  <c r="G97" i="19"/>
  <c r="Z97" i="19"/>
  <c r="AA97" i="19"/>
  <c r="AB97" i="19"/>
  <c r="AC97" i="19"/>
  <c r="AD97" i="19"/>
  <c r="AE97" i="19"/>
  <c r="AH98" i="19"/>
  <c r="B99" i="19"/>
  <c r="AG99" i="19"/>
  <c r="D111" i="19"/>
  <c r="E111" i="19"/>
  <c r="F111" i="19"/>
  <c r="G111" i="19"/>
  <c r="Z111" i="19"/>
  <c r="AA111" i="19"/>
  <c r="AB111" i="19"/>
  <c r="AC111" i="19"/>
  <c r="AD111" i="19"/>
  <c r="AE111" i="19"/>
  <c r="AH112" i="19"/>
  <c r="B113" i="19"/>
  <c r="AG113" i="19"/>
  <c r="AG114" i="19"/>
  <c r="B116" i="19"/>
  <c r="AG116" i="19"/>
  <c r="D117" i="19"/>
  <c r="E117" i="19"/>
  <c r="F117" i="19"/>
  <c r="G117" i="19"/>
  <c r="Z117" i="19"/>
  <c r="AA117" i="19"/>
  <c r="AB117" i="19"/>
  <c r="AC117" i="19"/>
  <c r="AD117" i="19"/>
  <c r="AE117" i="19"/>
  <c r="AH118" i="19"/>
  <c r="B119" i="19"/>
  <c r="AG119" i="19"/>
  <c r="D122" i="19"/>
  <c r="E122" i="19"/>
  <c r="F122" i="19"/>
  <c r="G122" i="19"/>
  <c r="AA122" i="19"/>
  <c r="AB122" i="19"/>
  <c r="AC122" i="19"/>
  <c r="AD122" i="19"/>
  <c r="AE122" i="19"/>
  <c r="AH123" i="19"/>
  <c r="B124" i="19"/>
  <c r="AG124" i="19"/>
  <c r="D128" i="19"/>
  <c r="E128" i="19"/>
  <c r="F128" i="19"/>
  <c r="G128" i="19"/>
  <c r="I128" i="19"/>
  <c r="J128" i="19"/>
  <c r="K128" i="19"/>
  <c r="L128" i="19"/>
  <c r="M128" i="19"/>
  <c r="N128" i="19"/>
  <c r="O128" i="19"/>
  <c r="P128" i="19"/>
  <c r="Q128" i="19"/>
  <c r="R128" i="19"/>
  <c r="S128" i="19"/>
  <c r="T128" i="19"/>
  <c r="U128" i="19"/>
  <c r="V128" i="19"/>
  <c r="W128" i="19"/>
  <c r="X128" i="19"/>
  <c r="Y128" i="19"/>
  <c r="Z128" i="19"/>
  <c r="AA128" i="19"/>
  <c r="AB128" i="19"/>
  <c r="AC128" i="19"/>
  <c r="AD128" i="19"/>
  <c r="AE128" i="19"/>
  <c r="AH129" i="19"/>
  <c r="B130" i="19"/>
  <c r="AG130" i="19"/>
  <c r="B131" i="19"/>
  <c r="H131" i="19"/>
  <c r="I131" i="19"/>
  <c r="J131" i="19"/>
  <c r="K131" i="19"/>
  <c r="L131" i="19"/>
  <c r="M131" i="19"/>
  <c r="N131" i="19"/>
  <c r="O131" i="19"/>
  <c r="P131" i="19"/>
  <c r="Q131" i="19"/>
  <c r="R131" i="19"/>
  <c r="S131" i="19"/>
  <c r="AG132" i="19"/>
  <c r="D134" i="19"/>
  <c r="E134" i="19"/>
  <c r="F134" i="19"/>
  <c r="G134" i="19"/>
  <c r="T134" i="19"/>
  <c r="U134" i="19"/>
  <c r="V134" i="19"/>
  <c r="W134" i="19"/>
  <c r="X134" i="19"/>
  <c r="Y134" i="19"/>
  <c r="Z134" i="19"/>
  <c r="AA134" i="19"/>
  <c r="AB134" i="19"/>
  <c r="AC134" i="19"/>
  <c r="AD134" i="19"/>
  <c r="AE134" i="19"/>
  <c r="AH135" i="19"/>
  <c r="B136" i="19"/>
  <c r="AG136" i="19"/>
  <c r="B138" i="19"/>
  <c r="S138" i="19"/>
  <c r="AG138" i="19" s="1"/>
  <c r="B139" i="19"/>
  <c r="AH139" i="19" s="1"/>
  <c r="AG139" i="19"/>
  <c r="B140" i="19"/>
  <c r="S140" i="19"/>
  <c r="AG140" i="19" s="1"/>
  <c r="AG141" i="19"/>
  <c r="AH141" i="19" s="1"/>
  <c r="AG144" i="19"/>
  <c r="B147" i="19"/>
  <c r="G147" i="19" s="1"/>
  <c r="J147" i="19"/>
  <c r="B148" i="19"/>
  <c r="G148" i="19" s="1"/>
  <c r="J148" i="19"/>
  <c r="AG149" i="19"/>
  <c r="AH149" i="19" s="1"/>
  <c r="D150" i="19"/>
  <c r="E150" i="19"/>
  <c r="F150" i="19"/>
  <c r="AH151" i="19"/>
  <c r="AH152" i="19"/>
  <c r="J154" i="19"/>
  <c r="K154" i="19"/>
  <c r="T154" i="19"/>
  <c r="U154" i="19"/>
  <c r="AE154" i="19"/>
  <c r="AH155" i="19"/>
  <c r="AH157" i="19"/>
  <c r="AH158" i="19"/>
  <c r="F4" i="18"/>
  <c r="G19" i="23" s="1"/>
  <c r="R7" i="18"/>
  <c r="V7" i="18"/>
  <c r="R8" i="18"/>
  <c r="R9" i="18"/>
  <c r="C23" i="18" s="1"/>
  <c r="R10" i="18"/>
  <c r="R11" i="18"/>
  <c r="C25" i="18" s="1"/>
  <c r="R12" i="18"/>
  <c r="C26" i="18" s="1"/>
  <c r="R13" i="18"/>
  <c r="R14" i="18"/>
  <c r="C28" i="18" s="1"/>
  <c r="R15" i="18"/>
  <c r="C29" i="18" s="1"/>
  <c r="R16" i="18"/>
  <c r="E17" i="18"/>
  <c r="E110" i="18" s="1"/>
  <c r="P103" i="19" s="1"/>
  <c r="F17" i="18"/>
  <c r="G17" i="18"/>
  <c r="G112" i="18" s="1"/>
  <c r="H17" i="18"/>
  <c r="H110" i="18" s="1"/>
  <c r="I17" i="18"/>
  <c r="J90" i="18" s="1"/>
  <c r="I111" i="18" s="1"/>
  <c r="J17" i="18"/>
  <c r="K90" i="18" s="1"/>
  <c r="J111" i="18" s="1"/>
  <c r="K17" i="18"/>
  <c r="K112" i="18" s="1"/>
  <c r="L17" i="18"/>
  <c r="M90" i="18" s="1"/>
  <c r="M111" i="18" s="1"/>
  <c r="M17" i="18"/>
  <c r="N17" i="18"/>
  <c r="N112" i="18" s="1"/>
  <c r="O17" i="18"/>
  <c r="P17" i="18"/>
  <c r="Q17" i="18"/>
  <c r="Q110" i="18" s="1"/>
  <c r="B21" i="18"/>
  <c r="D21" i="18"/>
  <c r="G21" i="18"/>
  <c r="H21" i="18"/>
  <c r="I21" i="18"/>
  <c r="J21" i="18"/>
  <c r="K21" i="18"/>
  <c r="L21" i="18"/>
  <c r="M21" i="18"/>
  <c r="N21" i="18"/>
  <c r="O21" i="18"/>
  <c r="P21" i="18"/>
  <c r="Q21" i="18"/>
  <c r="B22" i="18"/>
  <c r="D22" i="18"/>
  <c r="G22" i="18"/>
  <c r="H22" i="18"/>
  <c r="I22" i="18"/>
  <c r="J22" i="18"/>
  <c r="K22" i="18"/>
  <c r="L22" i="18"/>
  <c r="M22" i="18"/>
  <c r="N22" i="18"/>
  <c r="O22" i="18"/>
  <c r="P22" i="18"/>
  <c r="Q22" i="18"/>
  <c r="B23" i="18"/>
  <c r="D23" i="18"/>
  <c r="G23" i="18"/>
  <c r="H23" i="18"/>
  <c r="I23" i="18"/>
  <c r="J23" i="18"/>
  <c r="K23" i="18"/>
  <c r="L23" i="18"/>
  <c r="M23" i="18"/>
  <c r="N23" i="18"/>
  <c r="O23" i="18"/>
  <c r="P23" i="18"/>
  <c r="Q23" i="18"/>
  <c r="B24" i="18"/>
  <c r="D24" i="18"/>
  <c r="G24" i="18"/>
  <c r="H24" i="18"/>
  <c r="I24" i="18"/>
  <c r="J24" i="18"/>
  <c r="K24" i="18"/>
  <c r="L24" i="18"/>
  <c r="M24" i="18"/>
  <c r="N24" i="18"/>
  <c r="O24" i="18"/>
  <c r="P24" i="18"/>
  <c r="Q24" i="18"/>
  <c r="B25" i="18"/>
  <c r="D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B26" i="18"/>
  <c r="D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B27" i="18"/>
  <c r="D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B28" i="18"/>
  <c r="D28" i="18"/>
  <c r="F28" i="18"/>
  <c r="G28" i="18"/>
  <c r="H28" i="18"/>
  <c r="Q28" i="18"/>
  <c r="B29" i="18"/>
  <c r="D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B30" i="18"/>
  <c r="D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7" i="18"/>
  <c r="R38" i="18"/>
  <c r="E55" i="18"/>
  <c r="E56" i="18" s="1"/>
  <c r="E121" i="18" s="1"/>
  <c r="C56" i="18"/>
  <c r="V61" i="18"/>
  <c r="R62" i="18"/>
  <c r="V62" i="18"/>
  <c r="B40" i="19"/>
  <c r="E64" i="18"/>
  <c r="B41" i="19" s="1"/>
  <c r="M64" i="18"/>
  <c r="N64" i="18"/>
  <c r="N65" i="18" s="1"/>
  <c r="N227" i="18" s="1"/>
  <c r="O64" i="18"/>
  <c r="O65" i="18" s="1"/>
  <c r="O227" i="18" s="1"/>
  <c r="P64" i="18"/>
  <c r="P65" i="18" s="1"/>
  <c r="P227" i="18" s="1"/>
  <c r="Q64" i="18"/>
  <c r="Q65" i="18" s="1"/>
  <c r="Q227" i="18" s="1"/>
  <c r="F65" i="18"/>
  <c r="F227" i="18" s="1"/>
  <c r="G65" i="18"/>
  <c r="H65" i="18"/>
  <c r="I65" i="18"/>
  <c r="J65" i="18"/>
  <c r="K65" i="18"/>
  <c r="L65" i="18"/>
  <c r="L227" i="18" s="1"/>
  <c r="C68" i="18"/>
  <c r="E68" i="18" s="1"/>
  <c r="B52" i="19"/>
  <c r="C69" i="18"/>
  <c r="F69" i="18" s="1"/>
  <c r="C70" i="18"/>
  <c r="E70" i="18" s="1"/>
  <c r="B54" i="19" s="1"/>
  <c r="C71" i="18"/>
  <c r="E71" i="18" s="1"/>
  <c r="B55" i="19" s="1"/>
  <c r="C72" i="18"/>
  <c r="F72" i="18" s="1"/>
  <c r="E73" i="18"/>
  <c r="C74" i="18"/>
  <c r="E74" i="18" s="1"/>
  <c r="R74" i="18" s="1"/>
  <c r="C75" i="18"/>
  <c r="B61" i="19"/>
  <c r="C76" i="18"/>
  <c r="C77" i="18"/>
  <c r="C78" i="18"/>
  <c r="E78" i="18" s="1"/>
  <c r="B65" i="19" s="1"/>
  <c r="K67" i="19"/>
  <c r="C79" i="18"/>
  <c r="G79" i="18" s="1"/>
  <c r="C80" i="18"/>
  <c r="G80" i="18" s="1"/>
  <c r="P71" i="19"/>
  <c r="C81" i="18"/>
  <c r="E81" i="18" s="1"/>
  <c r="B72" i="19" s="1"/>
  <c r="O73" i="19"/>
  <c r="B74" i="19"/>
  <c r="E82" i="18"/>
  <c r="B76" i="19" s="1"/>
  <c r="F82" i="18"/>
  <c r="G82" i="18"/>
  <c r="H82" i="18"/>
  <c r="I82" i="18"/>
  <c r="J82" i="18"/>
  <c r="B77" i="19"/>
  <c r="K84" i="18"/>
  <c r="K85" i="18" s="1"/>
  <c r="L84" i="18"/>
  <c r="B85" i="18"/>
  <c r="B228" i="18" s="1"/>
  <c r="B51" i="14" s="1"/>
  <c r="B21" i="14" s="1"/>
  <c r="H21" i="14" s="1"/>
  <c r="M128" i="18"/>
  <c r="M129" i="18" s="1"/>
  <c r="M233" i="18" s="1"/>
  <c r="O128" i="18"/>
  <c r="O129" i="18" s="1"/>
  <c r="O233" i="18" s="1"/>
  <c r="P128" i="18"/>
  <c r="P129" i="18" s="1"/>
  <c r="P233" i="18" s="1"/>
  <c r="B94" i="18"/>
  <c r="B229" i="18" s="1"/>
  <c r="B52" i="14" s="1"/>
  <c r="E100" i="18"/>
  <c r="R100" i="18" s="1"/>
  <c r="T100" i="18" s="1"/>
  <c r="E101" i="18"/>
  <c r="I94" i="19" s="1"/>
  <c r="F101" i="18"/>
  <c r="E102" i="18"/>
  <c r="B95" i="19" s="1"/>
  <c r="F102" i="18"/>
  <c r="G102" i="18"/>
  <c r="H102" i="18"/>
  <c r="I102" i="18"/>
  <c r="I104" i="18" s="1"/>
  <c r="J102" i="18"/>
  <c r="J104" i="18" s="1"/>
  <c r="K102" i="18"/>
  <c r="K104" i="18" s="1"/>
  <c r="L104" i="18"/>
  <c r="L230" i="18" s="1"/>
  <c r="Q103" i="18"/>
  <c r="Q104" i="18" s="1"/>
  <c r="Q230" i="18" s="1"/>
  <c r="B104" i="18"/>
  <c r="B230" i="18" s="1"/>
  <c r="M104" i="18"/>
  <c r="M230" i="18" s="1"/>
  <c r="N104" i="18"/>
  <c r="N230" i="18" s="1"/>
  <c r="O104" i="18"/>
  <c r="O230" i="18" s="1"/>
  <c r="P104" i="18"/>
  <c r="P230" i="18" s="1"/>
  <c r="E107" i="18"/>
  <c r="N100" i="19" s="1"/>
  <c r="F107" i="18"/>
  <c r="G107" i="18"/>
  <c r="H107" i="18"/>
  <c r="I107" i="18"/>
  <c r="J107" i="18"/>
  <c r="K107" i="18"/>
  <c r="M107" i="18"/>
  <c r="N107" i="18"/>
  <c r="O107" i="18"/>
  <c r="P107" i="18"/>
  <c r="Q107" i="18"/>
  <c r="E113" i="18"/>
  <c r="R106" i="19" s="1"/>
  <c r="F113" i="18"/>
  <c r="G113" i="18"/>
  <c r="H113" i="18"/>
  <c r="I113" i="18"/>
  <c r="J113" i="18"/>
  <c r="K113" i="18"/>
  <c r="M113" i="18"/>
  <c r="N113" i="18"/>
  <c r="O113" i="18"/>
  <c r="P113" i="18"/>
  <c r="Q113" i="18"/>
  <c r="B118" i="18"/>
  <c r="B231" i="18" s="1"/>
  <c r="H54" i="14" s="1"/>
  <c r="L118" i="18"/>
  <c r="L231" i="18" s="1"/>
  <c r="E122" i="18"/>
  <c r="K115" i="19" s="1"/>
  <c r="K117" i="19" s="1"/>
  <c r="F122" i="18"/>
  <c r="G122" i="18"/>
  <c r="H122" i="18"/>
  <c r="I122" i="18"/>
  <c r="J122" i="18"/>
  <c r="K122" i="18"/>
  <c r="N123" i="18"/>
  <c r="R123" i="18" s="1"/>
  <c r="Q128" i="18"/>
  <c r="Q129" i="18" s="1"/>
  <c r="Q233" i="18" s="1"/>
  <c r="C132" i="18"/>
  <c r="E132" i="18" s="1"/>
  <c r="B125" i="19" s="1"/>
  <c r="R132" i="18"/>
  <c r="E134" i="18"/>
  <c r="R134" i="18" s="1"/>
  <c r="E140" i="18"/>
  <c r="L133" i="19" s="1"/>
  <c r="F140" i="18"/>
  <c r="G140" i="18"/>
  <c r="H140" i="18"/>
  <c r="I140" i="18"/>
  <c r="J140" i="18"/>
  <c r="B146" i="19"/>
  <c r="M193" i="18"/>
  <c r="M195" i="18" s="1"/>
  <c r="E204" i="18"/>
  <c r="B213" i="18"/>
  <c r="B215" i="18"/>
  <c r="E215" i="18"/>
  <c r="B39" i="14"/>
  <c r="B7" i="14" s="1"/>
  <c r="H7" i="14" s="1"/>
  <c r="B43" i="14"/>
  <c r="B222" i="18"/>
  <c r="B45" i="14" s="1"/>
  <c r="B13" i="14" s="1"/>
  <c r="B223" i="18"/>
  <c r="B46" i="14" s="1"/>
  <c r="B14" i="14" s="1"/>
  <c r="B224" i="18"/>
  <c r="B47" i="14" s="1"/>
  <c r="B226" i="18"/>
  <c r="E226" i="18"/>
  <c r="B227" i="18"/>
  <c r="H50" i="14" s="1"/>
  <c r="B232" i="18"/>
  <c r="H55" i="14" s="1"/>
  <c r="B233" i="18"/>
  <c r="H56" i="14" s="1"/>
  <c r="B234" i="18"/>
  <c r="B57" i="14" s="1"/>
  <c r="B27" i="14" s="1"/>
  <c r="H27" i="14" s="1"/>
  <c r="B235" i="18"/>
  <c r="B58" i="14" s="1"/>
  <c r="B28" i="14" s="1"/>
  <c r="H28" i="14" s="1"/>
  <c r="B236" i="18"/>
  <c r="B59" i="14" s="1"/>
  <c r="B29" i="14" s="1"/>
  <c r="H29" i="14" s="1"/>
  <c r="B237" i="18"/>
  <c r="B60" i="14" s="1"/>
  <c r="B30" i="14" s="1"/>
  <c r="B238" i="18"/>
  <c r="H61" i="14" s="1"/>
  <c r="I26" i="8"/>
  <c r="B8" i="8"/>
  <c r="B17" i="8" s="1"/>
  <c r="B9" i="8"/>
  <c r="B18" i="8" s="1"/>
  <c r="B10" i="8"/>
  <c r="B19" i="8" s="1"/>
  <c r="B7" i="8"/>
  <c r="B16" i="8"/>
  <c r="D7" i="8"/>
  <c r="G70" i="8"/>
  <c r="G96" i="10"/>
  <c r="M96" i="10"/>
  <c r="N96" i="10"/>
  <c r="O96" i="10"/>
  <c r="P96" i="10"/>
  <c r="Q96" i="10"/>
  <c r="R96" i="10"/>
  <c r="G106" i="10"/>
  <c r="L106" i="10"/>
  <c r="M106" i="10"/>
  <c r="N106" i="10"/>
  <c r="O106" i="10"/>
  <c r="P106" i="10"/>
  <c r="Q106" i="10"/>
  <c r="R106" i="10"/>
  <c r="K124" i="10"/>
  <c r="L124" i="10"/>
  <c r="M124" i="10"/>
  <c r="N124" i="10"/>
  <c r="O124" i="10"/>
  <c r="P124" i="10"/>
  <c r="Q124" i="10"/>
  <c r="R124" i="10"/>
  <c r="G124" i="10"/>
  <c r="H124" i="10"/>
  <c r="G114" i="10"/>
  <c r="H114" i="10"/>
  <c r="K114" i="10"/>
  <c r="L114" i="10"/>
  <c r="M114" i="10"/>
  <c r="N114" i="10"/>
  <c r="O114" i="10"/>
  <c r="P114" i="10"/>
  <c r="Q114" i="10"/>
  <c r="R114" i="10"/>
  <c r="E222" i="18" l="1"/>
  <c r="J54" i="12"/>
  <c r="G227" i="18"/>
  <c r="K227" i="18"/>
  <c r="J227" i="18"/>
  <c r="I227" i="18"/>
  <c r="H227" i="18"/>
  <c r="G20" i="23"/>
  <c r="G20" i="15"/>
  <c r="G20" i="20"/>
  <c r="H43" i="14"/>
  <c r="B11" i="14"/>
  <c r="H11" i="14" s="1"/>
  <c r="B132" i="19"/>
  <c r="AH132" i="19" s="1"/>
  <c r="G63" i="15"/>
  <c r="G215" i="18"/>
  <c r="G4" i="18"/>
  <c r="H19" i="23" s="1"/>
  <c r="E237" i="18"/>
  <c r="J133" i="10"/>
  <c r="L146" i="10"/>
  <c r="K153" i="10" s="1"/>
  <c r="Q129" i="10"/>
  <c r="R129" i="10"/>
  <c r="P126" i="10"/>
  <c r="P127" i="10"/>
  <c r="G126" i="10"/>
  <c r="M127" i="10"/>
  <c r="M126" i="10"/>
  <c r="N127" i="10"/>
  <c r="N126" i="10"/>
  <c r="O127" i="10"/>
  <c r="O126" i="10"/>
  <c r="N154" i="10"/>
  <c r="M153" i="10"/>
  <c r="M146" i="10"/>
  <c r="L133" i="10"/>
  <c r="K154" i="10"/>
  <c r="J153" i="10"/>
  <c r="T137" i="10"/>
  <c r="T144" i="10"/>
  <c r="T143" i="10"/>
  <c r="T140" i="10"/>
  <c r="T136" i="10"/>
  <c r="T93" i="10"/>
  <c r="L95" i="10"/>
  <c r="K95" i="10"/>
  <c r="J110" i="18"/>
  <c r="J85" i="10"/>
  <c r="J86" i="10" s="1"/>
  <c r="I85" i="10"/>
  <c r="I86" i="10" s="1"/>
  <c r="F226" i="18"/>
  <c r="F215" i="18"/>
  <c r="L85" i="18"/>
  <c r="L228" i="18" s="1"/>
  <c r="T82" i="10"/>
  <c r="K86" i="10"/>
  <c r="T81" i="10"/>
  <c r="T79" i="10"/>
  <c r="T103" i="10"/>
  <c r="J95" i="10"/>
  <c r="T92" i="10"/>
  <c r="T91" i="10"/>
  <c r="Q112" i="18"/>
  <c r="S10" i="18"/>
  <c r="T10" i="18" s="1"/>
  <c r="N110" i="18"/>
  <c r="H58" i="14"/>
  <c r="H52" i="14"/>
  <c r="J112" i="18"/>
  <c r="AH119" i="19"/>
  <c r="K35" i="19"/>
  <c r="V35" i="19"/>
  <c r="AH116" i="19"/>
  <c r="U35" i="19"/>
  <c r="T35" i="19"/>
  <c r="AH136" i="19"/>
  <c r="I90" i="18"/>
  <c r="H111" i="18" s="1"/>
  <c r="S9" i="18"/>
  <c r="T9" i="18" s="1"/>
  <c r="F33" i="18"/>
  <c r="G33" i="18" s="1"/>
  <c r="S8" i="18"/>
  <c r="T8" i="18" s="1"/>
  <c r="S16" i="18"/>
  <c r="T16" i="18" s="1"/>
  <c r="F34" i="18"/>
  <c r="U21" i="18" s="1"/>
  <c r="S7" i="18"/>
  <c r="T7" i="18" s="1"/>
  <c r="F32" i="18"/>
  <c r="S13" i="18"/>
  <c r="T13" i="18" s="1"/>
  <c r="S12" i="18"/>
  <c r="T12" i="18" s="1"/>
  <c r="S14" i="18"/>
  <c r="T14" i="18" s="1"/>
  <c r="H53" i="14"/>
  <c r="B53" i="14"/>
  <c r="B23" i="14" s="1"/>
  <c r="H23" i="14" s="1"/>
  <c r="B56" i="14"/>
  <c r="B26" i="14" s="1"/>
  <c r="H26" i="14" s="1"/>
  <c r="B55" i="14"/>
  <c r="B25" i="14" s="1"/>
  <c r="H25" i="14" s="1"/>
  <c r="H59" i="14"/>
  <c r="H51" i="14"/>
  <c r="B50" i="14"/>
  <c r="B20" i="14" s="1"/>
  <c r="H20" i="14" s="1"/>
  <c r="H57" i="14"/>
  <c r="B54" i="14"/>
  <c r="B24" i="14" s="1"/>
  <c r="H24" i="14" s="1"/>
  <c r="F89" i="18"/>
  <c r="F114" i="18" s="1"/>
  <c r="N89" i="18"/>
  <c r="N109" i="18" s="1"/>
  <c r="E89" i="18"/>
  <c r="E116" i="18" s="1"/>
  <c r="G89" i="18"/>
  <c r="G116" i="18" s="1"/>
  <c r="O89" i="18"/>
  <c r="O114" i="18" s="1"/>
  <c r="H89" i="18"/>
  <c r="H115" i="18" s="1"/>
  <c r="P89" i="18"/>
  <c r="P114" i="18" s="1"/>
  <c r="I89" i="18"/>
  <c r="I109" i="18" s="1"/>
  <c r="Q89" i="18"/>
  <c r="Q115" i="18" s="1"/>
  <c r="J89" i="18"/>
  <c r="J114" i="18" s="1"/>
  <c r="M89" i="18"/>
  <c r="M115" i="18" s="1"/>
  <c r="K89" i="18"/>
  <c r="K116" i="18" s="1"/>
  <c r="L89" i="18"/>
  <c r="X35" i="19"/>
  <c r="W35" i="19"/>
  <c r="AH130" i="19"/>
  <c r="AH99" i="19"/>
  <c r="AE35" i="19"/>
  <c r="O35" i="19"/>
  <c r="F35" i="19"/>
  <c r="AD154" i="19"/>
  <c r="S154" i="19"/>
  <c r="AD35" i="19"/>
  <c r="E35" i="19"/>
  <c r="AC154" i="19"/>
  <c r="R154" i="19"/>
  <c r="AC35" i="19"/>
  <c r="AB154" i="19"/>
  <c r="Q154" i="19"/>
  <c r="AB35" i="19"/>
  <c r="Z154" i="19"/>
  <c r="P154" i="19"/>
  <c r="AA35" i="19"/>
  <c r="Y154" i="19"/>
  <c r="N154" i="19"/>
  <c r="AH90" i="19"/>
  <c r="R35" i="19"/>
  <c r="W154" i="19"/>
  <c r="M154" i="19"/>
  <c r="AH124" i="19"/>
  <c r="F156" i="19"/>
  <c r="Q35" i="19"/>
  <c r="AD72" i="20"/>
  <c r="B12" i="14"/>
  <c r="H12" i="14" s="1"/>
  <c r="H112" i="18"/>
  <c r="E112" i="18"/>
  <c r="N105" i="19" s="1"/>
  <c r="F90" i="18"/>
  <c r="B85" i="19" s="1"/>
  <c r="V85" i="19" s="1"/>
  <c r="AG147" i="19"/>
  <c r="AH147" i="19" s="1"/>
  <c r="G70" i="18"/>
  <c r="I230" i="18"/>
  <c r="B114" i="19"/>
  <c r="AH114" i="19" s="1"/>
  <c r="O90" i="18"/>
  <c r="O111" i="18" s="1"/>
  <c r="F80" i="18"/>
  <c r="F70" i="18"/>
  <c r="AE88" i="19"/>
  <c r="G110" i="18"/>
  <c r="H90" i="18"/>
  <c r="G111" i="18" s="1"/>
  <c r="G88" i="18"/>
  <c r="E80" i="18"/>
  <c r="M70" i="19" s="1"/>
  <c r="N88" i="18"/>
  <c r="N108" i="18" s="1"/>
  <c r="J88" i="18"/>
  <c r="L90" i="18"/>
  <c r="K111" i="18" s="1"/>
  <c r="AC80" i="19"/>
  <c r="AB88" i="19"/>
  <c r="K110" i="18"/>
  <c r="J230" i="18"/>
  <c r="H70" i="18"/>
  <c r="M110" i="18"/>
  <c r="N90" i="18"/>
  <c r="N111" i="18" s="1"/>
  <c r="H93" i="19"/>
  <c r="AG148" i="19"/>
  <c r="AH148" i="19" s="1"/>
  <c r="M112" i="18"/>
  <c r="K230" i="18"/>
  <c r="AE80" i="19"/>
  <c r="K69" i="19"/>
  <c r="E141" i="18"/>
  <c r="H72" i="18"/>
  <c r="R72" i="18" s="1"/>
  <c r="T72" i="18" s="1"/>
  <c r="Q106" i="19"/>
  <c r="O71" i="19"/>
  <c r="N73" i="19"/>
  <c r="H68" i="18"/>
  <c r="T80" i="19"/>
  <c r="G19" i="20"/>
  <c r="F68" i="18"/>
  <c r="F31" i="18"/>
  <c r="C22" i="18"/>
  <c r="O103" i="19"/>
  <c r="B67" i="19"/>
  <c r="Y100" i="19"/>
  <c r="AD80" i="19"/>
  <c r="N65" i="19"/>
  <c r="M88" i="18"/>
  <c r="M108" i="18" s="1"/>
  <c r="G150" i="19"/>
  <c r="M100" i="19"/>
  <c r="K133" i="19"/>
  <c r="K134" i="19" s="1"/>
  <c r="AA80" i="19"/>
  <c r="R25" i="18"/>
  <c r="R95" i="19"/>
  <c r="K88" i="18"/>
  <c r="G137" i="19"/>
  <c r="H137" i="19" s="1"/>
  <c r="I137" i="19" s="1"/>
  <c r="J137" i="19" s="1"/>
  <c r="K137" i="19" s="1"/>
  <c r="L137" i="19" s="1"/>
  <c r="M137" i="19" s="1"/>
  <c r="N137" i="19" s="1"/>
  <c r="O137" i="19" s="1"/>
  <c r="P137" i="19" s="1"/>
  <c r="Q137" i="19" s="1"/>
  <c r="R137" i="19" s="1"/>
  <c r="S137" i="19" s="1"/>
  <c r="T137" i="19" s="1"/>
  <c r="U137" i="19" s="1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V115" i="19"/>
  <c r="V117" i="19" s="1"/>
  <c r="Y94" i="19"/>
  <c r="F79" i="18"/>
  <c r="H69" i="18"/>
  <c r="B137" i="19"/>
  <c r="J115" i="19"/>
  <c r="J117" i="19" s="1"/>
  <c r="M94" i="19"/>
  <c r="E79" i="18"/>
  <c r="P68" i="19" s="1"/>
  <c r="G69" i="18"/>
  <c r="G31" i="18"/>
  <c r="R22" i="18"/>
  <c r="T93" i="19"/>
  <c r="Q77" i="19"/>
  <c r="Q79" i="19" s="1"/>
  <c r="K54" i="19"/>
  <c r="Y54" i="19"/>
  <c r="X54" i="19"/>
  <c r="J54" i="19"/>
  <c r="L54" i="19"/>
  <c r="M54" i="19"/>
  <c r="V54" i="19"/>
  <c r="W54" i="19"/>
  <c r="R73" i="18"/>
  <c r="T73" i="18" s="1"/>
  <c r="K57" i="19"/>
  <c r="L57" i="19"/>
  <c r="M57" i="19"/>
  <c r="B57" i="19"/>
  <c r="J57" i="19"/>
  <c r="N59" i="19"/>
  <c r="O59" i="19"/>
  <c r="P59" i="19"/>
  <c r="B59" i="19"/>
  <c r="K59" i="19"/>
  <c r="L59" i="19"/>
  <c r="M59" i="19"/>
  <c r="J52" i="19"/>
  <c r="K52" i="19"/>
  <c r="L52" i="19"/>
  <c r="M52" i="19"/>
  <c r="V52" i="19"/>
  <c r="W52" i="19"/>
  <c r="X52" i="19"/>
  <c r="Y52" i="19"/>
  <c r="B42" i="19"/>
  <c r="H55" i="19"/>
  <c r="H78" i="19" s="1"/>
  <c r="I55" i="19"/>
  <c r="K55" i="19"/>
  <c r="L55" i="19"/>
  <c r="N55" i="19"/>
  <c r="O55" i="19"/>
  <c r="B51" i="19"/>
  <c r="J51" i="19" s="1"/>
  <c r="P75" i="19"/>
  <c r="O75" i="19"/>
  <c r="B75" i="19"/>
  <c r="M75" i="19"/>
  <c r="N75" i="19"/>
  <c r="G90" i="18"/>
  <c r="F111" i="18" s="1"/>
  <c r="F110" i="18"/>
  <c r="E88" i="18"/>
  <c r="F88" i="18"/>
  <c r="F112" i="18"/>
  <c r="C30" i="18"/>
  <c r="AH140" i="19"/>
  <c r="J133" i="19"/>
  <c r="J134" i="19" s="1"/>
  <c r="U115" i="19"/>
  <c r="U117" i="19" s="1"/>
  <c r="I115" i="19"/>
  <c r="I117" i="19" s="1"/>
  <c r="P106" i="19"/>
  <c r="N103" i="19"/>
  <c r="X100" i="19"/>
  <c r="L100" i="19"/>
  <c r="Q95" i="19"/>
  <c r="X94" i="19"/>
  <c r="L94" i="19"/>
  <c r="S93" i="19"/>
  <c r="B93" i="19"/>
  <c r="P77" i="19"/>
  <c r="M73" i="19"/>
  <c r="N71" i="19"/>
  <c r="M65" i="19"/>
  <c r="R122" i="18"/>
  <c r="I133" i="19"/>
  <c r="I134" i="19" s="1"/>
  <c r="T115" i="19"/>
  <c r="T117" i="19" s="1"/>
  <c r="H115" i="19"/>
  <c r="H117" i="19" s="1"/>
  <c r="O106" i="19"/>
  <c r="Y103" i="19"/>
  <c r="M103" i="19"/>
  <c r="W100" i="19"/>
  <c r="K100" i="19"/>
  <c r="P95" i="19"/>
  <c r="W94" i="19"/>
  <c r="K94" i="19"/>
  <c r="R93" i="19"/>
  <c r="O77" i="19"/>
  <c r="B73" i="19"/>
  <c r="M71" i="19"/>
  <c r="L65" i="19"/>
  <c r="H31" i="18"/>
  <c r="H133" i="19"/>
  <c r="H134" i="19" s="1"/>
  <c r="L134" i="19"/>
  <c r="S115" i="19"/>
  <c r="S117" i="19" s="1"/>
  <c r="B115" i="19"/>
  <c r="N106" i="19"/>
  <c r="X103" i="19"/>
  <c r="L103" i="19"/>
  <c r="V100" i="19"/>
  <c r="J100" i="19"/>
  <c r="O95" i="19"/>
  <c r="V94" i="19"/>
  <c r="J94" i="19"/>
  <c r="Q93" i="19"/>
  <c r="AC88" i="19"/>
  <c r="P72" i="19"/>
  <c r="L71" i="19"/>
  <c r="K65" i="19"/>
  <c r="AH20" i="19"/>
  <c r="L31" i="18"/>
  <c r="S133" i="19"/>
  <c r="S134" i="19" s="1"/>
  <c r="B133" i="19"/>
  <c r="R115" i="19"/>
  <c r="R117" i="19" s="1"/>
  <c r="Y106" i="19"/>
  <c r="M106" i="19"/>
  <c r="W103" i="19"/>
  <c r="K103" i="19"/>
  <c r="U100" i="19"/>
  <c r="I100" i="19"/>
  <c r="N95" i="19"/>
  <c r="U94" i="19"/>
  <c r="P93" i="19"/>
  <c r="P74" i="19"/>
  <c r="O72" i="19"/>
  <c r="K71" i="19"/>
  <c r="X46" i="19"/>
  <c r="R113" i="18"/>
  <c r="V113" i="18" s="1"/>
  <c r="R101" i="18"/>
  <c r="T101" i="18" s="1"/>
  <c r="T11" i="18"/>
  <c r="R133" i="19"/>
  <c r="R134" i="19" s="1"/>
  <c r="H127" i="19"/>
  <c r="AG127" i="19" s="1"/>
  <c r="Q115" i="19"/>
  <c r="Q117" i="19" s="1"/>
  <c r="X106" i="19"/>
  <c r="L106" i="19"/>
  <c r="V103" i="19"/>
  <c r="J103" i="19"/>
  <c r="T100" i="19"/>
  <c r="H100" i="19"/>
  <c r="Y95" i="19"/>
  <c r="M95" i="19"/>
  <c r="T94" i="19"/>
  <c r="H94" i="19"/>
  <c r="O93" i="19"/>
  <c r="AA88" i="19"/>
  <c r="O74" i="19"/>
  <c r="N72" i="19"/>
  <c r="B71" i="19"/>
  <c r="P61" i="19"/>
  <c r="W46" i="19"/>
  <c r="G71" i="18"/>
  <c r="R71" i="18" s="1"/>
  <c r="T71" i="18" s="1"/>
  <c r="T15" i="18"/>
  <c r="Q133" i="19"/>
  <c r="Q134" i="19" s="1"/>
  <c r="AG131" i="19"/>
  <c r="AH131" i="19" s="1"/>
  <c r="B127" i="19"/>
  <c r="P115" i="19"/>
  <c r="P117" i="19" s="1"/>
  <c r="W106" i="19"/>
  <c r="K106" i="19"/>
  <c r="U103" i="19"/>
  <c r="I103" i="19"/>
  <c r="S100" i="19"/>
  <c r="B100" i="19"/>
  <c r="X95" i="19"/>
  <c r="L95" i="19"/>
  <c r="S94" i="19"/>
  <c r="B94" i="19"/>
  <c r="N93" i="19"/>
  <c r="P76" i="19"/>
  <c r="N74" i="19"/>
  <c r="M72" i="19"/>
  <c r="P67" i="19"/>
  <c r="O61" i="19"/>
  <c r="K58" i="19"/>
  <c r="V46" i="19"/>
  <c r="R102" i="18"/>
  <c r="C97" i="18"/>
  <c r="E97" i="18" s="1"/>
  <c r="R27" i="18"/>
  <c r="P133" i="19"/>
  <c r="P134" i="19" s="1"/>
  <c r="H125" i="19"/>
  <c r="AG125" i="19" s="1"/>
  <c r="AH125" i="19" s="1"/>
  <c r="O115" i="19"/>
  <c r="O117" i="19" s="1"/>
  <c r="V106" i="19"/>
  <c r="J106" i="19"/>
  <c r="T103" i="19"/>
  <c r="H103" i="19"/>
  <c r="R100" i="19"/>
  <c r="W95" i="19"/>
  <c r="K95" i="19"/>
  <c r="R94" i="19"/>
  <c r="Y93" i="19"/>
  <c r="M93" i="19"/>
  <c r="U80" i="19"/>
  <c r="O76" i="19"/>
  <c r="M74" i="19"/>
  <c r="L72" i="19"/>
  <c r="O67" i="19"/>
  <c r="N61" i="19"/>
  <c r="J58" i="19"/>
  <c r="Y53" i="19"/>
  <c r="U46" i="19"/>
  <c r="F78" i="18"/>
  <c r="R78" i="18" s="1"/>
  <c r="T78" i="18" s="1"/>
  <c r="R26" i="18"/>
  <c r="H146" i="19"/>
  <c r="AG146" i="19" s="1"/>
  <c r="AH146" i="19" s="1"/>
  <c r="O133" i="19"/>
  <c r="O134" i="19" s="1"/>
  <c r="N115" i="19"/>
  <c r="N117" i="19" s="1"/>
  <c r="U106" i="19"/>
  <c r="I106" i="19"/>
  <c r="S103" i="19"/>
  <c r="B103" i="19"/>
  <c r="Q100" i="19"/>
  <c r="V95" i="19"/>
  <c r="J95" i="19"/>
  <c r="Q94" i="19"/>
  <c r="X93" i="19"/>
  <c r="L93" i="19"/>
  <c r="N76" i="19"/>
  <c r="K72" i="19"/>
  <c r="N67" i="19"/>
  <c r="M61" i="19"/>
  <c r="B58" i="19"/>
  <c r="X53" i="19"/>
  <c r="L46" i="19"/>
  <c r="G41" i="19"/>
  <c r="AG41" i="19" s="1"/>
  <c r="R82" i="18"/>
  <c r="T82" i="18" s="1"/>
  <c r="N31" i="18"/>
  <c r="N133" i="19"/>
  <c r="N134" i="19" s="1"/>
  <c r="Y115" i="19"/>
  <c r="Y117" i="19" s="1"/>
  <c r="M115" i="19"/>
  <c r="M117" i="19" s="1"/>
  <c r="T106" i="19"/>
  <c r="H106" i="19"/>
  <c r="R103" i="19"/>
  <c r="P100" i="19"/>
  <c r="U95" i="19"/>
  <c r="I95" i="19"/>
  <c r="P94" i="19"/>
  <c r="W93" i="19"/>
  <c r="K93" i="19"/>
  <c r="AD88" i="19"/>
  <c r="S80" i="19"/>
  <c r="M76" i="19"/>
  <c r="M67" i="19"/>
  <c r="L61" i="19"/>
  <c r="W53" i="19"/>
  <c r="K46" i="19"/>
  <c r="R28" i="18"/>
  <c r="M133" i="19"/>
  <c r="M134" i="19" s="1"/>
  <c r="X115" i="19"/>
  <c r="X117" i="19" s="1"/>
  <c r="L115" i="19"/>
  <c r="L117" i="19" s="1"/>
  <c r="S106" i="19"/>
  <c r="B106" i="19"/>
  <c r="Q103" i="19"/>
  <c r="O100" i="19"/>
  <c r="T95" i="19"/>
  <c r="H95" i="19"/>
  <c r="O94" i="19"/>
  <c r="V93" i="19"/>
  <c r="J93" i="19"/>
  <c r="E156" i="19"/>
  <c r="P73" i="19"/>
  <c r="L67" i="19"/>
  <c r="P65" i="19"/>
  <c r="K61" i="19"/>
  <c r="J46" i="19"/>
  <c r="J47" i="19" s="1"/>
  <c r="E65" i="18"/>
  <c r="E227" i="18" s="1"/>
  <c r="I50" i="14" s="1"/>
  <c r="Q31" i="18"/>
  <c r="C21" i="18"/>
  <c r="W115" i="19"/>
  <c r="W117" i="19" s="1"/>
  <c r="S95" i="19"/>
  <c r="N94" i="19"/>
  <c r="U93" i="19"/>
  <c r="I93" i="19"/>
  <c r="R77" i="19"/>
  <c r="R79" i="19" s="1"/>
  <c r="O65" i="19"/>
  <c r="I110" i="18"/>
  <c r="R29" i="18"/>
  <c r="I88" i="18"/>
  <c r="H88" i="18"/>
  <c r="I112" i="18"/>
  <c r="H65" i="20"/>
  <c r="H66" i="20"/>
  <c r="G64" i="20"/>
  <c r="U72" i="20"/>
  <c r="F61" i="20"/>
  <c r="AH39" i="19"/>
  <c r="AH138" i="19"/>
  <c r="S45" i="19"/>
  <c r="AH113" i="19"/>
  <c r="R45" i="19"/>
  <c r="O56" i="19"/>
  <c r="T46" i="19"/>
  <c r="Q45" i="19"/>
  <c r="AA154" i="19"/>
  <c r="O154" i="19"/>
  <c r="N56" i="19"/>
  <c r="M55" i="19"/>
  <c r="M53" i="19"/>
  <c r="S46" i="19"/>
  <c r="P45" i="19"/>
  <c r="G40" i="19"/>
  <c r="AG40" i="19" s="1"/>
  <c r="AH40" i="19" s="1"/>
  <c r="M56" i="19"/>
  <c r="L53" i="19"/>
  <c r="B47" i="19"/>
  <c r="R46" i="19"/>
  <c r="AA45" i="19"/>
  <c r="O45" i="19"/>
  <c r="D88" i="19"/>
  <c r="D156" i="19" s="1"/>
  <c r="L56" i="19"/>
  <c r="K53" i="19"/>
  <c r="Q46" i="19"/>
  <c r="Z45" i="19"/>
  <c r="N45" i="19"/>
  <c r="X154" i="19"/>
  <c r="L154" i="19"/>
  <c r="K56" i="19"/>
  <c r="J55" i="19"/>
  <c r="J53" i="19"/>
  <c r="P46" i="19"/>
  <c r="Y45" i="19"/>
  <c r="M45" i="19"/>
  <c r="M47" i="19" s="1"/>
  <c r="J56" i="19"/>
  <c r="AA46" i="19"/>
  <c r="O46" i="19"/>
  <c r="X45" i="19"/>
  <c r="L45" i="19"/>
  <c r="V154" i="19"/>
  <c r="I56" i="19"/>
  <c r="Z46" i="19"/>
  <c r="N46" i="19"/>
  <c r="W45" i="19"/>
  <c r="K45" i="19"/>
  <c r="U45" i="19"/>
  <c r="T45" i="19"/>
  <c r="Y46" i="19"/>
  <c r="V45" i="19"/>
  <c r="P110" i="18"/>
  <c r="Q88" i="18"/>
  <c r="P112" i="18"/>
  <c r="Q90" i="18"/>
  <c r="Q111" i="18" s="1"/>
  <c r="K228" i="18"/>
  <c r="N193" i="18"/>
  <c r="N195" i="18" s="1"/>
  <c r="O193" i="18"/>
  <c r="O195" i="18" s="1"/>
  <c r="P193" i="18"/>
  <c r="P195" i="18" s="1"/>
  <c r="Q193" i="18"/>
  <c r="Q195" i="18" s="1"/>
  <c r="O110" i="18"/>
  <c r="O88" i="18"/>
  <c r="P88" i="18"/>
  <c r="O112" i="18"/>
  <c r="P90" i="18"/>
  <c r="P111" i="18" s="1"/>
  <c r="E77" i="18"/>
  <c r="F77" i="18"/>
  <c r="G77" i="18"/>
  <c r="K31" i="18"/>
  <c r="R23" i="18"/>
  <c r="M65" i="18"/>
  <c r="M227" i="18" s="1"/>
  <c r="R64" i="18"/>
  <c r="M31" i="18"/>
  <c r="O31" i="18"/>
  <c r="T74" i="18"/>
  <c r="R21" i="18"/>
  <c r="E76" i="18"/>
  <c r="F76" i="18"/>
  <c r="G76" i="18"/>
  <c r="R140" i="18"/>
  <c r="AA140" i="18" s="1"/>
  <c r="V17" i="18"/>
  <c r="Q55" i="18"/>
  <c r="D18" i="18"/>
  <c r="C24" i="18"/>
  <c r="F81" i="18"/>
  <c r="G81" i="18"/>
  <c r="N128" i="18"/>
  <c r="N129" i="18" s="1"/>
  <c r="N233" i="18" s="1"/>
  <c r="J31" i="18"/>
  <c r="R30" i="18"/>
  <c r="I31" i="18"/>
  <c r="R24" i="18"/>
  <c r="R107" i="18"/>
  <c r="E75" i="18"/>
  <c r="C99" i="18"/>
  <c r="F75" i="18"/>
  <c r="G75" i="18"/>
  <c r="P31" i="18"/>
  <c r="C27" i="18"/>
  <c r="R17" i="18"/>
  <c r="R63" i="18"/>
  <c r="H80" i="18"/>
  <c r="G32" i="18" l="1"/>
  <c r="V26" i="18" s="1"/>
  <c r="V27" i="18" s="1"/>
  <c r="V28" i="18" s="1"/>
  <c r="V29" i="18" s="1"/>
  <c r="U25" i="18"/>
  <c r="U22" i="18"/>
  <c r="U23" i="18" s="1"/>
  <c r="U24" i="18" s="1"/>
  <c r="U30" i="18" s="1"/>
  <c r="E37" i="14"/>
  <c r="D37" i="14"/>
  <c r="H33" i="18"/>
  <c r="I33" i="18" s="1"/>
  <c r="B134" i="19"/>
  <c r="H20" i="23"/>
  <c r="H20" i="15"/>
  <c r="H20" i="20"/>
  <c r="F44" i="23"/>
  <c r="F43" i="20"/>
  <c r="G226" i="18"/>
  <c r="H63" i="15"/>
  <c r="H4" i="18"/>
  <c r="I19" i="23" s="1"/>
  <c r="H19" i="20"/>
  <c r="G64" i="15"/>
  <c r="H5" i="18"/>
  <c r="O129" i="10"/>
  <c r="M129" i="10"/>
  <c r="M152" i="10" s="1"/>
  <c r="P129" i="10"/>
  <c r="N129" i="10"/>
  <c r="N152" i="10" s="1"/>
  <c r="V25" i="18"/>
  <c r="L154" i="10"/>
  <c r="U26" i="18"/>
  <c r="U27" i="18" s="1"/>
  <c r="U28" i="18" s="1"/>
  <c r="U29" i="18" s="1"/>
  <c r="L153" i="10"/>
  <c r="M154" i="10"/>
  <c r="K96" i="10"/>
  <c r="L96" i="10"/>
  <c r="H91" i="18"/>
  <c r="K91" i="18"/>
  <c r="U105" i="19"/>
  <c r="E91" i="18"/>
  <c r="I91" i="18"/>
  <c r="L91" i="18"/>
  <c r="J91" i="18"/>
  <c r="G91" i="18"/>
  <c r="F91" i="18"/>
  <c r="H108" i="18"/>
  <c r="I108" i="18"/>
  <c r="G108" i="18"/>
  <c r="E111" i="18"/>
  <c r="R111" i="18" s="1"/>
  <c r="T111" i="18" s="1"/>
  <c r="N70" i="19"/>
  <c r="T86" i="10"/>
  <c r="U86" i="10" s="1"/>
  <c r="R69" i="18"/>
  <c r="T69" i="18" s="1"/>
  <c r="L68" i="19"/>
  <c r="T85" i="10"/>
  <c r="T95" i="10"/>
  <c r="H96" i="10"/>
  <c r="X84" i="19"/>
  <c r="X87" i="19" s="1"/>
  <c r="K84" i="19"/>
  <c r="E114" i="18"/>
  <c r="V107" i="19" s="1"/>
  <c r="I84" i="19"/>
  <c r="I86" i="19" s="1"/>
  <c r="J93" i="18"/>
  <c r="M109" i="18"/>
  <c r="B105" i="19"/>
  <c r="Q105" i="19"/>
  <c r="T105" i="19"/>
  <c r="O105" i="19"/>
  <c r="J108" i="18"/>
  <c r="I116" i="18"/>
  <c r="E124" i="18"/>
  <c r="E232" i="18" s="1"/>
  <c r="P105" i="19"/>
  <c r="Y105" i="19"/>
  <c r="V105" i="19"/>
  <c r="B117" i="19"/>
  <c r="X105" i="19"/>
  <c r="E115" i="18"/>
  <c r="H108" i="19" s="1"/>
  <c r="O84" i="19"/>
  <c r="O86" i="19" s="1"/>
  <c r="P116" i="18"/>
  <c r="T38" i="18" a="1"/>
  <c r="T38" i="18" s="1"/>
  <c r="D7" i="20" s="1"/>
  <c r="D7" i="23" s="1"/>
  <c r="Q116" i="18"/>
  <c r="G34" i="18"/>
  <c r="H34" i="18" s="1"/>
  <c r="N114" i="18"/>
  <c r="Q109" i="18"/>
  <c r="F109" i="18"/>
  <c r="F115" i="18"/>
  <c r="Q114" i="18"/>
  <c r="N116" i="18"/>
  <c r="J115" i="18"/>
  <c r="J116" i="18"/>
  <c r="N115" i="18"/>
  <c r="J109" i="18"/>
  <c r="F116" i="18"/>
  <c r="K68" i="19"/>
  <c r="O109" i="18"/>
  <c r="B68" i="19"/>
  <c r="H105" i="19"/>
  <c r="M105" i="19"/>
  <c r="K105" i="19"/>
  <c r="P109" i="18"/>
  <c r="M68" i="19"/>
  <c r="R105" i="19"/>
  <c r="S105" i="19"/>
  <c r="I105" i="19"/>
  <c r="J105" i="19"/>
  <c r="W105" i="19"/>
  <c r="L105" i="19"/>
  <c r="P115" i="18"/>
  <c r="O115" i="18"/>
  <c r="O116" i="18"/>
  <c r="G115" i="18"/>
  <c r="K93" i="18"/>
  <c r="G114" i="18"/>
  <c r="H114" i="18"/>
  <c r="I115" i="18"/>
  <c r="E92" i="18"/>
  <c r="B86" i="19" s="1"/>
  <c r="V84" i="19"/>
  <c r="V87" i="19" s="1"/>
  <c r="S84" i="19"/>
  <c r="S87" i="19" s="1"/>
  <c r="M116" i="18"/>
  <c r="N84" i="19"/>
  <c r="N86" i="19" s="1"/>
  <c r="J84" i="19"/>
  <c r="R84" i="19"/>
  <c r="R87" i="19" s="1"/>
  <c r="G109" i="18"/>
  <c r="Y84" i="19"/>
  <c r="Y86" i="19" s="1"/>
  <c r="E109" i="18"/>
  <c r="X102" i="19" s="1"/>
  <c r="Z84" i="19"/>
  <c r="Z86" i="19" s="1"/>
  <c r="K115" i="18"/>
  <c r="K114" i="18"/>
  <c r="M84" i="19"/>
  <c r="M86" i="19" s="1"/>
  <c r="U84" i="19"/>
  <c r="U86" i="19" s="1"/>
  <c r="Q84" i="19"/>
  <c r="Q86" i="19" s="1"/>
  <c r="I114" i="18"/>
  <c r="L84" i="19"/>
  <c r="T84" i="19"/>
  <c r="T87" i="19" s="1"/>
  <c r="P84" i="19"/>
  <c r="P86" i="19" s="1"/>
  <c r="K109" i="18"/>
  <c r="W84" i="19"/>
  <c r="W87" i="19" s="1"/>
  <c r="B84" i="19"/>
  <c r="M114" i="18"/>
  <c r="R89" i="18"/>
  <c r="T89" i="18" s="1"/>
  <c r="C133" i="18" s="1"/>
  <c r="H109" i="18"/>
  <c r="H116" i="18"/>
  <c r="AG154" i="19"/>
  <c r="Q78" i="19"/>
  <c r="Q80" i="19" s="1"/>
  <c r="R80" i="18"/>
  <c r="T80" i="18" s="1"/>
  <c r="K70" i="19"/>
  <c r="R79" i="18"/>
  <c r="T79" i="18" s="1"/>
  <c r="O70" i="19"/>
  <c r="Y85" i="19"/>
  <c r="X85" i="19"/>
  <c r="P70" i="19"/>
  <c r="B70" i="19"/>
  <c r="W85" i="19"/>
  <c r="K51" i="19"/>
  <c r="R70" i="18"/>
  <c r="T70" i="18" s="1"/>
  <c r="K108" i="18"/>
  <c r="O69" i="19"/>
  <c r="R68" i="18"/>
  <c r="T68" i="18" s="1"/>
  <c r="V47" i="19"/>
  <c r="M93" i="18"/>
  <c r="M94" i="18" s="1"/>
  <c r="M229" i="18" s="1"/>
  <c r="L70" i="19"/>
  <c r="B69" i="19"/>
  <c r="X113" i="18"/>
  <c r="T113" i="18"/>
  <c r="U47" i="19"/>
  <c r="Z47" i="19"/>
  <c r="P69" i="19"/>
  <c r="N69" i="19"/>
  <c r="L93" i="18"/>
  <c r="M69" i="19"/>
  <c r="I93" i="18"/>
  <c r="L69" i="19"/>
  <c r="L47" i="19"/>
  <c r="AG42" i="19"/>
  <c r="AH42" i="19" s="1"/>
  <c r="R78" i="19"/>
  <c r="R80" i="19" s="1"/>
  <c r="AG67" i="19"/>
  <c r="AH67" i="19" s="1"/>
  <c r="N93" i="18"/>
  <c r="N94" i="18" s="1"/>
  <c r="N229" i="18" s="1"/>
  <c r="E235" i="18"/>
  <c r="AA47" i="19"/>
  <c r="V18" i="18"/>
  <c r="X17" i="18"/>
  <c r="G93" i="18"/>
  <c r="T17" i="18"/>
  <c r="D6" i="20" s="1"/>
  <c r="D6" i="23" s="1"/>
  <c r="J84" i="18"/>
  <c r="R112" i="18"/>
  <c r="V112" i="18" s="1"/>
  <c r="AG93" i="19"/>
  <c r="AH93" i="19" s="1"/>
  <c r="F84" i="18"/>
  <c r="Y47" i="19"/>
  <c r="R81" i="18"/>
  <c r="T81" i="18" s="1"/>
  <c r="AG94" i="19"/>
  <c r="AH94" i="19" s="1"/>
  <c r="O68" i="19"/>
  <c r="N68" i="19"/>
  <c r="AG71" i="19"/>
  <c r="AH71" i="19" s="1"/>
  <c r="AH41" i="19"/>
  <c r="K91" i="19"/>
  <c r="W91" i="19"/>
  <c r="L91" i="19"/>
  <c r="X91" i="19"/>
  <c r="M91" i="19"/>
  <c r="Y91" i="19"/>
  <c r="V91" i="19"/>
  <c r="N91" i="19"/>
  <c r="O91" i="19"/>
  <c r="P91" i="19"/>
  <c r="Q91" i="19"/>
  <c r="J91" i="19"/>
  <c r="R91" i="19"/>
  <c r="B91" i="19"/>
  <c r="S91" i="19"/>
  <c r="H91" i="19"/>
  <c r="T91" i="19"/>
  <c r="I91" i="19"/>
  <c r="U91" i="19"/>
  <c r="O47" i="19"/>
  <c r="AG65" i="19"/>
  <c r="AH65" i="19" s="1"/>
  <c r="AG103" i="19"/>
  <c r="AH103" i="19" s="1"/>
  <c r="AG59" i="19"/>
  <c r="AH59" i="19" s="1"/>
  <c r="AG57" i="19"/>
  <c r="AH57" i="19" s="1"/>
  <c r="AG115" i="19"/>
  <c r="AH115" i="19" s="1"/>
  <c r="R76" i="18"/>
  <c r="T76" i="18" s="1"/>
  <c r="O62" i="19"/>
  <c r="P62" i="19"/>
  <c r="N62" i="19"/>
  <c r="B62" i="19"/>
  <c r="K62" i="19"/>
  <c r="L62" i="19"/>
  <c r="M62" i="19"/>
  <c r="R110" i="18"/>
  <c r="T110" i="18" s="1"/>
  <c r="AG133" i="19"/>
  <c r="AH133" i="19" s="1"/>
  <c r="AG74" i="19"/>
  <c r="AH74" i="19" s="1"/>
  <c r="AH127" i="19"/>
  <c r="AG100" i="19"/>
  <c r="B60" i="19"/>
  <c r="K60" i="19"/>
  <c r="L60" i="19"/>
  <c r="M60" i="19"/>
  <c r="N60" i="19"/>
  <c r="O60" i="19"/>
  <c r="P60" i="19"/>
  <c r="B63" i="19"/>
  <c r="K63" i="19"/>
  <c r="L63" i="19"/>
  <c r="M63" i="19"/>
  <c r="N63" i="19"/>
  <c r="O63" i="19"/>
  <c r="P63" i="19"/>
  <c r="X47" i="19"/>
  <c r="AG55" i="19"/>
  <c r="AH55" i="19" s="1"/>
  <c r="H79" i="19"/>
  <c r="H80" i="19" s="1"/>
  <c r="AG76" i="19"/>
  <c r="AH76" i="19" s="1"/>
  <c r="F108" i="18"/>
  <c r="F93" i="18"/>
  <c r="Y51" i="19"/>
  <c r="V51" i="19"/>
  <c r="W51" i="19"/>
  <c r="X51" i="19"/>
  <c r="M51" i="19"/>
  <c r="L51" i="19"/>
  <c r="B64" i="19"/>
  <c r="K64" i="19"/>
  <c r="L64" i="19"/>
  <c r="M64" i="19"/>
  <c r="N64" i="19"/>
  <c r="O64" i="19"/>
  <c r="P64" i="19"/>
  <c r="AG106" i="19"/>
  <c r="AH106" i="19" s="1"/>
  <c r="B83" i="19"/>
  <c r="E108" i="18"/>
  <c r="J83" i="19"/>
  <c r="K83" i="19"/>
  <c r="L83" i="19"/>
  <c r="E93" i="18"/>
  <c r="B87" i="19" s="1"/>
  <c r="AG77" i="19"/>
  <c r="AH77" i="19" s="1"/>
  <c r="B66" i="19"/>
  <c r="K66" i="19"/>
  <c r="L66" i="19"/>
  <c r="M66" i="19"/>
  <c r="N66" i="19"/>
  <c r="O66" i="19"/>
  <c r="P66" i="19"/>
  <c r="K47" i="19"/>
  <c r="AG73" i="19"/>
  <c r="AH73" i="19" s="1"/>
  <c r="AG52" i="19"/>
  <c r="AH52" i="19" s="1"/>
  <c r="R90" i="18"/>
  <c r="T90" i="18" s="1"/>
  <c r="C31" i="18"/>
  <c r="F127" i="18" s="1"/>
  <c r="R65" i="18"/>
  <c r="R227" i="18" s="1"/>
  <c r="H93" i="18"/>
  <c r="W47" i="19"/>
  <c r="AG72" i="19"/>
  <c r="AH72" i="19" s="1"/>
  <c r="AG95" i="19"/>
  <c r="AH95" i="19" s="1"/>
  <c r="F97" i="18"/>
  <c r="R97" i="18" s="1"/>
  <c r="T97" i="18" s="1"/>
  <c r="AG46" i="19"/>
  <c r="AH46" i="19" s="1"/>
  <c r="AG75" i="19"/>
  <c r="AH75" i="19" s="1"/>
  <c r="E83" i="18"/>
  <c r="B78" i="19" s="1"/>
  <c r="AG61" i="19"/>
  <c r="AH61" i="19" s="1"/>
  <c r="AG58" i="19"/>
  <c r="AH58" i="19" s="1"/>
  <c r="I109" i="19"/>
  <c r="U109" i="19"/>
  <c r="J109" i="19"/>
  <c r="V109" i="19"/>
  <c r="K109" i="19"/>
  <c r="W109" i="19"/>
  <c r="L109" i="19"/>
  <c r="X109" i="19"/>
  <c r="M109" i="19"/>
  <c r="Y109" i="19"/>
  <c r="N109" i="19"/>
  <c r="O109" i="19"/>
  <c r="P109" i="19"/>
  <c r="Q109" i="19"/>
  <c r="R109" i="19"/>
  <c r="B109" i="19"/>
  <c r="S109" i="19"/>
  <c r="H109" i="19"/>
  <c r="T109" i="19"/>
  <c r="AG54" i="19"/>
  <c r="AH54" i="19" s="1"/>
  <c r="G65" i="20"/>
  <c r="G66" i="20"/>
  <c r="F62" i="20"/>
  <c r="F64" i="20" s="1"/>
  <c r="I78" i="19"/>
  <c r="I79" i="19"/>
  <c r="Q47" i="19"/>
  <c r="J78" i="19"/>
  <c r="J79" i="19"/>
  <c r="S47" i="19"/>
  <c r="AG53" i="19"/>
  <c r="AH53" i="19" s="1"/>
  <c r="T47" i="19"/>
  <c r="G42" i="19"/>
  <c r="G156" i="19" s="1"/>
  <c r="P47" i="19"/>
  <c r="R47" i="19"/>
  <c r="N47" i="19"/>
  <c r="AG56" i="19"/>
  <c r="AH56" i="19" s="1"/>
  <c r="AG45" i="19"/>
  <c r="E99" i="18"/>
  <c r="F99" i="18"/>
  <c r="G99" i="18"/>
  <c r="H99" i="18"/>
  <c r="R77" i="18"/>
  <c r="T77" i="18" s="1"/>
  <c r="R31" i="18"/>
  <c r="AA31" i="18" s="1"/>
  <c r="T107" i="18"/>
  <c r="V107" i="18"/>
  <c r="E84" i="18"/>
  <c r="R75" i="18"/>
  <c r="T75" i="18" s="1"/>
  <c r="H84" i="18"/>
  <c r="Q108" i="18"/>
  <c r="Q93" i="18"/>
  <c r="Q94" i="18" s="1"/>
  <c r="Q229" i="18" s="1"/>
  <c r="P108" i="18"/>
  <c r="P93" i="18"/>
  <c r="P94" i="18" s="1"/>
  <c r="P229" i="18" s="1"/>
  <c r="R88" i="18"/>
  <c r="T88" i="18" s="1"/>
  <c r="I84" i="18"/>
  <c r="I85" i="18" s="1"/>
  <c r="G84" i="18"/>
  <c r="O108" i="18"/>
  <c r="O93" i="18"/>
  <c r="G23" i="8"/>
  <c r="F26" i="8"/>
  <c r="G26" i="8"/>
  <c r="H26" i="8"/>
  <c r="C224" i="8"/>
  <c r="C225" i="8"/>
  <c r="E203" i="8"/>
  <c r="C202" i="8"/>
  <c r="C201" i="8"/>
  <c r="E184" i="8"/>
  <c r="G150" i="8"/>
  <c r="H150" i="8"/>
  <c r="I150" i="8"/>
  <c r="J150" i="8"/>
  <c r="K150" i="8"/>
  <c r="L150" i="8"/>
  <c r="M150" i="8"/>
  <c r="N150" i="8"/>
  <c r="O150" i="8"/>
  <c r="P150" i="8"/>
  <c r="Q150" i="8"/>
  <c r="F150" i="8"/>
  <c r="Q168" i="8"/>
  <c r="F163" i="8"/>
  <c r="G163" i="8"/>
  <c r="H163" i="8"/>
  <c r="K163" i="8"/>
  <c r="L163" i="8"/>
  <c r="M163" i="8"/>
  <c r="N163" i="8"/>
  <c r="O163" i="8"/>
  <c r="P163" i="8"/>
  <c r="I161" i="8"/>
  <c r="F100" i="8"/>
  <c r="G100" i="8"/>
  <c r="I100" i="8"/>
  <c r="J100" i="8"/>
  <c r="K100" i="8"/>
  <c r="L100" i="8"/>
  <c r="M100" i="8"/>
  <c r="N100" i="8"/>
  <c r="O100" i="8"/>
  <c r="P100" i="8"/>
  <c r="Q100" i="8"/>
  <c r="H100" i="8"/>
  <c r="H147" i="8"/>
  <c r="I147" i="8"/>
  <c r="J147" i="8"/>
  <c r="K147" i="8"/>
  <c r="L147" i="8"/>
  <c r="M147" i="8"/>
  <c r="N147" i="8"/>
  <c r="O147" i="8"/>
  <c r="P147" i="8"/>
  <c r="Q147" i="8"/>
  <c r="G147" i="8"/>
  <c r="H133" i="8"/>
  <c r="I133" i="8"/>
  <c r="J133" i="8"/>
  <c r="K133" i="8"/>
  <c r="L133" i="8"/>
  <c r="M133" i="8"/>
  <c r="N133" i="8"/>
  <c r="O133" i="8"/>
  <c r="P133" i="8"/>
  <c r="Q133" i="8"/>
  <c r="G133" i="8"/>
  <c r="M119" i="8"/>
  <c r="N119" i="8"/>
  <c r="O119" i="8"/>
  <c r="P119" i="8"/>
  <c r="Q119" i="8"/>
  <c r="H119" i="8"/>
  <c r="I119" i="8"/>
  <c r="J119" i="8"/>
  <c r="K119" i="8"/>
  <c r="L119" i="8"/>
  <c r="G119" i="8"/>
  <c r="M113" i="8"/>
  <c r="H111" i="8"/>
  <c r="G111" i="8"/>
  <c r="F111" i="8"/>
  <c r="R70" i="8"/>
  <c r="W25" i="18" l="1"/>
  <c r="H32" i="18"/>
  <c r="H54" i="18" s="1"/>
  <c r="K50" i="14"/>
  <c r="J50" i="14"/>
  <c r="F45" i="20"/>
  <c r="F44" i="20"/>
  <c r="I20" i="15"/>
  <c r="I20" i="20"/>
  <c r="I20" i="23"/>
  <c r="L151" i="10"/>
  <c r="G66" i="15"/>
  <c r="B107" i="19"/>
  <c r="H215" i="18"/>
  <c r="H226" i="18"/>
  <c r="I4" i="18"/>
  <c r="J19" i="23" s="1"/>
  <c r="I19" i="20"/>
  <c r="H66" i="15"/>
  <c r="B104" i="19"/>
  <c r="N104" i="19"/>
  <c r="O104" i="19"/>
  <c r="L94" i="18"/>
  <c r="L229" i="18" s="1"/>
  <c r="F55" i="18"/>
  <c r="F56" i="18" s="1"/>
  <c r="L126" i="10"/>
  <c r="X107" i="19"/>
  <c r="V21" i="18"/>
  <c r="V22" i="18" s="1"/>
  <c r="V23" i="18" s="1"/>
  <c r="V24" i="18" s="1"/>
  <c r="V30" i="18" s="1"/>
  <c r="S107" i="19"/>
  <c r="J107" i="19"/>
  <c r="N107" i="19"/>
  <c r="O107" i="19"/>
  <c r="O87" i="19"/>
  <c r="O88" i="19" s="1"/>
  <c r="Y107" i="19"/>
  <c r="R104" i="19"/>
  <c r="I104" i="19"/>
  <c r="W104" i="19"/>
  <c r="V104" i="19"/>
  <c r="U104" i="19"/>
  <c r="U107" i="19"/>
  <c r="I87" i="19"/>
  <c r="I88" i="19" s="1"/>
  <c r="K104" i="19"/>
  <c r="T104" i="19"/>
  <c r="Q104" i="19"/>
  <c r="P104" i="19"/>
  <c r="J104" i="19"/>
  <c r="M104" i="19"/>
  <c r="H104" i="19"/>
  <c r="X104" i="19"/>
  <c r="S104" i="19"/>
  <c r="L104" i="19"/>
  <c r="Q107" i="19"/>
  <c r="T65" i="18"/>
  <c r="X86" i="19"/>
  <c r="X88" i="19" s="1"/>
  <c r="Y104" i="19"/>
  <c r="I108" i="19"/>
  <c r="B108" i="19"/>
  <c r="L107" i="19"/>
  <c r="T108" i="19"/>
  <c r="I107" i="19"/>
  <c r="K107" i="19"/>
  <c r="E117" i="18"/>
  <c r="E118" i="18" s="1"/>
  <c r="E231" i="18" s="1"/>
  <c r="T107" i="19"/>
  <c r="W107" i="19"/>
  <c r="J85" i="18"/>
  <c r="J228" i="18" s="1"/>
  <c r="E85" i="18"/>
  <c r="P107" i="19"/>
  <c r="X108" i="19"/>
  <c r="H107" i="19"/>
  <c r="M107" i="19"/>
  <c r="S108" i="19"/>
  <c r="W86" i="19"/>
  <c r="W88" i="19" s="1"/>
  <c r="R107" i="19"/>
  <c r="J102" i="19"/>
  <c r="L108" i="19"/>
  <c r="N108" i="19"/>
  <c r="Q102" i="19"/>
  <c r="Y108" i="19"/>
  <c r="K108" i="19"/>
  <c r="V108" i="19"/>
  <c r="Q108" i="19"/>
  <c r="J108" i="19"/>
  <c r="P108" i="19"/>
  <c r="M87" i="19"/>
  <c r="M88" i="19" s="1"/>
  <c r="W108" i="19"/>
  <c r="O108" i="19"/>
  <c r="R108" i="19"/>
  <c r="U108" i="19"/>
  <c r="M108" i="19"/>
  <c r="J117" i="18"/>
  <c r="J118" i="18" s="1"/>
  <c r="J231" i="18" s="1"/>
  <c r="I117" i="18"/>
  <c r="I118" i="18" s="1"/>
  <c r="I231" i="18" s="1"/>
  <c r="N117" i="18"/>
  <c r="N118" i="18" s="1"/>
  <c r="N231" i="18" s="1"/>
  <c r="AG85" i="19"/>
  <c r="AH85" i="19" s="1"/>
  <c r="U102" i="19"/>
  <c r="L102" i="19"/>
  <c r="W102" i="19"/>
  <c r="M117" i="18"/>
  <c r="M118" i="18" s="1"/>
  <c r="M231" i="18" s="1"/>
  <c r="Q117" i="18"/>
  <c r="P87" i="19"/>
  <c r="P88" i="19" s="1"/>
  <c r="K117" i="18"/>
  <c r="K118" i="18" s="1"/>
  <c r="K231" i="18" s="1"/>
  <c r="N87" i="19"/>
  <c r="N88" i="19" s="1"/>
  <c r="R115" i="18"/>
  <c r="V115" i="18" s="1"/>
  <c r="G117" i="18"/>
  <c r="G118" i="18" s="1"/>
  <c r="G231" i="18" s="1"/>
  <c r="AG105" i="19"/>
  <c r="AH105" i="19" s="1"/>
  <c r="F92" i="18"/>
  <c r="G92" i="18" s="1"/>
  <c r="G94" i="18" s="1"/>
  <c r="G229" i="18" s="1"/>
  <c r="R114" i="18"/>
  <c r="T114" i="18" s="1"/>
  <c r="V89" i="18"/>
  <c r="R86" i="19"/>
  <c r="R88" i="19" s="1"/>
  <c r="U87" i="19"/>
  <c r="U88" i="19" s="1"/>
  <c r="Q87" i="19"/>
  <c r="Q88" i="19" s="1"/>
  <c r="R116" i="18"/>
  <c r="T116" i="18" s="1"/>
  <c r="AG70" i="19"/>
  <c r="AH70" i="19" s="1"/>
  <c r="H117" i="18"/>
  <c r="H118" i="18" s="1"/>
  <c r="H231" i="18" s="1"/>
  <c r="V102" i="19"/>
  <c r="AG84" i="19"/>
  <c r="AH84" i="19" s="1"/>
  <c r="K102" i="19"/>
  <c r="R109" i="18"/>
  <c r="T109" i="18" s="1"/>
  <c r="T102" i="19"/>
  <c r="O102" i="19"/>
  <c r="Z87" i="19"/>
  <c r="Z88" i="19" s="1"/>
  <c r="I102" i="19"/>
  <c r="H102" i="19"/>
  <c r="N102" i="19"/>
  <c r="S102" i="19"/>
  <c r="Y102" i="19"/>
  <c r="P102" i="19"/>
  <c r="B102" i="19"/>
  <c r="M102" i="19"/>
  <c r="V86" i="19"/>
  <c r="V88" i="19" s="1"/>
  <c r="S86" i="19"/>
  <c r="S88" i="19" s="1"/>
  <c r="T86" i="19"/>
  <c r="T88" i="19" s="1"/>
  <c r="R102" i="19"/>
  <c r="Y87" i="19"/>
  <c r="Y88" i="19" s="1"/>
  <c r="T18" i="18"/>
  <c r="AG69" i="19"/>
  <c r="AH69" i="19" s="1"/>
  <c r="H127" i="18"/>
  <c r="T112" i="18"/>
  <c r="AG117" i="19"/>
  <c r="AH117" i="19" s="1"/>
  <c r="V110" i="18"/>
  <c r="AG68" i="19"/>
  <c r="AH68" i="19" s="1"/>
  <c r="F83" i="18"/>
  <c r="M78" i="19"/>
  <c r="N78" i="19"/>
  <c r="J80" i="19"/>
  <c r="V111" i="18"/>
  <c r="I80" i="19"/>
  <c r="M79" i="19"/>
  <c r="L79" i="19"/>
  <c r="E127" i="18"/>
  <c r="T120" i="19" s="1"/>
  <c r="O78" i="19"/>
  <c r="F103" i="18"/>
  <c r="F104" i="18" s="1"/>
  <c r="AG51" i="19"/>
  <c r="AH51" i="19" s="1"/>
  <c r="AG91" i="19"/>
  <c r="AG60" i="19"/>
  <c r="AH60" i="19" s="1"/>
  <c r="P92" i="19"/>
  <c r="Q92" i="19"/>
  <c r="R92" i="19"/>
  <c r="B92" i="19"/>
  <c r="S92" i="19"/>
  <c r="H92" i="19"/>
  <c r="T92" i="19"/>
  <c r="I92" i="19"/>
  <c r="U92" i="19"/>
  <c r="J92" i="19"/>
  <c r="V92" i="19"/>
  <c r="K92" i="19"/>
  <c r="W92" i="19"/>
  <c r="L92" i="19"/>
  <c r="X92" i="19"/>
  <c r="M92" i="19"/>
  <c r="Y92" i="19"/>
  <c r="N92" i="19"/>
  <c r="O92" i="19"/>
  <c r="K127" i="18"/>
  <c r="AG109" i="19"/>
  <c r="AH109" i="19" s="1"/>
  <c r="F117" i="18"/>
  <c r="F118" i="18" s="1"/>
  <c r="F231" i="18" s="1"/>
  <c r="I127" i="18"/>
  <c r="AG66" i="19"/>
  <c r="AH66" i="19" s="1"/>
  <c r="O79" i="19"/>
  <c r="J127" i="18"/>
  <c r="L87" i="19"/>
  <c r="L86" i="19"/>
  <c r="K87" i="19"/>
  <c r="K86" i="19"/>
  <c r="E94" i="18"/>
  <c r="E229" i="18" s="1"/>
  <c r="AG63" i="19"/>
  <c r="AH63" i="19" s="1"/>
  <c r="AG83" i="19"/>
  <c r="J87" i="19"/>
  <c r="J86" i="19"/>
  <c r="R93" i="18"/>
  <c r="T93" i="18" s="1"/>
  <c r="G127" i="18"/>
  <c r="B79" i="19"/>
  <c r="B80" i="19" s="1"/>
  <c r="K78" i="19"/>
  <c r="L78" i="19"/>
  <c r="B101" i="19"/>
  <c r="S101" i="19"/>
  <c r="R101" i="19"/>
  <c r="H101" i="19"/>
  <c r="T101" i="19"/>
  <c r="I101" i="19"/>
  <c r="U101" i="19"/>
  <c r="J101" i="19"/>
  <c r="V101" i="19"/>
  <c r="K101" i="19"/>
  <c r="W101" i="19"/>
  <c r="L101" i="19"/>
  <c r="X101" i="19"/>
  <c r="M101" i="19"/>
  <c r="Y101" i="19"/>
  <c r="N101" i="19"/>
  <c r="O101" i="19"/>
  <c r="P101" i="19"/>
  <c r="Q101" i="19"/>
  <c r="P79" i="19"/>
  <c r="P78" i="19"/>
  <c r="K79" i="19"/>
  <c r="B88" i="19"/>
  <c r="X78" i="19"/>
  <c r="X79" i="19"/>
  <c r="AG134" i="19"/>
  <c r="AH134" i="19" s="1"/>
  <c r="C50" i="14"/>
  <c r="W79" i="19"/>
  <c r="W78" i="19"/>
  <c r="N79" i="19"/>
  <c r="Y79" i="19"/>
  <c r="Y78" i="19"/>
  <c r="AG64" i="19"/>
  <c r="AH64" i="19" s="1"/>
  <c r="V79" i="19"/>
  <c r="V78" i="19"/>
  <c r="AG62" i="19"/>
  <c r="AH62" i="19" s="1"/>
  <c r="AH100" i="19"/>
  <c r="F66" i="20"/>
  <c r="F65" i="20"/>
  <c r="AG47" i="19"/>
  <c r="AH45" i="19"/>
  <c r="I228" i="18"/>
  <c r="H103" i="18"/>
  <c r="H104" i="18" s="1"/>
  <c r="G103" i="18"/>
  <c r="G104" i="18" s="1"/>
  <c r="P117" i="18"/>
  <c r="R99" i="18"/>
  <c r="T99" i="18" s="1"/>
  <c r="E103" i="18"/>
  <c r="O117" i="18"/>
  <c r="O118" i="18" s="1"/>
  <c r="O231" i="18" s="1"/>
  <c r="R108" i="18"/>
  <c r="O94" i="18"/>
  <c r="O229" i="18" s="1"/>
  <c r="L133" i="18"/>
  <c r="L135" i="18" s="1"/>
  <c r="L234" i="18" s="1"/>
  <c r="M133" i="18"/>
  <c r="M135" i="18" s="1"/>
  <c r="M234" i="18" s="1"/>
  <c r="N133" i="18"/>
  <c r="N135" i="18" s="1"/>
  <c r="N234" i="18" s="1"/>
  <c r="O133" i="18"/>
  <c r="O135" i="18" s="1"/>
  <c r="O234" i="18" s="1"/>
  <c r="P133" i="18"/>
  <c r="P135" i="18" s="1"/>
  <c r="P234" i="18" s="1"/>
  <c r="E133" i="18"/>
  <c r="Q133" i="18"/>
  <c r="Q135" i="18" s="1"/>
  <c r="Q234" i="18" s="1"/>
  <c r="F133" i="18"/>
  <c r="F135" i="18" s="1"/>
  <c r="H133" i="18"/>
  <c r="H135" i="18" s="1"/>
  <c r="I133" i="18"/>
  <c r="I135" i="18" s="1"/>
  <c r="G133" i="18"/>
  <c r="G135" i="18" s="1"/>
  <c r="J133" i="18"/>
  <c r="J135" i="18" s="1"/>
  <c r="K133" i="18"/>
  <c r="K135" i="18" s="1"/>
  <c r="J33" i="18"/>
  <c r="X25" i="18"/>
  <c r="W21" i="18"/>
  <c r="I34" i="18"/>
  <c r="R84" i="18"/>
  <c r="R133" i="8"/>
  <c r="V133" i="8" s="1"/>
  <c r="R147" i="8"/>
  <c r="V147" i="8" s="1"/>
  <c r="R119" i="8"/>
  <c r="W26" i="18" l="1"/>
  <c r="W27" i="18" s="1"/>
  <c r="W28" i="18" s="1"/>
  <c r="W29" i="18" s="1"/>
  <c r="G52" i="18"/>
  <c r="G53" i="18"/>
  <c r="I32" i="18"/>
  <c r="J32" i="18" s="1"/>
  <c r="J20" i="20"/>
  <c r="J20" i="23"/>
  <c r="J20" i="15"/>
  <c r="I54" i="18"/>
  <c r="J4" i="18"/>
  <c r="K19" i="23" s="1"/>
  <c r="J19" i="20"/>
  <c r="J5" i="18"/>
  <c r="I215" i="18"/>
  <c r="I226" i="18"/>
  <c r="F222" i="18"/>
  <c r="L128" i="18"/>
  <c r="L129" i="18" s="1"/>
  <c r="L233" i="18" s="1"/>
  <c r="R91" i="18"/>
  <c r="T91" i="18" s="1"/>
  <c r="AG104" i="19"/>
  <c r="AH104" i="19" s="1"/>
  <c r="I53" i="18"/>
  <c r="I52" i="18"/>
  <c r="J54" i="18"/>
  <c r="G57" i="18"/>
  <c r="M110" i="19"/>
  <c r="M111" i="19" s="1"/>
  <c r="Y110" i="19"/>
  <c r="Y111" i="19" s="1"/>
  <c r="L110" i="19"/>
  <c r="L111" i="19" s="1"/>
  <c r="I110" i="19"/>
  <c r="I111" i="19" s="1"/>
  <c r="T110" i="19"/>
  <c r="T111" i="19" s="1"/>
  <c r="U110" i="19"/>
  <c r="U111" i="19" s="1"/>
  <c r="H110" i="19"/>
  <c r="H111" i="19" s="1"/>
  <c r="X110" i="19"/>
  <c r="X111" i="19" s="1"/>
  <c r="S110" i="19"/>
  <c r="S111" i="19" s="1"/>
  <c r="B110" i="19"/>
  <c r="B111" i="19" s="1"/>
  <c r="R110" i="19"/>
  <c r="R111" i="19" s="1"/>
  <c r="W110" i="19"/>
  <c r="W111" i="19" s="1"/>
  <c r="Q110" i="19"/>
  <c r="Q111" i="19" s="1"/>
  <c r="K110" i="19"/>
  <c r="K111" i="19" s="1"/>
  <c r="O110" i="19"/>
  <c r="O111" i="19" s="1"/>
  <c r="J110" i="19"/>
  <c r="J111" i="19" s="1"/>
  <c r="N110" i="19"/>
  <c r="N111" i="19" s="1"/>
  <c r="V110" i="19"/>
  <c r="V111" i="19" s="1"/>
  <c r="P110" i="19"/>
  <c r="AG107" i="19"/>
  <c r="AH107" i="19" s="1"/>
  <c r="F85" i="18"/>
  <c r="F228" i="18" s="1"/>
  <c r="V116" i="18"/>
  <c r="AG108" i="19"/>
  <c r="AH108" i="19" s="1"/>
  <c r="H92" i="18"/>
  <c r="I92" i="18" s="1"/>
  <c r="F94" i="18"/>
  <c r="F229" i="18" s="1"/>
  <c r="T115" i="18"/>
  <c r="I54" i="14"/>
  <c r="AG102" i="19"/>
  <c r="AH102" i="19" s="1"/>
  <c r="E50" i="14"/>
  <c r="D50" i="14"/>
  <c r="V114" i="18"/>
  <c r="V109" i="18"/>
  <c r="O80" i="19"/>
  <c r="Z120" i="19"/>
  <c r="Z122" i="19" s="1"/>
  <c r="M80" i="19"/>
  <c r="B120" i="19"/>
  <c r="G83" i="18"/>
  <c r="P80" i="19"/>
  <c r="E128" i="18"/>
  <c r="L121" i="19" s="1"/>
  <c r="L122" i="19" s="1"/>
  <c r="R117" i="18"/>
  <c r="V117" i="18" s="1"/>
  <c r="N80" i="19"/>
  <c r="Y80" i="19"/>
  <c r="X80" i="19"/>
  <c r="V80" i="19"/>
  <c r="E228" i="18"/>
  <c r="N120" i="19"/>
  <c r="AG79" i="19"/>
  <c r="AH79" i="19" s="1"/>
  <c r="L80" i="19"/>
  <c r="R127" i="18"/>
  <c r="P118" i="18"/>
  <c r="P231" i="18" s="1"/>
  <c r="L88" i="19"/>
  <c r="W80" i="19"/>
  <c r="K80" i="19"/>
  <c r="G55" i="18"/>
  <c r="AG92" i="19"/>
  <c r="K88" i="19"/>
  <c r="AH91" i="19"/>
  <c r="AH83" i="19"/>
  <c r="R103" i="18"/>
  <c r="L96" i="19"/>
  <c r="L97" i="19" s="1"/>
  <c r="X96" i="19"/>
  <c r="X97" i="19" s="1"/>
  <c r="M96" i="19"/>
  <c r="M97" i="19" s="1"/>
  <c r="Y96" i="19"/>
  <c r="Y97" i="19" s="1"/>
  <c r="N96" i="19"/>
  <c r="N97" i="19" s="1"/>
  <c r="O96" i="19"/>
  <c r="O97" i="19" s="1"/>
  <c r="P96" i="19"/>
  <c r="P97" i="19" s="1"/>
  <c r="Q96" i="19"/>
  <c r="Q97" i="19" s="1"/>
  <c r="R96" i="19"/>
  <c r="R97" i="19" s="1"/>
  <c r="B96" i="19"/>
  <c r="S96" i="19"/>
  <c r="S97" i="19" s="1"/>
  <c r="H96" i="19"/>
  <c r="H97" i="19" s="1"/>
  <c r="T96" i="19"/>
  <c r="T97" i="19" s="1"/>
  <c r="I96" i="19"/>
  <c r="I97" i="19" s="1"/>
  <c r="U96" i="19"/>
  <c r="U97" i="19" s="1"/>
  <c r="J96" i="19"/>
  <c r="V96" i="19"/>
  <c r="V97" i="19" s="1"/>
  <c r="K96" i="19"/>
  <c r="K97" i="19" s="1"/>
  <c r="W96" i="19"/>
  <c r="W97" i="19" s="1"/>
  <c r="AG78" i="19"/>
  <c r="AH78" i="19" s="1"/>
  <c r="J88" i="19"/>
  <c r="AG86" i="19"/>
  <c r="AH86" i="19" s="1"/>
  <c r="AG101" i="19"/>
  <c r="AG87" i="19"/>
  <c r="AH87" i="19" s="1"/>
  <c r="B126" i="19"/>
  <c r="B128" i="19" s="1"/>
  <c r="H126" i="19"/>
  <c r="AH47" i="19"/>
  <c r="G234" i="18"/>
  <c r="F230" i="18"/>
  <c r="X21" i="18"/>
  <c r="J34" i="18"/>
  <c r="R133" i="18"/>
  <c r="E135" i="18"/>
  <c r="W22" i="18"/>
  <c r="W23" i="18" s="1"/>
  <c r="W24" i="18" s="1"/>
  <c r="W30" i="18" s="1"/>
  <c r="H230" i="18"/>
  <c r="J234" i="18"/>
  <c r="F234" i="18"/>
  <c r="V108" i="18"/>
  <c r="T108" i="18"/>
  <c r="K33" i="18"/>
  <c r="Y25" i="18"/>
  <c r="K234" i="18"/>
  <c r="K32" i="18"/>
  <c r="Y26" i="18"/>
  <c r="Y27" i="18" s="1"/>
  <c r="Y28" i="18" s="1"/>
  <c r="Y29" i="18" s="1"/>
  <c r="I234" i="18"/>
  <c r="H234" i="18"/>
  <c r="E104" i="18"/>
  <c r="G230" i="18"/>
  <c r="V119" i="8"/>
  <c r="X26" i="18" l="1"/>
  <c r="X27" i="18" s="1"/>
  <c r="X28" i="18" s="1"/>
  <c r="X29" i="18" s="1"/>
  <c r="H52" i="18"/>
  <c r="G139" i="18"/>
  <c r="G121" i="18"/>
  <c r="G56" i="18"/>
  <c r="G222" i="18" s="1"/>
  <c r="H53" i="18"/>
  <c r="G223" i="18"/>
  <c r="K54" i="14"/>
  <c r="K20" i="23"/>
  <c r="K20" i="15"/>
  <c r="K20" i="20"/>
  <c r="I52" i="14"/>
  <c r="J215" i="18"/>
  <c r="J226" i="18"/>
  <c r="K4" i="18"/>
  <c r="L19" i="23" s="1"/>
  <c r="K19" i="20"/>
  <c r="J53" i="18"/>
  <c r="J52" i="18"/>
  <c r="K54" i="18"/>
  <c r="AG110" i="19"/>
  <c r="AH110" i="19" s="1"/>
  <c r="P111" i="19"/>
  <c r="G85" i="18"/>
  <c r="F128" i="18"/>
  <c r="F129" i="18" s="1"/>
  <c r="F233" i="18" s="1"/>
  <c r="I51" i="14"/>
  <c r="H94" i="18"/>
  <c r="H229" i="18" s="1"/>
  <c r="I24" i="14"/>
  <c r="J54" i="14"/>
  <c r="AG120" i="19"/>
  <c r="AH120" i="19" s="1"/>
  <c r="K121" i="19"/>
  <c r="K122" i="19" s="1"/>
  <c r="H83" i="18"/>
  <c r="R121" i="19"/>
  <c r="R122" i="19" s="1"/>
  <c r="T117" i="18"/>
  <c r="Q121" i="19"/>
  <c r="Q122" i="19" s="1"/>
  <c r="S121" i="19"/>
  <c r="S122" i="19" s="1"/>
  <c r="H121" i="19"/>
  <c r="H122" i="19" s="1"/>
  <c r="W121" i="19"/>
  <c r="W122" i="19" s="1"/>
  <c r="AG80" i="19"/>
  <c r="AH80" i="19" s="1"/>
  <c r="B121" i="19"/>
  <c r="B122" i="19" s="1"/>
  <c r="E129" i="18"/>
  <c r="P121" i="19"/>
  <c r="P122" i="19" s="1"/>
  <c r="V121" i="19"/>
  <c r="V122" i="19" s="1"/>
  <c r="N121" i="19"/>
  <c r="N122" i="19" s="1"/>
  <c r="J121" i="19"/>
  <c r="J122" i="19" s="1"/>
  <c r="Y121" i="19"/>
  <c r="Y122" i="19" s="1"/>
  <c r="U121" i="19"/>
  <c r="U122" i="19" s="1"/>
  <c r="M121" i="19"/>
  <c r="M122" i="19" s="1"/>
  <c r="I121" i="19"/>
  <c r="I122" i="19" s="1"/>
  <c r="X121" i="19"/>
  <c r="X122" i="19" s="1"/>
  <c r="O121" i="19"/>
  <c r="O122" i="19" s="1"/>
  <c r="T121" i="19"/>
  <c r="T122" i="19" s="1"/>
  <c r="R118" i="18"/>
  <c r="AG96" i="19"/>
  <c r="AG97" i="19" s="1"/>
  <c r="J97" i="19"/>
  <c r="AH101" i="19"/>
  <c r="H55" i="18"/>
  <c r="AH92" i="19"/>
  <c r="I94" i="18"/>
  <c r="J92" i="18"/>
  <c r="B97" i="19"/>
  <c r="AG88" i="19"/>
  <c r="AH88" i="19" s="1"/>
  <c r="AG126" i="19"/>
  <c r="H128" i="19"/>
  <c r="E234" i="18"/>
  <c r="I57" i="14" s="1"/>
  <c r="R135" i="18"/>
  <c r="R234" i="18" s="1"/>
  <c r="L32" i="18"/>
  <c r="Z26" i="18"/>
  <c r="Z27" i="18" s="1"/>
  <c r="Z28" i="18" s="1"/>
  <c r="Z29" i="18" s="1"/>
  <c r="Y21" i="18"/>
  <c r="K34" i="18"/>
  <c r="X22" i="18"/>
  <c r="X23" i="18" s="1"/>
  <c r="X24" i="18" s="1"/>
  <c r="X30" i="18" s="1"/>
  <c r="R104" i="18"/>
  <c r="R230" i="18" s="1"/>
  <c r="E230" i="18"/>
  <c r="I53" i="14" s="1"/>
  <c r="Z25" i="18"/>
  <c r="L33" i="18"/>
  <c r="G42" i="11"/>
  <c r="H42" i="11"/>
  <c r="I42" i="11"/>
  <c r="J42" i="11"/>
  <c r="K42" i="11"/>
  <c r="L42" i="11"/>
  <c r="M42" i="11"/>
  <c r="N42" i="11"/>
  <c r="O42" i="11"/>
  <c r="P42" i="11"/>
  <c r="Q42" i="11"/>
  <c r="F42" i="11"/>
  <c r="R41" i="11"/>
  <c r="G26" i="10"/>
  <c r="J26" i="10" s="1"/>
  <c r="G148" i="8"/>
  <c r="H134" i="8"/>
  <c r="I134" i="8"/>
  <c r="J134" i="8"/>
  <c r="K134" i="8"/>
  <c r="L134" i="8"/>
  <c r="M134" i="8"/>
  <c r="N134" i="8"/>
  <c r="O134" i="8"/>
  <c r="P134" i="8"/>
  <c r="Q134" i="8"/>
  <c r="G134" i="8"/>
  <c r="H148" i="8"/>
  <c r="I148" i="8"/>
  <c r="J148" i="8"/>
  <c r="K148" i="8"/>
  <c r="L148" i="8"/>
  <c r="M148" i="8"/>
  <c r="N148" i="8"/>
  <c r="O148" i="8"/>
  <c r="P148" i="8"/>
  <c r="Q148" i="8"/>
  <c r="F148" i="8"/>
  <c r="I163" i="8"/>
  <c r="J163" i="8"/>
  <c r="G161" i="8"/>
  <c r="H161" i="8"/>
  <c r="J161" i="8"/>
  <c r="K161" i="8"/>
  <c r="L161" i="8"/>
  <c r="M161" i="8"/>
  <c r="N161" i="8"/>
  <c r="O161" i="8"/>
  <c r="P161" i="8"/>
  <c r="F161" i="8"/>
  <c r="O102" i="8"/>
  <c r="C99" i="8"/>
  <c r="M99" i="8" s="1"/>
  <c r="L159" i="8" s="1"/>
  <c r="H93" i="8"/>
  <c r="I93" i="8"/>
  <c r="J93" i="8"/>
  <c r="K93" i="8"/>
  <c r="L93" i="8"/>
  <c r="M93" i="8"/>
  <c r="N93" i="8"/>
  <c r="O93" i="8"/>
  <c r="P93" i="8"/>
  <c r="Q93" i="8"/>
  <c r="G93" i="8"/>
  <c r="G91" i="8"/>
  <c r="F145" i="8" s="1"/>
  <c r="H91" i="8"/>
  <c r="G145" i="8" s="1"/>
  <c r="I91" i="8"/>
  <c r="H145" i="8" s="1"/>
  <c r="J91" i="8"/>
  <c r="I145" i="8" s="1"/>
  <c r="K91" i="8"/>
  <c r="J145" i="8" s="1"/>
  <c r="L91" i="8"/>
  <c r="K145" i="8" s="1"/>
  <c r="M91" i="8"/>
  <c r="L145" i="8" s="1"/>
  <c r="N91" i="8"/>
  <c r="M145" i="8" s="1"/>
  <c r="O91" i="8"/>
  <c r="N145" i="8" s="1"/>
  <c r="P91" i="8"/>
  <c r="O145" i="8" s="1"/>
  <c r="Q91" i="8"/>
  <c r="P145" i="8" s="1"/>
  <c r="F91" i="8"/>
  <c r="E145" i="8" s="1"/>
  <c r="G69" i="8"/>
  <c r="H69" i="8"/>
  <c r="I69" i="8"/>
  <c r="J69" i="8"/>
  <c r="K69" i="8"/>
  <c r="L69" i="8"/>
  <c r="M69" i="8"/>
  <c r="N69" i="8"/>
  <c r="O69" i="8"/>
  <c r="P69" i="8"/>
  <c r="F69" i="8"/>
  <c r="E71" i="8"/>
  <c r="G68" i="8"/>
  <c r="H68" i="8"/>
  <c r="I68" i="8"/>
  <c r="J68" i="8"/>
  <c r="K68" i="8"/>
  <c r="L68" i="8"/>
  <c r="F68" i="8"/>
  <c r="C36" i="11"/>
  <c r="H57" i="18" l="1"/>
  <c r="H139" i="18" s="1"/>
  <c r="H56" i="18"/>
  <c r="H222" i="18" s="1"/>
  <c r="K52" i="14"/>
  <c r="J51" i="14"/>
  <c r="T118" i="18"/>
  <c r="R231" i="18"/>
  <c r="C54" i="14" s="1"/>
  <c r="J52" i="14"/>
  <c r="L20" i="20"/>
  <c r="L20" i="15"/>
  <c r="L20" i="23"/>
  <c r="L4" i="18"/>
  <c r="M19" i="23" s="1"/>
  <c r="L19" i="20"/>
  <c r="L5" i="18"/>
  <c r="K215" i="18"/>
  <c r="K226" i="18"/>
  <c r="H223" i="18"/>
  <c r="K53" i="18"/>
  <c r="L54" i="18"/>
  <c r="K52" i="18"/>
  <c r="G124" i="18"/>
  <c r="G232" i="18" s="1"/>
  <c r="AG111" i="19"/>
  <c r="AH111" i="19" s="1"/>
  <c r="K51" i="14"/>
  <c r="R83" i="18"/>
  <c r="H85" i="18"/>
  <c r="R85" i="18" s="1"/>
  <c r="R228" i="18" s="1"/>
  <c r="J53" i="14"/>
  <c r="K53" i="14"/>
  <c r="J57" i="14"/>
  <c r="K57" i="14"/>
  <c r="E143" i="18"/>
  <c r="AG121" i="19"/>
  <c r="AH121" i="19" s="1"/>
  <c r="G128" i="18"/>
  <c r="G129" i="18" s="1"/>
  <c r="G228" i="18"/>
  <c r="E233" i="18"/>
  <c r="V118" i="18"/>
  <c r="I55" i="18"/>
  <c r="I56" i="18" s="1"/>
  <c r="AH97" i="19"/>
  <c r="AH96" i="19"/>
  <c r="J94" i="18"/>
  <c r="K92" i="18"/>
  <c r="I229" i="18"/>
  <c r="I128" i="18"/>
  <c r="I129" i="18" s="1"/>
  <c r="AH126" i="19"/>
  <c r="AG128" i="19"/>
  <c r="Y22" i="18"/>
  <c r="Y23" i="18" s="1"/>
  <c r="Y24" i="18" s="1"/>
  <c r="Y30" i="18" s="1"/>
  <c r="T104" i="18"/>
  <c r="C53" i="14"/>
  <c r="C57" i="14"/>
  <c r="AA26" i="18"/>
  <c r="AA27" i="18" s="1"/>
  <c r="AA28" i="18" s="1"/>
  <c r="AA29" i="18" s="1"/>
  <c r="M32" i="18"/>
  <c r="AA25" i="18"/>
  <c r="M33" i="18"/>
  <c r="N33" i="18" s="1"/>
  <c r="O33" i="18" s="1"/>
  <c r="P33" i="18" s="1"/>
  <c r="Q33" i="18" s="1"/>
  <c r="Z21" i="18"/>
  <c r="L34" i="18"/>
  <c r="R100" i="8"/>
  <c r="R69" i="8"/>
  <c r="F99" i="8"/>
  <c r="Q102" i="8"/>
  <c r="Q99" i="8"/>
  <c r="P159" i="8" s="1"/>
  <c r="P102" i="8"/>
  <c r="P99" i="8"/>
  <c r="O159" i="8" s="1"/>
  <c r="N102" i="8"/>
  <c r="K99" i="8"/>
  <c r="J159" i="8" s="1"/>
  <c r="J99" i="8"/>
  <c r="G102" i="8"/>
  <c r="O99" i="8"/>
  <c r="N159" i="8" s="1"/>
  <c r="L102" i="8"/>
  <c r="L99" i="8"/>
  <c r="K159" i="8" s="1"/>
  <c r="N99" i="8"/>
  <c r="M159" i="8" s="1"/>
  <c r="H102" i="8"/>
  <c r="M102" i="8"/>
  <c r="K102" i="8"/>
  <c r="J102" i="8"/>
  <c r="I102" i="8"/>
  <c r="I99" i="8"/>
  <c r="H159" i="8" s="1"/>
  <c r="H99" i="8"/>
  <c r="G159" i="8" s="1"/>
  <c r="G99" i="8"/>
  <c r="F159" i="8" s="1"/>
  <c r="H35" i="18" l="1"/>
  <c r="H121" i="18"/>
  <c r="H124" i="18" s="1"/>
  <c r="H232" i="18" s="1"/>
  <c r="I57" i="18"/>
  <c r="I139" i="18" s="1"/>
  <c r="I222" i="18"/>
  <c r="M20" i="15"/>
  <c r="M20" i="20"/>
  <c r="M20" i="23"/>
  <c r="I56" i="14"/>
  <c r="H44" i="23"/>
  <c r="H141" i="18"/>
  <c r="H235" i="18" s="1"/>
  <c r="I44" i="23"/>
  <c r="M5" i="18"/>
  <c r="L215" i="18"/>
  <c r="L226" i="18"/>
  <c r="M4" i="18"/>
  <c r="N19" i="23" s="1"/>
  <c r="M19" i="20"/>
  <c r="J57" i="18"/>
  <c r="N32" i="18"/>
  <c r="O32" i="18" s="1"/>
  <c r="P32" i="18" s="1"/>
  <c r="Q32" i="18" s="1"/>
  <c r="L52" i="18"/>
  <c r="L53" i="18"/>
  <c r="T85" i="18"/>
  <c r="G141" i="18"/>
  <c r="G235" i="18" s="1"/>
  <c r="H228" i="18"/>
  <c r="H128" i="18"/>
  <c r="H129" i="18" s="1"/>
  <c r="D53" i="14"/>
  <c r="E53" i="14"/>
  <c r="E54" i="14"/>
  <c r="C24" i="14"/>
  <c r="D54" i="14"/>
  <c r="E57" i="14"/>
  <c r="D57" i="14"/>
  <c r="J55" i="18"/>
  <c r="J56" i="18" s="1"/>
  <c r="AG122" i="19"/>
  <c r="AH122" i="19" s="1"/>
  <c r="C51" i="14"/>
  <c r="G233" i="18"/>
  <c r="J44" i="23"/>
  <c r="K94" i="18"/>
  <c r="R94" i="18" s="1"/>
  <c r="R229" i="18" s="1"/>
  <c r="R92" i="18"/>
  <c r="T92" i="18" s="1"/>
  <c r="J229" i="18"/>
  <c r="J128" i="18"/>
  <c r="J129" i="18" s="1"/>
  <c r="I233" i="18"/>
  <c r="AH128" i="19"/>
  <c r="M34" i="18"/>
  <c r="Z22" i="18"/>
  <c r="Z23" i="18" s="1"/>
  <c r="Z24" i="18" s="1"/>
  <c r="Z30" i="18" s="1"/>
  <c r="D124" i="10"/>
  <c r="D96" i="10"/>
  <c r="F22" i="9"/>
  <c r="I223" i="18" l="1"/>
  <c r="I35" i="18"/>
  <c r="I121" i="18"/>
  <c r="I124" i="18" s="1"/>
  <c r="I232" i="18" s="1"/>
  <c r="J139" i="18"/>
  <c r="J121" i="18"/>
  <c r="J124" i="18" s="1"/>
  <c r="J232" i="18" s="1"/>
  <c r="J222" i="18"/>
  <c r="J56" i="14"/>
  <c r="N20" i="15"/>
  <c r="N20" i="20"/>
  <c r="N20" i="23"/>
  <c r="K56" i="14"/>
  <c r="N4" i="18"/>
  <c r="O19" i="23" s="1"/>
  <c r="N19" i="20"/>
  <c r="N5" i="18"/>
  <c r="M226" i="18"/>
  <c r="M215" i="18"/>
  <c r="J35" i="18"/>
  <c r="J223" i="18"/>
  <c r="G143" i="18"/>
  <c r="K57" i="18"/>
  <c r="H143" i="18"/>
  <c r="H233" i="18"/>
  <c r="D51" i="14"/>
  <c r="E51" i="14"/>
  <c r="I141" i="18"/>
  <c r="T94" i="18"/>
  <c r="V94" i="18"/>
  <c r="J233" i="18"/>
  <c r="K229" i="18"/>
  <c r="K128" i="18"/>
  <c r="K55" i="18"/>
  <c r="K56" i="18" s="1"/>
  <c r="N34" i="18"/>
  <c r="M54" i="18"/>
  <c r="M56" i="18" s="1"/>
  <c r="I94" i="10"/>
  <c r="P49" i="11"/>
  <c r="P48" i="11"/>
  <c r="K139" i="18" l="1"/>
  <c r="K121" i="18"/>
  <c r="M222" i="18"/>
  <c r="K222" i="18"/>
  <c r="O20" i="23"/>
  <c r="O20" i="15"/>
  <c r="O20" i="20"/>
  <c r="C52" i="14"/>
  <c r="D52" i="14" s="1"/>
  <c r="J141" i="18"/>
  <c r="J235" i="18" s="1"/>
  <c r="N226" i="18"/>
  <c r="O5" i="18"/>
  <c r="N215" i="18"/>
  <c r="O4" i="18"/>
  <c r="P19" i="23" s="1"/>
  <c r="O19" i="20"/>
  <c r="K35" i="18"/>
  <c r="K223" i="18"/>
  <c r="J94" i="10"/>
  <c r="T94" i="10" s="1"/>
  <c r="I235" i="18"/>
  <c r="I143" i="18"/>
  <c r="K124" i="18"/>
  <c r="K232" i="18" s="1"/>
  <c r="K129" i="18"/>
  <c r="R128" i="18"/>
  <c r="N54" i="18"/>
  <c r="N56" i="18" s="1"/>
  <c r="O34" i="18"/>
  <c r="I96" i="10"/>
  <c r="E211" i="8"/>
  <c r="C211" i="8"/>
  <c r="C56" i="8"/>
  <c r="G26" i="9" s="1"/>
  <c r="C53" i="8"/>
  <c r="C52" i="8"/>
  <c r="F50" i="8"/>
  <c r="E42" i="8"/>
  <c r="F24" i="8"/>
  <c r="F25" i="8"/>
  <c r="J26" i="8"/>
  <c r="F23" i="8"/>
  <c r="D8" i="8"/>
  <c r="D9" i="8"/>
  <c r="D10" i="8"/>
  <c r="P47" i="11"/>
  <c r="C8" i="10"/>
  <c r="U54" i="8"/>
  <c r="Q6" i="11"/>
  <c r="C57" i="8"/>
  <c r="F23" i="9"/>
  <c r="F48" i="11"/>
  <c r="S272" i="10"/>
  <c r="C7" i="10"/>
  <c r="C6" i="10"/>
  <c r="C102" i="10"/>
  <c r="D102" i="10" s="1"/>
  <c r="C101" i="10"/>
  <c r="D101" i="10" s="1"/>
  <c r="C99" i="10"/>
  <c r="E183" i="10"/>
  <c r="O159" i="10"/>
  <c r="P159" i="10"/>
  <c r="Q159" i="10"/>
  <c r="R159" i="10"/>
  <c r="C158" i="10"/>
  <c r="F49" i="11"/>
  <c r="H66" i="14"/>
  <c r="I76" i="14"/>
  <c r="I75" i="14"/>
  <c r="I74" i="14"/>
  <c r="C30" i="11"/>
  <c r="S262" i="10"/>
  <c r="S263" i="10"/>
  <c r="S264" i="10"/>
  <c r="S265" i="10"/>
  <c r="S269" i="10"/>
  <c r="S270" i="10"/>
  <c r="S273" i="10"/>
  <c r="S274" i="10"/>
  <c r="S275" i="10"/>
  <c r="S276" i="10"/>
  <c r="S279" i="10"/>
  <c r="E209" i="8"/>
  <c r="N35" i="8"/>
  <c r="E63" i="8"/>
  <c r="H63" i="8"/>
  <c r="N63" i="8"/>
  <c r="O63" i="8"/>
  <c r="P63" i="8"/>
  <c r="Q63" i="8"/>
  <c r="H46" i="9"/>
  <c r="I46" i="9"/>
  <c r="J46" i="9"/>
  <c r="K46" i="9"/>
  <c r="L46" i="9"/>
  <c r="M46" i="9"/>
  <c r="N46" i="9"/>
  <c r="O46" i="9"/>
  <c r="P46" i="9"/>
  <c r="Q46" i="9"/>
  <c r="R46" i="9"/>
  <c r="F46" i="9"/>
  <c r="B46" i="9"/>
  <c r="C223" i="8"/>
  <c r="G50" i="10"/>
  <c r="B48" i="10"/>
  <c r="N222" i="18" l="1"/>
  <c r="S266" i="10"/>
  <c r="E52" i="14"/>
  <c r="Q47" i="11"/>
  <c r="P51" i="11"/>
  <c r="J143" i="18"/>
  <c r="G48" i="11"/>
  <c r="P20" i="23"/>
  <c r="P20" i="15"/>
  <c r="P20" i="20"/>
  <c r="K44" i="23"/>
  <c r="K141" i="18"/>
  <c r="K235" i="18" s="1"/>
  <c r="L44" i="23"/>
  <c r="P5" i="18"/>
  <c r="O226" i="18"/>
  <c r="O215" i="18"/>
  <c r="P4" i="18"/>
  <c r="Q19" i="23" s="1"/>
  <c r="P19" i="20"/>
  <c r="L158" i="10"/>
  <c r="M158" i="10"/>
  <c r="M159" i="10" s="1"/>
  <c r="K158" i="10"/>
  <c r="I158" i="10"/>
  <c r="H158" i="10"/>
  <c r="J158" i="10"/>
  <c r="N158" i="10"/>
  <c r="N159" i="10" s="1"/>
  <c r="I153" i="10"/>
  <c r="I101" i="10"/>
  <c r="K101" i="10"/>
  <c r="H102" i="10"/>
  <c r="H106" i="10" s="1"/>
  <c r="I102" i="10"/>
  <c r="K102" i="10"/>
  <c r="I99" i="10"/>
  <c r="K99" i="10"/>
  <c r="C100" i="10"/>
  <c r="D100" i="10" s="1"/>
  <c r="I100" i="10" s="1"/>
  <c r="J100" i="10" s="1"/>
  <c r="T100" i="10" s="1"/>
  <c r="C104" i="10"/>
  <c r="D104" i="10" s="1"/>
  <c r="I104" i="10" s="1"/>
  <c r="J104" i="10" s="1"/>
  <c r="T104" i="10" s="1"/>
  <c r="D99" i="10"/>
  <c r="N56" i="10"/>
  <c r="R56" i="10"/>
  <c r="H56" i="10"/>
  <c r="M56" i="10"/>
  <c r="O56" i="10"/>
  <c r="P56" i="10"/>
  <c r="I56" i="10"/>
  <c r="Q56" i="10"/>
  <c r="G58" i="10"/>
  <c r="H58" i="10"/>
  <c r="I58" i="10"/>
  <c r="K18" i="10"/>
  <c r="J18" i="10"/>
  <c r="J58" i="10" s="1"/>
  <c r="K17" i="10"/>
  <c r="J17" i="10"/>
  <c r="K16" i="10"/>
  <c r="J16" i="10"/>
  <c r="R219" i="18"/>
  <c r="B11" i="19"/>
  <c r="K233" i="18"/>
  <c r="R129" i="18"/>
  <c r="O54" i="18"/>
  <c r="O56" i="18" s="1"/>
  <c r="P34" i="18"/>
  <c r="L92" i="8"/>
  <c r="H92" i="8"/>
  <c r="I92" i="8"/>
  <c r="F151" i="8"/>
  <c r="M92" i="8"/>
  <c r="F92" i="8"/>
  <c r="N92" i="8"/>
  <c r="P92" i="8"/>
  <c r="Q92" i="8"/>
  <c r="J92" i="8"/>
  <c r="K92" i="8"/>
  <c r="O92" i="8"/>
  <c r="G92" i="8"/>
  <c r="J84" i="8"/>
  <c r="O84" i="8"/>
  <c r="F84" i="8"/>
  <c r="K84" i="8"/>
  <c r="M84" i="8"/>
  <c r="G84" i="8"/>
  <c r="H84" i="8"/>
  <c r="L84" i="8"/>
  <c r="P84" i="8"/>
  <c r="I84" i="8"/>
  <c r="N84" i="8"/>
  <c r="Q84" i="8"/>
  <c r="P101" i="8"/>
  <c r="P164" i="8"/>
  <c r="H101" i="8"/>
  <c r="L164" i="8"/>
  <c r="M164" i="8"/>
  <c r="Q101" i="8"/>
  <c r="F164" i="8"/>
  <c r="G164" i="8"/>
  <c r="I101" i="8"/>
  <c r="J101" i="8"/>
  <c r="J164" i="8"/>
  <c r="K164" i="8"/>
  <c r="F101" i="8"/>
  <c r="H164" i="8"/>
  <c r="G101" i="8"/>
  <c r="F165" i="8" s="1"/>
  <c r="I164" i="8"/>
  <c r="K101" i="8"/>
  <c r="L101" i="8"/>
  <c r="M101" i="8"/>
  <c r="O101" i="8"/>
  <c r="O164" i="8"/>
  <c r="N101" i="8"/>
  <c r="N164" i="8"/>
  <c r="J151" i="8"/>
  <c r="Q151" i="8"/>
  <c r="K151" i="8"/>
  <c r="L151" i="8"/>
  <c r="M151" i="8"/>
  <c r="N151" i="8"/>
  <c r="I151" i="8"/>
  <c r="G151" i="8"/>
  <c r="O151" i="8"/>
  <c r="H151" i="8"/>
  <c r="P151" i="8"/>
  <c r="J89" i="10"/>
  <c r="J96" i="10" s="1"/>
  <c r="H23" i="8"/>
  <c r="S8" i="8"/>
  <c r="R50" i="8"/>
  <c r="G22" i="9"/>
  <c r="F56" i="8"/>
  <c r="F57" i="8" s="1"/>
  <c r="F49" i="8"/>
  <c r="S10" i="8"/>
  <c r="S9" i="8"/>
  <c r="K26" i="8"/>
  <c r="L26" i="8" s="1"/>
  <c r="M26" i="8" s="1"/>
  <c r="H25" i="8"/>
  <c r="I25" i="8" s="1"/>
  <c r="J25" i="8" s="1"/>
  <c r="K25" i="8" s="1"/>
  <c r="L25" i="8" s="1"/>
  <c r="M25" i="8" s="1"/>
  <c r="N25" i="8" s="1"/>
  <c r="O25" i="8" s="1"/>
  <c r="P25" i="8" s="1"/>
  <c r="Q25" i="8" s="1"/>
  <c r="H24" i="8"/>
  <c r="I24" i="8" s="1"/>
  <c r="J24" i="8" s="1"/>
  <c r="K24" i="8" s="1"/>
  <c r="L24" i="8" s="1"/>
  <c r="M24" i="8" s="1"/>
  <c r="H31" i="11"/>
  <c r="R42" i="11"/>
  <c r="F45" i="11"/>
  <c r="C56" i="11"/>
  <c r="C48" i="11"/>
  <c r="C41" i="11"/>
  <c r="C179" i="8"/>
  <c r="N27" i="11"/>
  <c r="C170" i="10" s="1"/>
  <c r="I112" i="10"/>
  <c r="J112" i="10" s="1"/>
  <c r="I110" i="10"/>
  <c r="I109" i="10"/>
  <c r="I120" i="10"/>
  <c r="I122" i="10"/>
  <c r="J122" i="10" s="1"/>
  <c r="I117" i="10"/>
  <c r="I121" i="10"/>
  <c r="J121" i="10" s="1"/>
  <c r="G25" i="10"/>
  <c r="J25" i="10" s="1"/>
  <c r="G24" i="10"/>
  <c r="J24" i="10" s="1"/>
  <c r="C25" i="10"/>
  <c r="C26" i="10" s="1"/>
  <c r="C24" i="10"/>
  <c r="T11" i="10"/>
  <c r="T10" i="10"/>
  <c r="I23" i="10"/>
  <c r="H23" i="10"/>
  <c r="S21" i="10"/>
  <c r="S20" i="10"/>
  <c r="S12" i="10"/>
  <c r="R12" i="10"/>
  <c r="Q12" i="10"/>
  <c r="P12" i="10"/>
  <c r="O12" i="10"/>
  <c r="N12" i="10"/>
  <c r="M12" i="10"/>
  <c r="L12" i="10"/>
  <c r="K12" i="10"/>
  <c r="I12" i="10"/>
  <c r="H12" i="10"/>
  <c r="T9" i="10"/>
  <c r="B82" i="14"/>
  <c r="H82" i="14" s="1"/>
  <c r="B83" i="14"/>
  <c r="H83" i="14" s="1"/>
  <c r="N26" i="11"/>
  <c r="G264" i="10"/>
  <c r="B278" i="10"/>
  <c r="B89" i="14" s="1"/>
  <c r="B277" i="10"/>
  <c r="B88" i="14" s="1"/>
  <c r="H88" i="14" s="1"/>
  <c r="B270" i="10"/>
  <c r="B81" i="14" s="1"/>
  <c r="B268" i="10"/>
  <c r="B269" i="10"/>
  <c r="B80" i="14" s="1"/>
  <c r="H80" i="14" s="1"/>
  <c r="B280" i="10"/>
  <c r="B90" i="14" s="1"/>
  <c r="H90" i="14" s="1"/>
  <c r="B266" i="10"/>
  <c r="B77" i="14" s="1"/>
  <c r="H77" i="14" s="1"/>
  <c r="T256" i="10"/>
  <c r="T268" i="10" s="1"/>
  <c r="G256" i="10"/>
  <c r="G268" i="10" s="1"/>
  <c r="B256" i="10"/>
  <c r="B264" i="10"/>
  <c r="B76" i="14" s="1"/>
  <c r="B16" i="14" s="1"/>
  <c r="B263" i="10"/>
  <c r="B75" i="14" s="1"/>
  <c r="B262" i="10"/>
  <c r="B74" i="14" s="1"/>
  <c r="B15" i="14" s="1"/>
  <c r="S278" i="10"/>
  <c r="S277" i="10"/>
  <c r="C188" i="10"/>
  <c r="C187" i="10"/>
  <c r="D187" i="10" s="1"/>
  <c r="T179" i="10"/>
  <c r="T178" i="10"/>
  <c r="T176" i="10"/>
  <c r="T174" i="10"/>
  <c r="T169" i="10"/>
  <c r="T149" i="10"/>
  <c r="G31" i="11"/>
  <c r="F31" i="11"/>
  <c r="B167" i="10"/>
  <c r="B273" i="10" s="1"/>
  <c r="B84" i="14" s="1"/>
  <c r="H84" i="14" s="1"/>
  <c r="F47" i="11"/>
  <c r="F51" i="11" s="1"/>
  <c r="G49" i="11"/>
  <c r="O222" i="18" l="1"/>
  <c r="R233" i="18"/>
  <c r="C56" i="14" s="1"/>
  <c r="H49" i="11"/>
  <c r="J59" i="11" a="1"/>
  <c r="J59" i="11" s="1"/>
  <c r="H59" i="11" a="1"/>
  <c r="H59" i="11" s="1"/>
  <c r="M59" i="11" a="1"/>
  <c r="M59" i="11" s="1"/>
  <c r="N59" i="11" a="1"/>
  <c r="N59" i="11" s="1"/>
  <c r="I59" i="11" a="1"/>
  <c r="I59" i="11" s="1"/>
  <c r="O59" i="11" a="1"/>
  <c r="O59" i="11" s="1"/>
  <c r="K59" i="11" a="1"/>
  <c r="K59" i="11" s="1"/>
  <c r="G59" i="11" a="1"/>
  <c r="G59" i="11" s="1"/>
  <c r="L59" i="11" a="1"/>
  <c r="L59" i="11" s="1"/>
  <c r="H48" i="11"/>
  <c r="K143" i="18"/>
  <c r="Q20" i="23"/>
  <c r="Q20" i="15"/>
  <c r="Q20" i="20"/>
  <c r="Q4" i="18"/>
  <c r="R19" i="23" s="1"/>
  <c r="Q19" i="20"/>
  <c r="Q5" i="18"/>
  <c r="P215" i="18"/>
  <c r="P226" i="18"/>
  <c r="H126" i="10"/>
  <c r="K106" i="10"/>
  <c r="J99" i="10"/>
  <c r="J102" i="10"/>
  <c r="J101" i="10"/>
  <c r="D105" i="10"/>
  <c r="D106" i="10"/>
  <c r="D127" i="10" s="1"/>
  <c r="J57" i="10"/>
  <c r="K24" i="10"/>
  <c r="K56" i="10" s="1"/>
  <c r="J12" i="10"/>
  <c r="J56" i="10"/>
  <c r="G57" i="10"/>
  <c r="G56" i="10"/>
  <c r="T8" i="10"/>
  <c r="C27" i="10"/>
  <c r="K27" i="10" s="1"/>
  <c r="K26" i="10"/>
  <c r="K25" i="10"/>
  <c r="K57" i="10" s="1"/>
  <c r="T6" i="10"/>
  <c r="T7" i="10"/>
  <c r="H81" i="14"/>
  <c r="B22" i="14"/>
  <c r="H22" i="14" s="1"/>
  <c r="G11" i="19"/>
  <c r="P54" i="18"/>
  <c r="P56" i="18" s="1"/>
  <c r="Q34" i="18"/>
  <c r="Q54" i="18" s="1"/>
  <c r="Q56" i="18" s="1"/>
  <c r="AA21" i="18" a="1"/>
  <c r="I23" i="8"/>
  <c r="J23" i="8" s="1"/>
  <c r="K23" i="8" s="1"/>
  <c r="L23" i="8" s="1"/>
  <c r="M23" i="8" s="1"/>
  <c r="J117" i="10"/>
  <c r="T117" i="10" s="1"/>
  <c r="J110" i="10"/>
  <c r="T110" i="10" s="1"/>
  <c r="I114" i="10"/>
  <c r="T89" i="10"/>
  <c r="O166" i="8"/>
  <c r="O165" i="8"/>
  <c r="O167" i="8"/>
  <c r="M167" i="8"/>
  <c r="M166" i="8"/>
  <c r="M165" i="8"/>
  <c r="I165" i="8"/>
  <c r="I167" i="8"/>
  <c r="I166" i="8"/>
  <c r="F146" i="8"/>
  <c r="G160" i="8"/>
  <c r="G165" i="8"/>
  <c r="G167" i="8"/>
  <c r="G166" i="8"/>
  <c r="F160" i="8"/>
  <c r="L165" i="8"/>
  <c r="L167" i="8"/>
  <c r="L166" i="8"/>
  <c r="H167" i="8"/>
  <c r="H165" i="8"/>
  <c r="H166" i="8"/>
  <c r="K165" i="8"/>
  <c r="K167" i="8"/>
  <c r="K166" i="8"/>
  <c r="J167" i="8"/>
  <c r="J166" i="8"/>
  <c r="J165" i="8"/>
  <c r="N167" i="8"/>
  <c r="N165" i="8"/>
  <c r="N166" i="8"/>
  <c r="P166" i="8"/>
  <c r="P167" i="8"/>
  <c r="P165" i="8"/>
  <c r="G47" i="11"/>
  <c r="L127" i="10"/>
  <c r="L129" i="10" s="1"/>
  <c r="J120" i="10"/>
  <c r="F211" i="8"/>
  <c r="G57" i="8"/>
  <c r="G45" i="11"/>
  <c r="S280" i="10"/>
  <c r="T122" i="10"/>
  <c r="J109" i="10"/>
  <c r="T109" i="10" s="1"/>
  <c r="T112" i="10"/>
  <c r="T121" i="10"/>
  <c r="I119" i="10"/>
  <c r="I124" i="10" s="1"/>
  <c r="S22" i="10"/>
  <c r="Q222" i="18" l="1"/>
  <c r="P222" i="18"/>
  <c r="E56" i="14"/>
  <c r="D56" i="14"/>
  <c r="K58" i="11" a="1"/>
  <c r="K58" i="11" s="1"/>
  <c r="K53" i="11" s="1"/>
  <c r="L58" i="11" a="1"/>
  <c r="L58" i="11" s="1"/>
  <c r="L53" i="11" s="1"/>
  <c r="G58" i="11" a="1"/>
  <c r="G58" i="11" s="1"/>
  <c r="G53" i="11" s="1"/>
  <c r="H58" i="11" a="1"/>
  <c r="H58" i="11" s="1"/>
  <c r="H53" i="11" s="1"/>
  <c r="M58" i="11" a="1"/>
  <c r="M58" i="11" s="1"/>
  <c r="M53" i="11" s="1"/>
  <c r="I58" i="11" a="1"/>
  <c r="I58" i="11" s="1"/>
  <c r="I53" i="11" s="1"/>
  <c r="N58" i="11" a="1"/>
  <c r="N58" i="11" s="1"/>
  <c r="N53" i="11" s="1"/>
  <c r="O58" i="11" a="1"/>
  <c r="O58" i="11" s="1"/>
  <c r="O53" i="11" s="1"/>
  <c r="J58" i="11" a="1"/>
  <c r="J58" i="11" s="1"/>
  <c r="J53" i="11" s="1"/>
  <c r="H45" i="11"/>
  <c r="I45" i="11" s="1"/>
  <c r="J45" i="11" s="1"/>
  <c r="K45" i="11" s="1"/>
  <c r="L45" i="11" s="1"/>
  <c r="M45" i="11" s="1"/>
  <c r="N45" i="11" s="1"/>
  <c r="O45" i="11" s="1"/>
  <c r="I48" i="11"/>
  <c r="J57" i="11" a="1"/>
  <c r="J57" i="11" s="1"/>
  <c r="J52" i="11" s="1"/>
  <c r="L57" i="11" a="1"/>
  <c r="L57" i="11" s="1"/>
  <c r="L52" i="11" s="1"/>
  <c r="O57" i="11" a="1"/>
  <c r="O57" i="11" s="1"/>
  <c r="O52" i="11" s="1"/>
  <c r="K57" i="11" a="1"/>
  <c r="K57" i="11" s="1"/>
  <c r="K52" i="11" s="1"/>
  <c r="G57" i="11" a="1"/>
  <c r="G57" i="11" s="1"/>
  <c r="G52" i="11" s="1"/>
  <c r="H57" i="11" a="1"/>
  <c r="H57" i="11" s="1"/>
  <c r="H52" i="11" s="1"/>
  <c r="M57" i="11" a="1"/>
  <c r="M57" i="11" s="1"/>
  <c r="M52" i="11" s="1"/>
  <c r="I57" i="11" a="1"/>
  <c r="I57" i="11" s="1"/>
  <c r="N57" i="11" a="1"/>
  <c r="N57" i="11" s="1"/>
  <c r="N52" i="11" s="1"/>
  <c r="K56" i="11" a="1"/>
  <c r="K56" i="11" s="1"/>
  <c r="N56" i="11" a="1"/>
  <c r="N56" i="11" s="1"/>
  <c r="L56" i="11" a="1"/>
  <c r="L56" i="11" s="1"/>
  <c r="L60" i="11" s="1"/>
  <c r="M56" i="11" a="1"/>
  <c r="M56" i="11" s="1"/>
  <c r="H56" i="11" a="1"/>
  <c r="H56" i="11" s="1"/>
  <c r="O56" i="11" a="1"/>
  <c r="O56" i="11" s="1"/>
  <c r="J56" i="11" a="1"/>
  <c r="J56" i="11" s="1"/>
  <c r="G56" i="11" a="1"/>
  <c r="G56" i="11" s="1"/>
  <c r="I49" i="11"/>
  <c r="R20" i="23"/>
  <c r="R20" i="15"/>
  <c r="R20" i="20"/>
  <c r="R19" i="20"/>
  <c r="Q215" i="18"/>
  <c r="Q226" i="18"/>
  <c r="F63" i="15"/>
  <c r="K126" i="10"/>
  <c r="L156" i="10"/>
  <c r="H155" i="10"/>
  <c r="K156" i="10"/>
  <c r="K155" i="10"/>
  <c r="J155" i="10"/>
  <c r="I155" i="10"/>
  <c r="J156" i="10"/>
  <c r="I156" i="10"/>
  <c r="L152" i="10"/>
  <c r="K151" i="10"/>
  <c r="G60" i="10"/>
  <c r="J105" i="10"/>
  <c r="I105" i="10"/>
  <c r="L26" i="10"/>
  <c r="K58" i="10"/>
  <c r="T12" i="10"/>
  <c r="L27" i="10"/>
  <c r="K59" i="10"/>
  <c r="C13" i="10"/>
  <c r="G17" i="19"/>
  <c r="AG11" i="19"/>
  <c r="M55" i="18"/>
  <c r="N55" i="18"/>
  <c r="O55" i="18"/>
  <c r="P55" i="18"/>
  <c r="AA21" i="18"/>
  <c r="N57" i="18"/>
  <c r="N121" i="18" s="1"/>
  <c r="O57" i="18"/>
  <c r="O121" i="18" s="1"/>
  <c r="Q57" i="18"/>
  <c r="Q223" i="18" s="1"/>
  <c r="P57" i="18"/>
  <c r="P223" i="18" s="1"/>
  <c r="J114" i="10"/>
  <c r="H47" i="11"/>
  <c r="T120" i="10"/>
  <c r="L25" i="10"/>
  <c r="N270" i="10"/>
  <c r="O270" i="10"/>
  <c r="M270" i="10"/>
  <c r="P270" i="10"/>
  <c r="Q270" i="10"/>
  <c r="R270" i="10"/>
  <c r="J119" i="10"/>
  <c r="T119" i="10" s="1"/>
  <c r="L24" i="10"/>
  <c r="L56" i="10" s="1"/>
  <c r="P121" i="18" l="1"/>
  <c r="P124" i="18" s="1"/>
  <c r="P232" i="18" s="1"/>
  <c r="Q121" i="18"/>
  <c r="O223" i="18"/>
  <c r="N223" i="18"/>
  <c r="J60" i="11"/>
  <c r="O60" i="11"/>
  <c r="G60" i="11"/>
  <c r="M60" i="11"/>
  <c r="K60" i="11"/>
  <c r="H60" i="11"/>
  <c r="N60" i="11"/>
  <c r="I52" i="11"/>
  <c r="I60" i="11"/>
  <c r="H51" i="11"/>
  <c r="G51" i="11"/>
  <c r="J49" i="11"/>
  <c r="J48" i="11"/>
  <c r="F64" i="15"/>
  <c r="F66" i="15" s="1"/>
  <c r="F63" i="20"/>
  <c r="L159" i="10"/>
  <c r="W129" i="10"/>
  <c r="T105" i="10"/>
  <c r="J106" i="10"/>
  <c r="G263" i="10"/>
  <c r="G165" i="10"/>
  <c r="G167" i="10" s="1"/>
  <c r="G273" i="10" s="1"/>
  <c r="M25" i="10"/>
  <c r="L57" i="10"/>
  <c r="M27" i="10"/>
  <c r="L59" i="10"/>
  <c r="M26" i="10"/>
  <c r="L58" i="10"/>
  <c r="AH11" i="19"/>
  <c r="O124" i="18"/>
  <c r="O232" i="18" s="1"/>
  <c r="N124" i="18"/>
  <c r="N232" i="18" s="1"/>
  <c r="AA22" i="18"/>
  <c r="AA23" i="18" s="1"/>
  <c r="AA24" i="18" s="1"/>
  <c r="AA30" i="18" s="1"/>
  <c r="J124" i="10"/>
  <c r="I47" i="11"/>
  <c r="I51" i="11" s="1"/>
  <c r="T99" i="10"/>
  <c r="I106" i="10"/>
  <c r="K48" i="11" l="1"/>
  <c r="K49" i="11"/>
  <c r="F65" i="15"/>
  <c r="J126" i="10"/>
  <c r="I126" i="10"/>
  <c r="N26" i="10"/>
  <c r="M58" i="10"/>
  <c r="N27" i="10"/>
  <c r="M59" i="10"/>
  <c r="N25" i="10"/>
  <c r="M57" i="10"/>
  <c r="L55" i="18"/>
  <c r="P138" i="18"/>
  <c r="Q124" i="18"/>
  <c r="Q232" i="18" s="1"/>
  <c r="O138" i="18"/>
  <c r="P43" i="20" s="1"/>
  <c r="N138" i="18"/>
  <c r="O43" i="20" s="1"/>
  <c r="J47" i="11"/>
  <c r="J51" i="11" s="1"/>
  <c r="C63" i="10"/>
  <c r="W194" i="10" s="1"/>
  <c r="L49" i="11" l="1"/>
  <c r="L48" i="11"/>
  <c r="P44" i="20"/>
  <c r="P45" i="20"/>
  <c r="O44" i="20"/>
  <c r="O45" i="20"/>
  <c r="M44" i="23"/>
  <c r="P141" i="18"/>
  <c r="P235" i="18" s="1"/>
  <c r="Q43" i="20"/>
  <c r="T126" i="10"/>
  <c r="L56" i="18"/>
  <c r="L58" i="18" s="1"/>
  <c r="O25" i="10"/>
  <c r="N57" i="10"/>
  <c r="O27" i="10"/>
  <c r="N59" i="10"/>
  <c r="O26" i="10"/>
  <c r="N58" i="10"/>
  <c r="L124" i="18"/>
  <c r="L232" i="18" s="1"/>
  <c r="N141" i="18"/>
  <c r="N235" i="18" s="1"/>
  <c r="O141" i="18"/>
  <c r="O235" i="18" s="1"/>
  <c r="Q138" i="18"/>
  <c r="K47" i="11"/>
  <c r="K51" i="11" s="1"/>
  <c r="T102" i="10"/>
  <c r="T106" i="10"/>
  <c r="U106" i="10" s="1"/>
  <c r="H3" i="10"/>
  <c r="M48" i="11" l="1"/>
  <c r="M49" i="11"/>
  <c r="P143" i="18"/>
  <c r="Q45" i="20"/>
  <c r="Q44" i="20"/>
  <c r="R43" i="23"/>
  <c r="R45" i="23" s="1"/>
  <c r="R43" i="20"/>
  <c r="M57" i="18"/>
  <c r="M121" i="18" s="1"/>
  <c r="L222" i="18"/>
  <c r="R56" i="18"/>
  <c r="R222" i="18" s="1"/>
  <c r="P26" i="10"/>
  <c r="O58" i="10"/>
  <c r="P27" i="10"/>
  <c r="O59" i="10"/>
  <c r="P25" i="10"/>
  <c r="O57" i="10"/>
  <c r="N143" i="18"/>
  <c r="O143" i="18"/>
  <c r="L141" i="18"/>
  <c r="Q141" i="18"/>
  <c r="Q235" i="18" s="1"/>
  <c r="L47" i="11"/>
  <c r="L51" i="11" s="1"/>
  <c r="H52" i="10"/>
  <c r="I3" i="10"/>
  <c r="C5" i="24" s="1"/>
  <c r="H65" i="10"/>
  <c r="H264" i="10" s="1"/>
  <c r="M223" i="18" l="1"/>
  <c r="F5" i="24"/>
  <c r="C8" i="24"/>
  <c r="C9" i="24" s="1"/>
  <c r="L143" i="18"/>
  <c r="L235" i="18"/>
  <c r="N49" i="11"/>
  <c r="N48" i="11"/>
  <c r="R47" i="23"/>
  <c r="R46" i="23"/>
  <c r="R45" i="20"/>
  <c r="R44" i="20"/>
  <c r="M124" i="18"/>
  <c r="C45" i="14"/>
  <c r="C13" i="14" s="1"/>
  <c r="Q25" i="10"/>
  <c r="P57" i="10"/>
  <c r="Q27" i="10"/>
  <c r="P59" i="10"/>
  <c r="Q26" i="10"/>
  <c r="P58" i="10"/>
  <c r="Q143" i="18"/>
  <c r="M47" i="11"/>
  <c r="M51" i="11" s="1"/>
  <c r="J3" i="10"/>
  <c r="I65" i="10"/>
  <c r="I264" i="10" s="1"/>
  <c r="C13" i="24" l="1"/>
  <c r="I5" i="24"/>
  <c r="F8" i="24"/>
  <c r="M232" i="18"/>
  <c r="O48" i="11"/>
  <c r="O49" i="11"/>
  <c r="M138" i="18"/>
  <c r="D45" i="14"/>
  <c r="E45" i="14"/>
  <c r="R26" i="10"/>
  <c r="R58" i="10" s="1"/>
  <c r="Q58" i="10"/>
  <c r="R27" i="10"/>
  <c r="R59" i="10" s="1"/>
  <c r="Q59" i="10"/>
  <c r="R25" i="10"/>
  <c r="R57" i="10" s="1"/>
  <c r="Q57" i="10"/>
  <c r="N47" i="11"/>
  <c r="N51" i="11" s="1"/>
  <c r="K3" i="10"/>
  <c r="J65" i="10"/>
  <c r="J264" i="10" s="1"/>
  <c r="L5" i="24" l="1"/>
  <c r="I8" i="24"/>
  <c r="F13" i="24"/>
  <c r="F9" i="24"/>
  <c r="N43" i="20"/>
  <c r="R138" i="18"/>
  <c r="U138" i="18" s="1"/>
  <c r="M141" i="18"/>
  <c r="O47" i="11"/>
  <c r="O51" i="11" s="1"/>
  <c r="L3" i="10"/>
  <c r="K65" i="10"/>
  <c r="K264" i="10" s="1"/>
  <c r="I13" i="24" l="1"/>
  <c r="I9" i="24"/>
  <c r="O5" i="24"/>
  <c r="L8" i="24"/>
  <c r="M235" i="18"/>
  <c r="N44" i="20"/>
  <c r="N45" i="20"/>
  <c r="M143" i="18"/>
  <c r="M3" i="10"/>
  <c r="L65" i="10"/>
  <c r="L264" i="10" s="1"/>
  <c r="L13" i="24" l="1"/>
  <c r="L9" i="24"/>
  <c r="R5" i="24"/>
  <c r="O8" i="24"/>
  <c r="N3" i="10"/>
  <c r="M65" i="10"/>
  <c r="M264" i="10" s="1"/>
  <c r="U5" i="24" l="1"/>
  <c r="R8" i="24"/>
  <c r="O13" i="24"/>
  <c r="O9" i="24"/>
  <c r="O3" i="10"/>
  <c r="R13" i="24" l="1"/>
  <c r="R9" i="24"/>
  <c r="X5" i="24"/>
  <c r="U8" i="24"/>
  <c r="O65" i="10"/>
  <c r="P3" i="10"/>
  <c r="X8" i="24" l="1"/>
  <c r="U13" i="24"/>
  <c r="U9" i="24"/>
  <c r="O264" i="10"/>
  <c r="P65" i="10"/>
  <c r="Q3" i="10"/>
  <c r="X13" i="24" l="1"/>
  <c r="X9" i="24"/>
  <c r="P264" i="10"/>
  <c r="Q65" i="10"/>
  <c r="R3" i="10"/>
  <c r="B66" i="14"/>
  <c r="Q264" i="10" l="1"/>
  <c r="G44" i="9"/>
  <c r="H44" i="9"/>
  <c r="I44" i="9"/>
  <c r="J44" i="9"/>
  <c r="K44" i="9"/>
  <c r="L44" i="9"/>
  <c r="M44" i="9"/>
  <c r="N44" i="9"/>
  <c r="O44" i="9"/>
  <c r="P44" i="9"/>
  <c r="Q44" i="9"/>
  <c r="R44" i="9"/>
  <c r="F44" i="9"/>
  <c r="B43" i="9"/>
  <c r="H36" i="9"/>
  <c r="I36" i="9"/>
  <c r="J36" i="9"/>
  <c r="K36" i="9"/>
  <c r="L36" i="9"/>
  <c r="M36" i="9"/>
  <c r="N36" i="9"/>
  <c r="O36" i="9"/>
  <c r="P36" i="9"/>
  <c r="Q36" i="9"/>
  <c r="R36" i="9"/>
  <c r="B34" i="9"/>
  <c r="B24" i="9"/>
  <c r="F34" i="9"/>
  <c r="F24" i="9"/>
  <c r="F43" i="9"/>
  <c r="F18" i="9"/>
  <c r="C172" i="8"/>
  <c r="E172" i="8" s="1"/>
  <c r="D201" i="8"/>
  <c r="C219" i="8"/>
  <c r="E219" i="8" s="1"/>
  <c r="E220" i="8" s="1"/>
  <c r="C215" i="8"/>
  <c r="P6" i="11"/>
  <c r="F46" i="11"/>
  <c r="G46" i="11" s="1"/>
  <c r="H46" i="11" s="1"/>
  <c r="I46" i="11" s="1"/>
  <c r="J46" i="11" s="1"/>
  <c r="K46" i="11" s="1"/>
  <c r="L46" i="11" s="1"/>
  <c r="M46" i="11" s="1"/>
  <c r="N46" i="11" s="1"/>
  <c r="O46" i="11" s="1"/>
  <c r="F3" i="8"/>
  <c r="F203" i="8" s="1"/>
  <c r="H43" i="8" l="1"/>
  <c r="H76" i="8"/>
  <c r="F76" i="8"/>
  <c r="K76" i="8"/>
  <c r="I76" i="8"/>
  <c r="J76" i="8"/>
  <c r="L76" i="8"/>
  <c r="O76" i="8"/>
  <c r="P76" i="8"/>
  <c r="G76" i="8"/>
  <c r="Q76" i="8"/>
  <c r="M76" i="8"/>
  <c r="N76" i="8"/>
  <c r="S7" i="8"/>
  <c r="Y29" i="8"/>
  <c r="F209" i="8"/>
  <c r="T133" i="10"/>
  <c r="J23" i="10"/>
  <c r="K23" i="10" s="1"/>
  <c r="L23" i="10" s="1"/>
  <c r="M23" i="10" s="1"/>
  <c r="N23" i="10" s="1"/>
  <c r="O23" i="10" s="1"/>
  <c r="P23" i="10" s="1"/>
  <c r="Q23" i="10" s="1"/>
  <c r="R23" i="10" s="1"/>
  <c r="S23" i="10" s="1"/>
  <c r="G3" i="8"/>
  <c r="F19" i="9"/>
  <c r="F20" i="9" s="1"/>
  <c r="F52" i="9" s="1"/>
  <c r="E4" i="8"/>
  <c r="N55" i="9"/>
  <c r="R55" i="9"/>
  <c r="Q55" i="9"/>
  <c r="J55" i="9"/>
  <c r="M55" i="9"/>
  <c r="L55" i="9"/>
  <c r="K55" i="9"/>
  <c r="I55" i="9"/>
  <c r="P55" i="9"/>
  <c r="O55" i="9"/>
  <c r="H55" i="9"/>
  <c r="F45" i="9"/>
  <c r="D44" i="9"/>
  <c r="G209" i="8" l="1"/>
  <c r="H23" i="9"/>
  <c r="G23" i="9"/>
  <c r="G19" i="9"/>
  <c r="H19" i="9" s="1"/>
  <c r="I19" i="9" s="1"/>
  <c r="J19" i="9" s="1"/>
  <c r="K19" i="9" s="1"/>
  <c r="L19" i="9" s="1"/>
  <c r="M19" i="9" s="1"/>
  <c r="N19" i="9" s="1"/>
  <c r="O19" i="9" s="1"/>
  <c r="P19" i="9" s="1"/>
  <c r="Q19" i="9" s="1"/>
  <c r="R19" i="9" s="1"/>
  <c r="H3" i="8"/>
  <c r="G20" i="9"/>
  <c r="G52" i="9" s="1"/>
  <c r="H20" i="9" l="1"/>
  <c r="H52" i="9" s="1"/>
  <c r="I3" i="8"/>
  <c r="I20" i="9" l="1"/>
  <c r="I52" i="9" s="1"/>
  <c r="J3" i="8"/>
  <c r="J20" i="9" l="1"/>
  <c r="J52" i="9" s="1"/>
  <c r="K3" i="8"/>
  <c r="K20" i="9" l="1"/>
  <c r="L20" i="9" s="1"/>
  <c r="L3" i="8"/>
  <c r="K52" i="9" l="1"/>
  <c r="M3" i="8"/>
  <c r="M20" i="9"/>
  <c r="L52" i="9"/>
  <c r="N3" i="8" l="1"/>
  <c r="N20" i="9"/>
  <c r="M52" i="9"/>
  <c r="O3" i="8" l="1"/>
  <c r="O20" i="9"/>
  <c r="N52" i="9"/>
  <c r="P3" i="8" l="1"/>
  <c r="P20" i="9"/>
  <c r="O52" i="9"/>
  <c r="Q3" i="8" l="1"/>
  <c r="Q20" i="9"/>
  <c r="P52" i="9"/>
  <c r="R20" i="9" l="1"/>
  <c r="R52" i="9" s="1"/>
  <c r="Q52" i="9"/>
  <c r="G18" i="9" l="1"/>
  <c r="H18" i="9"/>
  <c r="I18" i="9"/>
  <c r="J18" i="9"/>
  <c r="K18" i="9"/>
  <c r="L18" i="9"/>
  <c r="M18" i="9"/>
  <c r="N18" i="9"/>
  <c r="O18" i="9"/>
  <c r="D4" i="12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AG4" i="12" s="1"/>
  <c r="AH4" i="12" s="1"/>
  <c r="AI4" i="12" s="1"/>
  <c r="AJ4" i="12" s="1"/>
  <c r="AK4" i="12" s="1"/>
  <c r="AL4" i="12" s="1"/>
  <c r="AM4" i="12" s="1"/>
  <c r="AN4" i="12" s="1"/>
  <c r="AO4" i="12" s="1"/>
  <c r="AP4" i="12" s="1"/>
  <c r="AQ4" i="12" s="1"/>
  <c r="AR4" i="12" s="1"/>
  <c r="AS4" i="12" s="1"/>
  <c r="AT4" i="12" s="1"/>
  <c r="AU4" i="12" s="1"/>
  <c r="AV4" i="12" s="1"/>
  <c r="AW4" i="12" s="1"/>
  <c r="AX4" i="12" s="1"/>
  <c r="AY4" i="12" s="1"/>
  <c r="AZ4" i="12" s="1"/>
  <c r="BA4" i="12" s="1"/>
  <c r="BB4" i="12" s="1"/>
  <c r="BC4" i="12" s="1"/>
  <c r="BD4" i="12" s="1"/>
  <c r="BE4" i="12" s="1"/>
  <c r="BF4" i="12" s="1"/>
  <c r="BG4" i="12" s="1"/>
  <c r="BH4" i="12" s="1"/>
  <c r="BI4" i="12" s="1"/>
  <c r="BJ4" i="12" s="1"/>
  <c r="BK4" i="12" s="1"/>
  <c r="BL4" i="12" s="1"/>
  <c r="BM4" i="12" s="1"/>
  <c r="BN4" i="12" s="1"/>
  <c r="BO4" i="12" s="1"/>
  <c r="BP4" i="12" s="1"/>
  <c r="BQ4" i="12" s="1"/>
  <c r="BR4" i="12" s="1"/>
  <c r="BS4" i="12" s="1"/>
  <c r="BT4" i="12" s="1"/>
  <c r="BU4" i="12" s="1"/>
  <c r="BV4" i="12" s="1"/>
  <c r="BW4" i="12" s="1"/>
  <c r="BX4" i="12" s="1"/>
  <c r="BY4" i="12" s="1"/>
  <c r="BZ4" i="12" s="1"/>
  <c r="CA4" i="12" s="1"/>
  <c r="CB4" i="12" s="1"/>
  <c r="CC4" i="12" s="1"/>
  <c r="CD4" i="12" s="1"/>
  <c r="CE4" i="12" s="1"/>
  <c r="CF4" i="12" s="1"/>
  <c r="CG4" i="12" s="1"/>
  <c r="CH4" i="12" s="1"/>
  <c r="CI4" i="12" s="1"/>
  <c r="CJ4" i="12" s="1"/>
  <c r="CK4" i="12" s="1"/>
  <c r="CL4" i="12" s="1"/>
  <c r="CM4" i="12" s="1"/>
  <c r="CN4" i="12" s="1"/>
  <c r="CO4" i="12" s="1"/>
  <c r="CP4" i="12" s="1"/>
  <c r="CQ4" i="12" s="1"/>
  <c r="CR4" i="12" s="1"/>
  <c r="CS4" i="12" s="1"/>
  <c r="CT4" i="12" s="1"/>
  <c r="CU4" i="12" s="1"/>
  <c r="CV4" i="12" s="1"/>
  <c r="CW4" i="12" s="1"/>
  <c r="CX4" i="12" s="1"/>
  <c r="CY4" i="12" s="1"/>
  <c r="CZ4" i="12" s="1"/>
  <c r="DA4" i="12" s="1"/>
  <c r="DB4" i="12" s="1"/>
  <c r="DC4" i="12" s="1"/>
  <c r="DD4" i="12" s="1"/>
  <c r="DE4" i="12" s="1"/>
  <c r="DF4" i="12" s="1"/>
  <c r="DG4" i="12" s="1"/>
  <c r="DH4" i="12" s="1"/>
  <c r="DI4" i="12" s="1"/>
  <c r="DJ4" i="12" s="1"/>
  <c r="DK4" i="12" s="1"/>
  <c r="DL4" i="12" s="1"/>
  <c r="DM4" i="12" s="1"/>
  <c r="DN4" i="12" s="1"/>
  <c r="DO4" i="12" s="1"/>
  <c r="DP4" i="12" s="1"/>
  <c r="DQ4" i="12" s="1"/>
  <c r="DR4" i="12" s="1"/>
  <c r="G39" i="11"/>
  <c r="H39" i="11" s="1"/>
  <c r="I39" i="11" s="1"/>
  <c r="J39" i="11" s="1"/>
  <c r="K39" i="11" s="1"/>
  <c r="L39" i="11" s="1"/>
  <c r="M39" i="11" s="1"/>
  <c r="N39" i="11" s="1"/>
  <c r="O39" i="11" s="1"/>
  <c r="P39" i="11" s="1"/>
  <c r="Q39" i="11" s="1"/>
  <c r="R40" i="11"/>
  <c r="C49" i="11" l="1"/>
  <c r="C57" i="11"/>
  <c r="C6" i="12"/>
  <c r="C28" i="12"/>
  <c r="C42" i="11"/>
  <c r="D5" i="12"/>
  <c r="D19" i="12" s="1"/>
  <c r="C11" i="12"/>
  <c r="C66" i="11"/>
  <c r="H4" i="10"/>
  <c r="B147" i="10"/>
  <c r="G147" i="10"/>
  <c r="G271" i="10" s="1"/>
  <c r="I147" i="10"/>
  <c r="I271" i="10" s="1"/>
  <c r="J147" i="10"/>
  <c r="J271" i="10" s="1"/>
  <c r="K147" i="10"/>
  <c r="K271" i="10" s="1"/>
  <c r="L147" i="10"/>
  <c r="L271" i="10" s="1"/>
  <c r="M147" i="10"/>
  <c r="M271" i="10" s="1"/>
  <c r="N147" i="10"/>
  <c r="N271" i="10" s="1"/>
  <c r="O147" i="10"/>
  <c r="O271" i="10" s="1"/>
  <c r="P147" i="10"/>
  <c r="P271" i="10" s="1"/>
  <c r="Q147" i="10"/>
  <c r="Q271" i="10" s="1"/>
  <c r="R147" i="10"/>
  <c r="R271" i="10" s="1"/>
  <c r="H150" i="10"/>
  <c r="I150" i="10"/>
  <c r="J150" i="10"/>
  <c r="K150" i="10"/>
  <c r="G154" i="10"/>
  <c r="T155" i="10"/>
  <c r="L160" i="10"/>
  <c r="L272" i="10" s="1"/>
  <c r="M160" i="10"/>
  <c r="M272" i="10" s="1"/>
  <c r="N160" i="10"/>
  <c r="N272" i="10" s="1"/>
  <c r="O160" i="10"/>
  <c r="O272" i="10" s="1"/>
  <c r="P160" i="10"/>
  <c r="P272" i="10" s="1"/>
  <c r="Q160" i="10"/>
  <c r="Q272" i="10" s="1"/>
  <c r="R160" i="10"/>
  <c r="R272" i="10" s="1"/>
  <c r="B160" i="10"/>
  <c r="B172" i="10"/>
  <c r="B274" i="10" s="1"/>
  <c r="B85" i="14" s="1"/>
  <c r="H85" i="14" s="1"/>
  <c r="B177" i="10"/>
  <c r="B275" i="10" s="1"/>
  <c r="B86" i="14" s="1"/>
  <c r="H86" i="14" s="1"/>
  <c r="B181" i="10"/>
  <c r="B276" i="10" s="1"/>
  <c r="B87" i="14" s="1"/>
  <c r="H87" i="14" s="1"/>
  <c r="B254" i="10"/>
  <c r="H70" i="14"/>
  <c r="B72" i="14"/>
  <c r="H72" i="14" s="1"/>
  <c r="B73" i="14"/>
  <c r="H73" i="14" s="1"/>
  <c r="C42" i="8"/>
  <c r="D27" i="12" l="1"/>
  <c r="C8" i="12"/>
  <c r="D6" i="12"/>
  <c r="H256" i="10"/>
  <c r="H268" i="10" s="1"/>
  <c r="G19" i="15"/>
  <c r="F44" i="8"/>
  <c r="K127" i="10"/>
  <c r="I127" i="10"/>
  <c r="I129" i="10" s="1"/>
  <c r="J127" i="10"/>
  <c r="J129" i="10" s="1"/>
  <c r="P171" i="10"/>
  <c r="O171" i="10"/>
  <c r="N171" i="10"/>
  <c r="M171" i="10"/>
  <c r="Q171" i="10"/>
  <c r="R171" i="10"/>
  <c r="G269" i="10"/>
  <c r="C29" i="12"/>
  <c r="D28" i="12"/>
  <c r="E5" i="12"/>
  <c r="E19" i="12" s="1"/>
  <c r="T158" i="10"/>
  <c r="T153" i="10"/>
  <c r="T146" i="10"/>
  <c r="T157" i="10"/>
  <c r="N175" i="10"/>
  <c r="N177" i="10" s="1"/>
  <c r="N275" i="10" s="1"/>
  <c r="I4" i="10"/>
  <c r="T156" i="10"/>
  <c r="Q175" i="10"/>
  <c r="Q177" i="10" s="1"/>
  <c r="Q275" i="10" s="1"/>
  <c r="M175" i="10"/>
  <c r="M177" i="10" s="1"/>
  <c r="M275" i="10" s="1"/>
  <c r="G53" i="10"/>
  <c r="T150" i="10"/>
  <c r="P175" i="10"/>
  <c r="P177" i="10" s="1"/>
  <c r="P275" i="10" s="1"/>
  <c r="D11" i="12"/>
  <c r="H147" i="10"/>
  <c r="H154" i="10"/>
  <c r="T154" i="10" s="1"/>
  <c r="R175" i="10"/>
  <c r="R177" i="10" s="1"/>
  <c r="R275" i="10" s="1"/>
  <c r="O175" i="10"/>
  <c r="O177" i="10" s="1"/>
  <c r="O275" i="10" s="1"/>
  <c r="B176" i="8"/>
  <c r="I185" i="8"/>
  <c r="F185" i="8"/>
  <c r="E186" i="8"/>
  <c r="E244" i="8"/>
  <c r="C12" i="12" l="1"/>
  <c r="D8" i="12"/>
  <c r="D12" i="12" s="1"/>
  <c r="E27" i="12"/>
  <c r="E6" i="12"/>
  <c r="G262" i="10"/>
  <c r="H271" i="10"/>
  <c r="I82" i="14" s="1"/>
  <c r="I21" i="14" s="1"/>
  <c r="I256" i="10"/>
  <c r="I268" i="10" s="1"/>
  <c r="H19" i="15"/>
  <c r="K129" i="10"/>
  <c r="J151" i="10" s="1"/>
  <c r="G127" i="10"/>
  <c r="G129" i="10" s="1"/>
  <c r="C23" i="12"/>
  <c r="C34" i="12"/>
  <c r="L171" i="10"/>
  <c r="L270" i="10"/>
  <c r="C38" i="12"/>
  <c r="C46" i="12"/>
  <c r="C47" i="12"/>
  <c r="C45" i="12"/>
  <c r="E11" i="12"/>
  <c r="D29" i="12"/>
  <c r="C31" i="12"/>
  <c r="C30" i="12"/>
  <c r="F5" i="12"/>
  <c r="F19" i="12" s="1"/>
  <c r="E28" i="12"/>
  <c r="T147" i="10"/>
  <c r="T271" i="10" s="1"/>
  <c r="T101" i="10"/>
  <c r="L175" i="10"/>
  <c r="L177" i="10" s="1"/>
  <c r="L275" i="10" s="1"/>
  <c r="J4" i="10"/>
  <c r="C13" i="12"/>
  <c r="C35" i="12" l="1"/>
  <c r="C24" i="12"/>
  <c r="F27" i="12"/>
  <c r="E8" i="12"/>
  <c r="E12" i="12" s="1"/>
  <c r="J256" i="10"/>
  <c r="J268" i="10" s="1"/>
  <c r="I19" i="15"/>
  <c r="D34" i="12"/>
  <c r="D35" i="12" s="1"/>
  <c r="G270" i="10"/>
  <c r="G175" i="10"/>
  <c r="G177" i="10" s="1"/>
  <c r="G275" i="10" s="1"/>
  <c r="G152" i="10"/>
  <c r="G171" i="10"/>
  <c r="G172" i="10" s="1"/>
  <c r="D38" i="12"/>
  <c r="D23" i="12"/>
  <c r="J171" i="10"/>
  <c r="K152" i="10"/>
  <c r="K159" i="10" s="1"/>
  <c r="K160" i="10" s="1"/>
  <c r="K272" i="10" s="1"/>
  <c r="K171" i="10"/>
  <c r="I151" i="10"/>
  <c r="J152" i="10"/>
  <c r="J159" i="10" s="1"/>
  <c r="C82" i="14"/>
  <c r="C21" i="14" s="1"/>
  <c r="J270" i="10"/>
  <c r="K270" i="10"/>
  <c r="C20" i="12"/>
  <c r="F6" i="12"/>
  <c r="D47" i="12"/>
  <c r="D46" i="12"/>
  <c r="D45" i="12"/>
  <c r="F11" i="12"/>
  <c r="C32" i="12"/>
  <c r="E29" i="12"/>
  <c r="D30" i="12"/>
  <c r="D31" i="12"/>
  <c r="D13" i="12"/>
  <c r="D14" i="12" s="1"/>
  <c r="D20" i="12"/>
  <c r="D21" i="12" s="1"/>
  <c r="C39" i="12"/>
  <c r="F28" i="12"/>
  <c r="G5" i="12"/>
  <c r="G19" i="12" s="1"/>
  <c r="K175" i="10"/>
  <c r="K177" i="10" s="1"/>
  <c r="K275" i="10" s="1"/>
  <c r="K4" i="10"/>
  <c r="C14" i="12"/>
  <c r="C25" i="12"/>
  <c r="T114" i="10"/>
  <c r="U114" i="10" s="1"/>
  <c r="Q252" i="8"/>
  <c r="Q249" i="8"/>
  <c r="H139" i="8"/>
  <c r="F132" i="8"/>
  <c r="F118" i="8"/>
  <c r="F8" i="12" l="1"/>
  <c r="F12" i="12" s="1"/>
  <c r="G27" i="12"/>
  <c r="K256" i="10"/>
  <c r="K268" i="10" s="1"/>
  <c r="J19" i="15"/>
  <c r="E34" i="12"/>
  <c r="E35" i="12" s="1"/>
  <c r="T96" i="10"/>
  <c r="U96" i="10" s="1"/>
  <c r="H127" i="10"/>
  <c r="E38" i="12"/>
  <c r="E23" i="12"/>
  <c r="J160" i="10"/>
  <c r="J272" i="10" s="1"/>
  <c r="C21" i="12"/>
  <c r="D32" i="12"/>
  <c r="G6" i="12"/>
  <c r="E13" i="12"/>
  <c r="E47" i="12"/>
  <c r="E46" i="12"/>
  <c r="E45" i="12"/>
  <c r="D39" i="12"/>
  <c r="D40" i="12" s="1"/>
  <c r="F29" i="12"/>
  <c r="E20" i="12"/>
  <c r="E21" i="12" s="1"/>
  <c r="D24" i="12"/>
  <c r="E31" i="12"/>
  <c r="E30" i="12"/>
  <c r="D36" i="12"/>
  <c r="G28" i="12"/>
  <c r="G11" i="12"/>
  <c r="H5" i="12"/>
  <c r="H19" i="12" s="1"/>
  <c r="G274" i="10"/>
  <c r="T124" i="10"/>
  <c r="U124" i="10" s="1"/>
  <c r="L4" i="10"/>
  <c r="C36" i="12"/>
  <c r="C40" i="12"/>
  <c r="J175" i="10"/>
  <c r="J177" i="10" s="1"/>
  <c r="J275" i="10" s="1"/>
  <c r="F123" i="8"/>
  <c r="F122" i="8"/>
  <c r="H120" i="8"/>
  <c r="F120" i="8"/>
  <c r="I120" i="8"/>
  <c r="I159" i="8"/>
  <c r="L67" i="8"/>
  <c r="L71" i="8" s="1"/>
  <c r="K67" i="8"/>
  <c r="K71" i="8" s="1"/>
  <c r="J67" i="8"/>
  <c r="J71" i="8" s="1"/>
  <c r="I67" i="8"/>
  <c r="I71" i="8" s="1"/>
  <c r="H67" i="8"/>
  <c r="H71" i="8" s="1"/>
  <c r="G67" i="8"/>
  <c r="G71" i="8" s="1"/>
  <c r="F67" i="8"/>
  <c r="P64" i="8"/>
  <c r="O64" i="8"/>
  <c r="N64" i="8"/>
  <c r="M64" i="8"/>
  <c r="B64" i="8"/>
  <c r="L64" i="8"/>
  <c r="K64" i="8"/>
  <c r="P162" i="8"/>
  <c r="O162" i="8"/>
  <c r="G162" i="8"/>
  <c r="F162" i="8"/>
  <c r="G85" i="8"/>
  <c r="F135" i="8" s="1"/>
  <c r="B169" i="8"/>
  <c r="E168" i="8"/>
  <c r="F137" i="8"/>
  <c r="F136" i="8"/>
  <c r="F134" i="8"/>
  <c r="G136" i="8"/>
  <c r="H136" i="8"/>
  <c r="I136" i="8"/>
  <c r="J136" i="8"/>
  <c r="K136" i="8"/>
  <c r="L136" i="8"/>
  <c r="M136" i="8"/>
  <c r="N136" i="8"/>
  <c r="O136" i="8"/>
  <c r="P136" i="8"/>
  <c r="Q136" i="8"/>
  <c r="G137" i="8"/>
  <c r="H137" i="8"/>
  <c r="I137" i="8"/>
  <c r="J137" i="8"/>
  <c r="K137" i="8"/>
  <c r="L137" i="8"/>
  <c r="M137" i="8"/>
  <c r="N137" i="8"/>
  <c r="O137" i="8"/>
  <c r="P137" i="8"/>
  <c r="Q137" i="8"/>
  <c r="B142" i="8"/>
  <c r="Q123" i="8"/>
  <c r="P123" i="8"/>
  <c r="O123" i="8"/>
  <c r="N123" i="8"/>
  <c r="M123" i="8"/>
  <c r="L123" i="8"/>
  <c r="K123" i="8"/>
  <c r="J123" i="8"/>
  <c r="I123" i="8"/>
  <c r="H123" i="8"/>
  <c r="G123" i="8"/>
  <c r="N120" i="8"/>
  <c r="N122" i="8"/>
  <c r="J120" i="8"/>
  <c r="K120" i="8"/>
  <c r="L120" i="8"/>
  <c r="M120" i="8"/>
  <c r="J122" i="8"/>
  <c r="K122" i="8"/>
  <c r="L122" i="8"/>
  <c r="M122" i="8"/>
  <c r="I122" i="8"/>
  <c r="H122" i="8"/>
  <c r="G122" i="8"/>
  <c r="G120" i="8"/>
  <c r="O120" i="8"/>
  <c r="P120" i="8"/>
  <c r="Q120" i="8"/>
  <c r="O122" i="8"/>
  <c r="P122" i="8"/>
  <c r="Q122" i="8"/>
  <c r="P149" i="8"/>
  <c r="O149" i="8"/>
  <c r="N149" i="8"/>
  <c r="M149" i="8"/>
  <c r="L149" i="8"/>
  <c r="K149" i="8"/>
  <c r="J149" i="8"/>
  <c r="I149" i="8"/>
  <c r="H149" i="8"/>
  <c r="G149" i="8"/>
  <c r="F149" i="8"/>
  <c r="G153" i="8"/>
  <c r="Q152" i="8"/>
  <c r="P152" i="8"/>
  <c r="O154" i="8"/>
  <c r="N154" i="8"/>
  <c r="M152" i="8"/>
  <c r="H153" i="8"/>
  <c r="F154" i="8"/>
  <c r="O160" i="8"/>
  <c r="M160" i="8"/>
  <c r="L160" i="8"/>
  <c r="K160" i="8"/>
  <c r="H160" i="8"/>
  <c r="F166" i="8"/>
  <c r="Q85" i="8"/>
  <c r="P135" i="8" s="1"/>
  <c r="P85" i="8"/>
  <c r="O135" i="8" s="1"/>
  <c r="O85" i="8"/>
  <c r="N135" i="8" s="1"/>
  <c r="N85" i="8"/>
  <c r="M135" i="8" s="1"/>
  <c r="M85" i="8"/>
  <c r="L135" i="8" s="1"/>
  <c r="L85" i="8"/>
  <c r="K135" i="8" s="1"/>
  <c r="K85" i="8"/>
  <c r="J135" i="8" s="1"/>
  <c r="J85" i="8"/>
  <c r="I135" i="8" s="1"/>
  <c r="I85" i="8"/>
  <c r="H135" i="8" s="1"/>
  <c r="H85" i="8"/>
  <c r="G135" i="8" s="1"/>
  <c r="Q139" i="8"/>
  <c r="P138" i="8"/>
  <c r="O139" i="8"/>
  <c r="N139" i="8"/>
  <c r="M138" i="8"/>
  <c r="L138" i="8"/>
  <c r="K138" i="8"/>
  <c r="I140" i="8"/>
  <c r="H140" i="8"/>
  <c r="G140" i="8"/>
  <c r="F138" i="8"/>
  <c r="Q83" i="8"/>
  <c r="Q131" i="8" s="1"/>
  <c r="P83" i="8"/>
  <c r="P131" i="8" s="1"/>
  <c r="O83" i="8"/>
  <c r="O131" i="8" s="1"/>
  <c r="N83" i="8"/>
  <c r="N131" i="8" s="1"/>
  <c r="M83" i="8"/>
  <c r="M131" i="8" s="1"/>
  <c r="L83" i="8"/>
  <c r="L131" i="8" s="1"/>
  <c r="K83" i="8"/>
  <c r="K131" i="8" s="1"/>
  <c r="J83" i="8"/>
  <c r="J131" i="8" s="1"/>
  <c r="I83" i="8"/>
  <c r="I131" i="8" s="1"/>
  <c r="H83" i="8"/>
  <c r="H131" i="8" s="1"/>
  <c r="G83" i="8"/>
  <c r="G131" i="8" s="1"/>
  <c r="F83" i="8"/>
  <c r="Q77" i="8"/>
  <c r="P121" i="8" s="1"/>
  <c r="P77" i="8"/>
  <c r="O121" i="8" s="1"/>
  <c r="O77" i="8"/>
  <c r="N121" i="8" s="1"/>
  <c r="N77" i="8"/>
  <c r="M121" i="8" s="1"/>
  <c r="M77" i="8"/>
  <c r="L121" i="8" s="1"/>
  <c r="L77" i="8"/>
  <c r="K121" i="8" s="1"/>
  <c r="K77" i="8"/>
  <c r="J121" i="8" s="1"/>
  <c r="J77" i="8"/>
  <c r="I121" i="8" s="1"/>
  <c r="I77" i="8"/>
  <c r="H121" i="8" s="1"/>
  <c r="H77" i="8"/>
  <c r="G121" i="8" s="1"/>
  <c r="G77" i="8"/>
  <c r="E121" i="8" s="1"/>
  <c r="F77" i="8"/>
  <c r="Q125" i="8"/>
  <c r="P124" i="8"/>
  <c r="O124" i="8"/>
  <c r="N124" i="8"/>
  <c r="M124" i="8"/>
  <c r="K125" i="8"/>
  <c r="I125" i="8"/>
  <c r="F126" i="8"/>
  <c r="L125" i="8"/>
  <c r="H75" i="8"/>
  <c r="H117" i="8" s="1"/>
  <c r="I75" i="8"/>
  <c r="I117" i="8" s="1"/>
  <c r="J75" i="8"/>
  <c r="J117" i="8" s="1"/>
  <c r="K75" i="8"/>
  <c r="K117" i="8" s="1"/>
  <c r="L75" i="8"/>
  <c r="L117" i="8" s="1"/>
  <c r="M75" i="8"/>
  <c r="M117" i="8" s="1"/>
  <c r="N75" i="8"/>
  <c r="N117" i="8" s="1"/>
  <c r="O75" i="8"/>
  <c r="O117" i="8" s="1"/>
  <c r="P75" i="8"/>
  <c r="P117" i="8" s="1"/>
  <c r="Q75" i="8"/>
  <c r="Q117" i="8" s="1"/>
  <c r="G75" i="8"/>
  <c r="G117" i="8" s="1"/>
  <c r="F75" i="8"/>
  <c r="E117" i="8" s="1"/>
  <c r="B96" i="8"/>
  <c r="E95" i="8"/>
  <c r="E96" i="8" s="1"/>
  <c r="B105" i="8"/>
  <c r="E104" i="8"/>
  <c r="E105" i="8" s="1"/>
  <c r="G8" i="12" l="1"/>
  <c r="H27" i="12"/>
  <c r="L256" i="10"/>
  <c r="L268" i="10" s="1"/>
  <c r="K19" i="15"/>
  <c r="H129" i="10"/>
  <c r="G151" i="10" s="1"/>
  <c r="G159" i="10" s="1"/>
  <c r="G160" i="10" s="1"/>
  <c r="G180" i="10" s="1"/>
  <c r="F43" i="15" s="1"/>
  <c r="T127" i="10"/>
  <c r="F34" i="12"/>
  <c r="F20" i="12"/>
  <c r="F23" i="12"/>
  <c r="F24" i="12" s="1"/>
  <c r="F45" i="12"/>
  <c r="I171" i="10"/>
  <c r="H151" i="10"/>
  <c r="I152" i="10"/>
  <c r="I159" i="10" s="1"/>
  <c r="F46" i="12"/>
  <c r="I270" i="10"/>
  <c r="F38" i="12"/>
  <c r="F39" i="12" s="1"/>
  <c r="F40" i="12" s="1"/>
  <c r="F13" i="12"/>
  <c r="F14" i="12" s="1"/>
  <c r="F47" i="12"/>
  <c r="E14" i="12"/>
  <c r="D25" i="12"/>
  <c r="H6" i="12"/>
  <c r="H8" i="12" s="1"/>
  <c r="I5" i="12"/>
  <c r="I19" i="12" s="1"/>
  <c r="E32" i="12"/>
  <c r="G29" i="12"/>
  <c r="E24" i="12"/>
  <c r="E25" i="12" s="1"/>
  <c r="E39" i="12"/>
  <c r="F31" i="12"/>
  <c r="F30" i="12"/>
  <c r="E36" i="12"/>
  <c r="H28" i="12"/>
  <c r="H11" i="12"/>
  <c r="M4" i="10"/>
  <c r="E131" i="8"/>
  <c r="F86" i="8"/>
  <c r="F94" i="8"/>
  <c r="G94" i="8" s="1"/>
  <c r="G95" i="8" s="1"/>
  <c r="E64" i="8"/>
  <c r="P140" i="8"/>
  <c r="O140" i="8"/>
  <c r="M154" i="8"/>
  <c r="F117" i="8"/>
  <c r="L154" i="8"/>
  <c r="F131" i="8"/>
  <c r="Q153" i="8"/>
  <c r="Q140" i="8"/>
  <c r="N160" i="8"/>
  <c r="F121" i="8"/>
  <c r="Q124" i="8"/>
  <c r="G154" i="8"/>
  <c r="J154" i="8"/>
  <c r="F139" i="8"/>
  <c r="F140" i="8"/>
  <c r="M153" i="8"/>
  <c r="N152" i="8"/>
  <c r="H126" i="8"/>
  <c r="N140" i="8"/>
  <c r="J152" i="8"/>
  <c r="F124" i="8"/>
  <c r="G139" i="8"/>
  <c r="E149" i="8"/>
  <c r="P160" i="8"/>
  <c r="N153" i="8"/>
  <c r="K152" i="8"/>
  <c r="H125" i="8"/>
  <c r="P139" i="8"/>
  <c r="I152" i="8"/>
  <c r="I139" i="8"/>
  <c r="F125" i="8"/>
  <c r="M126" i="8"/>
  <c r="L124" i="8"/>
  <c r="Q138" i="8"/>
  <c r="J124" i="8"/>
  <c r="O138" i="8"/>
  <c r="E135" i="8"/>
  <c r="R135" i="8" s="1"/>
  <c r="L126" i="8"/>
  <c r="K124" i="8"/>
  <c r="K154" i="8"/>
  <c r="J138" i="8"/>
  <c r="J140" i="8"/>
  <c r="J139" i="8"/>
  <c r="I154" i="8"/>
  <c r="I153" i="8"/>
  <c r="I124" i="8"/>
  <c r="K139" i="8"/>
  <c r="I138" i="8"/>
  <c r="K140" i="8"/>
  <c r="K126" i="8"/>
  <c r="J126" i="8"/>
  <c r="L152" i="8"/>
  <c r="H154" i="8"/>
  <c r="G138" i="8"/>
  <c r="H138" i="8"/>
  <c r="G124" i="8"/>
  <c r="G125" i="8"/>
  <c r="G126" i="8"/>
  <c r="G152" i="8"/>
  <c r="M139" i="8"/>
  <c r="P125" i="8"/>
  <c r="L139" i="8"/>
  <c r="F167" i="8"/>
  <c r="J160" i="8"/>
  <c r="O152" i="8"/>
  <c r="H124" i="8"/>
  <c r="H152" i="8"/>
  <c r="L140" i="8"/>
  <c r="F104" i="8"/>
  <c r="F105" i="8" s="1"/>
  <c r="J125" i="8"/>
  <c r="L153" i="8"/>
  <c r="R164" i="8"/>
  <c r="M140" i="8"/>
  <c r="P153" i="8"/>
  <c r="M125" i="8"/>
  <c r="N138" i="8"/>
  <c r="O153" i="8"/>
  <c r="I126" i="8"/>
  <c r="F152" i="8"/>
  <c r="K153" i="8"/>
  <c r="R163" i="8"/>
  <c r="F153" i="8"/>
  <c r="J153" i="8"/>
  <c r="P126" i="8"/>
  <c r="N125" i="8"/>
  <c r="P154" i="8"/>
  <c r="Q126" i="8"/>
  <c r="N126" i="8"/>
  <c r="Q154" i="8"/>
  <c r="O126" i="8"/>
  <c r="O125" i="8"/>
  <c r="E169" i="8"/>
  <c r="R161" i="8"/>
  <c r="R137" i="8"/>
  <c r="R136" i="8"/>
  <c r="R134" i="8"/>
  <c r="R92" i="8"/>
  <c r="N95" i="8"/>
  <c r="N96" i="8" s="1"/>
  <c r="O95" i="8"/>
  <c r="O96" i="8" s="1"/>
  <c r="P95" i="8"/>
  <c r="P96" i="8" s="1"/>
  <c r="Q95" i="8"/>
  <c r="Q96" i="8" s="1"/>
  <c r="R93" i="8"/>
  <c r="M95" i="8"/>
  <c r="R91" i="8"/>
  <c r="G103" i="8"/>
  <c r="R101" i="8"/>
  <c r="R99" i="8"/>
  <c r="G16" i="8"/>
  <c r="F21" i="12" l="1"/>
  <c r="G12" i="12"/>
  <c r="G46" i="12" s="1"/>
  <c r="F35" i="12"/>
  <c r="I27" i="12"/>
  <c r="F43" i="23"/>
  <c r="F45" i="23" s="1"/>
  <c r="F45" i="15"/>
  <c r="M256" i="10"/>
  <c r="M268" i="10" s="1"/>
  <c r="L19" i="15"/>
  <c r="H270" i="10"/>
  <c r="I81" i="14" s="1"/>
  <c r="I22" i="14" s="1"/>
  <c r="H171" i="10"/>
  <c r="T171" i="10" s="1"/>
  <c r="H152" i="10"/>
  <c r="H159" i="10" s="1"/>
  <c r="T129" i="10"/>
  <c r="H175" i="10"/>
  <c r="H177" i="10" s="1"/>
  <c r="H275" i="10" s="1"/>
  <c r="G23" i="12"/>
  <c r="G34" i="12"/>
  <c r="G35" i="12" s="1"/>
  <c r="G272" i="10"/>
  <c r="I160" i="10"/>
  <c r="I272" i="10" s="1"/>
  <c r="I11" i="12"/>
  <c r="E40" i="12"/>
  <c r="G38" i="12"/>
  <c r="G39" i="12" s="1"/>
  <c r="F25" i="12"/>
  <c r="I6" i="12"/>
  <c r="I8" i="12" s="1"/>
  <c r="I28" i="12"/>
  <c r="J5" i="12"/>
  <c r="J19" i="12" s="1"/>
  <c r="F32" i="12"/>
  <c r="H29" i="12"/>
  <c r="G31" i="12"/>
  <c r="G30" i="12"/>
  <c r="H12" i="12"/>
  <c r="I175" i="10"/>
  <c r="T151" i="10"/>
  <c r="N4" i="10"/>
  <c r="R131" i="8"/>
  <c r="V131" i="8" s="1"/>
  <c r="V135" i="8"/>
  <c r="V134" i="8"/>
  <c r="V136" i="8"/>
  <c r="V137" i="8"/>
  <c r="V164" i="8"/>
  <c r="V163" i="8"/>
  <c r="V161" i="8"/>
  <c r="R159" i="8"/>
  <c r="J141" i="8"/>
  <c r="J142" i="8" s="1"/>
  <c r="N155" i="8"/>
  <c r="N168" i="8"/>
  <c r="N169" i="8" s="1"/>
  <c r="E127" i="8"/>
  <c r="E141" i="8"/>
  <c r="E142" i="8" s="1"/>
  <c r="G155" i="8"/>
  <c r="M155" i="8"/>
  <c r="H141" i="8"/>
  <c r="H142" i="8" s="1"/>
  <c r="O168" i="8"/>
  <c r="O169" i="8" s="1"/>
  <c r="L155" i="8"/>
  <c r="I141" i="8"/>
  <c r="I142" i="8" s="1"/>
  <c r="K141" i="8"/>
  <c r="K142" i="8" s="1"/>
  <c r="P141" i="8"/>
  <c r="P142" i="8" s="1"/>
  <c r="K168" i="8"/>
  <c r="K169" i="8" s="1"/>
  <c r="N141" i="8"/>
  <c r="N142" i="8" s="1"/>
  <c r="M168" i="8"/>
  <c r="M169" i="8" s="1"/>
  <c r="E155" i="8"/>
  <c r="L168" i="8"/>
  <c r="L169" i="8" s="1"/>
  <c r="O141" i="8"/>
  <c r="O142" i="8" s="1"/>
  <c r="F141" i="8"/>
  <c r="F142" i="8" s="1"/>
  <c r="N127" i="8"/>
  <c r="P127" i="8"/>
  <c r="O155" i="8"/>
  <c r="I127" i="8"/>
  <c r="Q155" i="8"/>
  <c r="Q141" i="8"/>
  <c r="P168" i="8"/>
  <c r="P169" i="8" s="1"/>
  <c r="H155" i="8"/>
  <c r="H127" i="8"/>
  <c r="L127" i="8"/>
  <c r="K155" i="8"/>
  <c r="R165" i="8"/>
  <c r="R138" i="8"/>
  <c r="K127" i="8"/>
  <c r="J155" i="8"/>
  <c r="J127" i="8"/>
  <c r="Q127" i="8"/>
  <c r="M127" i="8"/>
  <c r="G127" i="8"/>
  <c r="O127" i="8"/>
  <c r="J168" i="8"/>
  <c r="J169" i="8" s="1"/>
  <c r="I155" i="8"/>
  <c r="L141" i="8"/>
  <c r="L142" i="8" s="1"/>
  <c r="R132" i="8"/>
  <c r="R140" i="8"/>
  <c r="F155" i="8"/>
  <c r="G168" i="8"/>
  <c r="G169" i="8" s="1"/>
  <c r="R166" i="8"/>
  <c r="R139" i="8"/>
  <c r="G141" i="8"/>
  <c r="G142" i="8" s="1"/>
  <c r="F168" i="8"/>
  <c r="F169" i="8" s="1"/>
  <c r="M141" i="8"/>
  <c r="M142" i="8" s="1"/>
  <c r="P155" i="8"/>
  <c r="R160" i="8"/>
  <c r="F95" i="8"/>
  <c r="F96" i="8" s="1"/>
  <c r="R167" i="8"/>
  <c r="G104" i="8"/>
  <c r="G105" i="8" s="1"/>
  <c r="G96" i="8"/>
  <c r="H94" i="8"/>
  <c r="I94" i="8" s="1"/>
  <c r="J94" i="8" s="1"/>
  <c r="F78" i="8"/>
  <c r="F36" i="12" l="1"/>
  <c r="G45" i="12"/>
  <c r="G47" i="12"/>
  <c r="G13" i="12"/>
  <c r="G14" i="12" s="1"/>
  <c r="J27" i="12"/>
  <c r="F46" i="23"/>
  <c r="F47" i="23"/>
  <c r="F46" i="15"/>
  <c r="F47" i="15"/>
  <c r="N256" i="10"/>
  <c r="N268" i="10" s="1"/>
  <c r="M19" i="15"/>
  <c r="T270" i="10"/>
  <c r="C81" i="14" s="1"/>
  <c r="C22" i="14" s="1"/>
  <c r="U129" i="10"/>
  <c r="H34" i="12"/>
  <c r="H35" i="12" s="1"/>
  <c r="T175" i="10"/>
  <c r="T152" i="10"/>
  <c r="H38" i="12"/>
  <c r="H23" i="12"/>
  <c r="I12" i="12"/>
  <c r="K5" i="12"/>
  <c r="K19" i="12" s="1"/>
  <c r="G40" i="12"/>
  <c r="G20" i="12"/>
  <c r="I29" i="12"/>
  <c r="J6" i="12"/>
  <c r="H13" i="12"/>
  <c r="H14" i="12" s="1"/>
  <c r="H47" i="12"/>
  <c r="H46" i="12"/>
  <c r="H45" i="12"/>
  <c r="J11" i="12"/>
  <c r="J28" i="12"/>
  <c r="G32" i="12"/>
  <c r="G24" i="12"/>
  <c r="G36" i="12"/>
  <c r="H20" i="12"/>
  <c r="H21" i="12" s="1"/>
  <c r="H31" i="12"/>
  <c r="H30" i="12"/>
  <c r="T159" i="10"/>
  <c r="I177" i="10"/>
  <c r="O4" i="10"/>
  <c r="V140" i="8"/>
  <c r="V132" i="8"/>
  <c r="V138" i="8"/>
  <c r="V139" i="8"/>
  <c r="V167" i="8"/>
  <c r="V166" i="8"/>
  <c r="V165" i="8"/>
  <c r="V160" i="8"/>
  <c r="V159" i="8"/>
  <c r="R142" i="8"/>
  <c r="V142" i="8" s="1"/>
  <c r="R141" i="8"/>
  <c r="H95" i="8"/>
  <c r="Q19" i="8"/>
  <c r="P19" i="8"/>
  <c r="O19" i="8"/>
  <c r="N19" i="8"/>
  <c r="M19" i="8"/>
  <c r="L19" i="8"/>
  <c r="K19" i="8"/>
  <c r="J19" i="8"/>
  <c r="I19" i="8"/>
  <c r="H19" i="8"/>
  <c r="Q18" i="8"/>
  <c r="P18" i="8"/>
  <c r="O18" i="8"/>
  <c r="N18" i="8"/>
  <c r="M18" i="8"/>
  <c r="L18" i="8"/>
  <c r="K18" i="8"/>
  <c r="J18" i="8"/>
  <c r="I18" i="8"/>
  <c r="H18" i="8"/>
  <c r="Q17" i="8"/>
  <c r="P17" i="8"/>
  <c r="O17" i="8"/>
  <c r="N17" i="8"/>
  <c r="M17" i="8"/>
  <c r="L17" i="8"/>
  <c r="K17" i="8"/>
  <c r="J17" i="8"/>
  <c r="I17" i="8"/>
  <c r="H17" i="8"/>
  <c r="Q16" i="8"/>
  <c r="P16" i="8"/>
  <c r="O16" i="8"/>
  <c r="N16" i="8"/>
  <c r="M16" i="8"/>
  <c r="L16" i="8"/>
  <c r="K16" i="8"/>
  <c r="J16" i="8"/>
  <c r="I16" i="8"/>
  <c r="H16" i="8"/>
  <c r="Q11" i="8"/>
  <c r="P11" i="8"/>
  <c r="O11" i="8"/>
  <c r="N11" i="8"/>
  <c r="N184" i="8" s="1"/>
  <c r="M11" i="8"/>
  <c r="M184" i="8" s="1"/>
  <c r="L11" i="8"/>
  <c r="K11" i="8"/>
  <c r="J11" i="8"/>
  <c r="I11" i="8"/>
  <c r="H11" i="8"/>
  <c r="G19" i="8"/>
  <c r="G18" i="8"/>
  <c r="G17" i="8"/>
  <c r="R10" i="8"/>
  <c r="R9" i="8"/>
  <c r="I31" i="12" l="1"/>
  <c r="K27" i="12"/>
  <c r="J8" i="12"/>
  <c r="O256" i="10"/>
  <c r="O268" i="10" s="1"/>
  <c r="N19" i="15"/>
  <c r="O186" i="8"/>
  <c r="O184" i="8"/>
  <c r="P186" i="8"/>
  <c r="P184" i="8"/>
  <c r="Q186" i="8"/>
  <c r="Q184" i="8"/>
  <c r="H186" i="8"/>
  <c r="H184" i="8"/>
  <c r="I186" i="8"/>
  <c r="I184" i="8"/>
  <c r="J186" i="8"/>
  <c r="J184" i="8"/>
  <c r="K186" i="8"/>
  <c r="K184" i="8"/>
  <c r="L186" i="8"/>
  <c r="L184" i="8"/>
  <c r="T100" i="8"/>
  <c r="T99" i="8"/>
  <c r="T101" i="8"/>
  <c r="C19" i="8"/>
  <c r="T164" i="8"/>
  <c r="T163" i="8"/>
  <c r="T161" i="8"/>
  <c r="T167" i="8"/>
  <c r="T165" i="8"/>
  <c r="T159" i="8"/>
  <c r="T160" i="8"/>
  <c r="T91" i="8"/>
  <c r="T92" i="8"/>
  <c r="T93" i="8"/>
  <c r="T166" i="8"/>
  <c r="I34" i="12"/>
  <c r="I35" i="12" s="1"/>
  <c r="M44" i="8"/>
  <c r="K44" i="8"/>
  <c r="L44" i="8"/>
  <c r="I44" i="8"/>
  <c r="J44" i="8"/>
  <c r="I13" i="12"/>
  <c r="I14" i="12" s="1"/>
  <c r="I46" i="12"/>
  <c r="I20" i="12"/>
  <c r="I21" i="12" s="1"/>
  <c r="L5" i="12"/>
  <c r="L19" i="12" s="1"/>
  <c r="K28" i="12"/>
  <c r="I38" i="12"/>
  <c r="I39" i="12" s="1"/>
  <c r="I40" i="12" s="1"/>
  <c r="I23" i="12"/>
  <c r="I24" i="12" s="1"/>
  <c r="I25" i="12" s="1"/>
  <c r="K6" i="12"/>
  <c r="K11" i="12"/>
  <c r="I47" i="12"/>
  <c r="I45" i="12"/>
  <c r="I30" i="12"/>
  <c r="G21" i="12"/>
  <c r="G25" i="12"/>
  <c r="J29" i="12"/>
  <c r="H24" i="12"/>
  <c r="H25" i="12" s="1"/>
  <c r="H39" i="12"/>
  <c r="H36" i="12"/>
  <c r="H32" i="12"/>
  <c r="T177" i="10"/>
  <c r="I275" i="10"/>
  <c r="I86" i="14" s="1"/>
  <c r="I27" i="14" s="1"/>
  <c r="G181" i="10"/>
  <c r="G183" i="10" s="1"/>
  <c r="H160" i="10"/>
  <c r="H272" i="10" s="1"/>
  <c r="I83" i="14" s="1"/>
  <c r="I23" i="14" s="1"/>
  <c r="P4" i="10"/>
  <c r="C18" i="8"/>
  <c r="N104" i="8"/>
  <c r="N105" i="8" s="1"/>
  <c r="M186" i="8"/>
  <c r="O104" i="8"/>
  <c r="O105" i="8" s="1"/>
  <c r="N186" i="8"/>
  <c r="V141" i="8"/>
  <c r="T10" i="8"/>
  <c r="V10" i="8"/>
  <c r="V101" i="8" s="1"/>
  <c r="T9" i="8"/>
  <c r="V9" i="8"/>
  <c r="V92" i="8" s="1"/>
  <c r="M104" i="8"/>
  <c r="M105" i="8" s="1"/>
  <c r="H103" i="8"/>
  <c r="P104" i="8"/>
  <c r="P105" i="8" s="1"/>
  <c r="Q104" i="8"/>
  <c r="Q105" i="8" s="1"/>
  <c r="H96" i="8"/>
  <c r="I95" i="8"/>
  <c r="I20" i="8"/>
  <c r="J20" i="8"/>
  <c r="K20" i="8"/>
  <c r="L20" i="8"/>
  <c r="M20" i="8"/>
  <c r="R17" i="8"/>
  <c r="N20" i="8"/>
  <c r="O20" i="8"/>
  <c r="P20" i="8"/>
  <c r="Q20" i="8"/>
  <c r="R18" i="8"/>
  <c r="R19" i="8"/>
  <c r="R16" i="8"/>
  <c r="H20" i="8"/>
  <c r="J31" i="12" l="1"/>
  <c r="I32" i="12"/>
  <c r="J12" i="12"/>
  <c r="J46" i="12" s="1"/>
  <c r="I36" i="12"/>
  <c r="K8" i="12"/>
  <c r="K12" i="12" s="1"/>
  <c r="L27" i="12"/>
  <c r="P256" i="10"/>
  <c r="P268" i="10" s="1"/>
  <c r="O19" i="15"/>
  <c r="J34" i="12"/>
  <c r="J35" i="12" s="1"/>
  <c r="J36" i="12" s="1"/>
  <c r="L11" i="12"/>
  <c r="L28" i="12"/>
  <c r="M5" i="12"/>
  <c r="M19" i="12" s="1"/>
  <c r="L6" i="12"/>
  <c r="L8" i="12" s="1"/>
  <c r="K29" i="12"/>
  <c r="J23" i="12"/>
  <c r="J24" i="12" s="1"/>
  <c r="J25" i="12" s="1"/>
  <c r="T275" i="10"/>
  <c r="C86" i="14" s="1"/>
  <c r="C27" i="14" s="1"/>
  <c r="G276" i="10"/>
  <c r="J30" i="12"/>
  <c r="J38" i="12"/>
  <c r="H40" i="12"/>
  <c r="T160" i="10"/>
  <c r="T272" i="10" s="1"/>
  <c r="Q4" i="10"/>
  <c r="H104" i="8"/>
  <c r="H105" i="8" s="1"/>
  <c r="I103" i="8"/>
  <c r="R102" i="8"/>
  <c r="J95" i="8"/>
  <c r="J96" i="8" s="1"/>
  <c r="I96" i="8"/>
  <c r="B156" i="8"/>
  <c r="B88" i="8"/>
  <c r="E87" i="8"/>
  <c r="J32" i="12" l="1"/>
  <c r="K30" i="12"/>
  <c r="J13" i="12"/>
  <c r="J47" i="12"/>
  <c r="J45" i="12"/>
  <c r="M27" i="12"/>
  <c r="L12" i="12"/>
  <c r="L13" i="12" s="1"/>
  <c r="L14" i="12" s="1"/>
  <c r="Q256" i="10"/>
  <c r="Q268" i="10" s="1"/>
  <c r="P19" i="15"/>
  <c r="T102" i="8"/>
  <c r="I162" i="8"/>
  <c r="I168" i="8" s="1"/>
  <c r="I169" i="8" s="1"/>
  <c r="H162" i="8"/>
  <c r="M6" i="12"/>
  <c r="L34" i="12"/>
  <c r="L35" i="12" s="1"/>
  <c r="K34" i="12"/>
  <c r="K35" i="12" s="1"/>
  <c r="K36" i="12" s="1"/>
  <c r="K20" i="12"/>
  <c r="K21" i="12" s="1"/>
  <c r="J103" i="8"/>
  <c r="N5" i="12"/>
  <c r="N19" i="12" s="1"/>
  <c r="L29" i="12"/>
  <c r="M11" i="12"/>
  <c r="M28" i="12"/>
  <c r="K31" i="12"/>
  <c r="K45" i="12"/>
  <c r="K46" i="12"/>
  <c r="K13" i="12"/>
  <c r="K14" i="12" s="1"/>
  <c r="K47" i="12"/>
  <c r="K38" i="12"/>
  <c r="K39" i="12" s="1"/>
  <c r="K40" i="12" s="1"/>
  <c r="K23" i="12"/>
  <c r="K24" i="12" s="1"/>
  <c r="K25" i="12" s="1"/>
  <c r="L23" i="12"/>
  <c r="C83" i="14"/>
  <c r="C23" i="14" s="1"/>
  <c r="J14" i="12"/>
  <c r="J20" i="12"/>
  <c r="J39" i="12"/>
  <c r="L20" i="12"/>
  <c r="L21" i="12" s="1"/>
  <c r="R4" i="10"/>
  <c r="I104" i="8"/>
  <c r="I105" i="8" s="1"/>
  <c r="K95" i="8"/>
  <c r="K96" i="8" s="1"/>
  <c r="M96" i="8"/>
  <c r="L95" i="8"/>
  <c r="E156" i="8"/>
  <c r="G86" i="8"/>
  <c r="H86" i="8" s="1"/>
  <c r="R68" i="8"/>
  <c r="F87" i="8"/>
  <c r="E88" i="8"/>
  <c r="K32" i="12" l="1"/>
  <c r="L30" i="12"/>
  <c r="L46" i="12"/>
  <c r="L45" i="12"/>
  <c r="L38" i="12"/>
  <c r="L39" i="12" s="1"/>
  <c r="L40" i="12" s="1"/>
  <c r="L47" i="12"/>
  <c r="N27" i="12"/>
  <c r="M8" i="12"/>
  <c r="M12" i="12" s="1"/>
  <c r="R256" i="10"/>
  <c r="R268" i="10" s="1"/>
  <c r="Q19" i="15"/>
  <c r="R162" i="8"/>
  <c r="H168" i="8"/>
  <c r="M29" i="12"/>
  <c r="N11" i="12"/>
  <c r="O5" i="12"/>
  <c r="O19" i="12" s="1"/>
  <c r="N6" i="12"/>
  <c r="N8" i="12" s="1"/>
  <c r="N28" i="12"/>
  <c r="M34" i="12"/>
  <c r="M35" i="12" s="1"/>
  <c r="M36" i="12" s="1"/>
  <c r="L31" i="12"/>
  <c r="M23" i="12"/>
  <c r="M24" i="12" s="1"/>
  <c r="M25" i="12" s="1"/>
  <c r="J40" i="12"/>
  <c r="J21" i="12"/>
  <c r="L24" i="12"/>
  <c r="L25" i="12" s="1"/>
  <c r="L36" i="12"/>
  <c r="S4" i="10"/>
  <c r="H87" i="8"/>
  <c r="H88" i="8" s="1"/>
  <c r="I86" i="8"/>
  <c r="J86" i="8" s="1"/>
  <c r="J104" i="8"/>
  <c r="J105" i="8" s="1"/>
  <c r="R95" i="8"/>
  <c r="T95" i="8" s="1"/>
  <c r="R94" i="8"/>
  <c r="T94" i="8" s="1"/>
  <c r="L96" i="8"/>
  <c r="R96" i="8" s="1"/>
  <c r="V96" i="8" s="1"/>
  <c r="G87" i="8"/>
  <c r="G88" i="8" s="1"/>
  <c r="F88" i="8"/>
  <c r="L32" i="12" l="1"/>
  <c r="M31" i="12"/>
  <c r="M45" i="12"/>
  <c r="M46" i="12"/>
  <c r="M47" i="12"/>
  <c r="M13" i="12"/>
  <c r="M14" i="12" s="1"/>
  <c r="M20" i="12"/>
  <c r="M21" i="12" s="1"/>
  <c r="O27" i="12"/>
  <c r="M38" i="12"/>
  <c r="M39" i="12" s="1"/>
  <c r="M40" i="12" s="1"/>
  <c r="N12" i="12"/>
  <c r="N45" i="12" s="1"/>
  <c r="S256" i="10"/>
  <c r="S268" i="10" s="1"/>
  <c r="R19" i="15"/>
  <c r="H169" i="8"/>
  <c r="R169" i="8" s="1"/>
  <c r="R168" i="8"/>
  <c r="V162" i="8"/>
  <c r="T162" i="8"/>
  <c r="M30" i="12"/>
  <c r="N29" i="12"/>
  <c r="T97" i="8" a="1"/>
  <c r="T97" i="8" s="1"/>
  <c r="O6" i="12"/>
  <c r="O8" i="12" s="1"/>
  <c r="P5" i="12"/>
  <c r="P19" i="12" s="1"/>
  <c r="O28" i="12"/>
  <c r="O11" i="12"/>
  <c r="N23" i="12"/>
  <c r="N24" i="12" s="1"/>
  <c r="N25" i="12" s="1"/>
  <c r="T96" i="8"/>
  <c r="N34" i="12"/>
  <c r="N35" i="12" s="1"/>
  <c r="N36" i="12" s="1"/>
  <c r="I87" i="8"/>
  <c r="I88" i="8" s="1"/>
  <c r="L104" i="8"/>
  <c r="L105" i="8" s="1"/>
  <c r="K104" i="8"/>
  <c r="K105" i="8" s="1"/>
  <c r="N30" i="12" l="1"/>
  <c r="M32" i="12"/>
  <c r="N20" i="12"/>
  <c r="N21" i="12" s="1"/>
  <c r="N13" i="12"/>
  <c r="N14" i="12" s="1"/>
  <c r="P27" i="12"/>
  <c r="N47" i="12"/>
  <c r="N46" i="12"/>
  <c r="N38" i="12"/>
  <c r="N39" i="12" s="1"/>
  <c r="N40" i="12" s="1"/>
  <c r="O12" i="12"/>
  <c r="P28" i="12"/>
  <c r="T168" i="8"/>
  <c r="V168" i="8"/>
  <c r="V169" i="8"/>
  <c r="T169" i="8"/>
  <c r="N31" i="12"/>
  <c r="Q5" i="12"/>
  <c r="Q19" i="12" s="1"/>
  <c r="O29" i="12"/>
  <c r="P11" i="12"/>
  <c r="P6" i="12"/>
  <c r="O23" i="12"/>
  <c r="O34" i="12"/>
  <c r="R103" i="8"/>
  <c r="T103" i="8" s="1"/>
  <c r="R105" i="8"/>
  <c r="V105" i="8" s="1"/>
  <c r="R104" i="8"/>
  <c r="T104" i="8" s="1"/>
  <c r="J87" i="8"/>
  <c r="J88" i="8" s="1"/>
  <c r="O31" i="12" l="1"/>
  <c r="N32" i="12"/>
  <c r="O24" i="12"/>
  <c r="O25" i="12" s="1"/>
  <c r="O47" i="12"/>
  <c r="O35" i="12"/>
  <c r="O36" i="12" s="1"/>
  <c r="P8" i="12"/>
  <c r="Q27" i="12"/>
  <c r="O13" i="12"/>
  <c r="O45" i="12"/>
  <c r="O38" i="12"/>
  <c r="O20" i="12"/>
  <c r="P29" i="12"/>
  <c r="O46" i="12"/>
  <c r="Q6" i="12"/>
  <c r="Q11" i="12"/>
  <c r="R5" i="12"/>
  <c r="R19" i="12" s="1"/>
  <c r="Q28" i="12"/>
  <c r="O30" i="12"/>
  <c r="T105" i="8"/>
  <c r="K87" i="8"/>
  <c r="K88" i="8" s="1"/>
  <c r="R86" i="8"/>
  <c r="O32" i="12" l="1"/>
  <c r="P31" i="12"/>
  <c r="O14" i="12"/>
  <c r="P12" i="12"/>
  <c r="P46" i="12" s="1"/>
  <c r="O21" i="12"/>
  <c r="O39" i="12"/>
  <c r="R27" i="12"/>
  <c r="Q8" i="12"/>
  <c r="Q12" i="12" s="1"/>
  <c r="Q45" i="12" s="1"/>
  <c r="P30" i="12"/>
  <c r="R11" i="12"/>
  <c r="R6" i="12"/>
  <c r="Q34" i="12"/>
  <c r="Q35" i="12" s="1"/>
  <c r="S5" i="12"/>
  <c r="S19" i="12" s="1"/>
  <c r="Q23" i="12"/>
  <c r="Q24" i="12" s="1"/>
  <c r="Q25" i="12" s="1"/>
  <c r="Q29" i="12"/>
  <c r="R28" i="12"/>
  <c r="P20" i="12"/>
  <c r="P21" i="12" s="1"/>
  <c r="P23" i="12"/>
  <c r="P34" i="12"/>
  <c r="L87" i="8"/>
  <c r="L88" i="8" s="1"/>
  <c r="R8" i="12" l="1"/>
  <c r="P13" i="12"/>
  <c r="P14" i="12" s="1"/>
  <c r="P45" i="12"/>
  <c r="P47" i="12"/>
  <c r="P38" i="12"/>
  <c r="P39" i="12" s="1"/>
  <c r="P40" i="12" s="1"/>
  <c r="Q30" i="12"/>
  <c r="P32" i="12"/>
  <c r="P35" i="12"/>
  <c r="P24" i="12"/>
  <c r="O40" i="12"/>
  <c r="S27" i="12"/>
  <c r="Q20" i="12"/>
  <c r="Q13" i="12"/>
  <c r="Q38" i="12"/>
  <c r="Q47" i="12"/>
  <c r="Q46" i="12"/>
  <c r="R12" i="12"/>
  <c r="R47" i="12" s="1"/>
  <c r="T5" i="12"/>
  <c r="T19" i="12" s="1"/>
  <c r="R34" i="12"/>
  <c r="R35" i="12" s="1"/>
  <c r="R36" i="12" s="1"/>
  <c r="S6" i="12"/>
  <c r="R29" i="12"/>
  <c r="S28" i="12"/>
  <c r="S11" i="12"/>
  <c r="Q31" i="12"/>
  <c r="Q36" i="12"/>
  <c r="Q32" i="8"/>
  <c r="P32" i="8"/>
  <c r="O32" i="8"/>
  <c r="N32" i="8"/>
  <c r="M32" i="8"/>
  <c r="L32" i="8"/>
  <c r="K32" i="8"/>
  <c r="J32" i="8"/>
  <c r="I32" i="8"/>
  <c r="H32" i="8"/>
  <c r="G32" i="8"/>
  <c r="Q32" i="12" l="1"/>
  <c r="R31" i="12"/>
  <c r="Q39" i="12"/>
  <c r="Q14" i="12"/>
  <c r="P25" i="12"/>
  <c r="Q21" i="12"/>
  <c r="P36" i="12"/>
  <c r="S8" i="12"/>
  <c r="T27" i="12"/>
  <c r="R38" i="12"/>
  <c r="R39" i="12" s="1"/>
  <c r="R40" i="12" s="1"/>
  <c r="R45" i="12"/>
  <c r="R13" i="12"/>
  <c r="R14" i="12" s="1"/>
  <c r="R23" i="12"/>
  <c r="R46" i="12"/>
  <c r="R20" i="12"/>
  <c r="R21" i="12" s="1"/>
  <c r="U5" i="12"/>
  <c r="U19" i="12" s="1"/>
  <c r="T11" i="12"/>
  <c r="S29" i="12"/>
  <c r="T6" i="12"/>
  <c r="T28" i="12"/>
  <c r="R30" i="12"/>
  <c r="T8" i="12" l="1"/>
  <c r="T12" i="12" s="1"/>
  <c r="T34" i="12" s="1"/>
  <c r="T35" i="12" s="1"/>
  <c r="T36" i="12" s="1"/>
  <c r="R32" i="12"/>
  <c r="S30" i="12"/>
  <c r="R24" i="12"/>
  <c r="S12" i="12"/>
  <c r="S38" i="12" s="1"/>
  <c r="Q40" i="12"/>
  <c r="U27" i="12"/>
  <c r="V5" i="12"/>
  <c r="V19" i="12" s="1"/>
  <c r="S20" i="12"/>
  <c r="S21" i="12" s="1"/>
  <c r="S34" i="12"/>
  <c r="T29" i="12"/>
  <c r="U28" i="12"/>
  <c r="U11" i="12"/>
  <c r="U6" i="12"/>
  <c r="U8" i="12" s="1"/>
  <c r="S31" i="12"/>
  <c r="S45" i="12" l="1"/>
  <c r="S32" i="12"/>
  <c r="T31" i="12"/>
  <c r="S23" i="12"/>
  <c r="S13" i="12"/>
  <c r="S39" i="12"/>
  <c r="S46" i="12"/>
  <c r="R25" i="12"/>
  <c r="S47" i="12"/>
  <c r="S35" i="12"/>
  <c r="U12" i="12"/>
  <c r="U34" i="12" s="1"/>
  <c r="U35" i="12" s="1"/>
  <c r="U36" i="12" s="1"/>
  <c r="V27" i="12"/>
  <c r="W5" i="12"/>
  <c r="W19" i="12" s="1"/>
  <c r="V6" i="12"/>
  <c r="V28" i="12"/>
  <c r="V11" i="12"/>
  <c r="U29" i="12"/>
  <c r="T47" i="12"/>
  <c r="T45" i="12"/>
  <c r="T20" i="12"/>
  <c r="T21" i="12" s="1"/>
  <c r="T38" i="12"/>
  <c r="T39" i="12" s="1"/>
  <c r="T40" i="12" s="1"/>
  <c r="T46" i="12"/>
  <c r="T13" i="12"/>
  <c r="T14" i="12" s="1"/>
  <c r="T23" i="12"/>
  <c r="T30" i="12"/>
  <c r="U20" i="12"/>
  <c r="U21" i="12" s="1"/>
  <c r="U23" i="12"/>
  <c r="U24" i="12" s="1"/>
  <c r="U25" i="12" s="1"/>
  <c r="F187" i="8"/>
  <c r="V8" i="12" l="1"/>
  <c r="T32" i="12"/>
  <c r="U31" i="12"/>
  <c r="U13" i="12"/>
  <c r="U14" i="12" s="1"/>
  <c r="U45" i="12"/>
  <c r="U38" i="12"/>
  <c r="U39" i="12" s="1"/>
  <c r="U40" i="12" s="1"/>
  <c r="S36" i="12"/>
  <c r="S40" i="12"/>
  <c r="S14" i="12"/>
  <c r="S24" i="12"/>
  <c r="S25" i="12" s="1"/>
  <c r="U47" i="12"/>
  <c r="U46" i="12"/>
  <c r="W27" i="12"/>
  <c r="X5" i="12"/>
  <c r="W28" i="12"/>
  <c r="V29" i="12"/>
  <c r="V12" i="12"/>
  <c r="W6" i="12"/>
  <c r="W8" i="12" s="1"/>
  <c r="W11" i="12"/>
  <c r="U30" i="12"/>
  <c r="T24" i="12"/>
  <c r="T25" i="12" s="1"/>
  <c r="W29" i="12" l="1"/>
  <c r="W31" i="12" s="1"/>
  <c r="U32" i="12"/>
  <c r="V31" i="12"/>
  <c r="V45" i="12"/>
  <c r="X6" i="12"/>
  <c r="X19" i="12"/>
  <c r="V30" i="12"/>
  <c r="X8" i="12"/>
  <c r="X27" i="12"/>
  <c r="X11" i="12"/>
  <c r="Y5" i="12"/>
  <c r="X28" i="12"/>
  <c r="V13" i="12"/>
  <c r="V34" i="12"/>
  <c r="V47" i="12"/>
  <c r="V38" i="12"/>
  <c r="V20" i="12"/>
  <c r="W12" i="12"/>
  <c r="V46" i="12"/>
  <c r="V23" i="12"/>
  <c r="W30" i="12"/>
  <c r="W32" i="12" s="1"/>
  <c r="E35" i="8"/>
  <c r="E200" i="8" s="1"/>
  <c r="V32" i="12" l="1"/>
  <c r="V21" i="12"/>
  <c r="V39" i="12"/>
  <c r="V35" i="12"/>
  <c r="V14" i="12"/>
  <c r="V24" i="12"/>
  <c r="V25" i="12" s="1"/>
  <c r="Y6" i="12"/>
  <c r="Y8" i="12" s="1"/>
  <c r="Y19" i="12"/>
  <c r="X29" i="12"/>
  <c r="Y27" i="12"/>
  <c r="Y11" i="12"/>
  <c r="X12" i="12"/>
  <c r="X46" i="12" s="1"/>
  <c r="Y28" i="12"/>
  <c r="Z5" i="12"/>
  <c r="W45" i="12"/>
  <c r="W20" i="12"/>
  <c r="W21" i="12" s="1"/>
  <c r="W34" i="12"/>
  <c r="W35" i="12" s="1"/>
  <c r="W36" i="12" s="1"/>
  <c r="W38" i="12"/>
  <c r="W39" i="12" s="1"/>
  <c r="W40" i="12" s="1"/>
  <c r="W23" i="12"/>
  <c r="W24" i="12" s="1"/>
  <c r="W25" i="12" s="1"/>
  <c r="W47" i="12"/>
  <c r="W46" i="12"/>
  <c r="W13" i="12"/>
  <c r="W14" i="12" s="1"/>
  <c r="X34" i="12"/>
  <c r="X35" i="12" s="1"/>
  <c r="X36" i="12" s="1"/>
  <c r="X23" i="12"/>
  <c r="X24" i="12" s="1"/>
  <c r="X25" i="12" s="1"/>
  <c r="Y34" i="12"/>
  <c r="Y35" i="12" s="1"/>
  <c r="Y23" i="12"/>
  <c r="Y24" i="12" s="1"/>
  <c r="E201" i="8"/>
  <c r="O48" i="9"/>
  <c r="P48" i="9"/>
  <c r="Q48" i="9"/>
  <c r="R48" i="9"/>
  <c r="F49" i="9"/>
  <c r="H49" i="9"/>
  <c r="I49" i="9"/>
  <c r="J49" i="9"/>
  <c r="K49" i="9"/>
  <c r="L49" i="9"/>
  <c r="M49" i="9"/>
  <c r="N49" i="9"/>
  <c r="O49" i="9"/>
  <c r="P49" i="9"/>
  <c r="Q49" i="9"/>
  <c r="R49" i="9"/>
  <c r="B48" i="9"/>
  <c r="B49" i="9"/>
  <c r="B47" i="9"/>
  <c r="E192" i="8"/>
  <c r="Y29" i="12" l="1"/>
  <c r="Y31" i="12" s="1"/>
  <c r="X31" i="12"/>
  <c r="V40" i="12"/>
  <c r="V36" i="12"/>
  <c r="X30" i="12"/>
  <c r="Z28" i="12"/>
  <c r="Z19" i="12"/>
  <c r="Z11" i="12"/>
  <c r="X38" i="12"/>
  <c r="X39" i="12" s="1"/>
  <c r="X40" i="12" s="1"/>
  <c r="Z6" i="12"/>
  <c r="Z8" i="12" s="1"/>
  <c r="X13" i="12"/>
  <c r="X14" i="12" s="1"/>
  <c r="Y30" i="12"/>
  <c r="Y32" i="12" s="1"/>
  <c r="X45" i="12"/>
  <c r="X20" i="12"/>
  <c r="X21" i="12" s="1"/>
  <c r="Y12" i="12"/>
  <c r="X47" i="12"/>
  <c r="AA5" i="12"/>
  <c r="Z27" i="12"/>
  <c r="Z34" i="12"/>
  <c r="Z35" i="12" s="1"/>
  <c r="Z23" i="12"/>
  <c r="Z24" i="12" s="1"/>
  <c r="Y36" i="12"/>
  <c r="Y25" i="12"/>
  <c r="Z29" i="12" l="1"/>
  <c r="X32" i="12"/>
  <c r="Z12" i="12"/>
  <c r="Z38" i="12" s="1"/>
  <c r="Z39" i="12" s="1"/>
  <c r="Z40" i="12" s="1"/>
  <c r="Z31" i="12"/>
  <c r="Y47" i="12"/>
  <c r="Y45" i="12"/>
  <c r="Y46" i="12"/>
  <c r="Y20" i="12"/>
  <c r="Y21" i="12" s="1"/>
  <c r="Y13" i="12"/>
  <c r="Y14" i="12" s="1"/>
  <c r="Y38" i="12"/>
  <c r="Y39" i="12" s="1"/>
  <c r="Y40" i="12" s="1"/>
  <c r="AA6" i="12"/>
  <c r="AA8" i="12" s="1"/>
  <c r="AB5" i="12"/>
  <c r="AA11" i="12"/>
  <c r="AA28" i="12"/>
  <c r="Z45" i="12"/>
  <c r="Z20" i="12"/>
  <c r="Z21" i="12" s="1"/>
  <c r="Z25" i="12"/>
  <c r="Z36" i="12"/>
  <c r="F244" i="8"/>
  <c r="F48" i="9"/>
  <c r="Z47" i="12" l="1"/>
  <c r="Z13" i="12"/>
  <c r="Z14" i="12" s="1"/>
  <c r="Z46" i="12"/>
  <c r="Z30" i="12"/>
  <c r="AA12" i="12"/>
  <c r="AA23" i="12" s="1"/>
  <c r="AA27" i="12"/>
  <c r="AB6" i="12"/>
  <c r="AB11" i="12"/>
  <c r="AB28" i="12"/>
  <c r="AC5" i="12"/>
  <c r="Z32" i="12" l="1"/>
  <c r="AA24" i="12"/>
  <c r="AA29" i="12"/>
  <c r="AA31" i="12" s="1"/>
  <c r="AA19" i="12"/>
  <c r="AA13" i="12"/>
  <c r="AA34" i="12"/>
  <c r="AA38" i="12"/>
  <c r="AA47" i="12"/>
  <c r="AA45" i="12"/>
  <c r="AA25" i="12"/>
  <c r="AA46" i="12"/>
  <c r="AB27" i="12"/>
  <c r="AB29" i="12" s="1"/>
  <c r="AB8" i="12"/>
  <c r="AD5" i="12"/>
  <c r="AC11" i="12"/>
  <c r="AC6" i="12"/>
  <c r="AC28" i="12"/>
  <c r="AC27" i="12" l="1"/>
  <c r="AC29" i="12" s="1"/>
  <c r="AC31" i="12" s="1"/>
  <c r="AA39" i="12"/>
  <c r="AA35" i="12"/>
  <c r="AA14" i="12"/>
  <c r="AA20" i="12"/>
  <c r="AB12" i="12"/>
  <c r="AA30" i="12"/>
  <c r="AA32" i="12" s="1"/>
  <c r="AC8" i="12"/>
  <c r="AC12" i="12" s="1"/>
  <c r="AC47" i="12" s="1"/>
  <c r="AD28" i="12"/>
  <c r="AD6" i="12"/>
  <c r="AD8" i="12" s="1"/>
  <c r="AE5" i="12"/>
  <c r="AD11" i="12"/>
  <c r="AB30" i="12"/>
  <c r="AB31" i="12"/>
  <c r="F42" i="8"/>
  <c r="F172" i="8" s="1"/>
  <c r="AC45" i="12" l="1"/>
  <c r="AB19" i="12"/>
  <c r="AB38" i="12"/>
  <c r="AA36" i="12"/>
  <c r="AB46" i="12"/>
  <c r="AA40" i="12"/>
  <c r="AB47" i="12"/>
  <c r="AB34" i="12"/>
  <c r="AA21" i="12"/>
  <c r="AB13" i="12"/>
  <c r="AB45" i="12"/>
  <c r="AB23" i="12"/>
  <c r="AC13" i="12"/>
  <c r="AC14" i="12" s="1"/>
  <c r="AC30" i="12"/>
  <c r="AC32" i="12" s="1"/>
  <c r="AC46" i="12"/>
  <c r="AC23" i="12"/>
  <c r="AC24" i="12" s="1"/>
  <c r="AC25" i="12" s="1"/>
  <c r="AC19" i="12"/>
  <c r="AC20" i="12" s="1"/>
  <c r="AC21" i="12" s="1"/>
  <c r="AC34" i="12"/>
  <c r="AC35" i="12" s="1"/>
  <c r="AC36" i="12" s="1"/>
  <c r="AC38" i="12"/>
  <c r="AC39" i="12" s="1"/>
  <c r="AC40" i="12" s="1"/>
  <c r="AD12" i="12"/>
  <c r="AD38" i="12" s="1"/>
  <c r="AD39" i="12" s="1"/>
  <c r="AB32" i="12"/>
  <c r="AF5" i="12"/>
  <c r="AE28" i="12"/>
  <c r="AE11" i="12"/>
  <c r="AE6" i="12"/>
  <c r="AE8" i="12" s="1"/>
  <c r="AD27" i="12"/>
  <c r="AB24" i="12"/>
  <c r="F52" i="8"/>
  <c r="F53" i="8" s="1"/>
  <c r="N26" i="8"/>
  <c r="AB25" i="12" l="1"/>
  <c r="AB14" i="12"/>
  <c r="AB39" i="12"/>
  <c r="AB35" i="12"/>
  <c r="AB20" i="12"/>
  <c r="AD29" i="12"/>
  <c r="AD30" i="12" s="1"/>
  <c r="AD34" i="12"/>
  <c r="AD35" i="12" s="1"/>
  <c r="AD36" i="12" s="1"/>
  <c r="AD46" i="12"/>
  <c r="AD13" i="12"/>
  <c r="AD14" i="12" s="1"/>
  <c r="AD19" i="12"/>
  <c r="AD20" i="12" s="1"/>
  <c r="AD21" i="12" s="1"/>
  <c r="AD23" i="12"/>
  <c r="AD24" i="12" s="1"/>
  <c r="AD47" i="12"/>
  <c r="AE27" i="12"/>
  <c r="AE29" i="12" s="1"/>
  <c r="AD45" i="12"/>
  <c r="AF28" i="12"/>
  <c r="AF11" i="12"/>
  <c r="AF6" i="12"/>
  <c r="AG5" i="12"/>
  <c r="AE12" i="12"/>
  <c r="O26" i="8"/>
  <c r="P26" i="8" s="1"/>
  <c r="Q26" i="8" s="1"/>
  <c r="AD40" i="12"/>
  <c r="N24" i="8"/>
  <c r="AB21" i="12" l="1"/>
  <c r="AB36" i="12"/>
  <c r="AB40" i="12"/>
  <c r="AD31" i="12"/>
  <c r="AD32" i="12" s="1"/>
  <c r="AE23" i="12"/>
  <c r="AE19" i="12"/>
  <c r="AE20" i="12" s="1"/>
  <c r="AD25" i="12"/>
  <c r="AE31" i="12"/>
  <c r="AE30" i="12"/>
  <c r="AE47" i="12"/>
  <c r="AE34" i="12"/>
  <c r="AE35" i="12" s="1"/>
  <c r="AE38" i="12"/>
  <c r="AE13" i="12"/>
  <c r="AE46" i="12"/>
  <c r="AE45" i="12"/>
  <c r="AH5" i="12"/>
  <c r="AG28" i="12"/>
  <c r="AG11" i="12"/>
  <c r="AG6" i="12"/>
  <c r="AG8" i="12" s="1"/>
  <c r="AF27" i="12"/>
  <c r="AF29" i="12" s="1"/>
  <c r="AF8" i="12"/>
  <c r="AF12" i="12" s="1"/>
  <c r="AF19" i="12" s="1"/>
  <c r="T170" i="8" a="1"/>
  <c r="T170" i="8" s="1"/>
  <c r="T106" i="8" a="1"/>
  <c r="T106" i="8" s="1"/>
  <c r="O24" i="8"/>
  <c r="AE39" i="12" l="1"/>
  <c r="AE24" i="12"/>
  <c r="AE25" i="12" s="1"/>
  <c r="AE14" i="12"/>
  <c r="AG12" i="12"/>
  <c r="AG19" i="12" s="1"/>
  <c r="AE32" i="12"/>
  <c r="AG27" i="12"/>
  <c r="AG29" i="12" s="1"/>
  <c r="AF31" i="12"/>
  <c r="AF30" i="12"/>
  <c r="AI5" i="12"/>
  <c r="AH28" i="12"/>
  <c r="AH11" i="12"/>
  <c r="AH6" i="12"/>
  <c r="AH8" i="12" s="1"/>
  <c r="AF38" i="12"/>
  <c r="AF39" i="12" s="1"/>
  <c r="AF40" i="12" s="1"/>
  <c r="AF34" i="12"/>
  <c r="AF35" i="12" s="1"/>
  <c r="AF13" i="12"/>
  <c r="AF14" i="12" s="1"/>
  <c r="AF47" i="12"/>
  <c r="AF20" i="12"/>
  <c r="AF21" i="12" s="1"/>
  <c r="AF46" i="12"/>
  <c r="AF45" i="12"/>
  <c r="AF23" i="12"/>
  <c r="AE21" i="12"/>
  <c r="AE36" i="12"/>
  <c r="AG38" i="12"/>
  <c r="AG34" i="12"/>
  <c r="P24" i="8"/>
  <c r="F20" i="8"/>
  <c r="AG45" i="12" l="1"/>
  <c r="AG46" i="12"/>
  <c r="AG47" i="12"/>
  <c r="AG13" i="12"/>
  <c r="AG14" i="12" s="1"/>
  <c r="AF36" i="12"/>
  <c r="AE40" i="12"/>
  <c r="AG23" i="12"/>
  <c r="AH27" i="12"/>
  <c r="AH29" i="12" s="1"/>
  <c r="AH31" i="12" s="1"/>
  <c r="AH12" i="12"/>
  <c r="AH23" i="12" s="1"/>
  <c r="AI28" i="12"/>
  <c r="AI11" i="12"/>
  <c r="AI6" i="12"/>
  <c r="AJ5" i="12"/>
  <c r="AF24" i="12"/>
  <c r="AF25" i="12" s="1"/>
  <c r="AF32" i="12"/>
  <c r="AG30" i="12"/>
  <c r="AG31" i="12"/>
  <c r="AG20" i="12"/>
  <c r="AG35" i="12"/>
  <c r="AG36" i="12" s="1"/>
  <c r="AG39" i="12"/>
  <c r="Q24" i="8"/>
  <c r="T143" i="8" s="1" a="1"/>
  <c r="T143" i="8" s="1"/>
  <c r="AH34" i="12" l="1"/>
  <c r="AH35" i="12" s="1"/>
  <c r="AG24" i="12"/>
  <c r="AG25" i="12" s="1"/>
  <c r="AH46" i="12"/>
  <c r="AH19" i="12"/>
  <c r="AH45" i="12"/>
  <c r="AH13" i="12"/>
  <c r="AH30" i="12"/>
  <c r="AH32" i="12" s="1"/>
  <c r="AH38" i="12"/>
  <c r="AH47" i="12"/>
  <c r="AG32" i="12"/>
  <c r="AJ6" i="12"/>
  <c r="AJ28" i="12"/>
  <c r="AJ11" i="12"/>
  <c r="AK5" i="12"/>
  <c r="AI8" i="12"/>
  <c r="AI12" i="12" s="1"/>
  <c r="AI27" i="12"/>
  <c r="AI29" i="12" s="1"/>
  <c r="AG40" i="12"/>
  <c r="AG21" i="12"/>
  <c r="AH24" i="12"/>
  <c r="AH36" i="12"/>
  <c r="R18" i="9"/>
  <c r="Q18" i="9"/>
  <c r="P18" i="9"/>
  <c r="B259" i="8"/>
  <c r="E247" i="8"/>
  <c r="B247" i="8"/>
  <c r="B245" i="8"/>
  <c r="H47" i="14" s="1"/>
  <c r="B244" i="8"/>
  <c r="E243" i="8"/>
  <c r="B243" i="8"/>
  <c r="N242" i="8"/>
  <c r="E242" i="8"/>
  <c r="B242" i="8"/>
  <c r="H42" i="14" s="1"/>
  <c r="Q241" i="8"/>
  <c r="P241" i="8"/>
  <c r="O241" i="8"/>
  <c r="N241" i="8"/>
  <c r="M241" i="8"/>
  <c r="L241" i="8"/>
  <c r="K241" i="8"/>
  <c r="J241" i="8"/>
  <c r="I241" i="8"/>
  <c r="B241" i="8"/>
  <c r="Q240" i="8"/>
  <c r="P240" i="8"/>
  <c r="O240" i="8"/>
  <c r="N240" i="8"/>
  <c r="M240" i="8"/>
  <c r="L240" i="8"/>
  <c r="K240" i="8"/>
  <c r="J240" i="8"/>
  <c r="I240" i="8"/>
  <c r="H240" i="8"/>
  <c r="G240" i="8"/>
  <c r="B240" i="8"/>
  <c r="H41" i="14" s="1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B239" i="8"/>
  <c r="H39" i="14" s="1"/>
  <c r="E238" i="8"/>
  <c r="B238" i="8"/>
  <c r="B236" i="8"/>
  <c r="P194" i="8"/>
  <c r="O194" i="8"/>
  <c r="N194" i="8"/>
  <c r="M194" i="8"/>
  <c r="R187" i="8"/>
  <c r="Q180" i="8"/>
  <c r="N175" i="8"/>
  <c r="R175" i="8" s="1"/>
  <c r="J174" i="8"/>
  <c r="I174" i="8"/>
  <c r="H174" i="8"/>
  <c r="G174" i="8"/>
  <c r="F174" i="8"/>
  <c r="B128" i="8"/>
  <c r="P114" i="8"/>
  <c r="P251" i="8" s="1"/>
  <c r="O114" i="8"/>
  <c r="O251" i="8" s="1"/>
  <c r="N114" i="8"/>
  <c r="N251" i="8" s="1"/>
  <c r="B114" i="8"/>
  <c r="Q113" i="8"/>
  <c r="Q114" i="8" s="1"/>
  <c r="L113" i="8"/>
  <c r="K113" i="8"/>
  <c r="J112" i="8"/>
  <c r="I112" i="8"/>
  <c r="H112" i="8"/>
  <c r="G112" i="8"/>
  <c r="F112" i="8"/>
  <c r="R110" i="8"/>
  <c r="T110" i="8" s="1"/>
  <c r="B80" i="8"/>
  <c r="E79" i="8"/>
  <c r="P72" i="8"/>
  <c r="P249" i="8" s="1"/>
  <c r="O72" i="8"/>
  <c r="O249" i="8" s="1"/>
  <c r="M72" i="8"/>
  <c r="M249" i="8" s="1"/>
  <c r="B72" i="8"/>
  <c r="N72" i="8"/>
  <c r="N249" i="8" s="1"/>
  <c r="E58" i="8"/>
  <c r="R29" i="8"/>
  <c r="G11" i="8"/>
  <c r="F11" i="8"/>
  <c r="R8" i="8"/>
  <c r="R7" i="8"/>
  <c r="T147" i="8" s="1"/>
  <c r="F5" i="8"/>
  <c r="G5" i="8" s="1"/>
  <c r="H5" i="8" s="1"/>
  <c r="F4" i="8"/>
  <c r="AH39" i="12" l="1"/>
  <c r="AH40" i="12" s="1"/>
  <c r="AH14" i="12"/>
  <c r="AH20" i="12"/>
  <c r="AH21" i="12" s="1"/>
  <c r="AI38" i="12"/>
  <c r="AI19" i="12"/>
  <c r="AI20" i="12" s="1"/>
  <c r="AI46" i="12"/>
  <c r="AI45" i="12"/>
  <c r="AI47" i="12"/>
  <c r="AI34" i="12"/>
  <c r="AI35" i="12" s="1"/>
  <c r="AI36" i="12" s="1"/>
  <c r="AI13" i="12"/>
  <c r="AI14" i="12" s="1"/>
  <c r="AI23" i="12"/>
  <c r="AI24" i="12" s="1"/>
  <c r="AI25" i="12" s="1"/>
  <c r="AJ27" i="12"/>
  <c r="AJ29" i="12" s="1"/>
  <c r="AK28" i="12"/>
  <c r="AK11" i="12"/>
  <c r="AK6" i="12"/>
  <c r="AK8" i="12" s="1"/>
  <c r="AL5" i="12"/>
  <c r="AI31" i="12"/>
  <c r="AI30" i="12"/>
  <c r="AJ8" i="12"/>
  <c r="AJ12" i="12" s="1"/>
  <c r="AJ19" i="12" s="1"/>
  <c r="F186" i="8"/>
  <c r="F184" i="8"/>
  <c r="G186" i="8"/>
  <c r="G184" i="8"/>
  <c r="T133" i="8"/>
  <c r="T119" i="8"/>
  <c r="C17" i="8"/>
  <c r="T142" i="8"/>
  <c r="B68" i="14"/>
  <c r="H38" i="14"/>
  <c r="H68" i="14" s="1"/>
  <c r="B79" i="14"/>
  <c r="H49" i="14"/>
  <c r="H79" i="14" s="1"/>
  <c r="AH25" i="12"/>
  <c r="AI39" i="12"/>
  <c r="V7" i="8"/>
  <c r="C16" i="8"/>
  <c r="T134" i="8"/>
  <c r="T136" i="8"/>
  <c r="T135" i="8"/>
  <c r="T137" i="8"/>
  <c r="T131" i="8"/>
  <c r="T140" i="8"/>
  <c r="T132" i="8"/>
  <c r="T139" i="8"/>
  <c r="T138" i="8"/>
  <c r="T141" i="8"/>
  <c r="V8" i="8"/>
  <c r="T86" i="8"/>
  <c r="E248" i="8"/>
  <c r="C12" i="8"/>
  <c r="K72" i="8"/>
  <c r="K249" i="8" s="1"/>
  <c r="L72" i="8"/>
  <c r="L249" i="8" s="1"/>
  <c r="D12" i="8"/>
  <c r="R185" i="8"/>
  <c r="R11" i="8"/>
  <c r="T8" i="8"/>
  <c r="R174" i="8"/>
  <c r="T7" i="8"/>
  <c r="R112" i="8"/>
  <c r="R123" i="8"/>
  <c r="E176" i="8"/>
  <c r="R111" i="8"/>
  <c r="T111" i="8" s="1"/>
  <c r="R194" i="8"/>
  <c r="R239" i="8"/>
  <c r="O180" i="8"/>
  <c r="E80" i="8"/>
  <c r="E250" i="8" s="1"/>
  <c r="F238" i="8"/>
  <c r="F247" i="8"/>
  <c r="G20" i="8"/>
  <c r="P180" i="8"/>
  <c r="Q251" i="8"/>
  <c r="G4" i="8"/>
  <c r="M180" i="8"/>
  <c r="K114" i="8"/>
  <c r="K251" i="8" s="1"/>
  <c r="M114" i="8"/>
  <c r="V11" i="8"/>
  <c r="N180" i="8"/>
  <c r="R76" i="8"/>
  <c r="T76" i="8" s="1"/>
  <c r="AK27" i="12" l="1"/>
  <c r="AK29" i="12" s="1"/>
  <c r="AK30" i="12" s="1"/>
  <c r="AK12" i="12"/>
  <c r="AK19" i="12" s="1"/>
  <c r="AI32" i="12"/>
  <c r="AL6" i="12"/>
  <c r="AL8" i="12" s="1"/>
  <c r="AM5" i="12"/>
  <c r="AL28" i="12"/>
  <c r="AL11" i="12"/>
  <c r="AJ45" i="12"/>
  <c r="AJ13" i="12"/>
  <c r="AJ14" i="12" s="1"/>
  <c r="AJ46" i="12"/>
  <c r="AJ38" i="12"/>
  <c r="AJ39" i="12" s="1"/>
  <c r="AJ40" i="12" s="1"/>
  <c r="AJ20" i="12"/>
  <c r="AJ21" i="12" s="1"/>
  <c r="AJ23" i="12"/>
  <c r="AJ34" i="12"/>
  <c r="AJ35" i="12" s="1"/>
  <c r="AJ36" i="12" s="1"/>
  <c r="AJ47" i="12"/>
  <c r="AJ31" i="12"/>
  <c r="AJ30" i="12"/>
  <c r="G61" i="8"/>
  <c r="F61" i="8"/>
  <c r="G62" i="8"/>
  <c r="F62" i="8"/>
  <c r="AI21" i="12"/>
  <c r="AI40" i="12"/>
  <c r="AK45" i="12"/>
  <c r="AK46" i="12"/>
  <c r="C13" i="8"/>
  <c r="V123" i="8"/>
  <c r="T123" i="8"/>
  <c r="V76" i="8"/>
  <c r="R154" i="8"/>
  <c r="T154" i="8" s="1"/>
  <c r="R149" i="8"/>
  <c r="T149" i="8" s="1"/>
  <c r="R148" i="8"/>
  <c r="T148" i="8" s="1"/>
  <c r="R152" i="8"/>
  <c r="T152" i="8" s="1"/>
  <c r="R153" i="8"/>
  <c r="T153" i="8" s="1"/>
  <c r="R146" i="8"/>
  <c r="T146" i="8" s="1"/>
  <c r="R150" i="8"/>
  <c r="T150" i="8" s="1"/>
  <c r="R84" i="8"/>
  <c r="V84" i="8" s="1"/>
  <c r="Q87" i="8"/>
  <c r="Q88" i="8" s="1"/>
  <c r="N87" i="8"/>
  <c r="N88" i="8" s="1"/>
  <c r="O87" i="8"/>
  <c r="O88" i="8" s="1"/>
  <c r="M87" i="8"/>
  <c r="R83" i="8"/>
  <c r="T83" i="8" s="1"/>
  <c r="P87" i="8"/>
  <c r="P88" i="8" s="1"/>
  <c r="R85" i="8"/>
  <c r="T85" i="8" s="1"/>
  <c r="G42" i="8"/>
  <c r="F79" i="8"/>
  <c r="F80" i="8" s="1"/>
  <c r="F250" i="8" s="1"/>
  <c r="R67" i="8"/>
  <c r="L173" i="8"/>
  <c r="R184" i="8"/>
  <c r="K173" i="8"/>
  <c r="J173" i="8"/>
  <c r="I173" i="8"/>
  <c r="P173" i="8"/>
  <c r="O173" i="8"/>
  <c r="M173" i="8"/>
  <c r="E128" i="8"/>
  <c r="E252" i="8" s="1"/>
  <c r="F71" i="8"/>
  <c r="E253" i="8"/>
  <c r="X123" i="8"/>
  <c r="N173" i="8"/>
  <c r="R20" i="8"/>
  <c r="R118" i="8"/>
  <c r="T118" i="8" s="1"/>
  <c r="R120" i="8"/>
  <c r="T120" i="8" s="1"/>
  <c r="R122" i="8"/>
  <c r="C20" i="8"/>
  <c r="F179" i="8" s="1"/>
  <c r="R125" i="8"/>
  <c r="T125" i="8" s="1"/>
  <c r="R126" i="8"/>
  <c r="R124" i="8"/>
  <c r="T124" i="8" s="1"/>
  <c r="X11" i="8"/>
  <c r="M251" i="8"/>
  <c r="G78" i="8"/>
  <c r="H78" i="8" s="1"/>
  <c r="I78" i="8" s="1"/>
  <c r="J78" i="8" s="1"/>
  <c r="L78" i="8" s="1"/>
  <c r="M78" i="8" s="1"/>
  <c r="H4" i="8"/>
  <c r="L114" i="8"/>
  <c r="L251" i="8" s="1"/>
  <c r="N79" i="8"/>
  <c r="N80" i="8" s="1"/>
  <c r="P79" i="8"/>
  <c r="P80" i="8" s="1"/>
  <c r="R77" i="8"/>
  <c r="O79" i="8"/>
  <c r="O80" i="8" s="1"/>
  <c r="Q79" i="8"/>
  <c r="Q80" i="8" s="1"/>
  <c r="G247" i="8"/>
  <c r="G238" i="8"/>
  <c r="R75" i="8"/>
  <c r="T75" i="8" s="1"/>
  <c r="M79" i="8"/>
  <c r="AK47" i="12" l="1"/>
  <c r="AK13" i="12"/>
  <c r="AK14" i="12" s="1"/>
  <c r="AK34" i="12"/>
  <c r="AK35" i="12" s="1"/>
  <c r="AK36" i="12" s="1"/>
  <c r="AK38" i="12"/>
  <c r="AK39" i="12" s="1"/>
  <c r="AK40" i="12" s="1"/>
  <c r="AK23" i="12"/>
  <c r="AK24" i="12" s="1"/>
  <c r="AK25" i="12" s="1"/>
  <c r="AL27" i="12"/>
  <c r="AL29" i="12" s="1"/>
  <c r="AL12" i="12"/>
  <c r="AL47" i="12" s="1"/>
  <c r="AK31" i="12"/>
  <c r="AK32" i="12" s="1"/>
  <c r="AJ32" i="12"/>
  <c r="AM11" i="12"/>
  <c r="AN5" i="12"/>
  <c r="AM28" i="12"/>
  <c r="AM6" i="12"/>
  <c r="AM8" i="12" s="1"/>
  <c r="AJ24" i="12"/>
  <c r="AJ25" i="12" s="1"/>
  <c r="T77" i="8"/>
  <c r="G63" i="8"/>
  <c r="F63" i="8"/>
  <c r="AK20" i="12"/>
  <c r="P250" i="8"/>
  <c r="V126" i="8"/>
  <c r="T126" i="8"/>
  <c r="V122" i="8"/>
  <c r="T122" i="8"/>
  <c r="V154" i="8"/>
  <c r="T84" i="8"/>
  <c r="N250" i="8"/>
  <c r="Q250" i="8"/>
  <c r="O250" i="8"/>
  <c r="C61" i="8"/>
  <c r="R61" i="8"/>
  <c r="R62" i="8"/>
  <c r="C62" i="8"/>
  <c r="V153" i="8"/>
  <c r="V120" i="8"/>
  <c r="V118" i="8"/>
  <c r="V150" i="8"/>
  <c r="V149" i="8"/>
  <c r="V125" i="8"/>
  <c r="V124" i="8"/>
  <c r="V152" i="8"/>
  <c r="V148" i="8"/>
  <c r="V146" i="8"/>
  <c r="F156" i="8"/>
  <c r="M88" i="8"/>
  <c r="R87" i="8"/>
  <c r="T87" i="8" s="1"/>
  <c r="H79" i="8"/>
  <c r="G79" i="8"/>
  <c r="G80" i="8" s="1"/>
  <c r="E72" i="8"/>
  <c r="E249" i="8" s="1"/>
  <c r="R121" i="8"/>
  <c r="K179" i="8"/>
  <c r="R173" i="8"/>
  <c r="H179" i="8"/>
  <c r="L179" i="8"/>
  <c r="I179" i="8"/>
  <c r="G179" i="8"/>
  <c r="J179" i="8"/>
  <c r="R71" i="8"/>
  <c r="H128" i="8"/>
  <c r="P188" i="8"/>
  <c r="L188" i="8"/>
  <c r="L255" i="8" s="1"/>
  <c r="H188" i="8"/>
  <c r="H255" i="8" s="1"/>
  <c r="O188" i="8"/>
  <c r="K188" i="8"/>
  <c r="K255" i="8" s="1"/>
  <c r="G188" i="8"/>
  <c r="G255" i="8" s="1"/>
  <c r="N188" i="8"/>
  <c r="J188" i="8"/>
  <c r="J255" i="8" s="1"/>
  <c r="F188" i="8"/>
  <c r="F255" i="8" s="1"/>
  <c r="Q188" i="8"/>
  <c r="Q255" i="8" s="1"/>
  <c r="M188" i="8"/>
  <c r="I188" i="8"/>
  <c r="I255" i="8" s="1"/>
  <c r="N128" i="8"/>
  <c r="F127" i="8"/>
  <c r="F128" i="8" s="1"/>
  <c r="R117" i="8"/>
  <c r="T117" i="8" s="1"/>
  <c r="I128" i="8"/>
  <c r="H247" i="8"/>
  <c r="H238" i="8"/>
  <c r="I5" i="8"/>
  <c r="K128" i="8"/>
  <c r="L128" i="8"/>
  <c r="J128" i="8"/>
  <c r="P128" i="8"/>
  <c r="O128" i="8"/>
  <c r="M128" i="8"/>
  <c r="I4" i="8"/>
  <c r="G128" i="8"/>
  <c r="AL34" i="12" l="1"/>
  <c r="AL35" i="12" s="1"/>
  <c r="AL36" i="12" s="1"/>
  <c r="AL23" i="12"/>
  <c r="AL24" i="12" s="1"/>
  <c r="AL25" i="12" s="1"/>
  <c r="AL46" i="12"/>
  <c r="AM27" i="12"/>
  <c r="AM29" i="12" s="1"/>
  <c r="AL19" i="12"/>
  <c r="AL20" i="12" s="1"/>
  <c r="AL21" i="12" s="1"/>
  <c r="AL31" i="12"/>
  <c r="AL30" i="12"/>
  <c r="AL38" i="12"/>
  <c r="AL39" i="12" s="1"/>
  <c r="AL40" i="12" s="1"/>
  <c r="AL13" i="12"/>
  <c r="AL14" i="12" s="1"/>
  <c r="AL45" i="12"/>
  <c r="AM12" i="12"/>
  <c r="AN6" i="12"/>
  <c r="AN8" i="12" s="1"/>
  <c r="AN11" i="12"/>
  <c r="AN28" i="12"/>
  <c r="AO5" i="12"/>
  <c r="AK21" i="12"/>
  <c r="R63" i="8"/>
  <c r="V121" i="8"/>
  <c r="T121" i="8"/>
  <c r="F64" i="8"/>
  <c r="F252" i="8"/>
  <c r="G156" i="8"/>
  <c r="G252" i="8" s="1"/>
  <c r="G250" i="8"/>
  <c r="G64" i="8"/>
  <c r="V117" i="8"/>
  <c r="R88" i="8"/>
  <c r="V88" i="8" s="1"/>
  <c r="I79" i="8"/>
  <c r="H80" i="8"/>
  <c r="H250" i="8" s="1"/>
  <c r="F72" i="8"/>
  <c r="E180" i="8"/>
  <c r="R179" i="8"/>
  <c r="G72" i="8"/>
  <c r="N255" i="8"/>
  <c r="J4" i="8"/>
  <c r="R186" i="8"/>
  <c r="E188" i="8"/>
  <c r="P255" i="8"/>
  <c r="M255" i="8"/>
  <c r="I247" i="8"/>
  <c r="I238" i="8"/>
  <c r="J5" i="8"/>
  <c r="K5" i="8" s="1"/>
  <c r="L5" i="8" s="1"/>
  <c r="R127" i="8"/>
  <c r="T127" i="8" s="1"/>
  <c r="O255" i="8"/>
  <c r="R128" i="8"/>
  <c r="AM30" i="12" l="1"/>
  <c r="AM47" i="12"/>
  <c r="AM19" i="12"/>
  <c r="AL32" i="12"/>
  <c r="AM46" i="12"/>
  <c r="AM45" i="12"/>
  <c r="AM13" i="12"/>
  <c r="AM34" i="12"/>
  <c r="AM38" i="12"/>
  <c r="AM23" i="12"/>
  <c r="AN12" i="12"/>
  <c r="AM31" i="12"/>
  <c r="AO11" i="12"/>
  <c r="AO6" i="12"/>
  <c r="AO28" i="12"/>
  <c r="AP5" i="12"/>
  <c r="AN27" i="12"/>
  <c r="AN29" i="12" s="1"/>
  <c r="T88" i="8"/>
  <c r="T89" i="8" a="1"/>
  <c r="T89" i="8" s="1"/>
  <c r="E181" i="8"/>
  <c r="E254" i="8" s="1"/>
  <c r="I244" i="8"/>
  <c r="T128" i="8"/>
  <c r="F249" i="8"/>
  <c r="G249" i="8"/>
  <c r="H64" i="8"/>
  <c r="H42" i="8"/>
  <c r="V127" i="8"/>
  <c r="V128" i="8"/>
  <c r="H156" i="8"/>
  <c r="H252" i="8" s="1"/>
  <c r="F180" i="8"/>
  <c r="I80" i="8"/>
  <c r="I250" i="8" s="1"/>
  <c r="E113" i="8"/>
  <c r="G180" i="8"/>
  <c r="H72" i="8"/>
  <c r="J247" i="8"/>
  <c r="J238" i="8"/>
  <c r="K4" i="8"/>
  <c r="E255" i="8"/>
  <c r="R188" i="8"/>
  <c r="AM35" i="12" l="1"/>
  <c r="AM14" i="12"/>
  <c r="AM24" i="12"/>
  <c r="AM39" i="12"/>
  <c r="AM20" i="12"/>
  <c r="AM32" i="12"/>
  <c r="AN34" i="12"/>
  <c r="AN35" i="12" s="1"/>
  <c r="AN36" i="12" s="1"/>
  <c r="AN19" i="12"/>
  <c r="AN20" i="12" s="1"/>
  <c r="AN21" i="12" s="1"/>
  <c r="AN23" i="12"/>
  <c r="AN45" i="12"/>
  <c r="AN46" i="12"/>
  <c r="AN38" i="12"/>
  <c r="AN39" i="12" s="1"/>
  <c r="AN40" i="12" s="1"/>
  <c r="AN47" i="12"/>
  <c r="AN13" i="12"/>
  <c r="AN14" i="12" s="1"/>
  <c r="AO27" i="12"/>
  <c r="AO29" i="12" s="1"/>
  <c r="AO8" i="12"/>
  <c r="AP28" i="12"/>
  <c r="AP11" i="12"/>
  <c r="AQ5" i="12"/>
  <c r="AP6" i="12"/>
  <c r="AP27" i="12" s="1"/>
  <c r="AN30" i="12"/>
  <c r="AN31" i="12"/>
  <c r="G181" i="8"/>
  <c r="G254" i="8" s="1"/>
  <c r="F181" i="8"/>
  <c r="F254" i="8" s="1"/>
  <c r="I27" i="8"/>
  <c r="J244" i="8"/>
  <c r="H249" i="8"/>
  <c r="I64" i="8"/>
  <c r="J79" i="8"/>
  <c r="J80" i="8" s="1"/>
  <c r="J250" i="8" s="1"/>
  <c r="I42" i="8"/>
  <c r="M156" i="8"/>
  <c r="M252" i="8" s="1"/>
  <c r="E114" i="8"/>
  <c r="T11" i="8"/>
  <c r="H180" i="8"/>
  <c r="R255" i="8"/>
  <c r="L4" i="8"/>
  <c r="K247" i="8"/>
  <c r="K238" i="8"/>
  <c r="AM25" i="12" l="1"/>
  <c r="AN24" i="12"/>
  <c r="AN25" i="12" s="1"/>
  <c r="AM36" i="12"/>
  <c r="AO12" i="12"/>
  <c r="AO34" i="12" s="1"/>
  <c r="AM21" i="12"/>
  <c r="AM40" i="12"/>
  <c r="AO23" i="12"/>
  <c r="AO24" i="12" s="1"/>
  <c r="AO25" i="12" s="1"/>
  <c r="AO19" i="12"/>
  <c r="AO20" i="12" s="1"/>
  <c r="AO21" i="12" s="1"/>
  <c r="AP8" i="12"/>
  <c r="AP12" i="12" s="1"/>
  <c r="AN32" i="12"/>
  <c r="AP29" i="12"/>
  <c r="AQ11" i="12"/>
  <c r="AR5" i="12"/>
  <c r="AQ28" i="12"/>
  <c r="AQ6" i="12"/>
  <c r="AQ27" i="12" s="1"/>
  <c r="AO31" i="12"/>
  <c r="AO30" i="12"/>
  <c r="I52" i="8"/>
  <c r="I53" i="8" s="1"/>
  <c r="I172" i="8"/>
  <c r="K244" i="8"/>
  <c r="D6" i="9"/>
  <c r="J27" i="8"/>
  <c r="L244" i="8"/>
  <c r="J64" i="8"/>
  <c r="R64" i="8" s="1"/>
  <c r="J42" i="8"/>
  <c r="M80" i="8"/>
  <c r="M250" i="8" s="1"/>
  <c r="J156" i="8"/>
  <c r="J252" i="8" s="1"/>
  <c r="I156" i="8"/>
  <c r="I252" i="8" s="1"/>
  <c r="K79" i="8"/>
  <c r="K80" i="8" s="1"/>
  <c r="E251" i="8"/>
  <c r="L79" i="8"/>
  <c r="L80" i="8" s="1"/>
  <c r="J72" i="8"/>
  <c r="T12" i="8"/>
  <c r="I72" i="8"/>
  <c r="I249" i="8" s="1"/>
  <c r="H241" i="8"/>
  <c r="L247" i="8"/>
  <c r="L238" i="8"/>
  <c r="M5" i="8"/>
  <c r="M4" i="8"/>
  <c r="AQ8" i="12" l="1"/>
  <c r="AO13" i="12"/>
  <c r="AO47" i="12"/>
  <c r="AO38" i="12"/>
  <c r="AO39" i="12" s="1"/>
  <c r="AO45" i="12"/>
  <c r="AO35" i="12"/>
  <c r="AO14" i="12"/>
  <c r="AO46" i="12"/>
  <c r="AP13" i="12"/>
  <c r="AP14" i="12" s="1"/>
  <c r="AP19" i="12"/>
  <c r="AP20" i="12" s="1"/>
  <c r="AP47" i="12"/>
  <c r="AQ12" i="12"/>
  <c r="AQ19" i="12" s="1"/>
  <c r="AP45" i="12"/>
  <c r="AP23" i="12"/>
  <c r="AP24" i="12" s="1"/>
  <c r="AP34" i="12"/>
  <c r="AP35" i="12" s="1"/>
  <c r="AP36" i="12" s="1"/>
  <c r="AP38" i="12"/>
  <c r="AP39" i="12" s="1"/>
  <c r="AP40" i="12" s="1"/>
  <c r="AP46" i="12"/>
  <c r="AQ29" i="12"/>
  <c r="AQ31" i="12" s="1"/>
  <c r="AO32" i="12"/>
  <c r="AR6" i="12"/>
  <c r="AR28" i="12"/>
  <c r="AS5" i="12"/>
  <c r="AR11" i="12"/>
  <c r="AP31" i="12"/>
  <c r="AP30" i="12"/>
  <c r="J52" i="8"/>
  <c r="J53" i="8" s="1"/>
  <c r="J172" i="8"/>
  <c r="K27" i="8"/>
  <c r="J249" i="8"/>
  <c r="M244" i="8"/>
  <c r="K42" i="8"/>
  <c r="L156" i="8"/>
  <c r="L252" i="8" s="1"/>
  <c r="L250" i="8"/>
  <c r="K156" i="8"/>
  <c r="K252" i="8" s="1"/>
  <c r="K250" i="8"/>
  <c r="T64" i="8"/>
  <c r="R78" i="8"/>
  <c r="T78" i="8" s="1"/>
  <c r="R72" i="8"/>
  <c r="R145" i="8"/>
  <c r="T145" i="8" s="1"/>
  <c r="O156" i="8"/>
  <c r="O252" i="8" s="1"/>
  <c r="N156" i="8"/>
  <c r="N252" i="8" s="1"/>
  <c r="R79" i="8"/>
  <c r="T79" i="8" s="1"/>
  <c r="L180" i="8"/>
  <c r="R80" i="8"/>
  <c r="T80" i="8" s="1"/>
  <c r="K180" i="8"/>
  <c r="J180" i="8"/>
  <c r="I180" i="8"/>
  <c r="N4" i="8"/>
  <c r="M247" i="8"/>
  <c r="M238" i="8"/>
  <c r="N5" i="8"/>
  <c r="AQ45" i="12" l="1"/>
  <c r="AQ38" i="12"/>
  <c r="AP21" i="12"/>
  <c r="AO36" i="12"/>
  <c r="AO40" i="12"/>
  <c r="AQ23" i="12"/>
  <c r="AQ24" i="12" s="1"/>
  <c r="AQ13" i="12"/>
  <c r="AQ14" i="12" s="1"/>
  <c r="AQ46" i="12"/>
  <c r="AQ47" i="12"/>
  <c r="AQ34" i="12"/>
  <c r="AQ35" i="12" s="1"/>
  <c r="AP25" i="12"/>
  <c r="AQ30" i="12"/>
  <c r="AQ32" i="12" s="1"/>
  <c r="AS11" i="12"/>
  <c r="AS28" i="12"/>
  <c r="AS6" i="12"/>
  <c r="AT5" i="12"/>
  <c r="AR27" i="12"/>
  <c r="AR29" i="12" s="1"/>
  <c r="AR8" i="12"/>
  <c r="AR12" i="12" s="1"/>
  <c r="AR19" i="12" s="1"/>
  <c r="AP32" i="12"/>
  <c r="K52" i="8"/>
  <c r="K53" i="8" s="1"/>
  <c r="K172" i="8"/>
  <c r="R249" i="8"/>
  <c r="C109" i="8"/>
  <c r="C108" i="8"/>
  <c r="J181" i="8"/>
  <c r="J254" i="8" s="1"/>
  <c r="K181" i="8"/>
  <c r="K254" i="8" s="1"/>
  <c r="I181" i="8"/>
  <c r="AQ20" i="12"/>
  <c r="AQ39" i="12"/>
  <c r="L27" i="8"/>
  <c r="L42" i="8"/>
  <c r="L172" i="8" s="1"/>
  <c r="V145" i="8"/>
  <c r="R250" i="8"/>
  <c r="V80" i="8"/>
  <c r="P156" i="8"/>
  <c r="R156" i="8" s="1"/>
  <c r="V156" i="8" s="1"/>
  <c r="R151" i="8"/>
  <c r="T151" i="8" s="1"/>
  <c r="T72" i="8"/>
  <c r="R180" i="8"/>
  <c r="N238" i="8"/>
  <c r="N247" i="8"/>
  <c r="O5" i="8"/>
  <c r="O4" i="8"/>
  <c r="AR23" i="12" l="1"/>
  <c r="AR13" i="12"/>
  <c r="AR47" i="12"/>
  <c r="AR20" i="12"/>
  <c r="AR45" i="12"/>
  <c r="AR34" i="12"/>
  <c r="AR35" i="12" s="1"/>
  <c r="AR36" i="12" s="1"/>
  <c r="AR46" i="12"/>
  <c r="AR38" i="12"/>
  <c r="AS8" i="12"/>
  <c r="AS12" i="12" s="1"/>
  <c r="AS34" i="12" s="1"/>
  <c r="AT28" i="12"/>
  <c r="AT6" i="12"/>
  <c r="AU5" i="12"/>
  <c r="AT11" i="12"/>
  <c r="AS27" i="12"/>
  <c r="AS29" i="12" s="1"/>
  <c r="AR31" i="12"/>
  <c r="AR30" i="12"/>
  <c r="G108" i="8"/>
  <c r="I108" i="8"/>
  <c r="H108" i="8"/>
  <c r="F108" i="8"/>
  <c r="J108" i="8"/>
  <c r="H109" i="8"/>
  <c r="I109" i="8"/>
  <c r="J109" i="8"/>
  <c r="F109" i="8"/>
  <c r="G109" i="8"/>
  <c r="I254" i="8"/>
  <c r="L243" i="8"/>
  <c r="L52" i="8"/>
  <c r="AQ21" i="12"/>
  <c r="AQ40" i="12"/>
  <c r="AQ36" i="12"/>
  <c r="AQ25" i="12"/>
  <c r="M27" i="8"/>
  <c r="L192" i="8"/>
  <c r="P252" i="8"/>
  <c r="R155" i="8"/>
  <c r="T155" i="8" s="1"/>
  <c r="V151" i="8"/>
  <c r="X151" i="8"/>
  <c r="O247" i="8"/>
  <c r="O238" i="8"/>
  <c r="P5" i="8"/>
  <c r="P4" i="8"/>
  <c r="AR21" i="12" l="1"/>
  <c r="AR14" i="12"/>
  <c r="AR39" i="12"/>
  <c r="AS47" i="12"/>
  <c r="AS19" i="12"/>
  <c r="AS20" i="12" s="1"/>
  <c r="AS38" i="12"/>
  <c r="AS45" i="12"/>
  <c r="AS46" i="12"/>
  <c r="AS13" i="12"/>
  <c r="AS14" i="12" s="1"/>
  <c r="AS23" i="12"/>
  <c r="AS24" i="12" s="1"/>
  <c r="AU28" i="12"/>
  <c r="AU6" i="12"/>
  <c r="AU8" i="12" s="1"/>
  <c r="AU11" i="12"/>
  <c r="AV5" i="12"/>
  <c r="AR32" i="12"/>
  <c r="AS30" i="12"/>
  <c r="AS31" i="12"/>
  <c r="AT8" i="12"/>
  <c r="AT12" i="12" s="1"/>
  <c r="AT27" i="12"/>
  <c r="AT29" i="12" s="1"/>
  <c r="AR24" i="12"/>
  <c r="AR25" i="12" s="1"/>
  <c r="G113" i="8"/>
  <c r="G114" i="8" s="1"/>
  <c r="G251" i="8" s="1"/>
  <c r="R109" i="8"/>
  <c r="T109" i="8" s="1"/>
  <c r="R108" i="8"/>
  <c r="T108" i="8" s="1"/>
  <c r="F113" i="8"/>
  <c r="H113" i="8"/>
  <c r="H114" i="8" s="1"/>
  <c r="H251" i="8" s="1"/>
  <c r="I113" i="8"/>
  <c r="I114" i="8" s="1"/>
  <c r="I251" i="8" s="1"/>
  <c r="J113" i="8"/>
  <c r="J114" i="8" s="1"/>
  <c r="J251" i="8" s="1"/>
  <c r="T157" i="8" a="1"/>
  <c r="T157" i="8" s="1"/>
  <c r="T156" i="8"/>
  <c r="L53" i="8"/>
  <c r="AS35" i="12"/>
  <c r="R252" i="8"/>
  <c r="V155" i="8"/>
  <c r="Q243" i="8"/>
  <c r="Q4" i="8"/>
  <c r="P247" i="8"/>
  <c r="P238" i="8"/>
  <c r="Q5" i="8"/>
  <c r="AR40" i="12" l="1"/>
  <c r="AS39" i="12"/>
  <c r="AT47" i="12"/>
  <c r="AT19" i="12"/>
  <c r="AT20" i="12" s="1"/>
  <c r="AU12" i="12"/>
  <c r="AU45" i="12" s="1"/>
  <c r="AS32" i="12"/>
  <c r="AT34" i="12"/>
  <c r="AT35" i="12" s="1"/>
  <c r="AT36" i="12" s="1"/>
  <c r="AT23" i="12"/>
  <c r="AT24" i="12" s="1"/>
  <c r="AV6" i="12"/>
  <c r="AV28" i="12"/>
  <c r="AW5" i="12"/>
  <c r="AV11" i="12"/>
  <c r="AT38" i="12"/>
  <c r="AT39" i="12" s="1"/>
  <c r="AT40" i="12" s="1"/>
  <c r="AT45" i="12"/>
  <c r="AT13" i="12"/>
  <c r="AT31" i="12"/>
  <c r="AT30" i="12"/>
  <c r="AT46" i="12"/>
  <c r="AU27" i="12"/>
  <c r="AU29" i="12" s="1"/>
  <c r="F114" i="8"/>
  <c r="R113" i="8"/>
  <c r="L181" i="8"/>
  <c r="AS40" i="12"/>
  <c r="AS21" i="12"/>
  <c r="AS36" i="12"/>
  <c r="AS25" i="12"/>
  <c r="F47" i="9"/>
  <c r="Q247" i="8"/>
  <c r="Q238" i="8"/>
  <c r="AT21" i="12" l="1"/>
  <c r="AT14" i="12"/>
  <c r="AU13" i="12"/>
  <c r="AU14" i="12" s="1"/>
  <c r="AU47" i="12"/>
  <c r="AU19" i="12"/>
  <c r="AU20" i="12" s="1"/>
  <c r="AU21" i="12" s="1"/>
  <c r="AU23" i="12"/>
  <c r="AU24" i="12" s="1"/>
  <c r="AU25" i="12" s="1"/>
  <c r="AU38" i="12"/>
  <c r="AU39" i="12" s="1"/>
  <c r="AU40" i="12" s="1"/>
  <c r="AU34" i="12"/>
  <c r="AU35" i="12" s="1"/>
  <c r="AU36" i="12" s="1"/>
  <c r="AU46" i="12"/>
  <c r="AT25" i="12"/>
  <c r="AT32" i="12"/>
  <c r="AV8" i="12"/>
  <c r="AV12" i="12" s="1"/>
  <c r="AV19" i="12" s="1"/>
  <c r="AV27" i="12"/>
  <c r="AV29" i="12" s="1"/>
  <c r="AU31" i="12"/>
  <c r="AU30" i="12"/>
  <c r="AW6" i="12"/>
  <c r="AX5" i="12"/>
  <c r="AW28" i="12"/>
  <c r="AW11" i="12"/>
  <c r="F251" i="8"/>
  <c r="R114" i="8"/>
  <c r="L254" i="8"/>
  <c r="F50" i="9"/>
  <c r="P42" i="8"/>
  <c r="G241" i="8"/>
  <c r="AU32" i="12" l="1"/>
  <c r="AX6" i="12"/>
  <c r="AX8" i="12" s="1"/>
  <c r="AX28" i="12"/>
  <c r="AY5" i="12"/>
  <c r="AX11" i="12"/>
  <c r="AV31" i="12"/>
  <c r="AV30" i="12"/>
  <c r="AV46" i="12"/>
  <c r="AV13" i="12"/>
  <c r="AV14" i="12" s="1"/>
  <c r="AV47" i="12"/>
  <c r="AV45" i="12"/>
  <c r="AV23" i="12"/>
  <c r="AV38" i="12"/>
  <c r="AV39" i="12" s="1"/>
  <c r="AV20" i="12"/>
  <c r="AV21" i="12" s="1"/>
  <c r="AV34" i="12"/>
  <c r="AV35" i="12" s="1"/>
  <c r="AV36" i="12" s="1"/>
  <c r="AW27" i="12"/>
  <c r="AW29" i="12" s="1"/>
  <c r="AW8" i="12"/>
  <c r="AW12" i="12" s="1"/>
  <c r="T114" i="8"/>
  <c r="R251" i="8"/>
  <c r="P243" i="8"/>
  <c r="AV40" i="12" l="1"/>
  <c r="AW13" i="12"/>
  <c r="AW14" i="12" s="1"/>
  <c r="AW19" i="12"/>
  <c r="AW20" i="12" s="1"/>
  <c r="AW47" i="12"/>
  <c r="AX12" i="12"/>
  <c r="AW45" i="12"/>
  <c r="AW46" i="12"/>
  <c r="AV32" i="12"/>
  <c r="AV24" i="12"/>
  <c r="AV25" i="12" s="1"/>
  <c r="AW34" i="12"/>
  <c r="AW35" i="12" s="1"/>
  <c r="AW36" i="12" s="1"/>
  <c r="AY6" i="12"/>
  <c r="AY8" i="12" s="1"/>
  <c r="AY11" i="12"/>
  <c r="AZ5" i="12"/>
  <c r="AY28" i="12"/>
  <c r="AW38" i="12"/>
  <c r="AW39" i="12" s="1"/>
  <c r="AW40" i="12" s="1"/>
  <c r="AX27" i="12"/>
  <c r="AX29" i="12" s="1"/>
  <c r="AW31" i="12"/>
  <c r="AW30" i="12"/>
  <c r="AW23" i="12"/>
  <c r="AW24" i="12" s="1"/>
  <c r="AW25" i="12" s="1"/>
  <c r="AX13" i="12" l="1"/>
  <c r="AX14" i="12" s="1"/>
  <c r="AX19" i="12"/>
  <c r="AX20" i="12" s="1"/>
  <c r="AX21" i="12" s="1"/>
  <c r="AX34" i="12"/>
  <c r="AX35" i="12" s="1"/>
  <c r="AX36" i="12" s="1"/>
  <c r="AX47" i="12"/>
  <c r="AY27" i="12"/>
  <c r="AX46" i="12"/>
  <c r="AX38" i="12"/>
  <c r="AX39" i="12" s="1"/>
  <c r="AX40" i="12" s="1"/>
  <c r="AX45" i="12"/>
  <c r="AX23" i="12"/>
  <c r="AX24" i="12" s="1"/>
  <c r="AY12" i="12"/>
  <c r="AX31" i="12"/>
  <c r="AX30" i="12"/>
  <c r="AZ28" i="12"/>
  <c r="AZ11" i="12"/>
  <c r="AZ6" i="12"/>
  <c r="AZ27" i="12" s="1"/>
  <c r="AZ29" i="12" s="1"/>
  <c r="BA5" i="12"/>
  <c r="AW32" i="12"/>
  <c r="AW21" i="12"/>
  <c r="AY29" i="12" l="1"/>
  <c r="AY30" i="12" s="1"/>
  <c r="AY47" i="12"/>
  <c r="AY19" i="12"/>
  <c r="AX32" i="12"/>
  <c r="AY46" i="12"/>
  <c r="AZ8" i="12"/>
  <c r="AY38" i="12"/>
  <c r="AX25" i="12"/>
  <c r="AY13" i="12"/>
  <c r="AY45" i="12"/>
  <c r="AY34" i="12"/>
  <c r="AY23" i="12"/>
  <c r="AZ30" i="12"/>
  <c r="AZ31" i="12"/>
  <c r="BB5" i="12"/>
  <c r="BA11" i="12"/>
  <c r="BA6" i="12"/>
  <c r="BA8" i="12" s="1"/>
  <c r="BA28" i="12"/>
  <c r="AY35" i="12" l="1"/>
  <c r="AY14" i="12"/>
  <c r="AY39" i="12"/>
  <c r="AZ12" i="12"/>
  <c r="AZ45" i="12" s="1"/>
  <c r="AY20" i="12"/>
  <c r="AY24" i="12"/>
  <c r="AY31" i="12"/>
  <c r="AZ32" i="12"/>
  <c r="BA12" i="12"/>
  <c r="BB28" i="12"/>
  <c r="BB11" i="12"/>
  <c r="BC5" i="12"/>
  <c r="BB6" i="12"/>
  <c r="BB8" i="12" s="1"/>
  <c r="BA27" i="12"/>
  <c r="BA23" i="12"/>
  <c r="AZ46" i="12" l="1"/>
  <c r="AZ23" i="12"/>
  <c r="AZ24" i="12" s="1"/>
  <c r="AZ25" i="12" s="1"/>
  <c r="AZ47" i="12"/>
  <c r="AY21" i="12"/>
  <c r="AY40" i="12"/>
  <c r="AY36" i="12"/>
  <c r="AZ19" i="12"/>
  <c r="AZ38" i="12"/>
  <c r="AZ34" i="12"/>
  <c r="AZ13" i="12"/>
  <c r="AY25" i="12"/>
  <c r="BA29" i="12"/>
  <c r="BA31" i="12" s="1"/>
  <c r="AY32" i="12"/>
  <c r="BA13" i="12"/>
  <c r="BA14" i="12" s="1"/>
  <c r="BA19" i="12"/>
  <c r="BA20" i="12" s="1"/>
  <c r="BA21" i="12" s="1"/>
  <c r="BA45" i="12"/>
  <c r="BA34" i="12"/>
  <c r="BA35" i="12" s="1"/>
  <c r="BA36" i="12" s="1"/>
  <c r="BA38" i="12"/>
  <c r="BA39" i="12" s="1"/>
  <c r="BA40" i="12" s="1"/>
  <c r="BA46" i="12"/>
  <c r="BA47" i="12"/>
  <c r="BB12" i="12"/>
  <c r="BC28" i="12"/>
  <c r="BD5" i="12"/>
  <c r="BC6" i="12"/>
  <c r="BC8" i="12" s="1"/>
  <c r="BC11" i="12"/>
  <c r="BB27" i="12"/>
  <c r="BB29" i="12" s="1"/>
  <c r="BA24" i="12"/>
  <c r="BA25" i="12" s="1"/>
  <c r="AZ39" i="12" l="1"/>
  <c r="AZ20" i="12"/>
  <c r="AZ14" i="12"/>
  <c r="AZ35" i="12"/>
  <c r="BA30" i="12"/>
  <c r="BA32" i="12" s="1"/>
  <c r="BB38" i="12"/>
  <c r="BB39" i="12" s="1"/>
  <c r="BB40" i="12" s="1"/>
  <c r="BB19" i="12"/>
  <c r="BB23" i="12"/>
  <c r="BB13" i="12"/>
  <c r="BB14" i="12" s="1"/>
  <c r="BB47" i="12"/>
  <c r="BB45" i="12"/>
  <c r="BB34" i="12"/>
  <c r="BB35" i="12" s="1"/>
  <c r="BB36" i="12" s="1"/>
  <c r="BB46" i="12"/>
  <c r="BC12" i="12"/>
  <c r="BC27" i="12"/>
  <c r="BC29" i="12" s="1"/>
  <c r="BD11" i="12"/>
  <c r="BE5" i="12"/>
  <c r="BD6" i="12"/>
  <c r="BD8" i="12" s="1"/>
  <c r="BD28" i="12"/>
  <c r="BB31" i="12"/>
  <c r="BB30" i="12"/>
  <c r="BB20" i="12" l="1"/>
  <c r="BB21" i="12" s="1"/>
  <c r="AZ36" i="12"/>
  <c r="AZ21" i="12"/>
  <c r="AZ40" i="12"/>
  <c r="BB24" i="12"/>
  <c r="BB25" i="12"/>
  <c r="BC34" i="12"/>
  <c r="BC19" i="12"/>
  <c r="BC20" i="12" s="1"/>
  <c r="BC21" i="12" s="1"/>
  <c r="BD27" i="12"/>
  <c r="BD29" i="12" s="1"/>
  <c r="BC45" i="12"/>
  <c r="BC46" i="12"/>
  <c r="BC13" i="12"/>
  <c r="BC14" i="12" s="1"/>
  <c r="BC38" i="12"/>
  <c r="BC47" i="12"/>
  <c r="BC23" i="12"/>
  <c r="BC24" i="12" s="1"/>
  <c r="BB32" i="12"/>
  <c r="BD12" i="12"/>
  <c r="BD19" i="12" s="1"/>
  <c r="BE11" i="12"/>
  <c r="BF5" i="12"/>
  <c r="BE6" i="12"/>
  <c r="BE27" i="12" s="1"/>
  <c r="BE28" i="12"/>
  <c r="BC31" i="12"/>
  <c r="BC30" i="12"/>
  <c r="BC39" i="12" l="1"/>
  <c r="BC35" i="12"/>
  <c r="BD30" i="12"/>
  <c r="BD31" i="12"/>
  <c r="BC25" i="12"/>
  <c r="BE8" i="12"/>
  <c r="BE12" i="12" s="1"/>
  <c r="BE19" i="12" s="1"/>
  <c r="BE29" i="12"/>
  <c r="BE30" i="12" s="1"/>
  <c r="BC32" i="12"/>
  <c r="BD13" i="12"/>
  <c r="BD38" i="12"/>
  <c r="BD39" i="12" s="1"/>
  <c r="BD40" i="12" s="1"/>
  <c r="BD20" i="12"/>
  <c r="BD34" i="12"/>
  <c r="BD35" i="12" s="1"/>
  <c r="BD36" i="12" s="1"/>
  <c r="BD47" i="12"/>
  <c r="BD23" i="12"/>
  <c r="BD46" i="12"/>
  <c r="BD45" i="12"/>
  <c r="BF11" i="12"/>
  <c r="BG5" i="12"/>
  <c r="BF6" i="12"/>
  <c r="BF8" i="12" s="1"/>
  <c r="BF28" i="12"/>
  <c r="BC36" i="12" l="1"/>
  <c r="BD14" i="12"/>
  <c r="BC40" i="12"/>
  <c r="BD24" i="12"/>
  <c r="BD21" i="12"/>
  <c r="BD32" i="12"/>
  <c r="BF12" i="12"/>
  <c r="BF19" i="12" s="1"/>
  <c r="BF20" i="12" s="1"/>
  <c r="BF21" i="12" s="1"/>
  <c r="BE23" i="12"/>
  <c r="BE24" i="12" s="1"/>
  <c r="BE34" i="12"/>
  <c r="BE46" i="12"/>
  <c r="BE45" i="12"/>
  <c r="BE38" i="12"/>
  <c r="BE39" i="12" s="1"/>
  <c r="BE47" i="12"/>
  <c r="BE20" i="12"/>
  <c r="BE13" i="12"/>
  <c r="BE14" i="12" s="1"/>
  <c r="BE31" i="12"/>
  <c r="BE32" i="12" s="1"/>
  <c r="BG6" i="12"/>
  <c r="BG11" i="12"/>
  <c r="BH5" i="12"/>
  <c r="BG28" i="12"/>
  <c r="BF27" i="12"/>
  <c r="BF29" i="12" s="1"/>
  <c r="BF46" i="12" l="1"/>
  <c r="BF38" i="12"/>
  <c r="BF39" i="12" s="1"/>
  <c r="BF40" i="12" s="1"/>
  <c r="BF45" i="12"/>
  <c r="BE35" i="12"/>
  <c r="BF13" i="12"/>
  <c r="BF14" i="12" s="1"/>
  <c r="BD25" i="12"/>
  <c r="BF34" i="12"/>
  <c r="BF35" i="12" s="1"/>
  <c r="BF36" i="12" s="1"/>
  <c r="BF47" i="12"/>
  <c r="BF23" i="12"/>
  <c r="BH6" i="12"/>
  <c r="BH11" i="12"/>
  <c r="BI5" i="12"/>
  <c r="BH28" i="12"/>
  <c r="BG27" i="12"/>
  <c r="BG29" i="12" s="1"/>
  <c r="BG8" i="12"/>
  <c r="BG12" i="12" s="1"/>
  <c r="BG19" i="12" s="1"/>
  <c r="BF31" i="12"/>
  <c r="BF30" i="12"/>
  <c r="BE40" i="12"/>
  <c r="BE21" i="12"/>
  <c r="BE36" i="12"/>
  <c r="BE25" i="12"/>
  <c r="BF24" i="12" l="1"/>
  <c r="BF25" i="12"/>
  <c r="BI28" i="12"/>
  <c r="BI11" i="12"/>
  <c r="BI6" i="12"/>
  <c r="BI27" i="12" s="1"/>
  <c r="BJ5" i="12"/>
  <c r="BH27" i="12"/>
  <c r="BH29" i="12" s="1"/>
  <c r="BG38" i="12"/>
  <c r="BG34" i="12"/>
  <c r="BG47" i="12"/>
  <c r="BG23" i="12"/>
  <c r="BG13" i="12"/>
  <c r="BG14" i="12" s="1"/>
  <c r="BG46" i="12"/>
  <c r="BG45" i="12"/>
  <c r="BG20" i="12"/>
  <c r="BG21" i="12" s="1"/>
  <c r="BH8" i="12"/>
  <c r="BH12" i="12" s="1"/>
  <c r="BH19" i="12" s="1"/>
  <c r="BF32" i="12"/>
  <c r="BG30" i="12"/>
  <c r="BG31" i="12"/>
  <c r="BG35" i="12" l="1"/>
  <c r="BG36" i="12" s="1"/>
  <c r="BG39" i="12"/>
  <c r="BG40" i="12" s="1"/>
  <c r="BI29" i="12"/>
  <c r="BI30" i="12" s="1"/>
  <c r="BG32" i="12"/>
  <c r="BI8" i="12"/>
  <c r="BI12" i="12" s="1"/>
  <c r="BI19" i="12" s="1"/>
  <c r="BG24" i="12"/>
  <c r="BG25" i="12" s="1"/>
  <c r="BH23" i="12"/>
  <c r="BH34" i="12"/>
  <c r="BH35" i="12" s="1"/>
  <c r="BH36" i="12" s="1"/>
  <c r="BH47" i="12"/>
  <c r="BH45" i="12"/>
  <c r="BH13" i="12"/>
  <c r="BH14" i="12" s="1"/>
  <c r="BH46" i="12"/>
  <c r="BH20" i="12"/>
  <c r="BH21" i="12" s="1"/>
  <c r="BH38" i="12"/>
  <c r="BH39" i="12" s="1"/>
  <c r="BH40" i="12" s="1"/>
  <c r="BH31" i="12"/>
  <c r="BH30" i="12"/>
  <c r="BK5" i="12"/>
  <c r="BJ6" i="12"/>
  <c r="BJ28" i="12"/>
  <c r="BJ11" i="12"/>
  <c r="BI31" i="12" l="1"/>
  <c r="BI32" i="12" s="1"/>
  <c r="BH24" i="12"/>
  <c r="BH25" i="12" s="1"/>
  <c r="BL5" i="12"/>
  <c r="BK11" i="12"/>
  <c r="BK6" i="12"/>
  <c r="BK8" i="12" s="1"/>
  <c r="BK28" i="12"/>
  <c r="BI47" i="12"/>
  <c r="BI13" i="12"/>
  <c r="BI14" i="12" s="1"/>
  <c r="BI38" i="12"/>
  <c r="BI39" i="12" s="1"/>
  <c r="BI40" i="12" s="1"/>
  <c r="BI34" i="12"/>
  <c r="BI35" i="12" s="1"/>
  <c r="BI36" i="12" s="1"/>
  <c r="BI23" i="12"/>
  <c r="BI20" i="12"/>
  <c r="BI21" i="12" s="1"/>
  <c r="BI46" i="12"/>
  <c r="BI45" i="12"/>
  <c r="BJ8" i="12"/>
  <c r="BJ12" i="12" s="1"/>
  <c r="BJ27" i="12"/>
  <c r="BJ29" i="12" s="1"/>
  <c r="BH32" i="12"/>
  <c r="BJ23" i="12" l="1"/>
  <c r="BJ19" i="12"/>
  <c r="BK27" i="12"/>
  <c r="BJ13" i="12"/>
  <c r="BJ14" i="12" s="1"/>
  <c r="BJ34" i="12"/>
  <c r="BJ35" i="12" s="1"/>
  <c r="BJ36" i="12" s="1"/>
  <c r="BJ20" i="12"/>
  <c r="BJ21" i="12" s="1"/>
  <c r="BJ47" i="12"/>
  <c r="BJ38" i="12"/>
  <c r="BJ39" i="12" s="1"/>
  <c r="BJ40" i="12" s="1"/>
  <c r="BM5" i="12"/>
  <c r="BL11" i="12"/>
  <c r="BL6" i="12"/>
  <c r="BL8" i="12" s="1"/>
  <c r="BL28" i="12"/>
  <c r="BI24" i="12"/>
  <c r="BI25" i="12" s="1"/>
  <c r="BK12" i="12"/>
  <c r="BJ31" i="12"/>
  <c r="BJ30" i="12"/>
  <c r="BJ45" i="12"/>
  <c r="BJ46" i="12"/>
  <c r="BJ24" i="12"/>
  <c r="BJ25" i="12" s="1"/>
  <c r="BK29" i="12" l="1"/>
  <c r="BK31" i="12" s="1"/>
  <c r="BK23" i="12"/>
  <c r="BK19" i="12"/>
  <c r="BK20" i="12" s="1"/>
  <c r="BJ32" i="12"/>
  <c r="BL12" i="12"/>
  <c r="BK45" i="12"/>
  <c r="BK46" i="12"/>
  <c r="BK47" i="12"/>
  <c r="BK34" i="12"/>
  <c r="BK38" i="12"/>
  <c r="BM11" i="12"/>
  <c r="BN5" i="12"/>
  <c r="BM6" i="12"/>
  <c r="BM28" i="12"/>
  <c r="BK13" i="12"/>
  <c r="BL27" i="12"/>
  <c r="BL29" i="12" s="1"/>
  <c r="BK14" i="12" l="1"/>
  <c r="BK21" i="12"/>
  <c r="BK24" i="12"/>
  <c r="BK39" i="12"/>
  <c r="BK35" i="12"/>
  <c r="BK30" i="12"/>
  <c r="BK32" i="12" s="1"/>
  <c r="BL38" i="12"/>
  <c r="BL39" i="12" s="1"/>
  <c r="BL40" i="12" s="1"/>
  <c r="BL19" i="12"/>
  <c r="BL20" i="12" s="1"/>
  <c r="BL21" i="12" s="1"/>
  <c r="BL13" i="12"/>
  <c r="BL14" i="12" s="1"/>
  <c r="BL45" i="12"/>
  <c r="BL47" i="12"/>
  <c r="BL46" i="12"/>
  <c r="BL23" i="12"/>
  <c r="BL24" i="12" s="1"/>
  <c r="BL25" i="12" s="1"/>
  <c r="BL34" i="12"/>
  <c r="BL35" i="12" s="1"/>
  <c r="BL36" i="12" s="1"/>
  <c r="BN6" i="12"/>
  <c r="BN8" i="12" s="1"/>
  <c r="BN28" i="12"/>
  <c r="BO5" i="12"/>
  <c r="BN11" i="12"/>
  <c r="BM27" i="12"/>
  <c r="BM8" i="12"/>
  <c r="BL31" i="12"/>
  <c r="BL30" i="12"/>
  <c r="BK36" i="12" l="1"/>
  <c r="BK40" i="12"/>
  <c r="BM12" i="12"/>
  <c r="BM46" i="12" s="1"/>
  <c r="BK25" i="12"/>
  <c r="BM29" i="12"/>
  <c r="BM30" i="12" s="1"/>
  <c r="BM23" i="12"/>
  <c r="BM24" i="12" s="1"/>
  <c r="BM19" i="12"/>
  <c r="BM45" i="12"/>
  <c r="BN12" i="12"/>
  <c r="BL32" i="12"/>
  <c r="BO28" i="12"/>
  <c r="BO11" i="12"/>
  <c r="BP5" i="12"/>
  <c r="BO6" i="12"/>
  <c r="BN27" i="12"/>
  <c r="BN29" i="12" s="1"/>
  <c r="BM47" i="12" l="1"/>
  <c r="BM25" i="12"/>
  <c r="BM38" i="12"/>
  <c r="BM34" i="12"/>
  <c r="BM13" i="12"/>
  <c r="BM20" i="12"/>
  <c r="BM31" i="12"/>
  <c r="BM32" i="12" s="1"/>
  <c r="BN46" i="12"/>
  <c r="BN19" i="12"/>
  <c r="BN20" i="12" s="1"/>
  <c r="BN21" i="12" s="1"/>
  <c r="BN47" i="12"/>
  <c r="BN23" i="12"/>
  <c r="BN38" i="12"/>
  <c r="BN39" i="12" s="1"/>
  <c r="BN40" i="12" s="1"/>
  <c r="BN13" i="12"/>
  <c r="BN14" i="12" s="1"/>
  <c r="BN45" i="12"/>
  <c r="BN34" i="12"/>
  <c r="BN35" i="12" s="1"/>
  <c r="BN36" i="12" s="1"/>
  <c r="BQ5" i="12"/>
  <c r="BP28" i="12"/>
  <c r="BP6" i="12"/>
  <c r="BP11" i="12"/>
  <c r="BO8" i="12"/>
  <c r="BO27" i="12"/>
  <c r="BN30" i="12"/>
  <c r="BN31" i="12"/>
  <c r="BM35" i="12" l="1"/>
  <c r="BM39" i="12"/>
  <c r="BM21" i="12"/>
  <c r="BO12" i="12"/>
  <c r="BO19" i="12" s="1"/>
  <c r="BM14" i="12"/>
  <c r="BO29" i="12"/>
  <c r="BO31" i="12" s="1"/>
  <c r="BN24" i="12"/>
  <c r="BN32" i="12"/>
  <c r="BP27" i="12"/>
  <c r="BP29" i="12" s="1"/>
  <c r="BP8" i="12"/>
  <c r="BP12" i="12" s="1"/>
  <c r="BP19" i="12" s="1"/>
  <c r="BQ28" i="12"/>
  <c r="BQ11" i="12"/>
  <c r="BQ6" i="12"/>
  <c r="BQ8" i="12" s="1"/>
  <c r="BR5" i="12"/>
  <c r="BO45" i="12"/>
  <c r="BO20" i="12"/>
  <c r="BO21" i="12" s="1"/>
  <c r="BO47" i="12"/>
  <c r="BO23" i="12"/>
  <c r="BQ27" i="12" l="1"/>
  <c r="BQ29" i="12" s="1"/>
  <c r="BO46" i="12"/>
  <c r="BO13" i="12"/>
  <c r="BO14" i="12" s="1"/>
  <c r="BO34" i="12"/>
  <c r="BO35" i="12" s="1"/>
  <c r="BO36" i="12" s="1"/>
  <c r="BO38" i="12"/>
  <c r="BO39" i="12" s="1"/>
  <c r="BO40" i="12" s="1"/>
  <c r="BM36" i="12"/>
  <c r="BO24" i="12"/>
  <c r="BO25" i="12" s="1"/>
  <c r="BN25" i="12"/>
  <c r="BM40" i="12"/>
  <c r="BO30" i="12"/>
  <c r="BO32" i="12" s="1"/>
  <c r="BQ12" i="12"/>
  <c r="BQ19" i="12" s="1"/>
  <c r="BP46" i="12"/>
  <c r="BP45" i="12"/>
  <c r="BP23" i="12"/>
  <c r="BP24" i="12" s="1"/>
  <c r="BP25" i="12" s="1"/>
  <c r="BP13" i="12"/>
  <c r="BP47" i="12"/>
  <c r="BP34" i="12"/>
  <c r="BP38" i="12"/>
  <c r="BP39" i="12" s="1"/>
  <c r="BP40" i="12" s="1"/>
  <c r="BP20" i="12"/>
  <c r="BR28" i="12"/>
  <c r="BR11" i="12"/>
  <c r="BS5" i="12"/>
  <c r="BR6" i="12"/>
  <c r="BR8" i="12" s="1"/>
  <c r="BP30" i="12"/>
  <c r="BP31" i="12"/>
  <c r="BQ46" i="12" l="1"/>
  <c r="BP14" i="12"/>
  <c r="BP35" i="12"/>
  <c r="BP21" i="12"/>
  <c r="BQ34" i="12"/>
  <c r="BQ35" i="12" s="1"/>
  <c r="BQ36" i="12" s="1"/>
  <c r="BQ38" i="12"/>
  <c r="BQ23" i="12"/>
  <c r="BQ24" i="12" s="1"/>
  <c r="BQ47" i="12"/>
  <c r="BQ13" i="12"/>
  <c r="BQ14" i="12" s="1"/>
  <c r="BQ45" i="12"/>
  <c r="BP32" i="12"/>
  <c r="BR27" i="12"/>
  <c r="BR12" i="12"/>
  <c r="BR19" i="12" s="1"/>
  <c r="BS11" i="12"/>
  <c r="BT5" i="12"/>
  <c r="BS6" i="12"/>
  <c r="BS8" i="12" s="1"/>
  <c r="BS28" i="12"/>
  <c r="BQ31" i="12"/>
  <c r="BQ30" i="12"/>
  <c r="BQ20" i="12"/>
  <c r="BP36" i="12" l="1"/>
  <c r="BQ39" i="12"/>
  <c r="BR29" i="12"/>
  <c r="BR31" i="12" s="1"/>
  <c r="BS27" i="12"/>
  <c r="BS29" i="12" s="1"/>
  <c r="BR20" i="12"/>
  <c r="BR47" i="12"/>
  <c r="BR38" i="12"/>
  <c r="BR39" i="12" s="1"/>
  <c r="BR40" i="12" s="1"/>
  <c r="BR46" i="12"/>
  <c r="BR23" i="12"/>
  <c r="BR45" i="12"/>
  <c r="BR34" i="12"/>
  <c r="BR13" i="12"/>
  <c r="BR14" i="12" s="1"/>
  <c r="BS12" i="12"/>
  <c r="BS19" i="12" s="1"/>
  <c r="BQ32" i="12"/>
  <c r="BU5" i="12"/>
  <c r="BT28" i="12"/>
  <c r="BT11" i="12"/>
  <c r="BT6" i="12"/>
  <c r="BT8" i="12" s="1"/>
  <c r="BQ21" i="12"/>
  <c r="BQ25" i="12"/>
  <c r="BR35" i="12" l="1"/>
  <c r="BQ40" i="12"/>
  <c r="BR21" i="12"/>
  <c r="BR30" i="12"/>
  <c r="BR32" i="12" s="1"/>
  <c r="BT27" i="12"/>
  <c r="BT29" i="12" s="1"/>
  <c r="BT30" i="12" s="1"/>
  <c r="BT12" i="12"/>
  <c r="BT13" i="12" s="1"/>
  <c r="BT14" i="12" s="1"/>
  <c r="BS31" i="12"/>
  <c r="BS30" i="12"/>
  <c r="BS46" i="12"/>
  <c r="BS45" i="12"/>
  <c r="BS38" i="12"/>
  <c r="BS39" i="12" s="1"/>
  <c r="BS40" i="12" s="1"/>
  <c r="BS20" i="12"/>
  <c r="BS21" i="12" s="1"/>
  <c r="BS47" i="12"/>
  <c r="BS34" i="12"/>
  <c r="BS35" i="12" s="1"/>
  <c r="BS36" i="12" s="1"/>
  <c r="BS23" i="12"/>
  <c r="BS13" i="12"/>
  <c r="BS14" i="12" s="1"/>
  <c r="BR24" i="12"/>
  <c r="BR25" i="12" s="1"/>
  <c r="BU6" i="12"/>
  <c r="BU11" i="12"/>
  <c r="BV5" i="12"/>
  <c r="BU28" i="12"/>
  <c r="BT45" i="12" l="1"/>
  <c r="BT34" i="12"/>
  <c r="BT35" i="12" s="1"/>
  <c r="BT36" i="12" s="1"/>
  <c r="BT46" i="12"/>
  <c r="BR36" i="12"/>
  <c r="BT23" i="12"/>
  <c r="BT24" i="12" s="1"/>
  <c r="BT47" i="12"/>
  <c r="BT38" i="12"/>
  <c r="BT39" i="12" s="1"/>
  <c r="BT19" i="12"/>
  <c r="BT20" i="12" s="1"/>
  <c r="BT21" i="12" s="1"/>
  <c r="BS32" i="12"/>
  <c r="BT31" i="12"/>
  <c r="BT32" i="12" s="1"/>
  <c r="BU27" i="12"/>
  <c r="BU29" i="12" s="1"/>
  <c r="BS24" i="12"/>
  <c r="BS25" i="12" s="1"/>
  <c r="BU8" i="12"/>
  <c r="BU12" i="12" s="1"/>
  <c r="BW5" i="12"/>
  <c r="BV6" i="12"/>
  <c r="BV27" i="12" s="1"/>
  <c r="BV28" i="12"/>
  <c r="BV11" i="12"/>
  <c r="BT40" i="12" l="1"/>
  <c r="BT25" i="12"/>
  <c r="BU23" i="12"/>
  <c r="BU24" i="12" s="1"/>
  <c r="BU19" i="12"/>
  <c r="BV8" i="12"/>
  <c r="BV12" i="12" s="1"/>
  <c r="BV38" i="12" s="1"/>
  <c r="BV39" i="12" s="1"/>
  <c r="BV40" i="12" s="1"/>
  <c r="BU20" i="12"/>
  <c r="BU21" i="12" s="1"/>
  <c r="BU45" i="12"/>
  <c r="BV29" i="12"/>
  <c r="BV31" i="12" s="1"/>
  <c r="BU47" i="12"/>
  <c r="BU46" i="12"/>
  <c r="BU38" i="12"/>
  <c r="BU39" i="12" s="1"/>
  <c r="BU40" i="12" s="1"/>
  <c r="BU13" i="12"/>
  <c r="BU14" i="12" s="1"/>
  <c r="BW6" i="12"/>
  <c r="BW11" i="12"/>
  <c r="BW28" i="12"/>
  <c r="BX5" i="12"/>
  <c r="BU34" i="12"/>
  <c r="BU35" i="12" s="1"/>
  <c r="BU31" i="12"/>
  <c r="BU30" i="12"/>
  <c r="BU36" i="12" l="1"/>
  <c r="BV46" i="12"/>
  <c r="BV19" i="12"/>
  <c r="BU32" i="12"/>
  <c r="BV30" i="12"/>
  <c r="BV32" i="12" s="1"/>
  <c r="BV45" i="12"/>
  <c r="BV47" i="12"/>
  <c r="BV20" i="12"/>
  <c r="BV21" i="12" s="1"/>
  <c r="BV13" i="12"/>
  <c r="BV14" i="12" s="1"/>
  <c r="BV23" i="12"/>
  <c r="BV34" i="12"/>
  <c r="BV35" i="12" s="1"/>
  <c r="BV36" i="12" s="1"/>
  <c r="BW27" i="12"/>
  <c r="BW8" i="12"/>
  <c r="BX28" i="12"/>
  <c r="BY5" i="12"/>
  <c r="BX6" i="12"/>
  <c r="BX27" i="12" s="1"/>
  <c r="BX11" i="12"/>
  <c r="BU25" i="12"/>
  <c r="E195" i="8"/>
  <c r="E197" i="8" s="1"/>
  <c r="E206" i="8" s="1"/>
  <c r="E257" i="8" s="1"/>
  <c r="BW12" i="12" l="1"/>
  <c r="BW29" i="12"/>
  <c r="BW30" i="12" s="1"/>
  <c r="BW47" i="12"/>
  <c r="BW19" i="12"/>
  <c r="BX8" i="12"/>
  <c r="BX12" i="12" s="1"/>
  <c r="BW23" i="12"/>
  <c r="BW34" i="12"/>
  <c r="BW38" i="12"/>
  <c r="BV24" i="12"/>
  <c r="BV25" i="12" s="1"/>
  <c r="BW13" i="12"/>
  <c r="BW46" i="12"/>
  <c r="BW45" i="12"/>
  <c r="BX29" i="12"/>
  <c r="BY28" i="12"/>
  <c r="BY6" i="12"/>
  <c r="BY11" i="12"/>
  <c r="BZ5" i="12"/>
  <c r="E256" i="8"/>
  <c r="BW39" i="12" l="1"/>
  <c r="BW35" i="12"/>
  <c r="BW24" i="12"/>
  <c r="BW25" i="12" s="1"/>
  <c r="BW20" i="12"/>
  <c r="BW14" i="12"/>
  <c r="BW31" i="12"/>
  <c r="BW32" i="12" s="1"/>
  <c r="BX45" i="12"/>
  <c r="BX19" i="12"/>
  <c r="BX20" i="12" s="1"/>
  <c r="BX21" i="12" s="1"/>
  <c r="BX46" i="12"/>
  <c r="BX38" i="12"/>
  <c r="BX39" i="12" s="1"/>
  <c r="BX40" i="12" s="1"/>
  <c r="BX47" i="12"/>
  <c r="BX34" i="12"/>
  <c r="BX35" i="12" s="1"/>
  <c r="BX36" i="12" s="1"/>
  <c r="BX13" i="12"/>
  <c r="BX14" i="12" s="1"/>
  <c r="BX23" i="12"/>
  <c r="BX24" i="12" s="1"/>
  <c r="BX25" i="12" s="1"/>
  <c r="BY27" i="12"/>
  <c r="BY8" i="12"/>
  <c r="BY12" i="12" s="1"/>
  <c r="BY19" i="12" s="1"/>
  <c r="BZ6" i="12"/>
  <c r="BZ28" i="12"/>
  <c r="BZ11" i="12"/>
  <c r="CA5" i="12"/>
  <c r="BX30" i="12"/>
  <c r="BX31" i="12"/>
  <c r="BW21" i="12" l="1"/>
  <c r="BW36" i="12"/>
  <c r="BW40" i="12"/>
  <c r="BY29" i="12"/>
  <c r="BY31" i="12" s="1"/>
  <c r="BX32" i="12"/>
  <c r="BZ27" i="12"/>
  <c r="BZ29" i="12" s="1"/>
  <c r="BZ8" i="12"/>
  <c r="CA28" i="12"/>
  <c r="CA6" i="12"/>
  <c r="CA8" i="12" s="1"/>
  <c r="CA11" i="12"/>
  <c r="CB5" i="12"/>
  <c r="BY38" i="12"/>
  <c r="BY34" i="12"/>
  <c r="BY13" i="12"/>
  <c r="BY14" i="12" s="1"/>
  <c r="BY23" i="12"/>
  <c r="BY46" i="12"/>
  <c r="BY45" i="12"/>
  <c r="BY47" i="12"/>
  <c r="BY20" i="12"/>
  <c r="BY21" i="12" s="1"/>
  <c r="BZ12" i="12" l="1"/>
  <c r="BY35" i="12"/>
  <c r="BY39" i="12"/>
  <c r="BY30" i="12"/>
  <c r="BY32" i="12" s="1"/>
  <c r="CA12" i="12"/>
  <c r="CA19" i="12" s="1"/>
  <c r="CA20" i="12" s="1"/>
  <c r="CA21" i="12" s="1"/>
  <c r="CA27" i="12"/>
  <c r="CB6" i="12"/>
  <c r="CB8" i="12" s="1"/>
  <c r="CB11" i="12"/>
  <c r="CC5" i="12"/>
  <c r="CB28" i="12"/>
  <c r="BZ34" i="12"/>
  <c r="BZ35" i="12" s="1"/>
  <c r="BZ36" i="12" s="1"/>
  <c r="BZ13" i="12"/>
  <c r="BZ14" i="12" s="1"/>
  <c r="BZ46" i="12"/>
  <c r="BZ38" i="12"/>
  <c r="BZ39" i="12" s="1"/>
  <c r="BZ40" i="12" s="1"/>
  <c r="BZ45" i="12"/>
  <c r="BY24" i="12"/>
  <c r="BZ31" i="12"/>
  <c r="BZ30" i="12"/>
  <c r="E213" i="8"/>
  <c r="CA34" i="12" l="1"/>
  <c r="CA35" i="12" s="1"/>
  <c r="BY25" i="12"/>
  <c r="BY40" i="12"/>
  <c r="BZ19" i="12"/>
  <c r="BZ23" i="12"/>
  <c r="BZ47" i="12"/>
  <c r="BY36" i="12"/>
  <c r="CA29" i="12"/>
  <c r="CA30" i="12" s="1"/>
  <c r="CA47" i="12"/>
  <c r="CA46" i="12"/>
  <c r="CA13" i="12"/>
  <c r="CA38" i="12"/>
  <c r="CA39" i="12" s="1"/>
  <c r="CA40" i="12" s="1"/>
  <c r="CA45" i="12"/>
  <c r="CA23" i="12"/>
  <c r="CA24" i="12" s="1"/>
  <c r="CB27" i="12"/>
  <c r="CB29" i="12" s="1"/>
  <c r="CB30" i="12" s="1"/>
  <c r="CB12" i="12"/>
  <c r="CB23" i="12" s="1"/>
  <c r="BZ32" i="12"/>
  <c r="CC11" i="12"/>
  <c r="CC28" i="12"/>
  <c r="CD5" i="12"/>
  <c r="CC6" i="12"/>
  <c r="CA36" i="12"/>
  <c r="BZ24" i="12" l="1"/>
  <c r="BZ20" i="12"/>
  <c r="CA14" i="12"/>
  <c r="CA31" i="12"/>
  <c r="CA32" i="12" s="1"/>
  <c r="CA25" i="12"/>
  <c r="CB45" i="12"/>
  <c r="CB47" i="12"/>
  <c r="CB34" i="12"/>
  <c r="CB35" i="12" s="1"/>
  <c r="CB38" i="12"/>
  <c r="CB39" i="12" s="1"/>
  <c r="CB13" i="12"/>
  <c r="CB14" i="12" s="1"/>
  <c r="CB19" i="12"/>
  <c r="CB20" i="12" s="1"/>
  <c r="CB21" i="12" s="1"/>
  <c r="CB46" i="12"/>
  <c r="CB31" i="12"/>
  <c r="CB32" i="12" s="1"/>
  <c r="CC8" i="12"/>
  <c r="CD28" i="12"/>
  <c r="CD6" i="12"/>
  <c r="CD11" i="12"/>
  <c r="CE5" i="12"/>
  <c r="CC27" i="12"/>
  <c r="CB24" i="12"/>
  <c r="CB25" i="12" s="1"/>
  <c r="BZ25" i="12" l="1"/>
  <c r="BZ21" i="12"/>
  <c r="CC12" i="12"/>
  <c r="CC45" i="12" s="1"/>
  <c r="CC29" i="12"/>
  <c r="CC31" i="12" s="1"/>
  <c r="CD27" i="12"/>
  <c r="CD29" i="12" s="1"/>
  <c r="CD8" i="12"/>
  <c r="CD12" i="12" s="1"/>
  <c r="CD47" i="12" s="1"/>
  <c r="CC38" i="12"/>
  <c r="CC39" i="12" s="1"/>
  <c r="CC40" i="12" s="1"/>
  <c r="CC46" i="12"/>
  <c r="CF5" i="12"/>
  <c r="CE6" i="12"/>
  <c r="CE27" i="12" s="1"/>
  <c r="CE11" i="12"/>
  <c r="CE28" i="12"/>
  <c r="CB40" i="12"/>
  <c r="CB36" i="12"/>
  <c r="F192" i="8"/>
  <c r="F243" i="8"/>
  <c r="CC47" i="12" l="1"/>
  <c r="CC23" i="12"/>
  <c r="CC24" i="12" s="1"/>
  <c r="CC34" i="12"/>
  <c r="CC35" i="12" s="1"/>
  <c r="CC36" i="12" s="1"/>
  <c r="CC13" i="12"/>
  <c r="CC14" i="12"/>
  <c r="CC19" i="12"/>
  <c r="CC30" i="12"/>
  <c r="CC32" i="12" s="1"/>
  <c r="CD13" i="12"/>
  <c r="CD14" i="12" s="1"/>
  <c r="CD38" i="12"/>
  <c r="CD39" i="12" s="1"/>
  <c r="CD19" i="12"/>
  <c r="CD20" i="12" s="1"/>
  <c r="CD23" i="12"/>
  <c r="CD24" i="12" s="1"/>
  <c r="CE8" i="12"/>
  <c r="CE12" i="12" s="1"/>
  <c r="CD45" i="12"/>
  <c r="CD46" i="12"/>
  <c r="CE29" i="12"/>
  <c r="CE30" i="12" s="1"/>
  <c r="CD34" i="12"/>
  <c r="CD35" i="12" s="1"/>
  <c r="CF6" i="12"/>
  <c r="CF27" i="12" s="1"/>
  <c r="CF11" i="12"/>
  <c r="CG5" i="12"/>
  <c r="CF28" i="12"/>
  <c r="CD31" i="12"/>
  <c r="CD30" i="12"/>
  <c r="G48" i="9"/>
  <c r="F176" i="8"/>
  <c r="CC20" i="12" l="1"/>
  <c r="CC25" i="12"/>
  <c r="CE19" i="12"/>
  <c r="CE20" i="12" s="1"/>
  <c r="CE21" i="12" s="1"/>
  <c r="CE31" i="12"/>
  <c r="CE32" i="12" s="1"/>
  <c r="CE47" i="12"/>
  <c r="CE45" i="12"/>
  <c r="CE13" i="12"/>
  <c r="CE14" i="12" s="1"/>
  <c r="CE34" i="12"/>
  <c r="CE35" i="12" s="1"/>
  <c r="CE36" i="12" s="1"/>
  <c r="CF8" i="12"/>
  <c r="CF12" i="12" s="1"/>
  <c r="CF19" i="12" s="1"/>
  <c r="CF29" i="12"/>
  <c r="CF31" i="12" s="1"/>
  <c r="CE46" i="12"/>
  <c r="CE23" i="12"/>
  <c r="CE24" i="12" s="1"/>
  <c r="CE25" i="12" s="1"/>
  <c r="CE38" i="12"/>
  <c r="CE39" i="12" s="1"/>
  <c r="CE40" i="12" s="1"/>
  <c r="CD32" i="12"/>
  <c r="CG6" i="12"/>
  <c r="CG27" i="12" s="1"/>
  <c r="CH5" i="12"/>
  <c r="CG11" i="12"/>
  <c r="CG28" i="12"/>
  <c r="F58" i="8"/>
  <c r="CD21" i="12"/>
  <c r="CD40" i="12"/>
  <c r="CD36" i="12"/>
  <c r="CD25" i="12"/>
  <c r="F253" i="8"/>
  <c r="CC21" i="12" l="1"/>
  <c r="CF46" i="12"/>
  <c r="CF45" i="12"/>
  <c r="CF20" i="12"/>
  <c r="CF21" i="12" s="1"/>
  <c r="CF30" i="12"/>
  <c r="CF32" i="12" s="1"/>
  <c r="CF23" i="12"/>
  <c r="CF24" i="12" s="1"/>
  <c r="CF25" i="12" s="1"/>
  <c r="CF38" i="12"/>
  <c r="CF39" i="12" s="1"/>
  <c r="CF40" i="12" s="1"/>
  <c r="CF47" i="12"/>
  <c r="CF34" i="12"/>
  <c r="CF35" i="12" s="1"/>
  <c r="CF36" i="12" s="1"/>
  <c r="CF13" i="12"/>
  <c r="CF14" i="12" s="1"/>
  <c r="CG29" i="12"/>
  <c r="CG30" i="12" s="1"/>
  <c r="CG8" i="12"/>
  <c r="CG12" i="12" s="1"/>
  <c r="CH6" i="12"/>
  <c r="CH11" i="12"/>
  <c r="CI5" i="12"/>
  <c r="CH28" i="12"/>
  <c r="G46" i="9"/>
  <c r="CG46" i="12" l="1"/>
  <c r="CG19" i="12"/>
  <c r="CG20" i="12" s="1"/>
  <c r="CG21" i="12" s="1"/>
  <c r="CG23" i="12"/>
  <c r="CG24" i="12" s="1"/>
  <c r="CG25" i="12" s="1"/>
  <c r="CG45" i="12"/>
  <c r="CG47" i="12"/>
  <c r="CG34" i="12"/>
  <c r="CG35" i="12" s="1"/>
  <c r="CG36" i="12" s="1"/>
  <c r="CG31" i="12"/>
  <c r="CG32" i="12" s="1"/>
  <c r="CG38" i="12"/>
  <c r="CG39" i="12" s="1"/>
  <c r="CG40" i="12" s="1"/>
  <c r="CG13" i="12"/>
  <c r="CG14" i="12" s="1"/>
  <c r="CH27" i="12"/>
  <c r="CH29" i="12" s="1"/>
  <c r="CH8" i="12"/>
  <c r="CH12" i="12" s="1"/>
  <c r="CH19" i="12" s="1"/>
  <c r="CI28" i="12"/>
  <c r="CI6" i="12"/>
  <c r="CI27" i="12" s="1"/>
  <c r="CI11" i="12"/>
  <c r="CJ5" i="12"/>
  <c r="I243" i="8"/>
  <c r="CI8" i="12" l="1"/>
  <c r="CI29" i="12"/>
  <c r="CH47" i="12"/>
  <c r="CH20" i="12"/>
  <c r="CH21" i="12" s="1"/>
  <c r="CH45" i="12"/>
  <c r="CH34" i="12"/>
  <c r="CH35" i="12" s="1"/>
  <c r="CH36" i="12" s="1"/>
  <c r="CH46" i="12"/>
  <c r="CH38" i="12"/>
  <c r="CH39" i="12" s="1"/>
  <c r="CH40" i="12" s="1"/>
  <c r="CH13" i="12"/>
  <c r="CH14" i="12" s="1"/>
  <c r="CH23" i="12"/>
  <c r="CJ6" i="12"/>
  <c r="CJ8" i="12" s="1"/>
  <c r="CJ28" i="12"/>
  <c r="CJ11" i="12"/>
  <c r="CK5" i="12"/>
  <c r="CH31" i="12"/>
  <c r="CH30" i="12"/>
  <c r="K243" i="8"/>
  <c r="H243" i="8"/>
  <c r="J243" i="8"/>
  <c r="G243" i="8"/>
  <c r="CI12" i="12" l="1"/>
  <c r="CI31" i="12"/>
  <c r="CI47" i="12"/>
  <c r="CI46" i="12"/>
  <c r="CI30" i="12"/>
  <c r="CI13" i="12"/>
  <c r="CI19" i="12"/>
  <c r="CI34" i="12"/>
  <c r="CI38" i="12"/>
  <c r="CI23" i="12"/>
  <c r="CJ12" i="12"/>
  <c r="CH32" i="12"/>
  <c r="CJ27" i="12"/>
  <c r="CK11" i="12"/>
  <c r="CL5" i="12"/>
  <c r="CK28" i="12"/>
  <c r="CK6" i="12"/>
  <c r="CK8" i="12" s="1"/>
  <c r="CH24" i="12"/>
  <c r="CH25" i="12" s="1"/>
  <c r="CI39" i="12" l="1"/>
  <c r="CI35" i="12"/>
  <c r="CI20" i="12"/>
  <c r="CI14" i="12"/>
  <c r="CI24" i="12"/>
  <c r="CI45" i="12"/>
  <c r="CI32" i="12"/>
  <c r="CJ29" i="12"/>
  <c r="CJ30" i="12" s="1"/>
  <c r="CK27" i="12"/>
  <c r="CK29" i="12" s="1"/>
  <c r="CK31" i="12" s="1"/>
  <c r="CJ38" i="12"/>
  <c r="CJ19" i="12"/>
  <c r="CJ20" i="12" s="1"/>
  <c r="CJ21" i="12" s="1"/>
  <c r="CJ23" i="12"/>
  <c r="CJ24" i="12" s="1"/>
  <c r="CJ25" i="12" s="1"/>
  <c r="CJ45" i="12"/>
  <c r="CJ46" i="12"/>
  <c r="CJ47" i="12"/>
  <c r="CJ34" i="12"/>
  <c r="CJ35" i="12" s="1"/>
  <c r="CJ36" i="12" s="1"/>
  <c r="CJ13" i="12"/>
  <c r="CJ14" i="12" s="1"/>
  <c r="CK12" i="12"/>
  <c r="CL6" i="12"/>
  <c r="CM5" i="12"/>
  <c r="CL28" i="12"/>
  <c r="CL11" i="12"/>
  <c r="CI21" i="12" l="1"/>
  <c r="CJ39" i="12"/>
  <c r="CJ40" i="12" s="1"/>
  <c r="CI25" i="12"/>
  <c r="CI40" i="12"/>
  <c r="CI36" i="12"/>
  <c r="CJ31" i="12"/>
  <c r="CJ32" i="12" s="1"/>
  <c r="CK13" i="12"/>
  <c r="CK14" i="12" s="1"/>
  <c r="CK19" i="12"/>
  <c r="CK38" i="12"/>
  <c r="CK39" i="12" s="1"/>
  <c r="CK40" i="12" s="1"/>
  <c r="CK47" i="12"/>
  <c r="CK46" i="12"/>
  <c r="CK23" i="12"/>
  <c r="CK45" i="12"/>
  <c r="CK34" i="12"/>
  <c r="CK30" i="12"/>
  <c r="CM11" i="12"/>
  <c r="CM28" i="12"/>
  <c r="CN5" i="12"/>
  <c r="CM6" i="12"/>
  <c r="CL8" i="12"/>
  <c r="CL27" i="12"/>
  <c r="CL29" i="12" s="1"/>
  <c r="CL12" i="12" l="1"/>
  <c r="CK20" i="12"/>
  <c r="CK35" i="12"/>
  <c r="CK24" i="12"/>
  <c r="CK32" i="12"/>
  <c r="CK25" i="12"/>
  <c r="CM27" i="12"/>
  <c r="CM29" i="12" s="1"/>
  <c r="CM8" i="12"/>
  <c r="CM12" i="12" s="1"/>
  <c r="CM19" i="12" s="1"/>
  <c r="CL30" i="12"/>
  <c r="CL31" i="12"/>
  <c r="CN6" i="12"/>
  <c r="CN27" i="12" s="1"/>
  <c r="CN28" i="12"/>
  <c r="CN11" i="12"/>
  <c r="CO5" i="12"/>
  <c r="CL34" i="12"/>
  <c r="CL35" i="12" s="1"/>
  <c r="CL36" i="12" s="1"/>
  <c r="CL13" i="12"/>
  <c r="CL47" i="12"/>
  <c r="CL23" i="12"/>
  <c r="CL46" i="12"/>
  <c r="CL45" i="12"/>
  <c r="K176" i="8"/>
  <c r="K253" i="8" s="1"/>
  <c r="I176" i="8"/>
  <c r="I253" i="8" s="1"/>
  <c r="CK36" i="12" l="1"/>
  <c r="CL14" i="12"/>
  <c r="CL19" i="12"/>
  <c r="CL38" i="12"/>
  <c r="CK21" i="12"/>
  <c r="CN8" i="12"/>
  <c r="CN12" i="12" s="1"/>
  <c r="CN19" i="12" s="1"/>
  <c r="CL32" i="12"/>
  <c r="CN29" i="12"/>
  <c r="CN31" i="12" s="1"/>
  <c r="CM38" i="12"/>
  <c r="CM39" i="12" s="1"/>
  <c r="CM40" i="12" s="1"/>
  <c r="CM20" i="12"/>
  <c r="CM21" i="12" s="1"/>
  <c r="CM13" i="12"/>
  <c r="CM14" i="12" s="1"/>
  <c r="CM47" i="12"/>
  <c r="CM46" i="12"/>
  <c r="CM45" i="12"/>
  <c r="CM34" i="12"/>
  <c r="CM35" i="12" s="1"/>
  <c r="CM36" i="12" s="1"/>
  <c r="CM23" i="12"/>
  <c r="CP5" i="12"/>
  <c r="CO11" i="12"/>
  <c r="CO28" i="12"/>
  <c r="CO6" i="12"/>
  <c r="CO8" i="12" s="1"/>
  <c r="CL24" i="12"/>
  <c r="CL25" i="12" s="1"/>
  <c r="CM31" i="12"/>
  <c r="CM30" i="12"/>
  <c r="I192" i="8"/>
  <c r="M48" i="9"/>
  <c r="J176" i="8"/>
  <c r="J253" i="8" s="1"/>
  <c r="K192" i="8"/>
  <c r="J192" i="8"/>
  <c r="L176" i="8"/>
  <c r="L253" i="8" s="1"/>
  <c r="CL39" i="12" l="1"/>
  <c r="CL20" i="12"/>
  <c r="CM24" i="12"/>
  <c r="CO27" i="12"/>
  <c r="CO29" i="12" s="1"/>
  <c r="CO30" i="12" s="1"/>
  <c r="CN30" i="12"/>
  <c r="CN32" i="12" s="1"/>
  <c r="CM32" i="12"/>
  <c r="CO12" i="12"/>
  <c r="CO34" i="12" s="1"/>
  <c r="CO35" i="12" s="1"/>
  <c r="CM25" i="12"/>
  <c r="CN23" i="12"/>
  <c r="CN24" i="12" s="1"/>
  <c r="CN25" i="12" s="1"/>
  <c r="CN45" i="12"/>
  <c r="CN13" i="12"/>
  <c r="CN14" i="12" s="1"/>
  <c r="CN20" i="12"/>
  <c r="CN21" i="12" s="1"/>
  <c r="CN38" i="12"/>
  <c r="CN39" i="12" s="1"/>
  <c r="CN40" i="12" s="1"/>
  <c r="CN34" i="12"/>
  <c r="CN46" i="12"/>
  <c r="CN47" i="12"/>
  <c r="CP6" i="12"/>
  <c r="CP8" i="12" s="1"/>
  <c r="CP28" i="12"/>
  <c r="CP11" i="12"/>
  <c r="CQ5" i="12"/>
  <c r="J48" i="9"/>
  <c r="K48" i="9"/>
  <c r="L48" i="9"/>
  <c r="CL21" i="12" l="1"/>
  <c r="CO47" i="12"/>
  <c r="CL40" i="12"/>
  <c r="CN35" i="12"/>
  <c r="CO38" i="12"/>
  <c r="CO39" i="12" s="1"/>
  <c r="CO40" i="12" s="1"/>
  <c r="CO46" i="12"/>
  <c r="CO45" i="12"/>
  <c r="CO31" i="12"/>
  <c r="CO32" i="12" s="1"/>
  <c r="CO23" i="12"/>
  <c r="CO19" i="12"/>
  <c r="CO13" i="12"/>
  <c r="CO14" i="12" s="1"/>
  <c r="CP12" i="12"/>
  <c r="CP46" i="12" s="1"/>
  <c r="CP27" i="12"/>
  <c r="CP29" i="12" s="1"/>
  <c r="CQ28" i="12"/>
  <c r="CQ11" i="12"/>
  <c r="CQ6" i="12"/>
  <c r="CQ8" i="12" s="1"/>
  <c r="CR5" i="12"/>
  <c r="F36" i="9"/>
  <c r="E32" i="8"/>
  <c r="E45" i="8" s="1"/>
  <c r="E240" i="8"/>
  <c r="E212" i="8"/>
  <c r="F219" i="8" s="1"/>
  <c r="CO36" i="12"/>
  <c r="CN36" i="12" l="1"/>
  <c r="CO20" i="12"/>
  <c r="CP23" i="12"/>
  <c r="CP24" i="12" s="1"/>
  <c r="CP25" i="12" s="1"/>
  <c r="CP47" i="12"/>
  <c r="CP45" i="12"/>
  <c r="CP34" i="12"/>
  <c r="CP19" i="12"/>
  <c r="CP20" i="12" s="1"/>
  <c r="CP21" i="12" s="1"/>
  <c r="CP13" i="12"/>
  <c r="CP14" i="12" s="1"/>
  <c r="CO24" i="12"/>
  <c r="CP38" i="12"/>
  <c r="CP39" i="12" s="1"/>
  <c r="CP40" i="12" s="1"/>
  <c r="CQ27" i="12"/>
  <c r="CQ29" i="12" s="1"/>
  <c r="CQ12" i="12"/>
  <c r="CQ19" i="12" s="1"/>
  <c r="CR11" i="12"/>
  <c r="CR6" i="12"/>
  <c r="CS5" i="12"/>
  <c r="CR28" i="12"/>
  <c r="CP30" i="12"/>
  <c r="CP31" i="12"/>
  <c r="E241" i="8"/>
  <c r="CO25" i="12" l="1"/>
  <c r="CO21" i="12"/>
  <c r="CP35" i="12"/>
  <c r="CQ46" i="12"/>
  <c r="CQ45" i="12"/>
  <c r="CQ47" i="12"/>
  <c r="CQ34" i="12"/>
  <c r="CQ35" i="12" s="1"/>
  <c r="CQ36" i="12" s="1"/>
  <c r="CQ23" i="12"/>
  <c r="CQ24" i="12" s="1"/>
  <c r="CQ25" i="12" s="1"/>
  <c r="CQ38" i="12"/>
  <c r="CQ39" i="12" s="1"/>
  <c r="CQ13" i="12"/>
  <c r="CQ14" i="12" s="1"/>
  <c r="CP32" i="12"/>
  <c r="CS6" i="12"/>
  <c r="CS28" i="12"/>
  <c r="CS11" i="12"/>
  <c r="CT5" i="12"/>
  <c r="CR8" i="12"/>
  <c r="CR12" i="12" s="1"/>
  <c r="CR19" i="12" s="1"/>
  <c r="CR27" i="12"/>
  <c r="CR29" i="12" s="1"/>
  <c r="CQ31" i="12"/>
  <c r="CQ30" i="12"/>
  <c r="CQ20" i="12"/>
  <c r="E245" i="8"/>
  <c r="CP36" i="12" l="1"/>
  <c r="CQ40" i="12"/>
  <c r="CQ32" i="12"/>
  <c r="CS27" i="12"/>
  <c r="CS29" i="12" s="1"/>
  <c r="CS8" i="12"/>
  <c r="CS12" i="12" s="1"/>
  <c r="CR31" i="12"/>
  <c r="CR30" i="12"/>
  <c r="CT8" i="12"/>
  <c r="CT11" i="12"/>
  <c r="CU5" i="12"/>
  <c r="CU6" i="12" s="1"/>
  <c r="CT6" i="12"/>
  <c r="CT27" i="12" s="1"/>
  <c r="CT28" i="12"/>
  <c r="CR34" i="12"/>
  <c r="CR35" i="12" s="1"/>
  <c r="CR36" i="12" s="1"/>
  <c r="CR23" i="12"/>
  <c r="CR45" i="12"/>
  <c r="CR13" i="12"/>
  <c r="CR14" i="12" s="1"/>
  <c r="CR38" i="12"/>
  <c r="CR39" i="12" s="1"/>
  <c r="CR40" i="12" s="1"/>
  <c r="CR20" i="12"/>
  <c r="CR47" i="12"/>
  <c r="CR46" i="12"/>
  <c r="CQ21" i="12"/>
  <c r="E221" i="8"/>
  <c r="CR21" i="12" l="1"/>
  <c r="CS13" i="12"/>
  <c r="CS14" i="12" s="1"/>
  <c r="CS19" i="12"/>
  <c r="CS20" i="12" s="1"/>
  <c r="CS46" i="12"/>
  <c r="CS23" i="12"/>
  <c r="CS24" i="12" s="1"/>
  <c r="CS25" i="12" s="1"/>
  <c r="CT29" i="12"/>
  <c r="CT31" i="12" s="1"/>
  <c r="CS47" i="12"/>
  <c r="CS34" i="12"/>
  <c r="CS35" i="12" s="1"/>
  <c r="CS36" i="12" s="1"/>
  <c r="CS45" i="12"/>
  <c r="CS38" i="12"/>
  <c r="CS39" i="12" s="1"/>
  <c r="CS40" i="12" s="1"/>
  <c r="CT12" i="12"/>
  <c r="CR24" i="12"/>
  <c r="CR25" i="12" s="1"/>
  <c r="CU8" i="12"/>
  <c r="CU28" i="12"/>
  <c r="CU11" i="12"/>
  <c r="CU15" i="12" s="1"/>
  <c r="CV5" i="12"/>
  <c r="CR32" i="12"/>
  <c r="CS31" i="12"/>
  <c r="CS30" i="12"/>
  <c r="F33" i="9"/>
  <c r="F220" i="8"/>
  <c r="CT45" i="12" l="1"/>
  <c r="CT19" i="12"/>
  <c r="CT20" i="12" s="1"/>
  <c r="CT21" i="12" s="1"/>
  <c r="CT30" i="12"/>
  <c r="CT32" i="12" s="1"/>
  <c r="CU16" i="12"/>
  <c r="CU12" i="12"/>
  <c r="CU47" i="12" s="1"/>
  <c r="CT47" i="12"/>
  <c r="CT13" i="12"/>
  <c r="CT14" i="12" s="1"/>
  <c r="CT46" i="12"/>
  <c r="CT34" i="12"/>
  <c r="CT35" i="12" s="1"/>
  <c r="CT36" i="12" s="1"/>
  <c r="CT38" i="12"/>
  <c r="CT39" i="12" s="1"/>
  <c r="CT40" i="12" s="1"/>
  <c r="CT23" i="12"/>
  <c r="CS32" i="12"/>
  <c r="CU27" i="12"/>
  <c r="CU29" i="12" s="1"/>
  <c r="CV27" i="12"/>
  <c r="CW5" i="12"/>
  <c r="CV28" i="12"/>
  <c r="CV11" i="12"/>
  <c r="CV6" i="12"/>
  <c r="CV8" i="12" s="1"/>
  <c r="CS21" i="12"/>
  <c r="F35" i="9"/>
  <c r="F37" i="9" s="1"/>
  <c r="F40" i="9" s="1"/>
  <c r="F25" i="9"/>
  <c r="CU45" i="12" l="1"/>
  <c r="CU34" i="12"/>
  <c r="CU35" i="12" s="1"/>
  <c r="CU36" i="12" s="1"/>
  <c r="CU38" i="12"/>
  <c r="CU39" i="12" s="1"/>
  <c r="CU40" i="12" s="1"/>
  <c r="CV16" i="12"/>
  <c r="CU23" i="12"/>
  <c r="CU24" i="12" s="1"/>
  <c r="CU25" i="12" s="1"/>
  <c r="CU19" i="12"/>
  <c r="CU20" i="12" s="1"/>
  <c r="CU21" i="12" s="1"/>
  <c r="CU13" i="12"/>
  <c r="CU14" i="12" s="1"/>
  <c r="CU17" i="12" s="1"/>
  <c r="CU46" i="12"/>
  <c r="CV29" i="12"/>
  <c r="CV30" i="12" s="1"/>
  <c r="CV15" i="12"/>
  <c r="CT24" i="12"/>
  <c r="CT25" i="12" s="1"/>
  <c r="CV12" i="12"/>
  <c r="CX5" i="12"/>
  <c r="CW28" i="12"/>
  <c r="CW6" i="12"/>
  <c r="CW8" i="12" s="1"/>
  <c r="CW11" i="12"/>
  <c r="CW15" i="12" s="1"/>
  <c r="CU31" i="12"/>
  <c r="CU30" i="12"/>
  <c r="F54" i="9"/>
  <c r="CV31" i="12" l="1"/>
  <c r="CV32" i="12" s="1"/>
  <c r="CW27" i="12"/>
  <c r="CW29" i="12" s="1"/>
  <c r="CW16" i="12"/>
  <c r="CW12" i="12"/>
  <c r="CW23" i="12" s="1"/>
  <c r="CU32" i="12"/>
  <c r="CU42" i="12" s="1"/>
  <c r="CX11" i="12"/>
  <c r="CX6" i="12"/>
  <c r="CX8" i="12" s="1"/>
  <c r="CX28" i="12"/>
  <c r="CY5" i="12"/>
  <c r="CV46" i="12"/>
  <c r="CV23" i="12"/>
  <c r="CV24" i="12" s="1"/>
  <c r="CV25" i="12" s="1"/>
  <c r="CV38" i="12"/>
  <c r="CV39" i="12" s="1"/>
  <c r="CV40" i="12" s="1"/>
  <c r="CV45" i="12"/>
  <c r="CV34" i="12"/>
  <c r="CV35" i="12" s="1"/>
  <c r="CV36" i="12" s="1"/>
  <c r="CV19" i="12"/>
  <c r="CV20" i="12" s="1"/>
  <c r="CV21" i="12" s="1"/>
  <c r="CV13" i="12"/>
  <c r="CV14" i="12" s="1"/>
  <c r="CV17" i="12" s="1"/>
  <c r="CV47" i="12"/>
  <c r="CW19" i="12" l="1"/>
  <c r="CW20" i="12" s="1"/>
  <c r="CW21" i="12" s="1"/>
  <c r="CW47" i="12"/>
  <c r="CW24" i="12"/>
  <c r="CW25" i="12" s="1"/>
  <c r="CW13" i="12"/>
  <c r="CW14" i="12" s="1"/>
  <c r="CW17" i="12" s="1"/>
  <c r="CV42" i="12"/>
  <c r="CV44" i="12" s="1"/>
  <c r="CV48" i="12" s="1"/>
  <c r="CV50" i="12" s="1"/>
  <c r="CX12" i="12"/>
  <c r="CX34" i="12" s="1"/>
  <c r="CX35" i="12" s="1"/>
  <c r="CW45" i="12"/>
  <c r="CW34" i="12"/>
  <c r="CW35" i="12" s="1"/>
  <c r="CW36" i="12" s="1"/>
  <c r="CW38" i="12"/>
  <c r="CW39" i="12" s="1"/>
  <c r="CW40" i="12" s="1"/>
  <c r="CW46" i="12"/>
  <c r="CZ5" i="12"/>
  <c r="CY6" i="12"/>
  <c r="CY8" i="12" s="1"/>
  <c r="CY28" i="12"/>
  <c r="CY11" i="12"/>
  <c r="CX15" i="12"/>
  <c r="CX16" i="12"/>
  <c r="CX27" i="12"/>
  <c r="CX29" i="12" s="1"/>
  <c r="CW31" i="12"/>
  <c r="CW30" i="12"/>
  <c r="CU44" i="12"/>
  <c r="CU48" i="12" s="1"/>
  <c r="CU50" i="12" s="1"/>
  <c r="CX45" i="12" l="1"/>
  <c r="CX13" i="12"/>
  <c r="CX14" i="12" s="1"/>
  <c r="CX17" i="12" s="1"/>
  <c r="CX46" i="12"/>
  <c r="CX23" i="12"/>
  <c r="CX24" i="12" s="1"/>
  <c r="CX19" i="12"/>
  <c r="CX20" i="12" s="1"/>
  <c r="CX21" i="12" s="1"/>
  <c r="CX38" i="12"/>
  <c r="CX39" i="12" s="1"/>
  <c r="CX40" i="12" s="1"/>
  <c r="CX47" i="12"/>
  <c r="CY12" i="12"/>
  <c r="CY19" i="12" s="1"/>
  <c r="CY20" i="12" s="1"/>
  <c r="CY21" i="12" s="1"/>
  <c r="CW32" i="12"/>
  <c r="CW42" i="12" s="1"/>
  <c r="CW44" i="12" s="1"/>
  <c r="CW48" i="12" s="1"/>
  <c r="CW50" i="12" s="1"/>
  <c r="DA5" i="12"/>
  <c r="CZ11" i="12"/>
  <c r="CZ6" i="12"/>
  <c r="CZ8" i="12" s="1"/>
  <c r="CZ12" i="12" s="1"/>
  <c r="CZ28" i="12"/>
  <c r="CY27" i="12"/>
  <c r="CY29" i="12" s="1"/>
  <c r="CY16" i="12"/>
  <c r="CX30" i="12"/>
  <c r="CX31" i="12"/>
  <c r="CY15" i="12"/>
  <c r="CX36" i="12"/>
  <c r="CX25" i="12" l="1"/>
  <c r="CY45" i="12"/>
  <c r="CY46" i="12"/>
  <c r="CY13" i="12"/>
  <c r="CY14" i="12" s="1"/>
  <c r="CY17" i="12" s="1"/>
  <c r="CY47" i="12"/>
  <c r="CY34" i="12"/>
  <c r="CY35" i="12" s="1"/>
  <c r="CY36" i="12" s="1"/>
  <c r="CY38" i="12"/>
  <c r="CY39" i="12" s="1"/>
  <c r="CY40" i="12" s="1"/>
  <c r="CY23" i="12"/>
  <c r="CY24" i="12" s="1"/>
  <c r="CY25" i="12" s="1"/>
  <c r="CX32" i="12"/>
  <c r="CX42" i="12" s="1"/>
  <c r="CZ27" i="12"/>
  <c r="CZ29" i="12" s="1"/>
  <c r="CZ16" i="12"/>
  <c r="CZ15" i="12"/>
  <c r="DA28" i="12"/>
  <c r="DB5" i="12"/>
  <c r="DA11" i="12"/>
  <c r="DA6" i="12"/>
  <c r="DA8" i="12" s="1"/>
  <c r="CY31" i="12"/>
  <c r="CY30" i="12"/>
  <c r="CZ23" i="12"/>
  <c r="CZ38" i="12"/>
  <c r="CZ39" i="12" s="1"/>
  <c r="CZ34" i="12"/>
  <c r="CZ35" i="12" s="1"/>
  <c r="CZ13" i="12"/>
  <c r="CZ14" i="12" s="1"/>
  <c r="CZ47" i="12"/>
  <c r="CZ46" i="12"/>
  <c r="CZ45" i="12"/>
  <c r="CZ19" i="12"/>
  <c r="CZ20" i="12" s="1"/>
  <c r="CZ21" i="12" s="1"/>
  <c r="DA27" i="12" l="1"/>
  <c r="DA29" i="12" s="1"/>
  <c r="DA31" i="12" s="1"/>
  <c r="DA16" i="12"/>
  <c r="DA12" i="12"/>
  <c r="DA47" i="12" s="1"/>
  <c r="DA15" i="12"/>
  <c r="CY32" i="12"/>
  <c r="CY42" i="12" s="1"/>
  <c r="CY44" i="12" s="1"/>
  <c r="CY48" i="12" s="1"/>
  <c r="CY50" i="12" s="1"/>
  <c r="DB6" i="12"/>
  <c r="DB8" i="12" s="1"/>
  <c r="DB28" i="12"/>
  <c r="DB11" i="12"/>
  <c r="DC5" i="12"/>
  <c r="CZ17" i="12"/>
  <c r="CZ31" i="12"/>
  <c r="CZ30" i="12"/>
  <c r="DA23" i="12"/>
  <c r="DA38" i="12"/>
  <c r="DA39" i="12" s="1"/>
  <c r="DA40" i="12" s="1"/>
  <c r="DA34" i="12"/>
  <c r="DA35" i="12" s="1"/>
  <c r="DA13" i="12"/>
  <c r="DA14" i="12" s="1"/>
  <c r="CZ24" i="12"/>
  <c r="CZ25" i="12" s="1"/>
  <c r="CZ36" i="12"/>
  <c r="CX44" i="12"/>
  <c r="CZ40" i="12"/>
  <c r="DA19" i="12" l="1"/>
  <c r="DA20" i="12" s="1"/>
  <c r="DA21" i="12" s="1"/>
  <c r="DA45" i="12"/>
  <c r="DA46" i="12"/>
  <c r="DA30" i="12"/>
  <c r="DA32" i="12" s="1"/>
  <c r="DA17" i="12"/>
  <c r="DB12" i="12"/>
  <c r="DB23" i="12" s="1"/>
  <c r="DB24" i="12" s="1"/>
  <c r="CZ32" i="12"/>
  <c r="CZ42" i="12" s="1"/>
  <c r="DB15" i="12"/>
  <c r="DB27" i="12"/>
  <c r="DB29" i="12" s="1"/>
  <c r="DB16" i="12"/>
  <c r="DD5" i="12"/>
  <c r="DC6" i="12"/>
  <c r="DC8" i="12" s="1"/>
  <c r="DC28" i="12"/>
  <c r="DC11" i="12"/>
  <c r="DC16" i="12" s="1"/>
  <c r="DA24" i="12"/>
  <c r="DA25" i="12" s="1"/>
  <c r="DA36" i="12"/>
  <c r="CX48" i="12"/>
  <c r="DB13" i="12" l="1"/>
  <c r="DB14" i="12" s="1"/>
  <c r="DC15" i="12"/>
  <c r="DB34" i="12"/>
  <c r="DB35" i="12" s="1"/>
  <c r="DB36" i="12" s="1"/>
  <c r="DB19" i="12"/>
  <c r="DB20" i="12" s="1"/>
  <c r="DB21" i="12" s="1"/>
  <c r="DB17" i="12"/>
  <c r="DB46" i="12"/>
  <c r="DB47" i="12"/>
  <c r="DB45" i="12"/>
  <c r="DC27" i="12"/>
  <c r="DC29" i="12" s="1"/>
  <c r="DC30" i="12" s="1"/>
  <c r="DB38" i="12"/>
  <c r="DB39" i="12" s="1"/>
  <c r="DB40" i="12" s="1"/>
  <c r="DC12" i="12"/>
  <c r="DC38" i="12" s="1"/>
  <c r="DC39" i="12" s="1"/>
  <c r="DC40" i="12" s="1"/>
  <c r="DD6" i="12"/>
  <c r="DD28" i="12"/>
  <c r="DE5" i="12"/>
  <c r="DD11" i="12"/>
  <c r="DB30" i="12"/>
  <c r="DB31" i="12"/>
  <c r="DA42" i="12"/>
  <c r="DA44" i="12" s="1"/>
  <c r="DA48" i="12" s="1"/>
  <c r="DA50" i="12" s="1"/>
  <c r="DB25" i="12"/>
  <c r="CZ44" i="12"/>
  <c r="CX50" i="12"/>
  <c r="DC34" i="12" l="1"/>
  <c r="DC35" i="12" s="1"/>
  <c r="DC36" i="12" s="1"/>
  <c r="DC46" i="12"/>
  <c r="DC19" i="12"/>
  <c r="DC20" i="12" s="1"/>
  <c r="DC21" i="12" s="1"/>
  <c r="DC45" i="12"/>
  <c r="DC23" i="12"/>
  <c r="DC13" i="12"/>
  <c r="DC14" i="12" s="1"/>
  <c r="DC17" i="12" s="1"/>
  <c r="DB32" i="12"/>
  <c r="DB42" i="12" s="1"/>
  <c r="DB44" i="12" s="1"/>
  <c r="DB48" i="12" s="1"/>
  <c r="DC47" i="12"/>
  <c r="DC31" i="12"/>
  <c r="DC32" i="12" s="1"/>
  <c r="DD15" i="12"/>
  <c r="DE28" i="12"/>
  <c r="DE6" i="12"/>
  <c r="DF5" i="12"/>
  <c r="DE11" i="12"/>
  <c r="DD8" i="12"/>
  <c r="DD12" i="12" s="1"/>
  <c r="DD27" i="12"/>
  <c r="DD29" i="12" s="1"/>
  <c r="DD16" i="12"/>
  <c r="CZ48" i="12"/>
  <c r="DC24" i="12" l="1"/>
  <c r="DC25" i="12" s="1"/>
  <c r="DC42" i="12" s="1"/>
  <c r="DC44" i="12" s="1"/>
  <c r="DC48" i="12" s="1"/>
  <c r="DC50" i="12" s="1"/>
  <c r="DE16" i="12"/>
  <c r="DF11" i="12"/>
  <c r="DG5" i="12"/>
  <c r="DF6" i="12"/>
  <c r="DF8" i="12" s="1"/>
  <c r="DF12" i="12" s="1"/>
  <c r="DF28" i="12"/>
  <c r="DE27" i="12"/>
  <c r="DE29" i="12" s="1"/>
  <c r="DD30" i="12"/>
  <c r="DD31" i="12"/>
  <c r="DE15" i="12"/>
  <c r="DE8" i="12"/>
  <c r="DE12" i="12" s="1"/>
  <c r="DE47" i="12" s="1"/>
  <c r="DD23" i="12"/>
  <c r="DD45" i="12"/>
  <c r="DD19" i="12"/>
  <c r="DD20" i="12" s="1"/>
  <c r="DD21" i="12" s="1"/>
  <c r="DD13" i="12"/>
  <c r="DD14" i="12" s="1"/>
  <c r="DD17" i="12" s="1"/>
  <c r="DD38" i="12"/>
  <c r="DD39" i="12" s="1"/>
  <c r="DD40" i="12" s="1"/>
  <c r="DD34" i="12"/>
  <c r="DD35" i="12" s="1"/>
  <c r="DD36" i="12" s="1"/>
  <c r="DD46" i="12"/>
  <c r="DD47" i="12"/>
  <c r="CZ50" i="12"/>
  <c r="DB50" i="12"/>
  <c r="DE13" i="12" l="1"/>
  <c r="DE14" i="12" s="1"/>
  <c r="DE17" i="12" s="1"/>
  <c r="DE19" i="12"/>
  <c r="DE20" i="12" s="1"/>
  <c r="DE21" i="12" s="1"/>
  <c r="DD32" i="12"/>
  <c r="DE23" i="12"/>
  <c r="DE24" i="12" s="1"/>
  <c r="DE25" i="12" s="1"/>
  <c r="DE46" i="12"/>
  <c r="DF38" i="12"/>
  <c r="DF39" i="12" s="1"/>
  <c r="DF19" i="12"/>
  <c r="DF20" i="12" s="1"/>
  <c r="DF21" i="12" s="1"/>
  <c r="DF47" i="12"/>
  <c r="DF46" i="12"/>
  <c r="DF13" i="12"/>
  <c r="DF14" i="12" s="1"/>
  <c r="DF23" i="12"/>
  <c r="DF24" i="12" s="1"/>
  <c r="DF45" i="12"/>
  <c r="DF34" i="12"/>
  <c r="DF35" i="12" s="1"/>
  <c r="DD24" i="12"/>
  <c r="DD25" i="12" s="1"/>
  <c r="DE34" i="12"/>
  <c r="DE35" i="12" s="1"/>
  <c r="DE36" i="12" s="1"/>
  <c r="DF15" i="12"/>
  <c r="DF27" i="12"/>
  <c r="DF29" i="12" s="1"/>
  <c r="DE45" i="12"/>
  <c r="DF16" i="12"/>
  <c r="DH5" i="12"/>
  <c r="DG6" i="12"/>
  <c r="DG8" i="12" s="1"/>
  <c r="DG28" i="12"/>
  <c r="DG11" i="12"/>
  <c r="DE38" i="12"/>
  <c r="DE39" i="12" s="1"/>
  <c r="DE40" i="12" s="1"/>
  <c r="DE31" i="12"/>
  <c r="DE30" i="12"/>
  <c r="DD42" i="12" l="1"/>
  <c r="DD44" i="12" s="1"/>
  <c r="DD48" i="12" s="1"/>
  <c r="DE32" i="12"/>
  <c r="DE42" i="12" s="1"/>
  <c r="DE44" i="12" s="1"/>
  <c r="DE48" i="12" s="1"/>
  <c r="DF17" i="12"/>
  <c r="DG12" i="12"/>
  <c r="DG47" i="12" s="1"/>
  <c r="DG16" i="12"/>
  <c r="DF31" i="12"/>
  <c r="DF30" i="12"/>
  <c r="DH28" i="12"/>
  <c r="DH6" i="12"/>
  <c r="DH8" i="12" s="1"/>
  <c r="DH11" i="12"/>
  <c r="DI5" i="12"/>
  <c r="DG15" i="12"/>
  <c r="DG27" i="12"/>
  <c r="DG29" i="12" s="1"/>
  <c r="DF25" i="12"/>
  <c r="DF40" i="12"/>
  <c r="DF36" i="12"/>
  <c r="DG34" i="12" l="1"/>
  <c r="DG35" i="12" s="1"/>
  <c r="DG36" i="12" s="1"/>
  <c r="DG23" i="12"/>
  <c r="DG24" i="12" s="1"/>
  <c r="DG19" i="12"/>
  <c r="DG20" i="12" s="1"/>
  <c r="DG21" i="12" s="1"/>
  <c r="DG46" i="12"/>
  <c r="DD50" i="12"/>
  <c r="DF32" i="12"/>
  <c r="DF42" i="12" s="1"/>
  <c r="DF44" i="12" s="1"/>
  <c r="DF48" i="12" s="1"/>
  <c r="DF50" i="12" s="1"/>
  <c r="DG13" i="12"/>
  <c r="DG14" i="12" s="1"/>
  <c r="DG17" i="12" s="1"/>
  <c r="DG45" i="12"/>
  <c r="DG38" i="12"/>
  <c r="DG39" i="12" s="1"/>
  <c r="DG40" i="12" s="1"/>
  <c r="DH16" i="12"/>
  <c r="DH12" i="12"/>
  <c r="DH13" i="12" s="1"/>
  <c r="DH14" i="12" s="1"/>
  <c r="DI6" i="12"/>
  <c r="DI8" i="12" s="1"/>
  <c r="DI28" i="12"/>
  <c r="DJ5" i="12"/>
  <c r="DI11" i="12"/>
  <c r="DG25" i="12"/>
  <c r="DG31" i="12"/>
  <c r="DG30" i="12"/>
  <c r="DH27" i="12"/>
  <c r="DH29" i="12" s="1"/>
  <c r="DH15" i="12"/>
  <c r="DE50" i="12"/>
  <c r="DG32" i="12" l="1"/>
  <c r="DG42" i="12" s="1"/>
  <c r="DG44" i="12" s="1"/>
  <c r="DG48" i="12" s="1"/>
  <c r="DG50" i="12" s="1"/>
  <c r="DH19" i="12"/>
  <c r="DH20" i="12" s="1"/>
  <c r="DH21" i="12" s="1"/>
  <c r="DH45" i="12"/>
  <c r="DH38" i="12"/>
  <c r="DH39" i="12" s="1"/>
  <c r="DH40" i="12" s="1"/>
  <c r="DH34" i="12"/>
  <c r="DH35" i="12" s="1"/>
  <c r="DH36" i="12" s="1"/>
  <c r="DH23" i="12"/>
  <c r="DH24" i="12" s="1"/>
  <c r="DH25" i="12" s="1"/>
  <c r="DH47" i="12"/>
  <c r="DI12" i="12"/>
  <c r="DI45" i="12" s="1"/>
  <c r="DH46" i="12"/>
  <c r="DJ11" i="12"/>
  <c r="DJ28" i="12"/>
  <c r="DK5" i="12"/>
  <c r="DJ6" i="12"/>
  <c r="DJ8" i="12" s="1"/>
  <c r="DH31" i="12"/>
  <c r="DH30" i="12"/>
  <c r="DI27" i="12"/>
  <c r="DI29" i="12" s="1"/>
  <c r="DI16" i="12"/>
  <c r="DH17" i="12"/>
  <c r="DI15" i="12"/>
  <c r="DI47" i="12" l="1"/>
  <c r="DI34" i="12"/>
  <c r="DI35" i="12" s="1"/>
  <c r="DI36" i="12" s="1"/>
  <c r="DI19" i="12"/>
  <c r="DI20" i="12" s="1"/>
  <c r="DI21" i="12" s="1"/>
  <c r="DI23" i="12"/>
  <c r="DI24" i="12" s="1"/>
  <c r="DI25" i="12" s="1"/>
  <c r="DJ12" i="12"/>
  <c r="DJ47" i="12" s="1"/>
  <c r="DI46" i="12"/>
  <c r="DI13" i="12"/>
  <c r="DI14" i="12" s="1"/>
  <c r="DI17" i="12" s="1"/>
  <c r="DI38" i="12"/>
  <c r="DI39" i="12" s="1"/>
  <c r="DI40" i="12" s="1"/>
  <c r="DH32" i="12"/>
  <c r="DH42" i="12" s="1"/>
  <c r="DH44" i="12" s="1"/>
  <c r="DH48" i="12" s="1"/>
  <c r="DH50" i="12" s="1"/>
  <c r="DK28" i="12"/>
  <c r="DL5" i="12"/>
  <c r="DK11" i="12"/>
  <c r="DK6" i="12"/>
  <c r="DJ27" i="12"/>
  <c r="DJ29" i="12" s="1"/>
  <c r="DJ16" i="12"/>
  <c r="DJ15" i="12"/>
  <c r="DI31" i="12"/>
  <c r="DI30" i="12"/>
  <c r="DJ34" i="12" l="1"/>
  <c r="DJ35" i="12" s="1"/>
  <c r="DK16" i="12"/>
  <c r="DJ38" i="12"/>
  <c r="DJ13" i="12"/>
  <c r="DJ14" i="12" s="1"/>
  <c r="DJ17" i="12" s="1"/>
  <c r="DJ19" i="12"/>
  <c r="DJ20" i="12" s="1"/>
  <c r="DJ21" i="12" s="1"/>
  <c r="DJ45" i="12"/>
  <c r="DJ23" i="12"/>
  <c r="DJ24" i="12" s="1"/>
  <c r="DJ25" i="12" s="1"/>
  <c r="DJ46" i="12"/>
  <c r="DI32" i="12"/>
  <c r="DI42" i="12" s="1"/>
  <c r="DI44" i="12" s="1"/>
  <c r="DI48" i="12" s="1"/>
  <c r="DI50" i="12" s="1"/>
  <c r="DK27" i="12"/>
  <c r="DK29" i="12" s="1"/>
  <c r="DK8" i="12"/>
  <c r="DK12" i="12" s="1"/>
  <c r="DL6" i="12"/>
  <c r="DL27" i="12" s="1"/>
  <c r="DM5" i="12"/>
  <c r="DL28" i="12"/>
  <c r="DL11" i="12"/>
  <c r="DK15" i="12"/>
  <c r="DJ31" i="12"/>
  <c r="DJ30" i="12"/>
  <c r="DJ39" i="12"/>
  <c r="DJ40" i="12" s="1"/>
  <c r="DJ36" i="12"/>
  <c r="DL29" i="12" l="1"/>
  <c r="DL30" i="12" s="1"/>
  <c r="DL16" i="12"/>
  <c r="DJ32" i="12"/>
  <c r="DJ42" i="12" s="1"/>
  <c r="DL8" i="12"/>
  <c r="DL12" i="12" s="1"/>
  <c r="DM6" i="12"/>
  <c r="DN5" i="12"/>
  <c r="DM28" i="12"/>
  <c r="DM11" i="12"/>
  <c r="DL15" i="12"/>
  <c r="DK23" i="12"/>
  <c r="DK24" i="12" s="1"/>
  <c r="DK25" i="12" s="1"/>
  <c r="DK19" i="12"/>
  <c r="DK20" i="12" s="1"/>
  <c r="DK21" i="12" s="1"/>
  <c r="DK46" i="12"/>
  <c r="DK13" i="12"/>
  <c r="DK14" i="12" s="1"/>
  <c r="DK17" i="12" s="1"/>
  <c r="DK38" i="12"/>
  <c r="DK39" i="12" s="1"/>
  <c r="DK40" i="12" s="1"/>
  <c r="DK47" i="12"/>
  <c r="DK34" i="12"/>
  <c r="DK35" i="12" s="1"/>
  <c r="DK36" i="12" s="1"/>
  <c r="DK45" i="12"/>
  <c r="DK30" i="12"/>
  <c r="DK31" i="12"/>
  <c r="DL31" i="12" l="1"/>
  <c r="DL32" i="12" s="1"/>
  <c r="DM16" i="12"/>
  <c r="DK32" i="12"/>
  <c r="DK42" i="12" s="1"/>
  <c r="DK44" i="12" s="1"/>
  <c r="DK48" i="12" s="1"/>
  <c r="DK50" i="12" s="1"/>
  <c r="DM8" i="12"/>
  <c r="DM12" i="12" s="1"/>
  <c r="DM27" i="12"/>
  <c r="DM29" i="12" s="1"/>
  <c r="DM15" i="12"/>
  <c r="DO5" i="12"/>
  <c r="DN28" i="12"/>
  <c r="DN11" i="12"/>
  <c r="DN6" i="12"/>
  <c r="DN8" i="12" s="1"/>
  <c r="DN12" i="12" s="1"/>
  <c r="DL38" i="12"/>
  <c r="DL39" i="12" s="1"/>
  <c r="DL40" i="12" s="1"/>
  <c r="DL13" i="12"/>
  <c r="DL14" i="12" s="1"/>
  <c r="DL17" i="12" s="1"/>
  <c r="DL34" i="12"/>
  <c r="DL35" i="12" s="1"/>
  <c r="DL36" i="12" s="1"/>
  <c r="DL45" i="12"/>
  <c r="DL47" i="12"/>
  <c r="DL46" i="12"/>
  <c r="DL23" i="12"/>
  <c r="DL19" i="12"/>
  <c r="DL20" i="12" s="1"/>
  <c r="DL21" i="12" s="1"/>
  <c r="DJ44" i="12"/>
  <c r="DN27" i="12" l="1"/>
  <c r="DN29" i="12" s="1"/>
  <c r="DN31" i="12" s="1"/>
  <c r="DN16" i="12"/>
  <c r="DN15" i="12"/>
  <c r="DO28" i="12"/>
  <c r="DO11" i="12"/>
  <c r="DP5" i="12"/>
  <c r="DO6" i="12"/>
  <c r="DO8" i="12" s="1"/>
  <c r="DL24" i="12"/>
  <c r="DL25" i="12" s="1"/>
  <c r="DL42" i="12" s="1"/>
  <c r="DM30" i="12"/>
  <c r="DM31" i="12"/>
  <c r="DM19" i="12"/>
  <c r="DM20" i="12" s="1"/>
  <c r="DM21" i="12" s="1"/>
  <c r="DM38" i="12"/>
  <c r="DM39" i="12" s="1"/>
  <c r="DM40" i="12" s="1"/>
  <c r="DM34" i="12"/>
  <c r="DM35" i="12" s="1"/>
  <c r="DM36" i="12" s="1"/>
  <c r="DM45" i="12"/>
  <c r="DM13" i="12"/>
  <c r="DM14" i="12" s="1"/>
  <c r="DM17" i="12" s="1"/>
  <c r="DM23" i="12"/>
  <c r="DM47" i="12"/>
  <c r="DM46" i="12"/>
  <c r="DN23" i="12"/>
  <c r="DN38" i="12"/>
  <c r="DN39" i="12" s="1"/>
  <c r="DN34" i="12"/>
  <c r="DN35" i="12" s="1"/>
  <c r="DN47" i="12"/>
  <c r="DN46" i="12"/>
  <c r="DN45" i="12"/>
  <c r="DN19" i="12"/>
  <c r="DN20" i="12" s="1"/>
  <c r="DN21" i="12" s="1"/>
  <c r="DN13" i="12"/>
  <c r="DN14" i="12" s="1"/>
  <c r="DJ48" i="12"/>
  <c r="DO12" i="12" l="1"/>
  <c r="DN17" i="12"/>
  <c r="DN30" i="12"/>
  <c r="DN32" i="12" s="1"/>
  <c r="DM32" i="12"/>
  <c r="DO38" i="12"/>
  <c r="DO39" i="12" s="1"/>
  <c r="DO40" i="12" s="1"/>
  <c r="DO13" i="12"/>
  <c r="DO14" i="12" s="1"/>
  <c r="DO19" i="12"/>
  <c r="DO20" i="12" s="1"/>
  <c r="DO21" i="12" s="1"/>
  <c r="DO45" i="12"/>
  <c r="DO47" i="12"/>
  <c r="DO34" i="12"/>
  <c r="DO35" i="12" s="1"/>
  <c r="DO36" i="12" s="1"/>
  <c r="DO46" i="12"/>
  <c r="DO23" i="12"/>
  <c r="DO24" i="12" s="1"/>
  <c r="DQ5" i="12"/>
  <c r="DP28" i="12"/>
  <c r="DP6" i="12"/>
  <c r="DP11" i="12"/>
  <c r="DM24" i="12"/>
  <c r="DM25" i="12" s="1"/>
  <c r="DO15" i="12"/>
  <c r="DO27" i="12"/>
  <c r="DO29" i="12" s="1"/>
  <c r="DO16" i="12"/>
  <c r="DN24" i="12"/>
  <c r="DN25" i="12" s="1"/>
  <c r="DN36" i="12"/>
  <c r="DJ50" i="12"/>
  <c r="DL44" i="12"/>
  <c r="DN40" i="12"/>
  <c r="DM42" i="12" l="1"/>
  <c r="DM44" i="12" s="1"/>
  <c r="DM48" i="12" s="1"/>
  <c r="DM50" i="12" s="1"/>
  <c r="DP16" i="12"/>
  <c r="DQ28" i="12"/>
  <c r="DQ11" i="12"/>
  <c r="DQ6" i="12"/>
  <c r="DQ8" i="12" s="1"/>
  <c r="DR5" i="12"/>
  <c r="DP27" i="12"/>
  <c r="DP29" i="12" s="1"/>
  <c r="DO25" i="12"/>
  <c r="DP8" i="12"/>
  <c r="DP12" i="12" s="1"/>
  <c r="DP15" i="12"/>
  <c r="DO17" i="12"/>
  <c r="DO31" i="12"/>
  <c r="DO30" i="12"/>
  <c r="DN42" i="12"/>
  <c r="DL48" i="12"/>
  <c r="DQ12" i="12" l="1"/>
  <c r="DQ15" i="12"/>
  <c r="DQ27" i="12"/>
  <c r="DQ29" i="12" s="1"/>
  <c r="DP19" i="12"/>
  <c r="DP20" i="12" s="1"/>
  <c r="DP21" i="12" s="1"/>
  <c r="DP23" i="12"/>
  <c r="DP38" i="12"/>
  <c r="DP39" i="12" s="1"/>
  <c r="DP40" i="12" s="1"/>
  <c r="DP13" i="12"/>
  <c r="DP14" i="12" s="1"/>
  <c r="DP17" i="12" s="1"/>
  <c r="DP34" i="12"/>
  <c r="DP35" i="12" s="1"/>
  <c r="DP36" i="12" s="1"/>
  <c r="DP46" i="12"/>
  <c r="DP47" i="12"/>
  <c r="DP45" i="12"/>
  <c r="DQ16" i="12"/>
  <c r="DP31" i="12"/>
  <c r="DP30" i="12"/>
  <c r="DR6" i="12"/>
  <c r="DR11" i="12"/>
  <c r="DR28" i="12"/>
  <c r="DO32" i="12"/>
  <c r="DO42" i="12" s="1"/>
  <c r="DQ13" i="12"/>
  <c r="DQ14" i="12" s="1"/>
  <c r="DQ23" i="12"/>
  <c r="DQ38" i="12"/>
  <c r="DQ34" i="12"/>
  <c r="DQ35" i="12" s="1"/>
  <c r="DQ46" i="12"/>
  <c r="DQ45" i="12"/>
  <c r="DQ47" i="12"/>
  <c r="DQ19" i="12"/>
  <c r="DQ20" i="12" s="1"/>
  <c r="DL50" i="12"/>
  <c r="DN44" i="12"/>
  <c r="D59" i="12" l="1"/>
  <c r="F12" i="24" s="1"/>
  <c r="C58" i="12"/>
  <c r="D58" i="12"/>
  <c r="C59" i="12"/>
  <c r="C12" i="24" s="1"/>
  <c r="C57" i="12"/>
  <c r="E57" i="12"/>
  <c r="E59" i="12"/>
  <c r="I12" i="24" s="1"/>
  <c r="J57" i="12"/>
  <c r="G57" i="12"/>
  <c r="E58" i="12"/>
  <c r="G76" i="12"/>
  <c r="F58" i="12"/>
  <c r="E76" i="12"/>
  <c r="F57" i="12"/>
  <c r="D57" i="12"/>
  <c r="H59" i="12"/>
  <c r="R12" i="24" s="1"/>
  <c r="F59" i="12"/>
  <c r="L12" i="24" s="1"/>
  <c r="G58" i="12"/>
  <c r="G59" i="12"/>
  <c r="O12" i="24" s="1"/>
  <c r="H58" i="12"/>
  <c r="H76" i="12"/>
  <c r="I59" i="12"/>
  <c r="U12" i="24" s="1"/>
  <c r="I58" i="12"/>
  <c r="H57" i="12"/>
  <c r="I57" i="12"/>
  <c r="F76" i="12"/>
  <c r="J59" i="12"/>
  <c r="X12" i="24" s="1"/>
  <c r="J76" i="12"/>
  <c r="J58" i="12"/>
  <c r="I76" i="12"/>
  <c r="C75" i="12"/>
  <c r="C78" i="12"/>
  <c r="C77" i="12"/>
  <c r="C79" i="12"/>
  <c r="C32" i="24" s="1"/>
  <c r="C80" i="12"/>
  <c r="D79" i="12"/>
  <c r="F32" i="24" s="1"/>
  <c r="D75" i="12"/>
  <c r="D80" i="12"/>
  <c r="D77" i="12"/>
  <c r="D78" i="12"/>
  <c r="DR8" i="12"/>
  <c r="DQ17" i="12"/>
  <c r="DR16" i="12"/>
  <c r="DQ30" i="12"/>
  <c r="DQ31" i="12"/>
  <c r="DR27" i="12"/>
  <c r="DR15" i="12"/>
  <c r="DP32" i="12"/>
  <c r="DO44" i="12"/>
  <c r="DO48" i="12" s="1"/>
  <c r="DO50" i="12" s="1"/>
  <c r="DP24" i="12"/>
  <c r="DP25" i="12" s="1"/>
  <c r="DQ21" i="12"/>
  <c r="DQ24" i="12"/>
  <c r="DN48" i="12"/>
  <c r="C21" i="24" l="1"/>
  <c r="D32" i="24" s="1"/>
  <c r="F21" i="24"/>
  <c r="G32" i="24" s="1"/>
  <c r="R10" i="24"/>
  <c r="R14" i="24"/>
  <c r="I10" i="24"/>
  <c r="I14" i="24"/>
  <c r="C10" i="24"/>
  <c r="C14" i="24"/>
  <c r="U10" i="24"/>
  <c r="U14" i="24"/>
  <c r="X10" i="24"/>
  <c r="X14" i="24"/>
  <c r="O10" i="24"/>
  <c r="O14" i="24"/>
  <c r="L10" i="24"/>
  <c r="L14" i="24"/>
  <c r="F14" i="24"/>
  <c r="F10" i="24"/>
  <c r="DR12" i="12"/>
  <c r="DR47" i="12" s="1"/>
  <c r="C56" i="12"/>
  <c r="D56" i="12"/>
  <c r="E56" i="12"/>
  <c r="F56" i="12"/>
  <c r="G56" i="12"/>
  <c r="H56" i="12"/>
  <c r="I56" i="12"/>
  <c r="J56" i="12"/>
  <c r="DR29" i="12"/>
  <c r="DR30" i="12" s="1"/>
  <c r="E75" i="12"/>
  <c r="F75" i="12"/>
  <c r="G75" i="12"/>
  <c r="H75" i="12"/>
  <c r="I75" i="12"/>
  <c r="J75" i="12"/>
  <c r="DR23" i="12"/>
  <c r="DR13" i="12"/>
  <c r="DP42" i="12"/>
  <c r="DP44" i="12" s="1"/>
  <c r="DP48" i="12" s="1"/>
  <c r="DP50" i="12" s="1"/>
  <c r="DR19" i="12"/>
  <c r="DR34" i="12"/>
  <c r="DR46" i="12"/>
  <c r="DR45" i="12"/>
  <c r="DQ32" i="12"/>
  <c r="DR38" i="12"/>
  <c r="J219" i="10"/>
  <c r="J221" i="10" s="1"/>
  <c r="DQ39" i="12"/>
  <c r="DQ25" i="12"/>
  <c r="DN50" i="12"/>
  <c r="C61" i="12" l="1"/>
  <c r="C27" i="24" s="1"/>
  <c r="D61" i="12"/>
  <c r="F27" i="24" s="1"/>
  <c r="E61" i="12"/>
  <c r="I27" i="24" s="1"/>
  <c r="F61" i="12"/>
  <c r="L27" i="24" s="1"/>
  <c r="G61" i="12"/>
  <c r="O27" i="24" s="1"/>
  <c r="H61" i="12"/>
  <c r="R27" i="24" s="1"/>
  <c r="I61" i="12"/>
  <c r="U27" i="24" s="1"/>
  <c r="J61" i="12"/>
  <c r="X27" i="24" s="1"/>
  <c r="C86" i="12"/>
  <c r="D86" i="12"/>
  <c r="E86" i="12"/>
  <c r="F86" i="12"/>
  <c r="G86" i="12"/>
  <c r="H86" i="12"/>
  <c r="I86" i="12"/>
  <c r="J86" i="12"/>
  <c r="C93" i="12"/>
  <c r="C40" i="24" s="1"/>
  <c r="D93" i="12"/>
  <c r="F40" i="24" s="1"/>
  <c r="E93" i="12"/>
  <c r="I40" i="24" s="1"/>
  <c r="F93" i="12"/>
  <c r="L40" i="24" s="1"/>
  <c r="G93" i="12"/>
  <c r="O40" i="24" s="1"/>
  <c r="H93" i="12"/>
  <c r="R40" i="24" s="1"/>
  <c r="I93" i="12"/>
  <c r="U40" i="24" s="1"/>
  <c r="J93" i="12"/>
  <c r="X40" i="24" s="1"/>
  <c r="C94" i="12"/>
  <c r="C41" i="24" s="1"/>
  <c r="D94" i="12"/>
  <c r="F41" i="24" s="1"/>
  <c r="E94" i="12"/>
  <c r="I41" i="24" s="1"/>
  <c r="F94" i="12"/>
  <c r="L41" i="24" s="1"/>
  <c r="G94" i="12"/>
  <c r="O41" i="24" s="1"/>
  <c r="H94" i="12"/>
  <c r="R41" i="24" s="1"/>
  <c r="I94" i="12"/>
  <c r="U41" i="24" s="1"/>
  <c r="J94" i="12"/>
  <c r="X41" i="24" s="1"/>
  <c r="C82" i="12"/>
  <c r="C18" i="24" s="1"/>
  <c r="D82" i="12"/>
  <c r="F18" i="24" s="1"/>
  <c r="E82" i="12"/>
  <c r="I18" i="24" s="1"/>
  <c r="F82" i="12"/>
  <c r="L18" i="24" s="1"/>
  <c r="G82" i="12"/>
  <c r="O18" i="24" s="1"/>
  <c r="H82" i="12"/>
  <c r="R18" i="24" s="1"/>
  <c r="I82" i="12"/>
  <c r="U18" i="24" s="1"/>
  <c r="J82" i="12"/>
  <c r="X18" i="24" s="1"/>
  <c r="C95" i="12"/>
  <c r="C42" i="24" s="1"/>
  <c r="D95" i="12"/>
  <c r="F42" i="24" s="1"/>
  <c r="E95" i="12"/>
  <c r="I42" i="24" s="1"/>
  <c r="F95" i="12"/>
  <c r="L42" i="24" s="1"/>
  <c r="G95" i="12"/>
  <c r="O42" i="24" s="1"/>
  <c r="H95" i="12"/>
  <c r="R42" i="24" s="1"/>
  <c r="I95" i="12"/>
  <c r="U42" i="24" s="1"/>
  <c r="J95" i="12"/>
  <c r="X42" i="24" s="1"/>
  <c r="C71" i="12"/>
  <c r="C20" i="24" s="1"/>
  <c r="D71" i="12"/>
  <c r="F20" i="24" s="1"/>
  <c r="E71" i="12"/>
  <c r="I20" i="24" s="1"/>
  <c r="F71" i="12"/>
  <c r="L20" i="24" s="1"/>
  <c r="G71" i="12"/>
  <c r="O20" i="24" s="1"/>
  <c r="H71" i="12"/>
  <c r="R20" i="24" s="1"/>
  <c r="I71" i="12"/>
  <c r="U20" i="24" s="1"/>
  <c r="J71" i="12"/>
  <c r="X20" i="24" s="1"/>
  <c r="DR20" i="12"/>
  <c r="C67" i="12"/>
  <c r="C19" i="24" s="1"/>
  <c r="D67" i="12"/>
  <c r="F19" i="24" s="1"/>
  <c r="E67" i="12"/>
  <c r="I19" i="24" s="1"/>
  <c r="F67" i="12"/>
  <c r="L19" i="24" s="1"/>
  <c r="G67" i="12"/>
  <c r="O19" i="24" s="1"/>
  <c r="H67" i="12"/>
  <c r="R19" i="24" s="1"/>
  <c r="I67" i="12"/>
  <c r="U19" i="24" s="1"/>
  <c r="J67" i="12"/>
  <c r="X19" i="24" s="1"/>
  <c r="C60" i="12"/>
  <c r="C17" i="24" s="1"/>
  <c r="D60" i="12"/>
  <c r="F17" i="24" s="1"/>
  <c r="E60" i="12"/>
  <c r="I17" i="24" s="1"/>
  <c r="F60" i="12"/>
  <c r="L17" i="24" s="1"/>
  <c r="G60" i="12"/>
  <c r="O17" i="24" s="1"/>
  <c r="H60" i="12"/>
  <c r="R17" i="24" s="1"/>
  <c r="I60" i="12"/>
  <c r="U17" i="24" s="1"/>
  <c r="J60" i="12"/>
  <c r="X17" i="24" s="1"/>
  <c r="DR31" i="12"/>
  <c r="DR32" i="12" s="1"/>
  <c r="E78" i="12"/>
  <c r="F78" i="12"/>
  <c r="G78" i="12"/>
  <c r="H78" i="12"/>
  <c r="I78" i="12"/>
  <c r="J78" i="12"/>
  <c r="E79" i="12"/>
  <c r="I32" i="24" s="1"/>
  <c r="F79" i="12"/>
  <c r="L32" i="24" s="1"/>
  <c r="G79" i="12"/>
  <c r="O32" i="24" s="1"/>
  <c r="H79" i="12"/>
  <c r="R32" i="24" s="1"/>
  <c r="I79" i="12"/>
  <c r="U32" i="24" s="1"/>
  <c r="J79" i="12"/>
  <c r="X32" i="24" s="1"/>
  <c r="E77" i="12"/>
  <c r="F77" i="12"/>
  <c r="G77" i="12"/>
  <c r="H77" i="12"/>
  <c r="I77" i="12"/>
  <c r="J77" i="12"/>
  <c r="DR35" i="12"/>
  <c r="DR39" i="12"/>
  <c r="DR14" i="12"/>
  <c r="DR24" i="12"/>
  <c r="DR25" i="12" s="1"/>
  <c r="DQ36" i="12"/>
  <c r="DQ40" i="12"/>
  <c r="Y27" i="24" l="1"/>
  <c r="V27" i="24"/>
  <c r="S27" i="24"/>
  <c r="F24" i="24"/>
  <c r="G17" i="24" s="1"/>
  <c r="DR21" i="12"/>
  <c r="C68" i="12"/>
  <c r="C30" i="24" s="1"/>
  <c r="D30" i="24" s="1"/>
  <c r="D68" i="12"/>
  <c r="F30" i="24" s="1"/>
  <c r="G30" i="24" s="1"/>
  <c r="E68" i="12"/>
  <c r="I30" i="24" s="1"/>
  <c r="J30" i="24" s="1"/>
  <c r="F68" i="12"/>
  <c r="L30" i="24" s="1"/>
  <c r="M30" i="24" s="1"/>
  <c r="G68" i="12"/>
  <c r="O30" i="24" s="1"/>
  <c r="P30" i="24" s="1"/>
  <c r="H68" i="12"/>
  <c r="R30" i="24" s="1"/>
  <c r="S30" i="24" s="1"/>
  <c r="I68" i="12"/>
  <c r="U30" i="24" s="1"/>
  <c r="V30" i="24" s="1"/>
  <c r="J68" i="12"/>
  <c r="X30" i="24" s="1"/>
  <c r="Y30" i="24" s="1"/>
  <c r="P27" i="24"/>
  <c r="C87" i="12"/>
  <c r="D87" i="12"/>
  <c r="E87" i="12"/>
  <c r="F87" i="12"/>
  <c r="G87" i="12"/>
  <c r="H87" i="12"/>
  <c r="I87" i="12"/>
  <c r="J87" i="12"/>
  <c r="M27" i="24"/>
  <c r="J27" i="24"/>
  <c r="C72" i="12"/>
  <c r="C31" i="24" s="1"/>
  <c r="D31" i="24" s="1"/>
  <c r="D72" i="12"/>
  <c r="F31" i="24" s="1"/>
  <c r="G31" i="24" s="1"/>
  <c r="E72" i="12"/>
  <c r="I31" i="24" s="1"/>
  <c r="J31" i="24" s="1"/>
  <c r="F72" i="12"/>
  <c r="L31" i="24" s="1"/>
  <c r="M31" i="24" s="1"/>
  <c r="G72" i="12"/>
  <c r="O31" i="24" s="1"/>
  <c r="P31" i="24" s="1"/>
  <c r="H72" i="12"/>
  <c r="R31" i="24" s="1"/>
  <c r="S31" i="24" s="1"/>
  <c r="I72" i="12"/>
  <c r="U31" i="24" s="1"/>
  <c r="V31" i="24" s="1"/>
  <c r="J72" i="12"/>
  <c r="X31" i="24" s="1"/>
  <c r="Y31" i="24" s="1"/>
  <c r="C62" i="12"/>
  <c r="D62" i="12"/>
  <c r="E62" i="12"/>
  <c r="F62" i="12"/>
  <c r="G62" i="12"/>
  <c r="H62" i="12"/>
  <c r="I62" i="12"/>
  <c r="J62" i="12"/>
  <c r="C83" i="12"/>
  <c r="C29" i="24" s="1"/>
  <c r="D29" i="24" s="1"/>
  <c r="D83" i="12"/>
  <c r="F29" i="24" s="1"/>
  <c r="G29" i="24" s="1"/>
  <c r="E83" i="12"/>
  <c r="I29" i="24" s="1"/>
  <c r="J29" i="24" s="1"/>
  <c r="F83" i="12"/>
  <c r="L29" i="24" s="1"/>
  <c r="M29" i="24" s="1"/>
  <c r="G83" i="12"/>
  <c r="O29" i="24" s="1"/>
  <c r="P29" i="24" s="1"/>
  <c r="H83" i="12"/>
  <c r="R29" i="24" s="1"/>
  <c r="S29" i="24" s="1"/>
  <c r="I83" i="12"/>
  <c r="U29" i="24" s="1"/>
  <c r="V29" i="24" s="1"/>
  <c r="J83" i="12"/>
  <c r="X29" i="24" s="1"/>
  <c r="Y29" i="24" s="1"/>
  <c r="G27" i="24"/>
  <c r="C73" i="12"/>
  <c r="D73" i="12"/>
  <c r="E73" i="12"/>
  <c r="F73" i="12"/>
  <c r="G73" i="12"/>
  <c r="H73" i="12"/>
  <c r="I73" i="12"/>
  <c r="J73" i="12"/>
  <c r="C24" i="24"/>
  <c r="D19" i="24" s="1"/>
  <c r="D27" i="24"/>
  <c r="R21" i="24"/>
  <c r="S32" i="24" s="1"/>
  <c r="I21" i="24"/>
  <c r="J32" i="24" s="1"/>
  <c r="L21" i="24"/>
  <c r="M32" i="24" s="1"/>
  <c r="O21" i="24"/>
  <c r="P32" i="24" s="1"/>
  <c r="U21" i="24"/>
  <c r="X21" i="24"/>
  <c r="E80" i="12"/>
  <c r="F80" i="12"/>
  <c r="G80" i="12"/>
  <c r="H80" i="12"/>
  <c r="I80" i="12"/>
  <c r="J80" i="12"/>
  <c r="DR17" i="12"/>
  <c r="DR40" i="12"/>
  <c r="DR36" i="12"/>
  <c r="DQ42" i="12"/>
  <c r="G42" i="24" l="1"/>
  <c r="G18" i="24"/>
  <c r="G40" i="24"/>
  <c r="G41" i="24"/>
  <c r="D42" i="24"/>
  <c r="D18" i="24"/>
  <c r="D17" i="24"/>
  <c r="C69" i="12"/>
  <c r="D69" i="12"/>
  <c r="E69" i="12"/>
  <c r="F69" i="12"/>
  <c r="G69" i="12"/>
  <c r="H69" i="12"/>
  <c r="I69" i="12"/>
  <c r="J69" i="12"/>
  <c r="D41" i="24"/>
  <c r="C84" i="12"/>
  <c r="D84" i="12"/>
  <c r="E84" i="12"/>
  <c r="F84" i="12"/>
  <c r="G84" i="12"/>
  <c r="H84" i="12"/>
  <c r="I84" i="12"/>
  <c r="J84" i="12"/>
  <c r="C49" i="24"/>
  <c r="D54" i="24"/>
  <c r="D45" i="24"/>
  <c r="D23" i="24"/>
  <c r="D57" i="24"/>
  <c r="D44" i="24"/>
  <c r="D59" i="24"/>
  <c r="D43" i="24"/>
  <c r="D58" i="24"/>
  <c r="D56" i="24"/>
  <c r="D24" i="24"/>
  <c r="C60" i="24"/>
  <c r="C61" i="24" s="1"/>
  <c r="D61" i="24" s="1"/>
  <c r="C64" i="24"/>
  <c r="D22" i="24"/>
  <c r="D21" i="24"/>
  <c r="D20" i="24"/>
  <c r="C88" i="12"/>
  <c r="D88" i="12"/>
  <c r="E88" i="12"/>
  <c r="F88" i="12"/>
  <c r="G88" i="12"/>
  <c r="H88" i="12"/>
  <c r="I88" i="12"/>
  <c r="J88" i="12"/>
  <c r="G56" i="24"/>
  <c r="G23" i="24"/>
  <c r="G57" i="24"/>
  <c r="G24" i="24"/>
  <c r="G59" i="24"/>
  <c r="G54" i="24"/>
  <c r="G44" i="24"/>
  <c r="G43" i="24"/>
  <c r="G58" i="24"/>
  <c r="G45" i="24"/>
  <c r="F49" i="24"/>
  <c r="G22" i="24"/>
  <c r="F64" i="24"/>
  <c r="F60" i="24"/>
  <c r="F61" i="24" s="1"/>
  <c r="G61" i="24" s="1"/>
  <c r="G21" i="24"/>
  <c r="G19" i="24"/>
  <c r="D40" i="24"/>
  <c r="G20" i="24"/>
  <c r="R24" i="24"/>
  <c r="S21" i="24" s="1"/>
  <c r="L24" i="24"/>
  <c r="M21" i="24" s="1"/>
  <c r="O24" i="24"/>
  <c r="P21" i="24" s="1"/>
  <c r="I24" i="24"/>
  <c r="J21" i="24" s="1"/>
  <c r="V32" i="24"/>
  <c r="Y32" i="24"/>
  <c r="U24" i="24"/>
  <c r="V21" i="24" s="1"/>
  <c r="X24" i="24"/>
  <c r="DR42" i="12"/>
  <c r="DR44" i="12" s="1"/>
  <c r="DR48" i="12" s="1"/>
  <c r="DR50" i="12" s="1"/>
  <c r="DQ44" i="12"/>
  <c r="S45" i="24" l="1"/>
  <c r="S41" i="24"/>
  <c r="S40" i="24"/>
  <c r="I64" i="24"/>
  <c r="S59" i="24"/>
  <c r="S23" i="24"/>
  <c r="S54" i="24"/>
  <c r="S42" i="24"/>
  <c r="R49" i="24"/>
  <c r="S18" i="24"/>
  <c r="S22" i="24"/>
  <c r="S56" i="24"/>
  <c r="R64" i="24"/>
  <c r="S17" i="24"/>
  <c r="S24" i="24"/>
  <c r="S20" i="24"/>
  <c r="S57" i="24"/>
  <c r="S44" i="24"/>
  <c r="S43" i="24"/>
  <c r="R60" i="24"/>
  <c r="R61" i="24" s="1"/>
  <c r="S61" i="24" s="1"/>
  <c r="S58" i="24"/>
  <c r="S19" i="24"/>
  <c r="M19" i="24"/>
  <c r="M57" i="24"/>
  <c r="M59" i="24"/>
  <c r="L49" i="24"/>
  <c r="M17" i="24"/>
  <c r="M54" i="24"/>
  <c r="M20" i="24"/>
  <c r="J17" i="24"/>
  <c r="P56" i="24"/>
  <c r="O60" i="24"/>
  <c r="O61" i="24" s="1"/>
  <c r="P61" i="24" s="1"/>
  <c r="J23" i="24"/>
  <c r="J57" i="24"/>
  <c r="J40" i="24"/>
  <c r="J20" i="24"/>
  <c r="M40" i="24"/>
  <c r="M24" i="24"/>
  <c r="M41" i="24"/>
  <c r="M44" i="24"/>
  <c r="M56" i="24"/>
  <c r="M45" i="24"/>
  <c r="L60" i="24"/>
  <c r="L61" i="24" s="1"/>
  <c r="M61" i="24" s="1"/>
  <c r="J19" i="24"/>
  <c r="J18" i="24"/>
  <c r="J59" i="24"/>
  <c r="J42" i="24"/>
  <c r="J43" i="24"/>
  <c r="I49" i="24"/>
  <c r="J44" i="24"/>
  <c r="J24" i="24"/>
  <c r="J58" i="24"/>
  <c r="J22" i="24"/>
  <c r="J56" i="24"/>
  <c r="V54" i="24"/>
  <c r="I60" i="24"/>
  <c r="I61" i="24" s="1"/>
  <c r="J61" i="24" s="1"/>
  <c r="J54" i="24"/>
  <c r="J45" i="24"/>
  <c r="J41" i="24"/>
  <c r="P57" i="24"/>
  <c r="P42" i="24"/>
  <c r="P54" i="24"/>
  <c r="P40" i="24"/>
  <c r="M23" i="24"/>
  <c r="M22" i="24"/>
  <c r="M18" i="24"/>
  <c r="L64" i="24"/>
  <c r="M43" i="24"/>
  <c r="M58" i="24"/>
  <c r="M42" i="24"/>
  <c r="P41" i="24"/>
  <c r="O49" i="24"/>
  <c r="P18" i="24"/>
  <c r="P17" i="24"/>
  <c r="P23" i="24"/>
  <c r="P44" i="24"/>
  <c r="P59" i="24"/>
  <c r="P20" i="24"/>
  <c r="O64" i="24"/>
  <c r="P22" i="24"/>
  <c r="P43" i="24"/>
  <c r="P24" i="24"/>
  <c r="P58" i="24"/>
  <c r="P45" i="24"/>
  <c r="P19" i="24"/>
  <c r="V44" i="24"/>
  <c r="V57" i="24"/>
  <c r="U64" i="24"/>
  <c r="V19" i="24"/>
  <c r="V58" i="24"/>
  <c r="V17" i="24"/>
  <c r="V45" i="24"/>
  <c r="V23" i="24"/>
  <c r="V42" i="24"/>
  <c r="V59" i="24"/>
  <c r="V56" i="24"/>
  <c r="V18" i="24"/>
  <c r="Y19" i="24"/>
  <c r="V40" i="24"/>
  <c r="V24" i="24"/>
  <c r="V22" i="24"/>
  <c r="X64" i="24"/>
  <c r="U60" i="24"/>
  <c r="U61" i="24" s="1"/>
  <c r="V61" i="24" s="1"/>
  <c r="V20" i="24"/>
  <c r="V43" i="24"/>
  <c r="Y45" i="24"/>
  <c r="Y40" i="24"/>
  <c r="Y56" i="24"/>
  <c r="Y17" i="24"/>
  <c r="Y20" i="24"/>
  <c r="X49" i="24"/>
  <c r="Y44" i="24"/>
  <c r="Y54" i="24"/>
  <c r="Y23" i="24"/>
  <c r="Y22" i="24"/>
  <c r="X60" i="24"/>
  <c r="X61" i="24" s="1"/>
  <c r="Y61" i="24" s="1"/>
  <c r="Y21" i="24"/>
  <c r="Y24" i="24"/>
  <c r="Y58" i="24"/>
  <c r="Y42" i="24"/>
  <c r="Y43" i="24"/>
  <c r="Y41" i="24"/>
  <c r="Y59" i="24"/>
  <c r="Y57" i="24"/>
  <c r="Y18" i="24"/>
  <c r="V41" i="24"/>
  <c r="U49" i="24"/>
  <c r="DQ48" i="12"/>
  <c r="DQ50" i="12" l="1"/>
  <c r="E204" i="8" l="1"/>
  <c r="E226" i="8" l="1"/>
  <c r="E232" i="8" s="1"/>
  <c r="E228" i="8" l="1"/>
  <c r="E230" i="8" s="1"/>
  <c r="E258" i="8"/>
  <c r="E259" i="8" l="1"/>
  <c r="R49" i="8" l="1"/>
  <c r="F248" i="8" l="1"/>
  <c r="F55" i="9" l="1"/>
  <c r="F27" i="9"/>
  <c r="F30" i="9" l="1"/>
  <c r="F56" i="9"/>
  <c r="AC2" i="8" l="1"/>
  <c r="AC1" i="8" s="1"/>
  <c r="F57" i="9"/>
  <c r="F206" i="8" l="1"/>
  <c r="F221" i="8" l="1"/>
  <c r="F224" i="8" s="1"/>
  <c r="F257" i="8"/>
  <c r="F225" i="8" l="1"/>
  <c r="F223" i="8"/>
  <c r="G33" i="9"/>
  <c r="F213" i="8" l="1"/>
  <c r="G43" i="9"/>
  <c r="G45" i="9" l="1"/>
  <c r="H20" i="10" l="1"/>
  <c r="I20" i="10"/>
  <c r="J20" i="10"/>
  <c r="K20" i="10"/>
  <c r="L20" i="10"/>
  <c r="M20" i="10"/>
  <c r="N20" i="10"/>
  <c r="O20" i="10"/>
  <c r="P20" i="10"/>
  <c r="Q20" i="10"/>
  <c r="R20" i="10"/>
  <c r="T58" i="10" l="1"/>
  <c r="Q48" i="11"/>
  <c r="T16" i="10"/>
  <c r="C16" i="10" s="1"/>
  <c r="T20" i="10"/>
  <c r="P21" i="10"/>
  <c r="H21" i="10"/>
  <c r="O21" i="10"/>
  <c r="M21" i="10"/>
  <c r="L21" i="10"/>
  <c r="I17" i="10"/>
  <c r="I57" i="10" s="1"/>
  <c r="K21" i="10"/>
  <c r="H17" i="10"/>
  <c r="H57" i="10" s="1"/>
  <c r="N21" i="10"/>
  <c r="R21" i="10"/>
  <c r="J21" i="10"/>
  <c r="Q21" i="10"/>
  <c r="I21" i="10"/>
  <c r="Q49" i="11" l="1"/>
  <c r="K22" i="10"/>
  <c r="T17" i="10"/>
  <c r="C17" i="10" s="1"/>
  <c r="L60" i="10"/>
  <c r="L22" i="10"/>
  <c r="Q22" i="10"/>
  <c r="Q60" i="10"/>
  <c r="N60" i="10"/>
  <c r="T21" i="10"/>
  <c r="N22" i="10"/>
  <c r="I22" i="10"/>
  <c r="I60" i="10"/>
  <c r="M60" i="10"/>
  <c r="M22" i="10"/>
  <c r="P22" i="10"/>
  <c r="P60" i="10"/>
  <c r="J22" i="10"/>
  <c r="H22" i="10"/>
  <c r="H60" i="10"/>
  <c r="R60" i="10"/>
  <c r="R22" i="10"/>
  <c r="T19" i="10"/>
  <c r="C19" i="10" s="1"/>
  <c r="T57" i="10"/>
  <c r="O22" i="10"/>
  <c r="AM15" i="12" l="1"/>
  <c r="AN15" i="12"/>
  <c r="AP15" i="12"/>
  <c r="AO15" i="12"/>
  <c r="AQ15" i="12"/>
  <c r="AR15" i="12"/>
  <c r="AS15" i="12"/>
  <c r="AT15" i="12"/>
  <c r="AU15" i="12"/>
  <c r="AV15" i="12"/>
  <c r="AW15" i="12"/>
  <c r="AX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AA15" i="12"/>
  <c r="AB15" i="12"/>
  <c r="AC15" i="12"/>
  <c r="AD15" i="12"/>
  <c r="AE15" i="12"/>
  <c r="AF15" i="12"/>
  <c r="AH15" i="12"/>
  <c r="AG15" i="12"/>
  <c r="AI15" i="12"/>
  <c r="AJ15" i="12"/>
  <c r="AK15" i="12"/>
  <c r="AL15" i="12"/>
  <c r="CI15" i="12"/>
  <c r="CJ15" i="12"/>
  <c r="CK15" i="12"/>
  <c r="CL15" i="12"/>
  <c r="CN15" i="12"/>
  <c r="CM15" i="12"/>
  <c r="CO15" i="12"/>
  <c r="CP15" i="12"/>
  <c r="CQ15" i="12"/>
  <c r="CR15" i="12"/>
  <c r="CS15" i="12"/>
  <c r="CT15" i="12"/>
  <c r="Q51" i="11"/>
  <c r="AY15" i="12"/>
  <c r="AZ15" i="12"/>
  <c r="BA15" i="12"/>
  <c r="BB15" i="12"/>
  <c r="BC15" i="12"/>
  <c r="BE15" i="12"/>
  <c r="BD15" i="12"/>
  <c r="BF15" i="12"/>
  <c r="BG15" i="12"/>
  <c r="BH15" i="12"/>
  <c r="BI15" i="12"/>
  <c r="BJ15" i="12"/>
  <c r="BW15" i="12"/>
  <c r="BX15" i="12"/>
  <c r="BY15" i="12"/>
  <c r="BZ15" i="12"/>
  <c r="CB15" i="12"/>
  <c r="CA15" i="12"/>
  <c r="CC15" i="12"/>
  <c r="CE15" i="12"/>
  <c r="CD15" i="12"/>
  <c r="CF15" i="12"/>
  <c r="CG15" i="12"/>
  <c r="CH15" i="12"/>
  <c r="BK15" i="12"/>
  <c r="BL15" i="12"/>
  <c r="BM15" i="12"/>
  <c r="BN15" i="12"/>
  <c r="BO15" i="12"/>
  <c r="BP15" i="12"/>
  <c r="BQ15" i="12"/>
  <c r="BR15" i="12"/>
  <c r="BS15" i="12"/>
  <c r="BT15" i="12"/>
  <c r="BV15" i="12"/>
  <c r="BU15" i="12"/>
  <c r="K60" i="10"/>
  <c r="T18" i="10"/>
  <c r="C18" i="10" s="1"/>
  <c r="C22" i="10" s="1"/>
  <c r="M165" i="10"/>
  <c r="M263" i="10"/>
  <c r="H165" i="10"/>
  <c r="H263" i="10"/>
  <c r="L263" i="10"/>
  <c r="L165" i="10"/>
  <c r="Q165" i="10"/>
  <c r="Q263" i="10"/>
  <c r="I165" i="10"/>
  <c r="I263" i="10"/>
  <c r="N263" i="10"/>
  <c r="N165" i="10"/>
  <c r="T56" i="10"/>
  <c r="J60" i="10"/>
  <c r="P165" i="10"/>
  <c r="P263" i="10"/>
  <c r="O60" i="10"/>
  <c r="R263" i="10"/>
  <c r="R165" i="10"/>
  <c r="E63" i="12" l="1"/>
  <c r="I63" i="12"/>
  <c r="D63" i="12"/>
  <c r="G63" i="12"/>
  <c r="J63" i="12"/>
  <c r="H63" i="12"/>
  <c r="C63" i="12"/>
  <c r="F63" i="12"/>
  <c r="AY16" i="12"/>
  <c r="AZ16" i="12"/>
  <c r="AZ17" i="12" s="1"/>
  <c r="AZ42" i="12" s="1"/>
  <c r="AZ44" i="12" s="1"/>
  <c r="AZ48" i="12" s="1"/>
  <c r="AZ50" i="12" s="1"/>
  <c r="BA16" i="12"/>
  <c r="BA17" i="12" s="1"/>
  <c r="BA42" i="12" s="1"/>
  <c r="BA44" i="12" s="1"/>
  <c r="BA48" i="12" s="1"/>
  <c r="BA50" i="12" s="1"/>
  <c r="BB16" i="12"/>
  <c r="BB17" i="12" s="1"/>
  <c r="BB42" i="12" s="1"/>
  <c r="BB44" i="12" s="1"/>
  <c r="BB48" i="12" s="1"/>
  <c r="BB50" i="12" s="1"/>
  <c r="BC16" i="12"/>
  <c r="BC17" i="12" s="1"/>
  <c r="BC42" i="12" s="1"/>
  <c r="BE16" i="12"/>
  <c r="BE17" i="12" s="1"/>
  <c r="BE42" i="12" s="1"/>
  <c r="BD16" i="12"/>
  <c r="BD17" i="12" s="1"/>
  <c r="BD42" i="12" s="1"/>
  <c r="BF16" i="12"/>
  <c r="BF17" i="12" s="1"/>
  <c r="BF42" i="12" s="1"/>
  <c r="BF44" i="12" s="1"/>
  <c r="BF48" i="12" s="1"/>
  <c r="BF50" i="12" s="1"/>
  <c r="BG16" i="12"/>
  <c r="BG17" i="12" s="1"/>
  <c r="BG42" i="12" s="1"/>
  <c r="BH16" i="12"/>
  <c r="BH17" i="12" s="1"/>
  <c r="BH42" i="12" s="1"/>
  <c r="BH44" i="12" s="1"/>
  <c r="BH48" i="12" s="1"/>
  <c r="BH50" i="12" s="1"/>
  <c r="BI16" i="12"/>
  <c r="BI17" i="12" s="1"/>
  <c r="BI42" i="12" s="1"/>
  <c r="BJ16" i="12"/>
  <c r="BJ17" i="12" s="1"/>
  <c r="BJ42" i="12" s="1"/>
  <c r="AM16" i="12"/>
  <c r="AN16" i="12"/>
  <c r="AN17" i="12" s="1"/>
  <c r="AN42" i="12" s="1"/>
  <c r="AN44" i="12" s="1"/>
  <c r="AN48" i="12" s="1"/>
  <c r="AN50" i="12" s="1"/>
  <c r="AO16" i="12"/>
  <c r="AO17" i="12" s="1"/>
  <c r="AO42" i="12" s="1"/>
  <c r="AO44" i="12" s="1"/>
  <c r="AO48" i="12" s="1"/>
  <c r="AO50" i="12" s="1"/>
  <c r="AP16" i="12"/>
  <c r="AP17" i="12" s="1"/>
  <c r="AP42" i="12" s="1"/>
  <c r="AQ16" i="12"/>
  <c r="AQ17" i="12" s="1"/>
  <c r="AQ42" i="12" s="1"/>
  <c r="AQ44" i="12" s="1"/>
  <c r="AQ48" i="12" s="1"/>
  <c r="AQ50" i="12" s="1"/>
  <c r="AR16" i="12"/>
  <c r="AR17" i="12" s="1"/>
  <c r="AR42" i="12" s="1"/>
  <c r="AR44" i="12" s="1"/>
  <c r="AR48" i="12" s="1"/>
  <c r="AR50" i="12" s="1"/>
  <c r="AS16" i="12"/>
  <c r="AS17" i="12" s="1"/>
  <c r="AS42" i="12" s="1"/>
  <c r="AT16" i="12"/>
  <c r="AT17" i="12" s="1"/>
  <c r="AT42" i="12" s="1"/>
  <c r="AT44" i="12" s="1"/>
  <c r="AT48" i="12" s="1"/>
  <c r="AT50" i="12" s="1"/>
  <c r="AU16" i="12"/>
  <c r="AU17" i="12" s="1"/>
  <c r="AU42" i="12" s="1"/>
  <c r="AV16" i="12"/>
  <c r="AV17" i="12" s="1"/>
  <c r="AV42" i="12" s="1"/>
  <c r="AV44" i="12" s="1"/>
  <c r="AV48" i="12" s="1"/>
  <c r="AV50" i="12" s="1"/>
  <c r="AW16" i="12"/>
  <c r="AW17" i="12" s="1"/>
  <c r="AW42" i="12" s="1"/>
  <c r="AW44" i="12" s="1"/>
  <c r="AW48" i="12" s="1"/>
  <c r="AW50" i="12" s="1"/>
  <c r="AX16" i="12"/>
  <c r="AX17" i="12" s="1"/>
  <c r="AX42" i="12" s="1"/>
  <c r="AX44" i="12" s="1"/>
  <c r="AX48" i="12" s="1"/>
  <c r="AX50" i="12" s="1"/>
  <c r="BK16" i="12"/>
  <c r="BL16" i="12"/>
  <c r="BL17" i="12" s="1"/>
  <c r="BL42" i="12" s="1"/>
  <c r="BL44" i="12" s="1"/>
  <c r="BL48" i="12" s="1"/>
  <c r="BL50" i="12" s="1"/>
  <c r="BM16" i="12"/>
  <c r="BM17" i="12" s="1"/>
  <c r="BM42" i="12" s="1"/>
  <c r="BM44" i="12" s="1"/>
  <c r="BM48" i="12" s="1"/>
  <c r="BM50" i="12" s="1"/>
  <c r="BN16" i="12"/>
  <c r="BN17" i="12" s="1"/>
  <c r="BN42" i="12" s="1"/>
  <c r="BN44" i="12" s="1"/>
  <c r="BN48" i="12" s="1"/>
  <c r="BN50" i="12" s="1"/>
  <c r="BO16" i="12"/>
  <c r="BO17" i="12" s="1"/>
  <c r="BO42" i="12" s="1"/>
  <c r="BQ16" i="12"/>
  <c r="BQ17" i="12" s="1"/>
  <c r="BQ42" i="12" s="1"/>
  <c r="BP16" i="12"/>
  <c r="BP17" i="12" s="1"/>
  <c r="BP42" i="12" s="1"/>
  <c r="BP44" i="12" s="1"/>
  <c r="BP48" i="12" s="1"/>
  <c r="BP50" i="12" s="1"/>
  <c r="BR16" i="12"/>
  <c r="BR17" i="12" s="1"/>
  <c r="BR42" i="12" s="1"/>
  <c r="BS16" i="12"/>
  <c r="BS17" i="12" s="1"/>
  <c r="BS42" i="12" s="1"/>
  <c r="BS44" i="12" s="1"/>
  <c r="BS48" i="12" s="1"/>
  <c r="BS50" i="12" s="1"/>
  <c r="BT16" i="12"/>
  <c r="BT17" i="12" s="1"/>
  <c r="BT42" i="12" s="1"/>
  <c r="BT44" i="12" s="1"/>
  <c r="BT48" i="12" s="1"/>
  <c r="BT50" i="12" s="1"/>
  <c r="BV16" i="12"/>
  <c r="BV17" i="12" s="1"/>
  <c r="BV42" i="12" s="1"/>
  <c r="BU16" i="12"/>
  <c r="BU17" i="12" s="1"/>
  <c r="BU42" i="12" s="1"/>
  <c r="BU44" i="12" s="1"/>
  <c r="BU48" i="12" s="1"/>
  <c r="BU50" i="12" s="1"/>
  <c r="AA16" i="12"/>
  <c r="AC16" i="12"/>
  <c r="AC17" i="12" s="1"/>
  <c r="AC42" i="12" s="1"/>
  <c r="AB16" i="12"/>
  <c r="AB17" i="12" s="1"/>
  <c r="AB42" i="12" s="1"/>
  <c r="AB44" i="12" s="1"/>
  <c r="AB48" i="12" s="1"/>
  <c r="AB50" i="12" s="1"/>
  <c r="AD16" i="12"/>
  <c r="AD17" i="12" s="1"/>
  <c r="AD42" i="12" s="1"/>
  <c r="AE16" i="12"/>
  <c r="AE17" i="12" s="1"/>
  <c r="AE42" i="12" s="1"/>
  <c r="AF16" i="12"/>
  <c r="AF17" i="12" s="1"/>
  <c r="AF42" i="12" s="1"/>
  <c r="AG16" i="12"/>
  <c r="AG17" i="12" s="1"/>
  <c r="AG42" i="12" s="1"/>
  <c r="AG44" i="12" s="1"/>
  <c r="AG48" i="12" s="1"/>
  <c r="AG50" i="12" s="1"/>
  <c r="AH16" i="12"/>
  <c r="AH17" i="12" s="1"/>
  <c r="AH42" i="12" s="1"/>
  <c r="AH44" i="12" s="1"/>
  <c r="AH48" i="12" s="1"/>
  <c r="AH50" i="12" s="1"/>
  <c r="AI16" i="12"/>
  <c r="AI17" i="12" s="1"/>
  <c r="AI42" i="12" s="1"/>
  <c r="AJ16" i="12"/>
  <c r="AJ17" i="12" s="1"/>
  <c r="AJ42" i="12" s="1"/>
  <c r="AK16" i="12"/>
  <c r="AK17" i="12" s="1"/>
  <c r="AK42" i="12" s="1"/>
  <c r="AK44" i="12" s="1"/>
  <c r="AK48" i="12" s="1"/>
  <c r="AK50" i="12" s="1"/>
  <c r="AL16" i="12"/>
  <c r="AL17" i="12" s="1"/>
  <c r="AL42" i="12" s="1"/>
  <c r="O16" i="12"/>
  <c r="P16" i="12"/>
  <c r="P17" i="12" s="1"/>
  <c r="P42" i="12" s="1"/>
  <c r="P44" i="12" s="1"/>
  <c r="P48" i="12" s="1"/>
  <c r="P50" i="12" s="1"/>
  <c r="Q16" i="12"/>
  <c r="Q17" i="12" s="1"/>
  <c r="Q42" i="12" s="1"/>
  <c r="R16" i="12"/>
  <c r="R17" i="12" s="1"/>
  <c r="R42" i="12" s="1"/>
  <c r="S16" i="12"/>
  <c r="T16" i="12"/>
  <c r="T17" i="12" s="1"/>
  <c r="T42" i="12" s="1"/>
  <c r="T44" i="12" s="1"/>
  <c r="T48" i="12" s="1"/>
  <c r="T50" i="12" s="1"/>
  <c r="U16" i="12"/>
  <c r="U17" i="12" s="1"/>
  <c r="U42" i="12" s="1"/>
  <c r="V16" i="12"/>
  <c r="V17" i="12" s="1"/>
  <c r="V42" i="12" s="1"/>
  <c r="V44" i="12" s="1"/>
  <c r="V48" i="12" s="1"/>
  <c r="V50" i="12" s="1"/>
  <c r="W16" i="12"/>
  <c r="W17" i="12" s="1"/>
  <c r="W42" i="12" s="1"/>
  <c r="W44" i="12" s="1"/>
  <c r="W48" i="12" s="1"/>
  <c r="W50" i="12" s="1"/>
  <c r="X16" i="12"/>
  <c r="X17" i="12" s="1"/>
  <c r="X42" i="12" s="1"/>
  <c r="Z16" i="12"/>
  <c r="Z17" i="12" s="1"/>
  <c r="Z42" i="12" s="1"/>
  <c r="Z44" i="12" s="1"/>
  <c r="Z48" i="12" s="1"/>
  <c r="Z50" i="12" s="1"/>
  <c r="Y16" i="12"/>
  <c r="Y17" i="12" s="1"/>
  <c r="Y42" i="12" s="1"/>
  <c r="Y44" i="12" s="1"/>
  <c r="Y48" i="12" s="1"/>
  <c r="Y50" i="12" s="1"/>
  <c r="C16" i="12"/>
  <c r="D16" i="12"/>
  <c r="D17" i="12" s="1"/>
  <c r="E16" i="12"/>
  <c r="E17" i="12" s="1"/>
  <c r="E42" i="12" s="1"/>
  <c r="F16" i="12"/>
  <c r="F17" i="12" s="1"/>
  <c r="F42" i="12" s="1"/>
  <c r="G16" i="12"/>
  <c r="G17" i="12" s="1"/>
  <c r="G42" i="12" s="1"/>
  <c r="H16" i="12"/>
  <c r="H17" i="12" s="1"/>
  <c r="H42" i="12" s="1"/>
  <c r="H44" i="12" s="1"/>
  <c r="H48" i="12" s="1"/>
  <c r="H50" i="12" s="1"/>
  <c r="I16" i="12"/>
  <c r="I17" i="12" s="1"/>
  <c r="I42" i="12" s="1"/>
  <c r="I44" i="12" s="1"/>
  <c r="I48" i="12" s="1"/>
  <c r="I50" i="12" s="1"/>
  <c r="J16" i="12"/>
  <c r="J17" i="12" s="1"/>
  <c r="J42" i="12" s="1"/>
  <c r="J44" i="12" s="1"/>
  <c r="J48" i="12" s="1"/>
  <c r="J50" i="12" s="1"/>
  <c r="K16" i="12"/>
  <c r="K17" i="12" s="1"/>
  <c r="K42" i="12" s="1"/>
  <c r="L16" i="12"/>
  <c r="L17" i="12" s="1"/>
  <c r="L42" i="12" s="1"/>
  <c r="N16" i="12"/>
  <c r="N17" i="12" s="1"/>
  <c r="N42" i="12" s="1"/>
  <c r="N44" i="12" s="1"/>
  <c r="N48" i="12" s="1"/>
  <c r="N50" i="12" s="1"/>
  <c r="M16" i="12"/>
  <c r="M17" i="12" s="1"/>
  <c r="M42" i="12" s="1"/>
  <c r="CI16" i="12"/>
  <c r="CK16" i="12"/>
  <c r="CK17" i="12" s="1"/>
  <c r="CK42" i="12" s="1"/>
  <c r="CK44" i="12" s="1"/>
  <c r="CK48" i="12" s="1"/>
  <c r="CK50" i="12" s="1"/>
  <c r="CJ16" i="12"/>
  <c r="CJ17" i="12" s="1"/>
  <c r="CJ42" i="12" s="1"/>
  <c r="CJ44" i="12" s="1"/>
  <c r="CJ48" i="12" s="1"/>
  <c r="CJ50" i="12" s="1"/>
  <c r="CL16" i="12"/>
  <c r="CL17" i="12" s="1"/>
  <c r="CL42" i="12" s="1"/>
  <c r="CM16" i="12"/>
  <c r="CM17" i="12" s="1"/>
  <c r="CM42" i="12" s="1"/>
  <c r="CM44" i="12" s="1"/>
  <c r="CM48" i="12" s="1"/>
  <c r="CM50" i="12" s="1"/>
  <c r="CN16" i="12"/>
  <c r="CN17" i="12" s="1"/>
  <c r="CN42" i="12" s="1"/>
  <c r="CO16" i="12"/>
  <c r="CO17" i="12" s="1"/>
  <c r="CO42" i="12" s="1"/>
  <c r="CO44" i="12" s="1"/>
  <c r="CO48" i="12" s="1"/>
  <c r="CO50" i="12" s="1"/>
  <c r="CQ16" i="12"/>
  <c r="CQ17" i="12" s="1"/>
  <c r="CQ42" i="12" s="1"/>
  <c r="CQ44" i="12" s="1"/>
  <c r="CQ48" i="12" s="1"/>
  <c r="CQ50" i="12" s="1"/>
  <c r="CP16" i="12"/>
  <c r="CP17" i="12" s="1"/>
  <c r="CP42" i="12" s="1"/>
  <c r="CR16" i="12"/>
  <c r="CR17" i="12" s="1"/>
  <c r="CR42" i="12" s="1"/>
  <c r="CR44" i="12" s="1"/>
  <c r="CR48" i="12" s="1"/>
  <c r="CR50" i="12" s="1"/>
  <c r="CS16" i="12"/>
  <c r="CS17" i="12" s="1"/>
  <c r="CS42" i="12" s="1"/>
  <c r="CT16" i="12"/>
  <c r="CT17" i="12" s="1"/>
  <c r="CT42" i="12" s="1"/>
  <c r="CT44" i="12" s="1"/>
  <c r="CT48" i="12" s="1"/>
  <c r="CT50" i="12" s="1"/>
  <c r="BW16" i="12"/>
  <c r="BX16" i="12"/>
  <c r="BX17" i="12" s="1"/>
  <c r="BX42" i="12" s="1"/>
  <c r="BX44" i="12" s="1"/>
  <c r="BX48" i="12" s="1"/>
  <c r="BX50" i="12" s="1"/>
  <c r="BY16" i="12"/>
  <c r="BY17" i="12" s="1"/>
  <c r="BY42" i="12" s="1"/>
  <c r="BY44" i="12" s="1"/>
  <c r="BY48" i="12" s="1"/>
  <c r="BY50" i="12" s="1"/>
  <c r="BZ16" i="12"/>
  <c r="BZ17" i="12" s="1"/>
  <c r="BZ42" i="12" s="1"/>
  <c r="CB16" i="12"/>
  <c r="CB17" i="12" s="1"/>
  <c r="CB42" i="12" s="1"/>
  <c r="CA16" i="12"/>
  <c r="CA17" i="12" s="1"/>
  <c r="CA42" i="12" s="1"/>
  <c r="CA44" i="12" s="1"/>
  <c r="CA48" i="12" s="1"/>
  <c r="CA50" i="12" s="1"/>
  <c r="CC16" i="12"/>
  <c r="CC17" i="12" s="1"/>
  <c r="CC42" i="12" s="1"/>
  <c r="CC44" i="12" s="1"/>
  <c r="CC48" i="12" s="1"/>
  <c r="CC50" i="12" s="1"/>
  <c r="CD16" i="12"/>
  <c r="CD17" i="12" s="1"/>
  <c r="CD42" i="12" s="1"/>
  <c r="CD44" i="12" s="1"/>
  <c r="CD48" i="12" s="1"/>
  <c r="CD50" i="12" s="1"/>
  <c r="CE16" i="12"/>
  <c r="CE17" i="12" s="1"/>
  <c r="CE42" i="12" s="1"/>
  <c r="CF16" i="12"/>
  <c r="CF17" i="12" s="1"/>
  <c r="CF42" i="12" s="1"/>
  <c r="CF44" i="12" s="1"/>
  <c r="CF48" i="12" s="1"/>
  <c r="CF50" i="12" s="1"/>
  <c r="CG16" i="12"/>
  <c r="CG17" i="12" s="1"/>
  <c r="CG42" i="12" s="1"/>
  <c r="CH16" i="12"/>
  <c r="CH17" i="12" s="1"/>
  <c r="CH42" i="12" s="1"/>
  <c r="CH44" i="12" s="1"/>
  <c r="CH48" i="12" s="1"/>
  <c r="CH50" i="12" s="1"/>
  <c r="S17" i="12"/>
  <c r="S42" i="12" s="1"/>
  <c r="J29" i="10"/>
  <c r="T59" i="10"/>
  <c r="T22" i="10"/>
  <c r="U22" i="10" s="1"/>
  <c r="K263" i="10"/>
  <c r="K165" i="10"/>
  <c r="K29" i="10"/>
  <c r="L170" i="10"/>
  <c r="L172" i="10" s="1"/>
  <c r="M170" i="10"/>
  <c r="M172" i="10" s="1"/>
  <c r="Q170" i="10"/>
  <c r="Q172" i="10" s="1"/>
  <c r="N170" i="10"/>
  <c r="N172" i="10" s="1"/>
  <c r="P170" i="10"/>
  <c r="P172" i="10" s="1"/>
  <c r="R170" i="10"/>
  <c r="R172" i="10" s="1"/>
  <c r="I170" i="10"/>
  <c r="H170" i="10"/>
  <c r="H172" i="10" s="1"/>
  <c r="K170" i="10"/>
  <c r="K172" i="10" s="1"/>
  <c r="J170" i="10"/>
  <c r="O170" i="10"/>
  <c r="O172" i="10" s="1"/>
  <c r="M167" i="10"/>
  <c r="H167" i="10"/>
  <c r="H273" i="10" s="1"/>
  <c r="T60" i="10"/>
  <c r="T263" i="10" s="1"/>
  <c r="C75" i="14" s="1"/>
  <c r="I167" i="10"/>
  <c r="I273" i="10" s="1"/>
  <c r="L167" i="10"/>
  <c r="L273" i="10" s="1"/>
  <c r="R167" i="10"/>
  <c r="P167" i="10"/>
  <c r="P273" i="10" s="1"/>
  <c r="I52" i="10"/>
  <c r="J165" i="10"/>
  <c r="J263" i="10"/>
  <c r="Q167" i="10"/>
  <c r="N167" i="10"/>
  <c r="O165" i="10"/>
  <c r="O263" i="10"/>
  <c r="C64" i="12" l="1"/>
  <c r="C28" i="24" s="1"/>
  <c r="G64" i="12"/>
  <c r="O28" i="24" s="1"/>
  <c r="E64" i="12"/>
  <c r="I28" i="24" s="1"/>
  <c r="I64" i="12"/>
  <c r="U28" i="24" s="1"/>
  <c r="D64" i="12"/>
  <c r="F28" i="24" s="1"/>
  <c r="J64" i="12"/>
  <c r="X28" i="24" s="1"/>
  <c r="H64" i="12"/>
  <c r="R28" i="24" s="1"/>
  <c r="D42" i="12"/>
  <c r="D44" i="12" s="1"/>
  <c r="D48" i="12" s="1"/>
  <c r="D50" i="12" s="1"/>
  <c r="F64" i="12"/>
  <c r="L28" i="24" s="1"/>
  <c r="AY17" i="12"/>
  <c r="G65" i="12" s="1"/>
  <c r="BK17" i="12"/>
  <c r="H65" i="12" s="1"/>
  <c r="AM17" i="12"/>
  <c r="F65" i="12" s="1"/>
  <c r="BW17" i="12"/>
  <c r="I65" i="12" s="1"/>
  <c r="O17" i="12"/>
  <c r="D65" i="12" s="1"/>
  <c r="CI17" i="12"/>
  <c r="J65" i="12" s="1"/>
  <c r="CL44" i="12"/>
  <c r="CL48" i="12" s="1"/>
  <c r="CL50" i="12" s="1"/>
  <c r="M44" i="12"/>
  <c r="M48" i="12" s="1"/>
  <c r="M50" i="12" s="1"/>
  <c r="F44" i="12"/>
  <c r="F48" i="12" s="1"/>
  <c r="F50" i="12" s="1"/>
  <c r="AJ44" i="12"/>
  <c r="AJ48" i="12" s="1"/>
  <c r="AJ50" i="12" s="1"/>
  <c r="BR44" i="12"/>
  <c r="BR48" i="12" s="1"/>
  <c r="BR50" i="12" s="1"/>
  <c r="E44" i="12"/>
  <c r="E48" i="12" s="1"/>
  <c r="E50" i="12" s="1"/>
  <c r="CG44" i="12"/>
  <c r="CG48" i="12" s="1"/>
  <c r="CG50" i="12" s="1"/>
  <c r="CP44" i="12"/>
  <c r="CP48" i="12" s="1"/>
  <c r="CP50" i="12" s="1"/>
  <c r="K44" i="12"/>
  <c r="K48" i="12" s="1"/>
  <c r="K50" i="12" s="1"/>
  <c r="BG44" i="12"/>
  <c r="BG48" i="12" s="1"/>
  <c r="BG50" i="12" s="1"/>
  <c r="G44" i="12"/>
  <c r="G48" i="12" s="1"/>
  <c r="G50" i="12" s="1"/>
  <c r="L44" i="12"/>
  <c r="L48" i="12" s="1"/>
  <c r="L50" i="12" s="1"/>
  <c r="Q44" i="12"/>
  <c r="Q48" i="12" s="1"/>
  <c r="Q50" i="12" s="1"/>
  <c r="AF44" i="12"/>
  <c r="AF48" i="12" s="1"/>
  <c r="AF50" i="12" s="1"/>
  <c r="CS44" i="12"/>
  <c r="CS48" i="12" s="1"/>
  <c r="CS50" i="12" s="1"/>
  <c r="BQ44" i="12"/>
  <c r="BQ48" i="12" s="1"/>
  <c r="BQ50" i="12" s="1"/>
  <c r="CE44" i="12"/>
  <c r="CE48" i="12" s="1"/>
  <c r="CE50" i="12" s="1"/>
  <c r="X44" i="12"/>
  <c r="X48" i="12" s="1"/>
  <c r="X50" i="12" s="1"/>
  <c r="BD44" i="12"/>
  <c r="BD48" i="12" s="1"/>
  <c r="BD50" i="12" s="1"/>
  <c r="BZ44" i="12"/>
  <c r="BZ48" i="12" s="1"/>
  <c r="BZ50" i="12" s="1"/>
  <c r="CN44" i="12"/>
  <c r="CN48" i="12" s="1"/>
  <c r="CN50" i="12" s="1"/>
  <c r="AU44" i="12"/>
  <c r="AU48" i="12" s="1"/>
  <c r="AU50" i="12" s="1"/>
  <c r="CB44" i="12"/>
  <c r="CB48" i="12" s="1"/>
  <c r="CB50" i="12" s="1"/>
  <c r="AI44" i="12"/>
  <c r="AI48" i="12" s="1"/>
  <c r="AI50" i="12" s="1"/>
  <c r="AC44" i="12"/>
  <c r="AC48" i="12" s="1"/>
  <c r="AC50" i="12" s="1"/>
  <c r="S44" i="12"/>
  <c r="S48" i="12" s="1"/>
  <c r="S50" i="12" s="1"/>
  <c r="AD44" i="12"/>
  <c r="AD48" i="12" s="1"/>
  <c r="AD50" i="12" s="1"/>
  <c r="BJ44" i="12"/>
  <c r="BJ48" i="12" s="1"/>
  <c r="BJ50" i="12" s="1"/>
  <c r="BE44" i="12"/>
  <c r="BE48" i="12" s="1"/>
  <c r="BE50" i="12" s="1"/>
  <c r="AL44" i="12"/>
  <c r="AL48" i="12" s="1"/>
  <c r="AL50" i="12" s="1"/>
  <c r="AP44" i="12"/>
  <c r="AP48" i="12" s="1"/>
  <c r="AP50" i="12" s="1"/>
  <c r="C17" i="12"/>
  <c r="C65" i="12" s="1"/>
  <c r="BO44" i="12"/>
  <c r="BO48" i="12" s="1"/>
  <c r="BO50" i="12" s="1"/>
  <c r="R44" i="12"/>
  <c r="R48" i="12" s="1"/>
  <c r="R50" i="12" s="1"/>
  <c r="BC44" i="12"/>
  <c r="BC48" i="12" s="1"/>
  <c r="BC50" i="12" s="1"/>
  <c r="BV44" i="12"/>
  <c r="BV48" i="12" s="1"/>
  <c r="BV50" i="12" s="1"/>
  <c r="U44" i="12"/>
  <c r="U48" i="12" s="1"/>
  <c r="U50" i="12" s="1"/>
  <c r="AE44" i="12"/>
  <c r="AE48" i="12" s="1"/>
  <c r="AE50" i="12" s="1"/>
  <c r="AS44" i="12"/>
  <c r="AS48" i="12" s="1"/>
  <c r="AS50" i="12" s="1"/>
  <c r="BI44" i="12"/>
  <c r="BI48" i="12" s="1"/>
  <c r="BI50" i="12" s="1"/>
  <c r="AA17" i="12"/>
  <c r="E65" i="12" s="1"/>
  <c r="H180" i="10"/>
  <c r="Q274" i="10"/>
  <c r="Q180" i="10"/>
  <c r="M274" i="10"/>
  <c r="M180" i="10"/>
  <c r="L43" i="15" s="1"/>
  <c r="L43" i="23" s="1"/>
  <c r="O274" i="10"/>
  <c r="L274" i="10"/>
  <c r="L180" i="10"/>
  <c r="K43" i="15" s="1"/>
  <c r="K43" i="23" s="1"/>
  <c r="K274" i="10"/>
  <c r="R274" i="10"/>
  <c r="R180" i="10"/>
  <c r="Q43" i="15" s="1"/>
  <c r="Q43" i="23" s="1"/>
  <c r="P274" i="10"/>
  <c r="P180" i="10"/>
  <c r="O43" i="15" s="1"/>
  <c r="O43" i="23" s="1"/>
  <c r="N274" i="10"/>
  <c r="N180" i="10"/>
  <c r="K167" i="10"/>
  <c r="K180" i="10" s="1"/>
  <c r="I172" i="10"/>
  <c r="T170" i="10"/>
  <c r="M273" i="10"/>
  <c r="R273" i="10"/>
  <c r="Q273" i="10"/>
  <c r="O167" i="10"/>
  <c r="O180" i="10" s="1"/>
  <c r="J167" i="10"/>
  <c r="H274" i="10"/>
  <c r="T165" i="10"/>
  <c r="J52" i="10"/>
  <c r="N273" i="10"/>
  <c r="CI42" i="12" l="1"/>
  <c r="J90" i="12" s="1"/>
  <c r="BW42" i="12"/>
  <c r="I90" i="12" s="1"/>
  <c r="M28" i="24"/>
  <c r="L35" i="24"/>
  <c r="S28" i="24"/>
  <c r="R35" i="24"/>
  <c r="D28" i="24"/>
  <c r="C35" i="24"/>
  <c r="V28" i="24"/>
  <c r="U35" i="24"/>
  <c r="Y28" i="24"/>
  <c r="X35" i="24"/>
  <c r="G28" i="24"/>
  <c r="F35" i="24"/>
  <c r="P28" i="24"/>
  <c r="O35" i="24"/>
  <c r="J28" i="24"/>
  <c r="I35" i="24"/>
  <c r="AY42" i="12"/>
  <c r="G90" i="12" s="1"/>
  <c r="BK42" i="12"/>
  <c r="H90" i="12" s="1"/>
  <c r="AM42" i="12"/>
  <c r="F90" i="12" s="1"/>
  <c r="O42" i="12"/>
  <c r="D90" i="12" s="1"/>
  <c r="C42" i="12"/>
  <c r="C90" i="12" s="1"/>
  <c r="AA42" i="12"/>
  <c r="E90" i="12" s="1"/>
  <c r="N43" i="15"/>
  <c r="N43" i="23" s="1"/>
  <c r="J43" i="15"/>
  <c r="J43" i="23" s="1"/>
  <c r="P43" i="15"/>
  <c r="P43" i="23" s="1"/>
  <c r="M43" i="15"/>
  <c r="M43" i="23" s="1"/>
  <c r="G43" i="15"/>
  <c r="G43" i="23" s="1"/>
  <c r="L181" i="10"/>
  <c r="L183" i="10" s="1"/>
  <c r="P181" i="10"/>
  <c r="P183" i="10" s="1"/>
  <c r="R181" i="10"/>
  <c r="R183" i="10" s="1"/>
  <c r="I274" i="10"/>
  <c r="I180" i="10"/>
  <c r="H43" i="15" s="1"/>
  <c r="H43" i="23" s="1"/>
  <c r="K273" i="10"/>
  <c r="M181" i="10"/>
  <c r="J269" i="10"/>
  <c r="J172" i="10"/>
  <c r="K181" i="10"/>
  <c r="K183" i="10" s="1"/>
  <c r="Q181" i="10"/>
  <c r="Q183" i="10" s="1"/>
  <c r="H181" i="10"/>
  <c r="H183" i="10" s="1"/>
  <c r="H42" i="10" s="1"/>
  <c r="J273" i="10"/>
  <c r="I84" i="14" s="1"/>
  <c r="T167" i="10"/>
  <c r="N181" i="10"/>
  <c r="N183" i="10" s="1"/>
  <c r="K52" i="10"/>
  <c r="O273" i="10"/>
  <c r="CI44" i="12" l="1"/>
  <c r="J92" i="12" s="1"/>
  <c r="X39" i="24" s="1"/>
  <c r="Y39" i="24" s="1"/>
  <c r="BW44" i="12"/>
  <c r="I92" i="12" s="1"/>
  <c r="U39" i="24" s="1"/>
  <c r="U46" i="24" s="1"/>
  <c r="O44" i="12"/>
  <c r="D92" i="12" s="1"/>
  <c r="F39" i="24" s="1"/>
  <c r="F46" i="24" s="1"/>
  <c r="G46" i="24" s="1"/>
  <c r="BK44" i="12"/>
  <c r="H92" i="12" s="1"/>
  <c r="R39" i="24" s="1"/>
  <c r="R46" i="24" s="1"/>
  <c r="I36" i="24"/>
  <c r="J36" i="24" s="1"/>
  <c r="J35" i="24"/>
  <c r="D35" i="24"/>
  <c r="C36" i="24"/>
  <c r="Y35" i="24"/>
  <c r="X36" i="24"/>
  <c r="Y36" i="24" s="1"/>
  <c r="O36" i="24"/>
  <c r="P36" i="24" s="1"/>
  <c r="P35" i="24"/>
  <c r="S35" i="24"/>
  <c r="R36" i="24"/>
  <c r="S36" i="24" s="1"/>
  <c r="U36" i="24"/>
  <c r="V36" i="24" s="1"/>
  <c r="V35" i="24"/>
  <c r="AY44" i="12"/>
  <c r="G92" i="12" s="1"/>
  <c r="O39" i="24" s="1"/>
  <c r="O46" i="24" s="1"/>
  <c r="F36" i="24"/>
  <c r="G35" i="24"/>
  <c r="M35" i="24"/>
  <c r="L36" i="24"/>
  <c r="M36" i="24" s="1"/>
  <c r="AM44" i="12"/>
  <c r="F92" i="12" s="1"/>
  <c r="L39" i="24" s="1"/>
  <c r="O48" i="12"/>
  <c r="D96" i="12" s="1"/>
  <c r="C44" i="12"/>
  <c r="C92" i="12" s="1"/>
  <c r="C39" i="24" s="1"/>
  <c r="AA44" i="12"/>
  <c r="E92" i="12" s="1"/>
  <c r="I39" i="24" s="1"/>
  <c r="L276" i="10"/>
  <c r="P276" i="10"/>
  <c r="R276" i="10"/>
  <c r="I181" i="10"/>
  <c r="I276" i="10" s="1"/>
  <c r="T273" i="10"/>
  <c r="C84" i="14" s="1"/>
  <c r="M276" i="10"/>
  <c r="M183" i="10"/>
  <c r="J180" i="10"/>
  <c r="I43" i="15" s="1"/>
  <c r="I43" i="23" s="1"/>
  <c r="J274" i="10"/>
  <c r="I85" i="14" s="1"/>
  <c r="I26" i="14" s="1"/>
  <c r="T172" i="10"/>
  <c r="T274" i="10" s="1"/>
  <c r="C85" i="14" s="1"/>
  <c r="C26" i="14" s="1"/>
  <c r="L52" i="10"/>
  <c r="Q276" i="10"/>
  <c r="O181" i="10"/>
  <c r="O183" i="10" s="1"/>
  <c r="H276" i="10"/>
  <c r="K276" i="10"/>
  <c r="N276" i="10"/>
  <c r="CI48" i="12" l="1"/>
  <c r="J96" i="12" s="1"/>
  <c r="X46" i="24"/>
  <c r="X48" i="24" s="1"/>
  <c r="V39" i="24"/>
  <c r="BW48" i="12"/>
  <c r="I96" i="12" s="1"/>
  <c r="BK48" i="12"/>
  <c r="H96" i="12" s="1"/>
  <c r="G39" i="24"/>
  <c r="S39" i="24"/>
  <c r="G36" i="24"/>
  <c r="F48" i="24"/>
  <c r="D36" i="24"/>
  <c r="C46" i="24"/>
  <c r="D46" i="24" s="1"/>
  <c r="D39" i="24"/>
  <c r="P39" i="24"/>
  <c r="AY48" i="12"/>
  <c r="G96" i="12" s="1"/>
  <c r="I46" i="24"/>
  <c r="J39" i="24"/>
  <c r="P46" i="24"/>
  <c r="O48" i="24"/>
  <c r="S46" i="24"/>
  <c r="R48" i="24"/>
  <c r="L46" i="24"/>
  <c r="M39" i="24"/>
  <c r="V46" i="24"/>
  <c r="U48" i="24"/>
  <c r="AM48" i="12"/>
  <c r="F96" i="12" s="1"/>
  <c r="C48" i="12"/>
  <c r="C96" i="12" s="1"/>
  <c r="AA48" i="12"/>
  <c r="E96" i="12" s="1"/>
  <c r="O50" i="12"/>
  <c r="D98" i="12" s="1"/>
  <c r="D43" i="23"/>
  <c r="T180" i="10"/>
  <c r="J181" i="10"/>
  <c r="J183" i="10" s="1"/>
  <c r="O276" i="10"/>
  <c r="M52" i="10"/>
  <c r="CI50" i="12" l="1"/>
  <c r="J98" i="12" s="1"/>
  <c r="Y46" i="24"/>
  <c r="BW50" i="12"/>
  <c r="I98" i="12" s="1"/>
  <c r="BK50" i="12"/>
  <c r="H98" i="12" s="1"/>
  <c r="C48" i="24"/>
  <c r="AY50" i="12"/>
  <c r="G98" i="12" s="1"/>
  <c r="F51" i="24"/>
  <c r="G48" i="24"/>
  <c r="X51" i="24"/>
  <c r="Y48" i="24"/>
  <c r="U51" i="24"/>
  <c r="V48" i="24"/>
  <c r="O51" i="24"/>
  <c r="P48" i="24"/>
  <c r="S48" i="24"/>
  <c r="R51" i="24"/>
  <c r="M46" i="24"/>
  <c r="L48" i="24"/>
  <c r="J46" i="24"/>
  <c r="I48" i="24"/>
  <c r="AM50" i="12"/>
  <c r="F98" i="12" s="1"/>
  <c r="AA50" i="12"/>
  <c r="E98" i="12" s="1"/>
  <c r="C50" i="12"/>
  <c r="C98" i="12" s="1"/>
  <c r="D44" i="15"/>
  <c r="T181" i="10"/>
  <c r="J276" i="10"/>
  <c r="I87" i="14" s="1"/>
  <c r="H269" i="10"/>
  <c r="N52" i="10"/>
  <c r="F63" i="24" l="1"/>
  <c r="G51" i="24"/>
  <c r="C51" i="24"/>
  <c r="D48" i="24"/>
  <c r="O63" i="24"/>
  <c r="M48" i="10" s="1" a="1"/>
  <c r="M48" i="10" s="1"/>
  <c r="M50" i="10" s="1"/>
  <c r="M53" i="10" s="1"/>
  <c r="M63" i="10" s="1"/>
  <c r="P51" i="24"/>
  <c r="J48" i="24"/>
  <c r="I51" i="24"/>
  <c r="V51" i="24"/>
  <c r="U63" i="24"/>
  <c r="R63" i="24"/>
  <c r="N48" i="10" s="1" a="1"/>
  <c r="N48" i="10" s="1"/>
  <c r="N50" i="10" s="1"/>
  <c r="N53" i="10" s="1"/>
  <c r="S51" i="24"/>
  <c r="M48" i="24"/>
  <c r="L51" i="24"/>
  <c r="X63" i="24"/>
  <c r="Y51" i="24"/>
  <c r="T276" i="10"/>
  <c r="C87" i="14" s="1"/>
  <c r="L195" i="10"/>
  <c r="O53" i="10"/>
  <c r="C63" i="24" l="1"/>
  <c r="D51" i="24"/>
  <c r="J48" i="10" a="1"/>
  <c r="J48" i="10" s="1"/>
  <c r="J50" i="10" s="1"/>
  <c r="J53" i="10" s="1"/>
  <c r="J262" i="10" s="1"/>
  <c r="G63" i="24"/>
  <c r="F65" i="24"/>
  <c r="J51" i="24"/>
  <c r="I63" i="24"/>
  <c r="K48" i="10" s="1" a="1"/>
  <c r="K48" i="10" s="1"/>
  <c r="K50" i="10" s="1"/>
  <c r="K53" i="10" s="1"/>
  <c r="R65" i="24"/>
  <c r="S63" i="24"/>
  <c r="V63" i="24"/>
  <c r="U65" i="24"/>
  <c r="X65" i="24"/>
  <c r="Y63" i="24"/>
  <c r="M51" i="24"/>
  <c r="L63" i="24"/>
  <c r="L48" i="10" s="1" a="1"/>
  <c r="L48" i="10" s="1"/>
  <c r="L50" i="10" s="1"/>
  <c r="L53" i="10" s="1"/>
  <c r="W193" i="10" s="1"/>
  <c r="W195" i="10" s="1"/>
  <c r="L193" i="10" s="1"/>
  <c r="O65" i="24"/>
  <c r="P63" i="24"/>
  <c r="H50" i="10"/>
  <c r="H53" i="10" s="1"/>
  <c r="H63" i="10" s="1"/>
  <c r="N63" i="10"/>
  <c r="N262" i="10"/>
  <c r="M262" i="10"/>
  <c r="M194" i="10"/>
  <c r="R195" i="10"/>
  <c r="O262" i="10"/>
  <c r="O63" i="10"/>
  <c r="P53" i="10"/>
  <c r="F67" i="24" l="1"/>
  <c r="G65" i="24"/>
  <c r="I48" i="10" a="1"/>
  <c r="I48" i="10" s="1"/>
  <c r="D63" i="24"/>
  <c r="C65" i="24"/>
  <c r="H262" i="10"/>
  <c r="L262" i="10"/>
  <c r="L63" i="10"/>
  <c r="X67" i="24"/>
  <c r="Y65" i="24"/>
  <c r="P65" i="24"/>
  <c r="O67" i="24"/>
  <c r="S65" i="24"/>
  <c r="R67" i="24"/>
  <c r="U67" i="24"/>
  <c r="V65" i="24"/>
  <c r="M63" i="24"/>
  <c r="L65" i="24"/>
  <c r="I65" i="24"/>
  <c r="J63" i="24"/>
  <c r="J63" i="10"/>
  <c r="K63" i="10"/>
  <c r="K262" i="10"/>
  <c r="N65" i="10"/>
  <c r="N194" i="10"/>
  <c r="O194" i="10" s="1"/>
  <c r="P194" i="10" s="1"/>
  <c r="Q194" i="10" s="1"/>
  <c r="R194" i="10" s="1"/>
  <c r="R196" i="10"/>
  <c r="P262" i="10"/>
  <c r="P63" i="10"/>
  <c r="D65" i="24" l="1"/>
  <c r="C67" i="24"/>
  <c r="I50" i="10"/>
  <c r="T48" i="10"/>
  <c r="I67" i="24"/>
  <c r="J65" i="24"/>
  <c r="M65" i="24"/>
  <c r="L67" i="24"/>
  <c r="N264" i="10"/>
  <c r="S29" i="10"/>
  <c r="R53" i="10"/>
  <c r="Q53" i="10"/>
  <c r="T52" i="10"/>
  <c r="I53" i="10" l="1"/>
  <c r="W186" i="10" s="1"/>
  <c r="T50" i="10"/>
  <c r="R63" i="10"/>
  <c r="R29" i="10"/>
  <c r="Q262" i="10"/>
  <c r="Q29" i="10"/>
  <c r="Q63" i="10"/>
  <c r="R262" i="10"/>
  <c r="T53" i="10" l="1"/>
  <c r="T262" i="10" s="1"/>
  <c r="C74" i="14" s="1"/>
  <c r="C15" i="14" s="1"/>
  <c r="I63" i="10"/>
  <c r="I262" i="10"/>
  <c r="R65" i="10"/>
  <c r="H14" i="15" l="1"/>
  <c r="R264" i="10"/>
  <c r="T65" i="10"/>
  <c r="T264" i="10" s="1"/>
  <c r="C76" i="14" s="1"/>
  <c r="C16" i="14" s="1"/>
  <c r="D13" i="15" l="1"/>
  <c r="D6" i="15"/>
  <c r="V65" i="10"/>
  <c r="K269" i="10"/>
  <c r="L269" i="10" l="1"/>
  <c r="M269" i="10" l="1"/>
  <c r="N269" i="10" l="1"/>
  <c r="O269" i="10" l="1"/>
  <c r="P269" i="10" l="1"/>
  <c r="Q269" i="10" l="1"/>
  <c r="R269" i="10" l="1"/>
  <c r="D26" i="9" l="1"/>
  <c r="R217" i="8" l="1"/>
  <c r="M42" i="8" l="1"/>
  <c r="M172" i="8" s="1"/>
  <c r="M52" i="8" l="1"/>
  <c r="M53" i="8" s="1"/>
  <c r="M181" i="8" s="1"/>
  <c r="O42" i="8"/>
  <c r="M192" i="8"/>
  <c r="M243" i="8"/>
  <c r="M254" i="8" l="1"/>
  <c r="M176" i="8"/>
  <c r="N48" i="9"/>
  <c r="O243" i="8"/>
  <c r="M253" i="8" l="1"/>
  <c r="N23" i="8" l="1"/>
  <c r="O23" i="8" l="1"/>
  <c r="N44" i="8"/>
  <c r="N27" i="8" l="1"/>
  <c r="N244" i="8"/>
  <c r="P23" i="8"/>
  <c r="O44" i="8"/>
  <c r="O172" i="8" s="1"/>
  <c r="AC18" i="8"/>
  <c r="AC19" i="8" s="1"/>
  <c r="AC16" i="8"/>
  <c r="N42" i="8" l="1"/>
  <c r="AC17" i="8"/>
  <c r="O244" i="8"/>
  <c r="O52" i="8"/>
  <c r="O176" i="8"/>
  <c r="Q23" i="8"/>
  <c r="P44" i="8"/>
  <c r="P172" i="8" s="1"/>
  <c r="AD18" i="8"/>
  <c r="AD19" i="8" s="1"/>
  <c r="AD16" i="8"/>
  <c r="AD17" i="8" s="1"/>
  <c r="R42" i="8" l="1"/>
  <c r="N172" i="8"/>
  <c r="T81" i="8" a="1"/>
  <c r="T81" i="8" s="1"/>
  <c r="O53" i="8"/>
  <c r="O181" i="8" s="1"/>
  <c r="O254" i="8" s="1"/>
  <c r="P52" i="8"/>
  <c r="P27" i="8"/>
  <c r="P176" i="8"/>
  <c r="P244" i="8"/>
  <c r="Q44" i="8"/>
  <c r="AE18" i="8"/>
  <c r="AE19" i="8" s="1"/>
  <c r="AE16" i="8"/>
  <c r="AE17" i="8" s="1"/>
  <c r="T129" i="8" a="1"/>
  <c r="T129" i="8" s="1"/>
  <c r="O253" i="8"/>
  <c r="N52" i="8"/>
  <c r="N243" i="8"/>
  <c r="N45" i="8"/>
  <c r="O27" i="8"/>
  <c r="Q172" i="8" l="1"/>
  <c r="Q176" i="8" s="1"/>
  <c r="O191" i="8"/>
  <c r="P47" i="9" s="1"/>
  <c r="P53" i="8"/>
  <c r="P181" i="8" s="1"/>
  <c r="P254" i="8" s="1"/>
  <c r="N53" i="8"/>
  <c r="N176" i="8"/>
  <c r="N245" i="8"/>
  <c r="Q52" i="8"/>
  <c r="Q244" i="8"/>
  <c r="Q27" i="8"/>
  <c r="P253" i="8"/>
  <c r="R243" i="8"/>
  <c r="P191" i="8" l="1"/>
  <c r="P195" i="8" s="1"/>
  <c r="O195" i="8"/>
  <c r="O256" i="8" s="1"/>
  <c r="N181" i="8"/>
  <c r="N191" i="8" s="1"/>
  <c r="Q53" i="8"/>
  <c r="Q253" i="8"/>
  <c r="N253" i="8"/>
  <c r="Q47" i="9" l="1"/>
  <c r="N254" i="8"/>
  <c r="Q181" i="8"/>
  <c r="P256" i="8"/>
  <c r="O47" i="9"/>
  <c r="N195" i="8"/>
  <c r="Q254" i="8" l="1"/>
  <c r="Q191" i="8"/>
  <c r="N256" i="8"/>
  <c r="Q195" i="8" l="1"/>
  <c r="Q256" i="8" s="1"/>
  <c r="R47" i="9"/>
  <c r="M47" i="9" l="1"/>
  <c r="L195" i="8"/>
  <c r="K195" i="8"/>
  <c r="L47" i="9"/>
  <c r="M195" i="8"/>
  <c r="N47" i="9"/>
  <c r="M256" i="8" l="1"/>
  <c r="K256" i="8"/>
  <c r="L256" i="8"/>
  <c r="G24" i="9" l="1"/>
  <c r="G25" i="9" s="1"/>
  <c r="G27" i="9" l="1"/>
  <c r="G30" i="9" l="1"/>
  <c r="G34" i="9"/>
  <c r="F226" i="8"/>
  <c r="F258" i="8" s="1"/>
  <c r="G35" i="9" l="1"/>
  <c r="G54" i="9" l="1"/>
  <c r="H209" i="8" l="1"/>
  <c r="R193" i="8" l="1"/>
  <c r="G49" i="9"/>
  <c r="D49" i="9" s="1"/>
  <c r="G44" i="8" l="1"/>
  <c r="G172" i="8" s="1"/>
  <c r="H44" i="8"/>
  <c r="H244" i="8" s="1"/>
  <c r="H181" i="8"/>
  <c r="H254" i="8" s="1"/>
  <c r="H27" i="8" l="1"/>
  <c r="H52" i="8"/>
  <c r="H53" i="8" s="1"/>
  <c r="G192" i="8"/>
  <c r="R181" i="8"/>
  <c r="R254" i="8" s="1"/>
  <c r="G27" i="8"/>
  <c r="R44" i="8"/>
  <c r="R244" i="8" s="1"/>
  <c r="H192" i="8"/>
  <c r="I48" i="9" s="1"/>
  <c r="G176" i="8"/>
  <c r="H172" i="8"/>
  <c r="H176" i="8" s="1"/>
  <c r="H253" i="8" s="1"/>
  <c r="D7" i="9"/>
  <c r="G244" i="8"/>
  <c r="T46" i="8"/>
  <c r="G52" i="8"/>
  <c r="U31" i="8"/>
  <c r="R172" i="8" l="1"/>
  <c r="D13" i="9" s="1"/>
  <c r="H48" i="9"/>
  <c r="D48" i="9" s="1"/>
  <c r="R192" i="8"/>
  <c r="G253" i="8"/>
  <c r="R176" i="8"/>
  <c r="R52" i="8"/>
  <c r="G53" i="8"/>
  <c r="R53" i="8" s="1"/>
  <c r="U45" i="8"/>
  <c r="T188" i="8"/>
  <c r="T49" i="8"/>
  <c r="T65" i="8"/>
  <c r="T181" i="8"/>
  <c r="T115" i="8"/>
  <c r="U46" i="8"/>
  <c r="T73" i="8"/>
  <c r="G54" i="8" l="1"/>
  <c r="T176" i="8"/>
  <c r="R253" i="8"/>
  <c r="H22" i="9" l="1"/>
  <c r="G58" i="8"/>
  <c r="G248" i="8" s="1"/>
  <c r="G56" i="8"/>
  <c r="H54" i="8" l="1"/>
  <c r="H56" i="8" s="1"/>
  <c r="G211" i="8"/>
  <c r="H57" i="8"/>
  <c r="I23" i="9" s="1"/>
  <c r="I57" i="8" l="1"/>
  <c r="J23" i="9" s="1"/>
  <c r="I54" i="8"/>
  <c r="H211" i="8"/>
  <c r="I22" i="9"/>
  <c r="H58" i="8"/>
  <c r="H248" i="8" s="1"/>
  <c r="I56" i="8" l="1"/>
  <c r="I58" i="8"/>
  <c r="I248" i="8" s="1"/>
  <c r="J22" i="9"/>
  <c r="J54" i="8" l="1"/>
  <c r="I211" i="8"/>
  <c r="J57" i="8"/>
  <c r="K23" i="9" s="1"/>
  <c r="J56" i="8" l="1"/>
  <c r="K22" i="9"/>
  <c r="J58" i="8"/>
  <c r="J248" i="8" s="1"/>
  <c r="K57" i="8" l="1"/>
  <c r="L23" i="9" s="1"/>
  <c r="J211" i="8"/>
  <c r="K54" i="8"/>
  <c r="K56" i="8" l="1"/>
  <c r="L22" i="9"/>
  <c r="K58" i="8"/>
  <c r="K197" i="8" l="1"/>
  <c r="K248" i="8"/>
  <c r="L57" i="8"/>
  <c r="M23" i="9" s="1"/>
  <c r="K211" i="8"/>
  <c r="L54" i="8"/>
  <c r="L56" i="8" s="1"/>
  <c r="M54" i="8" l="1"/>
  <c r="M56" i="8" s="1"/>
  <c r="M57" i="8"/>
  <c r="N23" i="9" s="1"/>
  <c r="L211" i="8"/>
  <c r="M22" i="9"/>
  <c r="L58" i="8"/>
  <c r="R54" i="8"/>
  <c r="T54" i="8" s="1"/>
  <c r="N57" i="8" l="1"/>
  <c r="O23" i="9" s="1"/>
  <c r="N54" i="8"/>
  <c r="N56" i="8" s="1"/>
  <c r="M211" i="8"/>
  <c r="L197" i="8"/>
  <c r="L248" i="8"/>
  <c r="N22" i="9"/>
  <c r="M58" i="8"/>
  <c r="N211" i="8" l="1"/>
  <c r="O54" i="8"/>
  <c r="O56" i="8" s="1"/>
  <c r="O57" i="8"/>
  <c r="M197" i="8"/>
  <c r="M248" i="8"/>
  <c r="O22" i="9"/>
  <c r="N58" i="8"/>
  <c r="O211" i="8" l="1"/>
  <c r="P54" i="8"/>
  <c r="P57" i="8"/>
  <c r="Q23" i="9" s="1"/>
  <c r="N248" i="8"/>
  <c r="N197" i="8"/>
  <c r="P23" i="9"/>
  <c r="O58" i="8"/>
  <c r="P22" i="9"/>
  <c r="P56" i="8" l="1"/>
  <c r="Q22" i="9"/>
  <c r="P58" i="8"/>
  <c r="O197" i="8"/>
  <c r="O248" i="8"/>
  <c r="P197" i="8" l="1"/>
  <c r="P248" i="8"/>
  <c r="P211" i="8"/>
  <c r="Q54" i="8"/>
  <c r="Q56" i="8" s="1"/>
  <c r="Q211" i="8" s="1"/>
  <c r="Q57" i="8"/>
  <c r="R23" i="9" l="1"/>
  <c r="R57" i="8"/>
  <c r="T57" i="8" s="1"/>
  <c r="T58" i="8" s="1"/>
  <c r="Q58" i="8"/>
  <c r="R22" i="9"/>
  <c r="D22" i="9" l="1"/>
  <c r="Q248" i="8"/>
  <c r="Q197" i="8"/>
  <c r="R58" i="8"/>
  <c r="D23" i="9"/>
  <c r="R248" i="8" l="1"/>
  <c r="R189" i="8"/>
  <c r="D191" i="8" s="1"/>
  <c r="G191" i="8" l="1"/>
  <c r="F191" i="8"/>
  <c r="J191" i="8"/>
  <c r="H191" i="8"/>
  <c r="I191" i="8"/>
  <c r="H195" i="8" l="1"/>
  <c r="I47" i="9"/>
  <c r="K47" i="9"/>
  <c r="J195" i="8"/>
  <c r="J47" i="9"/>
  <c r="I195" i="8"/>
  <c r="F195" i="8"/>
  <c r="G47" i="9"/>
  <c r="R191" i="8"/>
  <c r="V191" i="8" s="1"/>
  <c r="H47" i="9"/>
  <c r="G195" i="8"/>
  <c r="G50" i="9" l="1"/>
  <c r="D47" i="9"/>
  <c r="F256" i="8"/>
  <c r="R195" i="8"/>
  <c r="F197" i="8"/>
  <c r="I256" i="8"/>
  <c r="I197" i="8"/>
  <c r="J197" i="8"/>
  <c r="J256" i="8"/>
  <c r="G256" i="8"/>
  <c r="G197" i="8"/>
  <c r="H197" i="8"/>
  <c r="H256" i="8"/>
  <c r="F228" i="8" l="1"/>
  <c r="F259" i="8" s="1"/>
  <c r="U29" i="8"/>
  <c r="U30" i="8" s="1"/>
  <c r="R197" i="8"/>
  <c r="T197" i="8" s="1"/>
  <c r="R256" i="8"/>
  <c r="T195" i="8"/>
  <c r="B144" i="19" l="1"/>
  <c r="AH144" i="19" s="1"/>
  <c r="B22" i="19" l="1"/>
  <c r="K42" i="14" l="1"/>
  <c r="J42" i="14"/>
  <c r="R51" i="18" l="1"/>
  <c r="R221" i="18" s="1"/>
  <c r="C44" i="14" l="1"/>
  <c r="C12" i="14" s="1"/>
  <c r="I12" i="14" s="1"/>
  <c r="I75" i="10"/>
  <c r="I183" i="10" s="1"/>
  <c r="T72" i="10"/>
  <c r="V72" i="10" s="1"/>
  <c r="D44" i="14" l="1"/>
  <c r="E44" i="14"/>
  <c r="I44" i="14"/>
  <c r="K44" i="14" s="1"/>
  <c r="I269" i="10"/>
  <c r="T75" i="10"/>
  <c r="T183" i="10" s="1"/>
  <c r="V183" i="10" s="1"/>
  <c r="J44" i="14" l="1"/>
  <c r="I80" i="14"/>
  <c r="V75" i="10"/>
  <c r="T269" i="10"/>
  <c r="C80" i="14" l="1"/>
  <c r="C20" i="14" s="1"/>
  <c r="I20" i="14"/>
  <c r="G278" i="10" l="1"/>
  <c r="M58" i="18" l="1"/>
  <c r="M224" i="18" s="1"/>
  <c r="N55" i="23" l="1"/>
  <c r="N56" i="23" s="1"/>
  <c r="N58" i="23" s="1"/>
  <c r="N60" i="23" l="1"/>
  <c r="N63" i="23" s="1"/>
  <c r="N66" i="23" s="1"/>
  <c r="N59" i="23"/>
  <c r="M210" i="18"/>
  <c r="N48" i="20" s="1"/>
  <c r="N53" i="20"/>
  <c r="M206" i="18"/>
  <c r="M238" i="18" s="1"/>
  <c r="N68" i="23" l="1"/>
  <c r="N67" i="23"/>
  <c r="N54" i="20"/>
  <c r="N56" i="20" l="1"/>
  <c r="N57" i="20" l="1"/>
  <c r="N58" i="20"/>
  <c r="N61" i="20" s="1"/>
  <c r="N64" i="20" s="1"/>
  <c r="N65" i="20" l="1"/>
  <c r="N66" i="20"/>
  <c r="C42" i="14" l="1"/>
  <c r="E42" i="14" l="1"/>
  <c r="D42" i="14"/>
  <c r="C41" i="14" l="1"/>
  <c r="C9" i="14" l="1"/>
  <c r="I41" i="14"/>
  <c r="D41" i="14"/>
  <c r="E41" i="14"/>
  <c r="J41" i="14" l="1"/>
  <c r="K41" i="14"/>
  <c r="Q48" i="18" l="1"/>
  <c r="Q58" i="18" s="1"/>
  <c r="Q224" i="18" s="1"/>
  <c r="P48" i="18"/>
  <c r="P58" i="18" s="1"/>
  <c r="P224" i="18" s="1"/>
  <c r="O48" i="18"/>
  <c r="O58" i="18" s="1"/>
  <c r="O224" i="18" s="1"/>
  <c r="N48" i="18"/>
  <c r="N58" i="18" l="1"/>
  <c r="N224" i="18" s="1"/>
  <c r="P55" i="23" l="1"/>
  <c r="Q55" i="23"/>
  <c r="R55" i="23"/>
  <c r="R56" i="23" s="1"/>
  <c r="R58" i="23" s="1"/>
  <c r="P53" i="20" l="1"/>
  <c r="P54" i="20" s="1"/>
  <c r="P56" i="20" s="1"/>
  <c r="P58" i="20" s="1"/>
  <c r="P61" i="20" s="1"/>
  <c r="P64" i="20" s="1"/>
  <c r="Q53" i="20"/>
  <c r="Q54" i="20" s="1"/>
  <c r="Q56" i="20" s="1"/>
  <c r="Q58" i="20" s="1"/>
  <c r="Q61" i="20" s="1"/>
  <c r="Q64" i="20" s="1"/>
  <c r="Q210" i="18"/>
  <c r="R48" i="20" s="1"/>
  <c r="R50" i="23" s="1"/>
  <c r="P210" i="18"/>
  <c r="Q48" i="20" s="1"/>
  <c r="Q206" i="18"/>
  <c r="Q238" i="18" s="1"/>
  <c r="R60" i="23"/>
  <c r="R63" i="23" s="1"/>
  <c r="R66" i="23" s="1"/>
  <c r="R59" i="23"/>
  <c r="Q56" i="23"/>
  <c r="Q58" i="23" s="1"/>
  <c r="R53" i="20"/>
  <c r="R54" i="20" s="1"/>
  <c r="R56" i="20" s="1"/>
  <c r="R57" i="20" s="1"/>
  <c r="P56" i="23"/>
  <c r="P58" i="23" s="1"/>
  <c r="P206" i="18"/>
  <c r="P238" i="18" s="1"/>
  <c r="O206" i="18"/>
  <c r="O238" i="18" s="1"/>
  <c r="O210" i="18"/>
  <c r="P48" i="20" s="1"/>
  <c r="O55" i="23"/>
  <c r="O56" i="23" s="1"/>
  <c r="O58" i="23" s="1"/>
  <c r="P57" i="20" l="1"/>
  <c r="Q57" i="20"/>
  <c r="R58" i="20"/>
  <c r="R61" i="20" s="1"/>
  <c r="R64" i="20" s="1"/>
  <c r="Q60" i="23"/>
  <c r="Q63" i="23" s="1"/>
  <c r="Q66" i="23" s="1"/>
  <c r="Q59" i="23"/>
  <c r="P59" i="23"/>
  <c r="P60" i="23"/>
  <c r="P63" i="23" s="1"/>
  <c r="P66" i="23" s="1"/>
  <c r="O60" i="23"/>
  <c r="O63" i="23" s="1"/>
  <c r="O66" i="23" s="1"/>
  <c r="O59" i="23"/>
  <c r="R67" i="23"/>
  <c r="R68" i="23"/>
  <c r="N206" i="18"/>
  <c r="N238" i="18" s="1"/>
  <c r="O53" i="20"/>
  <c r="O54" i="20" s="1"/>
  <c r="O56" i="20" s="1"/>
  <c r="O57" i="20" s="1"/>
  <c r="N210" i="18"/>
  <c r="O48" i="20" s="1"/>
  <c r="P66" i="20"/>
  <c r="P65" i="20"/>
  <c r="Q66" i="20"/>
  <c r="Q65" i="20"/>
  <c r="R66" i="20"/>
  <c r="R65" i="20"/>
  <c r="O67" i="23" l="1"/>
  <c r="O68" i="23"/>
  <c r="P67" i="23"/>
  <c r="P68" i="23"/>
  <c r="Q67" i="23"/>
  <c r="Q68" i="23"/>
  <c r="O58" i="20"/>
  <c r="O61" i="20" s="1"/>
  <c r="O64" i="20" s="1"/>
  <c r="O65" i="20" s="1"/>
  <c r="O66" i="20" l="1"/>
  <c r="H195" i="18" l="1"/>
  <c r="R191" i="18"/>
  <c r="R195" i="18" l="1"/>
  <c r="M22" i="20" l="1"/>
  <c r="L177" i="18"/>
  <c r="M22" i="23" l="1"/>
  <c r="N26" i="20" l="1"/>
  <c r="O26" i="20" l="1"/>
  <c r="P26" i="20" l="1"/>
  <c r="Q26" i="20" l="1"/>
  <c r="R26" i="20" l="1"/>
  <c r="R225" i="8" l="1"/>
  <c r="R226" i="8"/>
  <c r="R258" i="8" s="1"/>
  <c r="R223" i="8"/>
  <c r="R224" i="8"/>
  <c r="D43" i="9" l="1"/>
  <c r="D24" i="9"/>
  <c r="D35" i="9" l="1"/>
  <c r="D45" i="9"/>
  <c r="D25" i="9"/>
  <c r="R228" i="8" l="1"/>
  <c r="D27" i="9"/>
  <c r="F28" i="9"/>
  <c r="R259" i="8" l="1"/>
  <c r="F50" i="15" l="1"/>
  <c r="F55" i="15" l="1"/>
  <c r="F56" i="15" s="1"/>
  <c r="F58" i="15" s="1"/>
  <c r="D43" i="15"/>
  <c r="H6" i="15" l="1"/>
  <c r="H12" i="15" s="1"/>
  <c r="I70" i="14"/>
  <c r="G186" i="10"/>
  <c r="G187" i="10" l="1"/>
  <c r="H260" i="10" l="1"/>
  <c r="H201" i="10"/>
  <c r="H199" i="10"/>
  <c r="H200" i="10" s="1"/>
  <c r="H204" i="10" l="1"/>
  <c r="H278" i="10" l="1"/>
  <c r="G45" i="15" l="1"/>
  <c r="G50" i="15"/>
  <c r="G46" i="15" l="1"/>
  <c r="G47" i="15"/>
  <c r="G55" i="15"/>
  <c r="G56" i="15" l="1"/>
  <c r="J222" i="10" l="1"/>
  <c r="K219" i="10"/>
  <c r="G58" i="15"/>
  <c r="H45" i="15" l="1"/>
  <c r="H47" i="15" l="1"/>
  <c r="H46" i="15"/>
  <c r="I45" i="15" l="1"/>
  <c r="I47" i="15" l="1"/>
  <c r="I46" i="15"/>
  <c r="I33" i="15" l="1"/>
  <c r="I34" i="15" s="1"/>
  <c r="I36" i="15" s="1"/>
  <c r="I39" i="15" s="1"/>
  <c r="J45" i="15" l="1"/>
  <c r="J46" i="15" l="1"/>
  <c r="J47" i="15"/>
  <c r="K45" i="15" l="1"/>
  <c r="K46" i="15" l="1"/>
  <c r="K47" i="15"/>
  <c r="I9" i="14" l="1"/>
  <c r="L45" i="15" l="1"/>
  <c r="L46" i="15" s="1"/>
  <c r="F57" i="15"/>
  <c r="L47" i="15" l="1"/>
  <c r="N50" i="15" l="1"/>
  <c r="N50" i="23" s="1"/>
  <c r="O278" i="10"/>
  <c r="N42" i="23"/>
  <c r="N45" i="23" s="1"/>
  <c r="N46" i="23" l="1"/>
  <c r="N47" i="23"/>
  <c r="O50" i="15" l="1"/>
  <c r="O50" i="23" s="1"/>
  <c r="P278" i="10"/>
  <c r="O45" i="15" l="1"/>
  <c r="O42" i="23"/>
  <c r="O45" i="23" s="1"/>
  <c r="O46" i="23" l="1"/>
  <c r="O47" i="23"/>
  <c r="O46" i="15"/>
  <c r="O47" i="15"/>
  <c r="P45" i="15" l="1"/>
  <c r="P47" i="15" l="1"/>
  <c r="P46" i="15"/>
  <c r="P42" i="23"/>
  <c r="P45" i="23" s="1"/>
  <c r="Q278" i="10"/>
  <c r="P50" i="15"/>
  <c r="P50" i="23" s="1"/>
  <c r="P46" i="23" l="1"/>
  <c r="P47" i="23"/>
  <c r="Q42" i="23" l="1"/>
  <c r="Q45" i="23" l="1"/>
  <c r="Q45" i="15"/>
  <c r="R278" i="10"/>
  <c r="Q46" i="23" l="1"/>
  <c r="Q47" i="23"/>
  <c r="Q46" i="15"/>
  <c r="Q47" i="15"/>
  <c r="Q50" i="15"/>
  <c r="Q50" i="23" s="1"/>
  <c r="D50" i="9" l="1"/>
  <c r="D54" i="9"/>
  <c r="H5" i="9" s="1"/>
  <c r="D34" i="9"/>
  <c r="T66" i="20"/>
  <c r="AG22" i="19"/>
  <c r="G22" i="19"/>
  <c r="G35" i="19" s="1"/>
  <c r="AH22" i="19" l="1"/>
  <c r="U32" i="8" l="1"/>
  <c r="U33" i="8" s="1"/>
  <c r="C34" i="8" l="1"/>
  <c r="C200" i="8"/>
  <c r="U34" i="8"/>
  <c r="F31" i="8" l="1"/>
  <c r="V34" i="8"/>
  <c r="R31" i="8" l="1"/>
  <c r="F212" i="8"/>
  <c r="F32" i="8"/>
  <c r="F240" i="8"/>
  <c r="F232" i="8"/>
  <c r="G36" i="9"/>
  <c r="G219" i="8" l="1"/>
  <c r="G220" i="8" s="1"/>
  <c r="R32" i="8"/>
  <c r="R240" i="8"/>
  <c r="F34" i="8"/>
  <c r="F241" i="8"/>
  <c r="D36" i="9"/>
  <c r="G55" i="9"/>
  <c r="D55" i="9" s="1"/>
  <c r="H6" i="9" s="1"/>
  <c r="H8" i="9" s="1"/>
  <c r="G37" i="9"/>
  <c r="W250" i="8"/>
  <c r="R232" i="8"/>
  <c r="D5" i="9" l="1"/>
  <c r="Y30" i="8"/>
  <c r="D8" i="9" s="1"/>
  <c r="R241" i="8"/>
  <c r="F38" i="9"/>
  <c r="G40" i="9"/>
  <c r="AD2" i="8" s="1"/>
  <c r="AD1" i="8" s="1"/>
  <c r="AA193" i="8" s="1"/>
  <c r="D37" i="9"/>
  <c r="G56" i="9"/>
  <c r="R34" i="8"/>
  <c r="F35" i="8"/>
  <c r="G221" i="8"/>
  <c r="H10" i="9" l="1"/>
  <c r="F58" i="9"/>
  <c r="D56" i="9"/>
  <c r="H7" i="9" s="1"/>
  <c r="H9" i="9" s="1"/>
  <c r="G57" i="9"/>
  <c r="G225" i="8"/>
  <c r="G223" i="8"/>
  <c r="H24" i="9" s="1"/>
  <c r="H25" i="9" s="1"/>
  <c r="G224" i="8"/>
  <c r="H33" i="9"/>
  <c r="F242" i="8"/>
  <c r="F200" i="8"/>
  <c r="R35" i="8"/>
  <c r="F45" i="8"/>
  <c r="H27" i="9" l="1"/>
  <c r="Y31" i="8"/>
  <c r="D10" i="9" s="1"/>
  <c r="R242" i="8"/>
  <c r="Y32" i="8"/>
  <c r="D9" i="9" s="1"/>
  <c r="G213" i="8"/>
  <c r="H43" i="9"/>
  <c r="H45" i="9" s="1"/>
  <c r="H50" i="9" s="1"/>
  <c r="F230" i="8"/>
  <c r="G34" i="8" s="1"/>
  <c r="G35" i="8" s="1"/>
  <c r="F245" i="8"/>
  <c r="R45" i="8"/>
  <c r="G226" i="8"/>
  <c r="F202" i="8"/>
  <c r="R202" i="8" s="1"/>
  <c r="F204" i="8"/>
  <c r="F201" i="8"/>
  <c r="H34" i="9"/>
  <c r="H35" i="9" s="1"/>
  <c r="H37" i="9" s="1"/>
  <c r="G212" i="8"/>
  <c r="G242" i="8" l="1"/>
  <c r="G45" i="8"/>
  <c r="H40" i="9"/>
  <c r="AE2" i="8" s="1"/>
  <c r="AE1" i="8" s="1"/>
  <c r="G200" i="8"/>
  <c r="R201" i="8"/>
  <c r="D14" i="9" s="1"/>
  <c r="D15" i="9" s="1"/>
  <c r="V30" i="8"/>
  <c r="G258" i="8"/>
  <c r="G232" i="8"/>
  <c r="AA232" i="8"/>
  <c r="R245" i="8"/>
  <c r="H54" i="9"/>
  <c r="H219" i="8"/>
  <c r="H220" i="8" s="1"/>
  <c r="H30" i="9"/>
  <c r="H56" i="9"/>
  <c r="G203" i="8" l="1"/>
  <c r="G206" i="8" s="1"/>
  <c r="H57" i="9"/>
  <c r="D16" i="9"/>
  <c r="D17" i="9"/>
  <c r="H221" i="8"/>
  <c r="G202" i="8"/>
  <c r="G201" i="8"/>
  <c r="G245" i="8"/>
  <c r="G204" i="8" l="1"/>
  <c r="G257" i="8"/>
  <c r="G228" i="8"/>
  <c r="H225" i="8"/>
  <c r="H223" i="8"/>
  <c r="I24" i="9" s="1"/>
  <c r="I25" i="9" s="1"/>
  <c r="H224" i="8"/>
  <c r="I33" i="9"/>
  <c r="G259" i="8" l="1"/>
  <c r="G230" i="8"/>
  <c r="H34" i="8" s="1"/>
  <c r="H35" i="8" s="1"/>
  <c r="I34" i="9"/>
  <c r="I35" i="9" s="1"/>
  <c r="H212" i="8"/>
  <c r="H226" i="8"/>
  <c r="I27" i="9"/>
  <c r="I43" i="9"/>
  <c r="I45" i="9" s="1"/>
  <c r="I50" i="9" s="1"/>
  <c r="H213" i="8"/>
  <c r="H200" i="8" l="1"/>
  <c r="H242" i="8"/>
  <c r="H45" i="8"/>
  <c r="I37" i="9"/>
  <c r="I56" i="9" s="1"/>
  <c r="I54" i="9"/>
  <c r="H258" i="8"/>
  <c r="H232" i="8"/>
  <c r="I219" i="8"/>
  <c r="I220" i="8" s="1"/>
  <c r="I30" i="9"/>
  <c r="R203" i="8"/>
  <c r="H245" i="8" l="1"/>
  <c r="H203" i="8"/>
  <c r="H202" i="8"/>
  <c r="H201" i="8"/>
  <c r="I57" i="9"/>
  <c r="I221" i="8"/>
  <c r="R206" i="8"/>
  <c r="R257" i="8" s="1"/>
  <c r="I40" i="9"/>
  <c r="AF2" i="8" s="1"/>
  <c r="AF1" i="8" s="1"/>
  <c r="H206" i="8" l="1"/>
  <c r="H204" i="8"/>
  <c r="J33" i="9"/>
  <c r="H257" i="8" l="1"/>
  <c r="H228" i="8"/>
  <c r="H259" i="8" l="1"/>
  <c r="H230" i="8"/>
  <c r="I34" i="8" s="1"/>
  <c r="I35" i="8" s="1"/>
  <c r="I242" i="8" l="1"/>
  <c r="I200" i="8"/>
  <c r="I45" i="8"/>
  <c r="I203" i="8" l="1"/>
  <c r="I245" i="8"/>
  <c r="I201" i="8"/>
  <c r="I202" i="8"/>
  <c r="I206" i="8" l="1"/>
  <c r="I257" i="8" s="1"/>
  <c r="I209" i="8"/>
  <c r="I204" i="8"/>
  <c r="I223" i="8" l="1"/>
  <c r="I224" i="8"/>
  <c r="I225" i="8"/>
  <c r="J43" i="9" l="1"/>
  <c r="J45" i="9" s="1"/>
  <c r="J50" i="9" s="1"/>
  <c r="I213" i="8"/>
  <c r="J34" i="9"/>
  <c r="J35" i="9" s="1"/>
  <c r="J37" i="9" s="1"/>
  <c r="J40" i="9" s="1"/>
  <c r="AG2" i="8" s="1"/>
  <c r="AG1" i="8" s="1"/>
  <c r="I212" i="8"/>
  <c r="J219" i="8" s="1"/>
  <c r="J220" i="8" s="1"/>
  <c r="J221" i="8" s="1"/>
  <c r="K33" i="9" s="1"/>
  <c r="J24" i="9"/>
  <c r="J25" i="9" s="1"/>
  <c r="I226" i="8"/>
  <c r="J27" i="9" l="1"/>
  <c r="J54" i="9"/>
  <c r="I232" i="8"/>
  <c r="I258" i="8"/>
  <c r="I228" i="8"/>
  <c r="I230" i="8" l="1"/>
  <c r="J34" i="8" s="1"/>
  <c r="J35" i="8" s="1"/>
  <c r="I259" i="8"/>
  <c r="J30" i="9"/>
  <c r="J56" i="9"/>
  <c r="J57" i="9" s="1"/>
  <c r="J45" i="8" l="1"/>
  <c r="J200" i="8"/>
  <c r="J242" i="8"/>
  <c r="J201" i="8" l="1"/>
  <c r="J202" i="8"/>
  <c r="J245" i="8"/>
  <c r="J203" i="8"/>
  <c r="J206" i="8" l="1"/>
  <c r="J257" i="8" s="1"/>
  <c r="J204" i="8"/>
  <c r="J209" i="8"/>
  <c r="R209" i="8"/>
  <c r="J224" i="8" l="1"/>
  <c r="J225" i="8"/>
  <c r="J223" i="8"/>
  <c r="K24" i="9" l="1"/>
  <c r="K25" i="9" s="1"/>
  <c r="J226" i="8"/>
  <c r="K43" i="9"/>
  <c r="K45" i="9" s="1"/>
  <c r="K50" i="9" s="1"/>
  <c r="J213" i="8"/>
  <c r="J212" i="8"/>
  <c r="K219" i="8" s="1"/>
  <c r="K220" i="8" s="1"/>
  <c r="K221" i="8" s="1"/>
  <c r="L33" i="9" s="1"/>
  <c r="K34" i="9"/>
  <c r="K35" i="9" s="1"/>
  <c r="K37" i="9" s="1"/>
  <c r="K40" i="9" s="1"/>
  <c r="AH2" i="8" s="1"/>
  <c r="AH1" i="8" s="1"/>
  <c r="J232" i="8" l="1"/>
  <c r="J258" i="8"/>
  <c r="J228" i="8"/>
  <c r="K27" i="9"/>
  <c r="K54" i="9"/>
  <c r="K30" i="9" l="1"/>
  <c r="K56" i="9"/>
  <c r="K57" i="9" s="1"/>
  <c r="J259" i="8"/>
  <c r="J230" i="8"/>
  <c r="K34" i="8" s="1"/>
  <c r="K35" i="8" s="1"/>
  <c r="K45" i="8" l="1"/>
  <c r="K242" i="8"/>
  <c r="K200" i="8"/>
  <c r="K201" i="8" l="1"/>
  <c r="K202" i="8"/>
  <c r="K203" i="8"/>
  <c r="K245" i="8"/>
  <c r="K206" i="8" l="1"/>
  <c r="K257" i="8" s="1"/>
  <c r="K204" i="8"/>
  <c r="K209" i="8"/>
  <c r="K224" i="8" l="1"/>
  <c r="K225" i="8"/>
  <c r="K223" i="8"/>
  <c r="K212" i="8" l="1"/>
  <c r="L219" i="8" s="1"/>
  <c r="L220" i="8" s="1"/>
  <c r="L221" i="8" s="1"/>
  <c r="M33" i="9" s="1"/>
  <c r="L34" i="9"/>
  <c r="L35" i="9" s="1"/>
  <c r="L37" i="9" s="1"/>
  <c r="L40" i="9" s="1"/>
  <c r="AI2" i="8" s="1"/>
  <c r="AI1" i="8" s="1"/>
  <c r="L24" i="9"/>
  <c r="L25" i="9" s="1"/>
  <c r="K226" i="8"/>
  <c r="L43" i="9"/>
  <c r="L45" i="9" s="1"/>
  <c r="L50" i="9" s="1"/>
  <c r="K213" i="8"/>
  <c r="K258" i="8" l="1"/>
  <c r="K228" i="8"/>
  <c r="K232" i="8"/>
  <c r="L54" i="9"/>
  <c r="L27" i="9"/>
  <c r="K230" i="8" l="1"/>
  <c r="L34" i="8" s="1"/>
  <c r="L35" i="8" s="1"/>
  <c r="K259" i="8"/>
  <c r="L30" i="9"/>
  <c r="L56" i="9"/>
  <c r="L57" i="9" s="1"/>
  <c r="L242" i="8" l="1"/>
  <c r="L45" i="8"/>
  <c r="L200" i="8"/>
  <c r="L202" i="8" l="1"/>
  <c r="L201" i="8"/>
  <c r="L203" i="8"/>
  <c r="L245" i="8"/>
  <c r="L209" i="8" l="1"/>
  <c r="L206" i="8"/>
  <c r="L257" i="8" s="1"/>
  <c r="L204" i="8"/>
  <c r="L225" i="8" l="1"/>
  <c r="L224" i="8"/>
  <c r="L223" i="8"/>
  <c r="L226" i="8" l="1"/>
  <c r="M24" i="9"/>
  <c r="M25" i="9" s="1"/>
  <c r="M34" i="9"/>
  <c r="M35" i="9" s="1"/>
  <c r="M37" i="9" s="1"/>
  <c r="M40" i="9" s="1"/>
  <c r="AJ2" i="8" s="1"/>
  <c r="AJ1" i="8" s="1"/>
  <c r="L212" i="8"/>
  <c r="M219" i="8" s="1"/>
  <c r="M220" i="8" s="1"/>
  <c r="M221" i="8" s="1"/>
  <c r="N33" i="9" s="1"/>
  <c r="M43" i="9"/>
  <c r="M45" i="9" s="1"/>
  <c r="M50" i="9" s="1"/>
  <c r="L213" i="8"/>
  <c r="M54" i="9" l="1"/>
  <c r="M27" i="9"/>
  <c r="L228" i="8"/>
  <c r="L258" i="8"/>
  <c r="L232" i="8"/>
  <c r="L230" i="8" l="1"/>
  <c r="L259" i="8"/>
  <c r="M30" i="9"/>
  <c r="M56" i="9"/>
  <c r="M57" i="9" s="1"/>
  <c r="AA233" i="8" l="1"/>
  <c r="M34" i="8"/>
  <c r="M35" i="8" s="1"/>
  <c r="M242" i="8" l="1"/>
  <c r="M200" i="8"/>
  <c r="M45" i="8"/>
  <c r="M203" i="8" l="1"/>
  <c r="M204" i="8" s="1"/>
  <c r="N200" i="8" s="1"/>
  <c r="M245" i="8"/>
  <c r="M201" i="8"/>
  <c r="M202" i="8"/>
  <c r="N201" i="8" l="1"/>
  <c r="N202" i="8"/>
  <c r="N203" i="8"/>
  <c r="N204" i="8" s="1"/>
  <c r="M209" i="8"/>
  <c r="M206" i="8"/>
  <c r="M257" i="8" s="1"/>
  <c r="M223" i="8" l="1"/>
  <c r="M225" i="8"/>
  <c r="M224" i="8"/>
  <c r="N209" i="8"/>
  <c r="N206" i="8"/>
  <c r="N257" i="8" s="1"/>
  <c r="N34" i="9" l="1"/>
  <c r="N35" i="9" s="1"/>
  <c r="N37" i="9" s="1"/>
  <c r="N40" i="9" s="1"/>
  <c r="M212" i="8"/>
  <c r="N43" i="9"/>
  <c r="N45" i="9" s="1"/>
  <c r="N50" i="9" s="1"/>
  <c r="M213" i="8"/>
  <c r="M226" i="8"/>
  <c r="N24" i="9"/>
  <c r="N25" i="9" s="1"/>
  <c r="N54" i="9" l="1"/>
  <c r="N27" i="9"/>
  <c r="M228" i="8"/>
  <c r="M258" i="8"/>
  <c r="M232" i="8"/>
  <c r="N219" i="8"/>
  <c r="N220" i="8" s="1"/>
  <c r="N221" i="8" s="1"/>
  <c r="O33" i="9" l="1"/>
  <c r="N225" i="8"/>
  <c r="N223" i="8"/>
  <c r="O24" i="9" s="1"/>
  <c r="O25" i="9" s="1"/>
  <c r="N224" i="8"/>
  <c r="M259" i="8"/>
  <c r="M230" i="8"/>
  <c r="N30" i="9"/>
  <c r="N56" i="9"/>
  <c r="N57" i="9" s="1"/>
  <c r="O27" i="9" l="1"/>
  <c r="O43" i="9"/>
  <c r="O45" i="9" s="1"/>
  <c r="O50" i="9" s="1"/>
  <c r="N213" i="8"/>
  <c r="N226" i="8"/>
  <c r="O34" i="9"/>
  <c r="O35" i="9" s="1"/>
  <c r="O37" i="9" s="1"/>
  <c r="O40" i="9" s="1"/>
  <c r="N212" i="8"/>
  <c r="O219" i="8" s="1"/>
  <c r="O220" i="8" s="1"/>
  <c r="O221" i="8" s="1"/>
  <c r="P33" i="9" s="1"/>
  <c r="N232" i="8" l="1"/>
  <c r="N228" i="8"/>
  <c r="N258" i="8"/>
  <c r="O54" i="9"/>
  <c r="O56" i="9"/>
  <c r="O30" i="9"/>
  <c r="O57" i="9" l="1"/>
  <c r="N259" i="8"/>
  <c r="N230" i="8"/>
  <c r="O34" i="8" s="1"/>
  <c r="O35" i="8" s="1"/>
  <c r="O45" i="8" l="1"/>
  <c r="O242" i="8"/>
  <c r="O200" i="8"/>
  <c r="O201" i="8" l="1"/>
  <c r="O202" i="8"/>
  <c r="O203" i="8"/>
  <c r="O206" i="8" s="1"/>
  <c r="O245" i="8"/>
  <c r="O209" i="8" l="1"/>
  <c r="O223" i="8" s="1"/>
  <c r="O257" i="8"/>
  <c r="O204" i="8"/>
  <c r="O224" i="8" l="1"/>
  <c r="P34" i="9" s="1"/>
  <c r="P35" i="9" s="1"/>
  <c r="P37" i="9" s="1"/>
  <c r="P40" i="9" s="1"/>
  <c r="O225" i="8"/>
  <c r="P43" i="9" s="1"/>
  <c r="P45" i="9" s="1"/>
  <c r="P50" i="9" s="1"/>
  <c r="O226" i="8"/>
  <c r="P24" i="9"/>
  <c r="P25" i="9" s="1"/>
  <c r="O213" i="8" l="1"/>
  <c r="O212" i="8"/>
  <c r="P219" i="8" s="1"/>
  <c r="P220" i="8" s="1"/>
  <c r="P221" i="8" s="1"/>
  <c r="Q33" i="9" s="1"/>
  <c r="P27" i="9"/>
  <c r="P54" i="9"/>
  <c r="O232" i="8"/>
  <c r="O258" i="8"/>
  <c r="O228" i="8"/>
  <c r="O230" i="8" l="1"/>
  <c r="P34" i="8" s="1"/>
  <c r="P35" i="8" s="1"/>
  <c r="O259" i="8"/>
  <c r="P56" i="9"/>
  <c r="P57" i="9" s="1"/>
  <c r="P30" i="9"/>
  <c r="P242" i="8" l="1"/>
  <c r="P200" i="8"/>
  <c r="P45" i="8"/>
  <c r="P203" i="8" l="1"/>
  <c r="P206" i="8" s="1"/>
  <c r="P257" i="8" s="1"/>
  <c r="P245" i="8"/>
  <c r="P201" i="8"/>
  <c r="P202" i="8"/>
  <c r="P209" i="8" l="1"/>
  <c r="P224" i="8" s="1"/>
  <c r="P204" i="8"/>
  <c r="P223" i="8" l="1"/>
  <c r="P226" i="8" s="1"/>
  <c r="P225" i="8"/>
  <c r="Q24" i="9"/>
  <c r="Q25" i="9" s="1"/>
  <c r="P212" i="8"/>
  <c r="Q219" i="8" s="1"/>
  <c r="Q220" i="8" s="1"/>
  <c r="Q221" i="8" s="1"/>
  <c r="Q34" i="9"/>
  <c r="Q35" i="9" s="1"/>
  <c r="Q37" i="9" s="1"/>
  <c r="Q40" i="9" s="1"/>
  <c r="P213" i="8"/>
  <c r="Q43" i="9"/>
  <c r="Q45" i="9" s="1"/>
  <c r="Q50" i="9" s="1"/>
  <c r="R221" i="8" l="1"/>
  <c r="R33" i="9"/>
  <c r="D33" i="9" s="1"/>
  <c r="Q54" i="9"/>
  <c r="Q27" i="9"/>
  <c r="P258" i="8"/>
  <c r="P232" i="8"/>
  <c r="P228" i="8"/>
  <c r="P259" i="8" l="1"/>
  <c r="P230" i="8"/>
  <c r="Q34" i="8" s="1"/>
  <c r="Q35" i="8" s="1"/>
  <c r="Q56" i="9"/>
  <c r="Q57" i="9" s="1"/>
  <c r="Q30" i="9"/>
  <c r="W41" i="18"/>
  <c r="L224" i="18"/>
  <c r="Q200" i="8" l="1"/>
  <c r="Q242" i="8"/>
  <c r="Q45" i="8"/>
  <c r="Q203" i="8" l="1"/>
  <c r="Q204" i="8" s="1"/>
  <c r="Q245" i="8"/>
  <c r="Q201" i="8"/>
  <c r="Q202" i="8"/>
  <c r="G22" i="20" l="1"/>
  <c r="G22" i="23" s="1"/>
  <c r="Q209" i="8"/>
  <c r="Q206" i="8"/>
  <c r="Q257" i="8" l="1"/>
  <c r="Q223" i="8"/>
  <c r="Q224" i="8"/>
  <c r="Q225" i="8"/>
  <c r="Q213" i="8" l="1"/>
  <c r="R43" i="9"/>
  <c r="R45" i="9" s="1"/>
  <c r="R50" i="9" s="1"/>
  <c r="Q212" i="8"/>
  <c r="R34" i="9"/>
  <c r="R35" i="9" s="1"/>
  <c r="R37" i="9" s="1"/>
  <c r="R24" i="9"/>
  <c r="R25" i="9" s="1"/>
  <c r="Q226" i="8"/>
  <c r="F183" i="18"/>
  <c r="G32" i="23"/>
  <c r="Q232" i="8" l="1"/>
  <c r="Q258" i="8"/>
  <c r="Q228" i="8"/>
  <c r="R54" i="9"/>
  <c r="R27" i="9"/>
  <c r="F39" i="9"/>
  <c r="R40" i="9"/>
  <c r="R30" i="9" l="1"/>
  <c r="R56" i="9"/>
  <c r="F59" i="9" s="1"/>
  <c r="F29" i="9"/>
  <c r="Q230" i="8"/>
  <c r="Q259" i="8"/>
  <c r="K183" i="18"/>
  <c r="R57" i="9" l="1"/>
  <c r="N45" i="15"/>
  <c r="N47" i="15" s="1"/>
  <c r="N46" i="15" l="1"/>
  <c r="L167" i="18" l="1"/>
  <c r="L236" i="18" l="1"/>
  <c r="L171" i="18"/>
  <c r="L204" i="18" l="1"/>
  <c r="L210" i="18" l="1"/>
  <c r="L206" i="18"/>
  <c r="L237" i="18"/>
  <c r="L238" i="18" l="1"/>
  <c r="M48" i="20"/>
  <c r="M53" i="20" l="1"/>
  <c r="M56" i="20" s="1"/>
  <c r="M58" i="20" l="1"/>
  <c r="M57" i="20"/>
  <c r="M61" i="20" l="1"/>
  <c r="M64" i="20" s="1"/>
  <c r="M66" i="20" l="1"/>
  <c r="M65" i="20"/>
  <c r="G190" i="10" l="1"/>
  <c r="G206" i="10"/>
  <c r="G246" i="10" s="1"/>
  <c r="G277" i="10"/>
  <c r="G45" i="10"/>
  <c r="G67" i="10"/>
  <c r="G248" i="10" l="1"/>
  <c r="H43" i="10" s="1"/>
  <c r="H186" i="10" s="1"/>
  <c r="G265" i="10"/>
  <c r="G266" i="10" s="1"/>
  <c r="G279" i="10"/>
  <c r="G280" i="10" s="1"/>
  <c r="G267" i="10" s="1"/>
  <c r="H187" i="10" l="1"/>
  <c r="H188" i="10"/>
  <c r="H190" i="10" l="1"/>
  <c r="H206" i="10"/>
  <c r="H246" i="10" l="1"/>
  <c r="H277" i="10"/>
  <c r="F57" i="18" l="1"/>
  <c r="C46" i="18"/>
  <c r="F139" i="18" l="1"/>
  <c r="R139" i="18" s="1"/>
  <c r="F121" i="18"/>
  <c r="R121" i="18" s="1"/>
  <c r="U146" i="18"/>
  <c r="R57" i="18"/>
  <c r="F223" i="18"/>
  <c r="T57" i="18" l="1"/>
  <c r="T59" i="18"/>
  <c r="T35" i="18"/>
  <c r="R223" i="18"/>
  <c r="C46" i="14" s="1"/>
  <c r="F141" i="18"/>
  <c r="H5" i="20"/>
  <c r="H5" i="23" s="1"/>
  <c r="F124" i="18"/>
  <c r="G44" i="23" l="1"/>
  <c r="D44" i="23" s="1"/>
  <c r="C14" i="14"/>
  <c r="E46" i="14"/>
  <c r="D46" i="14"/>
  <c r="W35" i="18"/>
  <c r="AD211" i="18"/>
  <c r="F235" i="18"/>
  <c r="I58" i="14" s="1"/>
  <c r="R141" i="18"/>
  <c r="F143" i="18"/>
  <c r="U145" i="18" s="1"/>
  <c r="U147" i="18" s="1"/>
  <c r="U148" i="18" s="1"/>
  <c r="T119" i="18"/>
  <c r="T129" i="18"/>
  <c r="T135" i="18"/>
  <c r="T105" i="18"/>
  <c r="T86" i="18"/>
  <c r="U59" i="18"/>
  <c r="T95" i="18"/>
  <c r="F232" i="18"/>
  <c r="I55" i="14" s="1"/>
  <c r="R124" i="18"/>
  <c r="U57" i="18"/>
  <c r="V57" i="18"/>
  <c r="U150" i="18" l="1"/>
  <c r="C147" i="18" s="1"/>
  <c r="G149" i="18" s="1"/>
  <c r="I28" i="14"/>
  <c r="J58" i="14"/>
  <c r="K58" i="14"/>
  <c r="R232" i="18"/>
  <c r="C55" i="14" s="1"/>
  <c r="T124" i="18"/>
  <c r="T138" i="18"/>
  <c r="V138" i="18" s="1"/>
  <c r="K55" i="14"/>
  <c r="I25" i="14"/>
  <c r="J55" i="14"/>
  <c r="R235" i="18"/>
  <c r="C58" i="14" s="1"/>
  <c r="T141" i="18"/>
  <c r="R143" i="18"/>
  <c r="T143" i="18" s="1"/>
  <c r="C43" i="18" l="1"/>
  <c r="U151" i="18"/>
  <c r="D58" i="14"/>
  <c r="C28" i="14"/>
  <c r="E58" i="14"/>
  <c r="E55" i="14"/>
  <c r="C25" i="14"/>
  <c r="D55" i="14"/>
  <c r="E149" i="18"/>
  <c r="H145" i="19" l="1"/>
  <c r="AG145" i="19" s="1"/>
  <c r="B145" i="19"/>
  <c r="E217" i="18"/>
  <c r="E165" i="18"/>
  <c r="R165" i="18" s="1"/>
  <c r="E176" i="18"/>
  <c r="R40" i="18"/>
  <c r="E216" i="18"/>
  <c r="R39" i="18"/>
  <c r="B12" i="19"/>
  <c r="B17" i="19" s="1"/>
  <c r="B35" i="19" s="1"/>
  <c r="E210" i="18"/>
  <c r="F48" i="20" s="1"/>
  <c r="E41" i="18"/>
  <c r="E182" i="18"/>
  <c r="AH145" i="19" l="1"/>
  <c r="R217" i="18"/>
  <c r="C40" i="14" s="1"/>
  <c r="F174" i="18"/>
  <c r="F176" i="18" s="1"/>
  <c r="G174" i="18" s="1"/>
  <c r="E177" i="18"/>
  <c r="F25" i="20" s="1"/>
  <c r="R216" i="18"/>
  <c r="C39" i="14" s="1"/>
  <c r="D12" i="19"/>
  <c r="F180" i="18"/>
  <c r="F182" i="18" s="1"/>
  <c r="G180" i="18" s="1"/>
  <c r="E183" i="18"/>
  <c r="F35" i="20" s="1"/>
  <c r="T41" i="18"/>
  <c r="D8" i="20" s="1"/>
  <c r="D8" i="23" s="1"/>
  <c r="E46" i="18"/>
  <c r="V41" i="18"/>
  <c r="R41" i="18"/>
  <c r="AA41" i="18" s="1"/>
  <c r="AA3" i="18" s="1"/>
  <c r="F53" i="20"/>
  <c r="F54" i="20" s="1"/>
  <c r="F56" i="20" s="1"/>
  <c r="F50" i="23"/>
  <c r="F55" i="23" s="1"/>
  <c r="F56" i="23" s="1"/>
  <c r="F58" i="23" s="1"/>
  <c r="C181" i="18" l="1"/>
  <c r="C220" i="10" s="1"/>
  <c r="F60" i="23"/>
  <c r="F59" i="23"/>
  <c r="F58" i="20"/>
  <c r="F57" i="20"/>
  <c r="D17" i="19"/>
  <c r="D35" i="19" s="1"/>
  <c r="D158" i="19" s="1"/>
  <c r="E158" i="19" s="1"/>
  <c r="F158" i="19" s="1"/>
  <c r="G158" i="19" s="1"/>
  <c r="AG12" i="19"/>
  <c r="D39" i="14"/>
  <c r="C7" i="14"/>
  <c r="I7" i="14" s="1"/>
  <c r="E39" i="14"/>
  <c r="I39" i="14"/>
  <c r="D25" i="20"/>
  <c r="F25" i="23"/>
  <c r="D25" i="23" s="1"/>
  <c r="M21" i="19"/>
  <c r="M22" i="19" s="1"/>
  <c r="M35" i="19" s="1"/>
  <c r="J21" i="19"/>
  <c r="J22" i="19" s="1"/>
  <c r="J35" i="19" s="1"/>
  <c r="P21" i="19"/>
  <c r="P22" i="19" s="1"/>
  <c r="P35" i="19" s="1"/>
  <c r="E147" i="18"/>
  <c r="G21" i="19"/>
  <c r="G142" i="19" s="1"/>
  <c r="H142" i="19" s="1"/>
  <c r="I142" i="19" s="1"/>
  <c r="C175" i="18"/>
  <c r="F35" i="23"/>
  <c r="D35" i="23" s="1"/>
  <c r="D35" i="20"/>
  <c r="C8" i="14"/>
  <c r="I8" i="14" s="1"/>
  <c r="E40" i="14"/>
  <c r="D40" i="14"/>
  <c r="I40" i="14"/>
  <c r="AG17" i="19" l="1"/>
  <c r="AH12" i="19"/>
  <c r="E148" i="18"/>
  <c r="E151" i="18" s="1"/>
  <c r="B142" i="19"/>
  <c r="J40" i="14"/>
  <c r="K40" i="14"/>
  <c r="C189" i="18"/>
  <c r="C214" i="10"/>
  <c r="C228" i="10" s="1"/>
  <c r="K39" i="14"/>
  <c r="J39" i="14"/>
  <c r="J142" i="19"/>
  <c r="K142" i="19" s="1"/>
  <c r="L142" i="19" s="1"/>
  <c r="M142" i="19" s="1"/>
  <c r="N142" i="19" s="1"/>
  <c r="O142" i="19" s="1"/>
  <c r="P142" i="19" s="1"/>
  <c r="Q142" i="19" s="1"/>
  <c r="R142" i="19" s="1"/>
  <c r="Q189" i="18" l="1"/>
  <c r="I189" i="18"/>
  <c r="I190" i="18" s="1"/>
  <c r="G189" i="18"/>
  <c r="G190" i="18" s="1"/>
  <c r="C193" i="18"/>
  <c r="O189" i="18"/>
  <c r="C190" i="18"/>
  <c r="E189" i="18"/>
  <c r="H189" i="18"/>
  <c r="H190" i="18" s="1"/>
  <c r="L189" i="18"/>
  <c r="L190" i="18" s="1"/>
  <c r="K189" i="18"/>
  <c r="K190" i="18" s="1"/>
  <c r="C194" i="18"/>
  <c r="P189" i="18"/>
  <c r="J189" i="18"/>
  <c r="J190" i="18" s="1"/>
  <c r="N189" i="18"/>
  <c r="F189" i="18"/>
  <c r="F190" i="18" s="1"/>
  <c r="F188" i="18" s="1"/>
  <c r="M189" i="18"/>
  <c r="E47" i="18"/>
  <c r="E167" i="18"/>
  <c r="C232" i="10"/>
  <c r="C233" i="10"/>
  <c r="N228" i="10"/>
  <c r="C229" i="10"/>
  <c r="AG35" i="19"/>
  <c r="AH35" i="19" s="1"/>
  <c r="AH17" i="19"/>
  <c r="R189" i="18" l="1"/>
  <c r="E190" i="18"/>
  <c r="M190" i="18"/>
  <c r="M188" i="18"/>
  <c r="M192" i="18" s="1"/>
  <c r="N188" i="18"/>
  <c r="N192" i="18" s="1"/>
  <c r="N190" i="18"/>
  <c r="N227" i="10"/>
  <c r="N229" i="10"/>
  <c r="T229" i="10" s="1"/>
  <c r="T228" i="10"/>
  <c r="O190" i="18"/>
  <c r="O188" i="18"/>
  <c r="O192" i="18" s="1"/>
  <c r="C238" i="10"/>
  <c r="N233" i="10"/>
  <c r="T233" i="10" s="1"/>
  <c r="P190" i="18"/>
  <c r="P188" i="18"/>
  <c r="P192" i="18" s="1"/>
  <c r="C198" i="18"/>
  <c r="E198" i="18" s="1"/>
  <c r="L193" i="18"/>
  <c r="E193" i="18"/>
  <c r="K193" i="18"/>
  <c r="F193" i="18"/>
  <c r="F192" i="18" s="1"/>
  <c r="H193" i="18"/>
  <c r="J193" i="18"/>
  <c r="I193" i="18"/>
  <c r="G193" i="18"/>
  <c r="N232" i="10"/>
  <c r="T232" i="10" s="1"/>
  <c r="C237" i="10"/>
  <c r="F194" i="18"/>
  <c r="I194" i="18"/>
  <c r="E194" i="18"/>
  <c r="G194" i="18"/>
  <c r="H194" i="18"/>
  <c r="J194" i="18"/>
  <c r="C199" i="18"/>
  <c r="E199" i="18" s="1"/>
  <c r="L194" i="18"/>
  <c r="K194" i="18"/>
  <c r="E236" i="18"/>
  <c r="E206" i="18"/>
  <c r="E238" i="18" s="1"/>
  <c r="E48" i="18"/>
  <c r="E58" i="18" s="1"/>
  <c r="E220" i="18"/>
  <c r="Q190" i="18"/>
  <c r="Q188" i="18"/>
  <c r="Q192" i="18" s="1"/>
  <c r="C227" i="10" l="1"/>
  <c r="N231" i="10"/>
  <c r="T227" i="10"/>
  <c r="R193" i="18"/>
  <c r="E201" i="18"/>
  <c r="E188" i="18"/>
  <c r="E192" i="18" s="1"/>
  <c r="E197" i="18" s="1"/>
  <c r="E202" i="18"/>
  <c r="F33" i="20" s="1"/>
  <c r="R190" i="18"/>
  <c r="E224" i="18"/>
  <c r="E208" i="18"/>
  <c r="F46" i="18" s="1"/>
  <c r="R194" i="18"/>
  <c r="F33" i="23" l="1"/>
  <c r="F34" i="23" s="1"/>
  <c r="F36" i="23" s="1"/>
  <c r="F39" i="23" s="1"/>
  <c r="F34" i="20"/>
  <c r="F36" i="20" s="1"/>
  <c r="F39" i="20" s="1"/>
  <c r="F23" i="20"/>
  <c r="E205" i="18"/>
  <c r="S21" i="19"/>
  <c r="B21" i="19"/>
  <c r="R46" i="18"/>
  <c r="T48" i="18" s="1"/>
  <c r="D10" i="20" s="1"/>
  <c r="D10" i="23" s="1"/>
  <c r="F147" i="18"/>
  <c r="F148" i="18" s="1"/>
  <c r="C231" i="10"/>
  <c r="T231" i="10"/>
  <c r="AG21" i="19" l="1"/>
  <c r="AH21" i="19" s="1"/>
  <c r="S22" i="19"/>
  <c r="S35" i="19" s="1"/>
  <c r="S142" i="19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AE142" i="19" s="1"/>
  <c r="F23" i="23"/>
  <c r="F24" i="23" s="1"/>
  <c r="F26" i="23" s="1"/>
  <c r="F29" i="23" s="1"/>
  <c r="F24" i="20"/>
  <c r="F26" i="20" s="1"/>
  <c r="F29" i="20" s="1"/>
  <c r="F47" i="18"/>
  <c r="V148" i="18"/>
  <c r="B143" i="19"/>
  <c r="X146" i="18"/>
  <c r="F220" i="18" l="1"/>
  <c r="I11" i="14" s="1"/>
  <c r="F48" i="18"/>
  <c r="I143" i="19"/>
  <c r="I150" i="19" s="1"/>
  <c r="I156" i="19" s="1"/>
  <c r="Z143" i="19"/>
  <c r="Z150" i="19" s="1"/>
  <c r="Z156" i="19" s="1"/>
  <c r="M143" i="19"/>
  <c r="M150" i="19" s="1"/>
  <c r="M156" i="19" s="1"/>
  <c r="J143" i="19"/>
  <c r="J150" i="19" s="1"/>
  <c r="J156" i="19" s="1"/>
  <c r="AB143" i="19"/>
  <c r="AB150" i="19" s="1"/>
  <c r="AB156" i="19" s="1"/>
  <c r="Q143" i="19"/>
  <c r="Q150" i="19" s="1"/>
  <c r="Q156" i="19" s="1"/>
  <c r="K143" i="19"/>
  <c r="K150" i="19" s="1"/>
  <c r="K156" i="19" s="1"/>
  <c r="P143" i="19"/>
  <c r="P150" i="19" s="1"/>
  <c r="P156" i="19" s="1"/>
  <c r="S143" i="19"/>
  <c r="S150" i="19" s="1"/>
  <c r="S156" i="19" s="1"/>
  <c r="AD143" i="19"/>
  <c r="AD150" i="19" s="1"/>
  <c r="AD156" i="19" s="1"/>
  <c r="X143" i="19"/>
  <c r="X150" i="19" s="1"/>
  <c r="X156" i="19" s="1"/>
  <c r="Y143" i="19"/>
  <c r="Y150" i="19" s="1"/>
  <c r="Y156" i="19" s="1"/>
  <c r="O143" i="19"/>
  <c r="O150" i="19" s="1"/>
  <c r="O156" i="19" s="1"/>
  <c r="L143" i="19"/>
  <c r="L150" i="19" s="1"/>
  <c r="L156" i="19" s="1"/>
  <c r="H143" i="19"/>
  <c r="V143" i="19"/>
  <c r="V150" i="19" s="1"/>
  <c r="V156" i="19" s="1"/>
  <c r="AE143" i="19"/>
  <c r="AE150" i="19" s="1"/>
  <c r="AE156" i="19" s="1"/>
  <c r="AC143" i="19"/>
  <c r="AC150" i="19" s="1"/>
  <c r="AC156" i="19" s="1"/>
  <c r="T143" i="19"/>
  <c r="T150" i="19" s="1"/>
  <c r="T156" i="19" s="1"/>
  <c r="B150" i="19"/>
  <c r="B156" i="19" s="1"/>
  <c r="W143" i="19"/>
  <c r="W150" i="19" s="1"/>
  <c r="W156" i="19" s="1"/>
  <c r="U143" i="19"/>
  <c r="U150" i="19" s="1"/>
  <c r="U156" i="19" s="1"/>
  <c r="N143" i="19"/>
  <c r="N150" i="19" s="1"/>
  <c r="N156" i="19" s="1"/>
  <c r="AA143" i="19"/>
  <c r="AA150" i="19" s="1"/>
  <c r="AA156" i="19" s="1"/>
  <c r="R143" i="19"/>
  <c r="R150" i="19" s="1"/>
  <c r="R156" i="19" s="1"/>
  <c r="F58" i="18" l="1"/>
  <c r="F150" i="18" s="1"/>
  <c r="T43" i="18"/>
  <c r="H150" i="19"/>
  <c r="H156" i="19" s="1"/>
  <c r="H158" i="19" s="1"/>
  <c r="I158" i="19" s="1"/>
  <c r="J158" i="19" s="1"/>
  <c r="K158" i="19" s="1"/>
  <c r="L158" i="19" s="1"/>
  <c r="M158" i="19" s="1"/>
  <c r="N158" i="19" s="1"/>
  <c r="O158" i="19" s="1"/>
  <c r="P158" i="19" s="1"/>
  <c r="Q158" i="19" s="1"/>
  <c r="R158" i="19" s="1"/>
  <c r="S158" i="19" s="1"/>
  <c r="T158" i="19" s="1"/>
  <c r="U158" i="19" s="1"/>
  <c r="V158" i="19" s="1"/>
  <c r="W158" i="19" s="1"/>
  <c r="X158" i="19" s="1"/>
  <c r="Y158" i="19" s="1"/>
  <c r="Z158" i="19" s="1"/>
  <c r="AA158" i="19" s="1"/>
  <c r="AB158" i="19" s="1"/>
  <c r="AC158" i="19" s="1"/>
  <c r="AD158" i="19" s="1"/>
  <c r="AE158" i="19" s="1"/>
  <c r="AG143" i="19"/>
  <c r="F152" i="18" l="1"/>
  <c r="AG150" i="19"/>
  <c r="AH143" i="19"/>
  <c r="F224" i="18"/>
  <c r="F151" i="18" l="1"/>
  <c r="G147" i="18" s="1"/>
  <c r="G148" i="18" s="1"/>
  <c r="G47" i="18" s="1"/>
  <c r="F167" i="18"/>
  <c r="AG156" i="19"/>
  <c r="AH156" i="19" s="1"/>
  <c r="AH150" i="19"/>
  <c r="F236" i="18" l="1"/>
  <c r="I59" i="14" s="1"/>
  <c r="F171" i="18"/>
  <c r="G48" i="18"/>
  <c r="G58" i="18" s="1"/>
  <c r="G220" i="18"/>
  <c r="G224" i="18" l="1"/>
  <c r="F185" i="18"/>
  <c r="F204" i="18"/>
  <c r="J59" i="14"/>
  <c r="K59" i="14"/>
  <c r="F206" i="18" l="1"/>
  <c r="F210" i="18"/>
  <c r="G48" i="20" s="1"/>
  <c r="F200" i="18"/>
  <c r="F203" i="18" s="1"/>
  <c r="G42" i="20" s="1"/>
  <c r="F196" i="18"/>
  <c r="F199" i="18" l="1"/>
  <c r="F202" i="18" s="1"/>
  <c r="G33" i="20" s="1"/>
  <c r="F198" i="18"/>
  <c r="G43" i="20"/>
  <c r="G42" i="23"/>
  <c r="G45" i="23" s="1"/>
  <c r="G50" i="23"/>
  <c r="G55" i="23" s="1"/>
  <c r="G56" i="23" s="1"/>
  <c r="G58" i="23" s="1"/>
  <c r="G53" i="20"/>
  <c r="G54" i="20" s="1"/>
  <c r="G56" i="20" s="1"/>
  <c r="F208" i="18"/>
  <c r="G150" i="18" s="1"/>
  <c r="F238" i="18"/>
  <c r="G152" i="18" l="1"/>
  <c r="G161" i="18"/>
  <c r="G163" i="18" s="1"/>
  <c r="H158" i="18" s="1"/>
  <c r="H159" i="18" s="1"/>
  <c r="G57" i="20"/>
  <c r="G58" i="20"/>
  <c r="G59" i="23"/>
  <c r="G60" i="23"/>
  <c r="G47" i="23"/>
  <c r="G46" i="23"/>
  <c r="G44" i="20"/>
  <c r="G45" i="20"/>
  <c r="F201" i="18"/>
  <c r="F197" i="18"/>
  <c r="G34" i="20"/>
  <c r="G36" i="20" s="1"/>
  <c r="G39" i="20" s="1"/>
  <c r="G33" i="23"/>
  <c r="G34" i="23" s="1"/>
  <c r="G36" i="23" s="1"/>
  <c r="G39" i="23" s="1"/>
  <c r="F205" i="18" l="1"/>
  <c r="G23" i="20"/>
  <c r="G151" i="18"/>
  <c r="H147" i="18" s="1"/>
  <c r="G167" i="18"/>
  <c r="G171" i="18" l="1"/>
  <c r="G236" i="18"/>
  <c r="H148" i="18"/>
  <c r="H149" i="18"/>
  <c r="R149" i="18" s="1"/>
  <c r="F12" i="11" s="1"/>
  <c r="G24" i="20"/>
  <c r="G26" i="20" s="1"/>
  <c r="G29" i="20" s="1"/>
  <c r="G23" i="23"/>
  <c r="G24" i="23" s="1"/>
  <c r="G26" i="23" s="1"/>
  <c r="G29" i="23" s="1"/>
  <c r="H47" i="18" l="1"/>
  <c r="G204" i="18"/>
  <c r="G175" i="18"/>
  <c r="G181" i="18"/>
  <c r="G166" i="18"/>
  <c r="G185" i="18" l="1"/>
  <c r="G200" i="18" s="1"/>
  <c r="G203" i="18" s="1"/>
  <c r="H42" i="20" s="1"/>
  <c r="G183" i="18"/>
  <c r="G182" i="18"/>
  <c r="H180" i="18" s="1"/>
  <c r="H32" i="20"/>
  <c r="H32" i="23" s="1"/>
  <c r="H22" i="20"/>
  <c r="H22" i="23" s="1"/>
  <c r="G177" i="18"/>
  <c r="G176" i="18"/>
  <c r="H174" i="18" s="1"/>
  <c r="G210" i="18"/>
  <c r="H48" i="20" s="1"/>
  <c r="H53" i="20" s="1"/>
  <c r="H54" i="20" s="1"/>
  <c r="H56" i="20" s="1"/>
  <c r="G237" i="18"/>
  <c r="G206" i="18"/>
  <c r="H220" i="18"/>
  <c r="H48" i="18"/>
  <c r="H58" i="18" s="1"/>
  <c r="G188" i="18" l="1"/>
  <c r="G192" i="18" s="1"/>
  <c r="G196" i="18"/>
  <c r="G198" i="18" s="1"/>
  <c r="H224" i="18"/>
  <c r="G238" i="18"/>
  <c r="G208" i="18"/>
  <c r="H150" i="18" s="1"/>
  <c r="H152" i="18" s="1"/>
  <c r="H57" i="20"/>
  <c r="H58" i="20"/>
  <c r="H42" i="23"/>
  <c r="H45" i="23" s="1"/>
  <c r="H43" i="20"/>
  <c r="G199" i="18" l="1"/>
  <c r="G202" i="18" s="1"/>
  <c r="H33" i="20" s="1"/>
  <c r="H33" i="23" s="1"/>
  <c r="H34" i="23" s="1"/>
  <c r="H36" i="23" s="1"/>
  <c r="H39" i="23" s="1"/>
  <c r="G197" i="18"/>
  <c r="G201" i="18"/>
  <c r="H161" i="18"/>
  <c r="H163" i="18" s="1"/>
  <c r="I158" i="18" s="1"/>
  <c r="I159" i="18" s="1"/>
  <c r="R159" i="18" s="1"/>
  <c r="H47" i="23"/>
  <c r="H46" i="23"/>
  <c r="H44" i="20"/>
  <c r="H45" i="20"/>
  <c r="H34" i="20" l="1"/>
  <c r="H36" i="20" s="1"/>
  <c r="H39" i="20" s="1"/>
  <c r="H151" i="18"/>
  <c r="I147" i="18" s="1"/>
  <c r="I148" i="18" s="1"/>
  <c r="I47" i="18" s="1"/>
  <c r="H167" i="18"/>
  <c r="H23" i="20"/>
  <c r="G205" i="18"/>
  <c r="H24" i="20" l="1"/>
  <c r="H26" i="20" s="1"/>
  <c r="H29" i="20" s="1"/>
  <c r="H23" i="23"/>
  <c r="H24" i="23" s="1"/>
  <c r="H26" i="23" s="1"/>
  <c r="H29" i="23" s="1"/>
  <c r="I220" i="18"/>
  <c r="I48" i="18"/>
  <c r="I58" i="18" s="1"/>
  <c r="H171" i="18"/>
  <c r="H236" i="18"/>
  <c r="I224" i="18" l="1"/>
  <c r="H181" i="18"/>
  <c r="H204" i="18"/>
  <c r="H175" i="18"/>
  <c r="H166" i="18"/>
  <c r="H185" i="18" l="1"/>
  <c r="H196" i="18" s="1"/>
  <c r="H176" i="18"/>
  <c r="I174" i="18" s="1"/>
  <c r="H177" i="18"/>
  <c r="I22" i="20"/>
  <c r="I22" i="23" s="1"/>
  <c r="H237" i="18"/>
  <c r="H210" i="18"/>
  <c r="I48" i="20" s="1"/>
  <c r="I53" i="20" s="1"/>
  <c r="I54" i="20" s="1"/>
  <c r="I56" i="20" s="1"/>
  <c r="H206" i="18"/>
  <c r="H183" i="18"/>
  <c r="H182" i="18"/>
  <c r="I180" i="18" s="1"/>
  <c r="R180" i="18" s="1"/>
  <c r="I32" i="20"/>
  <c r="H200" i="18" l="1"/>
  <c r="H203" i="18" s="1"/>
  <c r="I42" i="20" s="1"/>
  <c r="I43" i="20" s="1"/>
  <c r="I57" i="20"/>
  <c r="I58" i="20"/>
  <c r="I61" i="20" s="1"/>
  <c r="I64" i="20" s="1"/>
  <c r="H188" i="18"/>
  <c r="H192" i="18" s="1"/>
  <c r="I32" i="23"/>
  <c r="H238" i="18"/>
  <c r="H208" i="18"/>
  <c r="I150" i="18" s="1"/>
  <c r="H198" i="18"/>
  <c r="H201" i="18" s="1"/>
  <c r="H199" i="18"/>
  <c r="H202" i="18" s="1"/>
  <c r="I33" i="20" s="1"/>
  <c r="I33" i="23" s="1"/>
  <c r="I34" i="23" l="1"/>
  <c r="I36" i="23" s="1"/>
  <c r="I39" i="23" s="1"/>
  <c r="I152" i="18"/>
  <c r="I42" i="23"/>
  <c r="I45" i="23" s="1"/>
  <c r="I47" i="23" s="1"/>
  <c r="I44" i="20"/>
  <c r="I45" i="20"/>
  <c r="I34" i="20"/>
  <c r="I36" i="20" s="1"/>
  <c r="I39" i="20" s="1"/>
  <c r="H197" i="18"/>
  <c r="H205" i="18"/>
  <c r="I23" i="20"/>
  <c r="I66" i="20"/>
  <c r="I65" i="20"/>
  <c r="I161" i="18"/>
  <c r="I46" i="23" l="1"/>
  <c r="R161" i="18"/>
  <c r="I163" i="18"/>
  <c r="I23" i="23"/>
  <c r="I24" i="23" s="1"/>
  <c r="I26" i="23" s="1"/>
  <c r="I29" i="23" s="1"/>
  <c r="I24" i="20"/>
  <c r="I26" i="20" s="1"/>
  <c r="I29" i="20" s="1"/>
  <c r="I151" i="18"/>
  <c r="J147" i="18" s="1"/>
  <c r="J148" i="18" s="1"/>
  <c r="J47" i="18" s="1"/>
  <c r="I167" i="18"/>
  <c r="I236" i="18" l="1"/>
  <c r="I171" i="18"/>
  <c r="J220" i="18"/>
  <c r="J48" i="18"/>
  <c r="J58" i="18" s="1"/>
  <c r="J224" i="18" l="1"/>
  <c r="I204" i="18"/>
  <c r="I181" i="18"/>
  <c r="I175" i="18"/>
  <c r="I166" i="18"/>
  <c r="I185" i="18" l="1"/>
  <c r="I188" i="18"/>
  <c r="I192" i="18" s="1"/>
  <c r="I177" i="18"/>
  <c r="I176" i="18"/>
  <c r="J174" i="18" s="1"/>
  <c r="J22" i="20"/>
  <c r="J22" i="23" s="1"/>
  <c r="I183" i="18"/>
  <c r="I182" i="18"/>
  <c r="J32" i="20"/>
  <c r="I210" i="18"/>
  <c r="I237" i="18"/>
  <c r="I206" i="18"/>
  <c r="I196" i="18" l="1"/>
  <c r="I199" i="18" s="1"/>
  <c r="I202" i="18" s="1"/>
  <c r="J33" i="20" s="1"/>
  <c r="J34" i="20" s="1"/>
  <c r="J36" i="20" s="1"/>
  <c r="J39" i="20" s="1"/>
  <c r="J48" i="20"/>
  <c r="J53" i="20" s="1"/>
  <c r="J54" i="20" s="1"/>
  <c r="J56" i="20" s="1"/>
  <c r="J58" i="20" s="1"/>
  <c r="J61" i="20" s="1"/>
  <c r="J64" i="20" s="1"/>
  <c r="I238" i="18"/>
  <c r="I208" i="18"/>
  <c r="J150" i="18" s="1"/>
  <c r="J152" i="18" s="1"/>
  <c r="I200" i="18" l="1"/>
  <c r="I203" i="18" s="1"/>
  <c r="J42" i="20" s="1"/>
  <c r="J42" i="23" s="1"/>
  <c r="J45" i="23" s="1"/>
  <c r="J47" i="23" s="1"/>
  <c r="I198" i="18"/>
  <c r="I201" i="18" s="1"/>
  <c r="J23" i="20" s="1"/>
  <c r="J23" i="23" s="1"/>
  <c r="J24" i="23" s="1"/>
  <c r="J26" i="23" s="1"/>
  <c r="J29" i="23" s="1"/>
  <c r="J57" i="20"/>
  <c r="J167" i="18"/>
  <c r="J151" i="18"/>
  <c r="K147" i="18" s="1"/>
  <c r="K148" i="18" s="1"/>
  <c r="J65" i="20"/>
  <c r="J66" i="20"/>
  <c r="I197" i="18" l="1"/>
  <c r="J43" i="20"/>
  <c r="J45" i="20" s="1"/>
  <c r="J46" i="23"/>
  <c r="J24" i="20"/>
  <c r="J26" i="20" s="1"/>
  <c r="J29" i="20" s="1"/>
  <c r="I205" i="18"/>
  <c r="J44" i="20"/>
  <c r="R148" i="18"/>
  <c r="H6" i="20" s="1"/>
  <c r="K47" i="18"/>
  <c r="J236" i="18"/>
  <c r="J171" i="18"/>
  <c r="J204" i="18" l="1"/>
  <c r="J181" i="18"/>
  <c r="J175" i="18"/>
  <c r="K220" i="18"/>
  <c r="R47" i="18"/>
  <c r="K48" i="18"/>
  <c r="H7" i="20"/>
  <c r="H6" i="23"/>
  <c r="J185" i="18" l="1"/>
  <c r="J196" i="18" s="1"/>
  <c r="J200" i="18" s="1"/>
  <c r="J203" i="18" s="1"/>
  <c r="K42" i="20" s="1"/>
  <c r="K58" i="18"/>
  <c r="R48" i="18"/>
  <c r="H9" i="20"/>
  <c r="H9" i="23" s="1"/>
  <c r="H7" i="23"/>
  <c r="H8" i="20"/>
  <c r="H8" i="23" s="1"/>
  <c r="R220" i="18"/>
  <c r="C43" i="14" s="1"/>
  <c r="V151" i="18"/>
  <c r="K22" i="20"/>
  <c r="K22" i="23" s="1"/>
  <c r="J177" i="18"/>
  <c r="J176" i="18"/>
  <c r="K174" i="18" s="1"/>
  <c r="R174" i="18" s="1"/>
  <c r="K32" i="20"/>
  <c r="J183" i="18"/>
  <c r="J182" i="18"/>
  <c r="K182" i="18" s="1"/>
  <c r="J237" i="18"/>
  <c r="J210" i="18"/>
  <c r="J206" i="18"/>
  <c r="J199" i="18" l="1"/>
  <c r="J202" i="18" s="1"/>
  <c r="J198" i="18"/>
  <c r="J201" i="18" s="1"/>
  <c r="K23" i="20" s="1"/>
  <c r="K24" i="20" s="1"/>
  <c r="K26" i="20" s="1"/>
  <c r="K29" i="20" s="1"/>
  <c r="K48" i="20"/>
  <c r="K53" i="20" s="1"/>
  <c r="K56" i="20" s="1"/>
  <c r="K58" i="20" s="1"/>
  <c r="K61" i="20" s="1"/>
  <c r="K64" i="20" s="1"/>
  <c r="K33" i="20"/>
  <c r="K34" i="20" s="1"/>
  <c r="K36" i="20" s="1"/>
  <c r="K39" i="20" s="1"/>
  <c r="I43" i="14"/>
  <c r="D43" i="14"/>
  <c r="E43" i="14"/>
  <c r="L181" i="18"/>
  <c r="L182" i="18" s="1"/>
  <c r="J238" i="18"/>
  <c r="J208" i="18"/>
  <c r="J188" i="18"/>
  <c r="J192" i="18" s="1"/>
  <c r="J197" i="18" s="1"/>
  <c r="D5" i="20"/>
  <c r="D5" i="23" s="1"/>
  <c r="T46" i="18"/>
  <c r="D9" i="20" s="1"/>
  <c r="D9" i="23" s="1"/>
  <c r="K42" i="23"/>
  <c r="K45" i="23" s="1"/>
  <c r="K43" i="20"/>
  <c r="K224" i="18"/>
  <c r="R58" i="18"/>
  <c r="R224" i="18" s="1"/>
  <c r="C47" i="14" s="1"/>
  <c r="J205" i="18" l="1"/>
  <c r="K57" i="20"/>
  <c r="K23" i="23"/>
  <c r="K24" i="23" s="1"/>
  <c r="K26" i="23" s="1"/>
  <c r="K29" i="23" s="1"/>
  <c r="L183" i="18"/>
  <c r="M32" i="20"/>
  <c r="L185" i="18"/>
  <c r="L196" i="18" s="1"/>
  <c r="R181" i="18"/>
  <c r="F43" i="14"/>
  <c r="F42" i="14"/>
  <c r="F46" i="14"/>
  <c r="F40" i="14"/>
  <c r="E47" i="14"/>
  <c r="F47" i="14" s="1"/>
  <c r="F39" i="14"/>
  <c r="F44" i="14"/>
  <c r="F41" i="14"/>
  <c r="D47" i="14"/>
  <c r="F45" i="14"/>
  <c r="K46" i="23"/>
  <c r="K47" i="23"/>
  <c r="K65" i="20"/>
  <c r="K66" i="20"/>
  <c r="K43" i="14"/>
  <c r="I47" i="14"/>
  <c r="L43" i="14" s="1"/>
  <c r="J43" i="14"/>
  <c r="R150" i="18"/>
  <c r="K151" i="18"/>
  <c r="W151" i="18" s="1"/>
  <c r="K167" i="18"/>
  <c r="K44" i="20"/>
  <c r="K45" i="20"/>
  <c r="L47" i="14" l="1"/>
  <c r="L42" i="14"/>
  <c r="J47" i="14"/>
  <c r="L39" i="14"/>
  <c r="I61" i="14"/>
  <c r="K47" i="14"/>
  <c r="L40" i="14"/>
  <c r="L41" i="14"/>
  <c r="L44" i="14"/>
  <c r="L199" i="18"/>
  <c r="L202" i="18" s="1"/>
  <c r="M33" i="20" s="1"/>
  <c r="M34" i="20" s="1"/>
  <c r="M36" i="20" s="1"/>
  <c r="L198" i="18"/>
  <c r="L201" i="18" s="1"/>
  <c r="L200" i="18"/>
  <c r="L203" i="18" s="1"/>
  <c r="M42" i="20" s="1"/>
  <c r="M43" i="20" s="1"/>
  <c r="R167" i="18"/>
  <c r="R236" i="18" s="1"/>
  <c r="C59" i="14" s="1"/>
  <c r="K236" i="18"/>
  <c r="K171" i="18"/>
  <c r="L188" i="18"/>
  <c r="L192" i="18" s="1"/>
  <c r="R183" i="18"/>
  <c r="C183" i="18"/>
  <c r="L197" i="18" l="1"/>
  <c r="K175" i="18"/>
  <c r="K185" i="18" s="1"/>
  <c r="K196" i="18" s="1"/>
  <c r="K204" i="18"/>
  <c r="R171" i="18"/>
  <c r="D59" i="14"/>
  <c r="E59" i="14"/>
  <c r="L54" i="14"/>
  <c r="L57" i="14"/>
  <c r="I60" i="14"/>
  <c r="L61" i="14"/>
  <c r="L56" i="14"/>
  <c r="L50" i="14"/>
  <c r="K61" i="14"/>
  <c r="J61" i="14"/>
  <c r="L59" i="14"/>
  <c r="L51" i="14"/>
  <c r="L52" i="14"/>
  <c r="L58" i="14"/>
  <c r="L53" i="14"/>
  <c r="L55" i="14"/>
  <c r="M44" i="20"/>
  <c r="M45" i="20"/>
  <c r="M23" i="20"/>
  <c r="M24" i="20" s="1"/>
  <c r="M26" i="20" s="1"/>
  <c r="L205" i="18"/>
  <c r="K199" i="18" l="1"/>
  <c r="K198" i="18"/>
  <c r="R196" i="18"/>
  <c r="K200" i="18"/>
  <c r="K237" i="18"/>
  <c r="K210" i="18"/>
  <c r="C210" i="18" s="1"/>
  <c r="K206" i="18"/>
  <c r="R204" i="18"/>
  <c r="J60" i="14"/>
  <c r="K60" i="14"/>
  <c r="L60" i="14"/>
  <c r="R175" i="18"/>
  <c r="K177" i="18"/>
  <c r="K176" i="18"/>
  <c r="L22" i="20"/>
  <c r="D22" i="20" l="1"/>
  <c r="L22" i="23"/>
  <c r="D22" i="23" s="1"/>
  <c r="K238" i="18"/>
  <c r="K208" i="18"/>
  <c r="L208" i="18" s="1"/>
  <c r="R206" i="18"/>
  <c r="R237" i="18"/>
  <c r="C60" i="14" s="1"/>
  <c r="D14" i="20"/>
  <c r="D13" i="20"/>
  <c r="D16" i="20"/>
  <c r="L48" i="20"/>
  <c r="K188" i="18"/>
  <c r="C177" i="18"/>
  <c r="R177" i="18"/>
  <c r="K203" i="18"/>
  <c r="R200" i="18"/>
  <c r="R198" i="18"/>
  <c r="K201" i="18"/>
  <c r="R201" i="18" s="1"/>
  <c r="K202" i="18"/>
  <c r="R199" i="18"/>
  <c r="D14" i="23" l="1"/>
  <c r="AF211" i="18"/>
  <c r="L42" i="20"/>
  <c r="R203" i="18"/>
  <c r="E60" i="14"/>
  <c r="D60" i="14"/>
  <c r="D13" i="23"/>
  <c r="AC206" i="18"/>
  <c r="D15" i="20"/>
  <c r="D15" i="23" s="1"/>
  <c r="T208" i="18"/>
  <c r="R238" i="18"/>
  <c r="C61" i="14" s="1"/>
  <c r="AA206" i="18"/>
  <c r="L23" i="20"/>
  <c r="K205" i="18"/>
  <c r="R205" i="18" s="1"/>
  <c r="M208" i="18"/>
  <c r="AA208" i="18"/>
  <c r="K192" i="18"/>
  <c r="R188" i="18"/>
  <c r="C188" i="18"/>
  <c r="L33" i="20"/>
  <c r="L34" i="20" s="1"/>
  <c r="R202" i="18"/>
  <c r="F50" i="20"/>
  <c r="L53" i="20"/>
  <c r="D48" i="20"/>
  <c r="F49" i="20"/>
  <c r="D16" i="23"/>
  <c r="AI211" i="18"/>
  <c r="L23" i="23" l="1"/>
  <c r="L24" i="23" s="1"/>
  <c r="L26" i="23" s="1"/>
  <c r="L29" i="23" s="1"/>
  <c r="L24" i="20"/>
  <c r="D23" i="20"/>
  <c r="N208" i="18"/>
  <c r="N55" i="15"/>
  <c r="N56" i="15" s="1"/>
  <c r="N58" i="15" s="1"/>
  <c r="L36" i="20"/>
  <c r="D34" i="20"/>
  <c r="L54" i="20"/>
  <c r="L56" i="20" s="1"/>
  <c r="D61" i="14"/>
  <c r="E61" i="14"/>
  <c r="F60" i="14" s="1"/>
  <c r="L42" i="23"/>
  <c r="L45" i="23" s="1"/>
  <c r="L43" i="20"/>
  <c r="D42" i="20"/>
  <c r="C192" i="18"/>
  <c r="K197" i="18"/>
  <c r="R192" i="18"/>
  <c r="L58" i="20" l="1"/>
  <c r="L57" i="20"/>
  <c r="T57" i="20" s="1"/>
  <c r="W72" i="20" s="1"/>
  <c r="F37" i="20"/>
  <c r="D36" i="20"/>
  <c r="L39" i="20"/>
  <c r="M39" i="20" s="1"/>
  <c r="N39" i="20" s="1"/>
  <c r="O39" i="20" s="1"/>
  <c r="P39" i="20" s="1"/>
  <c r="Q39" i="20" s="1"/>
  <c r="R39" i="20" s="1"/>
  <c r="F38" i="20"/>
  <c r="L44" i="20"/>
  <c r="D44" i="20" s="1"/>
  <c r="L45" i="20"/>
  <c r="D45" i="20" s="1"/>
  <c r="D43" i="20"/>
  <c r="L46" i="23"/>
  <c r="L47" i="23"/>
  <c r="F56" i="14"/>
  <c r="F50" i="14"/>
  <c r="F57" i="14"/>
  <c r="F53" i="14"/>
  <c r="F61" i="14"/>
  <c r="F51" i="14"/>
  <c r="F59" i="14"/>
  <c r="F52" i="14"/>
  <c r="F58" i="14"/>
  <c r="F54" i="14"/>
  <c r="F55" i="14"/>
  <c r="O208" i="18"/>
  <c r="O55" i="15"/>
  <c r="O56" i="15" s="1"/>
  <c r="O58" i="15" s="1"/>
  <c r="L26" i="20"/>
  <c r="D24" i="20"/>
  <c r="C197" i="18"/>
  <c r="R197" i="18"/>
  <c r="T54" i="20"/>
  <c r="F55" i="20"/>
  <c r="AA210" i="18" s="1"/>
  <c r="P55" i="15" l="1"/>
  <c r="P56" i="15" s="1"/>
  <c r="P58" i="15" s="1"/>
  <c r="P208" i="18"/>
  <c r="L29" i="20"/>
  <c r="M29" i="20" s="1"/>
  <c r="N29" i="20" s="1"/>
  <c r="O29" i="20" s="1"/>
  <c r="P29" i="20" s="1"/>
  <c r="Q29" i="20" s="1"/>
  <c r="R29" i="20" s="1"/>
  <c r="F28" i="20"/>
  <c r="D26" i="20"/>
  <c r="F27" i="20"/>
  <c r="T58" i="20"/>
  <c r="V72" i="20" s="1"/>
  <c r="L61" i="20"/>
  <c r="L64" i="20" s="1"/>
  <c r="L66" i="20" l="1"/>
  <c r="L65" i="20"/>
  <c r="Q55" i="15"/>
  <c r="Q56" i="15" s="1"/>
  <c r="Q58" i="15" s="1"/>
  <c r="Q208" i="18"/>
  <c r="R55" i="15" s="1"/>
  <c r="R56" i="15" s="1"/>
  <c r="R58" i="15" s="1"/>
  <c r="D45" i="23" l="1"/>
  <c r="D46" i="23"/>
  <c r="D47" i="23"/>
  <c r="S60" i="18" l="1"/>
  <c r="C31" i="14" l="1"/>
  <c r="F22" i="14" s="1"/>
  <c r="F80" i="14"/>
  <c r="F82" i="14"/>
  <c r="F86" i="14"/>
  <c r="F87" i="14"/>
  <c r="C90" i="14"/>
  <c r="F90" i="14"/>
  <c r="I280" i="10"/>
  <c r="T280" i="10"/>
  <c r="F25" i="14" l="1"/>
  <c r="F31" i="14"/>
  <c r="F24" i="14"/>
  <c r="F85" i="14"/>
  <c r="F83" i="14"/>
  <c r="F84" i="14"/>
  <c r="F81" i="14"/>
  <c r="F27" i="14"/>
  <c r="F21" i="14"/>
  <c r="F26" i="14"/>
  <c r="F20" i="14"/>
  <c r="F32" i="14"/>
  <c r="F23" i="14"/>
  <c r="F28" i="14"/>
  <c r="G12" i="11" l="1"/>
  <c r="D23" i="23"/>
  <c r="M23" i="23"/>
  <c r="D24" i="23"/>
  <c r="M24" i="23"/>
  <c r="D26" i="23"/>
  <c r="M26" i="23"/>
  <c r="F27" i="23"/>
  <c r="F28" i="23"/>
  <c r="M29" i="23"/>
  <c r="N29" i="23"/>
  <c r="O29" i="23"/>
  <c r="P29" i="23"/>
  <c r="Q29" i="23"/>
  <c r="R29" i="23"/>
  <c r="J32" i="23"/>
  <c r="K32" i="23"/>
  <c r="L32" i="23"/>
  <c r="M32" i="23"/>
  <c r="J33" i="23"/>
  <c r="K33" i="23"/>
  <c r="L33" i="23"/>
  <c r="M33" i="23"/>
  <c r="D34" i="23"/>
  <c r="J34" i="23"/>
  <c r="K34" i="23"/>
  <c r="L34" i="23"/>
  <c r="M34" i="23"/>
  <c r="D36" i="23"/>
  <c r="J36" i="23"/>
  <c r="K36" i="23"/>
  <c r="L36" i="23"/>
  <c r="M36" i="23"/>
  <c r="F37" i="23"/>
  <c r="F38" i="23"/>
  <c r="J39" i="23"/>
  <c r="K39" i="23"/>
  <c r="L39" i="23"/>
  <c r="M39" i="23"/>
  <c r="N39" i="23"/>
  <c r="O39" i="23"/>
  <c r="P39" i="23"/>
  <c r="Q39" i="23"/>
  <c r="R39" i="23"/>
  <c r="D42" i="23"/>
  <c r="M42" i="23"/>
  <c r="M45" i="23"/>
  <c r="M46" i="23"/>
  <c r="M47" i="23"/>
  <c r="D50" i="23"/>
  <c r="H50" i="23"/>
  <c r="I50" i="23"/>
  <c r="J50" i="23"/>
  <c r="K50" i="23"/>
  <c r="L50" i="23"/>
  <c r="M50" i="23"/>
  <c r="F51" i="23"/>
  <c r="F52" i="23"/>
  <c r="H55" i="23"/>
  <c r="I55" i="23"/>
  <c r="J55" i="23"/>
  <c r="K55" i="23"/>
  <c r="L55" i="23"/>
  <c r="M55" i="23"/>
  <c r="H56" i="23"/>
  <c r="I56" i="23"/>
  <c r="J56" i="23"/>
  <c r="L56" i="23"/>
  <c r="T56" i="23"/>
  <c r="F57" i="23"/>
  <c r="H58" i="23"/>
  <c r="I58" i="23"/>
  <c r="J58" i="23"/>
  <c r="K58" i="23"/>
  <c r="L58" i="23"/>
  <c r="M58" i="23"/>
  <c r="H59" i="23"/>
  <c r="I59" i="23"/>
  <c r="J59" i="23"/>
  <c r="K59" i="23"/>
  <c r="L59" i="23"/>
  <c r="M59" i="23"/>
  <c r="T59" i="23"/>
  <c r="H60" i="23"/>
  <c r="I60" i="23"/>
  <c r="J60" i="23"/>
  <c r="K60" i="23"/>
  <c r="L60" i="23"/>
  <c r="M60" i="23"/>
  <c r="T60" i="23"/>
  <c r="I63" i="23"/>
  <c r="J63" i="23"/>
  <c r="K63" i="23"/>
  <c r="L63" i="23"/>
  <c r="M63" i="23"/>
  <c r="I66" i="23"/>
  <c r="J66" i="23"/>
  <c r="K66" i="23"/>
  <c r="L66" i="23"/>
  <c r="M66" i="23"/>
  <c r="I67" i="23"/>
  <c r="J67" i="23"/>
  <c r="K67" i="23"/>
  <c r="L67" i="23"/>
  <c r="M67" i="23"/>
  <c r="I68" i="23"/>
  <c r="J68" i="23"/>
  <c r="K68" i="23"/>
  <c r="L68" i="23"/>
  <c r="M68" i="23"/>
  <c r="V74" i="23"/>
  <c r="W74" i="23"/>
  <c r="F7" i="14"/>
  <c r="L7" i="14"/>
  <c r="F8" i="14"/>
  <c r="L8" i="14"/>
  <c r="F9" i="14"/>
  <c r="L9" i="14"/>
  <c r="C10" i="14"/>
  <c r="F10" i="14"/>
  <c r="I10" i="14"/>
  <c r="L10" i="14"/>
  <c r="C11" i="14"/>
  <c r="F11" i="14"/>
  <c r="L11" i="14"/>
  <c r="F12" i="14"/>
  <c r="L12" i="14"/>
  <c r="F13" i="14"/>
  <c r="L13" i="14"/>
  <c r="F14" i="14"/>
  <c r="L14" i="14"/>
  <c r="F15" i="14"/>
  <c r="L15" i="14"/>
  <c r="F16" i="14"/>
  <c r="L16" i="14"/>
  <c r="C17" i="14"/>
  <c r="F17" i="14"/>
  <c r="I17" i="14"/>
  <c r="L17" i="14"/>
  <c r="L20" i="14"/>
  <c r="L21" i="14"/>
  <c r="L22" i="14"/>
  <c r="L23" i="14"/>
  <c r="L24" i="14"/>
  <c r="L25" i="14"/>
  <c r="L26" i="14"/>
  <c r="L27" i="14"/>
  <c r="L28" i="14"/>
  <c r="C29" i="14"/>
  <c r="F29" i="14"/>
  <c r="I29" i="14"/>
  <c r="L29" i="14"/>
  <c r="C30" i="14"/>
  <c r="F30" i="14"/>
  <c r="I30" i="14"/>
  <c r="L30" i="14"/>
  <c r="I31" i="14"/>
  <c r="L31" i="14"/>
  <c r="F69" i="14"/>
  <c r="L69" i="14"/>
  <c r="F70" i="14"/>
  <c r="L70" i="14"/>
  <c r="F71" i="14"/>
  <c r="L71" i="14"/>
  <c r="C72" i="14"/>
  <c r="F72" i="14"/>
  <c r="I72" i="14"/>
  <c r="L72" i="14"/>
  <c r="C73" i="14"/>
  <c r="F73" i="14"/>
  <c r="I73" i="14"/>
  <c r="L73" i="14"/>
  <c r="F74" i="14"/>
  <c r="L74" i="14"/>
  <c r="F75" i="14"/>
  <c r="L75" i="14"/>
  <c r="F76" i="14"/>
  <c r="L76" i="14"/>
  <c r="C77" i="14"/>
  <c r="F77" i="14"/>
  <c r="I77" i="14"/>
  <c r="L77" i="14"/>
  <c r="L80" i="14"/>
  <c r="L81" i="14"/>
  <c r="L82" i="14"/>
  <c r="L83" i="14"/>
  <c r="L84" i="14"/>
  <c r="L85" i="14"/>
  <c r="L86" i="14"/>
  <c r="L87" i="14"/>
  <c r="C88" i="14"/>
  <c r="F88" i="14"/>
  <c r="I88" i="14"/>
  <c r="L88" i="14"/>
  <c r="C89" i="14"/>
  <c r="F89" i="14"/>
  <c r="I89" i="14"/>
  <c r="L89" i="14"/>
  <c r="I90" i="14"/>
  <c r="L90" i="14"/>
  <c r="I42" i="10"/>
  <c r="T42" i="10"/>
  <c r="C43" i="10"/>
  <c r="I43" i="10"/>
  <c r="J43" i="10"/>
  <c r="K43" i="10"/>
  <c r="L43" i="10"/>
  <c r="M43" i="10"/>
  <c r="T43" i="10"/>
  <c r="H44" i="10"/>
  <c r="I44" i="10"/>
  <c r="J44" i="10"/>
  <c r="K44" i="10"/>
  <c r="L44" i="10"/>
  <c r="M44" i="10"/>
  <c r="N44" i="10"/>
  <c r="O44" i="10"/>
  <c r="P44" i="10"/>
  <c r="Q44" i="10"/>
  <c r="R44" i="10"/>
  <c r="T44" i="10"/>
  <c r="H45" i="10"/>
  <c r="I45" i="10"/>
  <c r="J45" i="10"/>
  <c r="K45" i="10"/>
  <c r="L45" i="10"/>
  <c r="M45" i="10"/>
  <c r="N45" i="10"/>
  <c r="O45" i="10"/>
  <c r="P45" i="10"/>
  <c r="Q45" i="10"/>
  <c r="R45" i="10"/>
  <c r="T45" i="10"/>
  <c r="H67" i="10"/>
  <c r="I67" i="10"/>
  <c r="J67" i="10"/>
  <c r="K67" i="10"/>
  <c r="L67" i="10"/>
  <c r="M67" i="10"/>
  <c r="N67" i="10"/>
  <c r="O67" i="10"/>
  <c r="P67" i="10"/>
  <c r="Q67" i="10"/>
  <c r="R67" i="10"/>
  <c r="T67" i="10"/>
  <c r="V67" i="10"/>
  <c r="W185" i="10"/>
  <c r="X185" i="10"/>
  <c r="C186" i="10"/>
  <c r="I186" i="10"/>
  <c r="J186" i="10"/>
  <c r="K186" i="10"/>
  <c r="L186" i="10"/>
  <c r="M186" i="10"/>
  <c r="N186" i="10"/>
  <c r="O186" i="10"/>
  <c r="P186" i="10"/>
  <c r="Q186" i="10"/>
  <c r="R186" i="10"/>
  <c r="I187" i="10"/>
  <c r="J187" i="10"/>
  <c r="K187" i="10"/>
  <c r="L187" i="10"/>
  <c r="M187" i="10"/>
  <c r="N187" i="10"/>
  <c r="O187" i="10"/>
  <c r="P187" i="10"/>
  <c r="Q187" i="10"/>
  <c r="R187" i="10"/>
  <c r="T187" i="10"/>
  <c r="W187" i="10"/>
  <c r="I188" i="10"/>
  <c r="J188" i="10"/>
  <c r="K188" i="10"/>
  <c r="L188" i="10"/>
  <c r="M188" i="10"/>
  <c r="N188" i="10"/>
  <c r="O188" i="10"/>
  <c r="P188" i="10"/>
  <c r="Q188" i="10"/>
  <c r="R188" i="10"/>
  <c r="T188" i="10"/>
  <c r="W188" i="10"/>
  <c r="X188" i="10"/>
  <c r="K189" i="10"/>
  <c r="L189" i="10"/>
  <c r="M189" i="10"/>
  <c r="N189" i="10"/>
  <c r="O189" i="10"/>
  <c r="P189" i="10"/>
  <c r="Q189" i="10"/>
  <c r="R189" i="10"/>
  <c r="T189" i="10"/>
  <c r="I190" i="10"/>
  <c r="J190" i="10"/>
  <c r="K190" i="10"/>
  <c r="L190" i="10"/>
  <c r="M190" i="10"/>
  <c r="N190" i="10"/>
  <c r="O190" i="10"/>
  <c r="P190" i="10"/>
  <c r="Q190" i="10"/>
  <c r="R190" i="10"/>
  <c r="W190" i="10"/>
  <c r="W191" i="10"/>
  <c r="L197" i="10"/>
  <c r="M197" i="10"/>
  <c r="N197" i="10"/>
  <c r="O197" i="10"/>
  <c r="P197" i="10"/>
  <c r="Q197" i="10"/>
  <c r="R197" i="10"/>
  <c r="T197" i="10"/>
  <c r="I199" i="10"/>
  <c r="J199" i="10"/>
  <c r="K199" i="10"/>
  <c r="L199" i="10"/>
  <c r="M199" i="10"/>
  <c r="N199" i="10"/>
  <c r="O199" i="10"/>
  <c r="P199" i="10"/>
  <c r="Q199" i="10"/>
  <c r="R199" i="10"/>
  <c r="T199" i="10"/>
  <c r="I200" i="10"/>
  <c r="J200" i="10"/>
  <c r="K200" i="10"/>
  <c r="L200" i="10"/>
  <c r="M200" i="10"/>
  <c r="N200" i="10"/>
  <c r="O200" i="10"/>
  <c r="P200" i="10"/>
  <c r="Q200" i="10"/>
  <c r="R200" i="10"/>
  <c r="T200" i="10"/>
  <c r="I201" i="10"/>
  <c r="T201" i="10"/>
  <c r="K202" i="10"/>
  <c r="L202" i="10"/>
  <c r="M202" i="10"/>
  <c r="N202" i="10"/>
  <c r="O202" i="10"/>
  <c r="P202" i="10"/>
  <c r="Q202" i="10"/>
  <c r="R202" i="10"/>
  <c r="T202" i="10"/>
  <c r="N203" i="10"/>
  <c r="I204" i="10"/>
  <c r="J204" i="10"/>
  <c r="K204" i="10"/>
  <c r="L204" i="10"/>
  <c r="M204" i="10"/>
  <c r="N204" i="10"/>
  <c r="O204" i="10"/>
  <c r="P204" i="10"/>
  <c r="Q204" i="10"/>
  <c r="R204" i="10"/>
  <c r="T204" i="10"/>
  <c r="I206" i="10"/>
  <c r="J206" i="10"/>
  <c r="K206" i="10"/>
  <c r="L206" i="10"/>
  <c r="M206" i="10"/>
  <c r="N206" i="10"/>
  <c r="O206" i="10"/>
  <c r="P206" i="10"/>
  <c r="Q206" i="10"/>
  <c r="R206" i="10"/>
  <c r="T206" i="10"/>
  <c r="I210" i="10"/>
  <c r="J210" i="10"/>
  <c r="K210" i="10"/>
  <c r="L210" i="10"/>
  <c r="M210" i="10"/>
  <c r="N210" i="10"/>
  <c r="O210" i="10"/>
  <c r="P210" i="10"/>
  <c r="Q210" i="10"/>
  <c r="R210" i="10"/>
  <c r="T210" i="10"/>
  <c r="L219" i="10"/>
  <c r="M219" i="10"/>
  <c r="N219" i="10"/>
  <c r="T219" i="10"/>
  <c r="K220" i="10"/>
  <c r="L220" i="10"/>
  <c r="M220" i="10"/>
  <c r="N220" i="10"/>
  <c r="T220" i="10"/>
  <c r="K221" i="10"/>
  <c r="L221" i="10"/>
  <c r="M221" i="10"/>
  <c r="N221" i="10"/>
  <c r="O221" i="10"/>
  <c r="P221" i="10"/>
  <c r="Q221" i="10"/>
  <c r="R221" i="10"/>
  <c r="C222" i="10"/>
  <c r="K222" i="10"/>
  <c r="L222" i="10"/>
  <c r="M222" i="10"/>
  <c r="N222" i="10"/>
  <c r="T222" i="10"/>
  <c r="I224" i="10"/>
  <c r="J224" i="10"/>
  <c r="K224" i="10"/>
  <c r="L224" i="10"/>
  <c r="M224" i="10"/>
  <c r="N224" i="10"/>
  <c r="N235" i="10"/>
  <c r="T235" i="10"/>
  <c r="C236" i="10"/>
  <c r="N236" i="10"/>
  <c r="T236" i="10"/>
  <c r="N237" i="10"/>
  <c r="T237" i="10"/>
  <c r="N238" i="10"/>
  <c r="T238" i="10"/>
  <c r="I239" i="10"/>
  <c r="J239" i="10"/>
  <c r="K239" i="10"/>
  <c r="L239" i="10"/>
  <c r="M239" i="10"/>
  <c r="N239" i="10"/>
  <c r="T239" i="10"/>
  <c r="N240" i="10"/>
  <c r="T240" i="10"/>
  <c r="K241" i="10"/>
  <c r="L241" i="10"/>
  <c r="M241" i="10"/>
  <c r="N241" i="10"/>
  <c r="T241" i="10"/>
  <c r="N242" i="10"/>
  <c r="T242" i="10"/>
  <c r="I244" i="10"/>
  <c r="J244" i="10"/>
  <c r="K244" i="10"/>
  <c r="L244" i="10"/>
  <c r="M244" i="10"/>
  <c r="N244" i="10"/>
  <c r="T244" i="10"/>
  <c r="N245" i="10"/>
  <c r="I246" i="10"/>
  <c r="J246" i="10"/>
  <c r="K246" i="10"/>
  <c r="L246" i="10"/>
  <c r="M246" i="10"/>
  <c r="N246" i="10"/>
  <c r="O246" i="10"/>
  <c r="P246" i="10"/>
  <c r="Q246" i="10"/>
  <c r="R246" i="10"/>
  <c r="T246" i="10"/>
  <c r="H248" i="10"/>
  <c r="I248" i="10"/>
  <c r="J248" i="10"/>
  <c r="K248" i="10"/>
  <c r="L248" i="10"/>
  <c r="M248" i="10"/>
  <c r="N248" i="10"/>
  <c r="O248" i="10"/>
  <c r="P248" i="10"/>
  <c r="Q248" i="10"/>
  <c r="R248" i="10"/>
  <c r="I250" i="10"/>
  <c r="J250" i="10"/>
  <c r="K250" i="10"/>
  <c r="L250" i="10"/>
  <c r="M250" i="10"/>
  <c r="N250" i="10"/>
  <c r="T250" i="10"/>
  <c r="I260" i="10"/>
  <c r="T260" i="10"/>
  <c r="H261" i="10"/>
  <c r="I261" i="10"/>
  <c r="J261" i="10"/>
  <c r="K261" i="10"/>
  <c r="L261" i="10"/>
  <c r="M261" i="10"/>
  <c r="N261" i="10"/>
  <c r="O261" i="10"/>
  <c r="P261" i="10"/>
  <c r="Q261" i="10"/>
  <c r="R261" i="10"/>
  <c r="T261" i="10"/>
  <c r="H265" i="10"/>
  <c r="I265" i="10"/>
  <c r="J265" i="10"/>
  <c r="K265" i="10"/>
  <c r="L265" i="10"/>
  <c r="M265" i="10"/>
  <c r="N265" i="10"/>
  <c r="O265" i="10"/>
  <c r="P265" i="10"/>
  <c r="Q265" i="10"/>
  <c r="R265" i="10"/>
  <c r="T265" i="10"/>
  <c r="H266" i="10"/>
  <c r="I266" i="10"/>
  <c r="J266" i="10"/>
  <c r="K266" i="10"/>
  <c r="L266" i="10"/>
  <c r="M266" i="10"/>
  <c r="N266" i="10"/>
  <c r="O266" i="10"/>
  <c r="P266" i="10"/>
  <c r="Q266" i="10"/>
  <c r="R266" i="10"/>
  <c r="T266" i="10"/>
  <c r="H267" i="10"/>
  <c r="I267" i="10"/>
  <c r="J267" i="10"/>
  <c r="K267" i="10"/>
  <c r="L267" i="10"/>
  <c r="M267" i="10"/>
  <c r="N267" i="10"/>
  <c r="O267" i="10"/>
  <c r="P267" i="10"/>
  <c r="Q267" i="10"/>
  <c r="R267" i="10"/>
  <c r="I277" i="10"/>
  <c r="J277" i="10"/>
  <c r="K277" i="10"/>
  <c r="L277" i="10"/>
  <c r="M277" i="10"/>
  <c r="N277" i="10"/>
  <c r="O277" i="10"/>
  <c r="P277" i="10"/>
  <c r="Q277" i="10"/>
  <c r="R277" i="10"/>
  <c r="T277" i="10"/>
  <c r="J278" i="10"/>
  <c r="K278" i="10"/>
  <c r="L278" i="10"/>
  <c r="M278" i="10"/>
  <c r="N278" i="10"/>
  <c r="T278" i="10"/>
  <c r="H279" i="10"/>
  <c r="I279" i="10"/>
  <c r="J279" i="10"/>
  <c r="K279" i="10"/>
  <c r="L279" i="10"/>
  <c r="M279" i="10"/>
  <c r="N279" i="10"/>
  <c r="O279" i="10"/>
  <c r="P279" i="10"/>
  <c r="Q279" i="10"/>
  <c r="R279" i="10"/>
  <c r="T279" i="10"/>
  <c r="H280" i="10"/>
  <c r="J280" i="10"/>
  <c r="K280" i="10"/>
  <c r="L280" i="10"/>
  <c r="M280" i="10"/>
  <c r="N280" i="10"/>
  <c r="O280" i="10"/>
  <c r="P280" i="10"/>
  <c r="Q280" i="10"/>
  <c r="R280" i="10"/>
  <c r="D5" i="15"/>
  <c r="H5" i="15"/>
  <c r="H7" i="15"/>
  <c r="H8" i="15"/>
  <c r="D9" i="15"/>
  <c r="H9" i="15"/>
  <c r="D10" i="15"/>
  <c r="H10" i="15"/>
  <c r="H11" i="15"/>
  <c r="D14" i="15"/>
  <c r="D15" i="15"/>
  <c r="D16" i="15"/>
  <c r="D17" i="15"/>
  <c r="D23" i="15"/>
  <c r="M23" i="15"/>
  <c r="D24" i="15"/>
  <c r="M24" i="15"/>
  <c r="D26" i="15"/>
  <c r="M26" i="15"/>
  <c r="F27" i="15"/>
  <c r="F28" i="15"/>
  <c r="M29" i="15"/>
  <c r="N29" i="15"/>
  <c r="O29" i="15"/>
  <c r="P29" i="15"/>
  <c r="Q29" i="15"/>
  <c r="R29" i="15"/>
  <c r="J32" i="15"/>
  <c r="K32" i="15"/>
  <c r="L32" i="15"/>
  <c r="M32" i="15"/>
  <c r="J33" i="15"/>
  <c r="K33" i="15"/>
  <c r="L33" i="15"/>
  <c r="M33" i="15"/>
  <c r="D34" i="15"/>
  <c r="J34" i="15"/>
  <c r="K34" i="15"/>
  <c r="L34" i="15"/>
  <c r="M34" i="15"/>
  <c r="D36" i="15"/>
  <c r="J36" i="15"/>
  <c r="K36" i="15"/>
  <c r="L36" i="15"/>
  <c r="M36" i="15"/>
  <c r="F37" i="15"/>
  <c r="F38" i="15"/>
  <c r="J39" i="15"/>
  <c r="K39" i="15"/>
  <c r="L39" i="15"/>
  <c r="M39" i="15"/>
  <c r="N39" i="15"/>
  <c r="O39" i="15"/>
  <c r="P39" i="15"/>
  <c r="Q39" i="15"/>
  <c r="R39" i="15"/>
  <c r="D42" i="15"/>
  <c r="M42" i="15"/>
  <c r="D45" i="15"/>
  <c r="M45" i="15"/>
  <c r="D46" i="15"/>
  <c r="M46" i="15"/>
  <c r="D47" i="15"/>
  <c r="M47" i="15"/>
  <c r="D50" i="15"/>
  <c r="H50" i="15"/>
  <c r="I50" i="15"/>
  <c r="J50" i="15"/>
  <c r="K50" i="15"/>
  <c r="L50" i="15"/>
  <c r="M50" i="15"/>
  <c r="F51" i="15"/>
  <c r="F52" i="15"/>
  <c r="H55" i="15"/>
  <c r="I55" i="15"/>
  <c r="J55" i="15"/>
  <c r="K55" i="15"/>
  <c r="L55" i="15"/>
  <c r="M55" i="15"/>
  <c r="H56" i="15"/>
  <c r="I56" i="15"/>
  <c r="J56" i="15"/>
  <c r="L56" i="15"/>
  <c r="T56" i="15"/>
  <c r="H58" i="15"/>
  <c r="I58" i="15"/>
  <c r="J58" i="15"/>
  <c r="K58" i="15"/>
  <c r="L58" i="15"/>
  <c r="M58" i="15"/>
  <c r="V7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tc={BE605D4E-650E-4066-98DD-423863D8B869}</author>
    <author>tc={ED28E232-DF7D-43CC-80F0-F38559733A4E}</author>
  </authors>
  <commentList>
    <comment ref="C36" authorId="0" shapeId="0" xr:uid="{BE605D4E-650E-4066-98DD-423863D8B8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Reduced original assumption slightly to account for condo owners covering some portion of operating costs </t>
      </text>
    </comment>
    <comment ref="E42" authorId="1" shapeId="0" xr:uid="{ED28E232-DF7D-43CC-80F0-F38559733A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Reduce occupancy assumption to 0% for months outside the rental start and finish range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tc={3D2028C7-7376-4C69-93D5-4EB74EA353AD}</author>
    <author>tc={18F44849-2B23-4F0A-9367-CA4106B565CF}</author>
    <author>tc={C3354625-C3A3-4C20-B699-D2E3416A4FFA}</author>
    <author>tc={7CC1D38D-69B0-1C44-B0F4-53545704A35C}</author>
    <author>tc={5233710C-BDF5-0444-9EF1-625BAD1578DD}</author>
  </authors>
  <commentList>
    <comment ref="C34" authorId="0" shapeId="0" xr:uid="{3D2028C7-7376-4C69-93D5-4EB74EA353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Larger than sum of draws due to capitalized interest and fees. </t>
      </text>
    </comment>
    <comment ref="T34" authorId="1" shapeId="0" xr:uid="{18F44849-2B23-4F0A-9367-CA4106B565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 required cash equity by a portion of the land contributed</t>
      </text>
    </comment>
    <comment ref="B203" authorId="2" shapeId="0" xr:uid="{C3354625-C3A3-4C20-B699-D2E3416A4FF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repayment greater than loan balance because it includes interest beyond the initial 3 years included in interest reserve</t>
      </text>
    </comment>
    <comment ref="G266" authorId="3" shapeId="0" xr:uid="{7CC1D38D-69B0-1C44-B0F4-53545704A35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225 SF for Loft</t>
      </text>
    </comment>
    <comment ref="G267" authorId="4" shapeId="0" xr:uid="{5233710C-BDF5-0444-9EF1-625BAD1578D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250 sf for 3rd bedroom on base level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Madsen</author>
  </authors>
  <commentList>
    <comment ref="D7" authorId="0" shapeId="0" xr:uid="{EA6AAAB2-33AB-403B-900B-6722D9E18583}">
      <text>
        <r>
          <rPr>
            <b/>
            <sz val="9"/>
            <color rgb="FF000000"/>
            <rFont val="Tahoma"/>
            <family val="2"/>
          </rPr>
          <t>Keith Madsen: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Cottages 2000 SQFT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Joshua Walton</author>
    <author>tc={DBB088E1-9873-4147-A041-E741AC90B0EC}</author>
  </authors>
  <commentList>
    <comment ref="W67" authorId="0" shapeId="0" xr:uid="{F83BB62D-6563-479C-9B73-A662E2FD3BEC}">
      <text>
        <r>
          <rPr>
            <b/>
            <sz val="9"/>
            <color indexed="81"/>
            <rFont val="Tahoma"/>
            <family val="2"/>
          </rPr>
          <t>Joshua Walton:</t>
        </r>
        <r>
          <rPr>
            <sz val="9"/>
            <color indexed="81"/>
            <rFont val="Tahoma"/>
            <family val="2"/>
          </rPr>
          <t xml:space="preserve">
Needs to be 50% or lower for banks</t>
        </r>
      </text>
    </comment>
    <comment ref="B155" authorId="1" shapeId="0" xr:uid="{DBB088E1-9873-4147-A041-E741AC90B0E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@Ladd Morgan @Gary Wilson we need breakouts on these similar to the Resi Consultants on the next round.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tc={C2F39324-6A97-4A22-805A-668C886C3A08}</author>
  </authors>
  <commentList>
    <comment ref="B16" authorId="0" shapeId="0" xr:uid="{C2F39324-6A97-4A22-805A-668C886C3A08}">
      <text>
        <t>[Threaded comment]
Your version of Excel allows you to read this threaded comment; however, any edits to it will get removed if the file is opened in a newer version of Excel. Learn more: https://go.microsoft.com/fwlink/?linkid=870924
Comment:
    Subtract Brundage % owned rooms from total occupancy % and remaining occupancy % is attributed to condos. Condo revenue split with condo owners.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tc={0690F9D1-1C3E-47D3-B221-20761CDCA852}</author>
  </authors>
  <commentList>
    <comment ref="B4" authorId="0" shapeId="0" xr:uid="{0690F9D1-1C3E-47D3-B221-20761CDCA85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confirm how to calculate these for Amenity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<sst xmlns="http://schemas.openxmlformats.org/spreadsheetml/2006/main" count="1775" uniqueCount="848">
  <si>
    <t>CLARENDON - LAND+HOME, AMENITY+HOTEL DEVELOPMENT - ASSUMPTIONS</t>
  </si>
  <si>
    <t>OVERALL ASSUMPTIONS</t>
  </si>
  <si>
    <t>General</t>
  </si>
  <si>
    <t>Debt Financing</t>
  </si>
  <si>
    <t>LAND + HOME</t>
  </si>
  <si>
    <t>AMENITY + HOTEL</t>
  </si>
  <si>
    <t>Sub-Debt/ Equity Financing</t>
  </si>
  <si>
    <t>Land &amp; Infrastructure</t>
  </si>
  <si>
    <t>Development Start Date</t>
  </si>
  <si>
    <t>Origination Year</t>
  </si>
  <si>
    <t>Pref Accrual Rate</t>
  </si>
  <si>
    <t>Acres</t>
  </si>
  <si>
    <t>Value</t>
  </si>
  <si>
    <t>Development Start Year</t>
  </si>
  <si>
    <t>Original Term (Years)</t>
  </si>
  <si>
    <t>EB-5 Interest Rate</t>
  </si>
  <si>
    <t>Total Land</t>
  </si>
  <si>
    <t xml:space="preserve"> </t>
  </si>
  <si>
    <t>Underwritten LTC</t>
  </si>
  <si>
    <t>EB-5 Origination Fee</t>
  </si>
  <si>
    <t>RESI</t>
  </si>
  <si>
    <t>Repayment Waterfall</t>
  </si>
  <si>
    <t>Interest Rate</t>
  </si>
  <si>
    <t>EB-5 Exit Fee</t>
  </si>
  <si>
    <t>Loan</t>
  </si>
  <si>
    <t>Debt Placement &amp; Origination Fee</t>
  </si>
  <si>
    <t>Bridge Loan Placement Fee</t>
  </si>
  <si>
    <t>N/A</t>
  </si>
  <si>
    <t>Infrastructure Cost</t>
  </si>
  <si>
    <t>Preferred Return</t>
  </si>
  <si>
    <t>1 Year Extension Fee</t>
  </si>
  <si>
    <t>Bridge Loan Interest Rate</t>
  </si>
  <si>
    <t>Capital Return</t>
  </si>
  <si>
    <t>Financing Cost Gross-up</t>
  </si>
  <si>
    <t>GP Promote Split</t>
  </si>
  <si>
    <t>LAND + HOME ASSUMPTIONS</t>
  </si>
  <si>
    <t>Build / Sale Cost</t>
  </si>
  <si>
    <t>Unit Mix</t>
  </si>
  <si>
    <t>Unit Sales</t>
  </si>
  <si>
    <t>Vertical Construction Cost psft</t>
  </si>
  <si>
    <t>Avg Size</t>
  </si>
  <si>
    <t>PPSF</t>
  </si>
  <si>
    <t>Escalation</t>
  </si>
  <si>
    <t>Sales Price Scalar</t>
  </si>
  <si>
    <t>Vertical Construction Costs Scalar</t>
  </si>
  <si>
    <t>Homesites</t>
  </si>
  <si>
    <t>Net Profit %</t>
  </si>
  <si>
    <t>Cost of Sale - RE Fees</t>
  </si>
  <si>
    <t>Village</t>
  </si>
  <si>
    <t>Phantom Tax Rate</t>
  </si>
  <si>
    <t>Real Estate Taxes (Annual) / mils</t>
  </si>
  <si>
    <t>Cottages</t>
  </si>
  <si>
    <t>AMENITY + HOTEL ASSUMPTIONS</t>
  </si>
  <si>
    <t>Hotel Details</t>
  </si>
  <si>
    <t>Hotel Guest Rooms</t>
  </si>
  <si>
    <t>Build Cost</t>
  </si>
  <si>
    <t>Start Date</t>
  </si>
  <si>
    <t>Lodge Rooms</t>
  </si>
  <si>
    <t>Villa/Cabin</t>
  </si>
  <si>
    <t>Auton. Tents</t>
  </si>
  <si>
    <t>Member Dues / year / unit</t>
  </si>
  <si>
    <t>Guest Rooms</t>
  </si>
  <si>
    <t>Loan Interest Rate</t>
  </si>
  <si>
    <t>SQFT</t>
  </si>
  <si>
    <t>Loan Origination Fees</t>
  </si>
  <si>
    <t>Sales Price / SF</t>
  </si>
  <si>
    <t>Disposition Year</t>
  </si>
  <si>
    <t>Average Daily Rate</t>
  </si>
  <si>
    <t>Terminal Cap Rate</t>
  </si>
  <si>
    <t>Average Sales Price</t>
  </si>
  <si>
    <t>Selling Costs</t>
  </si>
  <si>
    <t>Sales Price Escalation</t>
  </si>
  <si>
    <t>Hold Period</t>
  </si>
  <si>
    <t>% Rooms for Sale</t>
  </si>
  <si>
    <t>Hotel Room Rent Growth Rate</t>
  </si>
  <si>
    <t>Hotel Days</t>
  </si>
  <si>
    <t>Hotel Rooms Operating Cost</t>
  </si>
  <si>
    <t>Condo Owner Revenue Split</t>
  </si>
  <si>
    <t>Bar Details</t>
  </si>
  <si>
    <t>Avg</t>
  </si>
  <si>
    <t>Seasonal Occupancy - Hotel</t>
  </si>
  <si>
    <t>Available room/nights</t>
  </si>
  <si>
    <t>Conference Center Occupancy</t>
  </si>
  <si>
    <t>Paid Room Nights</t>
  </si>
  <si>
    <t>Adj. Conf Center Occupancy</t>
  </si>
  <si>
    <t>Bar Revenue (% of Room Rev)</t>
  </si>
  <si>
    <t>Bar COS (% of Bar Rev)</t>
  </si>
  <si>
    <t>Total Rooms</t>
  </si>
  <si>
    <t>Condos</t>
  </si>
  <si>
    <t>Spa / Wellness Center Details</t>
  </si>
  <si>
    <t>Conf Center Rental Rates</t>
  </si>
  <si>
    <t>Avg Daily Hotel Rates - Lodge Rooms</t>
  </si>
  <si>
    <t>Avg Daily Hotel Rates - Villa/ Cabin</t>
  </si>
  <si>
    <t>Avg Daily Hotel Rates - Cottages</t>
  </si>
  <si>
    <t>Spa / Wellness Center Revenue (% of Room Rev)</t>
  </si>
  <si>
    <t>Avg Daily Hotel Rates - Auton. Tents</t>
  </si>
  <si>
    <t>Avg Daily Hotel Rates - Total</t>
  </si>
  <si>
    <t>Spa / Wellness Center COS (% Spa Revenue)</t>
  </si>
  <si>
    <t>Avg Daily Rates - Villa/ Cabin Condo</t>
  </si>
  <si>
    <t>Avg Daily Rates - Cottages Condo</t>
  </si>
  <si>
    <t>Restaurant / Event Center</t>
  </si>
  <si>
    <t>Availability</t>
  </si>
  <si>
    <t>F&amp;B Revenue (% Rooms Revenue)</t>
  </si>
  <si>
    <t>F&amp;B COS (% F&amp;B Revenue)</t>
  </si>
  <si>
    <t>Event Center Rental Rates</t>
  </si>
  <si>
    <t>Event Center Rent Growth Rate</t>
  </si>
  <si>
    <t>Daily/ Weekend Rental Schedule</t>
  </si>
  <si>
    <t>Event Rental Start</t>
  </si>
  <si>
    <t>Event Rental Finish</t>
  </si>
  <si>
    <t>Event Rental Days</t>
  </si>
  <si>
    <t>Months</t>
  </si>
  <si>
    <t>F&amp;B Commission</t>
  </si>
  <si>
    <t>Events COS</t>
  </si>
  <si>
    <t>Minor Operating Departments</t>
  </si>
  <si>
    <t>MOD Revenue (% Room Revenue)</t>
  </si>
  <si>
    <t>BMR to handle all recreation ops…consider adding a commission for booking</t>
  </si>
  <si>
    <t>MOD COS (% MOD Revenue)</t>
  </si>
  <si>
    <t>Expenses</t>
  </si>
  <si>
    <t>Admin &amp; General Ops (% of GOI)</t>
  </si>
  <si>
    <t>Sales &amp; Marketing (% of Room Revenue)</t>
  </si>
  <si>
    <t>POMEC (% of Room Revenue)</t>
  </si>
  <si>
    <t>Energy (% of Room Revenue)</t>
  </si>
  <si>
    <t>Weekend</t>
  </si>
  <si>
    <t>Daily</t>
  </si>
  <si>
    <t>CLARENDON - OVERALL DEVELOPMENT: PROFORMA</t>
  </si>
  <si>
    <t>PROFORMA - SOURCES &amp; USES SUMMARY</t>
  </si>
  <si>
    <t>PROFORMA - SOURCES &amp; USES PRE-REVENUE</t>
  </si>
  <si>
    <t>SOURCES</t>
  </si>
  <si>
    <t>$</t>
  </si>
  <si>
    <t>$/SF</t>
  </si>
  <si>
    <t>Per Home</t>
  </si>
  <si>
    <t>% Total</t>
  </si>
  <si>
    <t>TOTAL SOURCES</t>
  </si>
  <si>
    <t>USES</t>
  </si>
  <si>
    <t>WORKING CAPITAL</t>
  </si>
  <si>
    <t>TOTAL USES</t>
  </si>
  <si>
    <t>CLARENDON - RESI DEVELOPMENT: PROFORMA</t>
  </si>
  <si>
    <t>PROFORMA - SOURCES &amp; USES PRE-REVENUE (Year 0-1)</t>
  </si>
  <si>
    <t>PROFORMA - SOURCES &amp; USES PRE-REVENUE (Year 0-3)</t>
  </si>
  <si>
    <t xml:space="preserve"> COMBINED MONTHLY CASH FLOWS - UNDER DEVELOPMENT</t>
  </si>
  <si>
    <t>CLARENDON - LAND, HOME, AMENITY DEVELOPMENT</t>
  </si>
  <si>
    <t>Returns Analysis</t>
  </si>
  <si>
    <t>PROJECT FINANCING ANALYSIS</t>
  </si>
  <si>
    <t xml:space="preserve"> BUSINESS CASE ANALYSIS</t>
  </si>
  <si>
    <t>TOTAL PROJECT CAPITAL NEEDS:</t>
  </si>
  <si>
    <t>TOTAL PROJECT REVENUE (less brokers fees):</t>
  </si>
  <si>
    <t>TOTAL PROJECT VALUE (PV of FINAL BUILD OUT):</t>
  </si>
  <si>
    <t>- TOTAL PROJECT COST:</t>
  </si>
  <si>
    <t>STARTING SPEC DEVELOPMENT VALUE:</t>
  </si>
  <si>
    <t>= NET PROFIT</t>
  </si>
  <si>
    <t>EQUITY to SPEC DEV VALUE (ETV):</t>
  </si>
  <si>
    <t>NET PROFIT %:</t>
  </si>
  <si>
    <t>LOAN to COST (LTC):</t>
  </si>
  <si>
    <t>RETURN on EQUITY/CAPTIAL (ROE):</t>
  </si>
  <si>
    <t>LOAN to VALUE (LTV):</t>
  </si>
  <si>
    <t>PROJECT RETURNS ANALYSIS</t>
  </si>
  <si>
    <t>PROJECT NET CASH FLOWS:</t>
  </si>
  <si>
    <t>EQUITY MULTIPLE:</t>
  </si>
  <si>
    <t>MODELED ROI:</t>
  </si>
  <si>
    <t>PROJECT IRR :</t>
  </si>
  <si>
    <t>SUMMARY OF RETURNS</t>
  </si>
  <si>
    <t>Wondership LP Returns</t>
  </si>
  <si>
    <t>Profit Split</t>
  </si>
  <si>
    <t>Total Distributions</t>
  </si>
  <si>
    <t>Total  Contributions</t>
  </si>
  <si>
    <t xml:space="preserve"> Net Profit / Cash Flows</t>
  </si>
  <si>
    <t xml:space="preserve"> IRR</t>
  </si>
  <si>
    <t xml:space="preserve"> Equity Multiple</t>
  </si>
  <si>
    <t>Cumulative  (Equity) Cash Position</t>
  </si>
  <si>
    <t>MO LP Returns</t>
  </si>
  <si>
    <t>Capital Return + Pref</t>
  </si>
  <si>
    <t>Total  Distributions</t>
  </si>
  <si>
    <t>Net Profit / Cash Flows</t>
  </si>
  <si>
    <t>IRR</t>
  </si>
  <si>
    <t>Equity Multiple</t>
  </si>
  <si>
    <t>MO/Wondership JV GP Returns</t>
  </si>
  <si>
    <t>Wondership Portion</t>
  </si>
  <si>
    <t>MO Portion</t>
  </si>
  <si>
    <t>Net Cash Flow For Distributions - TOTAL PROJECT RETURNS</t>
  </si>
  <si>
    <t>Net Levered Before Tax Cash Flow</t>
  </si>
  <si>
    <t>Levered IRR</t>
  </si>
  <si>
    <t>Return of PM EQUITY &amp; Hurdle 1 (Preferred Return)</t>
  </si>
  <si>
    <t>Preferred returns</t>
  </si>
  <si>
    <t>IRR Check - preferred returns</t>
  </si>
  <si>
    <t>Remaining Cash Flow for Split</t>
  </si>
  <si>
    <t>CM Common Members SHARE</t>
  </si>
  <si>
    <t>CM SPONSOR SHARE</t>
  </si>
  <si>
    <t>CM Common Members MANAGER SHARE</t>
  </si>
  <si>
    <t>CM Share Returns</t>
  </si>
  <si>
    <t>PM Share Returns</t>
  </si>
  <si>
    <t>NiCK</t>
  </si>
  <si>
    <t>MTN O</t>
  </si>
  <si>
    <t>DeREUS</t>
  </si>
  <si>
    <t>TOTAL</t>
  </si>
  <si>
    <t>Proposed Sponsor Split</t>
  </si>
  <si>
    <t>Market rate Overhead &amp; Fees Paid to Working Sponsors (e.g. Design Fees, Sales Commision, Asset Management, Common Members Fees, etc.)</t>
  </si>
  <si>
    <t>Cost of Contributed Capital (e.g. Cash Multiple for Pursuit Dollars, 10% Pref for Equity, etc.)</t>
  </si>
  <si>
    <t>Equal split of Sponsor Distribution (e.g. 3 ways, 4 ways or 5 ways depending on head count of Sponsor Principals)</t>
  </si>
  <si>
    <t>NICK</t>
  </si>
  <si>
    <t>PURSUIT/ENT.</t>
  </si>
  <si>
    <t>BRUNDAGE - RESI DEVELOPMENT: PROFORMA</t>
  </si>
  <si>
    <t>AMU Fee</t>
  </si>
  <si>
    <t>Build &amp; Sales Proforma</t>
  </si>
  <si>
    <t>Cumulative PM (Equity) Cash Position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</si>
  <si>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</si>
  <si>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</si>
  <si>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</si>
  <si>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</si>
  <si>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</si>
  <si>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</si>
  <si>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</si>
  <si>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</si>
  <si>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TOTALS</t>
  </si>
  <si>
    <t>Average. Sqft of Lots</t>
  </si>
  <si>
    <t>Average Unit Size (sf)</t>
  </si>
  <si>
    <t>Basis per Lot+Unit</t>
  </si>
  <si>
    <t>Map</t>
  </si>
  <si>
    <t>Buildout schedule</t>
  </si>
  <si>
    <t>Unit Size</t>
  </si>
  <si>
    <t>Total starts</t>
  </si>
  <si>
    <t>TOTAL HOMES</t>
  </si>
  <si>
    <t>/sf</t>
  </si>
  <si>
    <t>Total Sellable SQFT</t>
  </si>
  <si>
    <t>Average</t>
  </si>
  <si>
    <t>Total Sellable ACRES</t>
  </si>
  <si>
    <t>Sales Schedule</t>
  </si>
  <si>
    <t>Total sales</t>
  </si>
  <si>
    <t>Phase 1: Large SFR</t>
  </si>
  <si>
    <t>Phase 1: Small SFR</t>
  </si>
  <si>
    <t>Phase 1: Small Duplex</t>
  </si>
  <si>
    <t>Phase 1: Multi-unit</t>
  </si>
  <si>
    <t>Average Sales $ per Unit</t>
  </si>
  <si>
    <t>Loan / Equity Financing</t>
  </si>
  <si>
    <t>Project Financing Metrics</t>
  </si>
  <si>
    <t>CM - PURSUIT CAPITAL</t>
  </si>
  <si>
    <t>Year 0-2 Dev Cost</t>
  </si>
  <si>
    <t xml:space="preserve">Actual </t>
  </si>
  <si>
    <t>VALUE OF SPEC DEV</t>
  </si>
  <si>
    <t>PM1 - EQUITY CONTRIBUTION (LAND)</t>
  </si>
  <si>
    <t>$11.7M in LAND CONTRIBUTION SHOWN ON BALANCE SHEET OF DEV LLC</t>
  </si>
  <si>
    <t>Financing Cost Gross-Up</t>
  </si>
  <si>
    <t>ETV</t>
  </si>
  <si>
    <t>PM2 - EQUITY (CASH)</t>
  </si>
  <si>
    <t>Year 0-2 Unit Sales</t>
  </si>
  <si>
    <t>LTV</t>
  </si>
  <si>
    <t>EQUITY / PROJECT ACQUISITION + ENTITLEMENT</t>
  </si>
  <si>
    <t>LTC</t>
  </si>
  <si>
    <t>LTC Total (INCL LAND VALUE)</t>
  </si>
  <si>
    <t>Loan Amount</t>
  </si>
  <si>
    <t>Development Loan</t>
  </si>
  <si>
    <t xml:space="preserve">Initial Equity </t>
  </si>
  <si>
    <t>DEBT</t>
  </si>
  <si>
    <t>Construction Start Draw</t>
  </si>
  <si>
    <t>Foundation Complete Draw</t>
  </si>
  <si>
    <t>Structure Complete Draw</t>
  </si>
  <si>
    <t>MEP 4-way Draw</t>
  </si>
  <si>
    <t>Finishes Start Draw</t>
  </si>
  <si>
    <t>PRESALE REVENUES</t>
  </si>
  <si>
    <t>TOTAL HOME SALES</t>
  </si>
  <si>
    <t>INFRASTRUCTURE REPAYMENT FROM HOTEL PROFORMA</t>
  </si>
  <si>
    <t>UNIT SALES</t>
  </si>
  <si>
    <t>TOTAL SALES</t>
  </si>
  <si>
    <t>Ave. Unit $</t>
  </si>
  <si>
    <t>Ave. $/SF</t>
  </si>
  <si>
    <t>01a</t>
  </si>
  <si>
    <t>LAND &amp; PROJECT ACQUISITION</t>
  </si>
  <si>
    <t>Asset Acquisition Fee</t>
  </si>
  <si>
    <t>Land Downpayment</t>
  </si>
  <si>
    <t>Unit Sales Net Profit</t>
  </si>
  <si>
    <t>LESS Phantom Tax</t>
  </si>
  <si>
    <t>Land Repayment</t>
  </si>
  <si>
    <t>Min pmt</t>
  </si>
  <si>
    <t>Total Land Acquisition</t>
  </si>
  <si>
    <t xml:space="preserve">Ending Land Balance </t>
  </si>
  <si>
    <t>Land value</t>
  </si>
  <si>
    <t>Interest Cost</t>
  </si>
  <si>
    <t>02a</t>
  </si>
  <si>
    <t>HARD COSTS - SITE INFRASTRUCTURE RESORT</t>
  </si>
  <si>
    <t>Infrastructure per Lot - SFR</t>
  </si>
  <si>
    <t>INCLUDES: Advanced Waste Water Treatment Plant, Water Main to Parcels, Sewer Main to Parcels, Goose Lake Rd Paving, New Well, Skiway Bridge, Skiway, Misc.</t>
  </si>
  <si>
    <t>Infrastructure per Lot - Duplex/ Multi-unit</t>
  </si>
  <si>
    <t>Developer Construction Contingency</t>
  </si>
  <si>
    <t>$/Lot</t>
  </si>
  <si>
    <t>of Sales</t>
  </si>
  <si>
    <t>HARD COSTS - SITE INFRASTRUCTURE INTERNAL ROADS</t>
  </si>
  <si>
    <t>Infrastructure per Lot - Duplex</t>
  </si>
  <si>
    <t>Infrastructure per Lot - Multi-unit</t>
  </si>
  <si>
    <t>Ski Tunnel</t>
  </si>
  <si>
    <t>$/unit</t>
  </si>
  <si>
    <t>02b</t>
  </si>
  <si>
    <t>HARD COSTS - HOMES: SFR Large</t>
  </si>
  <si>
    <t>Infrastructure (Utilities &amp; Driveway) - SFR</t>
  </si>
  <si>
    <t>/UNIT</t>
  </si>
  <si>
    <t>Build Cost $/sf Check</t>
  </si>
  <si>
    <t>Vertical Construction Costs - SFR</t>
  </si>
  <si>
    <t>AVE / UNIT</t>
  </si>
  <si>
    <t>Landscape / Hardscape - SFR</t>
  </si>
  <si>
    <t>Construction Cost Escalation</t>
  </si>
  <si>
    <t>Total Cost $/sf Check</t>
  </si>
  <si>
    <t>HARD COSTS - HOMES: SFR Small</t>
  </si>
  <si>
    <t>HARD COSTS - HOMES: Duplex Small</t>
  </si>
  <si>
    <t>Infrastructure (Utilities &amp; Driveway) - Duplex</t>
  </si>
  <si>
    <t>Vertical Construction Costs - Duplex</t>
  </si>
  <si>
    <t>Landscape / Hardscape - Duplex</t>
  </si>
  <si>
    <t>HARD COSTS - HOMES: Multi-Unit</t>
  </si>
  <si>
    <t>Infrastructure (Utilities &amp; Driveway) - Multi-unit</t>
  </si>
  <si>
    <t>Underground Parking - per unit $</t>
  </si>
  <si>
    <t>Vertical Construction Costs - Multi-unit</t>
  </si>
  <si>
    <t>Landscape / Hardscape - Multi-unit</t>
  </si>
  <si>
    <t>03a</t>
  </si>
  <si>
    <t>SOFT COSTS PROFESSIONALS - SITE, RESTORE, &amp; INFRA</t>
  </si>
  <si>
    <t>Land Planning (5% of Cost)</t>
  </si>
  <si>
    <t>Civil Engineering &amp; Surveying (5% of Infra Const)</t>
  </si>
  <si>
    <t>Traffic, Environmental &amp; Misc. Studies</t>
  </si>
  <si>
    <t>n/a</t>
  </si>
  <si>
    <t>Legal / Entitlement</t>
  </si>
  <si>
    <t>Accounting &amp; CPA costs ($ per year)</t>
  </si>
  <si>
    <t>Professionals Contingency</t>
  </si>
  <si>
    <t>03b</t>
  </si>
  <si>
    <t>SOFT COSTS PROFESSIONALS: Large SFR</t>
  </si>
  <si>
    <t>Designs Assumed</t>
  </si>
  <si>
    <t>03b.02</t>
  </si>
  <si>
    <t>Civil Engineering (Unit Infra. &amp; Geotech)</t>
  </si>
  <si>
    <t>/DESIGN</t>
  </si>
  <si>
    <t>Architectural Design &amp; CDs</t>
  </si>
  <si>
    <t>Architectural Re-use Fees</t>
  </si>
  <si>
    <t>Architectural C/A</t>
  </si>
  <si>
    <t>Landscape Architecture Design &amp; CDs</t>
  </si>
  <si>
    <t>Landscape Arch. C/A</t>
  </si>
  <si>
    <t>Structural Engineering</t>
  </si>
  <si>
    <t>Interior Design</t>
  </si>
  <si>
    <t>Preconstruction Estimating</t>
  </si>
  <si>
    <t>BIM / VDC</t>
  </si>
  <si>
    <t>SOFT COSTS PROFESSIONALS: Small SFR</t>
  </si>
  <si>
    <t>SOFT COSTS PROFESSIONALS: Duplex Small</t>
  </si>
  <si>
    <t>SOFT COSTS PROFESSIONALS: Multi-Unit</t>
  </si>
  <si>
    <t>04</t>
  </si>
  <si>
    <t>SOFT COSTS - SALES</t>
  </si>
  <si>
    <t>By sale incentive, Sales Associate</t>
  </si>
  <si>
    <t>Hard Marketing Costs</t>
  </si>
  <si>
    <t>/campaign</t>
  </si>
  <si>
    <t>Model Home Furnishings (Sell Furnished)</t>
  </si>
  <si>
    <t>SOFT COSTS - TAXES AND INSURANCE</t>
  </si>
  <si>
    <t>Real Estate Taxes (Annual)</t>
  </si>
  <si>
    <t>mils</t>
  </si>
  <si>
    <t>Construction Liability Insurance (Annual)</t>
  </si>
  <si>
    <t>06</t>
  </si>
  <si>
    <t>SOFT COSTS - MUNICIPALITY FEES</t>
  </si>
  <si>
    <t>Building Permit/City Impact Fees</t>
  </si>
  <si>
    <t>County Permit Fees - Site</t>
  </si>
  <si>
    <t>County Permit Fees - Build</t>
  </si>
  <si>
    <t>Replacement Bond Cost</t>
  </si>
  <si>
    <t>Dev costs ex dev fees</t>
  </si>
  <si>
    <t>07</t>
  </si>
  <si>
    <t>DEVELOPMENT FEES</t>
  </si>
  <si>
    <t>Developer Overhead (% of COSTS less LAND &amp; RE Fees)</t>
  </si>
  <si>
    <t>Disposition Fees</t>
  </si>
  <si>
    <t>Asset Management Fees</t>
  </si>
  <si>
    <t>AMU</t>
  </si>
  <si>
    <t xml:space="preserve">DEVELOPMENT FEES </t>
  </si>
  <si>
    <t>TOTAL DEVELOPMENT COSTS</t>
  </si>
  <si>
    <t>08</t>
  </si>
  <si>
    <t>FINANCING COSTS</t>
  </si>
  <si>
    <t>Development Loan - Beginning Balance</t>
  </si>
  <si>
    <t>Development Loan - Interest</t>
  </si>
  <si>
    <t>Development Loan - Fees</t>
  </si>
  <si>
    <t>Development Loan - Balance Repayment</t>
  </si>
  <si>
    <t>Development Loan - Ending Balance</t>
  </si>
  <si>
    <t>FINANCING COSTS &amp; REPAYMENT</t>
  </si>
  <si>
    <t>Cash Backstop</t>
  </si>
  <si>
    <t>Pref Accrual &amp; Distributions</t>
  </si>
  <si>
    <t>Capital Available to Distribute</t>
  </si>
  <si>
    <t>Invested Capital: PM1</t>
  </si>
  <si>
    <t>Invested Capital: PM2</t>
  </si>
  <si>
    <t>Invested Capital: CM</t>
  </si>
  <si>
    <t>Pref Accrual: PM1</t>
  </si>
  <si>
    <t>Pref Due: PM1</t>
  </si>
  <si>
    <t>Pref Distribution: PM1</t>
  </si>
  <si>
    <t>Pref Accrual: PM2</t>
  </si>
  <si>
    <t>Pref Due: PM2</t>
  </si>
  <si>
    <t>Pref Distribution: PM2</t>
  </si>
  <si>
    <t>Post Pref Profit Split: PM1</t>
  </si>
  <si>
    <t>Post Pref Profit Split: PM2</t>
  </si>
  <si>
    <t>Post Pref Profit Split: CM</t>
  </si>
  <si>
    <t>DISTRIBUTIONS</t>
  </si>
  <si>
    <t>Ending Cash Position</t>
  </si>
  <si>
    <t>PROJECT Cash Flows</t>
  </si>
  <si>
    <t>Sources equal Uses</t>
  </si>
  <si>
    <t>L78 must equal zero</t>
  </si>
  <si>
    <t>PROFORMA - SOURCES &amp; USES ANNUAL SUMMARY</t>
  </si>
  <si>
    <t>Need to equal each other</t>
  </si>
  <si>
    <t>HARD COSTS - SITE INFRASTRUCTURE</t>
  </si>
  <si>
    <t>HARD COSTS - HOMES</t>
  </si>
  <si>
    <t>SOFT COSTS PROFESSIONALS</t>
  </si>
  <si>
    <t>o</t>
  </si>
  <si>
    <t>Units</t>
  </si>
  <si>
    <t>Sales Price Escalation - SFR</t>
  </si>
  <si>
    <t>Phase 1: Downhill SFR</t>
  </si>
  <si>
    <t>Sales Price Escalation - Other</t>
  </si>
  <si>
    <t>Vertical Construction Costs - Mult-unit</t>
  </si>
  <si>
    <t>Phase 1: Uphill SFR</t>
  </si>
  <si>
    <t>Phase 1: Uphill/Downhill Duplex</t>
  </si>
  <si>
    <t>BRUNDAGE - Resi DEVELOPMENT: RETURNS</t>
  </si>
  <si>
    <t>TOTAL PROJECT CAPITAL NEEDS</t>
  </si>
  <si>
    <t>TOTAL RETURN</t>
  </si>
  <si>
    <t>TOTAL PROJECT VALUE (PV of FINAL BUILD OUT)</t>
  </si>
  <si>
    <t>INVESTED CAPITAL</t>
  </si>
  <si>
    <t>STARTING SPEC DEVELOPMENT VALUE</t>
  </si>
  <si>
    <t>NET PROFIT</t>
  </si>
  <si>
    <t>EQUITY to SPEC DEV VALUE (ETV)</t>
  </si>
  <si>
    <t>EQUITY MULTIPLE</t>
  </si>
  <si>
    <t>LOAN to COST (LTC)</t>
  </si>
  <si>
    <t>ROI</t>
  </si>
  <si>
    <t>LOAN to VALUE (LTV)</t>
  </si>
  <si>
    <t>Current Assumptions</t>
  </si>
  <si>
    <t>- TOTAL PROJECT COST</t>
  </si>
  <si>
    <t>Vertical Const. Costs Scalar</t>
  </si>
  <si>
    <t>Preferred Members 1 (PM1) Returns</t>
  </si>
  <si>
    <t>Interest</t>
  </si>
  <si>
    <t>Total PM Distributions</t>
  </si>
  <si>
    <t>Total PM Contributions</t>
  </si>
  <si>
    <t>PM Net Profit / Cash Flows</t>
  </si>
  <si>
    <t>PM IRR</t>
  </si>
  <si>
    <t>PM Equity Multiple</t>
  </si>
  <si>
    <t>Preferred Members 2 (PM2) Returns</t>
  </si>
  <si>
    <t>Preferred Returns</t>
  </si>
  <si>
    <t>Common Members (CM) Returns</t>
  </si>
  <si>
    <t>Total CM Contributions</t>
  </si>
  <si>
    <t>CM Net Profit/ Cash Flows</t>
  </si>
  <si>
    <t>CM Total Cash Flows</t>
  </si>
  <si>
    <t>Total Return</t>
  </si>
  <si>
    <t>Invested Capital</t>
  </si>
  <si>
    <t>Check</t>
  </si>
  <si>
    <t>CLARENDON - LAND &amp; HOME DEVELOPMENT</t>
  </si>
  <si>
    <t>Year 8</t>
  </si>
  <si>
    <t>Year 9</t>
  </si>
  <si>
    <t>Year 10</t>
  </si>
  <si>
    <t>Year 11</t>
  </si>
  <si>
    <t>Year 12</t>
  </si>
  <si>
    <t>Checks</t>
  </si>
  <si>
    <t>FY</t>
  </si>
  <si>
    <t>Avg Unit Size</t>
  </si>
  <si>
    <t>A-</t>
  </si>
  <si>
    <t>Pondside Cabins @ Event Barn (13ea)</t>
  </si>
  <si>
    <t>B-</t>
  </si>
  <si>
    <t xml:space="preserve">Village Cabins (13ea) </t>
  </si>
  <si>
    <t>C-</t>
  </si>
  <si>
    <t>Village Cottages (13ea)</t>
  </si>
  <si>
    <t>D-</t>
  </si>
  <si>
    <t xml:space="preserve">Guest Cabins @ Fitness Spa (13ea) </t>
  </si>
  <si>
    <t>F-</t>
  </si>
  <si>
    <t>Jimmy Creek Homes (4ea)</t>
  </si>
  <si>
    <t>G-</t>
  </si>
  <si>
    <t>Bench Homesites (15ea)</t>
  </si>
  <si>
    <t>H-</t>
  </si>
  <si>
    <t>Forest Homesites (10ea)</t>
  </si>
  <si>
    <t>Improved  Value Before Escalation</t>
  </si>
  <si>
    <t>J-</t>
  </si>
  <si>
    <t>Hillside Homesites (10ea)</t>
  </si>
  <si>
    <t>E-</t>
  </si>
  <si>
    <t>Village Homesites (6ea)</t>
  </si>
  <si>
    <t>K-</t>
  </si>
  <si>
    <t>Deer Creek Homesites (5ea + 1 lot used for Clubhouse)</t>
  </si>
  <si>
    <t>sf</t>
  </si>
  <si>
    <t>Check on Sales &amp; Build out</t>
  </si>
  <si>
    <t>Sales Price Escalation / Residential Sales Sqft Price</t>
  </si>
  <si>
    <t>Average Res Unit Sales Price</t>
  </si>
  <si>
    <t>EQUITY INVESTMENT</t>
  </si>
  <si>
    <t>SPONSOR - EQUITY CAPITAL</t>
  </si>
  <si>
    <t>LP - EQUITY CAPITAL</t>
  </si>
  <si>
    <t>Force to 40mm for total</t>
  </si>
  <si>
    <t>LTC Year 0+1</t>
  </si>
  <si>
    <t>SELLER CARRYBACK</t>
  </si>
  <si>
    <t>EB5 - MEZZ DEBT</t>
  </si>
  <si>
    <t>DEV LOAN - DEV COSTS</t>
  </si>
  <si>
    <t>LTC Total</t>
  </si>
  <si>
    <t>DEV LOAN - FINANCING / RESERVE</t>
  </si>
  <si>
    <t>LAND SALE TO AMENITY</t>
  </si>
  <si>
    <t>Construction Start Draw + Foundation Complete</t>
  </si>
  <si>
    <t>MEP 4-way + Finishes Start Draw</t>
  </si>
  <si>
    <t>Unit Reservations w/ Membership Purchase (50/50)</t>
  </si>
  <si>
    <t>average $/sf</t>
  </si>
  <si>
    <t>Project Acquisition</t>
  </si>
  <si>
    <t>Asset Acquisition Fee (based on total project initial value Equity + Debt)</t>
  </si>
  <si>
    <t>Closing Costs</t>
  </si>
  <si>
    <t>HARD COSTS - SITE, RESTORATION &amp; INFRASTRUCTURE</t>
  </si>
  <si>
    <t>Internal Road: Base + Gravel Finish @ Lower 80</t>
  </si>
  <si>
    <t>Internal Road: Base + Gravel Finish @ 45 Lots</t>
  </si>
  <si>
    <t>Internal Road: Paving @ 45 Lots</t>
  </si>
  <si>
    <t>County/USFS Road: BASE + GRAVEL FINISH @ end of existing</t>
  </si>
  <si>
    <t>County/USFS Road: PAVING @ end of existing to back gate</t>
  </si>
  <si>
    <t>Road: Bridges (1)  @ Spillway</t>
  </si>
  <si>
    <t>Utilities: County/USFS Power Trench+Line (4.5 miles)</t>
  </si>
  <si>
    <t>Utilities: Power &amp; Transformers @ 45 Lots (8,500 LF)</t>
  </si>
  <si>
    <t>Utilities: Comm. Distrib. @ 45 Lots (8,500 LF)</t>
  </si>
  <si>
    <t>Utilities: Water Main @ 45 Lots</t>
  </si>
  <si>
    <t>Utilities: Water Wells, Pumps &amp; Backup Power Requirements</t>
  </si>
  <si>
    <t>Utilities: Lift Station @ 45 Lots (8,500 LF)</t>
  </si>
  <si>
    <t>Utilities: Sewer Treatment Drainfield Sys (4 EA)</t>
  </si>
  <si>
    <t>Utilities: Geothermal Infrastructure @ 45 Lots</t>
  </si>
  <si>
    <t>Landscape: Early Plantings in Public Areas</t>
  </si>
  <si>
    <t>Infrastructure (Utilities &amp; Driveway)</t>
  </si>
  <si>
    <t>/LOT</t>
  </si>
  <si>
    <t>Vertical Construction Costs</t>
  </si>
  <si>
    <t>AVE / HOME</t>
  </si>
  <si>
    <t>Landscape / Hardscape</t>
  </si>
  <si>
    <t>Construction Management</t>
  </si>
  <si>
    <t>SOFT COSTS PROFESSIONALS - FINAL ENTITLEMENTS &amp; SITE INFRA.</t>
  </si>
  <si>
    <t>Land Planning &amp; PUD App Prep/Revisions (15% of Cost)</t>
  </si>
  <si>
    <t>Future Entitlement Management Overhead</t>
  </si>
  <si>
    <t>Civil, Surveying &amp; PUD App Prep/Revisions (10% of Infra Cost)</t>
  </si>
  <si>
    <t>Traffic, Enviro, Economist &amp; Misc. Studies</t>
  </si>
  <si>
    <t>SOFT COSTS PROFESSIONALS - HOMES</t>
  </si>
  <si>
    <t>4 Designs + 40 Site Adapts Assumed</t>
  </si>
  <si>
    <t>Planning &amp; Arch Concepts (4 prototype designs, amenities, etc.)</t>
  </si>
  <si>
    <t>/HOME</t>
  </si>
  <si>
    <t>Liability Insurance (Annual)</t>
  </si>
  <si>
    <t xml:space="preserve">Developer Overhead </t>
  </si>
  <si>
    <t>Origination Loan / Equity Financing</t>
  </si>
  <si>
    <t>Interest Reserve</t>
  </si>
  <si>
    <t>Year 0-1 Dev Cost</t>
  </si>
  <si>
    <t>IR %</t>
  </si>
  <si>
    <t>Year 0-1 Unit / Land Sales + Equity</t>
  </si>
  <si>
    <t>Model IR</t>
  </si>
  <si>
    <t>Net Dev Cost</t>
  </si>
  <si>
    <t>BC IR</t>
  </si>
  <si>
    <t>BC FC</t>
  </si>
  <si>
    <t>Development Loan - Fees (Origination, Extension, Refi)</t>
  </si>
  <si>
    <t>Max</t>
  </si>
  <si>
    <t>Equity</t>
  </si>
  <si>
    <t>Implied Units Released</t>
  </si>
  <si>
    <t>Seller Carryback - Interest</t>
  </si>
  <si>
    <t>Seller Carryback - Fees</t>
  </si>
  <si>
    <t>Seller Carryback - Balance Repayment</t>
  </si>
  <si>
    <t>Seller Carryback - Ending Balance</t>
  </si>
  <si>
    <t>EB-5 Debt - Beginning Balance</t>
  </si>
  <si>
    <t>EB-5 Debt - Interest</t>
  </si>
  <si>
    <t xml:space="preserve">EB-5 Debt - Origination Fees </t>
  </si>
  <si>
    <t>EB-5 Debt - Balance Repayment</t>
  </si>
  <si>
    <t>EB-5 Debt - Exit Fee</t>
  </si>
  <si>
    <t>EB-5 Debt - Ending Balance</t>
  </si>
  <si>
    <t>Equity Placement Fee</t>
  </si>
  <si>
    <t>EQUITY INVESTMENT &amp; DISTRIBUTIONS</t>
  </si>
  <si>
    <t xml:space="preserve"> Investor LP</t>
  </si>
  <si>
    <t>Pref Accrual</t>
  </si>
  <si>
    <t>Ending Invested Capital</t>
  </si>
  <si>
    <t>Cash Flow</t>
  </si>
  <si>
    <t>MO Investor LP</t>
  </si>
  <si>
    <t>Cash Flow/ IRR</t>
  </si>
  <si>
    <t>Remaining Capital Available to Distribute</t>
  </si>
  <si>
    <t>Profit Split - 0% - 10% IRR</t>
  </si>
  <si>
    <t>LP INVESTOR Net Cash Flow / IRR</t>
  </si>
  <si>
    <t>Post Pref Profit Split:  Investor LP</t>
  </si>
  <si>
    <t>Post Pref Profit Split: MO Investor LP</t>
  </si>
  <si>
    <t>Profit Split - 10% - 25% IRR</t>
  </si>
  <si>
    <t xml:space="preserve"> Net Cash Flow / IRR</t>
  </si>
  <si>
    <t>Post Pref Profit Split: MO/ JV GP</t>
  </si>
  <si>
    <t>Profit Split - 25%+ IRR</t>
  </si>
  <si>
    <t>Profit Split: MO/ JV GP</t>
  </si>
  <si>
    <t>Total  Investor LP Distributions</t>
  </si>
  <si>
    <t>Total MO Investor LP Distributions</t>
  </si>
  <si>
    <t>Total MO/ JV GP Distributions</t>
  </si>
  <si>
    <t>Between Between 1.1 &amp; 1.4</t>
  </si>
  <si>
    <t>UNIT SALES SCENARIO ANALYSIS</t>
  </si>
  <si>
    <t>IRR Check</t>
  </si>
  <si>
    <t>Average Unit Sales $</t>
  </si>
  <si>
    <t>Project Equity Multiple</t>
  </si>
  <si>
    <t>Project IRR</t>
  </si>
  <si>
    <t>Baseline</t>
  </si>
  <si>
    <t>UPSIDE</t>
  </si>
  <si>
    <t>Presale Draws</t>
  </si>
  <si>
    <t>None</t>
  </si>
  <si>
    <t>75 mm</t>
  </si>
  <si>
    <t>45 mm</t>
  </si>
  <si>
    <t>DEV LOAN</t>
  </si>
  <si>
    <t>Unit Price</t>
  </si>
  <si>
    <t>Debt</t>
  </si>
  <si>
    <t>51mm</t>
  </si>
  <si>
    <t>Membership Buy In</t>
  </si>
  <si>
    <t>50k</t>
  </si>
  <si>
    <t>120k</t>
  </si>
  <si>
    <t>Equity LP Returns</t>
  </si>
  <si>
    <t>MO/Equity JV GP Returns</t>
  </si>
  <si>
    <t>Equity Portion</t>
  </si>
  <si>
    <t>TO BE UPDATED AFTER FINALIZING ANNUAL PROFORMA</t>
  </si>
  <si>
    <t>MONTLY CASH FLOW SCHEDULE</t>
  </si>
  <si>
    <t>CHECK</t>
  </si>
  <si>
    <t>MONTH-1</t>
  </si>
  <si>
    <t>MONTH-2</t>
  </si>
  <si>
    <t>MONTH-3</t>
  </si>
  <si>
    <t>MONTH-4</t>
  </si>
  <si>
    <t>MONTH-5</t>
  </si>
  <si>
    <t>MONTH-6</t>
  </si>
  <si>
    <t>MONTH-7</t>
  </si>
  <si>
    <t>MONTH-8</t>
  </si>
  <si>
    <t>MONTH-9</t>
  </si>
  <si>
    <t>MONTH-10</t>
  </si>
  <si>
    <t>MONTH-11</t>
  </si>
  <si>
    <t>MONTH-12</t>
  </si>
  <si>
    <t>MONTH-13</t>
  </si>
  <si>
    <t>MONTH-14</t>
  </si>
  <si>
    <t>MONTH-15</t>
  </si>
  <si>
    <t>MONTH-16</t>
  </si>
  <si>
    <t>MONTH-17</t>
  </si>
  <si>
    <t>MONTH-18</t>
  </si>
  <si>
    <t>MONTH-19</t>
  </si>
  <si>
    <t>MONTH-20</t>
  </si>
  <si>
    <t>MONTH-21</t>
  </si>
  <si>
    <t>MONTH-22</t>
  </si>
  <si>
    <t>MONTH-23</t>
  </si>
  <si>
    <t>MONTH-24</t>
  </si>
  <si>
    <t>MONTH-25</t>
  </si>
  <si>
    <t>MONTH-26</t>
  </si>
  <si>
    <t>MONTH-27</t>
  </si>
  <si>
    <t>MONTH-28</t>
  </si>
  <si>
    <t>Soft Costs to start PUD of 80 Acres</t>
  </si>
  <si>
    <t>Soft+Hard Costs for Amenity</t>
  </si>
  <si>
    <t>Project Level Expenses</t>
  </si>
  <si>
    <t>Home Construction &amp; Design</t>
  </si>
  <si>
    <t>Net Operating Income from Amenity Operations (before tax)</t>
  </si>
  <si>
    <t>Membership Buy In (50% of PRESALE REVENUES)</t>
  </si>
  <si>
    <t>Proceeds from Sale or Recapitalization of Amenity  (Entitled Hotel/Resort Site(s) &amp; Operations after 7 years)</t>
  </si>
  <si>
    <t>NET INCOME FROM AMENITY OPERATIONS</t>
  </si>
  <si>
    <t>Asset Acquisition Fee (based on total project value of $60M)</t>
  </si>
  <si>
    <t>Use of Equity to Amenity</t>
  </si>
  <si>
    <t>Use of Debt to Amenity</t>
  </si>
  <si>
    <t>AMENITY - USE OF DEBT/EQUITY</t>
  </si>
  <si>
    <t>Infrastructure</t>
  </si>
  <si>
    <t>Internal Road: Paving @ Lower 80</t>
  </si>
  <si>
    <t>Utilities: Power &amp; Transformers @ Lower 80 (4,000 LF)</t>
  </si>
  <si>
    <t>Utilities: Comm. Distrib. @ Lower 80 (4,000 LF)</t>
  </si>
  <si>
    <t>Utilities: Water Main @ Lower 80</t>
  </si>
  <si>
    <t>Utilities: Water Wells, Pumps &amp; Storage Tank</t>
  </si>
  <si>
    <t>Utilities: Sewer Main @ Resort &amp; Meadow Lots (4,000 LF)</t>
  </si>
  <si>
    <t>Utilities: Sewer Septic Tank &amp; Sys @ Resort</t>
  </si>
  <si>
    <t>Utilities: Sewer Drainfield Dosing Chamber &amp; Piping</t>
  </si>
  <si>
    <t>Utilities: Geothermal Infrastructure @ Lower 80</t>
  </si>
  <si>
    <t>Landscape: Dredge Silt from 3 Ponds</t>
  </si>
  <si>
    <t>Landscape: Dredge, Liner, Ballast &amp; Plant @ Cooling Pond (1)</t>
  </si>
  <si>
    <t>Landscape: Wetlands Improvement</t>
  </si>
  <si>
    <t>Landscape: Early Plantings in Public Areas (was $1.5M)</t>
  </si>
  <si>
    <t>Landcape: Irrigation in Public Areas ($750k pushed to Phase 2))</t>
  </si>
  <si>
    <t xml:space="preserve">Seller Finance Loan - Balance </t>
  </si>
  <si>
    <t>Seller Finance Loan - Interest</t>
  </si>
  <si>
    <t>Seller Finance Loan - Cost of Loan</t>
  </si>
  <si>
    <t>Seller Finance Loan - Balance Repayment</t>
  </si>
  <si>
    <t>Development Loan - Balance (less longterm financing for Amenity)</t>
  </si>
  <si>
    <t>Development Loan - Interest Reserve</t>
  </si>
  <si>
    <t xml:space="preserve">Development Loan - Prime/RBC Cost of Loan </t>
  </si>
  <si>
    <t>Development Loan - Attorney Fees Cost of Loan</t>
  </si>
  <si>
    <t>Development Loan - 4 Points Capital Cost of Equity Raise</t>
  </si>
  <si>
    <t>Development Loan - 4 Points Capital Cost of Senior Debt</t>
  </si>
  <si>
    <t>ENDING CASH POSITION / WORKING CAPITAL</t>
  </si>
  <si>
    <t>CLARENDON - AMENITY + HOTEL DEVELOPMENT: PROFORMA</t>
  </si>
  <si>
    <t>Operations Proforma</t>
  </si>
  <si>
    <t>Price/ Unit</t>
  </si>
  <si>
    <t>Total Leaseable/Sellable SQFT</t>
  </si>
  <si>
    <t>Sales Price Escalation / Hotel RECAP Price</t>
  </si>
  <si>
    <t xml:space="preserve">Lodge Rooms Sales Price PSF </t>
  </si>
  <si>
    <t xml:space="preserve">Cabins Sales Price PSF </t>
  </si>
  <si>
    <t>Cabins</t>
  </si>
  <si>
    <t>Cottages Sales Price PSF</t>
  </si>
  <si>
    <t>Auton. Tent Sales Price PSF</t>
  </si>
  <si>
    <t>FINANCING</t>
  </si>
  <si>
    <t>LAND EQUITY IN 80 ACRES</t>
  </si>
  <si>
    <t>MTN ORIGINS - PURSUIT CAPITAL</t>
  </si>
  <si>
    <t>OPERATING INCOME</t>
  </si>
  <si>
    <t>VACANCY LOSS DURING STABILIZATION Hotel</t>
  </si>
  <si>
    <t>REALIZED NET OPERATING INCOME</t>
  </si>
  <si>
    <t>NO. OF MEMBERS</t>
  </si>
  <si>
    <t>OTHER INCOME - Member Dues</t>
  </si>
  <si>
    <t>/year per member</t>
  </si>
  <si>
    <t>TOTAL NET OPERATING INCOME (NOI)</t>
  </si>
  <si>
    <t>UNIT SALES - Lodge Rooms</t>
  </si>
  <si>
    <t>UNIT SALES - Cabins</t>
  </si>
  <si>
    <t>UNIT SALES - Cottages</t>
  </si>
  <si>
    <t>UNIT SALES - Auton. Tents</t>
  </si>
  <si>
    <t>TOTAL UNIT SALES</t>
  </si>
  <si>
    <t>HOTEL DISPOSITION</t>
  </si>
  <si>
    <t>SALE VALUE</t>
  </si>
  <si>
    <t>HOTEL SALE PROCEEDS / DISPOSITION</t>
  </si>
  <si>
    <t>LAND &amp; PROJECT ACQUISITION COSTS</t>
  </si>
  <si>
    <t>Incl L+H Profroma</t>
  </si>
  <si>
    <t>LAND ACQUISITION COSTS</t>
  </si>
  <si>
    <t>of TOTAL DISPOSITION</t>
  </si>
  <si>
    <t>VERTICAL CONSTRUCTION COSTS</t>
  </si>
  <si>
    <t>Bldg(s) SF</t>
  </si>
  <si>
    <t>Phase 1 - Amenity Build Out</t>
  </si>
  <si>
    <t>Clubhouse for Residents</t>
  </si>
  <si>
    <t>Clubhouse - Deck, Lawn, etc.</t>
  </si>
  <si>
    <t>Hot Springs Pools &amp; Decks</t>
  </si>
  <si>
    <t>Hot Springs Changing Hut/Bthrm/Shower</t>
  </si>
  <si>
    <t>Minor Operating Dept. (Sporting Clays, etc.)</t>
  </si>
  <si>
    <t>Gear/Toy Storage</t>
  </si>
  <si>
    <t>FF&amp;E Budget</t>
  </si>
  <si>
    <t>Phase 2 - Amenity Build Out</t>
  </si>
  <si>
    <t>Event Center</t>
  </si>
  <si>
    <t>Event Center - Deck, Lawn, Amphitheater</t>
  </si>
  <si>
    <t>Minor Operating Dept. (Adventure Prog., etc.)</t>
  </si>
  <si>
    <t>Guest Rooms, Cabins, Cottages &amp; Auton. Tents</t>
  </si>
  <si>
    <t>Rooms: Circulation &amp; Exterior Spaces</t>
  </si>
  <si>
    <t>ADU Exterior Spaces (decks, patios, etc.)</t>
  </si>
  <si>
    <t>Guest Rooms Vertical Construction Costs</t>
  </si>
  <si>
    <t>Lodge + Restaurant</t>
  </si>
  <si>
    <t>Reception + Lobby</t>
  </si>
  <si>
    <t>Restaurant (Dining Room, Bar)</t>
  </si>
  <si>
    <t>Back of House (kitchen, offices, etc.)</t>
  </si>
  <si>
    <t>Outdoor Dining Deck + Fire Pit</t>
  </si>
  <si>
    <t>Restaurant + Conf Center Vertical Construction Costs</t>
  </si>
  <si>
    <t>Spa / Wellness Center</t>
  </si>
  <si>
    <t>Reception / FOH</t>
  </si>
  <si>
    <t>Treatment Rooms</t>
  </si>
  <si>
    <t>Locker Room</t>
  </si>
  <si>
    <t>Back of House</t>
  </si>
  <si>
    <r>
      <t xml:space="preserve">Pool Deck </t>
    </r>
    <r>
      <rPr>
        <sz val="12"/>
        <color theme="1"/>
        <rFont val="Calibri"/>
        <family val="2"/>
        <scheme val="minor"/>
      </rPr>
      <t>(Entry, Pool, Firepit)</t>
    </r>
  </si>
  <si>
    <t>Spa / Wellness Center/ Bar Vertical Construction Costs</t>
  </si>
  <si>
    <t>Developer Contingency</t>
  </si>
  <si>
    <t>TOTAL VERTICAL CONSTRUCTION COSTS</t>
  </si>
  <si>
    <t>Completed Building Count:</t>
  </si>
  <si>
    <t xml:space="preserve">HARD COSTS - SITE </t>
  </si>
  <si>
    <t>Infrastructure (Utilities &amp; Driveways)</t>
  </si>
  <si>
    <t>Landcape: Irrigation in Public Areas</t>
  </si>
  <si>
    <t>Landscape/Hardscape @ Structures</t>
  </si>
  <si>
    <t>SOFT COSTS - PROFESSIONALS</t>
  </si>
  <si>
    <t>Civil Engineering (% of Infra Const)</t>
  </si>
  <si>
    <t>Architecture (% of Vertical Const)</t>
  </si>
  <si>
    <t>Architectural CA (% of Vertical Const)</t>
  </si>
  <si>
    <t>Landscape Arch. &amp; Planning (% of Cost)</t>
  </si>
  <si>
    <t>Landscape CA (% of Cost)</t>
  </si>
  <si>
    <t>Struct/Elec/Precon/Interiors ($/SF)</t>
  </si>
  <si>
    <t>Struct/Elec/Precon/Interiors CA ($/SF)</t>
  </si>
  <si>
    <t>CPA costs</t>
  </si>
  <si>
    <t>County Building Permit Fees (% of Vertical Const)</t>
  </si>
  <si>
    <t>HOA Dues</t>
  </si>
  <si>
    <t>Dev OH / Asset Mngmt (% of COSTS sans LAND)</t>
  </si>
  <si>
    <t>Est. EB-5 Financing Costs Yr 0-3</t>
  </si>
  <si>
    <t>Year 0-3 Construction Costs</t>
  </si>
  <si>
    <t>Year 0-3 Unit Sales + NOI</t>
  </si>
  <si>
    <t>Year 0-3 Net Dev Cost</t>
  </si>
  <si>
    <t>EB-5</t>
  </si>
  <si>
    <t>Year 5 Refi</t>
  </si>
  <si>
    <t>Year 5 Refi Loan / Equity Financing</t>
  </si>
  <si>
    <t>Disbursements</t>
  </si>
  <si>
    <t>Stabilized NOI</t>
  </si>
  <si>
    <t>Mortgage Payment</t>
  </si>
  <si>
    <t>Cap Rate (Terminal)</t>
  </si>
  <si>
    <t>Loan Fees &amp; Transaction Costs</t>
  </si>
  <si>
    <t>Property Value</t>
  </si>
  <si>
    <t>Payoff Value</t>
  </si>
  <si>
    <t>Refi Net Impact on Project Cashflows</t>
  </si>
  <si>
    <t>Profit Split - 0% - 8% IRR</t>
  </si>
  <si>
    <t>Profit Split - 8% - 30% IRR</t>
  </si>
  <si>
    <t>Profit Split - 30%+ IRR</t>
  </si>
  <si>
    <t>Post Pref Profit Split: Investor LP</t>
  </si>
  <si>
    <t>CASH RESERVES DRAW</t>
  </si>
  <si>
    <t>HARD COSTS - SITE</t>
  </si>
  <si>
    <t>CASH RESERVES BUILD</t>
  </si>
  <si>
    <t>10-Year Monthly Operating Cash Flow</t>
  </si>
  <si>
    <t>Month Ending</t>
  </si>
  <si>
    <t>Year</t>
  </si>
  <si>
    <t>Lodging Revenue</t>
  </si>
  <si>
    <t>Monthly Occupancy</t>
  </si>
  <si>
    <t>Total Room Revenue</t>
  </si>
  <si>
    <t>Rooms Cost</t>
  </si>
  <si>
    <t>Hotel Room Gross Operating Profit</t>
  </si>
  <si>
    <t>Condo Owner Revenue Share - Villa/ Cabin</t>
  </si>
  <si>
    <t>Condo Owner Revenue Share - Cottages</t>
  </si>
  <si>
    <t>Hotel Room Net Operating Profit</t>
  </si>
  <si>
    <t>Bar Revenue</t>
  </si>
  <si>
    <t>Food &amp; Beverage COS</t>
  </si>
  <si>
    <t>Bar Food &amp; Beverage Profit</t>
  </si>
  <si>
    <t>Spa / Wellness Center Revenue</t>
  </si>
  <si>
    <t>Spa / Wellness Center COS</t>
  </si>
  <si>
    <t>Spa / Wellness Center Profit</t>
  </si>
  <si>
    <t>Max Event Center Revenue</t>
  </si>
  <si>
    <t>Occ. Adj. Conf Center Revenue</t>
  </si>
  <si>
    <t>Food &amp; Beverage Commission</t>
  </si>
  <si>
    <t>Events Profit</t>
  </si>
  <si>
    <t>Food &amp; Beverage Revenue</t>
  </si>
  <si>
    <t>Food &amp; Beverage Profit</t>
  </si>
  <si>
    <t>MOD COS</t>
  </si>
  <si>
    <t>Minor Operating Departments Profit</t>
  </si>
  <si>
    <t>Gross Operating Income</t>
  </si>
  <si>
    <t>Admin &amp; General Ops</t>
  </si>
  <si>
    <t>Sales &amp; Marketing</t>
  </si>
  <si>
    <t>POMEC</t>
  </si>
  <si>
    <t>Energy</t>
  </si>
  <si>
    <t>Total Expenses</t>
  </si>
  <si>
    <t>Gross Operating Profit</t>
  </si>
  <si>
    <t>10-Year Annual Operating Cash Flow</t>
  </si>
  <si>
    <t>Avg Annual Occupancy</t>
  </si>
  <si>
    <t>8-Year Monthly Operating Cash Flow</t>
  </si>
  <si>
    <t xml:space="preserve">Years Ending December 31 </t>
  </si>
  <si>
    <t>Operating Year</t>
  </si>
  <si>
    <t>Inflation</t>
  </si>
  <si>
    <t>Number of Rooms</t>
  </si>
  <si>
    <t>Available Rooms</t>
  </si>
  <si>
    <t>Occupied Rooms</t>
  </si>
  <si>
    <t>Occupancy</t>
  </si>
  <si>
    <t>RevPAR</t>
  </si>
  <si>
    <t xml:space="preserve">  </t>
  </si>
  <si>
    <t>Revenues</t>
  </si>
  <si>
    <t>Rooms</t>
  </si>
  <si>
    <t>Food &amp; Beverage</t>
  </si>
  <si>
    <t>Bar</t>
  </si>
  <si>
    <t>Spa/ Wellness Center</t>
  </si>
  <si>
    <t>Other Operated Departments</t>
  </si>
  <si>
    <t>Miscellaneous Income</t>
  </si>
  <si>
    <t>Total Revenue</t>
  </si>
  <si>
    <t>Departmental Expenses</t>
  </si>
  <si>
    <t>Condo Owner Room Revenue Share</t>
  </si>
  <si>
    <t>Miscellaneous Expense</t>
  </si>
  <si>
    <t>Total Departmental Expenses</t>
  </si>
  <si>
    <t>Departmental Profit</t>
  </si>
  <si>
    <t>Undistributed Operating Expenses</t>
  </si>
  <si>
    <t>Administrative &amp; General</t>
  </si>
  <si>
    <t>`</t>
  </si>
  <si>
    <t>Property Operations</t>
  </si>
  <si>
    <t>Utilities</t>
  </si>
  <si>
    <t>Credit Card Commissions</t>
  </si>
  <si>
    <t>Information &amp; Telecommunication Systems</t>
  </si>
  <si>
    <t>Franchise Fees (Royalty &amp; Marketing)</t>
  </si>
  <si>
    <t>Total Undistributed Expenses</t>
  </si>
  <si>
    <t>Base Management Fee</t>
  </si>
  <si>
    <t>Income Before Fixed Charges</t>
  </si>
  <si>
    <t>Non-Operating Income &amp; Expenses</t>
  </si>
  <si>
    <t>Property Tax and Other Taxes</t>
  </si>
  <si>
    <t>Property Tax Adjustment</t>
  </si>
  <si>
    <t>Insurance</t>
  </si>
  <si>
    <t>Lease 1</t>
  </si>
  <si>
    <t>Lease 2</t>
  </si>
  <si>
    <t>Lease 3</t>
  </si>
  <si>
    <t>Asset Management Fee</t>
  </si>
  <si>
    <t>Total Non-Operating Income &amp; Expenses</t>
  </si>
  <si>
    <t>EBITDA</t>
  </si>
  <si>
    <t>Reserve for Replacement</t>
  </si>
  <si>
    <t>EBITDA Less Replacement Reserve</t>
  </si>
  <si>
    <t>Adjusted EBITDA (add AM fee back)</t>
  </si>
  <si>
    <t>CLARENDON - AMENITY + HOTEL DEVELOPMENT: RETURNS</t>
  </si>
  <si>
    <t>SENSITIVITY ANALYSIS - PROJECT-LEVEL RETURNS, LEVERED</t>
  </si>
  <si>
    <t>Year 5 DSCR</t>
  </si>
  <si>
    <t>Year 5 NOI / Invested Capital</t>
  </si>
  <si>
    <t>Disposition Cap Rate</t>
  </si>
  <si>
    <t>Disposition Property Value</t>
  </si>
  <si>
    <t>LP Returns</t>
  </si>
  <si>
    <t>MO/ JV GP Returns</t>
  </si>
  <si>
    <t>VALUE CREATED POST PUD of 80 ACRES???</t>
  </si>
  <si>
    <t>Before, we've put $15M into the Land+Home proforma to "pay ourselves" for the value created for the Resort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</si>
</sst>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&quot;X&quot;"/>
    <numFmt numFmtId="167" formatCode="_(* #,##0.0_);_(* \(#,##0.0\);_(* &quot;-&quot;??_);_(@_)"/>
    <numFmt numFmtId="168" formatCode="&quot;$&quot;#,##0"/>
    <numFmt numFmtId="169" formatCode="&quot;$&quot;#,##0.00"/>
    <numFmt numFmtId="170" formatCode="_(&quot;$&quot;* #,##0_);_(&quot;$&quot;* \(#,##0\);_(&quot;$&quot;* &quot;-&quot;??_);_(@_)"/>
    <numFmt numFmtId="171" formatCode="0.00&quot;x&quot;"/>
    <numFmt numFmtId="172" formatCode="_(* #,##0_);_(* \(#,##0\);_(* &quot;-&quot;?_);_(@_)"/>
    <numFmt numFmtId="173" formatCode="0.0000%"/>
    <numFmt numFmtId="174" formatCode="0_);[Red]\(0\)"/>
    <numFmt numFmtId="175" formatCode="mmmm"/>
    <numFmt numFmtId="176" formatCode="&quot;Weekends&quot;;;&quot;Daily&quot;"/>
    <numFmt numFmtId="177" formatCode="&quot;Month&quot;\ 0"/>
    <numFmt numFmtId="178" formatCode="&quot;Year&quot;\ 0"/>
    <numFmt numFmtId="179" formatCode="[$-409]d\-mmm;@"/>
    <numFmt numFmtId="180" formatCode="&quot;Year&quot;\ 0&quot;+&quot;"/>
    <numFmt numFmtId="181" formatCode="#,##0;\(#,##0\);&quot;-&quot;"/>
    <numFmt numFmtId="182" formatCode="0.0%;\(0.0%\);&quot;-&quot;"/>
    <numFmt numFmtId="183" formatCode="#,##0,;\(#,##0,\);&quot;-&quot;"/>
    <numFmt numFmtId="184" formatCode="_(* #,##0.0_);_(* \(#,##0.0\);_(* &quot;-&quot;?_);_(@_)"/>
  </numFmts>
  <fonts count="7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444444"/>
      <name val="Calibri"/>
      <family val="2"/>
    </font>
    <font>
      <i/>
      <sz val="12"/>
      <color theme="0" tint="-0.34998626667073579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i/>
      <sz val="12"/>
      <color theme="4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2"/>
      <color theme="8"/>
      <name val="Calibri"/>
      <family val="2"/>
      <scheme val="minor"/>
    </font>
    <font>
      <i/>
      <sz val="12"/>
      <color theme="0" tint="-0.249977111117893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rgb="FF444444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trike/>
      <sz val="12"/>
      <color theme="4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4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i/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9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432FF"/>
      <name val="Calibri"/>
      <family val="2"/>
      <scheme val="minor"/>
    </font>
    <font>
      <b/>
      <sz val="14"/>
      <name val="Calibri"/>
      <family val="2"/>
      <scheme val="minor"/>
    </font>
    <font>
      <u val="singleAccounting"/>
      <sz val="12"/>
      <color theme="4"/>
      <name val="Calibri"/>
      <family val="2"/>
      <scheme val="minor"/>
    </font>
    <font>
      <sz val="12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dashed">
        <color indexed="64"/>
      </top>
      <bottom/>
      <diagonal/>
    </border>
  </borders>
  <cellStyleXfs count="15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4" fillId="6" borderId="4" applyNumberFormat="0" applyAlignment="0" applyProtection="0"/>
    <xf numFmtId="44" fontId="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5" fillId="0" borderId="0"/>
    <xf numFmtId="0" fontId="65" fillId="0" borderId="0"/>
    <xf numFmtId="9" fontId="65" fillId="0" borderId="0" applyFont="0" applyFill="0" applyBorder="0" applyAlignment="0" applyProtection="0"/>
    <xf numFmtId="43" fontId="65" fillId="0" borderId="0" applyFont="0" applyFill="0" applyBorder="0" applyAlignment="0" applyProtection="0"/>
  </cellStyleXfs>
  <cellXfs count="791">
    <xf numFmtId="0" fontId="0" fillId="0" borderId="0" xfId="0"/>
    <xf numFmtId="0" fontId="4" fillId="3" borderId="1" xfId="0" applyFont="1" applyFill="1" applyBorder="1"/>
    <xf numFmtId="0" fontId="0" fillId="4" borderId="0" xfId="0" applyFill="1"/>
    <xf numFmtId="0" fontId="9" fillId="0" borderId="0" xfId="0" applyFont="1"/>
    <xf numFmtId="0" fontId="10" fillId="0" borderId="0" xfId="0" applyFont="1"/>
    <xf numFmtId="0" fontId="0" fillId="0" borderId="2" xfId="0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64" fontId="11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164" fontId="13" fillId="0" borderId="0" xfId="1" applyNumberFormat="1" applyFont="1"/>
    <xf numFmtId="10" fontId="13" fillId="0" borderId="0" xfId="0" applyNumberFormat="1" applyFont="1"/>
    <xf numFmtId="9" fontId="12" fillId="0" borderId="0" xfId="0" applyNumberFormat="1" applyFont="1"/>
    <xf numFmtId="164" fontId="11" fillId="0" borderId="0" xfId="0" applyNumberFormat="1" applyFont="1"/>
    <xf numFmtId="9" fontId="11" fillId="0" borderId="0" xfId="0" applyNumberFormat="1" applyFont="1"/>
    <xf numFmtId="165" fontId="0" fillId="0" borderId="0" xfId="2" applyNumberFormat="1" applyFont="1"/>
    <xf numFmtId="6" fontId="11" fillId="0" borderId="0" xfId="0" applyNumberFormat="1" applyFont="1"/>
    <xf numFmtId="14" fontId="0" fillId="0" borderId="0" xfId="0" applyNumberFormat="1" applyAlignment="1">
      <alignment horizontal="center"/>
    </xf>
    <xf numFmtId="164" fontId="0" fillId="0" borderId="1" xfId="1" applyNumberFormat="1" applyFont="1" applyBorder="1"/>
    <xf numFmtId="164" fontId="0" fillId="0" borderId="1" xfId="0" applyNumberFormat="1" applyBorder="1"/>
    <xf numFmtId="164" fontId="9" fillId="0" borderId="0" xfId="1" applyNumberFormat="1" applyFont="1"/>
    <xf numFmtId="164" fontId="9" fillId="0" borderId="0" xfId="0" applyNumberFormat="1" applyFont="1"/>
    <xf numFmtId="164" fontId="11" fillId="0" borderId="0" xfId="1" applyNumberFormat="1" applyFont="1" applyFill="1"/>
    <xf numFmtId="0" fontId="16" fillId="0" borderId="0" xfId="0" applyFont="1" applyAlignment="1">
      <alignment horizontal="left"/>
    </xf>
    <xf numFmtId="164" fontId="11" fillId="0" borderId="1" xfId="1" applyNumberFormat="1" applyFont="1" applyBorder="1"/>
    <xf numFmtId="10" fontId="13" fillId="0" borderId="3" xfId="0" applyNumberFormat="1" applyFont="1" applyBorder="1"/>
    <xf numFmtId="164" fontId="0" fillId="0" borderId="3" xfId="1" applyNumberFormat="1" applyFont="1" applyBorder="1"/>
    <xf numFmtId="0" fontId="16" fillId="0" borderId="0" xfId="0" applyFont="1"/>
    <xf numFmtId="10" fontId="17" fillId="0" borderId="0" xfId="0" applyNumberFormat="1" applyFont="1"/>
    <xf numFmtId="164" fontId="12" fillId="0" borderId="0" xfId="1" applyNumberFormat="1" applyFont="1"/>
    <xf numFmtId="9" fontId="0" fillId="0" borderId="0" xfId="2" applyFont="1"/>
    <xf numFmtId="0" fontId="10" fillId="5" borderId="0" xfId="0" applyFont="1" applyFill="1"/>
    <xf numFmtId="164" fontId="0" fillId="5" borderId="0" xfId="1" applyNumberFormat="1" applyFont="1" applyFill="1"/>
    <xf numFmtId="164" fontId="4" fillId="3" borderId="0" xfId="1" applyNumberFormat="1" applyFont="1" applyFill="1"/>
    <xf numFmtId="164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5" fontId="0" fillId="0" borderId="1" xfId="2" applyNumberFormat="1" applyFont="1" applyBorder="1"/>
    <xf numFmtId="165" fontId="0" fillId="0" borderId="0" xfId="0" applyNumberFormat="1"/>
    <xf numFmtId="165" fontId="4" fillId="3" borderId="0" xfId="0" applyNumberFormat="1" applyFont="1" applyFill="1" applyAlignment="1">
      <alignment horizontal="center"/>
    </xf>
    <xf numFmtId="0" fontId="18" fillId="0" borderId="0" xfId="0" applyFont="1"/>
    <xf numFmtId="165" fontId="11" fillId="0" borderId="0" xfId="0" applyNumberFormat="1" applyFont="1"/>
    <xf numFmtId="0" fontId="11" fillId="0" borderId="1" xfId="0" applyFont="1" applyBorder="1"/>
    <xf numFmtId="164" fontId="12" fillId="0" borderId="1" xfId="0" applyNumberFormat="1" applyFont="1" applyBorder="1"/>
    <xf numFmtId="164" fontId="11" fillId="0" borderId="0" xfId="1" applyNumberFormat="1" applyFont="1" applyBorder="1"/>
    <xf numFmtId="164" fontId="0" fillId="0" borderId="0" xfId="1" applyNumberFormat="1" applyFont="1" applyBorder="1"/>
    <xf numFmtId="6" fontId="13" fillId="0" borderId="0" xfId="0" applyNumberFormat="1" applyFont="1"/>
    <xf numFmtId="0" fontId="9" fillId="0" borderId="6" xfId="0" applyFont="1" applyBorder="1"/>
    <xf numFmtId="10" fontId="17" fillId="0" borderId="6" xfId="0" applyNumberFormat="1" applyFont="1" applyBorder="1"/>
    <xf numFmtId="164" fontId="9" fillId="0" borderId="6" xfId="0" applyNumberFormat="1" applyFont="1" applyBorder="1"/>
    <xf numFmtId="164" fontId="9" fillId="0" borderId="6" xfId="1" applyNumberFormat="1" applyFont="1" applyBorder="1"/>
    <xf numFmtId="167" fontId="13" fillId="0" borderId="0" xfId="1" applyNumberFormat="1" applyFont="1"/>
    <xf numFmtId="165" fontId="13" fillId="0" borderId="1" xfId="0" applyNumberFormat="1" applyFont="1" applyBorder="1"/>
    <xf numFmtId="0" fontId="9" fillId="4" borderId="0" xfId="0" applyFont="1" applyFill="1"/>
    <xf numFmtId="0" fontId="12" fillId="0" borderId="6" xfId="0" applyFont="1" applyBorder="1" applyAlignment="1">
      <alignment horizontal="center"/>
    </xf>
    <xf numFmtId="164" fontId="0" fillId="0" borderId="6" xfId="1" applyNumberFormat="1" applyFont="1" applyBorder="1"/>
    <xf numFmtId="10" fontId="11" fillId="0" borderId="1" xfId="2" applyNumberFormat="1" applyFont="1" applyBorder="1"/>
    <xf numFmtId="168" fontId="11" fillId="0" borderId="0" xfId="0" applyNumberFormat="1" applyFont="1" applyAlignment="1">
      <alignment horizontal="center"/>
    </xf>
    <xf numFmtId="3" fontId="11" fillId="0" borderId="0" xfId="0" applyNumberFormat="1" applyFont="1"/>
    <xf numFmtId="164" fontId="0" fillId="0" borderId="0" xfId="1" applyNumberFormat="1" applyFont="1" applyFill="1"/>
    <xf numFmtId="165" fontId="13" fillId="0" borderId="0" xfId="2" applyNumberFormat="1" applyFont="1"/>
    <xf numFmtId="165" fontId="9" fillId="0" borderId="0" xfId="0" applyNumberFormat="1" applyFont="1"/>
    <xf numFmtId="43" fontId="11" fillId="0" borderId="0" xfId="1" applyFont="1"/>
    <xf numFmtId="165" fontId="11" fillId="0" borderId="0" xfId="2" applyNumberFormat="1" applyFont="1"/>
    <xf numFmtId="164" fontId="9" fillId="0" borderId="0" xfId="1" applyNumberFormat="1" applyFont="1" applyBorder="1"/>
    <xf numFmtId="164" fontId="12" fillId="0" borderId="0" xfId="1" applyNumberFormat="1" applyFont="1" applyFill="1"/>
    <xf numFmtId="164" fontId="11" fillId="0" borderId="0" xfId="1" applyNumberFormat="1" applyFont="1" applyFill="1" applyBorder="1"/>
    <xf numFmtId="10" fontId="11" fillId="0" borderId="0" xfId="2" applyNumberFormat="1" applyFont="1"/>
    <xf numFmtId="43" fontId="0" fillId="0" borderId="0" xfId="0" applyNumberFormat="1"/>
    <xf numFmtId="164" fontId="13" fillId="0" borderId="0" xfId="1" applyNumberFormat="1" applyFont="1" applyFill="1"/>
    <xf numFmtId="164" fontId="0" fillId="0" borderId="5" xfId="1" applyNumberFormat="1" applyFont="1" applyFill="1" applyBorder="1"/>
    <xf numFmtId="43" fontId="0" fillId="0" borderId="0" xfId="1" applyFont="1"/>
    <xf numFmtId="0" fontId="0" fillId="4" borderId="0" xfId="0" applyFill="1" applyAlignment="1">
      <alignment horizontal="right"/>
    </xf>
    <xf numFmtId="0" fontId="7" fillId="4" borderId="0" xfId="0" applyFont="1" applyFill="1" applyAlignment="1">
      <alignment horizontal="left" indent="1"/>
    </xf>
    <xf numFmtId="0" fontId="21" fillId="0" borderId="0" xfId="0" applyFont="1"/>
    <xf numFmtId="164" fontId="12" fillId="0" borderId="1" xfId="1" applyNumberFormat="1" applyFont="1" applyFill="1" applyBorder="1"/>
    <xf numFmtId="164" fontId="0" fillId="0" borderId="2" xfId="1" applyNumberFormat="1" applyFont="1" applyFill="1" applyBorder="1"/>
    <xf numFmtId="165" fontId="13" fillId="0" borderId="0" xfId="2" applyNumberFormat="1" applyFont="1" applyFill="1"/>
    <xf numFmtId="164" fontId="11" fillId="0" borderId="0" xfId="1" quotePrefix="1" applyNumberFormat="1" applyFont="1" applyFill="1" applyAlignment="1">
      <alignment horizontal="center"/>
    </xf>
    <xf numFmtId="0" fontId="22" fillId="0" borderId="0" xfId="0" applyFont="1"/>
    <xf numFmtId="164" fontId="0" fillId="0" borderId="0" xfId="0" applyNumberFormat="1" applyAlignment="1">
      <alignment horizontal="left" indent="1"/>
    </xf>
    <xf numFmtId="164" fontId="0" fillId="0" borderId="0" xfId="0" quotePrefix="1" applyNumberFormat="1"/>
    <xf numFmtId="165" fontId="13" fillId="0" borderId="0" xfId="0" applyNumberFormat="1" applyFont="1"/>
    <xf numFmtId="0" fontId="16" fillId="0" borderId="6" xfId="0" applyFont="1" applyBorder="1" applyAlignment="1">
      <alignment horizontal="left"/>
    </xf>
    <xf numFmtId="6" fontId="11" fillId="0" borderId="6" xfId="0" applyNumberFormat="1" applyFont="1" applyBorder="1"/>
    <xf numFmtId="0" fontId="23" fillId="0" borderId="0" xfId="0" applyFont="1" applyAlignment="1">
      <alignment horizontal="left"/>
    </xf>
    <xf numFmtId="164" fontId="11" fillId="0" borderId="0" xfId="1" quotePrefix="1" applyNumberFormat="1" applyFont="1"/>
    <xf numFmtId="43" fontId="0" fillId="0" borderId="6" xfId="0" applyNumberFormat="1" applyBorder="1"/>
    <xf numFmtId="165" fontId="11" fillId="0" borderId="0" xfId="2" applyNumberFormat="1" applyFont="1" applyFill="1"/>
    <xf numFmtId="164" fontId="12" fillId="0" borderId="0" xfId="1" applyNumberFormat="1" applyFont="1" applyBorder="1"/>
    <xf numFmtId="164" fontId="12" fillId="0" borderId="0" xfId="1" applyNumberFormat="1" applyFont="1" applyFill="1" applyBorder="1"/>
    <xf numFmtId="10" fontId="11" fillId="0" borderId="0" xfId="2" applyNumberFormat="1" applyFont="1" applyFill="1" applyBorder="1"/>
    <xf numFmtId="164" fontId="15" fillId="0" borderId="6" xfId="1" applyNumberFormat="1" applyFont="1" applyFill="1" applyBorder="1"/>
    <xf numFmtId="164" fontId="9" fillId="0" borderId="0" xfId="1" applyNumberFormat="1" applyFont="1" applyFill="1"/>
    <xf numFmtId="0" fontId="4" fillId="0" borderId="0" xfId="0" applyFont="1"/>
    <xf numFmtId="43" fontId="24" fillId="0" borderId="8" xfId="1" applyFont="1" applyFill="1" applyBorder="1"/>
    <xf numFmtId="167" fontId="13" fillId="0" borderId="0" xfId="1" applyNumberFormat="1" applyFont="1" applyFill="1"/>
    <xf numFmtId="0" fontId="0" fillId="0" borderId="6" xfId="0" applyBorder="1" applyAlignment="1">
      <alignment horizontal="center"/>
    </xf>
    <xf numFmtId="10" fontId="13" fillId="0" borderId="0" xfId="2" applyNumberFormat="1" applyFont="1" applyFill="1"/>
    <xf numFmtId="164" fontId="13" fillId="0" borderId="0" xfId="1" applyNumberFormat="1" applyFont="1" applyFill="1" applyAlignment="1">
      <alignment horizontal="center"/>
    </xf>
    <xf numFmtId="10" fontId="11" fillId="0" borderId="0" xfId="2" applyNumberFormat="1" applyFont="1" applyFill="1"/>
    <xf numFmtId="0" fontId="0" fillId="0" borderId="2" xfId="0" applyBorder="1" applyAlignment="1">
      <alignment horizontal="left"/>
    </xf>
    <xf numFmtId="168" fontId="12" fillId="0" borderId="0" xfId="0" applyNumberFormat="1" applyFont="1" applyAlignment="1">
      <alignment horizontal="left"/>
    </xf>
    <xf numFmtId="165" fontId="0" fillId="0" borderId="0" xfId="2" applyNumberFormat="1" applyFont="1" applyFill="1"/>
    <xf numFmtId="164" fontId="9" fillId="0" borderId="0" xfId="1" applyNumberFormat="1" applyFont="1" applyFill="1" applyBorder="1"/>
    <xf numFmtId="164" fontId="9" fillId="0" borderId="6" xfId="1" applyNumberFormat="1" applyFont="1" applyFill="1" applyBorder="1"/>
    <xf numFmtId="164" fontId="0" fillId="0" borderId="0" xfId="1" applyNumberFormat="1" applyFont="1" applyFill="1" applyBorder="1"/>
    <xf numFmtId="3" fontId="9" fillId="0" borderId="0" xfId="0" applyNumberFormat="1" applyFont="1"/>
    <xf numFmtId="3" fontId="9" fillId="0" borderId="7" xfId="0" applyNumberFormat="1" applyFont="1" applyBorder="1"/>
    <xf numFmtId="10" fontId="0" fillId="0" borderId="0" xfId="2" applyNumberFormat="1" applyFont="1" applyFill="1"/>
    <xf numFmtId="0" fontId="0" fillId="0" borderId="0" xfId="0" applyAlignment="1">
      <alignment horizontal="center" wrapText="1"/>
    </xf>
    <xf numFmtId="0" fontId="9" fillId="0" borderId="1" xfId="0" applyFont="1" applyBorder="1"/>
    <xf numFmtId="164" fontId="12" fillId="0" borderId="0" xfId="0" applyNumberFormat="1" applyFont="1"/>
    <xf numFmtId="0" fontId="9" fillId="0" borderId="6" xfId="0" applyFont="1" applyBorder="1" applyAlignment="1">
      <alignment horizontal="left"/>
    </xf>
    <xf numFmtId="165" fontId="13" fillId="0" borderId="1" xfId="2" applyNumberFormat="1" applyFont="1" applyBorder="1"/>
    <xf numFmtId="164" fontId="15" fillId="0" borderId="0" xfId="1" applyNumberFormat="1" applyFont="1" applyFill="1"/>
    <xf numFmtId="164" fontId="11" fillId="0" borderId="0" xfId="1" applyNumberFormat="1" applyFont="1" applyFill="1" applyBorder="1" applyAlignment="1"/>
    <xf numFmtId="164" fontId="0" fillId="0" borderId="0" xfId="1" applyNumberFormat="1" applyFont="1" applyFill="1" applyBorder="1" applyAlignment="1"/>
    <xf numFmtId="164" fontId="0" fillId="0" borderId="2" xfId="1" applyNumberFormat="1" applyFont="1" applyFill="1" applyBorder="1" applyAlignment="1"/>
    <xf numFmtId="164" fontId="0" fillId="0" borderId="5" xfId="1" applyNumberFormat="1" applyFont="1" applyFill="1" applyBorder="1" applyAlignment="1"/>
    <xf numFmtId="164" fontId="0" fillId="0" borderId="5" xfId="1" applyNumberFormat="1" applyFont="1" applyFill="1" applyBorder="1" applyAlignment="1">
      <alignment horizontal="center"/>
    </xf>
    <xf numFmtId="43" fontId="9" fillId="0" borderId="0" xfId="1" applyFont="1" applyAlignment="1">
      <alignment horizontal="center"/>
    </xf>
    <xf numFmtId="0" fontId="4" fillId="3" borderId="0" xfId="0" applyFont="1" applyFill="1"/>
    <xf numFmtId="43" fontId="24" fillId="0" borderId="0" xfId="1" applyFont="1" applyFill="1" applyBorder="1"/>
    <xf numFmtId="10" fontId="17" fillId="0" borderId="1" xfId="0" applyNumberFormat="1" applyFont="1" applyBorder="1"/>
    <xf numFmtId="164" fontId="9" fillId="0" borderId="1" xfId="0" applyNumberFormat="1" applyFont="1" applyBorder="1"/>
    <xf numFmtId="164" fontId="9" fillId="0" borderId="1" xfId="1" applyNumberFormat="1" applyFont="1" applyBorder="1"/>
    <xf numFmtId="0" fontId="12" fillId="0" borderId="0" xfId="0" applyFont="1"/>
    <xf numFmtId="9" fontId="12" fillId="0" borderId="0" xfId="2" applyFont="1"/>
    <xf numFmtId="44" fontId="0" fillId="0" borderId="0" xfId="4" applyFont="1" applyFill="1"/>
    <xf numFmtId="0" fontId="24" fillId="0" borderId="0" xfId="0" applyFont="1"/>
    <xf numFmtId="0" fontId="0" fillId="0" borderId="0" xfId="0" applyAlignment="1">
      <alignment horizontal="left" indent="1"/>
    </xf>
    <xf numFmtId="164" fontId="0" fillId="0" borderId="6" xfId="0" applyNumberFormat="1" applyBorder="1"/>
    <xf numFmtId="0" fontId="0" fillId="0" borderId="0" xfId="0" quotePrefix="1"/>
    <xf numFmtId="164" fontId="19" fillId="0" borderId="0" xfId="0" applyNumberFormat="1" applyFont="1"/>
    <xf numFmtId="0" fontId="19" fillId="0" borderId="0" xfId="0" applyFont="1"/>
    <xf numFmtId="0" fontId="0" fillId="0" borderId="0" xfId="0" applyAlignment="1">
      <alignment horizontal="right"/>
    </xf>
    <xf numFmtId="168" fontId="0" fillId="0" borderId="0" xfId="0" applyNumberFormat="1"/>
    <xf numFmtId="9" fontId="0" fillId="0" borderId="0" xfId="2" applyFont="1" applyFill="1"/>
    <xf numFmtId="43" fontId="0" fillId="0" borderId="0" xfId="1" applyFont="1" applyFill="1"/>
    <xf numFmtId="173" fontId="0" fillId="0" borderId="0" xfId="2" applyNumberFormat="1" applyFont="1" applyFill="1"/>
    <xf numFmtId="0" fontId="4" fillId="0" borderId="1" xfId="0" applyFont="1" applyBorder="1"/>
    <xf numFmtId="0" fontId="0" fillId="0" borderId="0" xfId="0" applyAlignment="1">
      <alignment wrapText="1"/>
    </xf>
    <xf numFmtId="37" fontId="0" fillId="0" borderId="0" xfId="0" applyNumberFormat="1"/>
    <xf numFmtId="0" fontId="29" fillId="0" borderId="0" xfId="0" applyFont="1" applyAlignment="1">
      <alignment horizontal="left"/>
    </xf>
    <xf numFmtId="3" fontId="12" fillId="0" borderId="0" xfId="0" applyNumberFormat="1" applyFont="1"/>
    <xf numFmtId="3" fontId="0" fillId="0" borderId="0" xfId="0" applyNumberFormat="1"/>
    <xf numFmtId="10" fontId="12" fillId="0" borderId="0" xfId="0" applyNumberFormat="1" applyFont="1"/>
    <xf numFmtId="0" fontId="7" fillId="0" borderId="0" xfId="8" applyFont="1"/>
    <xf numFmtId="0" fontId="30" fillId="0" borderId="0" xfId="8" applyFont="1" applyAlignment="1">
      <alignment horizontal="center"/>
    </xf>
    <xf numFmtId="0" fontId="31" fillId="9" borderId="0" xfId="8" applyFont="1" applyFill="1" applyAlignment="1">
      <alignment horizontal="right"/>
    </xf>
    <xf numFmtId="0" fontId="29" fillId="9" borderId="0" xfId="8" applyFont="1" applyFill="1" applyAlignment="1">
      <alignment horizontal="center"/>
    </xf>
    <xf numFmtId="0" fontId="12" fillId="0" borderId="0" xfId="8" applyFont="1"/>
    <xf numFmtId="0" fontId="31" fillId="0" borderId="0" xfId="8" applyFont="1" applyAlignment="1">
      <alignment horizontal="right"/>
    </xf>
    <xf numFmtId="0" fontId="12" fillId="0" borderId="0" xfId="8" applyFont="1" applyAlignment="1">
      <alignment horizontal="right"/>
    </xf>
    <xf numFmtId="9" fontId="32" fillId="0" borderId="0" xfId="10" applyFont="1" applyFill="1" applyBorder="1" applyAlignment="1">
      <alignment horizontal="center"/>
    </xf>
    <xf numFmtId="6" fontId="29" fillId="0" borderId="0" xfId="8" applyNumberFormat="1" applyFont="1" applyAlignment="1">
      <alignment horizontal="center"/>
    </xf>
    <xf numFmtId="6" fontId="12" fillId="0" borderId="0" xfId="8" applyNumberFormat="1" applyFont="1" applyAlignment="1">
      <alignment horizontal="center"/>
    </xf>
    <xf numFmtId="8" fontId="12" fillId="0" borderId="0" xfId="8" applyNumberFormat="1" applyFont="1"/>
    <xf numFmtId="0" fontId="29" fillId="0" borderId="0" xfId="8" applyFont="1"/>
    <xf numFmtId="6" fontId="12" fillId="0" borderId="0" xfId="8" applyNumberFormat="1" applyFont="1"/>
    <xf numFmtId="168" fontId="0" fillId="0" borderId="0" xfId="0" applyNumberFormat="1" applyAlignment="1">
      <alignment horizontal="center"/>
    </xf>
    <xf numFmtId="0" fontId="0" fillId="5" borderId="0" xfId="0" applyFill="1"/>
    <xf numFmtId="0" fontId="27" fillId="0" borderId="0" xfId="0" applyFont="1" applyAlignment="1">
      <alignment horizontal="left" indent="1"/>
    </xf>
    <xf numFmtId="0" fontId="27" fillId="0" borderId="0" xfId="0" applyFont="1" applyAlignment="1">
      <alignment horizontal="left" indent="2"/>
    </xf>
    <xf numFmtId="0" fontId="0" fillId="0" borderId="6" xfId="0" applyBorder="1"/>
    <xf numFmtId="0" fontId="27" fillId="0" borderId="0" xfId="0" applyFont="1" applyAlignment="1">
      <alignment horizontal="right" indent="2"/>
    </xf>
    <xf numFmtId="0" fontId="27" fillId="0" borderId="0" xfId="0" applyFont="1" applyAlignment="1">
      <alignment horizontal="left"/>
    </xf>
    <xf numFmtId="6" fontId="0" fillId="0" borderId="0" xfId="0" applyNumberFormat="1"/>
    <xf numFmtId="0" fontId="27" fillId="0" borderId="1" xfId="0" applyFont="1" applyBorder="1" applyAlignment="1">
      <alignment horizontal="left" indent="2"/>
    </xf>
    <xf numFmtId="9" fontId="11" fillId="0" borderId="0" xfId="2" applyFont="1"/>
    <xf numFmtId="0" fontId="0" fillId="0" borderId="0" xfId="0" applyAlignment="1">
      <alignment horizontal="left" indent="2"/>
    </xf>
    <xf numFmtId="9" fontId="11" fillId="0" borderId="0" xfId="2" applyFont="1" applyFill="1" applyAlignment="1">
      <alignment horizontal="right"/>
    </xf>
    <xf numFmtId="9" fontId="11" fillId="0" borderId="0" xfId="2" applyFont="1" applyAlignment="1">
      <alignment horizontal="center"/>
    </xf>
    <xf numFmtId="14" fontId="4" fillId="3" borderId="0" xfId="0" applyNumberFormat="1" applyFont="1" applyFill="1" applyAlignment="1">
      <alignment horizontal="center"/>
    </xf>
    <xf numFmtId="164" fontId="0" fillId="0" borderId="0" xfId="1" applyNumberFormat="1" applyFont="1" applyAlignment="1">
      <alignment horizontal="left"/>
    </xf>
    <xf numFmtId="164" fontId="0" fillId="0" borderId="0" xfId="1" applyNumberFormat="1" applyFont="1" applyBorder="1" applyAlignment="1">
      <alignment horizontal="left"/>
    </xf>
    <xf numFmtId="164" fontId="9" fillId="0" borderId="0" xfId="1" applyNumberFormat="1" applyFont="1" applyAlignment="1">
      <alignment horizontal="left"/>
    </xf>
    <xf numFmtId="164" fontId="9" fillId="0" borderId="0" xfId="1" applyNumberFormat="1" applyFont="1" applyBorder="1" applyAlignment="1">
      <alignment horizontal="left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4" fontId="4" fillId="3" borderId="0" xfId="1" applyNumberFormat="1" applyFont="1" applyFill="1" applyAlignment="1">
      <alignment horizontal="center"/>
    </xf>
    <xf numFmtId="14" fontId="4" fillId="3" borderId="0" xfId="1" applyNumberFormat="1" applyFont="1" applyFill="1" applyBorder="1" applyAlignment="1">
      <alignment horizontal="center"/>
    </xf>
    <xf numFmtId="0" fontId="33" fillId="0" borderId="0" xfId="0" applyFont="1"/>
    <xf numFmtId="43" fontId="33" fillId="0" borderId="0" xfId="1" applyFont="1" applyFill="1"/>
    <xf numFmtId="0" fontId="12" fillId="4" borderId="0" xfId="0" applyFont="1" applyFill="1"/>
    <xf numFmtId="0" fontId="29" fillId="4" borderId="0" xfId="0" applyFont="1" applyFill="1"/>
    <xf numFmtId="0" fontId="29" fillId="0" borderId="0" xfId="0" applyFont="1"/>
    <xf numFmtId="0" fontId="8" fillId="0" borderId="0" xfId="8" applyFont="1"/>
    <xf numFmtId="0" fontId="4" fillId="3" borderId="0" xfId="8" applyFont="1" applyFill="1"/>
    <xf numFmtId="0" fontId="28" fillId="3" borderId="0" xfId="8" applyFont="1" applyFill="1"/>
    <xf numFmtId="0" fontId="8" fillId="0" borderId="0" xfId="0" applyFont="1"/>
    <xf numFmtId="0" fontId="9" fillId="9" borderId="0" xfId="0" applyFont="1" applyFill="1"/>
    <xf numFmtId="0" fontId="8" fillId="9" borderId="0" xfId="0" applyFont="1" applyFill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2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4" borderId="0" xfId="0" applyFont="1" applyFill="1"/>
    <xf numFmtId="3" fontId="8" fillId="0" borderId="0" xfId="0" applyNumberFormat="1" applyFont="1"/>
    <xf numFmtId="9" fontId="12" fillId="0" borderId="0" xfId="0" applyNumberFormat="1" applyFont="1" applyAlignment="1">
      <alignment horizontal="center"/>
    </xf>
    <xf numFmtId="0" fontId="8" fillId="0" borderId="0" xfId="0" applyFont="1" applyAlignment="1">
      <alignment horizontal="left" indent="2"/>
    </xf>
    <xf numFmtId="10" fontId="12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10" fontId="8" fillId="0" borderId="0" xfId="2" applyNumberFormat="1" applyFont="1" applyAlignment="1">
      <alignment horizontal="center"/>
    </xf>
    <xf numFmtId="6" fontId="29" fillId="9" borderId="0" xfId="8" applyNumberFormat="1" applyFont="1" applyFill="1" applyAlignment="1">
      <alignment horizontal="centerContinuous"/>
    </xf>
    <xf numFmtId="14" fontId="12" fillId="0" borderId="0" xfId="8" applyNumberFormat="1" applyFont="1" applyAlignment="1">
      <alignment horizontal="center"/>
    </xf>
    <xf numFmtId="3" fontId="12" fillId="0" borderId="0" xfId="8" applyNumberFormat="1" applyFont="1" applyAlignment="1">
      <alignment horizontal="center"/>
    </xf>
    <xf numFmtId="9" fontId="12" fillId="0" borderId="0" xfId="8" applyNumberFormat="1" applyFont="1" applyAlignment="1">
      <alignment horizontal="center"/>
    </xf>
    <xf numFmtId="10" fontId="12" fillId="0" borderId="0" xfId="8" applyNumberFormat="1" applyFont="1" applyAlignment="1">
      <alignment horizontal="center"/>
    </xf>
    <xf numFmtId="177" fontId="12" fillId="0" borderId="0" xfId="8" applyNumberFormat="1" applyFont="1" applyAlignment="1">
      <alignment horizontal="center"/>
    </xf>
    <xf numFmtId="176" fontId="12" fillId="0" borderId="0" xfId="8" applyNumberFormat="1" applyFont="1" applyAlignment="1">
      <alignment horizontal="center"/>
    </xf>
    <xf numFmtId="174" fontId="12" fillId="0" borderId="0" xfId="8" applyNumberFormat="1" applyFont="1" applyAlignment="1">
      <alignment horizontal="center"/>
    </xf>
    <xf numFmtId="37" fontId="12" fillId="0" borderId="0" xfId="9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4" applyNumberFormat="1" applyFont="1" applyFill="1"/>
    <xf numFmtId="168" fontId="0" fillId="0" borderId="0" xfId="1" applyNumberFormat="1" applyFont="1"/>
    <xf numFmtId="168" fontId="0" fillId="0" borderId="0" xfId="1" applyNumberFormat="1" applyFont="1" applyBorder="1"/>
    <xf numFmtId="168" fontId="34" fillId="0" borderId="0" xfId="1" applyNumberFormat="1" applyFont="1" applyAlignment="1">
      <alignment horizontal="right"/>
    </xf>
    <xf numFmtId="164" fontId="34" fillId="0" borderId="0" xfId="1" applyNumberFormat="1" applyFont="1"/>
    <xf numFmtId="9" fontId="11" fillId="0" borderId="0" xfId="2" applyFont="1" applyFill="1"/>
    <xf numFmtId="0" fontId="0" fillId="0" borderId="1" xfId="0" applyBorder="1"/>
    <xf numFmtId="169" fontId="35" fillId="0" borderId="0" xfId="0" applyNumberFormat="1" applyFont="1"/>
    <xf numFmtId="0" fontId="0" fillId="4" borderId="0" xfId="0" quotePrefix="1" applyFill="1"/>
    <xf numFmtId="172" fontId="0" fillId="0" borderId="0" xfId="0" applyNumberFormat="1"/>
    <xf numFmtId="2" fontId="0" fillId="0" borderId="0" xfId="0" applyNumberFormat="1"/>
    <xf numFmtId="0" fontId="12" fillId="0" borderId="0" xfId="0" applyFont="1" applyAlignment="1">
      <alignment horizontal="left" indent="2"/>
    </xf>
    <xf numFmtId="0" fontId="16" fillId="0" borderId="3" xfId="0" applyFont="1" applyBorder="1"/>
    <xf numFmtId="0" fontId="0" fillId="0" borderId="3" xfId="0" applyBorder="1"/>
    <xf numFmtId="164" fontId="9" fillId="0" borderId="6" xfId="1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29" fillId="0" borderId="6" xfId="0" applyFont="1" applyBorder="1"/>
    <xf numFmtId="164" fontId="29" fillId="0" borderId="6" xfId="0" applyNumberFormat="1" applyFont="1" applyBorder="1"/>
    <xf numFmtId="38" fontId="9" fillId="0" borderId="0" xfId="0" applyNumberFormat="1" applyFont="1"/>
    <xf numFmtId="38" fontId="9" fillId="0" borderId="0" xfId="1" applyNumberFormat="1" applyFont="1"/>
    <xf numFmtId="3" fontId="13" fillId="0" borderId="0" xfId="0" applyNumberFormat="1" applyFont="1"/>
    <xf numFmtId="3" fontId="8" fillId="0" borderId="0" xfId="8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9" fillId="9" borderId="0" xfId="8" applyFont="1" applyFill="1"/>
    <xf numFmtId="0" fontId="8" fillId="0" borderId="0" xfId="8" applyFont="1" applyAlignment="1">
      <alignment horizontal="center"/>
    </xf>
    <xf numFmtId="0" fontId="22" fillId="0" borderId="0" xfId="8" applyFont="1" applyAlignment="1">
      <alignment horizontal="center"/>
    </xf>
    <xf numFmtId="0" fontId="8" fillId="9" borderId="0" xfId="8" applyFont="1" applyFill="1"/>
    <xf numFmtId="9" fontId="8" fillId="0" borderId="0" xfId="8" applyNumberFormat="1" applyFont="1" applyAlignment="1">
      <alignment horizontal="center"/>
    </xf>
    <xf numFmtId="165" fontId="8" fillId="0" borderId="0" xfId="8" applyNumberFormat="1" applyFont="1" applyAlignment="1">
      <alignment horizontal="center"/>
    </xf>
    <xf numFmtId="9" fontId="0" fillId="0" borderId="0" xfId="2" applyFont="1" applyBorder="1"/>
    <xf numFmtId="178" fontId="9" fillId="9" borderId="0" xfId="0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164" fontId="29" fillId="0" borderId="6" xfId="1" applyNumberFormat="1" applyFont="1" applyFill="1" applyBorder="1"/>
    <xf numFmtId="178" fontId="29" fillId="0" borderId="0" xfId="8" applyNumberFormat="1" applyFont="1" applyAlignment="1">
      <alignment horizontal="center"/>
    </xf>
    <xf numFmtId="177" fontId="29" fillId="9" borderId="0" xfId="8" applyNumberFormat="1" applyFont="1" applyFill="1" applyAlignment="1">
      <alignment horizontal="center"/>
    </xf>
    <xf numFmtId="0" fontId="32" fillId="0" borderId="0" xfId="8" applyFont="1" applyAlignment="1">
      <alignment horizontal="right"/>
    </xf>
    <xf numFmtId="9" fontId="32" fillId="0" borderId="0" xfId="8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34" fillId="0" borderId="0" xfId="0" applyFont="1" applyAlignment="1">
      <alignment horizontal="right"/>
    </xf>
    <xf numFmtId="37" fontId="34" fillId="0" borderId="0" xfId="2" applyNumberFormat="1" applyFont="1" applyFill="1" applyAlignment="1"/>
    <xf numFmtId="164" fontId="34" fillId="0" borderId="0" xfId="2" applyNumberFormat="1" applyFont="1" applyFill="1"/>
    <xf numFmtId="0" fontId="12" fillId="4" borderId="0" xfId="0" applyFont="1" applyFill="1" applyAlignment="1">
      <alignment horizontal="left" indent="1"/>
    </xf>
    <xf numFmtId="37" fontId="0" fillId="0" borderId="0" xfId="2" applyNumberFormat="1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165" fontId="0" fillId="0" borderId="0" xfId="2" applyNumberFormat="1" applyFont="1" applyFill="1" applyBorder="1" applyAlignment="1">
      <alignment horizontal="center"/>
    </xf>
    <xf numFmtId="0" fontId="12" fillId="0" borderId="0" xfId="0" applyFont="1" applyAlignment="1">
      <alignment horizontal="left" indent="1"/>
    </xf>
    <xf numFmtId="8" fontId="0" fillId="0" borderId="0" xfId="0" applyNumberFormat="1"/>
    <xf numFmtId="165" fontId="14" fillId="0" borderId="4" xfId="3" applyNumberFormat="1" applyFill="1"/>
    <xf numFmtId="166" fontId="0" fillId="0" borderId="0" xfId="0" applyNumberFormat="1" applyAlignment="1">
      <alignment horizontal="right"/>
    </xf>
    <xf numFmtId="14" fontId="0" fillId="0" borderId="0" xfId="0" applyNumberFormat="1"/>
    <xf numFmtId="14" fontId="0" fillId="4" borderId="0" xfId="0" applyNumberFormat="1" applyFill="1"/>
    <xf numFmtId="3" fontId="0" fillId="0" borderId="1" xfId="0" applyNumberFormat="1" applyBorder="1"/>
    <xf numFmtId="0" fontId="0" fillId="0" borderId="1" xfId="0" applyBorder="1" applyAlignment="1">
      <alignment horizontal="left" indent="2"/>
    </xf>
    <xf numFmtId="0" fontId="36" fillId="4" borderId="0" xfId="0" applyFont="1" applyFill="1" applyAlignment="1">
      <alignment horizontal="left" indent="1"/>
    </xf>
    <xf numFmtId="0" fontId="36" fillId="0" borderId="0" xfId="0" applyFont="1"/>
    <xf numFmtId="0" fontId="0" fillId="9" borderId="0" xfId="0" applyFill="1"/>
    <xf numFmtId="3" fontId="0" fillId="0" borderId="0" xfId="0" applyNumberFormat="1" applyAlignment="1">
      <alignment horizontal="center"/>
    </xf>
    <xf numFmtId="0" fontId="34" fillId="0" borderId="0" xfId="8" applyFont="1"/>
    <xf numFmtId="164" fontId="34" fillId="0" borderId="0" xfId="0" applyNumberFormat="1" applyFont="1"/>
    <xf numFmtId="9" fontId="34" fillId="0" borderId="0" xfId="2" applyFont="1" applyBorder="1" applyAlignment="1">
      <alignment horizontal="left"/>
    </xf>
    <xf numFmtId="0" fontId="37" fillId="0" borderId="0" xfId="0" applyFont="1"/>
    <xf numFmtId="0" fontId="12" fillId="0" borderId="0" xfId="8" applyFont="1" applyAlignment="1">
      <alignment horizontal="left"/>
    </xf>
    <xf numFmtId="6" fontId="29" fillId="9" borderId="0" xfId="8" applyNumberFormat="1" applyFont="1" applyFill="1" applyAlignment="1">
      <alignment horizontal="left"/>
    </xf>
    <xf numFmtId="0" fontId="8" fillId="0" borderId="0" xfId="8" applyFont="1" applyAlignment="1">
      <alignment horizontal="left"/>
    </xf>
    <xf numFmtId="0" fontId="0" fillId="3" borderId="0" xfId="0" applyFill="1"/>
    <xf numFmtId="44" fontId="0" fillId="3" borderId="0" xfId="4" applyFont="1" applyFill="1"/>
    <xf numFmtId="6" fontId="12" fillId="0" borderId="1" xfId="8" applyNumberFormat="1" applyFont="1" applyBorder="1" applyAlignment="1">
      <alignment horizontal="center"/>
    </xf>
    <xf numFmtId="6" fontId="9" fillId="9" borderId="0" xfId="8" applyNumberFormat="1" applyFont="1" applyFill="1" applyAlignment="1">
      <alignment horizontal="centerContinuous"/>
    </xf>
    <xf numFmtId="10" fontId="8" fillId="0" borderId="0" xfId="0" applyNumberFormat="1" applyFont="1" applyAlignment="1">
      <alignment horizontal="center"/>
    </xf>
    <xf numFmtId="0" fontId="9" fillId="9" borderId="0" xfId="0" applyFont="1" applyFill="1" applyAlignment="1">
      <alignment horizontal="center"/>
    </xf>
    <xf numFmtId="37" fontId="0" fillId="0" borderId="0" xfId="0" applyNumberFormat="1" applyAlignment="1">
      <alignment horizontal="center"/>
    </xf>
    <xf numFmtId="37" fontId="9" fillId="0" borderId="0" xfId="0" applyNumberFormat="1" applyFont="1" applyAlignment="1">
      <alignment horizontal="center"/>
    </xf>
    <xf numFmtId="171" fontId="9" fillId="0" borderId="0" xfId="0" applyNumberFormat="1" applyFont="1" applyAlignment="1">
      <alignment horizontal="center"/>
    </xf>
    <xf numFmtId="165" fontId="9" fillId="0" borderId="0" xfId="2" applyNumberFormat="1" applyFont="1" applyFill="1" applyBorder="1" applyAlignment="1">
      <alignment horizontal="center"/>
    </xf>
    <xf numFmtId="9" fontId="0" fillId="0" borderId="0" xfId="2" applyFont="1" applyFill="1" applyBorder="1"/>
    <xf numFmtId="0" fontId="0" fillId="0" borderId="0" xfId="0" quotePrefix="1" applyAlignment="1">
      <alignment horizontal="left"/>
    </xf>
    <xf numFmtId="37" fontId="0" fillId="0" borderId="1" xfId="0" applyNumberFormat="1" applyBorder="1" applyAlignment="1">
      <alignment horizontal="center"/>
    </xf>
    <xf numFmtId="171" fontId="0" fillId="0" borderId="0" xfId="0" applyNumberFormat="1" applyAlignment="1">
      <alignment horizontal="center"/>
    </xf>
    <xf numFmtId="0" fontId="36" fillId="0" borderId="0" xfId="0" applyFont="1" applyAlignment="1">
      <alignment horizontal="left" indent="1"/>
    </xf>
    <xf numFmtId="164" fontId="36" fillId="0" borderId="0" xfId="1" applyNumberFormat="1" applyFont="1" applyFill="1"/>
    <xf numFmtId="171" fontId="0" fillId="0" borderId="0" xfId="0" applyNumberFormat="1" applyAlignment="1">
      <alignment horizontal="right"/>
    </xf>
    <xf numFmtId="0" fontId="6" fillId="4" borderId="0" xfId="0" applyFont="1" applyFill="1"/>
    <xf numFmtId="0" fontId="5" fillId="4" borderId="0" xfId="0" applyFont="1" applyFill="1"/>
    <xf numFmtId="0" fontId="7" fillId="4" borderId="0" xfId="8" applyFont="1" applyFill="1"/>
    <xf numFmtId="0" fontId="12" fillId="4" borderId="0" xfId="8" applyFont="1" applyFill="1"/>
    <xf numFmtId="44" fontId="0" fillId="4" borderId="0" xfId="4" applyFont="1" applyFill="1"/>
    <xf numFmtId="0" fontId="8" fillId="4" borderId="0" xfId="8" applyFont="1" applyFill="1"/>
    <xf numFmtId="0" fontId="36" fillId="0" borderId="0" xfId="0" applyFont="1" applyAlignment="1">
      <alignment horizontal="center"/>
    </xf>
    <xf numFmtId="37" fontId="36" fillId="0" borderId="0" xfId="0" applyNumberFormat="1" applyFont="1" applyAlignment="1">
      <alignment horizontal="center"/>
    </xf>
    <xf numFmtId="164" fontId="11" fillId="0" borderId="1" xfId="1" applyNumberFormat="1" applyFont="1" applyFill="1" applyBorder="1"/>
    <xf numFmtId="164" fontId="0" fillId="0" borderId="1" xfId="0" quotePrefix="1" applyNumberFormat="1" applyBorder="1" applyAlignment="1">
      <alignment horizontal="left"/>
    </xf>
    <xf numFmtId="0" fontId="27" fillId="0" borderId="1" xfId="0" applyFont="1" applyBorder="1" applyAlignment="1">
      <alignment horizontal="left" indent="1"/>
    </xf>
    <xf numFmtId="10" fontId="0" fillId="0" borderId="0" xfId="0" applyNumberFormat="1" applyAlignment="1">
      <alignment horizontal="center"/>
    </xf>
    <xf numFmtId="0" fontId="0" fillId="0" borderId="0" xfId="8" applyFont="1"/>
    <xf numFmtId="6" fontId="9" fillId="9" borderId="0" xfId="8" applyNumberFormat="1" applyFont="1" applyFill="1" applyAlignment="1">
      <alignment horizontal="left"/>
    </xf>
    <xf numFmtId="10" fontId="13" fillId="0" borderId="1" xfId="0" applyNumberFormat="1" applyFont="1" applyBorder="1"/>
    <xf numFmtId="164" fontId="34" fillId="0" borderId="0" xfId="1" applyNumberFormat="1" applyFont="1" applyFill="1" applyBorder="1"/>
    <xf numFmtId="6" fontId="38" fillId="0" borderId="0" xfId="0" applyNumberFormat="1" applyFont="1"/>
    <xf numFmtId="6" fontId="15" fillId="0" borderId="6" xfId="0" applyNumberFormat="1" applyFont="1" applyBorder="1"/>
    <xf numFmtId="43" fontId="9" fillId="0" borderId="0" xfId="0" applyNumberFormat="1" applyFont="1"/>
    <xf numFmtId="0" fontId="4" fillId="3" borderId="0" xfId="1" applyNumberFormat="1" applyFont="1" applyFill="1" applyAlignment="1">
      <alignment horizontal="center"/>
    </xf>
    <xf numFmtId="0" fontId="34" fillId="0" borderId="0" xfId="2" applyNumberFormat="1" applyFont="1" applyBorder="1" applyAlignment="1">
      <alignment horizontal="left"/>
    </xf>
    <xf numFmtId="0" fontId="9" fillId="0" borderId="0" xfId="0" applyFont="1" applyAlignment="1">
      <alignment horizontal="left"/>
    </xf>
    <xf numFmtId="37" fontId="12" fillId="0" borderId="0" xfId="0" applyNumberFormat="1" applyFont="1" applyAlignment="1">
      <alignment horizontal="center"/>
    </xf>
    <xf numFmtId="9" fontId="29" fillId="0" borderId="6" xfId="0" applyNumberFormat="1" applyFont="1" applyBorder="1"/>
    <xf numFmtId="9" fontId="29" fillId="0" borderId="0" xfId="2" applyFont="1"/>
    <xf numFmtId="10" fontId="9" fillId="0" borderId="0" xfId="2" applyNumberFormat="1" applyFont="1" applyFill="1"/>
    <xf numFmtId="168" fontId="12" fillId="0" borderId="0" xfId="0" applyNumberFormat="1" applyFont="1" applyAlignment="1">
      <alignment horizontal="center"/>
    </xf>
    <xf numFmtId="0" fontId="12" fillId="4" borderId="0" xfId="0" applyFont="1" applyFill="1" applyAlignment="1">
      <alignment horizontal="right"/>
    </xf>
    <xf numFmtId="0" fontId="39" fillId="0" borderId="0" xfId="0" applyFont="1"/>
    <xf numFmtId="43" fontId="12" fillId="0" borderId="0" xfId="1" applyFont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2" xfId="0" applyFont="1" applyBorder="1" applyAlignment="1">
      <alignment horizontal="left"/>
    </xf>
    <xf numFmtId="164" fontId="12" fillId="0" borderId="5" xfId="1" applyNumberFormat="1" applyFont="1" applyFill="1" applyBorder="1"/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43" fontId="12" fillId="0" borderId="0" xfId="1" applyFont="1"/>
    <xf numFmtId="0" fontId="12" fillId="0" borderId="2" xfId="0" applyFont="1" applyBorder="1"/>
    <xf numFmtId="165" fontId="12" fillId="0" borderId="0" xfId="2" applyNumberFormat="1" applyFont="1" applyFill="1"/>
    <xf numFmtId="0" fontId="12" fillId="8" borderId="0" xfId="0" applyFont="1" applyFill="1"/>
    <xf numFmtId="169" fontId="12" fillId="0" borderId="0" xfId="0" applyNumberFormat="1" applyFont="1" applyAlignment="1">
      <alignment horizontal="center"/>
    </xf>
    <xf numFmtId="170" fontId="12" fillId="0" borderId="0" xfId="4" applyNumberFormat="1" applyFont="1" applyFill="1"/>
    <xf numFmtId="0" fontId="12" fillId="0" borderId="0" xfId="0" applyFont="1" applyAlignment="1">
      <alignment wrapText="1"/>
    </xf>
    <xf numFmtId="0" fontId="12" fillId="9" borderId="0" xfId="0" applyFont="1" applyFill="1" applyAlignment="1">
      <alignment horizontal="right"/>
    </xf>
    <xf numFmtId="0" fontId="12" fillId="9" borderId="2" xfId="0" applyFont="1" applyFill="1" applyBorder="1" applyAlignment="1">
      <alignment horizontal="left"/>
    </xf>
    <xf numFmtId="164" fontId="12" fillId="9" borderId="5" xfId="1" applyNumberFormat="1" applyFont="1" applyFill="1" applyBorder="1"/>
    <xf numFmtId="0" fontId="12" fillId="9" borderId="0" xfId="0" applyFont="1" applyFill="1"/>
    <xf numFmtId="164" fontId="12" fillId="9" borderId="0" xfId="1" applyNumberFormat="1" applyFont="1" applyFill="1" applyBorder="1"/>
    <xf numFmtId="168" fontId="12" fillId="9" borderId="0" xfId="0" applyNumberFormat="1" applyFont="1" applyFill="1" applyAlignment="1">
      <alignment horizontal="left"/>
    </xf>
    <xf numFmtId="0" fontId="12" fillId="9" borderId="0" xfId="0" applyFont="1" applyFill="1" applyAlignment="1">
      <alignment horizontal="center"/>
    </xf>
    <xf numFmtId="164" fontId="12" fillId="9" borderId="5" xfId="0" applyNumberFormat="1" applyFont="1" applyFill="1" applyBorder="1"/>
    <xf numFmtId="164" fontId="12" fillId="9" borderId="0" xfId="0" applyNumberFormat="1" applyFont="1" applyFill="1"/>
    <xf numFmtId="0" fontId="12" fillId="9" borderId="2" xfId="0" applyFont="1" applyFill="1" applyBorder="1"/>
    <xf numFmtId="9" fontId="12" fillId="9" borderId="0" xfId="0" applyNumberFormat="1" applyFont="1" applyFill="1"/>
    <xf numFmtId="172" fontId="0" fillId="0" borderId="0" xfId="1" applyNumberFormat="1" applyFont="1" applyFill="1"/>
    <xf numFmtId="172" fontId="12" fillId="0" borderId="0" xfId="0" applyNumberFormat="1" applyFont="1"/>
    <xf numFmtId="172" fontId="0" fillId="0" borderId="0" xfId="1" applyNumberFormat="1" applyFont="1"/>
    <xf numFmtId="172" fontId="9" fillId="0" borderId="6" xfId="1" applyNumberFormat="1" applyFont="1" applyFill="1" applyBorder="1"/>
    <xf numFmtId="172" fontId="0" fillId="0" borderId="0" xfId="0" applyNumberFormat="1" applyAlignment="1">
      <alignment horizontal="center" wrapText="1"/>
    </xf>
    <xf numFmtId="172" fontId="0" fillId="0" borderId="0" xfId="1" applyNumberFormat="1" applyFont="1" applyFill="1" applyBorder="1" applyAlignment="1"/>
    <xf numFmtId="172" fontId="11" fillId="0" borderId="0" xfId="1" applyNumberFormat="1" applyFont="1" applyFill="1" applyBorder="1" applyAlignment="1"/>
    <xf numFmtId="172" fontId="9" fillId="0" borderId="6" xfId="1" applyNumberFormat="1" applyFont="1" applyBorder="1"/>
    <xf numFmtId="172" fontId="9" fillId="0" borderId="0" xfId="1" applyNumberFormat="1" applyFont="1"/>
    <xf numFmtId="172" fontId="9" fillId="0" borderId="6" xfId="0" applyNumberFormat="1" applyFont="1" applyBorder="1"/>
    <xf numFmtId="172" fontId="12" fillId="0" borderId="0" xfId="1" applyNumberFormat="1" applyFont="1"/>
    <xf numFmtId="172" fontId="0" fillId="0" borderId="1" xfId="0" applyNumberFormat="1" applyBorder="1"/>
    <xf numFmtId="172" fontId="0" fillId="0" borderId="1" xfId="1" applyNumberFormat="1" applyFont="1" applyBorder="1"/>
    <xf numFmtId="172" fontId="9" fillId="0" borderId="0" xfId="0" applyNumberFormat="1" applyFont="1"/>
    <xf numFmtId="172" fontId="0" fillId="0" borderId="0" xfId="1" applyNumberFormat="1" applyFont="1" applyBorder="1"/>
    <xf numFmtId="172" fontId="9" fillId="0" borderId="0" xfId="1" applyNumberFormat="1" applyFont="1" applyBorder="1"/>
    <xf numFmtId="172" fontId="8" fillId="0" borderId="0" xfId="1" applyNumberFormat="1" applyFont="1"/>
    <xf numFmtId="172" fontId="12" fillId="0" borderId="0" xfId="1" applyNumberFormat="1" applyFont="1" applyFill="1" applyBorder="1"/>
    <xf numFmtId="172" fontId="29" fillId="0" borderId="6" xfId="1" applyNumberFormat="1" applyFont="1" applyFill="1" applyBorder="1"/>
    <xf numFmtId="172" fontId="16" fillId="0" borderId="3" xfId="0" applyNumberFormat="1" applyFont="1" applyBorder="1"/>
    <xf numFmtId="172" fontId="16" fillId="0" borderId="0" xfId="0" applyNumberFormat="1" applyFont="1"/>
    <xf numFmtId="0" fontId="23" fillId="0" borderId="0" xfId="0" applyFont="1" applyAlignment="1">
      <alignment horizontal="left" indent="1"/>
    </xf>
    <xf numFmtId="0" fontId="22" fillId="0" borderId="0" xfId="0" applyFont="1" applyAlignment="1">
      <alignment horizontal="center" wrapText="1"/>
    </xf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left" indent="2"/>
    </xf>
    <xf numFmtId="164" fontId="9" fillId="0" borderId="6" xfId="1" applyNumberFormat="1" applyFont="1" applyFill="1" applyBorder="1" applyAlignment="1"/>
    <xf numFmtId="164" fontId="9" fillId="0" borderId="0" xfId="1" applyNumberFormat="1" applyFont="1" applyFill="1" applyBorder="1" applyAlignment="1"/>
    <xf numFmtId="164" fontId="34" fillId="0" borderId="6" xfId="1" applyNumberFormat="1" applyFont="1" applyFill="1" applyBorder="1"/>
    <xf numFmtId="37" fontId="12" fillId="0" borderId="0" xfId="2" applyNumberFormat="1" applyFont="1" applyFill="1" applyBorder="1" applyAlignment="1">
      <alignment horizontal="center"/>
    </xf>
    <xf numFmtId="0" fontId="15" fillId="9" borderId="0" xfId="0" applyFont="1" applyFill="1"/>
    <xf numFmtId="9" fontId="12" fillId="0" borderId="0" xfId="2" applyFont="1" applyFill="1" applyBorder="1" applyAlignment="1">
      <alignment horizontal="center"/>
    </xf>
    <xf numFmtId="177" fontId="29" fillId="0" borderId="0" xfId="8" applyNumberFormat="1" applyFont="1" applyAlignment="1">
      <alignment horizontal="center"/>
    </xf>
    <xf numFmtId="0" fontId="41" fillId="0" borderId="1" xfId="8" applyFont="1" applyBorder="1" applyAlignment="1">
      <alignment horizontal="center"/>
    </xf>
    <xf numFmtId="175" fontId="12" fillId="0" borderId="1" xfId="8" applyNumberFormat="1" applyFont="1" applyBorder="1" applyAlignment="1">
      <alignment horizontal="center"/>
    </xf>
    <xf numFmtId="0" fontId="8" fillId="0" borderId="1" xfId="8" applyFont="1" applyBorder="1" applyAlignment="1">
      <alignment horizontal="center"/>
    </xf>
    <xf numFmtId="179" fontId="12" fillId="0" borderId="0" xfId="8" applyNumberFormat="1" applyFont="1" applyAlignment="1">
      <alignment horizontal="center"/>
    </xf>
    <xf numFmtId="9" fontId="12" fillId="0" borderId="0" xfId="2" applyFont="1" applyAlignment="1">
      <alignment horizontal="center"/>
    </xf>
    <xf numFmtId="172" fontId="12" fillId="4" borderId="0" xfId="8" applyNumberFormat="1" applyFont="1" applyFill="1"/>
    <xf numFmtId="172" fontId="12" fillId="0" borderId="0" xfId="8" applyNumberFormat="1" applyFont="1" applyAlignment="1">
      <alignment horizontal="center"/>
    </xf>
    <xf numFmtId="172" fontId="12" fillId="0" borderId="0" xfId="8" applyNumberFormat="1" applyFont="1"/>
    <xf numFmtId="172" fontId="29" fillId="0" borderId="0" xfId="8" applyNumberFormat="1" applyFont="1" applyAlignment="1">
      <alignment horizontal="center"/>
    </xf>
    <xf numFmtId="172" fontId="12" fillId="0" borderId="1" xfId="8" applyNumberFormat="1" applyFont="1" applyBorder="1" applyAlignment="1">
      <alignment horizontal="center"/>
    </xf>
    <xf numFmtId="172" fontId="32" fillId="0" borderId="0" xfId="10" applyNumberFormat="1" applyFont="1" applyFill="1" applyBorder="1" applyAlignment="1">
      <alignment horizontal="center"/>
    </xf>
    <xf numFmtId="0" fontId="29" fillId="0" borderId="0" xfId="8" applyFont="1" applyAlignment="1">
      <alignment horizontal="left"/>
    </xf>
    <xf numFmtId="0" fontId="12" fillId="0" borderId="1" xfId="8" applyFont="1" applyBorder="1" applyAlignment="1">
      <alignment horizontal="left"/>
    </xf>
    <xf numFmtId="164" fontId="12" fillId="0" borderId="6" xfId="0" applyNumberFormat="1" applyFont="1" applyBorder="1"/>
    <xf numFmtId="0" fontId="12" fillId="0" borderId="0" xfId="0" quotePrefix="1" applyFont="1"/>
    <xf numFmtId="164" fontId="40" fillId="0" borderId="0" xfId="0" applyNumberFormat="1" applyFont="1"/>
    <xf numFmtId="0" fontId="40" fillId="0" borderId="0" xfId="0" applyFont="1"/>
    <xf numFmtId="0" fontId="12" fillId="0" borderId="0" xfId="0" applyFont="1" applyAlignment="1">
      <alignment horizontal="right"/>
    </xf>
    <xf numFmtId="168" fontId="12" fillId="0" borderId="0" xfId="0" applyNumberFormat="1" applyFont="1"/>
    <xf numFmtId="0" fontId="0" fillId="7" borderId="0" xfId="0" applyFill="1"/>
    <xf numFmtId="6" fontId="42" fillId="0" borderId="0" xfId="8" applyNumberFormat="1" applyFont="1" applyAlignment="1">
      <alignment horizontal="center"/>
    </xf>
    <xf numFmtId="164" fontId="12" fillId="7" borderId="0" xfId="1" applyNumberFormat="1" applyFont="1" applyFill="1" applyBorder="1"/>
    <xf numFmtId="43" fontId="12" fillId="0" borderId="0" xfId="1" applyFont="1" applyFill="1" applyBorder="1"/>
    <xf numFmtId="165" fontId="11" fillId="0" borderId="1" xfId="0" applyNumberFormat="1" applyFont="1" applyBorder="1"/>
    <xf numFmtId="0" fontId="15" fillId="0" borderId="6" xfId="0" applyFont="1" applyBorder="1"/>
    <xf numFmtId="164" fontId="8" fillId="0" borderId="5" xfId="1" applyNumberFormat="1" applyFont="1" applyFill="1" applyBorder="1" applyAlignment="1"/>
    <xf numFmtId="164" fontId="8" fillId="0" borderId="2" xfId="1" applyNumberFormat="1" applyFont="1" applyFill="1" applyBorder="1" applyAlignment="1"/>
    <xf numFmtId="2" fontId="9" fillId="0" borderId="0" xfId="0" applyNumberFormat="1" applyFont="1"/>
    <xf numFmtId="0" fontId="9" fillId="0" borderId="0" xfId="0" quotePrefix="1" applyFont="1"/>
    <xf numFmtId="9" fontId="0" fillId="0" borderId="0" xfId="0" applyNumberFormat="1"/>
    <xf numFmtId="164" fontId="8" fillId="0" borderId="0" xfId="1" applyNumberFormat="1" applyFont="1" applyFill="1"/>
    <xf numFmtId="164" fontId="8" fillId="0" borderId="0" xfId="1" applyNumberFormat="1" applyFont="1" applyFill="1" applyBorder="1"/>
    <xf numFmtId="10" fontId="0" fillId="0" borderId="0" xfId="0" applyNumberFormat="1"/>
    <xf numFmtId="164" fontId="8" fillId="0" borderId="0" xfId="1" applyNumberFormat="1" applyFont="1" applyBorder="1"/>
    <xf numFmtId="9" fontId="36" fillId="0" borderId="0" xfId="2" applyFont="1" applyAlignment="1">
      <alignment horizontal="center"/>
    </xf>
    <xf numFmtId="172" fontId="9" fillId="0" borderId="0" xfId="1" applyNumberFormat="1" applyFont="1" applyFill="1" applyBorder="1"/>
    <xf numFmtId="3" fontId="43" fillId="0" borderId="0" xfId="0" applyNumberFormat="1" applyFont="1" applyAlignment="1">
      <alignment horizontal="center"/>
    </xf>
    <xf numFmtId="164" fontId="8" fillId="0" borderId="1" xfId="1" applyNumberFormat="1" applyFont="1" applyBorder="1"/>
    <xf numFmtId="164" fontId="8" fillId="0" borderId="1" xfId="1" applyNumberFormat="1" applyFont="1" applyBorder="1" applyAlignment="1">
      <alignment horizontal="left"/>
    </xf>
    <xf numFmtId="164" fontId="8" fillId="0" borderId="0" xfId="1" applyNumberFormat="1" applyFont="1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10" fontId="13" fillId="0" borderId="0" xfId="0" applyNumberFormat="1" applyFont="1" applyAlignment="1">
      <alignment horizontal="right"/>
    </xf>
    <xf numFmtId="180" fontId="34" fillId="0" borderId="0" xfId="0" applyNumberFormat="1" applyFont="1" applyAlignment="1">
      <alignment horizontal="right"/>
    </xf>
    <xf numFmtId="165" fontId="12" fillId="0" borderId="0" xfId="2" applyNumberFormat="1" applyFont="1"/>
    <xf numFmtId="0" fontId="12" fillId="0" borderId="0" xfId="0" applyFont="1" applyAlignment="1">
      <alignment horizontal="left"/>
    </xf>
    <xf numFmtId="0" fontId="12" fillId="7" borderId="0" xfId="0" applyFont="1" applyFill="1" applyAlignment="1">
      <alignment horizontal="left" indent="2"/>
    </xf>
    <xf numFmtId="165" fontId="0" fillId="7" borderId="0" xfId="0" applyNumberFormat="1" applyFill="1"/>
    <xf numFmtId="10" fontId="12" fillId="7" borderId="0" xfId="0" applyNumberFormat="1" applyFont="1" applyFill="1"/>
    <xf numFmtId="172" fontId="11" fillId="0" borderId="0" xfId="1" applyNumberFormat="1" applyFont="1"/>
    <xf numFmtId="9" fontId="8" fillId="0" borderId="0" xfId="0" applyNumberFormat="1" applyFont="1"/>
    <xf numFmtId="165" fontId="12" fillId="0" borderId="0" xfId="0" applyNumberFormat="1" applyFont="1"/>
    <xf numFmtId="3" fontId="12" fillId="0" borderId="0" xfId="0" applyNumberFormat="1" applyFont="1" applyAlignment="1">
      <alignment horizontal="center"/>
    </xf>
    <xf numFmtId="10" fontId="8" fillId="0" borderId="0" xfId="8" applyNumberFormat="1" applyFont="1"/>
    <xf numFmtId="0" fontId="34" fillId="0" borderId="0" xfId="0" applyFont="1"/>
    <xf numFmtId="164" fontId="38" fillId="0" borderId="0" xfId="1" quotePrefix="1" applyNumberFormat="1" applyFont="1"/>
    <xf numFmtId="0" fontId="44" fillId="0" borderId="0" xfId="0" applyFont="1" applyAlignment="1">
      <alignment horizontal="left" indent="4"/>
    </xf>
    <xf numFmtId="0" fontId="34" fillId="4" borderId="0" xfId="0" quotePrefix="1" applyFont="1" applyFill="1"/>
    <xf numFmtId="164" fontId="38" fillId="0" borderId="0" xfId="1" applyNumberFormat="1" applyFont="1" applyFill="1"/>
    <xf numFmtId="172" fontId="34" fillId="0" borderId="0" xfId="0" applyNumberFormat="1" applyFont="1"/>
    <xf numFmtId="165" fontId="34" fillId="0" borderId="0" xfId="2" applyNumberFormat="1" applyFont="1" applyFill="1"/>
    <xf numFmtId="43" fontId="34" fillId="0" borderId="0" xfId="0" applyNumberFormat="1" applyFont="1"/>
    <xf numFmtId="9" fontId="34" fillId="0" borderId="0" xfId="2" applyFont="1" applyFill="1"/>
    <xf numFmtId="165" fontId="38" fillId="0" borderId="0" xfId="2" applyNumberFormat="1" applyFont="1" applyFill="1"/>
    <xf numFmtId="0" fontId="44" fillId="0" borderId="0" xfId="0" applyFont="1" applyAlignment="1">
      <alignment horizontal="left" indent="2"/>
    </xf>
    <xf numFmtId="0" fontId="44" fillId="0" borderId="2" xfId="0" applyFont="1" applyBorder="1" applyAlignment="1">
      <alignment horizontal="left" indent="4"/>
    </xf>
    <xf numFmtId="165" fontId="38" fillId="0" borderId="2" xfId="2" applyNumberFormat="1" applyFont="1" applyFill="1" applyBorder="1"/>
    <xf numFmtId="0" fontId="34" fillId="0" borderId="2" xfId="0" applyFont="1" applyBorder="1"/>
    <xf numFmtId="172" fontId="34" fillId="0" borderId="2" xfId="0" applyNumberFormat="1" applyFont="1" applyBorder="1"/>
    <xf numFmtId="164" fontId="34" fillId="0" borderId="2" xfId="1" applyNumberFormat="1" applyFont="1" applyBorder="1"/>
    <xf numFmtId="0" fontId="12" fillId="0" borderId="1" xfId="8" applyFont="1" applyBorder="1"/>
    <xf numFmtId="3" fontId="0" fillId="0" borderId="0" xfId="8" applyNumberFormat="1" applyFont="1" applyAlignment="1">
      <alignment horizontal="center"/>
    </xf>
    <xf numFmtId="6" fontId="8" fillId="0" borderId="0" xfId="8" applyNumberFormat="1" applyFont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right"/>
    </xf>
    <xf numFmtId="9" fontId="32" fillId="0" borderId="0" xfId="0" applyNumberFormat="1" applyFont="1"/>
    <xf numFmtId="168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3" fontId="32" fillId="0" borderId="0" xfId="0" applyNumberFormat="1" applyFont="1" applyAlignment="1">
      <alignment horizontal="center"/>
    </xf>
    <xf numFmtId="0" fontId="32" fillId="0" borderId="0" xfId="0" applyFont="1" applyAlignment="1">
      <alignment wrapText="1"/>
    </xf>
    <xf numFmtId="164" fontId="8" fillId="0" borderId="0" xfId="1" applyNumberFormat="1" applyFont="1" applyFill="1" applyBorder="1" applyAlignment="1"/>
    <xf numFmtId="0" fontId="0" fillId="0" borderId="2" xfId="0" applyBorder="1" applyAlignment="1">
      <alignment horizontal="center" wrapText="1"/>
    </xf>
    <xf numFmtId="164" fontId="34" fillId="0" borderId="0" xfId="1" applyNumberFormat="1" applyFont="1" applyFill="1" applyBorder="1" applyAlignment="1">
      <alignment horizontal="center"/>
    </xf>
    <xf numFmtId="164" fontId="34" fillId="0" borderId="6" xfId="1" applyNumberFormat="1" applyFont="1" applyBorder="1"/>
    <xf numFmtId="8" fontId="8" fillId="0" borderId="0" xfId="8" applyNumberFormat="1" applyFont="1"/>
    <xf numFmtId="1" fontId="8" fillId="0" borderId="0" xfId="8" applyNumberFormat="1" applyFont="1" applyAlignment="1">
      <alignment horizontal="center"/>
    </xf>
    <xf numFmtId="165" fontId="0" fillId="0" borderId="0" xfId="2" applyNumberFormat="1" applyFont="1" applyFill="1" applyBorder="1"/>
    <xf numFmtId="9" fontId="13" fillId="0" borderId="0" xfId="0" applyNumberFormat="1" applyFont="1"/>
    <xf numFmtId="10" fontId="34" fillId="0" borderId="2" xfId="0" applyNumberFormat="1" applyFont="1" applyBorder="1"/>
    <xf numFmtId="2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3" fillId="0" borderId="0" xfId="8" applyFont="1" applyAlignment="1">
      <alignment horizontal="right"/>
    </xf>
    <xf numFmtId="9" fontId="43" fillId="0" borderId="0" xfId="0" applyNumberFormat="1" applyFont="1" applyAlignment="1">
      <alignment horizontal="center"/>
    </xf>
    <xf numFmtId="9" fontId="43" fillId="0" borderId="0" xfId="8" applyNumberFormat="1" applyFont="1" applyAlignment="1">
      <alignment horizontal="center"/>
    </xf>
    <xf numFmtId="164" fontId="9" fillId="0" borderId="6" xfId="1" applyNumberFormat="1" applyFont="1" applyFill="1" applyBorder="1" applyAlignment="1">
      <alignment horizontal="left"/>
    </xf>
    <xf numFmtId="3" fontId="0" fillId="4" borderId="0" xfId="0" applyNumberFormat="1" applyFill="1"/>
    <xf numFmtId="164" fontId="12" fillId="0" borderId="5" xfId="0" applyNumberFormat="1" applyFont="1" applyBorder="1"/>
    <xf numFmtId="164" fontId="12" fillId="0" borderId="9" xfId="0" applyNumberFormat="1" applyFont="1" applyBorder="1"/>
    <xf numFmtId="164" fontId="8" fillId="0" borderId="5" xfId="1" applyNumberFormat="1" applyFont="1" applyFill="1" applyBorder="1"/>
    <xf numFmtId="164" fontId="8" fillId="0" borderId="2" xfId="1" applyNumberFormat="1" applyFont="1" applyFill="1" applyBorder="1"/>
    <xf numFmtId="164" fontId="11" fillId="0" borderId="0" xfId="1" quotePrefix="1" applyNumberFormat="1" applyFont="1" applyFill="1" applyAlignment="1">
      <alignment horizontal="right"/>
    </xf>
    <xf numFmtId="164" fontId="0" fillId="0" borderId="0" xfId="1" applyNumberFormat="1" applyFont="1" applyAlignment="1">
      <alignment vertical="top" wrapText="1"/>
    </xf>
    <xf numFmtId="164" fontId="0" fillId="0" borderId="1" xfId="1" applyNumberFormat="1" applyFont="1" applyBorder="1" applyAlignment="1">
      <alignment vertical="top" wrapText="1"/>
    </xf>
    <xf numFmtId="1" fontId="9" fillId="0" borderId="0" xfId="0" applyNumberFormat="1" applyFont="1"/>
    <xf numFmtId="170" fontId="9" fillId="0" borderId="0" xfId="4" applyNumberFormat="1" applyFont="1"/>
    <xf numFmtId="170" fontId="9" fillId="0" borderId="0" xfId="4" applyNumberFormat="1" applyFont="1" applyFill="1" applyAlignment="1">
      <alignment horizontal="left"/>
    </xf>
    <xf numFmtId="165" fontId="0" fillId="0" borderId="1" xfId="0" applyNumberFormat="1" applyBorder="1"/>
    <xf numFmtId="172" fontId="9" fillId="0" borderId="6" xfId="1" applyNumberFormat="1" applyFont="1" applyFill="1" applyBorder="1" applyAlignment="1">
      <alignment horizontal="left"/>
    </xf>
    <xf numFmtId="0" fontId="6" fillId="0" borderId="0" xfId="0" applyFont="1"/>
    <xf numFmtId="10" fontId="9" fillId="0" borderId="0" xfId="2" applyNumberFormat="1" applyFont="1"/>
    <xf numFmtId="171" fontId="9" fillId="0" borderId="0" xfId="0" applyNumberFormat="1" applyFont="1"/>
    <xf numFmtId="170" fontId="9" fillId="0" borderId="0" xfId="0" applyNumberFormat="1" applyFont="1"/>
    <xf numFmtId="0" fontId="0" fillId="2" borderId="0" xfId="0" applyFill="1"/>
    <xf numFmtId="0" fontId="22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164" fontId="24" fillId="0" borderId="8" xfId="1" applyNumberFormat="1" applyFont="1" applyFill="1" applyBorder="1"/>
    <xf numFmtId="164" fontId="0" fillId="2" borderId="0" xfId="0" applyNumberFormat="1" applyFill="1"/>
    <xf numFmtId="164" fontId="29" fillId="0" borderId="13" xfId="0" applyNumberFormat="1" applyFont="1" applyBorder="1"/>
    <xf numFmtId="0" fontId="29" fillId="0" borderId="13" xfId="0" applyFont="1" applyBorder="1"/>
    <xf numFmtId="0" fontId="9" fillId="0" borderId="13" xfId="0" applyFont="1" applyBorder="1"/>
    <xf numFmtId="0" fontId="16" fillId="0" borderId="13" xfId="0" applyFont="1" applyBorder="1"/>
    <xf numFmtId="164" fontId="32" fillId="0" borderId="0" xfId="1" applyNumberFormat="1" applyFont="1" applyBorder="1"/>
    <xf numFmtId="164" fontId="32" fillId="0" borderId="0" xfId="0" applyNumberFormat="1" applyFont="1"/>
    <xf numFmtId="10" fontId="32" fillId="0" borderId="0" xfId="0" applyNumberFormat="1" applyFont="1"/>
    <xf numFmtId="10" fontId="45" fillId="0" borderId="0" xfId="0" applyNumberFormat="1" applyFont="1"/>
    <xf numFmtId="0" fontId="46" fillId="0" borderId="0" xfId="0" applyFont="1"/>
    <xf numFmtId="0" fontId="34" fillId="4" borderId="0" xfId="0" applyFont="1" applyFill="1"/>
    <xf numFmtId="164" fontId="12" fillId="0" borderId="6" xfId="1" applyNumberFormat="1" applyFont="1" applyFill="1" applyBorder="1"/>
    <xf numFmtId="0" fontId="12" fillId="0" borderId="6" xfId="0" applyFont="1" applyBorder="1"/>
    <xf numFmtId="164" fontId="12" fillId="0" borderId="0" xfId="1" applyNumberFormat="1" applyFont="1" applyFill="1" applyBorder="1" applyAlignment="1">
      <alignment wrapText="1"/>
    </xf>
    <xf numFmtId="164" fontId="13" fillId="0" borderId="0" xfId="1" applyNumberFormat="1" applyFont="1" applyFill="1" applyBorder="1" applyAlignment="1">
      <alignment wrapText="1"/>
    </xf>
    <xf numFmtId="0" fontId="13" fillId="0" borderId="0" xfId="0" applyFont="1"/>
    <xf numFmtId="3" fontId="0" fillId="0" borderId="16" xfId="0" applyNumberFormat="1" applyBorder="1"/>
    <xf numFmtId="9" fontId="29" fillId="0" borderId="16" xfId="2" applyFont="1" applyFill="1" applyBorder="1"/>
    <xf numFmtId="164" fontId="11" fillId="0" borderId="0" xfId="1" applyNumberFormat="1" applyFont="1" applyFill="1" applyBorder="1" applyAlignment="1">
      <alignment wrapText="1"/>
    </xf>
    <xf numFmtId="3" fontId="12" fillId="0" borderId="16" xfId="0" applyNumberFormat="1" applyFont="1" applyBorder="1"/>
    <xf numFmtId="164" fontId="12" fillId="4" borderId="0" xfId="1" applyNumberFormat="1" applyFont="1" applyFill="1" applyBorder="1"/>
    <xf numFmtId="164" fontId="34" fillId="0" borderId="0" xfId="1" applyNumberFormat="1" applyFont="1" applyBorder="1"/>
    <xf numFmtId="10" fontId="13" fillId="0" borderId="0" xfId="2" applyNumberFormat="1" applyFont="1"/>
    <xf numFmtId="164" fontId="0" fillId="0" borderId="0" xfId="2" applyNumberFormat="1" applyFont="1" applyFill="1"/>
    <xf numFmtId="170" fontId="34" fillId="0" borderId="0" xfId="4" applyNumberFormat="1" applyFont="1" applyBorder="1"/>
    <xf numFmtId="9" fontId="13" fillId="0" borderId="1" xfId="0" applyNumberFormat="1" applyFont="1" applyBorder="1"/>
    <xf numFmtId="164" fontId="13" fillId="0" borderId="0" xfId="1" applyNumberFormat="1" applyFont="1" applyAlignment="1">
      <alignment horizontal="center"/>
    </xf>
    <xf numFmtId="164" fontId="13" fillId="0" borderId="0" xfId="1" applyNumberFormat="1" applyFont="1" applyFill="1" applyAlignment="1">
      <alignment horizontal="right"/>
    </xf>
    <xf numFmtId="1" fontId="0" fillId="0" borderId="0" xfId="0" applyNumberFormat="1"/>
    <xf numFmtId="169" fontId="47" fillId="0" borderId="0" xfId="0" applyNumberFormat="1" applyFont="1"/>
    <xf numFmtId="164" fontId="0" fillId="0" borderId="0" xfId="1" applyNumberFormat="1" applyFont="1" applyFill="1" applyAlignment="1">
      <alignment horizontal="left"/>
    </xf>
    <xf numFmtId="165" fontId="11" fillId="7" borderId="0" xfId="2" applyNumberFormat="1" applyFont="1" applyFill="1"/>
    <xf numFmtId="0" fontId="0" fillId="7" borderId="0" xfId="0" applyFill="1" applyAlignment="1">
      <alignment horizontal="left" indent="1"/>
    </xf>
    <xf numFmtId="9" fontId="12" fillId="0" borderId="6" xfId="0" applyNumberFormat="1" applyFont="1" applyBorder="1"/>
    <xf numFmtId="10" fontId="12" fillId="0" borderId="0" xfId="2" applyNumberFormat="1" applyFont="1" applyFill="1"/>
    <xf numFmtId="168" fontId="12" fillId="0" borderId="0" xfId="1" quotePrefix="1" applyNumberFormat="1" applyFont="1"/>
    <xf numFmtId="164" fontId="11" fillId="0" borderId="6" xfId="1" applyNumberFormat="1" applyFont="1" applyBorder="1"/>
    <xf numFmtId="164" fontId="34" fillId="0" borderId="0" xfId="1" applyNumberFormat="1" applyFont="1" applyAlignment="1"/>
    <xf numFmtId="0" fontId="0" fillId="8" borderId="0" xfId="0" applyFill="1"/>
    <xf numFmtId="168" fontId="0" fillId="8" borderId="0" xfId="0" applyNumberFormat="1" applyFill="1" applyAlignment="1">
      <alignment horizontal="center"/>
    </xf>
    <xf numFmtId="168" fontId="11" fillId="8" borderId="0" xfId="0" applyNumberFormat="1" applyFont="1" applyFill="1" applyAlignment="1">
      <alignment horizontal="center"/>
    </xf>
    <xf numFmtId="9" fontId="11" fillId="8" borderId="0" xfId="0" applyNumberFormat="1" applyFont="1" applyFill="1"/>
    <xf numFmtId="165" fontId="11" fillId="8" borderId="0" xfId="0" applyNumberFormat="1" applyFont="1" applyFill="1"/>
    <xf numFmtId="168" fontId="11" fillId="10" borderId="0" xfId="0" applyNumberFormat="1" applyFont="1" applyFill="1" applyAlignment="1">
      <alignment horizontal="center"/>
    </xf>
    <xf numFmtId="9" fontId="11" fillId="10" borderId="0" xfId="0" applyNumberFormat="1" applyFont="1" applyFill="1"/>
    <xf numFmtId="165" fontId="11" fillId="10" borderId="0" xfId="0" applyNumberFormat="1" applyFont="1" applyFill="1"/>
    <xf numFmtId="0" fontId="0" fillId="10" borderId="0" xfId="0" applyFill="1"/>
    <xf numFmtId="168" fontId="11" fillId="11" borderId="0" xfId="0" applyNumberFormat="1" applyFont="1" applyFill="1" applyAlignment="1">
      <alignment horizontal="center"/>
    </xf>
    <xf numFmtId="9" fontId="11" fillId="11" borderId="0" xfId="0" applyNumberFormat="1" applyFont="1" applyFill="1"/>
    <xf numFmtId="165" fontId="11" fillId="11" borderId="0" xfId="0" applyNumberFormat="1" applyFont="1" applyFill="1"/>
    <xf numFmtId="0" fontId="0" fillId="11" borderId="0" xfId="0" applyFill="1"/>
    <xf numFmtId="0" fontId="24" fillId="0" borderId="8" xfId="0" applyFont="1" applyBorder="1"/>
    <xf numFmtId="0" fontId="0" fillId="0" borderId="2" xfId="0" applyBorder="1" applyAlignment="1">
      <alignment horizontal="left" indent="1"/>
    </xf>
    <xf numFmtId="0" fontId="48" fillId="0" borderId="0" xfId="0" applyFont="1"/>
    <xf numFmtId="164" fontId="0" fillId="8" borderId="5" xfId="1" applyNumberFormat="1" applyFont="1" applyFill="1" applyBorder="1"/>
    <xf numFmtId="164" fontId="0" fillId="0" borderId="20" xfId="1" applyNumberFormat="1" applyFont="1" applyFill="1" applyBorder="1"/>
    <xf numFmtId="0" fontId="0" fillId="0" borderId="20" xfId="0" applyBorder="1"/>
    <xf numFmtId="164" fontId="0" fillId="10" borderId="5" xfId="1" applyNumberFormat="1" applyFont="1" applyFill="1" applyBorder="1"/>
    <xf numFmtId="164" fontId="0" fillId="11" borderId="5" xfId="1" applyNumberFormat="1" applyFont="1" applyFill="1" applyBorder="1"/>
    <xf numFmtId="0" fontId="0" fillId="0" borderId="5" xfId="0" applyBorder="1"/>
    <xf numFmtId="0" fontId="15" fillId="0" borderId="0" xfId="0" applyFont="1" applyAlignment="1">
      <alignment horizontal="center"/>
    </xf>
    <xf numFmtId="43" fontId="24" fillId="0" borderId="0" xfId="1" applyFont="1" applyFill="1"/>
    <xf numFmtId="0" fontId="50" fillId="3" borderId="1" xfId="0" applyFont="1" applyFill="1" applyBorder="1"/>
    <xf numFmtId="0" fontId="0" fillId="12" borderId="0" xfId="0" applyFill="1"/>
    <xf numFmtId="0" fontId="5" fillId="0" borderId="0" xfId="0" applyFont="1"/>
    <xf numFmtId="164" fontId="9" fillId="0" borderId="13" xfId="0" applyNumberFormat="1" applyFont="1" applyBorder="1"/>
    <xf numFmtId="0" fontId="53" fillId="0" borderId="3" xfId="0" applyFont="1" applyBorder="1"/>
    <xf numFmtId="0" fontId="54" fillId="0" borderId="1" xfId="0" applyFont="1" applyBorder="1" applyAlignment="1">
      <alignment horizontal="left" indent="2"/>
    </xf>
    <xf numFmtId="0" fontId="54" fillId="0" borderId="0" xfId="0" applyFont="1" applyAlignment="1">
      <alignment horizontal="left" indent="2"/>
    </xf>
    <xf numFmtId="10" fontId="11" fillId="0" borderId="0" xfId="2" applyNumberFormat="1" applyFont="1" applyBorder="1"/>
    <xf numFmtId="0" fontId="54" fillId="0" borderId="0" xfId="0" applyFont="1" applyAlignment="1">
      <alignment horizontal="left" indent="1"/>
    </xf>
    <xf numFmtId="164" fontId="0" fillId="0" borderId="0" xfId="0" applyNumberFormat="1" applyAlignment="1">
      <alignment horizontal="left"/>
    </xf>
    <xf numFmtId="164" fontId="15" fillId="0" borderId="0" xfId="1" applyNumberFormat="1" applyFont="1" applyFill="1" applyBorder="1"/>
    <xf numFmtId="0" fontId="16" fillId="0" borderId="6" xfId="0" applyFont="1" applyBorder="1"/>
    <xf numFmtId="9" fontId="55" fillId="0" borderId="0" xfId="2" applyFont="1"/>
    <xf numFmtId="165" fontId="55" fillId="7" borderId="0" xfId="2" applyNumberFormat="1" applyFont="1" applyFill="1"/>
    <xf numFmtId="0" fontId="19" fillId="7" borderId="0" xfId="0" applyFont="1" applyFill="1" applyAlignment="1">
      <alignment horizontal="left" indent="1"/>
    </xf>
    <xf numFmtId="0" fontId="19" fillId="0" borderId="0" xfId="0" applyFont="1" applyAlignment="1">
      <alignment horizontal="left" indent="1"/>
    </xf>
    <xf numFmtId="168" fontId="19" fillId="0" borderId="0" xfId="1" applyNumberFormat="1" applyFont="1" applyFill="1"/>
    <xf numFmtId="168" fontId="19" fillId="0" borderId="0" xfId="1" applyNumberFormat="1" applyFont="1"/>
    <xf numFmtId="164" fontId="56" fillId="0" borderId="0" xfId="1" applyNumberFormat="1" applyFont="1"/>
    <xf numFmtId="17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9" fontId="9" fillId="2" borderId="0" xfId="2" applyFont="1" applyFill="1"/>
    <xf numFmtId="9" fontId="0" fillId="2" borderId="0" xfId="2" applyFont="1" applyFill="1"/>
    <xf numFmtId="165" fontId="0" fillId="2" borderId="0" xfId="2" applyNumberFormat="1" applyFont="1" applyFill="1"/>
    <xf numFmtId="0" fontId="0" fillId="2" borderId="0" xfId="0" applyFill="1" applyAlignment="1">
      <alignment horizontal="right"/>
    </xf>
    <xf numFmtId="0" fontId="57" fillId="0" borderId="0" xfId="0" applyFont="1"/>
    <xf numFmtId="0" fontId="0" fillId="2" borderId="0" xfId="0" applyFill="1" applyAlignment="1">
      <alignment horizontal="left"/>
    </xf>
    <xf numFmtId="9" fontId="0" fillId="0" borderId="6" xfId="0" applyNumberFormat="1" applyBorder="1"/>
    <xf numFmtId="0" fontId="12" fillId="4" borderId="6" xfId="0" applyFont="1" applyFill="1" applyBorder="1" applyAlignment="1">
      <alignment horizontal="left" indent="1"/>
    </xf>
    <xf numFmtId="9" fontId="0" fillId="2" borderId="0" xfId="0" applyNumberFormat="1" applyFill="1"/>
    <xf numFmtId="165" fontId="14" fillId="6" borderId="4" xfId="3" applyNumberFormat="1"/>
    <xf numFmtId="0" fontId="0" fillId="4" borderId="0" xfId="0" applyFill="1" applyAlignment="1">
      <alignment horizontal="left" indent="1"/>
    </xf>
    <xf numFmtId="164" fontId="0" fillId="8" borderId="0" xfId="1" applyNumberFormat="1" applyFont="1" applyFill="1"/>
    <xf numFmtId="164" fontId="58" fillId="0" borderId="0" xfId="1" applyNumberFormat="1" applyFont="1"/>
    <xf numFmtId="10" fontId="0" fillId="0" borderId="0" xfId="2" applyNumberFormat="1" applyFont="1"/>
    <xf numFmtId="166" fontId="0" fillId="4" borderId="0" xfId="0" applyNumberFormat="1" applyFill="1" applyAlignment="1">
      <alignment horizontal="right"/>
    </xf>
    <xf numFmtId="171" fontId="0" fillId="4" borderId="0" xfId="0" applyNumberFormat="1" applyFill="1" applyAlignment="1">
      <alignment horizontal="right"/>
    </xf>
    <xf numFmtId="14" fontId="0" fillId="4" borderId="0" xfId="0" applyNumberFormat="1" applyFill="1" applyAlignment="1">
      <alignment horizontal="center"/>
    </xf>
    <xf numFmtId="3" fontId="9" fillId="4" borderId="0" xfId="0" applyNumberFormat="1" applyFont="1" applyFill="1"/>
    <xf numFmtId="165" fontId="0" fillId="4" borderId="0" xfId="2" applyNumberFormat="1" applyFont="1" applyFill="1" applyBorder="1"/>
    <xf numFmtId="8" fontId="0" fillId="2" borderId="0" xfId="0" applyNumberFormat="1" applyFill="1"/>
    <xf numFmtId="3" fontId="9" fillId="4" borderId="7" xfId="0" applyNumberFormat="1" applyFont="1" applyFill="1" applyBorder="1"/>
    <xf numFmtId="165" fontId="9" fillId="0" borderId="0" xfId="2" applyNumberFormat="1" applyFont="1" applyBorder="1"/>
    <xf numFmtId="0" fontId="10" fillId="0" borderId="0" xfId="0" applyFont="1" applyAlignment="1">
      <alignment horizontal="right"/>
    </xf>
    <xf numFmtId="165" fontId="0" fillId="0" borderId="0" xfId="2" applyNumberFormat="1" applyFont="1" applyBorder="1"/>
    <xf numFmtId="0" fontId="0" fillId="4" borderId="0" xfId="0" applyFill="1" applyAlignment="1">
      <alignment horizontal="left"/>
    </xf>
    <xf numFmtId="0" fontId="9" fillId="9" borderId="0" xfId="0" applyFont="1" applyFill="1" applyAlignment="1">
      <alignment horizontal="left"/>
    </xf>
    <xf numFmtId="10" fontId="0" fillId="0" borderId="0" xfId="2" applyNumberFormat="1" applyFont="1" applyBorder="1"/>
    <xf numFmtId="0" fontId="0" fillId="4" borderId="0" xfId="0" quotePrefix="1" applyFill="1" applyAlignment="1">
      <alignment horizontal="left"/>
    </xf>
    <xf numFmtId="164" fontId="0" fillId="0" borderId="0" xfId="2" applyNumberFormat="1" applyFont="1" applyBorder="1"/>
    <xf numFmtId="0" fontId="49" fillId="0" borderId="0" xfId="0" applyFont="1" applyAlignment="1">
      <alignment horizont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/>
    <xf numFmtId="0" fontId="12" fillId="0" borderId="1" xfId="0" applyFont="1" applyBorder="1"/>
    <xf numFmtId="43" fontId="9" fillId="0" borderId="6" xfId="0" applyNumberFormat="1" applyFont="1" applyBorder="1"/>
    <xf numFmtId="165" fontId="8" fillId="0" borderId="0" xfId="2" applyNumberFormat="1" applyFont="1"/>
    <xf numFmtId="0" fontId="9" fillId="2" borderId="0" xfId="0" applyFont="1" applyFill="1"/>
    <xf numFmtId="0" fontId="12" fillId="0" borderId="0" xfId="8" applyFont="1" applyAlignment="1">
      <alignment horizontal="center"/>
    </xf>
    <xf numFmtId="0" fontId="60" fillId="0" borderId="0" xfId="8" applyFont="1" applyAlignment="1">
      <alignment horizontal="center"/>
    </xf>
    <xf numFmtId="165" fontId="12" fillId="0" borderId="0" xfId="8" applyNumberFormat="1" applyFont="1" applyAlignment="1">
      <alignment horizontal="center"/>
    </xf>
    <xf numFmtId="9" fontId="12" fillId="0" borderId="0" xfId="8" applyNumberFormat="1" applyFont="1"/>
    <xf numFmtId="165" fontId="12" fillId="0" borderId="0" xfId="8" applyNumberFormat="1" applyFont="1"/>
    <xf numFmtId="3" fontId="12" fillId="0" borderId="0" xfId="8" applyNumberFormat="1" applyFont="1"/>
    <xf numFmtId="0" fontId="1" fillId="0" borderId="0" xfId="0" applyFont="1" applyAlignment="1">
      <alignment horizontal="left" indent="2"/>
    </xf>
    <xf numFmtId="3" fontId="11" fillId="0" borderId="0" xfId="8" applyNumberFormat="1" applyFont="1" applyAlignment="1">
      <alignment horizontal="center"/>
    </xf>
    <xf numFmtId="6" fontId="11" fillId="0" borderId="0" xfId="8" applyNumberFormat="1" applyFont="1" applyAlignment="1">
      <alignment horizontal="center"/>
    </xf>
    <xf numFmtId="9" fontId="11" fillId="0" borderId="0" xfId="8" applyNumberFormat="1" applyFont="1" applyAlignment="1">
      <alignment horizontal="center"/>
    </xf>
    <xf numFmtId="0" fontId="27" fillId="0" borderId="0" xfId="0" applyFont="1" applyAlignment="1">
      <alignment horizontal="left" indent="3"/>
    </xf>
    <xf numFmtId="164" fontId="56" fillId="0" borderId="5" xfId="1" applyNumberFormat="1" applyFont="1" applyFill="1" applyBorder="1"/>
    <xf numFmtId="172" fontId="56" fillId="0" borderId="0" xfId="1" applyNumberFormat="1" applyFont="1"/>
    <xf numFmtId="0" fontId="1" fillId="0" borderId="0" xfId="0" applyFont="1"/>
    <xf numFmtId="0" fontId="0" fillId="0" borderId="0" xfId="0" applyAlignment="1">
      <alignment horizontal="right" wrapText="1"/>
    </xf>
    <xf numFmtId="170" fontId="45" fillId="0" borderId="0" xfId="4" applyNumberFormat="1" applyFont="1" applyBorder="1"/>
    <xf numFmtId="0" fontId="27" fillId="0" borderId="0" xfId="0" applyFont="1" applyAlignment="1">
      <alignment horizontal="right" indent="1"/>
    </xf>
    <xf numFmtId="172" fontId="8" fillId="0" borderId="0" xfId="1" applyNumberFormat="1" applyFont="1" applyBorder="1" applyAlignment="1">
      <alignment horizontal="center"/>
    </xf>
    <xf numFmtId="3" fontId="12" fillId="9" borderId="0" xfId="0" applyNumberFormat="1" applyFont="1" applyFill="1" applyAlignment="1">
      <alignment horizontal="center"/>
    </xf>
    <xf numFmtId="165" fontId="8" fillId="0" borderId="0" xfId="2" applyNumberFormat="1" applyFont="1" applyFill="1" applyAlignment="1">
      <alignment horizontal="center"/>
    </xf>
    <xf numFmtId="164" fontId="29" fillId="0" borderId="16" xfId="2" applyNumberFormat="1" applyFont="1" applyFill="1" applyBorder="1"/>
    <xf numFmtId="172" fontId="8" fillId="0" borderId="0" xfId="1" applyNumberFormat="1" applyFont="1" applyFill="1" applyBorder="1"/>
    <xf numFmtId="3" fontId="12" fillId="0" borderId="0" xfId="2" applyNumberFormat="1" applyFont="1" applyFill="1"/>
    <xf numFmtId="38" fontId="0" fillId="0" borderId="0" xfId="0" applyNumberFormat="1"/>
    <xf numFmtId="0" fontId="61" fillId="4" borderId="0" xfId="0" applyFont="1" applyFill="1"/>
    <xf numFmtId="0" fontId="61" fillId="0" borderId="0" xfId="0" applyFont="1" applyAlignment="1">
      <alignment horizontal="left" indent="2"/>
    </xf>
    <xf numFmtId="3" fontId="61" fillId="0" borderId="0" xfId="0" applyNumberFormat="1" applyFont="1"/>
    <xf numFmtId="180" fontId="62" fillId="0" borderId="0" xfId="0" applyNumberFormat="1" applyFont="1" applyAlignment="1">
      <alignment horizontal="right"/>
    </xf>
    <xf numFmtId="164" fontId="63" fillId="0" borderId="0" xfId="0" applyNumberFormat="1" applyFont="1"/>
    <xf numFmtId="172" fontId="61" fillId="0" borderId="0" xfId="0" applyNumberFormat="1" applyFont="1"/>
    <xf numFmtId="172" fontId="63" fillId="0" borderId="0" xfId="0" applyNumberFormat="1" applyFont="1"/>
    <xf numFmtId="172" fontId="63" fillId="0" borderId="0" xfId="1" applyNumberFormat="1" applyFont="1"/>
    <xf numFmtId="0" fontId="61" fillId="0" borderId="0" xfId="0" applyFont="1"/>
    <xf numFmtId="10" fontId="61" fillId="0" borderId="0" xfId="0" applyNumberFormat="1" applyFont="1"/>
    <xf numFmtId="10" fontId="61" fillId="0" borderId="0" xfId="0" applyNumberFormat="1" applyFont="1" applyAlignment="1">
      <alignment horizontal="right"/>
    </xf>
    <xf numFmtId="172" fontId="61" fillId="0" borderId="0" xfId="1" applyNumberFormat="1" applyFont="1"/>
    <xf numFmtId="172" fontId="61" fillId="0" borderId="0" xfId="1" applyNumberFormat="1" applyFont="1" applyFill="1" applyBorder="1"/>
    <xf numFmtId="164" fontId="63" fillId="0" borderId="1" xfId="0" applyNumberFormat="1" applyFont="1" applyBorder="1"/>
    <xf numFmtId="0" fontId="61" fillId="0" borderId="6" xfId="0" applyFont="1" applyBorder="1"/>
    <xf numFmtId="10" fontId="61" fillId="0" borderId="6" xfId="0" applyNumberFormat="1" applyFont="1" applyBorder="1"/>
    <xf numFmtId="164" fontId="61" fillId="0" borderId="6" xfId="0" applyNumberFormat="1" applyFont="1" applyBorder="1"/>
    <xf numFmtId="164" fontId="61" fillId="0" borderId="0" xfId="0" applyNumberFormat="1" applyFont="1"/>
    <xf numFmtId="172" fontId="61" fillId="0" borderId="6" xfId="0" applyNumberFormat="1" applyFont="1" applyBorder="1"/>
    <xf numFmtId="0" fontId="29" fillId="5" borderId="0" xfId="0" applyFont="1" applyFill="1" applyAlignment="1">
      <alignment horizontal="center"/>
    </xf>
    <xf numFmtId="0" fontId="36" fillId="0" borderId="0" xfId="0" applyFont="1" applyAlignment="1">
      <alignment horizontal="left"/>
    </xf>
    <xf numFmtId="172" fontId="27" fillId="0" borderId="3" xfId="0" applyNumberFormat="1" applyFont="1" applyBorder="1"/>
    <xf numFmtId="0" fontId="4" fillId="2" borderId="0" xfId="0" applyFont="1" applyFill="1"/>
    <xf numFmtId="0" fontId="12" fillId="0" borderId="1" xfId="0" applyFont="1" applyBorder="1" applyAlignment="1">
      <alignment horizontal="left" indent="2"/>
    </xf>
    <xf numFmtId="165" fontId="64" fillId="0" borderId="0" xfId="0" applyNumberFormat="1" applyFont="1"/>
    <xf numFmtId="172" fontId="12" fillId="0" borderId="0" xfId="1" applyNumberFormat="1" applyFont="1" applyFill="1"/>
    <xf numFmtId="172" fontId="61" fillId="0" borderId="0" xfId="1" applyNumberFormat="1" applyFont="1" applyFill="1"/>
    <xf numFmtId="172" fontId="0" fillId="9" borderId="0" xfId="0" applyNumberFormat="1" applyFill="1"/>
    <xf numFmtId="172" fontId="12" fillId="9" borderId="0" xfId="1" applyNumberFormat="1" applyFont="1" applyFill="1" applyBorder="1"/>
    <xf numFmtId="165" fontId="9" fillId="0" borderId="0" xfId="2" applyNumberFormat="1" applyFont="1" applyFill="1" applyBorder="1"/>
    <xf numFmtId="0" fontId="12" fillId="0" borderId="1" xfId="8" applyFont="1" applyBorder="1" applyAlignment="1">
      <alignment horizontal="right"/>
    </xf>
    <xf numFmtId="3" fontId="8" fillId="0" borderId="1" xfId="8" applyNumberFormat="1" applyFont="1" applyBorder="1" applyAlignment="1">
      <alignment horizontal="center"/>
    </xf>
    <xf numFmtId="6" fontId="8" fillId="0" borderId="0" xfId="8" applyNumberFormat="1" applyFont="1"/>
    <xf numFmtId="165" fontId="0" fillId="2" borderId="0" xfId="2" applyNumberFormat="1" applyFont="1" applyFill="1" applyBorder="1"/>
    <xf numFmtId="9" fontId="0" fillId="2" borderId="0" xfId="2" applyFont="1" applyFill="1" applyBorder="1"/>
    <xf numFmtId="9" fontId="9" fillId="2" borderId="0" xfId="2" applyFont="1" applyFill="1" applyBorder="1"/>
    <xf numFmtId="165" fontId="9" fillId="2" borderId="0" xfId="2" applyNumberFormat="1" applyFont="1" applyFill="1" applyBorder="1"/>
    <xf numFmtId="0" fontId="7" fillId="2" borderId="0" xfId="0" applyFont="1" applyFill="1"/>
    <xf numFmtId="9" fontId="9" fillId="2" borderId="0" xfId="0" applyNumberFormat="1" applyFont="1" applyFill="1"/>
    <xf numFmtId="9" fontId="11" fillId="4" borderId="0" xfId="0" applyNumberFormat="1" applyFont="1" applyFill="1" applyAlignment="1">
      <alignment horizontal="center"/>
    </xf>
    <xf numFmtId="0" fontId="0" fillId="4" borderId="1" xfId="0" applyFill="1" applyBorder="1" applyAlignment="1">
      <alignment horizontal="left" indent="1"/>
    </xf>
    <xf numFmtId="0" fontId="0" fillId="4" borderId="1" xfId="0" applyFill="1" applyBorder="1"/>
    <xf numFmtId="3" fontId="9" fillId="4" borderId="8" xfId="0" applyNumberFormat="1" applyFont="1" applyFill="1" applyBorder="1"/>
    <xf numFmtId="164" fontId="12" fillId="4" borderId="1" xfId="1" applyNumberFormat="1" applyFont="1" applyFill="1" applyBorder="1"/>
    <xf numFmtId="0" fontId="0" fillId="0" borderId="1" xfId="0" applyBorder="1" applyAlignment="1">
      <alignment horizontal="left" indent="1"/>
    </xf>
    <xf numFmtId="3" fontId="9" fillId="0" borderId="8" xfId="0" applyNumberFormat="1" applyFont="1" applyBorder="1"/>
    <xf numFmtId="164" fontId="0" fillId="0" borderId="1" xfId="1" applyNumberFormat="1" applyFont="1" applyFill="1" applyBorder="1"/>
    <xf numFmtId="172" fontId="44" fillId="0" borderId="3" xfId="0" applyNumberFormat="1" applyFont="1" applyBorder="1"/>
    <xf numFmtId="164" fontId="32" fillId="0" borderId="0" xfId="0" quotePrefix="1" applyNumberFormat="1" applyFont="1"/>
    <xf numFmtId="9" fontId="32" fillId="0" borderId="0" xfId="2" applyFont="1" applyAlignment="1">
      <alignment horizontal="center"/>
    </xf>
    <xf numFmtId="0" fontId="9" fillId="0" borderId="0" xfId="8" applyFont="1"/>
    <xf numFmtId="9" fontId="8" fillId="0" borderId="0" xfId="2" applyFont="1" applyAlignment="1">
      <alignment horizontal="center"/>
    </xf>
    <xf numFmtId="9" fontId="24" fillId="0" borderId="0" xfId="2" applyFont="1" applyAlignment="1">
      <alignment horizontal="center"/>
    </xf>
    <xf numFmtId="0" fontId="29" fillId="4" borderId="0" xfId="8" applyFont="1" applyFill="1"/>
    <xf numFmtId="14" fontId="29" fillId="0" borderId="0" xfId="8" applyNumberFormat="1" applyFont="1" applyAlignment="1">
      <alignment horizontal="center"/>
    </xf>
    <xf numFmtId="0" fontId="32" fillId="0" borderId="0" xfId="8" applyFont="1"/>
    <xf numFmtId="14" fontId="32" fillId="0" borderId="0" xfId="8" applyNumberFormat="1" applyFont="1" applyAlignment="1">
      <alignment horizontal="center"/>
    </xf>
    <xf numFmtId="14" fontId="38" fillId="0" borderId="0" xfId="8" applyNumberFormat="1" applyFont="1" applyAlignment="1">
      <alignment horizontal="center"/>
    </xf>
    <xf numFmtId="14" fontId="43" fillId="0" borderId="0" xfId="8" applyNumberFormat="1" applyFont="1" applyAlignment="1">
      <alignment horizontal="right"/>
    </xf>
    <xf numFmtId="10" fontId="45" fillId="0" borderId="3" xfId="0" applyNumberFormat="1" applyFont="1" applyBorder="1"/>
    <xf numFmtId="10" fontId="32" fillId="0" borderId="3" xfId="0" applyNumberFormat="1" applyFont="1" applyBorder="1"/>
    <xf numFmtId="164" fontId="32" fillId="0" borderId="3" xfId="0" applyNumberFormat="1" applyFont="1" applyBorder="1"/>
    <xf numFmtId="3" fontId="34" fillId="0" borderId="0" xfId="0" applyNumberFormat="1" applyFont="1"/>
    <xf numFmtId="0" fontId="40" fillId="0" borderId="0" xfId="11" applyFont="1"/>
    <xf numFmtId="181" fontId="40" fillId="0" borderId="0" xfId="11" applyNumberFormat="1" applyFont="1" applyProtection="1">
      <protection locked="0"/>
    </xf>
    <xf numFmtId="181" fontId="40" fillId="0" borderId="0" xfId="11" applyNumberFormat="1" applyFont="1"/>
    <xf numFmtId="0" fontId="66" fillId="0" borderId="0" xfId="11" applyFont="1"/>
    <xf numFmtId="182" fontId="67" fillId="0" borderId="0" xfId="11" applyNumberFormat="1" applyFont="1" applyProtection="1">
      <protection locked="0"/>
    </xf>
    <xf numFmtId="181" fontId="67" fillId="0" borderId="0" xfId="11" applyNumberFormat="1" applyFont="1" applyProtection="1">
      <protection locked="0"/>
    </xf>
    <xf numFmtId="165" fontId="40" fillId="0" borderId="0" xfId="11" applyNumberFormat="1" applyFont="1" applyProtection="1">
      <protection locked="0"/>
    </xf>
    <xf numFmtId="0" fontId="67" fillId="0" borderId="0" xfId="12" applyFont="1"/>
    <xf numFmtId="182" fontId="40" fillId="0" borderId="0" xfId="11" applyNumberFormat="1" applyFont="1"/>
    <xf numFmtId="0" fontId="67" fillId="0" borderId="0" xfId="11" applyFont="1"/>
    <xf numFmtId="182" fontId="40" fillId="0" borderId="0" xfId="11" applyNumberFormat="1" applyFont="1" applyProtection="1">
      <protection locked="0"/>
    </xf>
    <xf numFmtId="0" fontId="67" fillId="0" borderId="0" xfId="11" applyFont="1" applyAlignment="1" applyProtection="1">
      <alignment horizontal="left" indent="1"/>
      <protection locked="0"/>
    </xf>
    <xf numFmtId="182" fontId="67" fillId="0" borderId="8" xfId="11" applyNumberFormat="1" applyFont="1" applyBorder="1" applyProtection="1">
      <protection locked="0"/>
    </xf>
    <xf numFmtId="181" fontId="67" fillId="0" borderId="8" xfId="11" applyNumberFormat="1" applyFont="1" applyBorder="1" applyProtection="1">
      <protection locked="0"/>
    </xf>
    <xf numFmtId="0" fontId="40" fillId="0" borderId="0" xfId="11" applyFont="1" applyAlignment="1" applyProtection="1">
      <alignment horizontal="left" indent="1"/>
      <protection locked="0"/>
    </xf>
    <xf numFmtId="182" fontId="68" fillId="0" borderId="0" xfId="11" applyNumberFormat="1" applyFont="1" applyProtection="1">
      <protection locked="0"/>
    </xf>
    <xf numFmtId="181" fontId="68" fillId="0" borderId="0" xfId="11" applyNumberFormat="1" applyFont="1" applyProtection="1">
      <protection locked="0"/>
    </xf>
    <xf numFmtId="0" fontId="68" fillId="0" borderId="0" xfId="11" applyFont="1"/>
    <xf numFmtId="165" fontId="68" fillId="0" borderId="0" xfId="11" applyNumberFormat="1" applyFont="1" applyProtection="1">
      <protection locked="0"/>
    </xf>
    <xf numFmtId="0" fontId="68" fillId="0" borderId="0" xfId="11" applyFont="1" applyAlignment="1" applyProtection="1">
      <alignment horizontal="left" indent="1"/>
      <protection locked="0"/>
    </xf>
    <xf numFmtId="0" fontId="67" fillId="0" borderId="0" xfId="11" applyFont="1" applyProtection="1">
      <protection locked="0"/>
    </xf>
    <xf numFmtId="0" fontId="40" fillId="0" borderId="0" xfId="11" applyFont="1" applyAlignment="1">
      <alignment horizontal="center"/>
    </xf>
    <xf numFmtId="183" fontId="40" fillId="0" borderId="0" xfId="11" applyNumberFormat="1" applyFont="1" applyAlignment="1" applyProtection="1">
      <alignment horizontal="center"/>
      <protection locked="0"/>
    </xf>
    <xf numFmtId="182" fontId="19" fillId="0" borderId="0" xfId="11" applyNumberFormat="1" applyFont="1" applyProtection="1">
      <protection locked="0"/>
    </xf>
    <xf numFmtId="181" fontId="19" fillId="0" borderId="0" xfId="11" applyNumberFormat="1" applyFont="1" applyProtection="1">
      <protection locked="0"/>
    </xf>
    <xf numFmtId="0" fontId="19" fillId="0" borderId="0" xfId="11" applyFont="1"/>
    <xf numFmtId="165" fontId="19" fillId="0" borderId="0" xfId="11" applyNumberFormat="1" applyFont="1" applyProtection="1">
      <protection locked="0"/>
    </xf>
    <xf numFmtId="0" fontId="19" fillId="0" borderId="0" xfId="11" applyFont="1" applyAlignment="1" applyProtection="1">
      <alignment horizontal="left" indent="1"/>
      <protection locked="0"/>
    </xf>
    <xf numFmtId="0" fontId="67" fillId="0" borderId="0" xfId="11" applyFont="1" applyAlignment="1">
      <alignment horizontal="right"/>
    </xf>
    <xf numFmtId="168" fontId="40" fillId="0" borderId="0" xfId="11" applyNumberFormat="1" applyFont="1"/>
    <xf numFmtId="168" fontId="40" fillId="0" borderId="0" xfId="11" applyNumberFormat="1" applyFont="1" applyProtection="1">
      <protection locked="0"/>
    </xf>
    <xf numFmtId="165" fontId="40" fillId="0" borderId="0" xfId="13" applyNumberFormat="1" applyFont="1" applyBorder="1" applyProtection="1">
      <protection locked="0"/>
    </xf>
    <xf numFmtId="169" fontId="40" fillId="0" borderId="0" xfId="11" applyNumberFormat="1" applyFont="1" applyProtection="1">
      <protection locked="0"/>
    </xf>
    <xf numFmtId="169" fontId="40" fillId="0" borderId="0" xfId="11" applyNumberFormat="1" applyFont="1"/>
    <xf numFmtId="165" fontId="40" fillId="0" borderId="0" xfId="11" applyNumberFormat="1" applyFont="1"/>
    <xf numFmtId="0" fontId="40" fillId="0" borderId="0" xfId="11" applyFont="1" applyProtection="1">
      <protection locked="0"/>
    </xf>
    <xf numFmtId="0" fontId="40" fillId="0" borderId="1" xfId="11" applyFont="1" applyBorder="1"/>
    <xf numFmtId="165" fontId="67" fillId="0" borderId="1" xfId="11" applyNumberFormat="1" applyFont="1" applyBorder="1"/>
    <xf numFmtId="0" fontId="67" fillId="0" borderId="1" xfId="11" applyFont="1" applyBorder="1"/>
    <xf numFmtId="0" fontId="40" fillId="0" borderId="6" xfId="11" applyFont="1" applyBorder="1"/>
    <xf numFmtId="0" fontId="67" fillId="0" borderId="6" xfId="11" applyFont="1" applyBorder="1"/>
    <xf numFmtId="0" fontId="66" fillId="0" borderId="1" xfId="12" applyFont="1" applyBorder="1"/>
    <xf numFmtId="0" fontId="40" fillId="0" borderId="0" xfId="14" applyNumberFormat="1" applyFont="1"/>
    <xf numFmtId="0" fontId="40" fillId="0" borderId="0" xfId="11" applyFont="1" applyAlignment="1">
      <alignment horizontal="right"/>
    </xf>
    <xf numFmtId="0" fontId="69" fillId="0" borderId="0" xfId="11" applyFont="1" applyProtection="1">
      <protection locked="0"/>
    </xf>
    <xf numFmtId="0" fontId="12" fillId="3" borderId="0" xfId="8" applyFont="1" applyFill="1"/>
    <xf numFmtId="8" fontId="12" fillId="3" borderId="0" xfId="8" applyNumberFormat="1" applyFont="1" applyFill="1"/>
    <xf numFmtId="172" fontId="12" fillId="0" borderId="0" xfId="10" applyNumberFormat="1" applyFont="1" applyFill="1" applyBorder="1" applyAlignment="1">
      <alignment horizontal="center"/>
    </xf>
    <xf numFmtId="164" fontId="11" fillId="0" borderId="0" xfId="2" applyNumberFormat="1" applyFont="1"/>
    <xf numFmtId="0" fontId="24" fillId="0" borderId="0" xfId="0" applyFont="1" applyAlignment="1">
      <alignment horizontal="left" indent="2"/>
    </xf>
    <xf numFmtId="9" fontId="12" fillId="0" borderId="0" xfId="2" applyFont="1" applyFill="1" applyBorder="1"/>
    <xf numFmtId="9" fontId="11" fillId="0" borderId="0" xfId="2" applyFont="1" applyAlignment="1">
      <alignment horizontal="left"/>
    </xf>
    <xf numFmtId="164" fontId="70" fillId="0" borderId="0" xfId="1" applyNumberFormat="1" applyFont="1"/>
    <xf numFmtId="0" fontId="9" fillId="0" borderId="0" xfId="0" applyFont="1" applyAlignment="1">
      <alignment horizontal="right"/>
    </xf>
    <xf numFmtId="0" fontId="0" fillId="0" borderId="17" xfId="0" applyBorder="1"/>
    <xf numFmtId="9" fontId="0" fillId="0" borderId="16" xfId="2" applyFont="1" applyBorder="1"/>
    <xf numFmtId="165" fontId="0" fillId="0" borderId="16" xfId="2" applyNumberFormat="1" applyFont="1" applyBorder="1"/>
    <xf numFmtId="165" fontId="0" fillId="0" borderId="16" xfId="0" applyNumberFormat="1" applyBorder="1"/>
    <xf numFmtId="0" fontId="0" fillId="0" borderId="15" xfId="0" applyBorder="1"/>
    <xf numFmtId="0" fontId="12" fillId="0" borderId="17" xfId="0" applyFont="1" applyBorder="1" applyAlignment="1">
      <alignment horizontal="left"/>
    </xf>
    <xf numFmtId="10" fontId="0" fillId="0" borderId="14" xfId="0" applyNumberFormat="1" applyBorder="1"/>
    <xf numFmtId="184" fontId="0" fillId="0" borderId="0" xfId="0" applyNumberFormat="1"/>
    <xf numFmtId="9" fontId="11" fillId="0" borderId="0" xfId="2" applyFont="1" applyFill="1" applyBorder="1" applyAlignment="1">
      <alignment horizontal="center"/>
    </xf>
    <xf numFmtId="9" fontId="43" fillId="0" borderId="0" xfId="2" applyFont="1"/>
    <xf numFmtId="3" fontId="45" fillId="0" borderId="0" xfId="0" applyNumberFormat="1" applyFont="1"/>
    <xf numFmtId="0" fontId="31" fillId="0" borderId="15" xfId="0" applyFont="1" applyBorder="1" applyAlignment="1">
      <alignment horizontal="left"/>
    </xf>
    <xf numFmtId="9" fontId="31" fillId="0" borderId="14" xfId="2" applyFont="1" applyFill="1" applyBorder="1"/>
    <xf numFmtId="167" fontId="32" fillId="0" borderId="0" xfId="0" applyNumberFormat="1" applyFont="1"/>
    <xf numFmtId="9" fontId="34" fillId="0" borderId="0" xfId="2" applyFont="1"/>
    <xf numFmtId="164" fontId="0" fillId="0" borderId="0" xfId="1" applyNumberFormat="1" applyFont="1" applyFill="1" applyAlignment="1">
      <alignment horizontal="right"/>
    </xf>
    <xf numFmtId="164" fontId="11" fillId="7" borderId="0" xfId="1" applyNumberFormat="1" applyFont="1" applyFill="1"/>
    <xf numFmtId="164" fontId="12" fillId="7" borderId="0" xfId="1" applyNumberFormat="1" applyFont="1" applyFill="1"/>
    <xf numFmtId="164" fontId="0" fillId="7" borderId="0" xfId="1" applyNumberFormat="1" applyFont="1" applyFill="1"/>
    <xf numFmtId="164" fontId="34" fillId="0" borderId="0" xfId="1" applyNumberFormat="1" applyFont="1" applyAlignment="1">
      <alignment horizontal="left" vertical="top" wrapText="1"/>
    </xf>
    <xf numFmtId="0" fontId="9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9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0" fontId="9" fillId="5" borderId="18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59" fillId="7" borderId="0" xfId="0" applyFont="1" applyFill="1" applyAlignment="1">
      <alignment horizontal="center"/>
    </xf>
  </cellXfs>
  <cellStyles count="15">
    <cellStyle name="Calculation" xfId="3" builtinId="22"/>
    <cellStyle name="Comma" xfId="1" builtinId="3"/>
    <cellStyle name="Comma 2" xfId="6" xr:uid="{72EF9851-FE48-A245-9A52-5299BF1468DF}"/>
    <cellStyle name="Comma 2 2" xfId="9" xr:uid="{DDFD849C-0139-48E3-9E5B-78B64BA2B45D}"/>
    <cellStyle name="Comma 3" xfId="14" xr:uid="{FCD82E58-D3E7-4231-AC35-A9542C6DE474}"/>
    <cellStyle name="Currency" xfId="4" builtinId="4"/>
    <cellStyle name="Normal" xfId="0" builtinId="0"/>
    <cellStyle name="Normal 2" xfId="5" xr:uid="{3BC7FE25-7BC2-A14C-9525-36F620412D6D}"/>
    <cellStyle name="Normal 2 2" xfId="8" xr:uid="{05049F6E-1445-4159-B299-C63CAAC7C392}"/>
    <cellStyle name="Normal 3" xfId="11" xr:uid="{978F1273-8EA9-4AB3-BAA6-8EFBAB1C6098}"/>
    <cellStyle name="Normal 4" xfId="12" xr:uid="{14B412F8-2D63-4943-9D89-CBCD813B28C1}"/>
    <cellStyle name="Percent" xfId="2" builtinId="5"/>
    <cellStyle name="Percent 2" xfId="7" xr:uid="{86563EC1-B54F-CA49-8A5D-7D985A6D10EC}"/>
    <cellStyle name="Percent 2 2" xfId="10" xr:uid="{0C353F67-A75B-4B68-821C-ED978F13B377}"/>
    <cellStyle name="Percent 3" xfId="13" xr:uid="{7284E57E-2EE7-4772-92AA-B7EB799D2FB8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Cumulative Wondership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'Combined Returns'!$F$20:$M$20</c:f>
              <c:numCache>
                <c:formatCode>m/d/yy</c:formatCode>
                <c:ptCount val="8"/>
                <c:pt idx="0">
                  <c:v>45658</c:v>
                </c:pt>
                <c:pt idx="1">
                  <c:v>46023</c:v>
                </c:pt>
                <c:pt idx="2">
                  <c:v>46388</c:v>
                </c:pt>
                <c:pt idx="3">
                  <c:v>46753</c:v>
                </c:pt>
                <c:pt idx="4">
                  <c:v>47119</c:v>
                </c:pt>
                <c:pt idx="5">
                  <c:v>47484</c:v>
                </c:pt>
                <c:pt idx="6">
                  <c:v>47849</c:v>
                </c:pt>
                <c:pt idx="7">
                  <c:v>48214</c:v>
                </c:pt>
              </c:numCache>
            </c:numRef>
          </c:cat>
          <c:val>
            <c:numRef>
              <c:f>'Combined Returns'!$F$29:$M$29</c:f>
              <c:numCache>
                <c:formatCode>_(* #,##0_);_(* \(#,##0\);_(* "-"??_);_(@_)</c:formatCode>
                <c:ptCount val="8"/>
                <c:pt idx="0">
                  <c:v>-15000000</c:v>
                </c:pt>
                <c:pt idx="1">
                  <c:v>-15000000</c:v>
                </c:pt>
                <c:pt idx="2">
                  <c:v>-13031237.928402722</c:v>
                </c:pt>
                <c:pt idx="3">
                  <c:v>-6957020.2570786607</c:v>
                </c:pt>
                <c:pt idx="4">
                  <c:v>28190374.758636765</c:v>
                </c:pt>
                <c:pt idx="5">
                  <c:v>30871476.485062163</c:v>
                </c:pt>
                <c:pt idx="6">
                  <c:v>50114552.320117086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E-4818-A79A-8D35C6AFAB1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'Combined Returns'!$F$20:$M$20</c:f>
              <c:numCache>
                <c:formatCode>m/d/yy</c:formatCode>
                <c:ptCount val="8"/>
                <c:pt idx="0">
                  <c:v>45658</c:v>
                </c:pt>
                <c:pt idx="1">
                  <c:v>46023</c:v>
                </c:pt>
                <c:pt idx="2">
                  <c:v>46388</c:v>
                </c:pt>
                <c:pt idx="3">
                  <c:v>46753</c:v>
                </c:pt>
                <c:pt idx="4">
                  <c:v>47119</c:v>
                </c:pt>
                <c:pt idx="5">
                  <c:v>47484</c:v>
                </c:pt>
                <c:pt idx="6">
                  <c:v>47849</c:v>
                </c:pt>
                <c:pt idx="7">
                  <c:v>48214</c:v>
                </c:pt>
              </c:numCache>
            </c:numRef>
          </c:cat>
          <c:val>
            <c:numRef>
              <c:f>'Combined Returns'!$F$44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9E-4818-A79A-8D35C6AFA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months"/>
        <c:majorUnit val="3"/>
        <c:majorTimeUnit val="month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Cumulative PM 1 (Brundage)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'Returns Resi'!$F$20:$R$20</c:f>
              <c:numCache>
                <c:formatCode>m/d/yy</c:formatCode>
                <c:ptCount val="13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  <c:pt idx="8">
                  <c:v>48579</c:v>
                </c:pt>
                <c:pt idx="9">
                  <c:v>48944</c:v>
                </c:pt>
                <c:pt idx="10">
                  <c:v>49309</c:v>
                </c:pt>
                <c:pt idx="11">
                  <c:v>49674</c:v>
                </c:pt>
                <c:pt idx="12">
                  <c:v>50040</c:v>
                </c:pt>
              </c:numCache>
            </c:numRef>
          </c:cat>
          <c:val>
            <c:numRef>
              <c:f>'Returns Resi'!$F$30:$R$30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7-9442-B2B0-B23918AE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Cumulative PM</a:t>
            </a:r>
            <a:r>
              <a:rPr lang="en-US" sz="1600" b="0" baseline="0"/>
              <a:t> 2</a:t>
            </a:r>
            <a:r>
              <a:rPr lang="en-US" sz="1600" b="0"/>
              <a:t>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'Returns Resi'!$F$20:$R$20</c:f>
              <c:numCache>
                <c:formatCode>m/d/yy</c:formatCode>
                <c:ptCount val="13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  <c:pt idx="8">
                  <c:v>48579</c:v>
                </c:pt>
                <c:pt idx="9">
                  <c:v>48944</c:v>
                </c:pt>
                <c:pt idx="10">
                  <c:v>49309</c:v>
                </c:pt>
                <c:pt idx="11">
                  <c:v>49674</c:v>
                </c:pt>
                <c:pt idx="12">
                  <c:v>50040</c:v>
                </c:pt>
              </c:numCache>
            </c:numRef>
          </c:cat>
          <c:val>
            <c:numRef>
              <c:f>'Returns Resi'!$F$40:$R$40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8-4DC3-89BC-F87F53274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Cumulative Wondership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'Returns Land+Home'!$F$20:$M$20</c:f>
              <c:numCache>
                <c:formatCode>m/d/yy</c:formatCode>
                <c:ptCount val="8"/>
                <c:pt idx="0">
                  <c:v>45658</c:v>
                </c:pt>
                <c:pt idx="1">
                  <c:v>46023</c:v>
                </c:pt>
                <c:pt idx="2">
                  <c:v>46388</c:v>
                </c:pt>
                <c:pt idx="3">
                  <c:v>46753</c:v>
                </c:pt>
                <c:pt idx="4">
                  <c:v>47119</c:v>
                </c:pt>
                <c:pt idx="5">
                  <c:v>47484</c:v>
                </c:pt>
                <c:pt idx="6">
                  <c:v>47849</c:v>
                </c:pt>
                <c:pt idx="7">
                  <c:v>48214</c:v>
                </c:pt>
              </c:numCache>
            </c:numRef>
          </c:cat>
          <c:val>
            <c:numRef>
              <c:f>'Returns Land+Home'!$F$29:$M$29</c:f>
              <c:numCache>
                <c:formatCode>_(* #,##0_);_(* \(#,##0\);_(* "-"??_);_(@_)</c:formatCode>
                <c:ptCount val="8"/>
                <c:pt idx="0">
                  <c:v>-15000000</c:v>
                </c:pt>
                <c:pt idx="1">
                  <c:v>-15000000</c:v>
                </c:pt>
                <c:pt idx="2">
                  <c:v>-13031237.928402722</c:v>
                </c:pt>
                <c:pt idx="3">
                  <c:v>-6957020.2570786607</c:v>
                </c:pt>
                <c:pt idx="4">
                  <c:v>28190374.758636765</c:v>
                </c:pt>
                <c:pt idx="5">
                  <c:v>30871476.485062163</c:v>
                </c:pt>
                <c:pt idx="6">
                  <c:v>50114552.320117086</c:v>
                </c:pt>
                <c:pt idx="7">
                  <c:v>50114552.320117086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E0-4E81-99CF-2E705DD02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  <c:majorUnit val="3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documenttasks/documenttask1.xml><?xml version="1.0" encoding="utf-8"?>
<Tasks xmlns="http://schemas.microsoft.com/office/tasks/2019/documenttasks">
  <Task id="{502F4607-9C8C-254B-A68F-27C21476DA7A}">
    <Anchor>
      <Comment id="{DBB088E1-9873-4147-A041-E741AC90B0EC}"/>
    </Anchor>
    <History>
      <Event time="2024-02-19T20:05:18.25" id="{F5E9CEC3-88C6-8046-A303-474D2DF9A5CA}">
        <Attribution userId="S::layne@mtnorigins.com::947c7b02-7487-4553-a9cc-76e9f5fee9eb" userName="Layne Thompson" userProvider="AD"/>
        <Anchor>
          <Comment id="{DBB088E1-9873-4147-A041-E741AC90B0EC}"/>
        </Anchor>
        <Create/>
      </Event>
      <Event time="2024-02-19T20:05:18.25" id="{DE71C74F-72DF-0745-A2F2-9D2A8D6BCB6A}">
        <Attribution userId="S::layne@mtnorigins.com::947c7b02-7487-4553-a9cc-76e9f5fee9eb" userName="Layne Thompson" userProvider="AD"/>
        <Anchor>
          <Comment id="{DBB088E1-9873-4147-A041-E741AC90B0EC}"/>
        </Anchor>
        <Assign userId="S::ladd@mtnorigins.com::1b0109ea-832b-4071-8c77-42c5ac8213b5" userName="Ladd Morgan" userProvider="AD"/>
      </Event>
      <Event time="2024-02-19T20:05:18.25" id="{6ABF8AAC-9BD2-9A48-9E9C-3FB367710481}">
        <Attribution userId="S::layne@mtnorigins.com::947c7b02-7487-4553-a9cc-76e9f5fee9eb" userName="Layne Thompson" userProvider="AD"/>
        <Anchor>
          <Comment id="{DBB088E1-9873-4147-A041-E741AC90B0EC}"/>
        </Anchor>
        <SetTitle title="@Ladd Morgan @Gary Wilson we need breakouts on these similar to the Resi Consultants on the next round.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149225</xdr:colOff>
      <xdr:row>32</xdr:row>
      <xdr:rowOff>156214</xdr:rowOff>
    </xdr:from>
    <xdr:ext cx="863426" cy="793115"/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5345" y="30948634"/>
          <a:ext cx="863426" cy="793115"/>
        </a:xfrm>
        <a:prstGeom prst="rect">
          <a:avLst/>
        </a:prstGeom>
      </xdr:spPr>
    </xdr:pic>
    <xdr:clientData/>
  </xdr:oneCellAnchor>
  <xdr:oneCellAnchor>
    <xdr:from>
      <xdr:col>5</xdr:col>
      <xdr:colOff>149225</xdr:colOff>
      <xdr:row>62</xdr:row>
      <xdr:rowOff>156214</xdr:rowOff>
    </xdr:from>
    <xdr:ext cx="863426" cy="793115"/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1425" y="156214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32</xdr:row>
      <xdr:rowOff>156214</xdr:rowOff>
    </xdr:from>
    <xdr:ext cx="863426" cy="79311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2958" y="156214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62</xdr:row>
      <xdr:rowOff>156214</xdr:rowOff>
    </xdr:from>
    <xdr:ext cx="863426" cy="79311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2958" y="5642614"/>
          <a:ext cx="863426" cy="793115"/>
        </a:xfrm>
        <a:prstGeom prst="rect">
          <a:avLst/>
        </a:prstGeom>
      </xdr:spPr>
    </xdr:pic>
    <xdr:clientData/>
  </xdr:oneCellAnchor>
  <xdr:oneCellAnchor>
    <xdr:from>
      <xdr:col>5</xdr:col>
      <xdr:colOff>149225</xdr:colOff>
      <xdr:row>0</xdr:row>
      <xdr:rowOff>156214</xdr:rowOff>
    </xdr:from>
    <xdr:ext cx="863426" cy="793115"/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100-000002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3000" y="5956939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0</xdr:row>
      <xdr:rowOff>156214</xdr:rowOff>
    </xdr:from>
    <xdr:ext cx="863426" cy="793115"/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70300" y="5956939"/>
          <a:ext cx="863426" cy="79311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267027</xdr:colOff>
      <xdr:row>74</xdr:row>
      <xdr:rowOff>174264</xdr:rowOff>
    </xdr:from>
    <xdr:to>
      <xdr:col>8</xdr:col>
      <xdr:colOff>711200</xdr:colOff>
      <xdr:row>88</xdr:row>
      <xdr:rowOff>102297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546100</xdr:colOff>
          <xdr:row>49</xdr:row>
          <xdr:rowOff>101600</xdr:rowOff>
        </xdr:from>
        <xdr:to>
          <xdr:col>21</xdr:col>
          <xdr:colOff>673100</xdr:colOff>
          <xdr:row>52</xdr:row>
          <xdr:rowOff>139700</xdr:rowOff>
        </xdr:to>
        <xdr:sp macro="" textlink="">
          <xdr:nvSpPr>
            <xdr:cNvPr id="39937" name="Button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3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49</xdr:row>
          <xdr:rowOff>114300</xdr:rowOff>
        </xdr:from>
        <xdr:to>
          <xdr:col>23</xdr:col>
          <xdr:colOff>304800</xdr:colOff>
          <xdr:row>52</xdr:row>
          <xdr:rowOff>152400</xdr:rowOff>
        </xdr:to>
        <xdr:sp macro="" textlink="">
          <xdr:nvSpPr>
            <xdr:cNvPr id="39938" name="Button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3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49</xdr:row>
          <xdr:rowOff>101600</xdr:rowOff>
        </xdr:from>
        <xdr:to>
          <xdr:col>20</xdr:col>
          <xdr:colOff>228600</xdr:colOff>
          <xdr:row>52</xdr:row>
          <xdr:rowOff>139700</xdr:rowOff>
        </xdr:to>
        <xdr:sp macro="" textlink="">
          <xdr:nvSpPr>
            <xdr:cNvPr id="39939" name="Button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3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825500</xdr:colOff>
          <xdr:row>49</xdr:row>
          <xdr:rowOff>88900</xdr:rowOff>
        </xdr:from>
        <xdr:to>
          <xdr:col>24</xdr:col>
          <xdr:colOff>939800</xdr:colOff>
          <xdr:row>52</xdr:row>
          <xdr:rowOff>127000</xdr:rowOff>
        </xdr:to>
        <xdr:sp macro="" textlink="">
          <xdr:nvSpPr>
            <xdr:cNvPr id="39940" name="Button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3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267026</xdr:colOff>
      <xdr:row>60</xdr:row>
      <xdr:rowOff>642</xdr:rowOff>
    </xdr:from>
    <xdr:to>
      <xdr:col>6</xdr:col>
      <xdr:colOff>60611</xdr:colOff>
      <xdr:row>73</xdr:row>
      <xdr:rowOff>110602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462989</xdr:colOff>
      <xdr:row>59</xdr:row>
      <xdr:rowOff>192910</xdr:rowOff>
    </xdr:from>
    <xdr:to>
      <xdr:col>12</xdr:col>
      <xdr:colOff>594168</xdr:colOff>
      <xdr:row>73</xdr:row>
      <xdr:rowOff>100313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15000</xdr:colOff>
      <xdr:row>5</xdr:row>
      <xdr:rowOff>12000</xdr:rowOff>
    </xdr:from>
    <xdr:to>
      <xdr:col>11</xdr:col>
      <xdr:colOff>173300</xdr:colOff>
      <xdr:row>5</xdr:row>
      <xdr:rowOff>174110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267" t="4354" r="15290" b="14168"/>
        <a:stretch/>
      </xdr:blipFill>
      <xdr:spPr>
        <a:xfrm>
          <a:off x="11850000" y="1071000"/>
          <a:ext cx="171000" cy="1710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342900</xdr:colOff>
          <xdr:row>137</xdr:row>
          <xdr:rowOff>25400</xdr:rowOff>
        </xdr:from>
        <xdr:to>
          <xdr:col>23</xdr:col>
          <xdr:colOff>850900</xdr:colOff>
          <xdr:row>140</xdr:row>
          <xdr:rowOff>88900</xdr:rowOff>
        </xdr:to>
        <xdr:sp macro="" textlink="">
          <xdr:nvSpPr>
            <xdr:cNvPr id="27651" name="Button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6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AMU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267027</xdr:colOff>
      <xdr:row>72</xdr:row>
      <xdr:rowOff>174264</xdr:rowOff>
    </xdr:from>
    <xdr:to>
      <xdr:col>8</xdr:col>
      <xdr:colOff>711200</xdr:colOff>
      <xdr:row>86</xdr:row>
      <xdr:rowOff>102297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546100</xdr:colOff>
          <xdr:row>47</xdr:row>
          <xdr:rowOff>101600</xdr:rowOff>
        </xdr:from>
        <xdr:to>
          <xdr:col>21</xdr:col>
          <xdr:colOff>673100</xdr:colOff>
          <xdr:row>50</xdr:row>
          <xdr:rowOff>139700</xdr:rowOff>
        </xdr:to>
        <xdr:sp macro="" textlink="">
          <xdr:nvSpPr>
            <xdr:cNvPr id="29697" name="Button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7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47</xdr:row>
          <xdr:rowOff>114300</xdr:rowOff>
        </xdr:from>
        <xdr:to>
          <xdr:col>23</xdr:col>
          <xdr:colOff>304800</xdr:colOff>
          <xdr:row>50</xdr:row>
          <xdr:rowOff>152400</xdr:rowOff>
        </xdr:to>
        <xdr:sp macro="" textlink="">
          <xdr:nvSpPr>
            <xdr:cNvPr id="29698" name="Button 2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07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47</xdr:row>
          <xdr:rowOff>101600</xdr:rowOff>
        </xdr:from>
        <xdr:to>
          <xdr:col>20</xdr:col>
          <xdr:colOff>228600</xdr:colOff>
          <xdr:row>50</xdr:row>
          <xdr:rowOff>139700</xdr:rowOff>
        </xdr:to>
        <xdr:sp macro="" textlink="">
          <xdr:nvSpPr>
            <xdr:cNvPr id="29699" name="Button 3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00000000-0008-0000-0700-00000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825500</xdr:colOff>
          <xdr:row>47</xdr:row>
          <xdr:rowOff>88900</xdr:rowOff>
        </xdr:from>
        <xdr:to>
          <xdr:col>24</xdr:col>
          <xdr:colOff>939800</xdr:colOff>
          <xdr:row>50</xdr:row>
          <xdr:rowOff>127000</xdr:rowOff>
        </xdr:to>
        <xdr:sp macro="" textlink="">
          <xdr:nvSpPr>
            <xdr:cNvPr id="29700" name="Button 4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00000000-0008-0000-0700-00000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546100</xdr:colOff>
          <xdr:row>49</xdr:row>
          <xdr:rowOff>101600</xdr:rowOff>
        </xdr:from>
        <xdr:to>
          <xdr:col>21</xdr:col>
          <xdr:colOff>673100</xdr:colOff>
          <xdr:row>52</xdr:row>
          <xdr:rowOff>139700</xdr:rowOff>
        </xdr:to>
        <xdr:sp macro="" textlink="">
          <xdr:nvSpPr>
            <xdr:cNvPr id="14339" name="Button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C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49</xdr:row>
          <xdr:rowOff>114300</xdr:rowOff>
        </xdr:from>
        <xdr:to>
          <xdr:col>23</xdr:col>
          <xdr:colOff>304800</xdr:colOff>
          <xdr:row>52</xdr:row>
          <xdr:rowOff>152400</xdr:rowOff>
        </xdr:to>
        <xdr:sp macro="" textlink="">
          <xdr:nvSpPr>
            <xdr:cNvPr id="14340" name="Button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C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49</xdr:row>
          <xdr:rowOff>101600</xdr:rowOff>
        </xdr:from>
        <xdr:to>
          <xdr:col>20</xdr:col>
          <xdr:colOff>228600</xdr:colOff>
          <xdr:row>52</xdr:row>
          <xdr:rowOff>139700</xdr:rowOff>
        </xdr:to>
        <xdr:sp macro="" textlink="">
          <xdr:nvSpPr>
            <xdr:cNvPr id="14341" name="Button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C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825500</xdr:colOff>
          <xdr:row>49</xdr:row>
          <xdr:rowOff>88900</xdr:rowOff>
        </xdr:from>
        <xdr:to>
          <xdr:col>24</xdr:col>
          <xdr:colOff>939800</xdr:colOff>
          <xdr:row>52</xdr:row>
          <xdr:rowOff>127000</xdr:rowOff>
        </xdr:to>
        <xdr:sp macro="" textlink="">
          <xdr:nvSpPr>
            <xdr:cNvPr id="14342" name="Button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C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ry Wilson" id="{3ED9CF97-2F87-9741-92ED-321A03BB0D32}" userId="gary@mtnorigins.com" providerId="PeoplePicker"/>
  <person displayName="Ladd Morgan" id="{864509A8-E05E-F14F-91ED-E79E218E74DF}" userId="ladd@mtnorigins.com" providerId="PeoplePicker"/>
  <person displayName="Ladd Morgan" id="{30AD3FBD-1FC0-4303-824D-0E23BEBF2501}" userId="S::ladd@mtnorigins.com::1b0109ea-832b-4071-8c77-42c5ac8213b5" providerId="AD"/>
  <person displayName="Layne Thompson" id="{CA88EB4B-134D-7E4F-985F-B63DC4541AD2}" userId="S::layne@mtnorigins.com::947c7b02-7487-4553-a9cc-76e9f5fee9eb" providerId="AD"/>
  <person displayName="Morgan, Ladd" id="{55B59677-386B-40BD-B80C-C9D69D0A9B13}" userId="S::Ladd.Morgan@ny.frb.org::0fb9c543-ebe7-4a4d-868e-3d847c04a9f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2-12T05:55:33.23" personId="{30AD3FBD-1FC0-4303-824D-0E23BEBF2501}" id="{BE605D4E-650E-4066-98DD-423863D8B869}">
    <text xml:space="preserve">Reduced original assumption slightly to account for condo owners covering some portion of operating costs </text>
  </threadedComment>
  <threadedComment ref="E42" dT="2024-02-17T03:53:26.58" personId="{55B59677-386B-40BD-B80C-C9D69D0A9B13}" id="{ED28E232-DF7D-43CC-80F0-F38559733A4E}">
    <text xml:space="preserve">Reduce occupancy assumption to 0% for months outside the rental start and finish range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4" dT="2023-11-14T19:02:39.56" personId="{30AD3FBD-1FC0-4303-824D-0E23BEBF2501}" id="{3D2028C7-7376-4C69-93D5-4EB74EA353AD}">
    <text xml:space="preserve">Larger than sum of draws due to capitalized interest and fees. </text>
  </threadedComment>
  <threadedComment ref="T34" dT="2023-10-25T07:51:54.66" personId="{55B59677-386B-40BD-B80C-C9D69D0A9B13}" id="{18F44849-2B23-4F0A-9367-CA4106B565CF}">
    <text>Reduce required cash equity by a portion of the land contributed</text>
  </threadedComment>
  <threadedComment ref="B203" dT="2023-11-14T19:04:37.49" personId="{30AD3FBD-1FC0-4303-824D-0E23BEBF2501}" id="{C3354625-C3A3-4C20-B699-D2E3416A4FFA}">
    <text>Total repayment greater than loan balance because it includes interest beyond the initial 3 years included in interest reserve</text>
  </threadedComment>
  <threadedComment ref="G266" dT="2024-02-19T05:42:49.71" personId="{CA88EB4B-134D-7E4F-985F-B63DC4541AD2}" id="{7CC1D38D-69B0-1C44-B0F4-53545704A35C}">
    <text>Added 225 SF for Loft</text>
  </threadedComment>
  <threadedComment ref="G267" dT="2024-02-19T05:43:17.61" personId="{CA88EB4B-134D-7E4F-985F-B63DC4541AD2}" id="{5233710C-BDF5-0444-9EF1-625BAD1578DD}">
    <text>Added 250 sf for 3rd bedroom on base level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55" dT="2024-02-19T20:05:18.32" personId="{CA88EB4B-134D-7E4F-985F-B63DC4541AD2}" id="{DBB088E1-9873-4147-A041-E741AC90B0EC}">
    <text>@Ladd Morgan @Gary Wilson we need breakouts on these similar to the Resi Consultants on the next round.</text>
    <mentions>
      <mention mentionpersonId="{864509A8-E05E-F14F-91ED-E79E218E74DF}" mentionId="{47D6DB99-0C4E-A943-9EE2-32C6941E0597}" startIndex="0" length="12"/>
      <mention mentionpersonId="{3ED9CF97-2F87-9741-92ED-321A03BB0D32}" mentionId="{E0578BD1-A784-BC48-A35B-98C5E4B1D9F3}" startIndex="13" length="12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6" dT="2024-02-17T03:17:35.76" personId="{55B59677-386B-40BD-B80C-C9D69D0A9B13}" id="{C2F39324-6A97-4A22-805A-668C886C3A08}">
    <text>Subtract Brundage % owned rooms from total occupancy % and remaining occupancy % is attributed to condos. Condo revenue split with condo owners.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4" dT="2023-10-16T13:55:28.56" personId="{55B59677-386B-40BD-B80C-C9D69D0A9B13}" id="{0690F9D1-1C3E-47D3-B221-20761CDCA852}">
    <text>Need to confirm how to calculate these for Amenity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3.xml"/><Relationship Id="rId4" Type="http://schemas.openxmlformats.org/officeDocument/2006/relationships/ctrlProp" Target="../ctrlProps/ctrlProp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mments" Target="../comments6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1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Relationship Id="rId9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44EE-F4F5-46E7-B6DA-319AB54C4775}">
  <sheetPr codeName="Sheet5">
    <tabColor rgb="FFFFFF00"/>
  </sheetPr>
  <dimension ref="A1:NJ104"/>
  <sheetViews>
    <sheetView zoomScale="80" zoomScaleNormal="80" workbookViewId="0">
      <selection activeCell="O19" sqref="O19"/>
    </sheetView>
  </sheetViews>
  <sheetFormatPr baseColWidth="10" defaultColWidth="8.6640625" defaultRowHeight="16" x14ac:dyDescent="0.2"/>
  <cols>
    <col min="1" max="1" width="2.1640625" style="306" customWidth="1"/>
    <col min="2" max="2" width="33.1640625" style="190" bestFit="1" customWidth="1"/>
    <col min="3" max="3" width="13.6640625" style="190" bestFit="1" customWidth="1"/>
    <col min="4" max="4" width="3.6640625" style="190" customWidth="1"/>
    <col min="5" max="5" width="28.6640625" style="190" bestFit="1" customWidth="1"/>
    <col min="6" max="6" width="13.1640625" style="190" bestFit="1" customWidth="1"/>
    <col min="7" max="7" width="11.1640625" style="190" bestFit="1" customWidth="1"/>
    <col min="8" max="8" width="11.5" style="190" bestFit="1" customWidth="1"/>
    <col min="9" max="9" width="11.1640625" style="190" customWidth="1"/>
    <col min="10" max="10" width="12.6640625" style="190" customWidth="1"/>
    <col min="11" max="11" width="13.1640625" style="190" bestFit="1" customWidth="1"/>
    <col min="12" max="14" width="11.1640625" style="190" bestFit="1" customWidth="1"/>
    <col min="15" max="15" width="11.5" style="190" bestFit="1" customWidth="1"/>
    <col min="16" max="16" width="11.6640625" style="190" customWidth="1"/>
    <col min="17" max="17" width="12.1640625" style="190" customWidth="1"/>
    <col min="18" max="373" width="10.5" style="190" bestFit="1" customWidth="1"/>
    <col min="374" max="374" width="10.6640625" style="190" bestFit="1" customWidth="1"/>
    <col min="375" max="16384" width="8.6640625" style="190"/>
  </cols>
  <sheetData>
    <row r="1" spans="1:45" s="306" customFormat="1" ht="21" x14ac:dyDescent="0.25">
      <c r="B1" s="301" t="s">
        <v>0</v>
      </c>
    </row>
    <row r="2" spans="1:45" x14ac:dyDescent="0.2">
      <c r="B2" s="191" t="s">
        <v>1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</row>
    <row r="4" spans="1:45" s="193" customFormat="1" x14ac:dyDescent="0.2">
      <c r="A4" s="202"/>
      <c r="B4" s="194" t="s">
        <v>2</v>
      </c>
      <c r="C4" s="194"/>
      <c r="E4" s="194" t="s">
        <v>3</v>
      </c>
      <c r="F4" s="6" t="s">
        <v>4</v>
      </c>
      <c r="G4" s="322" t="s">
        <v>5</v>
      </c>
      <c r="H4" s="3"/>
      <c r="I4" s="194" t="s">
        <v>6</v>
      </c>
      <c r="J4" s="194"/>
      <c r="K4" s="6" t="s">
        <v>4</v>
      </c>
      <c r="L4" s="322" t="s">
        <v>5</v>
      </c>
      <c r="N4" s="194" t="s">
        <v>7</v>
      </c>
      <c r="O4" s="194"/>
      <c r="P4" s="195"/>
      <c r="Q4" s="195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</row>
    <row r="5" spans="1:45" s="193" customFormat="1" x14ac:dyDescent="0.2">
      <c r="A5" s="202"/>
      <c r="B5" s="193" t="s">
        <v>8</v>
      </c>
      <c r="C5" s="196">
        <v>45473</v>
      </c>
      <c r="E5" s="197" t="s">
        <v>9</v>
      </c>
      <c r="F5" s="201">
        <v>2024</v>
      </c>
      <c r="G5" s="198">
        <v>2026</v>
      </c>
      <c r="I5" s="193" t="s">
        <v>10</v>
      </c>
      <c r="K5" s="207">
        <v>0.1</v>
      </c>
      <c r="L5" s="207">
        <v>0.1</v>
      </c>
      <c r="P5" s="200" t="s">
        <v>11</v>
      </c>
      <c r="Q5" s="200" t="s">
        <v>12</v>
      </c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0"/>
      <c r="AR5" s="190"/>
      <c r="AS5" s="190"/>
    </row>
    <row r="6" spans="1:45" s="193" customFormat="1" x14ac:dyDescent="0.2">
      <c r="A6" s="202"/>
      <c r="B6" s="193" t="s">
        <v>13</v>
      </c>
      <c r="C6" s="201">
        <v>2024</v>
      </c>
      <c r="E6" s="193" t="s">
        <v>14</v>
      </c>
      <c r="F6" s="201">
        <v>2</v>
      </c>
      <c r="G6" s="201">
        <v>3</v>
      </c>
      <c r="I6" s="193" t="s">
        <v>15</v>
      </c>
      <c r="K6" s="639">
        <v>0.11</v>
      </c>
      <c r="L6" s="639">
        <v>0.11</v>
      </c>
      <c r="N6" s="193" t="s">
        <v>16</v>
      </c>
      <c r="P6" s="201">
        <f>P7+P8</f>
        <v>319</v>
      </c>
      <c r="Q6" s="203">
        <f>Q7+Q8</f>
        <v>22000000</v>
      </c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190"/>
      <c r="AS6" s="190"/>
    </row>
    <row r="7" spans="1:45" s="193" customFormat="1" x14ac:dyDescent="0.2">
      <c r="A7" s="202"/>
      <c r="C7" s="199" t="s">
        <v>17</v>
      </c>
      <c r="E7" s="193" t="s">
        <v>18</v>
      </c>
      <c r="F7" s="204">
        <v>0.81187740386080298</v>
      </c>
      <c r="G7" s="204">
        <v>0.75</v>
      </c>
      <c r="I7" s="193" t="s">
        <v>19</v>
      </c>
      <c r="K7" s="639">
        <v>0.01</v>
      </c>
      <c r="L7" s="639">
        <f t="shared" ref="L7" si="0">K7</f>
        <v>0.01</v>
      </c>
      <c r="N7" s="205" t="s">
        <v>20</v>
      </c>
      <c r="P7" s="201">
        <v>240</v>
      </c>
      <c r="Q7" s="203">
        <v>15000000</v>
      </c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  <c r="AR7" s="190"/>
      <c r="AS7" s="190"/>
    </row>
    <row r="8" spans="1:45" s="193" customFormat="1" x14ac:dyDescent="0.2">
      <c r="A8" s="202"/>
      <c r="B8" s="633" t="s">
        <v>21</v>
      </c>
      <c r="C8" s="199"/>
      <c r="E8" s="193" t="s">
        <v>22</v>
      </c>
      <c r="F8" s="206">
        <v>0.12</v>
      </c>
      <c r="G8" s="206">
        <f>F8</f>
        <v>0.12</v>
      </c>
      <c r="I8" s="193" t="s">
        <v>23</v>
      </c>
      <c r="K8" s="639">
        <v>0.01</v>
      </c>
      <c r="L8" s="639">
        <f t="shared" ref="L8" si="1">K8</f>
        <v>0.01</v>
      </c>
      <c r="N8" s="205" t="s">
        <v>5</v>
      </c>
      <c r="P8" s="201">
        <v>79</v>
      </c>
      <c r="Q8" s="203">
        <v>7000000</v>
      </c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</row>
    <row r="9" spans="1:45" s="193" customFormat="1" x14ac:dyDescent="0.2">
      <c r="A9" s="202"/>
      <c r="B9" s="626" t="s">
        <v>24</v>
      </c>
      <c r="C9" s="199"/>
      <c r="E9" s="193" t="s">
        <v>25</v>
      </c>
      <c r="F9" s="208">
        <f>0.0294+0.005+0.0056</f>
        <v>0.04</v>
      </c>
      <c r="G9" s="208">
        <f>F9</f>
        <v>0.04</v>
      </c>
      <c r="I9" t="s">
        <v>26</v>
      </c>
      <c r="K9" s="288">
        <v>0.02</v>
      </c>
      <c r="L9" s="639" t="s">
        <v>27</v>
      </c>
      <c r="N9" s="193" t="s">
        <v>28</v>
      </c>
      <c r="Q9" s="203">
        <v>15000000</v>
      </c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</row>
    <row r="10" spans="1:45" s="193" customFormat="1" x14ac:dyDescent="0.2">
      <c r="A10" s="202"/>
      <c r="B10" s="626" t="s">
        <v>29</v>
      </c>
      <c r="C10" s="199"/>
      <c r="E10" t="s">
        <v>30</v>
      </c>
      <c r="F10" s="208">
        <f>0.005*4</f>
        <v>0.02</v>
      </c>
      <c r="I10" t="s">
        <v>31</v>
      </c>
      <c r="K10" s="639">
        <v>0.15</v>
      </c>
      <c r="L10" s="639" t="s">
        <v>27</v>
      </c>
      <c r="M10"/>
      <c r="P10" s="435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</row>
    <row r="11" spans="1:45" s="193" customFormat="1" x14ac:dyDescent="0.2">
      <c r="A11" s="202"/>
      <c r="B11" s="626" t="s">
        <v>32</v>
      </c>
      <c r="C11" s="199"/>
      <c r="E11" s="193" t="s">
        <v>33</v>
      </c>
      <c r="F11" s="248">
        <v>0.2</v>
      </c>
      <c r="G11" s="248">
        <v>0.27500000000000002</v>
      </c>
      <c r="I11" s="190" t="s">
        <v>34</v>
      </c>
      <c r="J11" s="190"/>
      <c r="K11" s="247">
        <v>0</v>
      </c>
      <c r="L11" s="247">
        <v>0</v>
      </c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</row>
    <row r="12" spans="1:45" x14ac:dyDescent="0.2">
      <c r="B12" s="626"/>
      <c r="F12" s="422">
        <f>'Proforma Land+Home'!V148-'Proforma Land+Home'!U148</f>
        <v>-3349077.2826569825</v>
      </c>
      <c r="G12" s="422" t="str">
        <f ca="1">IFERROR('Proforma A+H'!W188-'Proforma A+H'!X188,"")</f>
        <v/>
      </c>
    </row>
    <row r="14" spans="1:45" x14ac:dyDescent="0.2">
      <c r="B14" s="191" t="s">
        <v>35</v>
      </c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</row>
    <row r="16" spans="1:45" x14ac:dyDescent="0.2">
      <c r="B16" s="243" t="s">
        <v>36</v>
      </c>
      <c r="C16" s="243"/>
      <c r="E16" s="243" t="s">
        <v>37</v>
      </c>
      <c r="F16" s="246"/>
      <c r="G16" s="246"/>
      <c r="H16" s="246"/>
      <c r="J16" s="243" t="s">
        <v>38</v>
      </c>
      <c r="K16" s="243"/>
      <c r="L16" s="246"/>
      <c r="M16" s="243"/>
    </row>
    <row r="17" spans="1:17" s="154" customFormat="1" x14ac:dyDescent="0.2">
      <c r="A17" s="304"/>
      <c r="B17" s="154" t="s">
        <v>39</v>
      </c>
      <c r="C17" s="154">
        <f>850*C18</f>
        <v>850</v>
      </c>
      <c r="F17" s="621" t="s">
        <v>40</v>
      </c>
      <c r="G17" s="621" t="s">
        <v>41</v>
      </c>
      <c r="H17" s="621" t="s">
        <v>42</v>
      </c>
      <c r="J17" s="154" t="s">
        <v>43</v>
      </c>
      <c r="M17" s="623">
        <v>1</v>
      </c>
    </row>
    <row r="18" spans="1:17" s="154" customFormat="1" x14ac:dyDescent="0.2">
      <c r="A18" s="304"/>
      <c r="B18" s="154" t="s">
        <v>44</v>
      </c>
      <c r="C18" s="623">
        <v>1</v>
      </c>
      <c r="E18" s="154" t="s">
        <v>45</v>
      </c>
      <c r="F18" s="211">
        <v>3500</v>
      </c>
      <c r="G18" s="211">
        <v>1750</v>
      </c>
      <c r="H18" s="622">
        <v>0.1</v>
      </c>
      <c r="J18" s="154" t="s">
        <v>46</v>
      </c>
      <c r="M18" s="623">
        <v>0.2</v>
      </c>
    </row>
    <row r="19" spans="1:17" s="154" customFormat="1" x14ac:dyDescent="0.2">
      <c r="A19" s="304"/>
      <c r="B19" s="154" t="s">
        <v>47</v>
      </c>
      <c r="C19" s="624">
        <v>4.4999999999999998E-2</v>
      </c>
      <c r="E19" s="154" t="s">
        <v>48</v>
      </c>
      <c r="F19" s="211">
        <v>4500</v>
      </c>
      <c r="G19" s="211">
        <v>1650</v>
      </c>
      <c r="H19" s="622">
        <v>7.4999999999999997E-2</v>
      </c>
      <c r="J19" s="154" t="s">
        <v>49</v>
      </c>
      <c r="M19" s="623">
        <v>0.3</v>
      </c>
    </row>
    <row r="20" spans="1:17" s="154" customFormat="1" x14ac:dyDescent="0.2">
      <c r="A20" s="304"/>
      <c r="B20" s="154" t="s">
        <v>50</v>
      </c>
      <c r="C20" s="625">
        <f>10000/39</f>
        <v>256.41025641025641</v>
      </c>
      <c r="E20" s="154" t="s">
        <v>51</v>
      </c>
      <c r="F20" s="211">
        <v>2500</v>
      </c>
      <c r="G20" s="211">
        <v>1850</v>
      </c>
      <c r="H20" s="622">
        <v>7.4999999999999997E-2</v>
      </c>
    </row>
    <row r="21" spans="1:17" s="154" customFormat="1" x14ac:dyDescent="0.2">
      <c r="A21" s="304"/>
    </row>
    <row r="22" spans="1:17" x14ac:dyDescent="0.2">
      <c r="C22" s="244"/>
      <c r="M22" s="438"/>
    </row>
    <row r="23" spans="1:17" x14ac:dyDescent="0.2">
      <c r="B23" s="191" t="s">
        <v>52</v>
      </c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</row>
    <row r="25" spans="1:17" x14ac:dyDescent="0.2">
      <c r="B25" s="314" t="s">
        <v>53</v>
      </c>
      <c r="C25" s="287"/>
      <c r="E25" s="314" t="s">
        <v>54</v>
      </c>
      <c r="F25" s="287"/>
      <c r="G25" s="287"/>
      <c r="H25" s="287"/>
      <c r="I25" s="287"/>
      <c r="K25" s="243" t="s">
        <v>55</v>
      </c>
      <c r="L25" s="243"/>
      <c r="M25" s="243"/>
      <c r="N25" s="243"/>
    </row>
    <row r="26" spans="1:17" x14ac:dyDescent="0.2">
      <c r="B26" s="281" t="s">
        <v>56</v>
      </c>
      <c r="C26" s="210">
        <v>46053</v>
      </c>
      <c r="F26" s="245" t="s">
        <v>57</v>
      </c>
      <c r="G26" s="245" t="s">
        <v>58</v>
      </c>
      <c r="H26" s="245" t="s">
        <v>51</v>
      </c>
      <c r="I26" s="245" t="s">
        <v>59</v>
      </c>
      <c r="K26" s="190" t="s">
        <v>44</v>
      </c>
      <c r="N26" s="247">
        <f>'Returns A+H'!L14</f>
        <v>1</v>
      </c>
    </row>
    <row r="27" spans="1:17" x14ac:dyDescent="0.2">
      <c r="B27" s="169" t="s">
        <v>60</v>
      </c>
      <c r="C27" s="199">
        <v>15000</v>
      </c>
      <c r="E27" s="281" t="s">
        <v>61</v>
      </c>
      <c r="F27" s="627">
        <v>20</v>
      </c>
      <c r="G27" s="627">
        <v>24</v>
      </c>
      <c r="H27" s="627">
        <v>24</v>
      </c>
      <c r="I27" s="627">
        <v>12</v>
      </c>
      <c r="K27" s="169" t="s">
        <v>50</v>
      </c>
      <c r="N27" s="244">
        <f>'Proforma Resi'!C269</f>
        <v>256</v>
      </c>
    </row>
    <row r="28" spans="1:17" x14ac:dyDescent="0.2">
      <c r="B28" s="193" t="s">
        <v>62</v>
      </c>
      <c r="C28" s="288">
        <v>0.03</v>
      </c>
      <c r="E28" s="281" t="s">
        <v>63</v>
      </c>
      <c r="F28" s="627">
        <v>500</v>
      </c>
      <c r="G28" s="627">
        <v>750</v>
      </c>
      <c r="H28" s="627">
        <v>1250</v>
      </c>
      <c r="I28" s="627">
        <v>625</v>
      </c>
    </row>
    <row r="29" spans="1:17" x14ac:dyDescent="0.2">
      <c r="B29" s="193" t="s">
        <v>64</v>
      </c>
      <c r="C29" s="207">
        <v>0</v>
      </c>
      <c r="E29" s="190" t="s">
        <v>65</v>
      </c>
      <c r="F29" s="628">
        <v>0</v>
      </c>
      <c r="G29" s="628">
        <v>2250</v>
      </c>
      <c r="H29" s="628">
        <v>2000</v>
      </c>
      <c r="I29" s="628">
        <v>0</v>
      </c>
    </row>
    <row r="30" spans="1:17" x14ac:dyDescent="0.2">
      <c r="B30" s="193" t="s">
        <v>66</v>
      </c>
      <c r="C30" s="201">
        <f>'Returns A+H'!L15</f>
        <v>7</v>
      </c>
      <c r="E30" s="281" t="s">
        <v>67</v>
      </c>
      <c r="F30" s="406">
        <v>1100</v>
      </c>
      <c r="G30" s="406">
        <v>1300</v>
      </c>
      <c r="H30" s="406">
        <v>3000</v>
      </c>
      <c r="I30" s="406">
        <v>750</v>
      </c>
    </row>
    <row r="31" spans="1:17" x14ac:dyDescent="0.2">
      <c r="B31" s="193" t="s">
        <v>68</v>
      </c>
      <c r="C31" s="288">
        <v>6.5000000000000002E-2</v>
      </c>
      <c r="E31" s="190" t="s">
        <v>69</v>
      </c>
      <c r="F31" s="159">
        <f>F28*F29</f>
        <v>0</v>
      </c>
      <c r="G31" s="159">
        <f>G28*G29</f>
        <v>1687500</v>
      </c>
      <c r="H31" s="159">
        <f>H28*H29</f>
        <v>2500000</v>
      </c>
      <c r="I31" s="159">
        <f>I28*I29</f>
        <v>0</v>
      </c>
    </row>
    <row r="32" spans="1:17" x14ac:dyDescent="0.2">
      <c r="B32" t="s">
        <v>70</v>
      </c>
      <c r="C32" s="312">
        <v>0.05</v>
      </c>
      <c r="D32" s="313"/>
      <c r="E32" s="190" t="s">
        <v>71</v>
      </c>
      <c r="F32" s="629">
        <v>0.05</v>
      </c>
      <c r="G32" s="629">
        <v>0.05</v>
      </c>
      <c r="H32" s="629">
        <v>0.05</v>
      </c>
      <c r="I32" s="629">
        <v>0.05</v>
      </c>
    </row>
    <row r="33" spans="2:79" x14ac:dyDescent="0.2">
      <c r="B33" s="281" t="s">
        <v>72</v>
      </c>
      <c r="C33" s="217">
        <v>132</v>
      </c>
      <c r="D33" s="313"/>
      <c r="E33" s="190" t="s">
        <v>73</v>
      </c>
      <c r="F33" s="629">
        <v>0</v>
      </c>
      <c r="G33" s="629">
        <v>0.5</v>
      </c>
      <c r="H33" s="629">
        <v>1</v>
      </c>
      <c r="I33" s="629">
        <v>0</v>
      </c>
    </row>
    <row r="34" spans="2:79" x14ac:dyDescent="0.2">
      <c r="B34" s="281" t="s">
        <v>74</v>
      </c>
      <c r="C34" s="384">
        <v>0.03</v>
      </c>
      <c r="D34" s="313"/>
      <c r="F34" s="470"/>
      <c r="G34" s="247"/>
      <c r="BJ34" s="154"/>
      <c r="BK34" s="154"/>
      <c r="BL34" s="154"/>
      <c r="BM34" s="154"/>
      <c r="BN34" s="154"/>
      <c r="BO34" s="154"/>
      <c r="BP34" s="154"/>
      <c r="BQ34" s="154"/>
      <c r="BR34" s="154"/>
      <c r="BS34" s="154"/>
      <c r="BT34" s="154"/>
      <c r="BU34" s="154"/>
      <c r="BV34" s="154"/>
      <c r="BW34" s="154"/>
      <c r="BX34" s="154"/>
      <c r="BY34" s="154"/>
      <c r="BZ34" s="154"/>
      <c r="CA34" s="154"/>
    </row>
    <row r="35" spans="2:79" x14ac:dyDescent="0.2">
      <c r="B35" s="281" t="s">
        <v>75</v>
      </c>
      <c r="C35" s="211">
        <v>365</v>
      </c>
      <c r="D35" s="313"/>
      <c r="F35" s="247"/>
      <c r="G35" s="247"/>
      <c r="H35" s="676"/>
      <c r="BJ35" s="214"/>
      <c r="BK35" s="214"/>
      <c r="BL35" s="214"/>
      <c r="BM35" s="214"/>
      <c r="BN35" s="214"/>
      <c r="BO35" s="214"/>
      <c r="BP35" s="214"/>
      <c r="BQ35" s="214"/>
      <c r="BR35" s="214"/>
      <c r="BS35" s="214"/>
      <c r="BT35" s="214"/>
      <c r="BU35" s="214"/>
      <c r="BV35" s="214"/>
      <c r="BW35" s="214"/>
      <c r="BX35" s="214"/>
      <c r="BY35" s="214"/>
      <c r="BZ35" s="214"/>
      <c r="CA35" s="214"/>
    </row>
    <row r="36" spans="2:79" x14ac:dyDescent="0.2">
      <c r="B36" s="281" t="s">
        <v>76</v>
      </c>
      <c r="C36" s="212">
        <f>35%-F33*15%</f>
        <v>0.35</v>
      </c>
      <c r="D36" s="313"/>
      <c r="F36" s="247"/>
      <c r="G36" s="247"/>
      <c r="BJ36" s="214"/>
      <c r="BK36" s="214"/>
      <c r="BL36" s="213"/>
      <c r="BM36" s="213"/>
      <c r="BN36" s="213"/>
      <c r="BO36" s="213"/>
      <c r="BP36" s="213"/>
      <c r="BQ36" s="213"/>
      <c r="BR36" s="213"/>
      <c r="BS36" s="213"/>
      <c r="BT36" s="213"/>
      <c r="BU36" s="213"/>
      <c r="BV36" s="213"/>
      <c r="BW36" s="213"/>
      <c r="BX36" s="213"/>
      <c r="BY36" s="213"/>
      <c r="BZ36" s="213"/>
      <c r="CA36" s="213"/>
    </row>
    <row r="37" spans="2:79" x14ac:dyDescent="0.2">
      <c r="B37" s="281" t="s">
        <v>77</v>
      </c>
      <c r="C37" s="384">
        <v>0.5</v>
      </c>
      <c r="D37" s="313"/>
      <c r="F37" s="247"/>
      <c r="G37" s="247"/>
      <c r="BJ37" s="213"/>
      <c r="BK37" s="213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59"/>
      <c r="BY37" s="159"/>
      <c r="BZ37" s="159"/>
      <c r="CA37" s="159"/>
    </row>
    <row r="38" spans="2:79" x14ac:dyDescent="0.2">
      <c r="B38" s="281"/>
      <c r="C38" s="217"/>
      <c r="D38" s="313"/>
      <c r="E38" s="155"/>
      <c r="F38" s="385">
        <v>1</v>
      </c>
      <c r="G38" s="385">
        <v>2</v>
      </c>
      <c r="H38" s="385">
        <v>3</v>
      </c>
      <c r="I38" s="385">
        <v>4</v>
      </c>
      <c r="J38" s="385">
        <v>5</v>
      </c>
      <c r="K38" s="385">
        <v>6</v>
      </c>
      <c r="L38" s="385">
        <v>7</v>
      </c>
      <c r="M38" s="385">
        <v>8</v>
      </c>
      <c r="N38" s="385">
        <v>9</v>
      </c>
      <c r="O38" s="385">
        <v>10</v>
      </c>
      <c r="P38" s="385">
        <v>11</v>
      </c>
      <c r="Q38" s="385">
        <v>12</v>
      </c>
      <c r="BJ38" s="159"/>
      <c r="BK38" s="159"/>
      <c r="BL38" s="159"/>
      <c r="BM38" s="159"/>
      <c r="BN38" s="159"/>
      <c r="BO38" s="159"/>
      <c r="BP38" s="159"/>
      <c r="BQ38" s="159"/>
      <c r="BR38" s="159"/>
      <c r="BS38" s="159"/>
      <c r="BT38" s="159"/>
      <c r="BU38" s="159"/>
      <c r="BV38" s="159"/>
      <c r="BW38" s="159"/>
      <c r="BX38" s="159"/>
      <c r="BY38" s="159"/>
      <c r="BZ38" s="159"/>
      <c r="CA38" s="159"/>
    </row>
    <row r="39" spans="2:79" x14ac:dyDescent="0.2">
      <c r="B39" s="282" t="s">
        <v>78</v>
      </c>
      <c r="C39" s="209"/>
      <c r="D39" s="313"/>
      <c r="F39" s="387">
        <v>44562</v>
      </c>
      <c r="G39" s="387">
        <f t="shared" ref="G39:O39" si="2">F39+31</f>
        <v>44593</v>
      </c>
      <c r="H39" s="387">
        <f t="shared" si="2"/>
        <v>44624</v>
      </c>
      <c r="I39" s="387">
        <f t="shared" si="2"/>
        <v>44655</v>
      </c>
      <c r="J39" s="387">
        <f t="shared" si="2"/>
        <v>44686</v>
      </c>
      <c r="K39" s="387">
        <f t="shared" si="2"/>
        <v>44717</v>
      </c>
      <c r="L39" s="387">
        <f t="shared" si="2"/>
        <v>44748</v>
      </c>
      <c r="M39" s="387">
        <f t="shared" si="2"/>
        <v>44779</v>
      </c>
      <c r="N39" s="387">
        <f t="shared" si="2"/>
        <v>44810</v>
      </c>
      <c r="O39" s="387">
        <f t="shared" si="2"/>
        <v>44841</v>
      </c>
      <c r="P39" s="387">
        <f>O39+31</f>
        <v>44872</v>
      </c>
      <c r="Q39" s="387">
        <f>P39+31</f>
        <v>44903</v>
      </c>
      <c r="R39" s="386" t="s">
        <v>79</v>
      </c>
      <c r="BJ39" s="159"/>
      <c r="BK39" s="159"/>
      <c r="BL39" s="159"/>
      <c r="BM39" s="159"/>
      <c r="BN39" s="159"/>
      <c r="BO39" s="159"/>
      <c r="BP39" s="159"/>
      <c r="BQ39" s="159"/>
      <c r="BR39" s="159"/>
      <c r="BS39" s="159"/>
      <c r="BT39" s="159"/>
      <c r="BU39" s="159"/>
      <c r="BV39" s="159"/>
      <c r="BW39" s="159"/>
      <c r="BX39" s="159"/>
      <c r="BY39" s="159"/>
      <c r="BZ39" s="159"/>
      <c r="CA39" s="159"/>
    </row>
    <row r="40" spans="2:79" x14ac:dyDescent="0.2">
      <c r="B40" s="281" t="s">
        <v>56</v>
      </c>
      <c r="C40" s="210">
        <v>46753</v>
      </c>
      <c r="D40" s="313"/>
      <c r="E40" s="156" t="s">
        <v>80</v>
      </c>
      <c r="F40" s="204">
        <v>0.75</v>
      </c>
      <c r="G40" s="204">
        <v>0.75</v>
      </c>
      <c r="H40" s="204">
        <v>0.65</v>
      </c>
      <c r="I40" s="204">
        <v>0.25</v>
      </c>
      <c r="J40" s="204">
        <v>0.15</v>
      </c>
      <c r="K40" s="204">
        <v>0.45</v>
      </c>
      <c r="L40" s="204">
        <v>0.65</v>
      </c>
      <c r="M40" s="204">
        <v>0.55000000000000004</v>
      </c>
      <c r="N40" s="204">
        <v>0.45</v>
      </c>
      <c r="O40" s="204">
        <v>0.1</v>
      </c>
      <c r="P40" s="204">
        <v>0.1</v>
      </c>
      <c r="Q40" s="204">
        <v>0.55000000000000004</v>
      </c>
      <c r="R40" s="256">
        <f>AVERAGE(F40:Q40)</f>
        <v>0.44999999999999996</v>
      </c>
      <c r="BJ40" s="159"/>
      <c r="BK40" s="159"/>
      <c r="BL40" s="154"/>
      <c r="BM40" s="154"/>
      <c r="BN40" s="154"/>
      <c r="BO40" s="154"/>
      <c r="BP40" s="154"/>
      <c r="BQ40" s="154"/>
      <c r="BR40" s="154"/>
      <c r="BS40" s="154"/>
      <c r="BT40" s="154"/>
      <c r="BU40" s="154"/>
      <c r="BV40" s="154"/>
      <c r="BW40" s="154"/>
      <c r="BX40" s="154"/>
      <c r="BY40" s="154"/>
      <c r="BZ40" s="154"/>
      <c r="CA40" s="154"/>
    </row>
    <row r="41" spans="2:79" x14ac:dyDescent="0.2">
      <c r="B41" s="281" t="s">
        <v>81</v>
      </c>
      <c r="C41" s="211">
        <f>(F27+G27)*C35</f>
        <v>16060</v>
      </c>
      <c r="D41" s="313"/>
      <c r="E41" s="156" t="s">
        <v>82</v>
      </c>
      <c r="F41" s="204">
        <v>0.25</v>
      </c>
      <c r="G41" s="204">
        <v>0.25</v>
      </c>
      <c r="H41" s="204">
        <v>0.25</v>
      </c>
      <c r="I41" s="204">
        <v>0.5</v>
      </c>
      <c r="J41" s="204">
        <v>0.75</v>
      </c>
      <c r="K41" s="204">
        <v>1</v>
      </c>
      <c r="L41" s="204">
        <v>1</v>
      </c>
      <c r="M41" s="204">
        <v>1</v>
      </c>
      <c r="N41" s="204">
        <v>0.75</v>
      </c>
      <c r="O41" s="204">
        <v>0.5</v>
      </c>
      <c r="P41" s="204">
        <v>0.25</v>
      </c>
      <c r="Q41" s="204">
        <v>0.25</v>
      </c>
      <c r="R41" s="256">
        <f>AVERAGE(F41:Q41)</f>
        <v>0.5625</v>
      </c>
      <c r="BJ41" s="154"/>
      <c r="BK41" s="154"/>
    </row>
    <row r="42" spans="2:79" x14ac:dyDescent="0.2">
      <c r="B42" s="281" t="s">
        <v>83</v>
      </c>
      <c r="C42" s="211">
        <f>C41*R40</f>
        <v>7226.9999999999991</v>
      </c>
      <c r="D42" s="313"/>
      <c r="E42" s="476" t="s">
        <v>84</v>
      </c>
      <c r="F42" s="477">
        <f>IF(OR(F38&lt;MONTH($C$63),F38&gt;$C$64),0,F41)</f>
        <v>0.25</v>
      </c>
      <c r="G42" s="477">
        <f t="shared" ref="G42:O42" si="3">IF(OR(G38&lt;MONTH($C$63),G38&gt;$C$64),0,G41)</f>
        <v>0.25</v>
      </c>
      <c r="H42" s="477">
        <f t="shared" si="3"/>
        <v>0.25</v>
      </c>
      <c r="I42" s="477">
        <f t="shared" si="3"/>
        <v>0.5</v>
      </c>
      <c r="J42" s="477">
        <f t="shared" si="3"/>
        <v>0.75</v>
      </c>
      <c r="K42" s="477">
        <f t="shared" si="3"/>
        <v>1</v>
      </c>
      <c r="L42" s="477">
        <f t="shared" si="3"/>
        <v>1</v>
      </c>
      <c r="M42" s="477">
        <f t="shared" si="3"/>
        <v>1</v>
      </c>
      <c r="N42" s="477">
        <f t="shared" si="3"/>
        <v>0.75</v>
      </c>
      <c r="O42" s="477">
        <f t="shared" si="3"/>
        <v>0.5</v>
      </c>
      <c r="P42" s="477">
        <f>IF(OR(P38&lt;MONTH($C$63),P38&gt;$C$64),0,P41)</f>
        <v>0.25</v>
      </c>
      <c r="Q42" s="477">
        <f>IF(OR(Q38&lt;MONTH($C$63),Q38&gt;$C$64),0,Q41)</f>
        <v>0.25</v>
      </c>
      <c r="R42" s="478">
        <f>AVERAGE(F42:Q42)</f>
        <v>0.5625</v>
      </c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54"/>
      <c r="BF42" s="154"/>
      <c r="BG42" s="154"/>
      <c r="BH42" s="154"/>
    </row>
    <row r="43" spans="2:79" x14ac:dyDescent="0.2">
      <c r="B43" s="281" t="s">
        <v>85</v>
      </c>
      <c r="C43" s="212">
        <v>0.2</v>
      </c>
      <c r="D43" s="313"/>
      <c r="E43" s="255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AO43" s="214"/>
      <c r="AP43" s="154"/>
      <c r="AQ43" s="154"/>
      <c r="AR43" s="154"/>
      <c r="AS43" s="214"/>
      <c r="AT43" s="214"/>
      <c r="AU43" s="214"/>
      <c r="AV43" s="214"/>
      <c r="AW43" s="214"/>
      <c r="AX43" s="214"/>
      <c r="AY43" s="214"/>
      <c r="AZ43" s="214"/>
      <c r="BA43" s="214"/>
      <c r="BB43" s="214"/>
      <c r="BC43" s="214"/>
      <c r="BD43" s="214"/>
      <c r="BE43" s="214"/>
      <c r="BF43" s="214"/>
      <c r="BG43" s="214"/>
      <c r="BH43" s="214"/>
    </row>
    <row r="44" spans="2:79" x14ac:dyDescent="0.2">
      <c r="B44" s="281" t="s">
        <v>86</v>
      </c>
      <c r="C44" s="212">
        <v>0.75</v>
      </c>
      <c r="D44" s="313"/>
      <c r="E44" s="313"/>
      <c r="F44" s="253">
        <v>0</v>
      </c>
      <c r="G44" s="253">
        <f>F44+1</f>
        <v>1</v>
      </c>
      <c r="H44" s="253">
        <f t="shared" ref="H44:O44" si="4">G44+1</f>
        <v>2</v>
      </c>
      <c r="I44" s="253">
        <f t="shared" si="4"/>
        <v>3</v>
      </c>
      <c r="J44" s="253">
        <f t="shared" si="4"/>
        <v>4</v>
      </c>
      <c r="K44" s="253">
        <f t="shared" si="4"/>
        <v>5</v>
      </c>
      <c r="L44" s="253">
        <f t="shared" si="4"/>
        <v>6</v>
      </c>
      <c r="M44" s="253">
        <f t="shared" si="4"/>
        <v>7</v>
      </c>
      <c r="N44" s="253">
        <f t="shared" si="4"/>
        <v>8</v>
      </c>
      <c r="O44" s="253">
        <f t="shared" si="4"/>
        <v>9</v>
      </c>
      <c r="P44" s="313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</row>
    <row r="45" spans="2:79" x14ac:dyDescent="0.2">
      <c r="D45" s="313"/>
      <c r="E45" s="253"/>
      <c r="F45" s="388">
        <f>YEAR(C5)+1</f>
        <v>2025</v>
      </c>
      <c r="G45" s="388">
        <f>F45+1</f>
        <v>2026</v>
      </c>
      <c r="H45" s="388">
        <f t="shared" ref="H45:O45" si="5">G45+1</f>
        <v>2027</v>
      </c>
      <c r="I45" s="388">
        <f t="shared" si="5"/>
        <v>2028</v>
      </c>
      <c r="J45" s="388">
        <f t="shared" si="5"/>
        <v>2029</v>
      </c>
      <c r="K45" s="388">
        <f t="shared" si="5"/>
        <v>2030</v>
      </c>
      <c r="L45" s="388">
        <f t="shared" si="5"/>
        <v>2031</v>
      </c>
      <c r="M45" s="388">
        <f t="shared" si="5"/>
        <v>2032</v>
      </c>
      <c r="N45" s="388">
        <f t="shared" si="5"/>
        <v>2033</v>
      </c>
      <c r="O45" s="388">
        <f t="shared" si="5"/>
        <v>2034</v>
      </c>
      <c r="P45" s="455" t="s">
        <v>87</v>
      </c>
      <c r="Q45" s="455" t="s">
        <v>88</v>
      </c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214"/>
      <c r="AM45" s="214"/>
      <c r="AN45" s="214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59"/>
    </row>
    <row r="46" spans="2:79" x14ac:dyDescent="0.2">
      <c r="B46" s="282" t="s">
        <v>89</v>
      </c>
      <c r="C46" s="209"/>
      <c r="D46" s="313"/>
      <c r="E46" s="156" t="s">
        <v>90</v>
      </c>
      <c r="F46" s="159">
        <f>Assumptions!$C$60</f>
        <v>25000</v>
      </c>
      <c r="G46" s="159">
        <f>F46*(1+$C$61)</f>
        <v>25750</v>
      </c>
      <c r="H46" s="159">
        <f t="shared" ref="H46:O46" si="6">G46*(1+$C$61)</f>
        <v>26522.5</v>
      </c>
      <c r="I46" s="159">
        <f t="shared" si="6"/>
        <v>27318.174999999999</v>
      </c>
      <c r="J46" s="159">
        <f t="shared" si="6"/>
        <v>28137.720249999998</v>
      </c>
      <c r="K46" s="159">
        <f t="shared" si="6"/>
        <v>28981.851857499998</v>
      </c>
      <c r="L46" s="159">
        <f t="shared" si="6"/>
        <v>29851.307413225</v>
      </c>
      <c r="M46" s="159">
        <f t="shared" si="6"/>
        <v>30746.84663562175</v>
      </c>
      <c r="N46" s="159">
        <f t="shared" si="6"/>
        <v>31669.252034690402</v>
      </c>
      <c r="O46" s="159">
        <f t="shared" si="6"/>
        <v>32619.329595731117</v>
      </c>
      <c r="P46" s="211"/>
      <c r="Q46" s="211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P46" s="159"/>
      <c r="AQ46" s="159"/>
      <c r="AR46" s="159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</row>
    <row r="47" spans="2:79" x14ac:dyDescent="0.2">
      <c r="B47" s="281" t="s">
        <v>56</v>
      </c>
      <c r="C47" s="210">
        <v>46753</v>
      </c>
      <c r="D47" s="313"/>
      <c r="E47" s="156" t="s">
        <v>91</v>
      </c>
      <c r="F47" s="159">
        <f>Assumptions!$F$30</f>
        <v>1100</v>
      </c>
      <c r="G47" s="159">
        <f>F47*(1+$C$34)</f>
        <v>1133</v>
      </c>
      <c r="H47" s="159">
        <f t="shared" ref="H47:O49" si="7">G47*(1+$C$34)</f>
        <v>1166.99</v>
      </c>
      <c r="I47" s="159">
        <f t="shared" si="7"/>
        <v>1201.9997000000001</v>
      </c>
      <c r="J47" s="159">
        <f t="shared" si="7"/>
        <v>1238.0596910000002</v>
      </c>
      <c r="K47" s="159">
        <f t="shared" si="7"/>
        <v>1275.2014817300003</v>
      </c>
      <c r="L47" s="159">
        <f t="shared" si="7"/>
        <v>1313.4575261819004</v>
      </c>
      <c r="M47" s="159">
        <f t="shared" si="7"/>
        <v>1352.8612519673575</v>
      </c>
      <c r="N47" s="159">
        <f t="shared" si="7"/>
        <v>1393.4470895263782</v>
      </c>
      <c r="O47" s="159">
        <f t="shared" si="7"/>
        <v>1435.2505022121695</v>
      </c>
      <c r="P47" s="211">
        <f>F27</f>
        <v>20</v>
      </c>
      <c r="Q47" s="211">
        <f>P47*F33</f>
        <v>0</v>
      </c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</row>
    <row r="48" spans="2:79" x14ac:dyDescent="0.2">
      <c r="B48" s="281" t="s">
        <v>81</v>
      </c>
      <c r="C48" s="211">
        <f>(F27+G27)*C35</f>
        <v>16060</v>
      </c>
      <c r="D48" s="313"/>
      <c r="E48" s="156" t="s">
        <v>92</v>
      </c>
      <c r="F48" s="159">
        <f>Assumptions!$G$30</f>
        <v>1300</v>
      </c>
      <c r="G48" s="159">
        <f>F48*(1+$C$34)</f>
        <v>1339</v>
      </c>
      <c r="H48" s="159">
        <f t="shared" si="7"/>
        <v>1379.17</v>
      </c>
      <c r="I48" s="159">
        <f t="shared" si="7"/>
        <v>1420.5451</v>
      </c>
      <c r="J48" s="159">
        <f t="shared" si="7"/>
        <v>1463.1614530000002</v>
      </c>
      <c r="K48" s="159">
        <f t="shared" si="7"/>
        <v>1507.0562965900001</v>
      </c>
      <c r="L48" s="159">
        <f t="shared" si="7"/>
        <v>1552.2679854877001</v>
      </c>
      <c r="M48" s="159">
        <f t="shared" si="7"/>
        <v>1598.8360250523313</v>
      </c>
      <c r="N48" s="159">
        <f t="shared" si="7"/>
        <v>1646.8011058039012</v>
      </c>
      <c r="O48" s="159">
        <f t="shared" si="7"/>
        <v>1696.2051389780183</v>
      </c>
      <c r="P48" s="456">
        <f>G27</f>
        <v>24</v>
      </c>
      <c r="Q48" s="240">
        <f>P48*G33</f>
        <v>12</v>
      </c>
      <c r="AO48" s="154"/>
      <c r="AP48" s="154"/>
      <c r="AQ48" s="154"/>
      <c r="AR48" s="154"/>
    </row>
    <row r="49" spans="2:40" x14ac:dyDescent="0.2">
      <c r="B49" s="281" t="s">
        <v>83</v>
      </c>
      <c r="C49" s="211">
        <f>C48*R40</f>
        <v>7226.9999999999991</v>
      </c>
      <c r="D49" s="313"/>
      <c r="E49" s="156" t="s">
        <v>93</v>
      </c>
      <c r="F49" s="159">
        <f>Assumptions!$H$30</f>
        <v>3000</v>
      </c>
      <c r="G49" s="159">
        <f>F49*(1+$C$34)</f>
        <v>3090</v>
      </c>
      <c r="H49" s="159">
        <f t="shared" si="7"/>
        <v>3182.7000000000003</v>
      </c>
      <c r="I49" s="159">
        <f t="shared" si="7"/>
        <v>3278.1810000000005</v>
      </c>
      <c r="J49" s="159">
        <f t="shared" si="7"/>
        <v>3376.5264300000008</v>
      </c>
      <c r="K49" s="159">
        <f t="shared" si="7"/>
        <v>3477.8222229000007</v>
      </c>
      <c r="L49" s="159">
        <f t="shared" si="7"/>
        <v>3582.1568895870009</v>
      </c>
      <c r="M49" s="159">
        <f t="shared" si="7"/>
        <v>3689.621596274611</v>
      </c>
      <c r="N49" s="159">
        <f t="shared" si="7"/>
        <v>3800.3102441628494</v>
      </c>
      <c r="O49" s="159">
        <f t="shared" si="7"/>
        <v>3914.3195514877348</v>
      </c>
      <c r="P49" s="240">
        <f>H27</f>
        <v>24</v>
      </c>
      <c r="Q49" s="240">
        <f>P49*H33</f>
        <v>24</v>
      </c>
    </row>
    <row r="50" spans="2:40" x14ac:dyDescent="0.2">
      <c r="B50" s="190" t="s">
        <v>94</v>
      </c>
      <c r="C50" s="247">
        <v>0.05</v>
      </c>
      <c r="E50" s="674" t="s">
        <v>95</v>
      </c>
      <c r="F50" s="286">
        <f>I30</f>
        <v>750</v>
      </c>
      <c r="G50" s="286">
        <f>F50*(1+$C$34)</f>
        <v>772.5</v>
      </c>
      <c r="H50" s="286">
        <f t="shared" ref="H50:O50" si="8">G50*(1+$C$34)</f>
        <v>795.67500000000007</v>
      </c>
      <c r="I50" s="286">
        <f t="shared" si="8"/>
        <v>819.54525000000012</v>
      </c>
      <c r="J50" s="286">
        <f t="shared" si="8"/>
        <v>844.1316075000002</v>
      </c>
      <c r="K50" s="286">
        <f t="shared" si="8"/>
        <v>869.45555572500018</v>
      </c>
      <c r="L50" s="286">
        <f t="shared" si="8"/>
        <v>895.53922239675023</v>
      </c>
      <c r="M50" s="286">
        <f t="shared" si="8"/>
        <v>922.40539906865274</v>
      </c>
      <c r="N50" s="286">
        <f t="shared" si="8"/>
        <v>950.07756104071234</v>
      </c>
      <c r="O50" s="286">
        <f t="shared" si="8"/>
        <v>978.57988787193369</v>
      </c>
      <c r="P50" s="675">
        <f>I27</f>
        <v>12</v>
      </c>
      <c r="Q50" s="675">
        <f>P50*I33</f>
        <v>0</v>
      </c>
    </row>
    <row r="51" spans="2:40" x14ac:dyDescent="0.2">
      <c r="C51" s="247"/>
      <c r="E51" s="156" t="s">
        <v>96</v>
      </c>
      <c r="F51" s="159">
        <f t="shared" ref="F51:O51" si="9">SUMPRODUCT(F47:F50,$P$47:$P$50,F56:F59)</f>
        <v>0</v>
      </c>
      <c r="G51" s="159">
        <f t="shared" si="9"/>
        <v>0</v>
      </c>
      <c r="H51" s="159">
        <f t="shared" si="9"/>
        <v>9548.1</v>
      </c>
      <c r="I51" s="159">
        <f t="shared" si="9"/>
        <v>18357.813600000001</v>
      </c>
      <c r="J51" s="159">
        <f t="shared" si="9"/>
        <v>72707.869126000005</v>
      </c>
      <c r="K51" s="159">
        <f t="shared" si="9"/>
        <v>104798.37631672002</v>
      </c>
      <c r="L51" s="159">
        <f t="shared" si="9"/>
        <v>138748.87685666984</v>
      </c>
      <c r="M51" s="159">
        <f t="shared" si="9"/>
        <v>165049.07274001761</v>
      </c>
      <c r="N51" s="159">
        <f t="shared" si="9"/>
        <v>170000.54492221813</v>
      </c>
      <c r="O51" s="159">
        <f t="shared" si="9"/>
        <v>175100.56126988467</v>
      </c>
      <c r="P51" s="211">
        <f>SUM(P47:P50)</f>
        <v>80</v>
      </c>
      <c r="Q51" s="211">
        <f>SUM(Q47:Q50)</f>
        <v>36</v>
      </c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</row>
    <row r="52" spans="2:40" x14ac:dyDescent="0.2">
      <c r="B52" s="190" t="s">
        <v>97</v>
      </c>
      <c r="C52" s="247">
        <v>0.25</v>
      </c>
      <c r="E52" s="156" t="s">
        <v>98</v>
      </c>
      <c r="F52" s="159">
        <f>F48*$P48*F57</f>
        <v>0</v>
      </c>
      <c r="G52" s="159">
        <f t="shared" ref="G52:O52" si="10">G48*$P48*G57</f>
        <v>0</v>
      </c>
      <c r="H52" s="159">
        <f t="shared" si="10"/>
        <v>0</v>
      </c>
      <c r="I52" s="159">
        <f t="shared" si="10"/>
        <v>8523.2705999999998</v>
      </c>
      <c r="J52" s="159">
        <f t="shared" si="10"/>
        <v>17557.937436</v>
      </c>
      <c r="K52" s="159">
        <f t="shared" si="10"/>
        <v>27127.013338620003</v>
      </c>
      <c r="L52" s="159">
        <f t="shared" si="10"/>
        <v>37254.431651704799</v>
      </c>
      <c r="M52" s="159">
        <f t="shared" si="10"/>
        <v>38372.064601255952</v>
      </c>
      <c r="N52" s="159">
        <f t="shared" si="10"/>
        <v>39523.226539293632</v>
      </c>
      <c r="O52" s="159">
        <f t="shared" si="10"/>
        <v>40708.923335472442</v>
      </c>
      <c r="P52" s="313"/>
    </row>
    <row r="53" spans="2:40" x14ac:dyDescent="0.2">
      <c r="B53" s="281"/>
      <c r="C53" s="154"/>
      <c r="E53" s="156" t="s">
        <v>99</v>
      </c>
      <c r="F53" s="159">
        <f>F49*$P49*F58</f>
        <v>0</v>
      </c>
      <c r="G53" s="159">
        <f t="shared" ref="G53:O53" si="11">G49*$P49*G58</f>
        <v>0</v>
      </c>
      <c r="H53" s="159">
        <f t="shared" si="11"/>
        <v>0</v>
      </c>
      <c r="I53" s="159">
        <f t="shared" si="11"/>
        <v>0</v>
      </c>
      <c r="J53" s="159">
        <f t="shared" si="11"/>
        <v>20259.158580000003</v>
      </c>
      <c r="K53" s="159">
        <f t="shared" si="11"/>
        <v>41733.866674800011</v>
      </c>
      <c r="L53" s="159">
        <f t="shared" si="11"/>
        <v>64478.824012566023</v>
      </c>
      <c r="M53" s="159">
        <f t="shared" si="11"/>
        <v>88550.91831059067</v>
      </c>
      <c r="N53" s="159">
        <f t="shared" si="11"/>
        <v>91207.445859908388</v>
      </c>
      <c r="O53" s="159">
        <f t="shared" si="11"/>
        <v>93943.669235705631</v>
      </c>
      <c r="P53" s="313"/>
    </row>
    <row r="54" spans="2:40" x14ac:dyDescent="0.2">
      <c r="B54" s="282" t="s">
        <v>100</v>
      </c>
      <c r="C54" s="209"/>
      <c r="E54" s="156"/>
      <c r="F54" s="457"/>
      <c r="G54" s="457"/>
      <c r="H54" s="457"/>
      <c r="I54" s="457"/>
      <c r="J54" s="457"/>
      <c r="K54" s="457"/>
      <c r="L54" s="457"/>
      <c r="M54" s="457"/>
      <c r="N54" s="457"/>
      <c r="O54" s="457"/>
      <c r="P54" s="313"/>
      <c r="Q54" s="313"/>
    </row>
    <row r="55" spans="2:40" x14ac:dyDescent="0.2">
      <c r="B55" s="281" t="s">
        <v>56</v>
      </c>
      <c r="C55" s="210">
        <v>46753</v>
      </c>
      <c r="E55" s="694" t="s">
        <v>101</v>
      </c>
      <c r="F55" s="469"/>
      <c r="H55" s="313"/>
      <c r="I55" s="313"/>
      <c r="J55" s="313"/>
      <c r="K55" s="313"/>
      <c r="L55" s="313"/>
      <c r="M55" s="313"/>
      <c r="N55" s="313"/>
      <c r="O55" s="313"/>
      <c r="P55" s="313"/>
      <c r="Q55" s="313"/>
    </row>
    <row r="56" spans="2:40" x14ac:dyDescent="0.2">
      <c r="B56" s="281" t="s">
        <v>81</v>
      </c>
      <c r="C56" s="211">
        <f>(F27+G27)*C35</f>
        <v>16060</v>
      </c>
      <c r="E56" s="430" t="s">
        <v>57</v>
      </c>
      <c r="F56" s="695">
        <v>0</v>
      </c>
      <c r="G56" s="695" cm="1">
        <f t="array" ref="G56">SUM('Proforma A+H'!$G6:G6/'Proforma A+H'!$T6)</f>
        <v>0</v>
      </c>
      <c r="H56" s="695" cm="1">
        <f t="array" ref="H56">SUM('Proforma A+H'!$G6:H6/'Proforma A+H'!$T6)</f>
        <v>0</v>
      </c>
      <c r="I56" s="696">
        <v>0</v>
      </c>
      <c r="J56" s="695" cm="1">
        <f t="array" ref="J56">SUM('Proforma A+H'!$G6:J6/'Proforma A+H'!$T6)</f>
        <v>1</v>
      </c>
      <c r="K56" s="695" cm="1">
        <f t="array" ref="K56">SUM('Proforma A+H'!$G6:K6/'Proforma A+H'!$T6)</f>
        <v>1</v>
      </c>
      <c r="L56" s="695" cm="1">
        <f t="array" ref="L56">SUM('Proforma A+H'!$G6:L6/'Proforma A+H'!$T6)</f>
        <v>1</v>
      </c>
      <c r="M56" s="695" cm="1">
        <f t="array" ref="M56">SUM('Proforma A+H'!$G6:M6/'Proforma A+H'!$T6)</f>
        <v>1</v>
      </c>
      <c r="N56" s="695" cm="1">
        <f t="array" ref="N56">SUM('Proforma A+H'!$G6:N6/'Proforma A+H'!$T6)</f>
        <v>1</v>
      </c>
      <c r="O56" s="695" cm="1">
        <f t="array" ref="O56">SUM('Proforma A+H'!$G6:O6/'Proforma A+H'!$T6)</f>
        <v>1</v>
      </c>
      <c r="P56" s="313"/>
      <c r="Q56" s="313"/>
    </row>
    <row r="57" spans="2:40" x14ac:dyDescent="0.2">
      <c r="B57" s="281" t="s">
        <v>83</v>
      </c>
      <c r="C57" s="211">
        <f>C56*R40</f>
        <v>7226.9999999999991</v>
      </c>
      <c r="E57" s="430" t="s">
        <v>58</v>
      </c>
      <c r="F57" s="695">
        <v>0</v>
      </c>
      <c r="G57" s="695" cm="1">
        <f t="array" ref="G57">SUM('Proforma A+H'!$G7:G7/'Proforma A+H'!$T7)</f>
        <v>0</v>
      </c>
      <c r="H57" s="695" cm="1">
        <f t="array" ref="H57">SUM('Proforma A+H'!$G7:H7/'Proforma A+H'!$T7)</f>
        <v>0</v>
      </c>
      <c r="I57" s="695" cm="1">
        <f t="array" ref="I57">SUM('Proforma A+H'!$G7:I7/'Proforma A+H'!$T7)</f>
        <v>0.25</v>
      </c>
      <c r="J57" s="695" cm="1">
        <f t="array" ref="J57">SUM('Proforma A+H'!$G7:J7/'Proforma A+H'!$T7)</f>
        <v>0.5</v>
      </c>
      <c r="K57" s="695" cm="1">
        <f t="array" ref="K57">SUM('Proforma A+H'!$G7:K7/'Proforma A+H'!$T7)</f>
        <v>0.75</v>
      </c>
      <c r="L57" s="695" cm="1">
        <f t="array" ref="L57">SUM('Proforma A+H'!$G7:L7/'Proforma A+H'!$T7)</f>
        <v>1</v>
      </c>
      <c r="M57" s="695" cm="1">
        <f t="array" ref="M57">SUM('Proforma A+H'!$G7:M7/'Proforma A+H'!$T7)</f>
        <v>1</v>
      </c>
      <c r="N57" s="695" cm="1">
        <f t="array" ref="N57">SUM('Proforma A+H'!$G7:N7/'Proforma A+H'!$T7)</f>
        <v>1</v>
      </c>
      <c r="O57" s="695" cm="1">
        <f t="array" ref="O57">SUM('Proforma A+H'!$G7:O7/'Proforma A+H'!$T7)</f>
        <v>1</v>
      </c>
      <c r="P57" s="313"/>
      <c r="Q57" s="313"/>
    </row>
    <row r="58" spans="2:40" x14ac:dyDescent="0.2">
      <c r="B58" s="281" t="s">
        <v>102</v>
      </c>
      <c r="C58" s="212">
        <v>0.27</v>
      </c>
      <c r="E58" s="430" t="s">
        <v>51</v>
      </c>
      <c r="F58" s="695">
        <v>0</v>
      </c>
      <c r="G58" s="695" cm="1">
        <f t="array" ref="G58">SUM('Proforma A+H'!$G8:G8/'Proforma A+H'!$T8)</f>
        <v>0</v>
      </c>
      <c r="H58" s="695" cm="1">
        <f t="array" ref="H58">SUM('Proforma A+H'!$G8:H8/'Proforma A+H'!$T8)</f>
        <v>0</v>
      </c>
      <c r="I58" s="695" cm="1">
        <f t="array" ref="I58">SUM('Proforma A+H'!$G8:I8/'Proforma A+H'!$T8)</f>
        <v>0</v>
      </c>
      <c r="J58" s="695" cm="1">
        <f t="array" ref="J58">SUM('Proforma A+H'!$G8:J8/'Proforma A+H'!$T8)</f>
        <v>0.25</v>
      </c>
      <c r="K58" s="695" cm="1">
        <f t="array" ref="K58">SUM('Proforma A+H'!$G8:K8/'Proforma A+H'!$T8)</f>
        <v>0.5</v>
      </c>
      <c r="L58" s="695" cm="1">
        <f t="array" ref="L58">SUM('Proforma A+H'!$G8:L8/'Proforma A+H'!$T8)</f>
        <v>0.75</v>
      </c>
      <c r="M58" s="695" cm="1">
        <f t="array" ref="M58">SUM('Proforma A+H'!$G8:M8/'Proforma A+H'!$T8)</f>
        <v>1</v>
      </c>
      <c r="N58" s="695" cm="1">
        <f t="array" ref="N58">SUM('Proforma A+H'!$G8:N8/'Proforma A+H'!$T8)</f>
        <v>1</v>
      </c>
      <c r="O58" s="695" cm="1">
        <f t="array" ref="O58">SUM('Proforma A+H'!$G8:O8/'Proforma A+H'!$T8)</f>
        <v>1</v>
      </c>
      <c r="P58" s="313"/>
      <c r="Q58" s="313"/>
    </row>
    <row r="59" spans="2:40" x14ac:dyDescent="0.2">
      <c r="B59" s="281" t="s">
        <v>103</v>
      </c>
      <c r="C59" s="212">
        <v>0.9</v>
      </c>
      <c r="E59" s="430" t="s">
        <v>59</v>
      </c>
      <c r="F59" s="695">
        <v>0</v>
      </c>
      <c r="G59" s="695" cm="1">
        <f t="array" ref="G59">SUM('Proforma A+H'!$G9:G9/'Proforma A+H'!$T9)</f>
        <v>0</v>
      </c>
      <c r="H59" s="695" cm="1">
        <f t="array" ref="H59">SUM('Proforma A+H'!$G9:H9/'Proforma A+H'!$T9)</f>
        <v>1</v>
      </c>
      <c r="I59" s="695" cm="1">
        <f t="array" ref="I59">SUM('Proforma A+H'!$G9:I9/'Proforma A+H'!$T9)</f>
        <v>1</v>
      </c>
      <c r="J59" s="695" cm="1">
        <f t="array" ref="J59">SUM('Proforma A+H'!$G9:J9/'Proforma A+H'!$T9)</f>
        <v>1</v>
      </c>
      <c r="K59" s="695" cm="1">
        <f t="array" ref="K59">SUM('Proforma A+H'!$G9:K9/'Proforma A+H'!$T9)</f>
        <v>1</v>
      </c>
      <c r="L59" s="695" cm="1">
        <f t="array" ref="L59">SUM('Proforma A+H'!$G9:L9/'Proforma A+H'!$T9)</f>
        <v>1</v>
      </c>
      <c r="M59" s="695" cm="1">
        <f t="array" ref="M59">SUM('Proforma A+H'!$G9:M9/'Proforma A+H'!$T9)</f>
        <v>1</v>
      </c>
      <c r="N59" s="695" cm="1">
        <f t="array" ref="N59">SUM('Proforma A+H'!$G9:N9/'Proforma A+H'!$T9)</f>
        <v>1</v>
      </c>
      <c r="O59" s="695" cm="1">
        <f t="array" ref="O59">SUM('Proforma A+H'!$G9:O9/'Proforma A+H'!$T9)</f>
        <v>1</v>
      </c>
      <c r="P59" s="313"/>
      <c r="Q59" s="313"/>
    </row>
    <row r="60" spans="2:40" x14ac:dyDescent="0.2">
      <c r="B60" s="281" t="s">
        <v>104</v>
      </c>
      <c r="C60" s="159">
        <v>25000</v>
      </c>
      <c r="E60" s="190" t="s">
        <v>87</v>
      </c>
      <c r="F60" s="244">
        <f>SUMPRODUCT(F56:F59,$P47:$P50)</f>
        <v>0</v>
      </c>
      <c r="G60" s="244">
        <f t="shared" ref="G60:O60" si="12">SUMPRODUCT(G56:G59,$P47:$P50)</f>
        <v>0</v>
      </c>
      <c r="H60" s="244">
        <f t="shared" si="12"/>
        <v>12</v>
      </c>
      <c r="I60" s="244">
        <f t="shared" si="12"/>
        <v>18</v>
      </c>
      <c r="J60" s="244">
        <f t="shared" si="12"/>
        <v>50</v>
      </c>
      <c r="K60" s="244">
        <f t="shared" si="12"/>
        <v>62</v>
      </c>
      <c r="L60" s="244">
        <f t="shared" si="12"/>
        <v>74</v>
      </c>
      <c r="M60" s="244">
        <f t="shared" si="12"/>
        <v>80</v>
      </c>
      <c r="N60" s="244">
        <f t="shared" si="12"/>
        <v>80</v>
      </c>
      <c r="O60" s="244">
        <f t="shared" si="12"/>
        <v>80</v>
      </c>
      <c r="P60" s="313"/>
      <c r="Q60" s="313"/>
    </row>
    <row r="61" spans="2:40" x14ac:dyDescent="0.2">
      <c r="B61" s="281" t="s">
        <v>105</v>
      </c>
      <c r="C61" s="212">
        <v>0.03</v>
      </c>
      <c r="E61" s="676"/>
      <c r="H61" s="313"/>
      <c r="I61" s="313"/>
      <c r="J61" s="313"/>
      <c r="K61" s="313"/>
      <c r="L61" s="313"/>
      <c r="M61" s="313"/>
      <c r="N61" s="313"/>
      <c r="O61" s="313"/>
    </row>
    <row r="62" spans="2:40" x14ac:dyDescent="0.2">
      <c r="B62" s="281" t="s">
        <v>106</v>
      </c>
      <c r="C62" s="215">
        <v>1</v>
      </c>
    </row>
    <row r="63" spans="2:40" x14ac:dyDescent="0.2">
      <c r="B63" s="281" t="s">
        <v>107</v>
      </c>
      <c r="C63" s="389">
        <v>47119</v>
      </c>
    </row>
    <row r="64" spans="2:40" x14ac:dyDescent="0.2">
      <c r="B64" s="281" t="s">
        <v>108</v>
      </c>
      <c r="C64" s="389">
        <v>47483</v>
      </c>
      <c r="F64" s="676"/>
    </row>
    <row r="65" spans="2:6" x14ac:dyDescent="0.2">
      <c r="B65" s="281" t="s">
        <v>109</v>
      </c>
      <c r="C65" s="211" cm="1">
        <f t="array" aca="1" ref="C65" ca="1">IF(C62=1,SUMPRODUCT(--(WEEKDAY(ROW(INDIRECT(C63&amp;":"&amp;C64)),2)&gt;5)),C64-C63)</f>
        <v>104</v>
      </c>
    </row>
    <row r="66" spans="2:6" x14ac:dyDescent="0.2">
      <c r="B66" s="281" t="s">
        <v>110</v>
      </c>
      <c r="C66" s="216">
        <f>(YEAR(C64)-YEAR(C63))*12+(MONTH(C64)-MONTH(C63)+1)</f>
        <v>12</v>
      </c>
    </row>
    <row r="67" spans="2:6" x14ac:dyDescent="0.2">
      <c r="B67" s="281" t="s">
        <v>111</v>
      </c>
      <c r="C67" s="212">
        <v>0.1</v>
      </c>
    </row>
    <row r="68" spans="2:6" x14ac:dyDescent="0.2">
      <c r="B68" s="281" t="s">
        <v>112</v>
      </c>
      <c r="C68" s="159">
        <v>40000</v>
      </c>
    </row>
    <row r="70" spans="2:6" x14ac:dyDescent="0.2">
      <c r="B70" s="282" t="s">
        <v>113</v>
      </c>
      <c r="C70" s="209"/>
      <c r="E70" s="281"/>
      <c r="F70" s="154"/>
    </row>
    <row r="71" spans="2:6" x14ac:dyDescent="0.2">
      <c r="B71" s="281" t="s">
        <v>114</v>
      </c>
      <c r="C71" s="212">
        <v>0</v>
      </c>
      <c r="E71" s="283" t="s">
        <v>115</v>
      </c>
    </row>
    <row r="72" spans="2:6" x14ac:dyDescent="0.2">
      <c r="B72" s="281" t="s">
        <v>116</v>
      </c>
      <c r="C72" s="212">
        <v>0</v>
      </c>
      <c r="E72" s="283"/>
    </row>
    <row r="73" spans="2:6" x14ac:dyDescent="0.2">
      <c r="B73" s="281"/>
      <c r="C73" s="154"/>
    </row>
    <row r="74" spans="2:6" x14ac:dyDescent="0.2">
      <c r="B74" s="282" t="s">
        <v>117</v>
      </c>
      <c r="C74" s="209"/>
    </row>
    <row r="75" spans="2:6" x14ac:dyDescent="0.2">
      <c r="B75" s="281" t="s">
        <v>118</v>
      </c>
      <c r="C75" s="212">
        <v>0.16</v>
      </c>
    </row>
    <row r="76" spans="2:6" x14ac:dyDescent="0.2">
      <c r="B76" s="281" t="s">
        <v>119</v>
      </c>
      <c r="C76" s="212">
        <v>0.06</v>
      </c>
    </row>
    <row r="77" spans="2:6" x14ac:dyDescent="0.2">
      <c r="B77" s="281" t="s">
        <v>120</v>
      </c>
      <c r="C77" s="212">
        <v>0.06</v>
      </c>
    </row>
    <row r="78" spans="2:6" x14ac:dyDescent="0.2">
      <c r="B78" s="281" t="s">
        <v>121</v>
      </c>
      <c r="C78" s="212">
        <v>0.04</v>
      </c>
    </row>
    <row r="89" spans="374:374" x14ac:dyDescent="0.2">
      <c r="NJ89" s="190">
        <v>0</v>
      </c>
    </row>
    <row r="103" spans="2:3" x14ac:dyDescent="0.2">
      <c r="B103" s="190">
        <v>1</v>
      </c>
      <c r="C103" s="190" t="s">
        <v>122</v>
      </c>
    </row>
    <row r="104" spans="2:3" x14ac:dyDescent="0.2">
      <c r="B104" s="190">
        <v>0</v>
      </c>
      <c r="C104" s="190" t="s">
        <v>123</v>
      </c>
    </row>
  </sheetData>
  <dataValidations disablePrompts="1" count="1">
    <dataValidation type="list" allowBlank="1" showInputMessage="1" showErrorMessage="1" sqref="C62" xr:uid="{C1B26E00-4A36-4F2E-8F80-4674B931889C}">
      <formula1>$B$103:$B$104</formula1>
    </dataValidation>
  </dataValidations>
  <pageMargins left="0.7" right="0.7" top="0.75" bottom="0.75" header="0.3" footer="0.3"/>
  <pageSetup orientation="portrait" verticalDpi="597" r:id="rId1"/>
  <headerFooter>
    <oddHeader>&amp;L&amp;"Calibri"&amp;11&amp;K000000 PERSONAL/NONWORK // EXTERNAL&amp;1#_x000D_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E8AD-4A6A-4962-892B-8D7D4CD0A19A}">
  <sheetPr codeName="Sheet6">
    <tabColor theme="4"/>
  </sheetPr>
  <dimension ref="B4:L90"/>
  <sheetViews>
    <sheetView showGridLines="0" topLeftCell="A26" zoomScale="130" zoomScaleNormal="130" workbookViewId="0">
      <selection activeCell="B41" sqref="B41"/>
    </sheetView>
  </sheetViews>
  <sheetFormatPr baseColWidth="10" defaultColWidth="8.6640625" defaultRowHeight="16" x14ac:dyDescent="0.2"/>
  <cols>
    <col min="1" max="1" width="7.6640625" customWidth="1"/>
    <col min="2" max="2" width="46.1640625" customWidth="1"/>
    <col min="3" max="3" width="18.1640625" bestFit="1" customWidth="1"/>
    <col min="4" max="4" width="11.6640625" customWidth="1"/>
    <col min="5" max="5" width="12.6640625" bestFit="1" customWidth="1"/>
    <col min="6" max="7" width="13.6640625" bestFit="1" customWidth="1"/>
    <col min="8" max="8" width="46.1640625" customWidth="1"/>
    <col min="9" max="9" width="18.1640625" bestFit="1" customWidth="1"/>
    <col min="10" max="10" width="11.6640625" customWidth="1"/>
    <col min="11" max="11" width="12.6640625" bestFit="1" customWidth="1"/>
    <col min="12" max="12" width="13.6640625" bestFit="1" customWidth="1"/>
  </cols>
  <sheetData>
    <row r="4" spans="2:12" ht="19" x14ac:dyDescent="0.25">
      <c r="B4" s="42" t="s">
        <v>124</v>
      </c>
      <c r="H4" s="42" t="str">
        <f>B4</f>
        <v>CLARENDON - OVERALL DEVELOPMENT: PROFORMA</v>
      </c>
    </row>
    <row r="5" spans="2:12" x14ac:dyDescent="0.2">
      <c r="B5" s="3" t="s">
        <v>125</v>
      </c>
      <c r="H5" s="3" t="s">
        <v>126</v>
      </c>
    </row>
    <row r="6" spans="2:12" x14ac:dyDescent="0.2">
      <c r="B6" s="36" t="s">
        <v>127</v>
      </c>
      <c r="C6" s="37" t="s">
        <v>128</v>
      </c>
      <c r="D6" s="38" t="s">
        <v>129</v>
      </c>
      <c r="E6" s="38" t="s">
        <v>130</v>
      </c>
      <c r="F6" s="38" t="s">
        <v>131</v>
      </c>
      <c r="H6" s="36" t="str">
        <f>B6</f>
        <v>SOURCES</v>
      </c>
      <c r="I6" s="37" t="s">
        <v>128</v>
      </c>
      <c r="J6" s="38" t="s">
        <v>129</v>
      </c>
      <c r="K6" s="38" t="s">
        <v>130</v>
      </c>
      <c r="L6" s="38" t="s">
        <v>131</v>
      </c>
    </row>
    <row r="7" spans="2:12" x14ac:dyDescent="0.2">
      <c r="B7" s="12" t="str">
        <f t="shared" ref="B7:B8" si="0">B39</f>
        <v>SPONSOR - EQUITY CAPITAL</v>
      </c>
      <c r="C7" s="11">
        <f>C39+C70</f>
        <v>400000</v>
      </c>
      <c r="D7" s="70"/>
      <c r="E7" s="11"/>
      <c r="F7" s="18" t="e">
        <f ca="1">C7/$C$17</f>
        <v>#VALUE!</v>
      </c>
      <c r="H7" s="12" t="str">
        <f>B7</f>
        <v>SPONSOR - EQUITY CAPITAL</v>
      </c>
      <c r="I7" s="11">
        <f>C7</f>
        <v>400000</v>
      </c>
      <c r="J7" s="70"/>
      <c r="K7" s="11"/>
      <c r="L7" s="18" t="e">
        <f t="shared" ref="L7:L17" ca="1" si="1">I7/$I$17</f>
        <v>#VALUE!</v>
      </c>
    </row>
    <row r="8" spans="2:12" x14ac:dyDescent="0.2">
      <c r="B8" s="12" t="str">
        <f t="shared" si="0"/>
        <v>LP - EQUITY CAPITAL</v>
      </c>
      <c r="C8" s="11">
        <f>C40+C71</f>
        <v>15000000</v>
      </c>
      <c r="D8" s="70"/>
      <c r="E8" s="11"/>
      <c r="F8" s="18" t="e">
        <f ca="1">C8/$C$17</f>
        <v>#VALUE!</v>
      </c>
      <c r="H8" s="12" t="str">
        <f>B8</f>
        <v>LP - EQUITY CAPITAL</v>
      </c>
      <c r="I8" s="11">
        <f>C8</f>
        <v>15000000</v>
      </c>
      <c r="J8" s="70"/>
      <c r="K8" s="11"/>
      <c r="L8" s="18" t="e">
        <f t="shared" ca="1" si="1"/>
        <v>#VALUE!</v>
      </c>
    </row>
    <row r="9" spans="2:12" x14ac:dyDescent="0.2">
      <c r="B9" s="12" t="str">
        <f t="shared" ref="B9:B14" si="2">B41</f>
        <v>SELLER CARRYBACK</v>
      </c>
      <c r="C9" s="11">
        <f>C41+C71</f>
        <v>0</v>
      </c>
      <c r="D9" s="70"/>
      <c r="E9" s="11"/>
      <c r="F9" s="18" t="e">
        <f ca="1">C9/$C$17</f>
        <v>#VALUE!</v>
      </c>
      <c r="H9" s="12" t="str">
        <f t="shared" ref="H9:H12" si="3">B9</f>
        <v>SELLER CARRYBACK</v>
      </c>
      <c r="I9" s="11">
        <f t="shared" ref="I9:I12" si="4">C9</f>
        <v>0</v>
      </c>
      <c r="J9" s="70"/>
      <c r="K9" s="11"/>
      <c r="L9" s="18" t="e">
        <f t="shared" ca="1" si="1"/>
        <v>#VALUE!</v>
      </c>
    </row>
    <row r="10" spans="2:12" x14ac:dyDescent="0.2">
      <c r="B10" s="12" t="str">
        <f t="shared" si="2"/>
        <v>EB5 - MEZZ DEBT</v>
      </c>
      <c r="C10" s="11" t="e">
        <f ca="1">C42+C72</f>
        <v>#VALUE!</v>
      </c>
      <c r="D10" s="70"/>
      <c r="E10" s="11"/>
      <c r="F10" s="18" t="e">
        <f ca="1">C10/$C$17</f>
        <v>#VALUE!</v>
      </c>
      <c r="H10" s="12" t="str">
        <f t="shared" si="3"/>
        <v>EB5 - MEZZ DEBT</v>
      </c>
      <c r="I10" s="11" t="e">
        <f t="shared" ca="1" si="4"/>
        <v>#VALUE!</v>
      </c>
      <c r="J10" s="70"/>
      <c r="K10" s="11"/>
      <c r="L10" s="18" t="e">
        <f t="shared" ca="1" si="1"/>
        <v>#VALUE!</v>
      </c>
    </row>
    <row r="11" spans="2:12" x14ac:dyDescent="0.2">
      <c r="B11" s="12" t="str">
        <f t="shared" si="2"/>
        <v>DEV LOAN</v>
      </c>
      <c r="C11" s="11" t="e">
        <f ca="1">C43+C73</f>
        <v>#VALUE!</v>
      </c>
      <c r="D11" s="70"/>
      <c r="E11" s="11"/>
      <c r="F11" s="18" t="e">
        <f ca="1">C11/$C$17</f>
        <v>#VALUE!</v>
      </c>
      <c r="H11" s="12" t="str">
        <f t="shared" si="3"/>
        <v>DEV LOAN</v>
      </c>
      <c r="I11" s="11">
        <f>'Proforma Land+Home'!E220+'Proforma Land+Home'!F220</f>
        <v>50115928.683644995</v>
      </c>
      <c r="J11" s="70"/>
      <c r="K11" s="11"/>
      <c r="L11" s="18" t="e">
        <f t="shared" ca="1" si="1"/>
        <v>#VALUE!</v>
      </c>
    </row>
    <row r="12" spans="2:12" x14ac:dyDescent="0.2">
      <c r="B12" s="12" t="str">
        <f t="shared" si="2"/>
        <v>LAND SALE TO AMENITY</v>
      </c>
      <c r="C12" s="11">
        <f>C44</f>
        <v>0</v>
      </c>
      <c r="D12" s="70"/>
      <c r="E12" s="11"/>
      <c r="F12" s="18" t="e">
        <f t="shared" ref="F12:F17" ca="1" si="5">C12/$C$17</f>
        <v>#VALUE!</v>
      </c>
      <c r="H12" s="12" t="str">
        <f t="shared" si="3"/>
        <v>LAND SALE TO AMENITY</v>
      </c>
      <c r="I12" s="11">
        <f t="shared" si="4"/>
        <v>0</v>
      </c>
      <c r="J12" s="70"/>
      <c r="K12" s="11"/>
      <c r="L12" s="18" t="e">
        <f t="shared" ca="1" si="1"/>
        <v>#VALUE!</v>
      </c>
    </row>
    <row r="13" spans="2:12" x14ac:dyDescent="0.2">
      <c r="B13" s="12" t="str">
        <f t="shared" si="2"/>
        <v>PRESALE REVENUES</v>
      </c>
      <c r="C13" s="11">
        <f>C45</f>
        <v>67709709.375000015</v>
      </c>
      <c r="D13" s="70"/>
      <c r="E13" s="11"/>
      <c r="F13" s="18" t="e">
        <f t="shared" ca="1" si="5"/>
        <v>#VALUE!</v>
      </c>
      <c r="H13" s="12"/>
      <c r="I13" s="11"/>
      <c r="J13" s="70"/>
      <c r="K13" s="11"/>
      <c r="L13" s="18" t="e">
        <f t="shared" ca="1" si="1"/>
        <v>#VALUE!</v>
      </c>
    </row>
    <row r="14" spans="2:12" x14ac:dyDescent="0.2">
      <c r="B14" s="12" t="str">
        <f t="shared" si="2"/>
        <v>UNIT SALES</v>
      </c>
      <c r="C14" s="11">
        <f>C46+C75</f>
        <v>373901137.34375006</v>
      </c>
      <c r="D14" s="70"/>
      <c r="E14" s="11"/>
      <c r="F14" s="18" t="e">
        <f t="shared" ca="1" si="5"/>
        <v>#VALUE!</v>
      </c>
      <c r="H14" s="12"/>
      <c r="I14" s="11"/>
      <c r="J14" s="70"/>
      <c r="K14" s="11"/>
      <c r="L14" s="18" t="e">
        <f t="shared" ca="1" si="1"/>
        <v>#VALUE!</v>
      </c>
    </row>
    <row r="15" spans="2:12" x14ac:dyDescent="0.2">
      <c r="B15" s="12" t="str">
        <f>B74</f>
        <v>TOTAL NET OPERATING INCOME (NOI)</v>
      </c>
      <c r="C15" s="11">
        <f ca="1">C74</f>
        <v>28604664.878324769</v>
      </c>
      <c r="D15" s="70"/>
      <c r="E15" s="11"/>
      <c r="F15" s="18" t="e">
        <f t="shared" ca="1" si="5"/>
        <v>#VALUE!</v>
      </c>
      <c r="H15" s="12"/>
      <c r="I15" s="11"/>
      <c r="J15" s="70"/>
      <c r="K15" s="11"/>
      <c r="L15" s="18" t="e">
        <f t="shared" ca="1" si="1"/>
        <v>#VALUE!</v>
      </c>
    </row>
    <row r="16" spans="2:12" x14ac:dyDescent="0.2">
      <c r="B16" s="21" t="str">
        <f>B76</f>
        <v>HOTEL SALE PROCEEDS / DISPOSITION</v>
      </c>
      <c r="C16" s="22">
        <f ca="1">C76</f>
        <v>149143136.77968657</v>
      </c>
      <c r="D16" s="70"/>
      <c r="E16" s="22"/>
      <c r="F16" s="39" t="e">
        <f t="shared" ca="1" si="5"/>
        <v>#VALUE!</v>
      </c>
      <c r="H16" s="21"/>
      <c r="I16" s="22"/>
      <c r="J16" s="70"/>
      <c r="K16" s="22"/>
      <c r="L16" s="39" t="e">
        <f t="shared" ca="1" si="1"/>
        <v>#VALUE!</v>
      </c>
    </row>
    <row r="17" spans="2:12" x14ac:dyDescent="0.2">
      <c r="B17" s="23" t="s">
        <v>132</v>
      </c>
      <c r="C17" s="24" t="e">
        <f ca="1">SUM(C7:C16)</f>
        <v>#VALUE!</v>
      </c>
      <c r="D17" s="89"/>
      <c r="E17" s="11"/>
      <c r="F17" s="18" t="e">
        <f t="shared" ca="1" si="5"/>
        <v>#VALUE!</v>
      </c>
      <c r="H17" s="23" t="str">
        <f>B17</f>
        <v>TOTAL SOURCES</v>
      </c>
      <c r="I17" s="24" t="e">
        <f ca="1">SUM(I7:I16)</f>
        <v>#VALUE!</v>
      </c>
      <c r="J17" s="89"/>
      <c r="K17" s="11"/>
      <c r="L17" s="18" t="e">
        <f t="shared" ca="1" si="1"/>
        <v>#VALUE!</v>
      </c>
    </row>
    <row r="18" spans="2:12" x14ac:dyDescent="0.2">
      <c r="B18" s="12"/>
      <c r="C18" s="11"/>
      <c r="D18" s="11"/>
      <c r="E18" s="11"/>
      <c r="F18" s="40"/>
      <c r="H18" s="12"/>
      <c r="I18" s="11"/>
      <c r="J18" s="11"/>
      <c r="K18" s="11"/>
      <c r="L18" s="40"/>
    </row>
    <row r="19" spans="2:12" x14ac:dyDescent="0.2">
      <c r="B19" s="36" t="s">
        <v>133</v>
      </c>
      <c r="C19" s="37" t="s">
        <v>128</v>
      </c>
      <c r="D19" s="38" t="s">
        <v>129</v>
      </c>
      <c r="E19" s="38" t="s">
        <v>130</v>
      </c>
      <c r="F19" s="41" t="s">
        <v>131</v>
      </c>
      <c r="H19" s="36" t="str">
        <f>B19</f>
        <v>USES</v>
      </c>
      <c r="I19" s="37" t="s">
        <v>128</v>
      </c>
      <c r="J19" s="38" t="s">
        <v>129</v>
      </c>
      <c r="K19" s="38" t="s">
        <v>130</v>
      </c>
      <c r="L19" s="41" t="s">
        <v>131</v>
      </c>
    </row>
    <row r="20" spans="2:12" x14ac:dyDescent="0.2">
      <c r="B20" s="12" t="str">
        <f>B50</f>
        <v>LAND &amp; PROJECT ACQUISITION</v>
      </c>
      <c r="C20" s="11" t="e">
        <f>C50+C80</f>
        <v>#VALUE!</v>
      </c>
      <c r="D20" s="70"/>
      <c r="E20" s="11"/>
      <c r="F20" s="18" t="e">
        <f>C20/$C$31</f>
        <v>#VALUE!</v>
      </c>
      <c r="H20" s="12" t="str">
        <f>B20</f>
        <v>LAND &amp; PROJECT ACQUISITION</v>
      </c>
      <c r="I20" s="11" t="e">
        <f>I50+I80</f>
        <v>#VALUE!</v>
      </c>
      <c r="J20" s="70"/>
      <c r="K20" s="11"/>
      <c r="L20" s="18" t="e">
        <f t="shared" ref="L20:L31" ca="1" si="6">I20/$I$31</f>
        <v>#VALUE!</v>
      </c>
    </row>
    <row r="21" spans="2:12" x14ac:dyDescent="0.2">
      <c r="B21" s="12" t="str">
        <f>B51</f>
        <v>HARD COSTS - SITE, RESTORATION &amp; INFRASTRUCTURE</v>
      </c>
      <c r="C21" s="11">
        <f>C51+C82</f>
        <v>20739103.780598961</v>
      </c>
      <c r="D21" s="70"/>
      <c r="E21" s="11"/>
      <c r="F21" s="18" t="e">
        <f t="shared" ref="F21:F32" si="7">C21/$C$31</f>
        <v>#VALUE!</v>
      </c>
      <c r="H21" s="12" t="str">
        <f t="shared" ref="H21:H29" si="8">B21</f>
        <v>HARD COSTS - SITE, RESTORATION &amp; INFRASTRUCTURE</v>
      </c>
      <c r="I21" s="11">
        <f>I51+I82</f>
        <v>13964533.072916668</v>
      </c>
      <c r="J21" s="70"/>
      <c r="K21" s="11"/>
      <c r="L21" s="18" t="e">
        <f t="shared" ca="1" si="6"/>
        <v>#VALUE!</v>
      </c>
    </row>
    <row r="22" spans="2:12" x14ac:dyDescent="0.2">
      <c r="B22" s="12" t="str">
        <f>B81</f>
        <v>TOTAL VERTICAL CONSTRUCTION COSTS</v>
      </c>
      <c r="C22" s="11">
        <f>C52+C81</f>
        <v>253215382.45046875</v>
      </c>
      <c r="D22" s="70"/>
      <c r="E22" s="11"/>
      <c r="F22" s="18" t="e">
        <f t="shared" si="7"/>
        <v>#VALUE!</v>
      </c>
      <c r="H22" s="12" t="str">
        <f t="shared" si="8"/>
        <v>TOTAL VERTICAL CONSTRUCTION COSTS</v>
      </c>
      <c r="I22" s="11">
        <f>I52+I81</f>
        <v>116767759.375</v>
      </c>
      <c r="J22" s="70"/>
      <c r="K22" s="11"/>
      <c r="L22" s="18" t="e">
        <f t="shared" ca="1" si="6"/>
        <v>#VALUE!</v>
      </c>
    </row>
    <row r="23" spans="2:12" x14ac:dyDescent="0.2">
      <c r="B23" s="12" t="str">
        <f t="shared" ref="B23:B30" si="9">B53</f>
        <v>SOFT COSTS PROFESSIONALS - FINAL ENTITLEMENTS &amp; SITE INFRA.</v>
      </c>
      <c r="C23" s="11">
        <f>C53+C83</f>
        <v>12354529.717499999</v>
      </c>
      <c r="D23" s="70"/>
      <c r="E23" s="11"/>
      <c r="F23" s="18" t="e">
        <f t="shared" si="7"/>
        <v>#VALUE!</v>
      </c>
      <c r="H23" s="12" t="str">
        <f t="shared" si="8"/>
        <v>SOFT COSTS PROFESSIONALS - FINAL ENTITLEMENTS &amp; SITE INFRA.</v>
      </c>
      <c r="I23" s="11">
        <f>I53+I83</f>
        <v>9906180.6374999993</v>
      </c>
      <c r="J23" s="70"/>
      <c r="K23" s="11"/>
      <c r="L23" s="18" t="e">
        <f t="shared" ca="1" si="6"/>
        <v>#VALUE!</v>
      </c>
    </row>
    <row r="24" spans="2:12" x14ac:dyDescent="0.2">
      <c r="B24" s="12" t="str">
        <f t="shared" si="9"/>
        <v>SOFT COSTS PROFESSIONALS - HOMES</v>
      </c>
      <c r="C24" s="11">
        <f t="shared" ref="C24" si="10">C54</f>
        <v>6121864.0625</v>
      </c>
      <c r="D24" s="70"/>
      <c r="E24" s="11"/>
      <c r="F24" s="18" t="e">
        <f t="shared" si="7"/>
        <v>#VALUE!</v>
      </c>
      <c r="H24" s="12" t="str">
        <f t="shared" si="8"/>
        <v>SOFT COSTS PROFESSIONALS - HOMES</v>
      </c>
      <c r="I24" s="11">
        <f t="shared" ref="I24" si="11">I54</f>
        <v>2091708.125</v>
      </c>
      <c r="J24" s="70"/>
      <c r="K24" s="11"/>
      <c r="L24" s="18" t="e">
        <f t="shared" ca="1" si="6"/>
        <v>#VALUE!</v>
      </c>
    </row>
    <row r="25" spans="2:12" x14ac:dyDescent="0.2">
      <c r="B25" s="12" t="str">
        <f t="shared" si="9"/>
        <v>SOFT COSTS - SALES</v>
      </c>
      <c r="C25" s="11">
        <f t="shared" ref="C25:C30" si="12">C55+C84</f>
        <v>14113849.735156253</v>
      </c>
      <c r="D25" s="70"/>
      <c r="E25" s="11"/>
      <c r="F25" s="18" t="e">
        <f t="shared" si="7"/>
        <v>#VALUE!</v>
      </c>
      <c r="H25" s="12" t="str">
        <f t="shared" si="8"/>
        <v>SOFT COSTS - SALES</v>
      </c>
      <c r="I25" s="11">
        <f>I55+I84</f>
        <v>1577500</v>
      </c>
      <c r="J25" s="70"/>
      <c r="K25" s="11"/>
      <c r="L25" s="18" t="e">
        <f t="shared" ca="1" si="6"/>
        <v>#VALUE!</v>
      </c>
    </row>
    <row r="26" spans="2:12" x14ac:dyDescent="0.2">
      <c r="B26" s="12" t="str">
        <f t="shared" si="9"/>
        <v>SOFT COSTS - TAXES AND INSURANCE</v>
      </c>
      <c r="C26" s="11">
        <f t="shared" si="12"/>
        <v>1584893.264014462</v>
      </c>
      <c r="D26" s="70"/>
      <c r="E26" s="11"/>
      <c r="F26" s="18" t="e">
        <f t="shared" si="7"/>
        <v>#VALUE!</v>
      </c>
      <c r="H26" s="12" t="str">
        <f t="shared" si="8"/>
        <v>SOFT COSTS - TAXES AND INSURANCE</v>
      </c>
      <c r="I26" s="11">
        <f>I56+I85</f>
        <v>767702.48025841336</v>
      </c>
      <c r="J26" s="70"/>
      <c r="K26" s="11"/>
      <c r="L26" s="18" t="e">
        <f t="shared" ca="1" si="6"/>
        <v>#VALUE!</v>
      </c>
    </row>
    <row r="27" spans="2:12" x14ac:dyDescent="0.2">
      <c r="B27" s="12" t="str">
        <f t="shared" si="9"/>
        <v>SOFT COSTS - MUNICIPALITY FEES</v>
      </c>
      <c r="C27" s="11">
        <f t="shared" si="12"/>
        <v>2286123.3874999997</v>
      </c>
      <c r="D27" s="70"/>
      <c r="E27" s="11"/>
      <c r="F27" s="18" t="e">
        <f t="shared" si="7"/>
        <v>#VALUE!</v>
      </c>
      <c r="H27" s="12" t="str">
        <f t="shared" si="8"/>
        <v>SOFT COSTS - MUNICIPALITY FEES</v>
      </c>
      <c r="I27" s="11">
        <f>I57+I86</f>
        <v>806661.06510416663</v>
      </c>
      <c r="J27" s="70"/>
      <c r="K27" s="11"/>
      <c r="L27" s="18" t="e">
        <f t="shared" ca="1" si="6"/>
        <v>#VALUE!</v>
      </c>
    </row>
    <row r="28" spans="2:12" x14ac:dyDescent="0.2">
      <c r="B28" s="12" t="str">
        <f t="shared" si="9"/>
        <v xml:space="preserve">DEVELOPMENT FEES </v>
      </c>
      <c r="C28" s="11">
        <f t="shared" si="12"/>
        <v>18496362.014849998</v>
      </c>
      <c r="D28" s="70"/>
      <c r="E28" s="11"/>
      <c r="F28" s="18" t="e">
        <f t="shared" si="7"/>
        <v>#VALUE!</v>
      </c>
      <c r="H28" s="12" t="str">
        <f t="shared" si="8"/>
        <v xml:space="preserve">DEVELOPMENT FEES </v>
      </c>
      <c r="I28" s="11">
        <f>I58+I87</f>
        <v>5150109.4282499999</v>
      </c>
      <c r="J28" s="70"/>
      <c r="K28" s="11"/>
      <c r="L28" s="18" t="e">
        <f t="shared" ca="1" si="6"/>
        <v>#VALUE!</v>
      </c>
    </row>
    <row r="29" spans="2:12" x14ac:dyDescent="0.2">
      <c r="B29" s="12" t="str">
        <f t="shared" si="9"/>
        <v>FINANCING COSTS &amp; REPAYMENT</v>
      </c>
      <c r="C29" s="11" t="e">
        <f t="shared" ca="1" si="12"/>
        <v>#VALUE!</v>
      </c>
      <c r="D29" s="70"/>
      <c r="E29" s="11"/>
      <c r="F29" s="18" t="e">
        <f t="shared" ca="1" si="7"/>
        <v>#VALUE!</v>
      </c>
      <c r="H29" s="12" t="str">
        <f t="shared" si="8"/>
        <v>FINANCING COSTS &amp; REPAYMENT</v>
      </c>
      <c r="I29" s="11" t="e">
        <f ca="1">I59+I88</f>
        <v>#VALUE!</v>
      </c>
      <c r="J29" s="70"/>
      <c r="K29" s="11"/>
      <c r="L29" s="18" t="e">
        <f t="shared" ca="1" si="6"/>
        <v>#VALUE!</v>
      </c>
    </row>
    <row r="30" spans="2:12" x14ac:dyDescent="0.2">
      <c r="B30" s="21" t="str">
        <f t="shared" si="9"/>
        <v>DISTRIBUTIONS</v>
      </c>
      <c r="C30" s="22" t="e">
        <f t="shared" ca="1" si="12"/>
        <v>#VALUE!</v>
      </c>
      <c r="D30" s="70"/>
      <c r="E30" s="22"/>
      <c r="F30" s="39" t="e">
        <f t="shared" ca="1" si="7"/>
        <v>#VALUE!</v>
      </c>
      <c r="H30" s="21" t="s">
        <v>134</v>
      </c>
      <c r="I30" s="22" t="e">
        <f ca="1">I31-SUM(I20:I29)</f>
        <v>#VALUE!</v>
      </c>
      <c r="J30" s="70"/>
      <c r="K30" s="22"/>
      <c r="L30" s="39" t="e">
        <f t="shared" ca="1" si="6"/>
        <v>#VALUE!</v>
      </c>
    </row>
    <row r="31" spans="2:12" x14ac:dyDescent="0.2">
      <c r="B31" s="23" t="s">
        <v>135</v>
      </c>
      <c r="C31" s="24" t="e">
        <f>SUM(C20:C30)</f>
        <v>#VALUE!</v>
      </c>
      <c r="D31" s="89"/>
      <c r="E31" s="11"/>
      <c r="F31" s="18" t="e">
        <f t="shared" si="7"/>
        <v>#VALUE!</v>
      </c>
      <c r="H31" s="23" t="str">
        <f>B31</f>
        <v>TOTAL USES</v>
      </c>
      <c r="I31" s="24" t="e">
        <f ca="1">I17</f>
        <v>#VALUE!</v>
      </c>
      <c r="J31" s="89"/>
      <c r="K31" s="11"/>
      <c r="L31" s="18" t="e">
        <f t="shared" ca="1" si="6"/>
        <v>#VALUE!</v>
      </c>
    </row>
    <row r="32" spans="2:12" x14ac:dyDescent="0.2">
      <c r="C32" s="11"/>
      <c r="F32" s="18" t="e">
        <f t="shared" si="7"/>
        <v>#VALUE!</v>
      </c>
    </row>
    <row r="36" spans="2:12" ht="19" x14ac:dyDescent="0.25">
      <c r="B36" s="42" t="s">
        <v>136</v>
      </c>
      <c r="H36" s="42" t="str">
        <f>B36</f>
        <v>CLARENDON - RESI DEVELOPMENT: PROFORMA</v>
      </c>
    </row>
    <row r="37" spans="2:12" x14ac:dyDescent="0.2">
      <c r="B37" s="3" t="s">
        <v>125</v>
      </c>
      <c r="D37">
        <f>'Proforma Land+Home'!$D$18</f>
        <v>158750</v>
      </c>
      <c r="E37">
        <f>'Proforma Land+Home'!$R$17</f>
        <v>45</v>
      </c>
      <c r="H37" s="3" t="s">
        <v>137</v>
      </c>
    </row>
    <row r="38" spans="2:12" x14ac:dyDescent="0.2">
      <c r="B38" s="36" t="s">
        <v>127</v>
      </c>
      <c r="C38" s="37" t="s">
        <v>128</v>
      </c>
      <c r="D38" s="38" t="s">
        <v>129</v>
      </c>
      <c r="E38" s="38" t="s">
        <v>130</v>
      </c>
      <c r="F38" s="38" t="s">
        <v>131</v>
      </c>
      <c r="H38" s="36" t="str">
        <f t="shared" ref="H38:H44" si="13">B38</f>
        <v>SOURCES</v>
      </c>
      <c r="I38" s="37" t="s">
        <v>128</v>
      </c>
      <c r="J38" s="38" t="s">
        <v>129</v>
      </c>
      <c r="K38" s="38" t="s">
        <v>130</v>
      </c>
      <c r="L38" s="38" t="s">
        <v>131</v>
      </c>
    </row>
    <row r="39" spans="2:12" x14ac:dyDescent="0.2">
      <c r="B39" s="12" t="str">
        <f>'Proforma Land+Home'!B216</f>
        <v>SPONSOR - EQUITY CAPITAL</v>
      </c>
      <c r="C39" s="11">
        <f>'Proforma Land+Home'!R216</f>
        <v>400000</v>
      </c>
      <c r="D39" s="70">
        <f>C39/'Proforma Land+Home'!$D$18</f>
        <v>2.5196850393700787</v>
      </c>
      <c r="E39" s="11">
        <f>C39/'Proforma Land+Home'!$R$17</f>
        <v>8888.8888888888887</v>
      </c>
      <c r="F39" s="18">
        <f>C39/$C$47</f>
        <v>9.195970320075074E-4</v>
      </c>
      <c r="H39" s="12" t="str">
        <f t="shared" si="13"/>
        <v>SPONSOR - EQUITY CAPITAL</v>
      </c>
      <c r="I39" s="11">
        <f>C39</f>
        <v>400000</v>
      </c>
      <c r="J39" s="70">
        <f>I39/$D$37</f>
        <v>2.5196850393700787</v>
      </c>
      <c r="K39" s="11">
        <f>I39/$E$37</f>
        <v>8888.8888888888887</v>
      </c>
      <c r="L39" s="18">
        <f>I39/$I$47</f>
        <v>4.8154038673718274E-3</v>
      </c>
    </row>
    <row r="40" spans="2:12" x14ac:dyDescent="0.2">
      <c r="B40" s="12" t="str">
        <f>'Proforma Land+Home'!B217</f>
        <v>LP - EQUITY CAPITAL</v>
      </c>
      <c r="C40" s="11">
        <f>'Proforma Land+Home'!R217</f>
        <v>15000000</v>
      </c>
      <c r="D40" s="70">
        <f>C40/'Proforma Land+Home'!$D$18</f>
        <v>94.488188976377955</v>
      </c>
      <c r="E40" s="11">
        <f>C40/'Proforma Land+Home'!$R$17</f>
        <v>333333.33333333331</v>
      </c>
      <c r="F40" s="18">
        <f>C40/$C$47</f>
        <v>3.4484888700281525E-2</v>
      </c>
      <c r="H40" s="12" t="str">
        <f t="shared" ref="H40" si="14">B40</f>
        <v>LP - EQUITY CAPITAL</v>
      </c>
      <c r="I40" s="11">
        <f>C40</f>
        <v>15000000</v>
      </c>
      <c r="J40" s="70">
        <f>I40/$D$37</f>
        <v>94.488188976377955</v>
      </c>
      <c r="K40" s="11">
        <f>I40/$E$37</f>
        <v>333333.33333333331</v>
      </c>
      <c r="L40" s="18">
        <f>I40/$I$47</f>
        <v>0.18057764502644352</v>
      </c>
    </row>
    <row r="41" spans="2:12" x14ac:dyDescent="0.2">
      <c r="B41" s="12" t="str">
        <f>'Proforma Land+Home'!B218</f>
        <v>SELLER CARRYBACK</v>
      </c>
      <c r="C41" s="11">
        <f>'Proforma Land+Home'!R218</f>
        <v>0</v>
      </c>
      <c r="D41" s="70">
        <f>C41/'Proforma Land+Home'!$D$18</f>
        <v>0</v>
      </c>
      <c r="E41" s="11">
        <f>C41/'Proforma Land+Home'!$R$17</f>
        <v>0</v>
      </c>
      <c r="F41" s="18">
        <f t="shared" ref="F41:F46" si="15">C41/$C$47</f>
        <v>0</v>
      </c>
      <c r="H41" s="12" t="str">
        <f t="shared" si="13"/>
        <v>SELLER CARRYBACK</v>
      </c>
      <c r="I41" s="11">
        <f>C41</f>
        <v>0</v>
      </c>
      <c r="J41" s="70">
        <f t="shared" ref="J41:J44" si="16">I41/$D$37</f>
        <v>0</v>
      </c>
      <c r="K41" s="11">
        <f t="shared" ref="K41:K44" si="17">I41/$E$37</f>
        <v>0</v>
      </c>
      <c r="L41" s="18">
        <f t="shared" ref="L41:L44" si="18">I41/$I$47</f>
        <v>0</v>
      </c>
    </row>
    <row r="42" spans="2:12" x14ac:dyDescent="0.2">
      <c r="B42" s="12" t="str">
        <f>'Proforma Land+Home'!B219</f>
        <v>EB5 - MEZZ DEBT</v>
      </c>
      <c r="C42" s="11">
        <f>'Proforma Land+Home'!R219</f>
        <v>0</v>
      </c>
      <c r="D42" s="70">
        <f>C42/'Proforma Land+Home'!$D$18</f>
        <v>0</v>
      </c>
      <c r="E42" s="11">
        <f>C42/'Proforma Land+Home'!$R$17</f>
        <v>0</v>
      </c>
      <c r="F42" s="18">
        <f t="shared" si="15"/>
        <v>0</v>
      </c>
      <c r="H42" s="12" t="str">
        <f t="shared" si="13"/>
        <v>EB5 - MEZZ DEBT</v>
      </c>
      <c r="I42" s="11">
        <f>SUM('Proforma Land+Home'!E219:F219)</f>
        <v>0</v>
      </c>
      <c r="J42" s="70">
        <f t="shared" si="16"/>
        <v>0</v>
      </c>
      <c r="K42" s="11">
        <f t="shared" si="17"/>
        <v>0</v>
      </c>
      <c r="L42" s="18">
        <f t="shared" si="18"/>
        <v>0</v>
      </c>
    </row>
    <row r="43" spans="2:12" x14ac:dyDescent="0.2">
      <c r="B43" s="12" t="str">
        <f>'Proforma Land+Home'!B220</f>
        <v>DEV LOAN</v>
      </c>
      <c r="C43" s="11">
        <f>'Proforma Land+Home'!R220</f>
        <v>67666760.549476773</v>
      </c>
      <c r="D43" s="70">
        <f>C43/'Proforma Land+Home'!$D$18</f>
        <v>426.24731054788521</v>
      </c>
      <c r="E43" s="11">
        <f>C43/'Proforma Land+Home'!$R$17</f>
        <v>1503705.7899883727</v>
      </c>
      <c r="F43" s="18">
        <f t="shared" si="15"/>
        <v>0.15556538041715381</v>
      </c>
      <c r="H43" s="12" t="str">
        <f t="shared" si="13"/>
        <v>DEV LOAN</v>
      </c>
      <c r="I43" s="11">
        <f>C43</f>
        <v>67666760.549476773</v>
      </c>
      <c r="J43" s="70">
        <f t="shared" si="16"/>
        <v>426.24731054788521</v>
      </c>
      <c r="K43" s="11">
        <f t="shared" si="17"/>
        <v>1503705.7899883727</v>
      </c>
      <c r="L43" s="18">
        <f t="shared" si="18"/>
        <v>0.81460695110618464</v>
      </c>
    </row>
    <row r="44" spans="2:12" x14ac:dyDescent="0.2">
      <c r="B44" s="12" t="str">
        <f>'Proforma Land+Home'!B221</f>
        <v>LAND SALE TO AMENITY</v>
      </c>
      <c r="C44" s="11">
        <f>'Proforma Land+Home'!R221</f>
        <v>0</v>
      </c>
      <c r="D44" s="70">
        <f>C44/'Proforma Land+Home'!$D$18</f>
        <v>0</v>
      </c>
      <c r="E44" s="11">
        <f>C44/'Proforma Land+Home'!$R$17</f>
        <v>0</v>
      </c>
      <c r="F44" s="18">
        <f t="shared" si="15"/>
        <v>0</v>
      </c>
      <c r="H44" s="12" t="str">
        <f t="shared" si="13"/>
        <v>LAND SALE TO AMENITY</v>
      </c>
      <c r="I44" s="11">
        <f>C44</f>
        <v>0</v>
      </c>
      <c r="J44" s="70">
        <f t="shared" si="16"/>
        <v>0</v>
      </c>
      <c r="K44" s="11">
        <f t="shared" si="17"/>
        <v>0</v>
      </c>
      <c r="L44" s="18">
        <f t="shared" si="18"/>
        <v>0</v>
      </c>
    </row>
    <row r="45" spans="2:12" x14ac:dyDescent="0.2">
      <c r="B45" s="12" t="str">
        <f>'Proforma Land+Home'!B222</f>
        <v>PRESALE REVENUES</v>
      </c>
      <c r="C45" s="11">
        <f>'Proforma Land+Home'!R222</f>
        <v>67709709.375000015</v>
      </c>
      <c r="D45" s="70">
        <f>C45/'Proforma Land+Home'!$D$18</f>
        <v>426.51785433070876</v>
      </c>
      <c r="E45" s="11">
        <f>C45/'Proforma Land+Home'!$R$17</f>
        <v>1504660.2083333337</v>
      </c>
      <c r="F45" s="18">
        <f t="shared" si="15"/>
        <v>0.15566411944835229</v>
      </c>
      <c r="H45" s="12"/>
      <c r="I45" s="11"/>
      <c r="J45" s="70"/>
      <c r="K45" s="11"/>
      <c r="L45" s="18"/>
    </row>
    <row r="46" spans="2:12" x14ac:dyDescent="0.2">
      <c r="B46" s="21" t="str">
        <f>'Proforma Land+Home'!B223</f>
        <v>UNIT SALES</v>
      </c>
      <c r="C46" s="22">
        <f>'Proforma Land+Home'!R223</f>
        <v>284196660.78125006</v>
      </c>
      <c r="D46" s="70">
        <f>C46/'Proforma Land+Home'!$D$18</f>
        <v>1790.2151860236224</v>
      </c>
      <c r="E46" s="22">
        <f>C46/'Proforma Land+Home'!$R$17</f>
        <v>6315481.3506944459</v>
      </c>
      <c r="F46" s="39">
        <f t="shared" si="15"/>
        <v>0.65336601440220488</v>
      </c>
      <c r="H46" s="21"/>
      <c r="I46" s="22"/>
      <c r="J46" s="70"/>
      <c r="K46" s="22"/>
      <c r="L46" s="39"/>
    </row>
    <row r="47" spans="2:12" x14ac:dyDescent="0.2">
      <c r="B47" s="23" t="str">
        <f>'Proforma Land+Home'!B224</f>
        <v>TOTAL SOURCES</v>
      </c>
      <c r="C47" s="24">
        <f>'Proforma Land+Home'!R224</f>
        <v>434973130.70572686</v>
      </c>
      <c r="D47" s="89">
        <f>C47/'Proforma Land+Home'!$D$18</f>
        <v>2739.9882249179645</v>
      </c>
      <c r="E47" s="11">
        <f>C47/'Proforma Land+Home'!$R$17</f>
        <v>9666069.5712383743</v>
      </c>
      <c r="F47" s="18">
        <f>E47/$E$47</f>
        <v>1</v>
      </c>
      <c r="H47" s="23" t="str">
        <f>B47</f>
        <v>TOTAL SOURCES</v>
      </c>
      <c r="I47" s="24">
        <f>SUM(I39:I46)</f>
        <v>83066760.549476773</v>
      </c>
      <c r="J47" s="89">
        <f t="shared" ref="J47" si="19">I47/$D$37</f>
        <v>523.25518456363318</v>
      </c>
      <c r="K47" s="11">
        <f>I47/$E$37</f>
        <v>1845928.012210595</v>
      </c>
      <c r="L47" s="618">
        <f>I47/$I$47</f>
        <v>1</v>
      </c>
    </row>
    <row r="48" spans="2:12" x14ac:dyDescent="0.2">
      <c r="B48" s="12"/>
      <c r="C48" s="11"/>
      <c r="D48" s="11"/>
      <c r="E48" s="11"/>
      <c r="F48" s="40"/>
      <c r="H48" s="12"/>
      <c r="I48" s="11"/>
      <c r="J48" s="11"/>
      <c r="K48" s="11"/>
      <c r="L48" s="40"/>
    </row>
    <row r="49" spans="2:12" x14ac:dyDescent="0.2">
      <c r="B49" s="36" t="s">
        <v>133</v>
      </c>
      <c r="C49" s="37" t="s">
        <v>128</v>
      </c>
      <c r="D49" s="38" t="s">
        <v>129</v>
      </c>
      <c r="E49" s="38" t="s">
        <v>130</v>
      </c>
      <c r="F49" s="41" t="s">
        <v>131</v>
      </c>
      <c r="H49" s="36" t="str">
        <f>B49</f>
        <v>USES</v>
      </c>
      <c r="I49" s="37" t="s">
        <v>128</v>
      </c>
      <c r="J49" s="38" t="s">
        <v>129</v>
      </c>
      <c r="K49" s="38" t="s">
        <v>130</v>
      </c>
      <c r="L49" s="41" t="s">
        <v>131</v>
      </c>
    </row>
    <row r="50" spans="2:12" x14ac:dyDescent="0.2">
      <c r="B50" s="12" t="str">
        <f>'Proforma Land+Home'!B227</f>
        <v>LAND &amp; PROJECT ACQUISITION</v>
      </c>
      <c r="C50" s="11">
        <f>'Proforma Land+Home'!R227</f>
        <v>18977750</v>
      </c>
      <c r="D50" s="70">
        <f>C50/'Proforma Land+Home'!$D$18</f>
        <v>119.54488188976379</v>
      </c>
      <c r="E50" s="11">
        <f>C50/'Proforma Land+Home'!$R$17</f>
        <v>421727.77777777775</v>
      </c>
      <c r="F50" s="18">
        <f t="shared" ref="F50:F61" si="20">E50/$E$61</f>
        <v>4.3629706435451179E-2</v>
      </c>
      <c r="H50" s="12" t="str">
        <f>'Proforma Land+Home'!B227</f>
        <v>LAND &amp; PROJECT ACQUISITION</v>
      </c>
      <c r="I50" s="11">
        <f>SUM('Proforma Land+Home'!E227:F227)</f>
        <v>18977750</v>
      </c>
      <c r="J50" s="70">
        <f t="shared" ref="J50:J61" si="21">I50/$D$37</f>
        <v>119.54488188976379</v>
      </c>
      <c r="K50" s="11">
        <f t="shared" ref="K50:K61" si="22">I50/$E$37</f>
        <v>421727.77777777775</v>
      </c>
      <c r="L50" s="18">
        <f>I50/$I$61</f>
        <v>0.22846382686003924</v>
      </c>
    </row>
    <row r="51" spans="2:12" x14ac:dyDescent="0.2">
      <c r="B51" s="12" t="str">
        <f>'Proforma Land+Home'!B228</f>
        <v>HARD COSTS - SITE, RESTORATION &amp; INFRASTRUCTURE</v>
      </c>
      <c r="C51" s="11">
        <f>'Proforma Land+Home'!R228</f>
        <v>8702853.780598959</v>
      </c>
      <c r="D51" s="70">
        <f>C51/'Proforma Land+Home'!$D$18</f>
        <v>54.821126177001318</v>
      </c>
      <c r="E51" s="11">
        <f>C51/'Proforma Land+Home'!$R$17</f>
        <v>193396.75067997686</v>
      </c>
      <c r="F51" s="18">
        <f t="shared" si="20"/>
        <v>2.0007796266585293E-2</v>
      </c>
      <c r="H51" s="12" t="str">
        <f>'Proforma Land+Home'!B228</f>
        <v>HARD COSTS - SITE, RESTORATION &amp; INFRASTRUCTURE</v>
      </c>
      <c r="I51" s="11">
        <f>SUM('Proforma Land+Home'!E228:F228)</f>
        <v>5898595.5729166679</v>
      </c>
      <c r="J51" s="70">
        <f t="shared" si="21"/>
        <v>37.156507545931767</v>
      </c>
      <c r="K51" s="11">
        <f t="shared" si="22"/>
        <v>131079.90162037039</v>
      </c>
      <c r="L51" s="18">
        <f t="shared" ref="L51:L61" si="23">I51/$I$61</f>
        <v>7.1010299834713159E-2</v>
      </c>
    </row>
    <row r="52" spans="2:12" x14ac:dyDescent="0.2">
      <c r="B52" s="12" t="str">
        <f>'Proforma Land+Home'!B229</f>
        <v>HARD COSTS - HOMES</v>
      </c>
      <c r="C52" s="11">
        <f>'Proforma Land+Home'!R229</f>
        <v>164731027.45046875</v>
      </c>
      <c r="D52" s="70">
        <f>C52/'Proforma Land+Home'!$D$18</f>
        <v>1037.6757634675196</v>
      </c>
      <c r="E52" s="11">
        <f>C52/'Proforma Land+Home'!$R$17</f>
        <v>3660689.4988993057</v>
      </c>
      <c r="F52" s="18">
        <f t="shared" si="20"/>
        <v>0.37871540980749574</v>
      </c>
      <c r="H52" s="12" t="str">
        <f>'Proforma Land+Home'!B229</f>
        <v>HARD COSTS - HOMES</v>
      </c>
      <c r="I52" s="11">
        <f>SUM('Proforma Land+Home'!E229:F229)</f>
        <v>44335000</v>
      </c>
      <c r="J52" s="70">
        <f t="shared" si="21"/>
        <v>279.2755905511811</v>
      </c>
      <c r="K52" s="11">
        <f t="shared" si="22"/>
        <v>985222.22222222225</v>
      </c>
      <c r="L52" s="18">
        <f t="shared" si="23"/>
        <v>0.53372732614982488</v>
      </c>
    </row>
    <row r="53" spans="2:12" x14ac:dyDescent="0.2">
      <c r="B53" s="12" t="str">
        <f>'Proforma Land+Home'!B230</f>
        <v>SOFT COSTS PROFESSIONALS - FINAL ENTITLEMENTS &amp; SITE INFRA.</v>
      </c>
      <c r="C53" s="11">
        <f>'Proforma Land+Home'!R230</f>
        <v>3773315.625</v>
      </c>
      <c r="D53" s="70">
        <f>C53/'Proforma Land+Home'!$D$18</f>
        <v>23.768917322834646</v>
      </c>
      <c r="E53" s="11">
        <f>C53/'Proforma Land+Home'!$R$17</f>
        <v>83851.458333333328</v>
      </c>
      <c r="F53" s="18">
        <f t="shared" si="20"/>
        <v>8.6748246239438821E-3</v>
      </c>
      <c r="H53" s="12" t="str">
        <f>'Proforma Land+Home'!B230</f>
        <v>SOFT COSTS PROFESSIONALS - FINAL ENTITLEMENTS &amp; SITE INFRA.</v>
      </c>
      <c r="I53" s="11">
        <f>SUM('Proforma Land+Home'!E230:F230)</f>
        <v>2485267.96875</v>
      </c>
      <c r="J53" s="70">
        <f t="shared" si="21"/>
        <v>15.655231299212598</v>
      </c>
      <c r="K53" s="11">
        <f t="shared" si="22"/>
        <v>55228.177083333336</v>
      </c>
      <c r="L53" s="18">
        <f t="shared" si="23"/>
        <v>2.9918922470435191E-2</v>
      </c>
    </row>
    <row r="54" spans="2:12" x14ac:dyDescent="0.2">
      <c r="B54" s="12" t="str">
        <f>'Proforma Land+Home'!B231</f>
        <v>SOFT COSTS PROFESSIONALS - HOMES</v>
      </c>
      <c r="C54" s="11">
        <f>'Proforma Land+Home'!R231</f>
        <v>6121864.0625</v>
      </c>
      <c r="D54" s="70">
        <f>C54/'Proforma Land+Home'!$D$18</f>
        <v>38.562923228346456</v>
      </c>
      <c r="E54" s="11">
        <f>C54/'Proforma Land+Home'!$R$17</f>
        <v>136041.42361111112</v>
      </c>
      <c r="F54" s="18">
        <f t="shared" si="20"/>
        <v>1.4074120055571055E-2</v>
      </c>
      <c r="H54" s="12" t="str">
        <f>'Proforma Land+Home'!B231</f>
        <v>SOFT COSTS PROFESSIONALS - HOMES</v>
      </c>
      <c r="I54" s="11">
        <f>SUM('Proforma Land+Home'!E231:F231)</f>
        <v>2091708.125</v>
      </c>
      <c r="J54" s="70">
        <f t="shared" si="21"/>
        <v>13.176114173228347</v>
      </c>
      <c r="K54" s="11">
        <f t="shared" si="22"/>
        <v>46482.402777777781</v>
      </c>
      <c r="L54" s="18">
        <f t="shared" si="23"/>
        <v>2.5181048486345184E-2</v>
      </c>
    </row>
    <row r="55" spans="2:12" x14ac:dyDescent="0.2">
      <c r="B55" s="12" t="str">
        <f>'Proforma Land+Home'!B232</f>
        <v>SOFT COSTS - SALES</v>
      </c>
      <c r="C55" s="11">
        <f>'Proforma Land+Home'!R232</f>
        <v>13613849.735156253</v>
      </c>
      <c r="D55" s="70">
        <f>C55/'Proforma Land+Home'!$D$18</f>
        <v>85.756533764763802</v>
      </c>
      <c r="E55" s="11">
        <f>C55/'Proforma Land+Home'!$R$17</f>
        <v>302529.99411458342</v>
      </c>
      <c r="F55" s="18">
        <f t="shared" si="20"/>
        <v>3.1298139526614706E-2</v>
      </c>
      <c r="H55" s="12" t="str">
        <f>'Proforma Land+Home'!B232</f>
        <v>SOFT COSTS - SALES</v>
      </c>
      <c r="I55" s="11">
        <f>SUM('Proforma Land+Home'!E232:F232)</f>
        <v>1477500</v>
      </c>
      <c r="J55" s="70">
        <f t="shared" si="21"/>
        <v>9.3070866141732278</v>
      </c>
      <c r="K55" s="11">
        <f t="shared" si="22"/>
        <v>32833.333333333336</v>
      </c>
      <c r="L55" s="18">
        <f t="shared" si="23"/>
        <v>1.7786898035104689E-2</v>
      </c>
    </row>
    <row r="56" spans="2:12" x14ac:dyDescent="0.2">
      <c r="B56" s="12" t="str">
        <f>'Proforma Land+Home'!B233</f>
        <v>SOFT COSTS - TAXES AND INSURANCE</v>
      </c>
      <c r="C56" s="11">
        <f>'Proforma Land+Home'!R233</f>
        <v>993629.93651446211</v>
      </c>
      <c r="D56" s="70">
        <f>C56/'Proforma Land+Home'!$D$18</f>
        <v>6.259086214264328</v>
      </c>
      <c r="E56" s="11">
        <f>C56/'Proforma Land+Home'!$R$17</f>
        <v>22080.665255876935</v>
      </c>
      <c r="F56" s="18">
        <f t="shared" si="20"/>
        <v>2.2843478513312684E-3</v>
      </c>
      <c r="H56" s="12" t="str">
        <f>'Proforma Land+Home'!B233</f>
        <v>SOFT COSTS - TAXES AND INSURANCE</v>
      </c>
      <c r="I56" s="11">
        <f>SUM('Proforma Land+Home'!E233:F233)</f>
        <v>298079.6474459134</v>
      </c>
      <c r="J56" s="70">
        <f t="shared" si="21"/>
        <v>1.8776670705254388</v>
      </c>
      <c r="K56" s="11">
        <f t="shared" si="22"/>
        <v>6623.9921654647424</v>
      </c>
      <c r="L56" s="18">
        <f t="shared" si="23"/>
        <v>3.5884347177397055E-3</v>
      </c>
    </row>
    <row r="57" spans="2:12" x14ac:dyDescent="0.2">
      <c r="B57" s="12" t="str">
        <f>'Proforma Land+Home'!B234</f>
        <v>SOFT COSTS - MUNICIPALITY FEES</v>
      </c>
      <c r="C57" s="11">
        <f>'Proforma Land+Home'!R234</f>
        <v>2064912.4999999998</v>
      </c>
      <c r="D57" s="70">
        <f>C57/'Proforma Land+Home'!$D$18</f>
        <v>13.007322834645668</v>
      </c>
      <c r="E57" s="11">
        <f>C57/'Proforma Land+Home'!$R$17</f>
        <v>45886.944444444438</v>
      </c>
      <c r="F57" s="18">
        <f t="shared" si="20"/>
        <v>4.7472185158880052E-3</v>
      </c>
      <c r="H57" s="12" t="str">
        <f>'Proforma Land+Home'!B234</f>
        <v>SOFT COSTS - MUNICIPALITY FEES</v>
      </c>
      <c r="I57" s="11">
        <f>SUM('Proforma Land+Home'!E234:F234)</f>
        <v>625579.16666666663</v>
      </c>
      <c r="J57" s="70">
        <f t="shared" si="21"/>
        <v>3.9406561679790024</v>
      </c>
      <c r="K57" s="11">
        <f t="shared" si="22"/>
        <v>13901.759259259259</v>
      </c>
      <c r="L57" s="18">
        <f t="shared" si="23"/>
        <v>7.5310408462847785E-3</v>
      </c>
    </row>
    <row r="58" spans="2:12" x14ac:dyDescent="0.2">
      <c r="B58" s="12" t="str">
        <f>'Proforma Land+Home'!B235</f>
        <v xml:space="preserve">DEVELOPMENT FEES </v>
      </c>
      <c r="C58" s="11">
        <f>'Proforma Land+Home'!R235</f>
        <v>15183933.215624999</v>
      </c>
      <c r="D58" s="70">
        <f>C58/'Proforma Land+Home'!$D$18</f>
        <v>95.64682340551181</v>
      </c>
      <c r="E58" s="11">
        <f>C58/'Proforma Land+Home'!$R$17</f>
        <v>337420.73812499997</v>
      </c>
      <c r="F58" s="18">
        <f t="shared" si="20"/>
        <v>3.4907749798222393E-2</v>
      </c>
      <c r="H58" s="12" t="str">
        <f>'Proforma Land+Home'!B235</f>
        <v xml:space="preserve">DEVELOPMENT FEES </v>
      </c>
      <c r="I58" s="11">
        <f>SUM('Proforma Land+Home'!E235:F235)</f>
        <v>2490000</v>
      </c>
      <c r="J58" s="70">
        <f t="shared" si="21"/>
        <v>15.685039370078741</v>
      </c>
      <c r="K58" s="11">
        <f t="shared" si="22"/>
        <v>55333.333333333336</v>
      </c>
      <c r="L58" s="18">
        <f t="shared" si="23"/>
        <v>2.9975889074389625E-2</v>
      </c>
    </row>
    <row r="59" spans="2:12" x14ac:dyDescent="0.2">
      <c r="B59" s="12" t="str">
        <f>'Proforma Land+Home'!B236</f>
        <v>FINANCING COSTS &amp; REPAYMENT</v>
      </c>
      <c r="C59" s="11">
        <f>'Proforma Land+Home'!R236</f>
        <v>96554040.618174314</v>
      </c>
      <c r="D59" s="70">
        <f>C59/'Proforma Land+Home'!$D$18</f>
        <v>608.21442909086181</v>
      </c>
      <c r="E59" s="11">
        <f>C59/'Proforma Land+Home'!$R$17</f>
        <v>2145645.3470705403</v>
      </c>
      <c r="F59" s="18">
        <f t="shared" si="20"/>
        <v>0.22197702295201355</v>
      </c>
      <c r="H59" s="12" t="str">
        <f>'Proforma Land+Home'!B236</f>
        <v>FINANCING COSTS &amp; REPAYMENT</v>
      </c>
      <c r="I59" s="11">
        <f>SUM('Proforma Land+Home'!E236:F236)</f>
        <v>11336448.202865744</v>
      </c>
      <c r="J59" s="70">
        <f t="shared" si="21"/>
        <v>71.410697340886571</v>
      </c>
      <c r="K59" s="11">
        <f t="shared" si="22"/>
        <v>251921.07117479431</v>
      </c>
      <c r="L59" s="18">
        <f t="shared" si="23"/>
        <v>0.13647394129585028</v>
      </c>
    </row>
    <row r="60" spans="2:12" x14ac:dyDescent="0.2">
      <c r="B60" s="21" t="str">
        <f>'Proforma Land+Home'!B237</f>
        <v>DISTRIBUTIONS</v>
      </c>
      <c r="C60" s="22">
        <f>'Proforma Land+Home'!R237</f>
        <v>104255953.78168914</v>
      </c>
      <c r="D60" s="70">
        <f>C60/'Proforma Land+Home'!$D$18</f>
        <v>656.73041752245126</v>
      </c>
      <c r="E60" s="22">
        <f>C60/'Proforma Land+Home'!$R$17</f>
        <v>2316798.9729264253</v>
      </c>
      <c r="F60" s="39">
        <f t="shared" si="20"/>
        <v>0.239683664166883</v>
      </c>
      <c r="H60" s="21" t="s">
        <v>134</v>
      </c>
      <c r="I60" s="22">
        <f>I61-SUM(I50:I59)</f>
        <v>-6949168.1341682374</v>
      </c>
      <c r="J60" s="70">
        <f t="shared" si="21"/>
        <v>-43.774287459327482</v>
      </c>
      <c r="K60" s="22">
        <f t="shared" si="22"/>
        <v>-154425.95853707194</v>
      </c>
      <c r="L60" s="39">
        <f t="shared" si="23"/>
        <v>-8.3657627770726994E-2</v>
      </c>
    </row>
    <row r="61" spans="2:12" x14ac:dyDescent="0.2">
      <c r="B61" s="23" t="s">
        <v>135</v>
      </c>
      <c r="C61" s="24">
        <f>'Proforma Land+Home'!R238</f>
        <v>434973130.70572686</v>
      </c>
      <c r="D61" s="89">
        <f>C61/'Proforma Land+Home'!$D$18</f>
        <v>2739.9882249179645</v>
      </c>
      <c r="E61" s="11">
        <f>C61/'Proforma Land+Home'!$R$17</f>
        <v>9666069.5712383743</v>
      </c>
      <c r="F61" s="18">
        <f t="shared" si="20"/>
        <v>1</v>
      </c>
      <c r="H61" s="23" t="str">
        <f>'Proforma Land+Home'!B238</f>
        <v>TOTAL USES</v>
      </c>
      <c r="I61" s="24">
        <f>I47</f>
        <v>83066760.549476773</v>
      </c>
      <c r="J61" s="89">
        <f t="shared" si="21"/>
        <v>523.25518456363318</v>
      </c>
      <c r="K61" s="11">
        <f t="shared" si="22"/>
        <v>1845928.012210595</v>
      </c>
      <c r="L61" s="18">
        <f t="shared" si="23"/>
        <v>1</v>
      </c>
    </row>
    <row r="62" spans="2:12" x14ac:dyDescent="0.2">
      <c r="C62" s="11"/>
    </row>
    <row r="66" spans="2:12" ht="19" x14ac:dyDescent="0.25">
      <c r="B66" s="42" t="str">
        <f>'Proforma A+H'!B1</f>
        <v>CLARENDON - AMENITY + HOTEL DEVELOPMENT: PROFORMA</v>
      </c>
      <c r="H66" s="42" t="str">
        <f>'Proforma A+H'!B1</f>
        <v>CLARENDON - AMENITY + HOTEL DEVELOPMENT: PROFORMA</v>
      </c>
    </row>
    <row r="67" spans="2:12" x14ac:dyDescent="0.2">
      <c r="B67" s="3" t="s">
        <v>125</v>
      </c>
      <c r="H67" s="3" t="s">
        <v>138</v>
      </c>
    </row>
    <row r="68" spans="2:12" x14ac:dyDescent="0.2">
      <c r="B68" s="36" t="str">
        <f>B38</f>
        <v>SOURCES</v>
      </c>
      <c r="C68" s="37" t="s">
        <v>128</v>
      </c>
      <c r="D68" s="38" t="s">
        <v>129</v>
      </c>
      <c r="E68" s="38"/>
      <c r="F68" s="38" t="s">
        <v>131</v>
      </c>
      <c r="H68" s="36" t="str">
        <f>H38</f>
        <v>SOURCES</v>
      </c>
      <c r="I68" s="37" t="s">
        <v>128</v>
      </c>
      <c r="J68" s="38" t="s">
        <v>129</v>
      </c>
      <c r="K68" s="38"/>
      <c r="L68" s="38" t="s">
        <v>131</v>
      </c>
    </row>
    <row r="69" spans="2:12" x14ac:dyDescent="0.2">
      <c r="B69" s="12" t="str">
        <f>'Proforma A+H'!B257</f>
        <v>LAND EQUITY IN 80 ACRES</v>
      </c>
      <c r="C69" s="11">
        <f>'Proforma A+H'!T257</f>
        <v>0</v>
      </c>
      <c r="D69" s="70"/>
      <c r="E69" s="11"/>
      <c r="F69" s="18" t="e">
        <f ca="1">C69/$C$77</f>
        <v>#VALUE!</v>
      </c>
      <c r="H69" s="12" t="str">
        <f t="shared" ref="H69:I71" si="24">B69</f>
        <v>LAND EQUITY IN 80 ACRES</v>
      </c>
      <c r="I69" s="11">
        <f t="shared" si="24"/>
        <v>0</v>
      </c>
      <c r="J69" s="70"/>
      <c r="K69" s="11"/>
      <c r="L69" s="18" t="e">
        <f ca="1">I69/$I$77</f>
        <v>#VALUE!</v>
      </c>
    </row>
    <row r="70" spans="2:12" x14ac:dyDescent="0.2">
      <c r="B70" s="12" t="str">
        <f>'Proforma A+H'!B258</f>
        <v>MTN ORIGINS - PURSUIT CAPITAL</v>
      </c>
      <c r="C70" s="11">
        <f>'Proforma A+H'!T258</f>
        <v>0</v>
      </c>
      <c r="D70" s="70"/>
      <c r="E70" s="11"/>
      <c r="F70" s="18" t="e">
        <f ca="1">C70/$C$77</f>
        <v>#VALUE!</v>
      </c>
      <c r="H70" s="12" t="str">
        <f t="shared" si="24"/>
        <v>MTN ORIGINS - PURSUIT CAPITAL</v>
      </c>
      <c r="I70" s="11">
        <f t="shared" si="24"/>
        <v>0</v>
      </c>
      <c r="J70" s="70"/>
      <c r="K70" s="11"/>
      <c r="L70" s="18" t="e">
        <f ca="1">I70/$I$77</f>
        <v>#VALUE!</v>
      </c>
    </row>
    <row r="71" spans="2:12" x14ac:dyDescent="0.2">
      <c r="B71" s="12" t="str">
        <f>'Proforma A+H'!B259</f>
        <v>LP - EQUITY CAPITAL</v>
      </c>
      <c r="C71" s="11">
        <f>'Proforma A+H'!T259</f>
        <v>0</v>
      </c>
      <c r="D71" s="70"/>
      <c r="E71" s="11"/>
      <c r="F71" s="18" t="e">
        <f ca="1">C71/$C$77</f>
        <v>#VALUE!</v>
      </c>
      <c r="H71" s="12" t="str">
        <f t="shared" si="24"/>
        <v>LP - EQUITY CAPITAL</v>
      </c>
      <c r="I71" s="11">
        <f t="shared" si="24"/>
        <v>0</v>
      </c>
      <c r="J71" s="70"/>
      <c r="K71" s="11"/>
      <c r="L71" s="18" t="e">
        <f t="shared" ref="L71:L76" ca="1" si="25">I71/$I$77</f>
        <v>#VALUE!</v>
      </c>
    </row>
    <row r="72" spans="2:12" x14ac:dyDescent="0.2">
      <c r="B72" s="12" t="str">
        <f>'Proforma A+H'!B260</f>
        <v>EB5 - MEZZ DEBT</v>
      </c>
      <c r="C72" s="11" t="e">
        <f ca="1">'Proforma A+H'!T260</f>
        <v>#VALUE!</v>
      </c>
      <c r="D72" s="70"/>
      <c r="E72" s="11"/>
      <c r="F72" s="18" t="e">
        <f t="shared" ref="F72:F77" ca="1" si="26">C72/$C$77</f>
        <v>#VALUE!</v>
      </c>
      <c r="H72" s="12" t="str">
        <f t="shared" ref="H72:H77" si="27">B72</f>
        <v>EB5 - MEZZ DEBT</v>
      </c>
      <c r="I72" s="11" t="e">
        <f t="shared" ref="I72" ca="1" si="28">C72</f>
        <v>#VALUE!</v>
      </c>
      <c r="J72" s="70"/>
      <c r="K72" s="11"/>
      <c r="L72" s="18" t="e">
        <f t="shared" ca="1" si="25"/>
        <v>#VALUE!</v>
      </c>
    </row>
    <row r="73" spans="2:12" x14ac:dyDescent="0.2">
      <c r="B73" s="12" t="str">
        <f>'Proforma A+H'!B261</f>
        <v>DEV LOAN</v>
      </c>
      <c r="C73" s="11" t="e">
        <f ca="1">'Proforma A+H'!T261</f>
        <v>#VALUE!</v>
      </c>
      <c r="D73" s="70"/>
      <c r="E73" s="11"/>
      <c r="F73" s="18" t="e">
        <f t="shared" ca="1" si="26"/>
        <v>#VALUE!</v>
      </c>
      <c r="H73" s="12" t="str">
        <f t="shared" si="27"/>
        <v>DEV LOAN</v>
      </c>
      <c r="I73" s="11" t="e">
        <f ca="1">C73+'Proforma A+H'!J262</f>
        <v>#VALUE!</v>
      </c>
      <c r="J73" s="70"/>
      <c r="K73" s="11"/>
      <c r="L73" s="18" t="e">
        <f t="shared" ca="1" si="25"/>
        <v>#VALUE!</v>
      </c>
    </row>
    <row r="74" spans="2:12" x14ac:dyDescent="0.2">
      <c r="B74" s="12" t="str">
        <f>'Proforma A+H'!B262</f>
        <v>TOTAL NET OPERATING INCOME (NOI)</v>
      </c>
      <c r="C74" s="11">
        <f ca="1">'Proforma A+H'!T262</f>
        <v>28604664.878324769</v>
      </c>
      <c r="D74" s="70"/>
      <c r="E74" s="11"/>
      <c r="F74" s="18" t="e">
        <f t="shared" ca="1" si="26"/>
        <v>#VALUE!</v>
      </c>
      <c r="H74" s="12"/>
      <c r="I74" s="11">
        <f>'Proforma A+H'!Z262</f>
        <v>0</v>
      </c>
      <c r="J74" s="70"/>
      <c r="K74" s="11"/>
      <c r="L74" s="18" t="e">
        <f t="shared" ca="1" si="25"/>
        <v>#VALUE!</v>
      </c>
    </row>
    <row r="75" spans="2:12" x14ac:dyDescent="0.2">
      <c r="B75" s="12" t="str">
        <f>'Proforma A+H'!B263</f>
        <v>TOTAL UNIT SALES</v>
      </c>
      <c r="C75" s="11">
        <f>'Proforma A+H'!T263</f>
        <v>89704476.5625</v>
      </c>
      <c r="D75" s="70"/>
      <c r="E75" s="11"/>
      <c r="F75" s="18" t="e">
        <f t="shared" ca="1" si="26"/>
        <v>#VALUE!</v>
      </c>
      <c r="H75" s="12"/>
      <c r="I75" s="11">
        <f>'Proforma A+H'!Z263</f>
        <v>0</v>
      </c>
      <c r="J75" s="70"/>
      <c r="K75" s="11"/>
      <c r="L75" s="18" t="e">
        <f t="shared" ca="1" si="25"/>
        <v>#VALUE!</v>
      </c>
    </row>
    <row r="76" spans="2:12" x14ac:dyDescent="0.2">
      <c r="B76" s="21" t="str">
        <f>'Proforma A+H'!B264</f>
        <v>HOTEL SALE PROCEEDS / DISPOSITION</v>
      </c>
      <c r="C76" s="22">
        <f ca="1">'Proforma A+H'!T264</f>
        <v>149143136.77968657</v>
      </c>
      <c r="D76" s="70"/>
      <c r="E76" s="22"/>
      <c r="F76" s="39" t="e">
        <f t="shared" ca="1" si="26"/>
        <v>#VALUE!</v>
      </c>
      <c r="H76" s="21"/>
      <c r="I76" s="22">
        <f>'Proforma A+H'!Z264</f>
        <v>0</v>
      </c>
      <c r="J76" s="70"/>
      <c r="K76" s="22"/>
      <c r="L76" s="39" t="e">
        <f t="shared" ca="1" si="25"/>
        <v>#VALUE!</v>
      </c>
    </row>
    <row r="77" spans="2:12" x14ac:dyDescent="0.2">
      <c r="B77" s="23" t="str">
        <f>'Proforma A+H'!B266</f>
        <v>TOTAL SOURCES</v>
      </c>
      <c r="C77" s="24" t="e">
        <f ca="1">'Proforma A+H'!T266</f>
        <v>#VALUE!</v>
      </c>
      <c r="D77" s="89"/>
      <c r="E77" s="11"/>
      <c r="F77" s="18" t="e">
        <f t="shared" ca="1" si="26"/>
        <v>#VALUE!</v>
      </c>
      <c r="H77" s="23" t="str">
        <f t="shared" si="27"/>
        <v>TOTAL SOURCES</v>
      </c>
      <c r="I77" s="24" t="e">
        <f ca="1">SUM(I69:I76)</f>
        <v>#VALUE!</v>
      </c>
      <c r="J77" s="617"/>
      <c r="K77" s="24"/>
      <c r="L77" s="618" t="e">
        <f ca="1">I77/$I$77</f>
        <v>#VALUE!</v>
      </c>
    </row>
    <row r="78" spans="2:12" x14ac:dyDescent="0.2">
      <c r="B78" s="12"/>
      <c r="C78" s="11"/>
      <c r="D78" s="11"/>
      <c r="E78" s="11"/>
      <c r="F78" s="40"/>
      <c r="H78" s="12"/>
      <c r="I78" s="11"/>
      <c r="J78" s="11"/>
      <c r="K78" s="11"/>
      <c r="L78" s="40"/>
    </row>
    <row r="79" spans="2:12" x14ac:dyDescent="0.2">
      <c r="B79" s="36" t="str">
        <f>B49</f>
        <v>USES</v>
      </c>
      <c r="C79" s="37" t="s">
        <v>128</v>
      </c>
      <c r="D79" s="38" t="s">
        <v>129</v>
      </c>
      <c r="E79" s="38"/>
      <c r="F79" s="41" t="s">
        <v>131</v>
      </c>
      <c r="H79" s="36" t="str">
        <f>H49</f>
        <v>USES</v>
      </c>
      <c r="I79" s="37" t="s">
        <v>128</v>
      </c>
      <c r="J79" s="38" t="s">
        <v>129</v>
      </c>
      <c r="K79" s="38"/>
      <c r="L79" s="41" t="s">
        <v>131</v>
      </c>
    </row>
    <row r="80" spans="2:12" x14ac:dyDescent="0.2">
      <c r="B80" s="12" t="str">
        <f>'Proforma A+H'!B269</f>
        <v>LAND ACQUISITION COSTS</v>
      </c>
      <c r="C80" s="11" t="e">
        <f>'Proforma A+H'!T269</f>
        <v>#VALUE!</v>
      </c>
      <c r="D80" s="70"/>
      <c r="E80" s="11"/>
      <c r="F80" s="18" t="e">
        <f>C80/$C$90</f>
        <v>#VALUE!</v>
      </c>
      <c r="H80" s="12" t="str">
        <f>B80</f>
        <v>LAND ACQUISITION COSTS</v>
      </c>
      <c r="I80" s="11" t="e">
        <f>SUM('Proforma A+H'!G269:J269)</f>
        <v>#VALUE!</v>
      </c>
      <c r="J80" s="70"/>
      <c r="K80" s="11"/>
      <c r="L80" s="18" t="e">
        <f ca="1">I80/$I$90</f>
        <v>#VALUE!</v>
      </c>
    </row>
    <row r="81" spans="2:12" x14ac:dyDescent="0.2">
      <c r="B81" s="12" t="str">
        <f>'Proforma A+H'!B270</f>
        <v>TOTAL VERTICAL CONSTRUCTION COSTS</v>
      </c>
      <c r="C81" s="11">
        <f>'Proforma A+H'!T270</f>
        <v>88484355</v>
      </c>
      <c r="D81" s="70"/>
      <c r="E81" s="11"/>
      <c r="F81" s="18" t="e">
        <f t="shared" ref="F81:F90" si="29">C81/$C$90</f>
        <v>#VALUE!</v>
      </c>
      <c r="H81" s="12" t="str">
        <f t="shared" ref="H81:H90" si="30">B81</f>
        <v>TOTAL VERTICAL CONSTRUCTION COSTS</v>
      </c>
      <c r="I81" s="11">
        <f>SUM('Proforma A+H'!G270:J270)</f>
        <v>72432759.375</v>
      </c>
      <c r="J81" s="70"/>
      <c r="K81" s="11"/>
      <c r="L81" s="18" t="e">
        <f t="shared" ref="L81:L90" ca="1" si="31">I81/$I$90</f>
        <v>#VALUE!</v>
      </c>
    </row>
    <row r="82" spans="2:12" x14ac:dyDescent="0.2">
      <c r="B82" s="12" t="str">
        <f>'Proforma A+H'!B271</f>
        <v>HARD COSTS - SITE</v>
      </c>
      <c r="C82" s="11">
        <f>'Proforma A+H'!T271</f>
        <v>12036250</v>
      </c>
      <c r="D82" s="70"/>
      <c r="E82" s="11"/>
      <c r="F82" s="18" t="e">
        <f t="shared" si="29"/>
        <v>#VALUE!</v>
      </c>
      <c r="H82" s="12" t="str">
        <f t="shared" si="30"/>
        <v>HARD COSTS - SITE</v>
      </c>
      <c r="I82" s="11">
        <f>SUM('Proforma A+H'!G271:J271)</f>
        <v>8065937.5</v>
      </c>
      <c r="J82" s="70"/>
      <c r="K82" s="11"/>
      <c r="L82" s="18" t="e">
        <f t="shared" ca="1" si="31"/>
        <v>#VALUE!</v>
      </c>
    </row>
    <row r="83" spans="2:12" x14ac:dyDescent="0.2">
      <c r="B83" s="12" t="str">
        <f>'Proforma A+H'!B272</f>
        <v>SOFT COSTS - PROFESSIONALS</v>
      </c>
      <c r="C83" s="11">
        <f>'Proforma A+H'!T272</f>
        <v>8581214.0924999993</v>
      </c>
      <c r="D83" s="70"/>
      <c r="E83" s="11"/>
      <c r="F83" s="18" t="e">
        <f t="shared" si="29"/>
        <v>#VALUE!</v>
      </c>
      <c r="H83" s="12" t="str">
        <f t="shared" si="30"/>
        <v>SOFT COSTS - PROFESSIONALS</v>
      </c>
      <c r="I83" s="11">
        <f>SUM('Proforma A+H'!G272:J272)</f>
        <v>7420912.6687500002</v>
      </c>
      <c r="J83" s="70"/>
      <c r="K83" s="11"/>
      <c r="L83" s="18" t="e">
        <f t="shared" ca="1" si="31"/>
        <v>#VALUE!</v>
      </c>
    </row>
    <row r="84" spans="2:12" x14ac:dyDescent="0.2">
      <c r="B84" s="12" t="str">
        <f>'Proforma A+H'!B273</f>
        <v>SOFT COSTS - SALES</v>
      </c>
      <c r="C84" s="11">
        <f>'Proforma A+H'!T273</f>
        <v>500000</v>
      </c>
      <c r="D84" s="70"/>
      <c r="E84" s="11"/>
      <c r="F84" s="18" t="e">
        <f t="shared" si="29"/>
        <v>#VALUE!</v>
      </c>
      <c r="H84" s="12" t="str">
        <f t="shared" si="30"/>
        <v>SOFT COSTS - SALES</v>
      </c>
      <c r="I84" s="11">
        <f>SUM('Proforma A+H'!G273:J273)</f>
        <v>100000</v>
      </c>
      <c r="J84" s="70"/>
      <c r="K84" s="11"/>
      <c r="L84" s="18" t="e">
        <f t="shared" ca="1" si="31"/>
        <v>#VALUE!</v>
      </c>
    </row>
    <row r="85" spans="2:12" x14ac:dyDescent="0.2">
      <c r="B85" s="12" t="str">
        <f>'Proforma A+H'!B274</f>
        <v>SOFT COSTS - TAXES AND INSURANCE</v>
      </c>
      <c r="C85" s="11">
        <f>'Proforma A+H'!T274</f>
        <v>591263.32750000001</v>
      </c>
      <c r="D85" s="70"/>
      <c r="E85" s="11"/>
      <c r="F85" s="18" t="e">
        <f t="shared" si="29"/>
        <v>#VALUE!</v>
      </c>
      <c r="H85" s="12" t="str">
        <f t="shared" si="30"/>
        <v>SOFT COSTS - TAXES AND INSURANCE</v>
      </c>
      <c r="I85" s="11">
        <f>SUM('Proforma A+H'!G274:J274)</f>
        <v>469622.83281249995</v>
      </c>
      <c r="J85" s="70"/>
      <c r="K85" s="11"/>
      <c r="L85" s="18" t="e">
        <f t="shared" ca="1" si="31"/>
        <v>#VALUE!</v>
      </c>
    </row>
    <row r="86" spans="2:12" x14ac:dyDescent="0.2">
      <c r="B86" s="12" t="str">
        <f>'Proforma A+H'!B275</f>
        <v>SOFT COSTS - MUNICIPALITY FEES</v>
      </c>
      <c r="C86" s="11">
        <f>'Proforma A+H'!T275</f>
        <v>221210.88749999998</v>
      </c>
      <c r="D86" s="70"/>
      <c r="E86" s="11"/>
      <c r="F86" s="18" t="e">
        <f t="shared" si="29"/>
        <v>#VALUE!</v>
      </c>
      <c r="H86" s="12" t="str">
        <f t="shared" si="30"/>
        <v>SOFT COSTS - MUNICIPALITY FEES</v>
      </c>
      <c r="I86" s="11">
        <f>SUM('Proforma A+H'!G275:J275)</f>
        <v>181081.8984375</v>
      </c>
      <c r="J86" s="70"/>
      <c r="K86" s="11"/>
      <c r="L86" s="18" t="e">
        <f t="shared" ca="1" si="31"/>
        <v>#VALUE!</v>
      </c>
    </row>
    <row r="87" spans="2:12" x14ac:dyDescent="0.2">
      <c r="B87" s="12" t="str">
        <f>'Proforma A+H'!B276</f>
        <v>DEVELOPMENT FEES</v>
      </c>
      <c r="C87" s="11">
        <f>'Proforma A+H'!T276</f>
        <v>3312428.7992250002</v>
      </c>
      <c r="D87" s="70"/>
      <c r="E87" s="11"/>
      <c r="F87" s="18" t="e">
        <f t="shared" si="29"/>
        <v>#VALUE!</v>
      </c>
      <c r="H87" s="12" t="str">
        <f t="shared" si="30"/>
        <v>DEVELOPMENT FEES</v>
      </c>
      <c r="I87" s="11">
        <f>SUM('Proforma A+H'!G276:J276)</f>
        <v>2660109.4282499999</v>
      </c>
      <c r="J87" s="70"/>
      <c r="K87" s="11"/>
      <c r="L87" s="18" t="e">
        <f t="shared" ca="1" si="31"/>
        <v>#VALUE!</v>
      </c>
    </row>
    <row r="88" spans="2:12" x14ac:dyDescent="0.2">
      <c r="B88" s="12" t="str">
        <f>'Proforma A+H'!B277</f>
        <v>FINANCING COSTS &amp; REPAYMENT</v>
      </c>
      <c r="C88" s="11" t="e">
        <f ca="1">'Proforma A+H'!T277</f>
        <v>#VALUE!</v>
      </c>
      <c r="D88" s="70"/>
      <c r="E88" s="11"/>
      <c r="F88" s="18" t="e">
        <f t="shared" ca="1" si="29"/>
        <v>#VALUE!</v>
      </c>
      <c r="H88" s="12" t="str">
        <f t="shared" si="30"/>
        <v>FINANCING COSTS &amp; REPAYMENT</v>
      </c>
      <c r="I88" s="11" t="e">
        <f ca="1">SUM('Proforma A+H'!G277:J277)</f>
        <v>#VALUE!</v>
      </c>
      <c r="J88" s="70"/>
      <c r="K88" s="11"/>
      <c r="L88" s="18" t="e">
        <f t="shared" ca="1" si="31"/>
        <v>#VALUE!</v>
      </c>
    </row>
    <row r="89" spans="2:12" x14ac:dyDescent="0.2">
      <c r="B89" s="21" t="str">
        <f>'Proforma A+H'!B278</f>
        <v>DISTRIBUTIONS</v>
      </c>
      <c r="C89" s="22" t="e">
        <f ca="1">'Proforma A+H'!T278</f>
        <v>#VALUE!</v>
      </c>
      <c r="D89" s="70"/>
      <c r="E89" s="22"/>
      <c r="F89" s="39" t="e">
        <f t="shared" ca="1" si="29"/>
        <v>#VALUE!</v>
      </c>
      <c r="H89" s="21" t="s">
        <v>134</v>
      </c>
      <c r="I89" s="22" t="e">
        <f ca="1">I90-SUM(I80:I88)</f>
        <v>#VALUE!</v>
      </c>
      <c r="J89" s="70"/>
      <c r="K89" s="22"/>
      <c r="L89" s="39" t="e">
        <f t="shared" ca="1" si="31"/>
        <v>#VALUE!</v>
      </c>
    </row>
    <row r="90" spans="2:12" x14ac:dyDescent="0.2">
      <c r="B90" s="23" t="str">
        <f>'Proforma A+H'!B280</f>
        <v>TOTAL USES</v>
      </c>
      <c r="C90" s="24" t="e">
        <f>'Proforma A+H'!T280</f>
        <v>#VALUE!</v>
      </c>
      <c r="D90" s="89"/>
      <c r="E90" s="11"/>
      <c r="F90" s="18" t="e">
        <f t="shared" si="29"/>
        <v>#VALUE!</v>
      </c>
      <c r="H90" s="23" t="str">
        <f t="shared" si="30"/>
        <v>TOTAL USES</v>
      </c>
      <c r="I90" s="24" t="e">
        <f ca="1">I77</f>
        <v>#VALUE!</v>
      </c>
      <c r="J90" s="89"/>
      <c r="K90" s="11"/>
      <c r="L90" s="18" t="e">
        <f t="shared" ca="1" si="31"/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4789-BFB8-394A-896C-0BE21E640B56}">
  <sheetPr>
    <tabColor theme="4"/>
  </sheetPr>
  <dimension ref="B4:S4"/>
  <sheetViews>
    <sheetView topLeftCell="A2" workbookViewId="0">
      <selection activeCell="I43" sqref="I43"/>
    </sheetView>
  </sheetViews>
  <sheetFormatPr baseColWidth="10" defaultColWidth="11" defaultRowHeight="16" x14ac:dyDescent="0.2"/>
  <sheetData>
    <row r="4" spans="2:19" x14ac:dyDescent="0.2">
      <c r="B4" s="405" t="s">
        <v>139</v>
      </c>
      <c r="C4" s="405"/>
      <c r="D4" s="405"/>
      <c r="E4" s="405"/>
      <c r="F4" s="405"/>
      <c r="G4" s="405"/>
      <c r="H4" s="405"/>
      <c r="I4" s="405"/>
      <c r="J4" s="405"/>
      <c r="K4" s="405"/>
      <c r="L4" s="405"/>
      <c r="M4" s="405"/>
      <c r="N4" s="405"/>
      <c r="O4" s="405"/>
      <c r="P4" s="405"/>
      <c r="Q4" s="405"/>
      <c r="R4" s="405"/>
      <c r="S4" s="40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C1C3-3D55-47AF-B206-B5A7CFBADD2F}">
  <sheetPr>
    <tabColor theme="4"/>
  </sheetPr>
  <dimension ref="A1:AK105"/>
  <sheetViews>
    <sheetView showGridLines="0" zoomScale="90" zoomScaleNormal="90" zoomScaleSheetLayoutView="85" workbookViewId="0">
      <selection activeCell="A2" sqref="A2:XFD17"/>
    </sheetView>
  </sheetViews>
  <sheetFormatPr baseColWidth="10" defaultColWidth="11" defaultRowHeight="16" outlineLevelCol="1" x14ac:dyDescent="0.2"/>
  <cols>
    <col min="1" max="1" width="3.1640625" style="497" customWidth="1"/>
    <col min="2" max="2" width="35.5" customWidth="1"/>
    <col min="3" max="3" width="11.1640625" bestFit="1" customWidth="1"/>
    <col min="4" max="4" width="13" bestFit="1" customWidth="1"/>
    <col min="5" max="5" width="11.1640625" customWidth="1"/>
    <col min="6" max="13" width="14.1640625" customWidth="1"/>
    <col min="14" max="18" width="12.1640625" customWidth="1" outlineLevel="1"/>
    <col min="19" max="19" width="3.6640625" customWidth="1"/>
    <col min="20" max="20" width="14" style="497" bestFit="1" customWidth="1"/>
    <col min="21" max="21" width="13.1640625" style="497" bestFit="1" customWidth="1"/>
    <col min="22" max="22" width="14" style="497" bestFit="1" customWidth="1"/>
    <col min="23" max="23" width="13" style="497" customWidth="1"/>
    <col min="24" max="34" width="13.1640625" style="497" bestFit="1" customWidth="1"/>
    <col min="35" max="36" width="11" style="497"/>
    <col min="37" max="37" width="12.5" style="497" bestFit="1" customWidth="1"/>
    <col min="38" max="16384" width="11" style="497"/>
  </cols>
  <sheetData>
    <row r="1" spans="1:19" ht="21" x14ac:dyDescent="0.25">
      <c r="A1" s="75"/>
      <c r="B1" s="493" t="s">
        <v>140</v>
      </c>
      <c r="C1" s="565"/>
      <c r="D1" s="565"/>
      <c r="E1" s="565"/>
    </row>
    <row r="2" spans="1:19" ht="21" x14ac:dyDescent="0.25">
      <c r="A2" s="75"/>
      <c r="B2" s="563" t="s">
        <v>141</v>
      </c>
      <c r="C2" s="563"/>
      <c r="D2" s="563"/>
      <c r="E2" s="56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</row>
    <row r="3" spans="1:19" hidden="1" x14ac:dyDescent="0.2">
      <c r="A3" s="261"/>
      <c r="H3" s="138"/>
    </row>
    <row r="4" spans="1:19" hidden="1" x14ac:dyDescent="0.2">
      <c r="A4" s="261"/>
      <c r="B4" s="194" t="s">
        <v>142</v>
      </c>
      <c r="C4" s="194"/>
      <c r="D4" s="194"/>
      <c r="E4" s="3"/>
      <c r="F4" s="609" t="s">
        <v>143</v>
      </c>
      <c r="G4" s="194"/>
      <c r="H4" s="194"/>
    </row>
    <row r="5" spans="1:19" hidden="1" x14ac:dyDescent="0.2">
      <c r="A5" s="261"/>
      <c r="B5" s="242" t="s">
        <v>144</v>
      </c>
      <c r="D5" s="572">
        <f>'Returns Land+Home'!D5</f>
        <v>83066760.549476773</v>
      </c>
      <c r="F5" s="242" t="s">
        <v>145</v>
      </c>
      <c r="H5" s="572">
        <f>'Returns Land+Home'!H5</f>
        <v>339117520.42109382</v>
      </c>
    </row>
    <row r="6" spans="1:19" hidden="1" x14ac:dyDescent="0.2">
      <c r="A6" s="261"/>
      <c r="B6" s="242" t="s">
        <v>146</v>
      </c>
      <c r="D6" s="572">
        <f>'Returns Land+Home'!D6</f>
        <v>279912500</v>
      </c>
      <c r="F6" s="295" t="s">
        <v>147</v>
      </c>
      <c r="H6" s="572">
        <f>'Returns Land+Home'!H6</f>
        <v>250786566.63940471</v>
      </c>
    </row>
    <row r="7" spans="1:19" hidden="1" x14ac:dyDescent="0.2">
      <c r="A7" s="261"/>
      <c r="B7" s="608" t="s">
        <v>148</v>
      </c>
      <c r="D7" s="612">
        <f>'Returns Land+Home'!D7</f>
        <v>30975000</v>
      </c>
      <c r="F7" s="611" t="s">
        <v>149</v>
      </c>
      <c r="H7" s="572">
        <f>'Returns Land+Home'!H7</f>
        <v>88330953.781689107</v>
      </c>
    </row>
    <row r="8" spans="1:19" hidden="1" x14ac:dyDescent="0.2">
      <c r="A8" s="261"/>
      <c r="B8" s="608" t="s">
        <v>150</v>
      </c>
      <c r="D8" s="610">
        <f>'Returns Land+Home'!D8</f>
        <v>0.49717514124293788</v>
      </c>
      <c r="F8" s="242" t="s">
        <v>151</v>
      </c>
      <c r="H8" s="607">
        <f>'Returns Land+Home'!H8</f>
        <v>0.26047298786569784</v>
      </c>
    </row>
    <row r="9" spans="1:19" hidden="1" x14ac:dyDescent="0.2">
      <c r="A9" s="261"/>
      <c r="B9" s="608" t="s">
        <v>152</v>
      </c>
      <c r="D9" s="607">
        <f>'Returns Land+Home'!D9</f>
        <v>0.81460695110618464</v>
      </c>
      <c r="F9" s="242" t="s">
        <v>153</v>
      </c>
      <c r="H9" s="599">
        <f>'Returns Land+Home'!H9</f>
        <v>5.7357762195902016</v>
      </c>
      <c r="L9" s="2"/>
      <c r="M9" s="2"/>
      <c r="N9" s="2"/>
      <c r="O9" s="2"/>
      <c r="P9" s="2"/>
      <c r="Q9" s="2"/>
      <c r="R9" s="2"/>
      <c r="S9" s="2"/>
    </row>
    <row r="10" spans="1:19" hidden="1" x14ac:dyDescent="0.2">
      <c r="A10" s="261"/>
      <c r="B10" s="242" t="s">
        <v>154</v>
      </c>
      <c r="D10" s="471">
        <f>'Returns Land+Home'!D10</f>
        <v>0.11019829070886317</v>
      </c>
      <c r="F10" s="11"/>
      <c r="I10" s="138"/>
      <c r="K10" s="599"/>
      <c r="L10" s="11"/>
      <c r="M10" s="11"/>
      <c r="N10" s="11"/>
    </row>
    <row r="11" spans="1:19" hidden="1" x14ac:dyDescent="0.2">
      <c r="A11" s="261"/>
      <c r="B11" s="608"/>
      <c r="L11" s="11"/>
      <c r="M11" s="11"/>
      <c r="N11" s="11"/>
    </row>
    <row r="12" spans="1:19" hidden="1" x14ac:dyDescent="0.2">
      <c r="A12" s="261"/>
      <c r="B12" s="609" t="s">
        <v>155</v>
      </c>
      <c r="C12" s="275"/>
      <c r="D12" s="275"/>
      <c r="F12" s="11"/>
      <c r="L12" s="11"/>
      <c r="M12" s="11"/>
      <c r="N12" s="11"/>
    </row>
    <row r="13" spans="1:19" hidden="1" x14ac:dyDescent="0.2">
      <c r="A13" s="261"/>
      <c r="B13" s="608" t="s">
        <v>156</v>
      </c>
      <c r="D13" s="572">
        <f>'Returns Land+Home'!D13</f>
        <v>88855953.781689137</v>
      </c>
      <c r="L13" s="11"/>
      <c r="M13" s="11"/>
      <c r="N13" s="11"/>
    </row>
    <row r="14" spans="1:19" hidden="1" x14ac:dyDescent="0.2">
      <c r="A14" s="261"/>
      <c r="B14" s="608" t="s">
        <v>157</v>
      </c>
      <c r="D14" s="599">
        <f>'Returns Land+Home'!D14</f>
        <v>6.7698671286811125</v>
      </c>
      <c r="L14" s="11"/>
      <c r="M14" s="11"/>
      <c r="N14" s="11"/>
    </row>
    <row r="15" spans="1:19" hidden="1" x14ac:dyDescent="0.2">
      <c r="A15" s="261"/>
      <c r="B15" s="242" t="s">
        <v>158</v>
      </c>
      <c r="D15" s="607">
        <f>'Returns Land+Home'!D15</f>
        <v>5.7698671286811125</v>
      </c>
      <c r="F15" s="11"/>
      <c r="L15" s="11"/>
      <c r="M15" s="11"/>
      <c r="N15" s="11"/>
    </row>
    <row r="16" spans="1:19" hidden="1" x14ac:dyDescent="0.2">
      <c r="A16" s="261"/>
      <c r="B16" s="242" t="s">
        <v>159</v>
      </c>
      <c r="D16" s="607">
        <f>'Returns Land+Home'!D16</f>
        <v>0.53538526892662042</v>
      </c>
    </row>
    <row r="17" spans="1:37" x14ac:dyDescent="0.2">
      <c r="A17" s="261"/>
      <c r="B17" s="242"/>
      <c r="D17" s="607"/>
    </row>
    <row r="18" spans="1:37" x14ac:dyDescent="0.2">
      <c r="A18" s="261"/>
      <c r="B18" s="606"/>
      <c r="E18" s="605"/>
      <c r="F18" s="251" t="str">
        <f>'Proforma Land+Home'!E3</f>
        <v>Year 0</v>
      </c>
      <c r="G18" s="251" t="str">
        <f>'Proforma Land+Home'!F3</f>
        <v>Year 1</v>
      </c>
      <c r="H18" s="251" t="str">
        <f>'Proforma Land+Home'!G3</f>
        <v>Year 2</v>
      </c>
      <c r="I18" s="251" t="str">
        <f>'Proforma Land+Home'!H3</f>
        <v>Year 3</v>
      </c>
      <c r="J18" s="251" t="str">
        <f>'Proforma Land+Home'!I3</f>
        <v>Year 4</v>
      </c>
      <c r="K18" s="251" t="str">
        <f>'Proforma Land+Home'!J3</f>
        <v>Year 5</v>
      </c>
      <c r="L18" s="251" t="str">
        <f>'Proforma Land+Home'!K3</f>
        <v>Year 6</v>
      </c>
      <c r="M18" s="251" t="str">
        <f>'Proforma Land+Home'!L3</f>
        <v>Year 7</v>
      </c>
      <c r="N18" s="251" t="str">
        <f>'Proforma Land+Home'!M3</f>
        <v>Year 8</v>
      </c>
      <c r="O18" s="251" t="str">
        <f>'Proforma Land+Home'!N3</f>
        <v>Year 9</v>
      </c>
      <c r="P18" s="251" t="str">
        <f>'Proforma Land+Home'!O3</f>
        <v>Year 10</v>
      </c>
      <c r="Q18" s="251" t="str">
        <f>'Proforma Land+Home'!P3</f>
        <v>Year 11</v>
      </c>
      <c r="R18" s="251" t="str">
        <f>'Proforma Land+Home'!Q3</f>
        <v>Year 12</v>
      </c>
    </row>
    <row r="19" spans="1:37" s="619" customFormat="1" x14ac:dyDescent="0.2">
      <c r="A19" s="261"/>
      <c r="B19" s="3"/>
      <c r="C19" s="3"/>
      <c r="D19" s="3"/>
      <c r="E19" s="3"/>
      <c r="F19" s="6">
        <f>'Proforma Land+Home'!E4</f>
        <v>2025</v>
      </c>
      <c r="G19" s="6">
        <f>'Proforma Land+Home'!F4</f>
        <v>2026</v>
      </c>
      <c r="H19" s="6">
        <f>'Proforma Land+Home'!G4</f>
        <v>2027</v>
      </c>
      <c r="I19" s="6">
        <f>'Proforma Land+Home'!H4</f>
        <v>2028</v>
      </c>
      <c r="J19" s="6">
        <f>'Proforma Land+Home'!I4</f>
        <v>2029</v>
      </c>
      <c r="K19" s="6">
        <f>'Proforma Land+Home'!J4</f>
        <v>2030</v>
      </c>
      <c r="L19" s="6">
        <f>'Proforma Land+Home'!K4</f>
        <v>2031</v>
      </c>
      <c r="M19" s="6">
        <f>'Proforma Land+Home'!L4</f>
        <v>2032</v>
      </c>
      <c r="N19" s="6">
        <f>'Proforma Land+Home'!M4</f>
        <v>2033</v>
      </c>
      <c r="O19" s="6">
        <f>'Proforma Land+Home'!N4</f>
        <v>2034</v>
      </c>
      <c r="P19" s="6">
        <f>'Proforma Land+Home'!O4</f>
        <v>2035</v>
      </c>
      <c r="Q19" s="6">
        <f>'Proforma Land+Home'!P4</f>
        <v>2036</v>
      </c>
      <c r="R19" s="6">
        <f>'Proforma Land+Home'!Q4</f>
        <v>2037</v>
      </c>
      <c r="S19"/>
      <c r="T19" s="497"/>
      <c r="U19" s="497"/>
      <c r="V19" s="497"/>
      <c r="W19" s="497"/>
      <c r="X19" s="497"/>
      <c r="Y19" s="497"/>
      <c r="Z19" s="497"/>
    </row>
    <row r="20" spans="1:37" x14ac:dyDescent="0.2">
      <c r="A20" s="261"/>
      <c r="B20" s="55" t="s">
        <v>160</v>
      </c>
      <c r="C20" s="2"/>
      <c r="D20" s="2"/>
      <c r="E20" s="2"/>
      <c r="F20" s="600">
        <f>'Proforma Land+Home'!E5</f>
        <v>45658</v>
      </c>
      <c r="G20" s="600">
        <f>'Proforma Land+Home'!F5</f>
        <v>46023</v>
      </c>
      <c r="H20" s="600">
        <f>'Proforma Land+Home'!G5</f>
        <v>46388</v>
      </c>
      <c r="I20" s="600">
        <f>'Proforma Land+Home'!H5</f>
        <v>46753</v>
      </c>
      <c r="J20" s="600">
        <f>'Proforma Land+Home'!I5</f>
        <v>47119</v>
      </c>
      <c r="K20" s="600">
        <f>'Proforma Land+Home'!J5</f>
        <v>47484</v>
      </c>
      <c r="L20" s="600">
        <f>'Proforma Land+Home'!K5</f>
        <v>47849</v>
      </c>
      <c r="M20" s="600">
        <f>'Proforma Land+Home'!L5</f>
        <v>48214</v>
      </c>
      <c r="N20" s="600">
        <f>'Proforma Land+Home'!M5</f>
        <v>48579</v>
      </c>
      <c r="O20" s="600">
        <f>'Proforma Land+Home'!N5</f>
        <v>48944</v>
      </c>
      <c r="P20" s="600">
        <f>'Proforma Land+Home'!O5</f>
        <v>49309</v>
      </c>
      <c r="Q20" s="600">
        <f>'Proforma Land+Home'!P5</f>
        <v>49675</v>
      </c>
      <c r="R20" s="600">
        <f>'Proforma Land+Home'!Q5</f>
        <v>50040</v>
      </c>
      <c r="S20" s="2"/>
      <c r="T20" s="603"/>
      <c r="U20" s="603"/>
      <c r="V20" s="603"/>
      <c r="W20" s="603"/>
      <c r="X20" s="603"/>
      <c r="Y20" s="603"/>
      <c r="Z20" s="603"/>
      <c r="AA20" s="603"/>
      <c r="AB20" s="603"/>
      <c r="AC20" s="603"/>
      <c r="AD20" s="603"/>
      <c r="AE20" s="603"/>
      <c r="AF20" s="603"/>
      <c r="AG20" s="603"/>
      <c r="AH20" s="603"/>
      <c r="AI20" s="603"/>
      <c r="AJ20" s="603"/>
      <c r="AK20" s="603"/>
    </row>
    <row r="21" spans="1:37" x14ac:dyDescent="0.2">
      <c r="A21" s="261"/>
      <c r="B21" s="34" t="s">
        <v>161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266"/>
      <c r="T21" s="603"/>
      <c r="U21" s="603"/>
      <c r="V21" s="603"/>
      <c r="W21" s="603"/>
      <c r="X21" s="603"/>
      <c r="Y21" s="603"/>
      <c r="Z21" s="603"/>
      <c r="AA21" s="603"/>
      <c r="AB21" s="603"/>
      <c r="AC21" s="603"/>
      <c r="AD21" s="603"/>
      <c r="AE21" s="603"/>
      <c r="AF21" s="603"/>
      <c r="AG21" s="603"/>
      <c r="AH21" s="603"/>
      <c r="AI21" s="603"/>
      <c r="AJ21" s="603"/>
      <c r="AK21" s="603"/>
    </row>
    <row r="22" spans="1:37" x14ac:dyDescent="0.2">
      <c r="A22" s="261"/>
      <c r="B22" s="173" t="s">
        <v>32</v>
      </c>
      <c r="D22" s="148">
        <f t="shared" ref="D22:D23" si="0">SUM(F22:R22)</f>
        <v>20940638.197832163</v>
      </c>
      <c r="F22" s="92">
        <f>'Returns Land+Home'!F22+'Returns A+H'!F22</f>
        <v>0</v>
      </c>
      <c r="G22" s="92">
        <f>'Returns Land+Home'!G22+'Returns A+H'!G22</f>
        <v>0</v>
      </c>
      <c r="H22" s="92">
        <f>'Returns Land+Home'!H22+'Returns A+H'!H22</f>
        <v>1968762.0715972774</v>
      </c>
      <c r="I22" s="92">
        <f>'Returns Land+Home'!I22+'Returns A+H'!I22</f>
        <v>6074217.6713240612</v>
      </c>
      <c r="J22" s="92">
        <f>'Returns Land+Home'!J22+'Returns A+H'!J22</f>
        <v>12897658.454910826</v>
      </c>
      <c r="K22" s="92">
        <f>'Returns Land+Home'!K22+'Returns A+H'!K22</f>
        <v>0</v>
      </c>
      <c r="L22" s="92">
        <f>'Returns Land+Home'!L22+'Returns A+H'!L22</f>
        <v>0</v>
      </c>
      <c r="M22" s="92">
        <f>'Returns Land+Home'!M22+'Returns A+H'!M22</f>
        <v>0</v>
      </c>
      <c r="N22" s="92">
        <f>'Returns Land+Home'!N22+'Returns A+H'!N22</f>
        <v>0</v>
      </c>
      <c r="O22" s="92">
        <f>'Returns Land+Home'!O22+'Returns A+H'!O22</f>
        <v>0</v>
      </c>
      <c r="P22" s="92">
        <f>'Returns Land+Home'!P22+'Returns A+H'!P22</f>
        <v>0</v>
      </c>
      <c r="Q22" s="92">
        <f>'Returns Land+Home'!Q22+'Returns A+H'!Q22</f>
        <v>0</v>
      </c>
      <c r="R22" s="92">
        <f>'Returns Land+Home'!R22+'Returns A+H'!R22</f>
        <v>0</v>
      </c>
      <c r="S22" s="266"/>
      <c r="T22" s="603"/>
      <c r="U22" s="603"/>
      <c r="V22" s="603"/>
    </row>
    <row r="23" spans="1:37" x14ac:dyDescent="0.2">
      <c r="A23" s="261"/>
      <c r="B23" s="272" t="s">
        <v>162</v>
      </c>
      <c r="C23" s="225"/>
      <c r="D23" s="271" t="e">
        <f t="shared" ca="1" si="0"/>
        <v>#VALUE!</v>
      </c>
      <c r="E23" s="225"/>
      <c r="F23" s="77">
        <f>'Returns Land+Home'!F23+'Returns A+H'!F23</f>
        <v>0</v>
      </c>
      <c r="G23" s="77">
        <f>'Returns Land+Home'!G23+'Returns A+H'!G23</f>
        <v>0</v>
      </c>
      <c r="H23" s="77">
        <f>'Returns Land+Home'!H23+'Returns A+H'!H23</f>
        <v>0</v>
      </c>
      <c r="I23" s="77">
        <f>'Returns Land+Home'!I23+'Returns A+H'!I23</f>
        <v>0</v>
      </c>
      <c r="J23" s="77">
        <f>'Returns Land+Home'!J23+'Returns A+H'!J23</f>
        <v>22249736.560804602</v>
      </c>
      <c r="K23" s="77">
        <f>'Returns Land+Home'!K23+'Returns A+H'!K23</f>
        <v>2681101.7264253967</v>
      </c>
      <c r="L23" s="77">
        <f>'Returns Land+Home'!L23+'Returns A+H'!L23</f>
        <v>19243075.835054923</v>
      </c>
      <c r="M23" s="77" t="e">
        <f ca="1">'Returns Land+Home'!M23+'Returns A+H'!M23</f>
        <v>#VALUE!</v>
      </c>
      <c r="N23" s="77">
        <f>'Returns Land+Home'!N23+'Returns A+H'!N23</f>
        <v>0</v>
      </c>
      <c r="O23" s="77">
        <f>'Returns Land+Home'!O23+'Returns A+H'!O23</f>
        <v>0</v>
      </c>
      <c r="P23" s="77">
        <f>'Returns Land+Home'!P23+'Returns A+H'!P23</f>
        <v>0</v>
      </c>
      <c r="Q23" s="77">
        <f>'Returns Land+Home'!Q23+'Returns A+H'!Q23</f>
        <v>0</v>
      </c>
      <c r="R23" s="77">
        <f>'Returns Land+Home'!R23+'Returns A+H'!R23</f>
        <v>0</v>
      </c>
      <c r="S23" s="266"/>
      <c r="T23" s="603"/>
      <c r="U23" s="603"/>
      <c r="V23" s="603"/>
    </row>
    <row r="24" spans="1:37" x14ac:dyDescent="0.2">
      <c r="A24" s="261"/>
      <c r="B24" s="133" t="s">
        <v>163</v>
      </c>
      <c r="D24" s="109" t="e">
        <f ca="1">SUM(F24:R24)</f>
        <v>#VALUE!</v>
      </c>
      <c r="F24" s="92">
        <f>F22+F23</f>
        <v>0</v>
      </c>
      <c r="G24" s="92">
        <f t="shared" ref="G24:R24" si="1">G22+G23</f>
        <v>0</v>
      </c>
      <c r="H24" s="92">
        <f t="shared" si="1"/>
        <v>1968762.0715972774</v>
      </c>
      <c r="I24" s="92">
        <f t="shared" si="1"/>
        <v>6074217.6713240612</v>
      </c>
      <c r="J24" s="92">
        <f t="shared" si="1"/>
        <v>35147395.015715428</v>
      </c>
      <c r="K24" s="92">
        <f t="shared" si="1"/>
        <v>2681101.7264253967</v>
      </c>
      <c r="L24" s="92">
        <f t="shared" si="1"/>
        <v>19243075.835054923</v>
      </c>
      <c r="M24" s="92" t="e">
        <f t="shared" ca="1" si="1"/>
        <v>#VALUE!</v>
      </c>
      <c r="N24" s="92">
        <f t="shared" si="1"/>
        <v>0</v>
      </c>
      <c r="O24" s="92">
        <f t="shared" si="1"/>
        <v>0</v>
      </c>
      <c r="P24" s="92">
        <f t="shared" si="1"/>
        <v>0</v>
      </c>
      <c r="Q24" s="92">
        <f t="shared" si="1"/>
        <v>0</v>
      </c>
      <c r="R24" s="92">
        <f t="shared" si="1"/>
        <v>0</v>
      </c>
      <c r="S24" s="266"/>
      <c r="T24" s="603"/>
      <c r="U24" s="603"/>
      <c r="V24" s="603"/>
    </row>
    <row r="25" spans="1:37" x14ac:dyDescent="0.2">
      <c r="A25" s="261"/>
      <c r="B25" s="594" t="s">
        <v>164</v>
      </c>
      <c r="C25" s="2"/>
      <c r="D25" s="601">
        <f>SUM(F25:R25)</f>
        <v>15000000</v>
      </c>
      <c r="E25" s="2"/>
      <c r="F25" s="521">
        <f>'Returns Land+Home'!F25+'Returns A+H'!F25</f>
        <v>15000000</v>
      </c>
      <c r="G25" s="521">
        <f>'Returns Land+Home'!G25+'Returns A+H'!G25</f>
        <v>0</v>
      </c>
      <c r="H25" s="521">
        <f>'Returns Land+Home'!H25+'Returns A+H'!H25</f>
        <v>0</v>
      </c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266"/>
      <c r="T25" s="603"/>
      <c r="U25" s="603"/>
      <c r="V25" s="603"/>
      <c r="W25" s="603"/>
      <c r="X25" s="603"/>
      <c r="Y25" s="603"/>
      <c r="Z25" s="603"/>
      <c r="AA25" s="603"/>
      <c r="AB25" s="603"/>
      <c r="AC25" s="603"/>
      <c r="AD25" s="603"/>
      <c r="AE25" s="603"/>
      <c r="AF25" s="603"/>
      <c r="AG25" s="603"/>
      <c r="AH25" s="603"/>
      <c r="AI25" s="603"/>
      <c r="AJ25" s="603"/>
      <c r="AK25" s="603"/>
    </row>
    <row r="26" spans="1:37" ht="17" thickBot="1" x14ac:dyDescent="0.25">
      <c r="A26" s="261"/>
      <c r="B26" s="594" t="s">
        <v>165</v>
      </c>
      <c r="C26" s="2"/>
      <c r="D26" s="604" t="e">
        <f ca="1">SUM(F26:R26)</f>
        <v>#VALUE!</v>
      </c>
      <c r="E26" s="2"/>
      <c r="F26" s="521">
        <f>F24-F25</f>
        <v>-15000000</v>
      </c>
      <c r="G26" s="521">
        <f t="shared" ref="G26:R26" si="2">G24-G25</f>
        <v>0</v>
      </c>
      <c r="H26" s="521">
        <f t="shared" si="2"/>
        <v>1968762.0715972774</v>
      </c>
      <c r="I26" s="521">
        <f t="shared" si="2"/>
        <v>6074217.6713240612</v>
      </c>
      <c r="J26" s="521">
        <f t="shared" si="2"/>
        <v>35147395.015715428</v>
      </c>
      <c r="K26" s="521">
        <f t="shared" si="2"/>
        <v>2681101.7264253967</v>
      </c>
      <c r="L26" s="521">
        <f t="shared" si="2"/>
        <v>19243075.835054923</v>
      </c>
      <c r="M26" s="521" t="e">
        <f t="shared" ca="1" si="2"/>
        <v>#VALUE!</v>
      </c>
      <c r="N26" s="521">
        <f t="shared" si="2"/>
        <v>0</v>
      </c>
      <c r="O26" s="521">
        <f t="shared" si="2"/>
        <v>0</v>
      </c>
      <c r="P26" s="521">
        <f t="shared" si="2"/>
        <v>0</v>
      </c>
      <c r="Q26" s="521">
        <f t="shared" si="2"/>
        <v>0</v>
      </c>
      <c r="R26" s="521">
        <f t="shared" si="2"/>
        <v>0</v>
      </c>
      <c r="S26" s="266"/>
      <c r="T26" s="603"/>
      <c r="U26" s="603"/>
      <c r="V26" s="603"/>
      <c r="W26" s="603"/>
      <c r="X26" s="603"/>
      <c r="Y26" s="603"/>
      <c r="Z26" s="603"/>
      <c r="AA26" s="603"/>
      <c r="AB26" s="603"/>
      <c r="AC26" s="603"/>
      <c r="AD26" s="603"/>
      <c r="AE26" s="603"/>
      <c r="AF26" s="603"/>
      <c r="AG26" s="603"/>
      <c r="AH26" s="603"/>
      <c r="AI26" s="603"/>
      <c r="AJ26" s="603"/>
      <c r="AK26" s="603"/>
    </row>
    <row r="27" spans="1:37" ht="17" thickTop="1" x14ac:dyDescent="0.2">
      <c r="A27" s="261"/>
      <c r="B27" s="594" t="s">
        <v>166</v>
      </c>
      <c r="C27" s="2"/>
      <c r="D27" s="2"/>
      <c r="E27" s="2"/>
      <c r="F27" s="593" t="e">
        <f ca="1">XIRR(G26:R26,G20:R20)</f>
        <v>#VALUE!</v>
      </c>
    </row>
    <row r="28" spans="1:37" x14ac:dyDescent="0.2">
      <c r="A28" s="261"/>
      <c r="B28" s="594" t="s">
        <v>167</v>
      </c>
      <c r="C28" s="2"/>
      <c r="D28" s="2"/>
      <c r="E28" s="2"/>
      <c r="F28" s="598">
        <f ca="1">SUMIF(F26:R26,"&gt;0")/-SUMIF(F26:R26,"&lt;0")</f>
        <v>4.3409701546744728</v>
      </c>
    </row>
    <row r="29" spans="1:37" x14ac:dyDescent="0.2">
      <c r="A29" s="261"/>
      <c r="B29" s="594" t="s">
        <v>168</v>
      </c>
      <c r="C29" s="2"/>
      <c r="D29" s="2"/>
      <c r="E29" s="2"/>
      <c r="F29" s="521">
        <f t="shared" ref="F29:R29" si="3">F26+E29</f>
        <v>-15000000</v>
      </c>
      <c r="G29" s="521">
        <f t="shared" si="3"/>
        <v>-15000000</v>
      </c>
      <c r="H29" s="521">
        <f t="shared" si="3"/>
        <v>-13031237.928402722</v>
      </c>
      <c r="I29" s="521">
        <f t="shared" si="3"/>
        <v>-6957020.2570786607</v>
      </c>
      <c r="J29" s="521">
        <f t="shared" si="3"/>
        <v>28190374.758636765</v>
      </c>
      <c r="K29" s="521">
        <f t="shared" si="3"/>
        <v>30871476.485062163</v>
      </c>
      <c r="L29" s="521">
        <f t="shared" si="3"/>
        <v>50114552.320117086</v>
      </c>
      <c r="M29" s="521" t="e">
        <f t="shared" ca="1" si="3"/>
        <v>#VALUE!</v>
      </c>
      <c r="N29" s="521" t="e">
        <f t="shared" ca="1" si="3"/>
        <v>#VALUE!</v>
      </c>
      <c r="O29" s="521" t="e">
        <f t="shared" ca="1" si="3"/>
        <v>#VALUE!</v>
      </c>
      <c r="P29" s="521" t="e">
        <f t="shared" ca="1" si="3"/>
        <v>#VALUE!</v>
      </c>
      <c r="Q29" s="521" t="e">
        <f t="shared" ca="1" si="3"/>
        <v>#VALUE!</v>
      </c>
      <c r="R29" s="521" t="e">
        <f t="shared" ca="1" si="3"/>
        <v>#VALUE!</v>
      </c>
    </row>
    <row r="30" spans="1:37" x14ac:dyDescent="0.2">
      <c r="A30" s="261"/>
      <c r="B30" s="594"/>
      <c r="C30" s="2"/>
      <c r="D30" s="2"/>
      <c r="E30" s="2"/>
      <c r="F30" s="521"/>
      <c r="G30" s="521"/>
      <c r="H30" s="521"/>
      <c r="I30" s="521"/>
      <c r="J30" s="521"/>
      <c r="K30" s="521"/>
      <c r="L30" s="521"/>
      <c r="M30" s="521"/>
      <c r="N30" s="521"/>
      <c r="O30" s="521"/>
      <c r="P30" s="521"/>
      <c r="Q30" s="521"/>
      <c r="R30" s="521"/>
    </row>
    <row r="31" spans="1:37" x14ac:dyDescent="0.2">
      <c r="A31" s="261"/>
      <c r="B31" s="34" t="s">
        <v>169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37" x14ac:dyDescent="0.2">
      <c r="A32" s="261"/>
      <c r="B32" s="173" t="s">
        <v>170</v>
      </c>
      <c r="D32" s="148"/>
      <c r="F32" s="92">
        <f>'Returns Land+Home'!F32+'Returns A+H'!F32</f>
        <v>0</v>
      </c>
      <c r="G32" s="92">
        <f>'Returns Land+Home'!G32+'Returns A+H'!G32</f>
        <v>0</v>
      </c>
      <c r="H32" s="92">
        <f>'Returns Land+Home'!H32+'Returns A+H'!H32</f>
        <v>52500.321909260732</v>
      </c>
      <c r="I32" s="92">
        <f>'Returns Land+Home'!I32+'Returns A+H'!I32</f>
        <v>161979.13790197499</v>
      </c>
      <c r="J32" s="92" t="e">
        <f ca="1">'Returns Land+Home'!J32+'Returns A+H'!J32</f>
        <v>#VALUE!</v>
      </c>
      <c r="K32" s="92" t="e">
        <f ca="1">'Returns Land+Home'!K32+'Returns A+H'!K32</f>
        <v>#VALUE!</v>
      </c>
      <c r="L32" s="92" t="e">
        <f ca="1">'Returns Land+Home'!L32+'Returns A+H'!L32</f>
        <v>#VALUE!</v>
      </c>
      <c r="M32" s="92" t="e">
        <f ca="1">'Returns Land+Home'!M32+'Returns A+H'!M32</f>
        <v>#VALUE!</v>
      </c>
      <c r="N32" s="92">
        <f>'Returns Land+Home'!N32+'Returns A+H'!N32</f>
        <v>0</v>
      </c>
      <c r="O32" s="92">
        <f>'Returns Land+Home'!O32+'Returns A+H'!O32</f>
        <v>0</v>
      </c>
      <c r="P32" s="92">
        <f>'Returns Land+Home'!P32+'Returns A+H'!P32</f>
        <v>0</v>
      </c>
      <c r="Q32" s="92">
        <f>'Returns Land+Home'!Q32+'Returns A+H'!Q32</f>
        <v>0</v>
      </c>
      <c r="R32" s="92">
        <f>'Returns Land+Home'!R32+'Returns A+H'!R32</f>
        <v>0</v>
      </c>
      <c r="S32" s="266"/>
      <c r="T32" s="603"/>
      <c r="U32" s="603"/>
      <c r="V32" s="603"/>
    </row>
    <row r="33" spans="1:37" x14ac:dyDescent="0.2">
      <c r="A33" s="261"/>
      <c r="B33" s="272" t="s">
        <v>162</v>
      </c>
      <c r="C33" s="225"/>
      <c r="D33" s="271"/>
      <c r="E33" s="225"/>
      <c r="F33" s="77">
        <f>'Returns Land+Home'!F33+'Returns A+H'!F33</f>
        <v>0</v>
      </c>
      <c r="G33" s="77">
        <f>'Returns Land+Home'!G33+'Returns A+H'!G33</f>
        <v>0</v>
      </c>
      <c r="H33" s="77">
        <f>'Returns Land+Home'!H33+'Returns A+H'!H33</f>
        <v>0</v>
      </c>
      <c r="I33" s="77">
        <f>'Returns Land+Home'!I33+'Returns A+H'!I33</f>
        <v>0</v>
      </c>
      <c r="J33" s="77" t="e">
        <f ca="1">'Returns Land+Home'!J33+'Returns A+H'!J33</f>
        <v>#VALUE!</v>
      </c>
      <c r="K33" s="77" t="e">
        <f ca="1">'Returns Land+Home'!K33+'Returns A+H'!K33</f>
        <v>#VALUE!</v>
      </c>
      <c r="L33" s="77" t="e">
        <f ca="1">'Returns Land+Home'!L33+'Returns A+H'!L33</f>
        <v>#VALUE!</v>
      </c>
      <c r="M33" s="77" t="e">
        <f ca="1">'Returns Land+Home'!M33+'Returns A+H'!M33</f>
        <v>#VALUE!</v>
      </c>
      <c r="N33" s="77">
        <f>'Returns Land+Home'!N33+'Returns A+H'!N33</f>
        <v>0</v>
      </c>
      <c r="O33" s="77">
        <f>'Returns Land+Home'!O33+'Returns A+H'!O33</f>
        <v>0</v>
      </c>
      <c r="P33" s="77">
        <f>'Returns Land+Home'!P33+'Returns A+H'!P33</f>
        <v>0</v>
      </c>
      <c r="Q33" s="77">
        <f>'Returns Land+Home'!Q33+'Returns A+H'!Q33</f>
        <v>0</v>
      </c>
      <c r="R33" s="77">
        <f>'Returns Land+Home'!R33+'Returns A+H'!R33</f>
        <v>0</v>
      </c>
      <c r="S33" s="266"/>
      <c r="T33" s="603"/>
      <c r="U33" s="603"/>
      <c r="V33" s="603"/>
    </row>
    <row r="34" spans="1:37" x14ac:dyDescent="0.2">
      <c r="A34" s="261"/>
      <c r="B34" s="594" t="s">
        <v>171</v>
      </c>
      <c r="C34" s="2"/>
      <c r="D34" s="601" t="e">
        <f t="shared" ref="D34:D35" ca="1" si="4">SUM(F34:R34)</f>
        <v>#VALUE!</v>
      </c>
      <c r="E34" s="2"/>
      <c r="F34" s="521">
        <f>SUM(F32:F33)</f>
        <v>0</v>
      </c>
      <c r="G34" s="521">
        <f t="shared" ref="G34:R34" si="5">SUM(G32:G33)</f>
        <v>0</v>
      </c>
      <c r="H34" s="521">
        <f t="shared" si="5"/>
        <v>52500.321909260732</v>
      </c>
      <c r="I34" s="521">
        <f t="shared" si="5"/>
        <v>161979.13790197499</v>
      </c>
      <c r="J34" s="521" t="e">
        <f t="shared" ca="1" si="5"/>
        <v>#VALUE!</v>
      </c>
      <c r="K34" s="521" t="e">
        <f t="shared" ca="1" si="5"/>
        <v>#VALUE!</v>
      </c>
      <c r="L34" s="521" t="e">
        <f t="shared" ca="1" si="5"/>
        <v>#VALUE!</v>
      </c>
      <c r="M34" s="521" t="e">
        <f t="shared" ca="1" si="5"/>
        <v>#VALUE!</v>
      </c>
      <c r="N34" s="521">
        <f t="shared" si="5"/>
        <v>0</v>
      </c>
      <c r="O34" s="521">
        <f t="shared" si="5"/>
        <v>0</v>
      </c>
      <c r="P34" s="521">
        <f t="shared" si="5"/>
        <v>0</v>
      </c>
      <c r="Q34" s="521">
        <f t="shared" si="5"/>
        <v>0</v>
      </c>
      <c r="R34" s="521">
        <f t="shared" si="5"/>
        <v>0</v>
      </c>
    </row>
    <row r="35" spans="1:37" x14ac:dyDescent="0.2">
      <c r="A35" s="261"/>
      <c r="B35" s="594" t="s">
        <v>164</v>
      </c>
      <c r="C35" s="2"/>
      <c r="D35" s="601">
        <f t="shared" si="4"/>
        <v>400000</v>
      </c>
      <c r="E35" s="2"/>
      <c r="F35" s="521">
        <f>'Returns Land+Home'!F35+'Returns A+H'!F35</f>
        <v>400000</v>
      </c>
      <c r="G35" s="521">
        <f>'Returns Land+Home'!G35+'Returns A+H'!G35</f>
        <v>0</v>
      </c>
      <c r="H35" s="521">
        <f>'Returns Land+Home'!H35+'Returns A+H'!H35</f>
        <v>0</v>
      </c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266"/>
      <c r="T35" s="603"/>
      <c r="U35" s="603"/>
      <c r="V35" s="603"/>
      <c r="W35" s="603"/>
      <c r="X35" s="603"/>
      <c r="Y35" s="603"/>
      <c r="Z35" s="603"/>
      <c r="AA35" s="603"/>
      <c r="AB35" s="603"/>
      <c r="AC35" s="603"/>
      <c r="AD35" s="603"/>
      <c r="AE35" s="603"/>
      <c r="AF35" s="603"/>
      <c r="AG35" s="603"/>
      <c r="AH35" s="603"/>
      <c r="AI35" s="603"/>
      <c r="AJ35" s="603"/>
      <c r="AK35" s="603"/>
    </row>
    <row r="36" spans="1:37" ht="17" thickBot="1" x14ac:dyDescent="0.25">
      <c r="A36" s="261"/>
      <c r="B36" s="594" t="s">
        <v>172</v>
      </c>
      <c r="C36" s="2"/>
      <c r="D36" s="604" t="e">
        <f ca="1">SUM(F36:R36)</f>
        <v>#VALUE!</v>
      </c>
      <c r="E36" s="2"/>
      <c r="F36" s="521">
        <f>F34-F35</f>
        <v>-400000</v>
      </c>
      <c r="G36" s="521">
        <f t="shared" ref="G36:R36" si="6">G34-G35</f>
        <v>0</v>
      </c>
      <c r="H36" s="521">
        <f t="shared" si="6"/>
        <v>52500.321909260732</v>
      </c>
      <c r="I36" s="521">
        <f t="shared" si="6"/>
        <v>161979.13790197499</v>
      </c>
      <c r="J36" s="521" t="e">
        <f t="shared" ca="1" si="6"/>
        <v>#VALUE!</v>
      </c>
      <c r="K36" s="521" t="e">
        <f t="shared" ca="1" si="6"/>
        <v>#VALUE!</v>
      </c>
      <c r="L36" s="521" t="e">
        <f t="shared" ca="1" si="6"/>
        <v>#VALUE!</v>
      </c>
      <c r="M36" s="521" t="e">
        <f t="shared" ca="1" si="6"/>
        <v>#VALUE!</v>
      </c>
      <c r="N36" s="521">
        <f t="shared" si="6"/>
        <v>0</v>
      </c>
      <c r="O36" s="521">
        <f t="shared" si="6"/>
        <v>0</v>
      </c>
      <c r="P36" s="521">
        <f t="shared" si="6"/>
        <v>0</v>
      </c>
      <c r="Q36" s="521">
        <f t="shared" si="6"/>
        <v>0</v>
      </c>
      <c r="R36" s="521">
        <f t="shared" si="6"/>
        <v>0</v>
      </c>
      <c r="S36" s="266"/>
      <c r="T36" s="603"/>
      <c r="U36" s="603"/>
      <c r="V36" s="603"/>
      <c r="W36" s="603"/>
      <c r="X36" s="603"/>
      <c r="Y36" s="603"/>
      <c r="Z36" s="603"/>
      <c r="AA36" s="603"/>
      <c r="AB36" s="603"/>
      <c r="AC36" s="603"/>
      <c r="AD36" s="603"/>
      <c r="AE36" s="603"/>
      <c r="AF36" s="603"/>
      <c r="AG36" s="603"/>
      <c r="AH36" s="603"/>
      <c r="AI36" s="603"/>
      <c r="AJ36" s="603"/>
      <c r="AK36" s="603"/>
    </row>
    <row r="37" spans="1:37" ht="17" thickTop="1" x14ac:dyDescent="0.2">
      <c r="A37" s="261"/>
      <c r="B37" s="594" t="s">
        <v>173</v>
      </c>
      <c r="C37" s="2"/>
      <c r="D37" s="2"/>
      <c r="E37" s="2"/>
      <c r="F37" s="593" t="e">
        <f ca="1">XIRR(F36:R36,F20:R20)</f>
        <v>#VALUE!</v>
      </c>
    </row>
    <row r="38" spans="1:37" x14ac:dyDescent="0.2">
      <c r="A38" s="261"/>
      <c r="B38" s="594" t="s">
        <v>174</v>
      </c>
      <c r="C38" s="2"/>
      <c r="D38" s="2"/>
      <c r="E38" s="2"/>
      <c r="F38" s="598">
        <f ca="1">SUMIF(F36:R36,"&gt;0")/-SUMIF(F36:R36,"&lt;0")</f>
        <v>0.53619864952808927</v>
      </c>
    </row>
    <row r="39" spans="1:37" x14ac:dyDescent="0.2">
      <c r="A39" s="261"/>
      <c r="B39" s="594" t="s">
        <v>168</v>
      </c>
      <c r="C39" s="2"/>
      <c r="D39" s="2"/>
      <c r="E39" s="2"/>
      <c r="F39" s="521">
        <f t="shared" ref="F39:R39" si="7">F36+E39</f>
        <v>-400000</v>
      </c>
      <c r="G39" s="521">
        <f t="shared" si="7"/>
        <v>-400000</v>
      </c>
      <c r="H39" s="521">
        <f t="shared" si="7"/>
        <v>-347499.6780907393</v>
      </c>
      <c r="I39" s="521">
        <f t="shared" si="7"/>
        <v>-185520.54018876431</v>
      </c>
      <c r="J39" s="521" t="e">
        <f t="shared" ca="1" si="7"/>
        <v>#VALUE!</v>
      </c>
      <c r="K39" s="521" t="e">
        <f t="shared" ca="1" si="7"/>
        <v>#VALUE!</v>
      </c>
      <c r="L39" s="521" t="e">
        <f t="shared" ca="1" si="7"/>
        <v>#VALUE!</v>
      </c>
      <c r="M39" s="521" t="e">
        <f t="shared" ca="1" si="7"/>
        <v>#VALUE!</v>
      </c>
      <c r="N39" s="521" t="e">
        <f t="shared" ca="1" si="7"/>
        <v>#VALUE!</v>
      </c>
      <c r="O39" s="521" t="e">
        <f t="shared" ca="1" si="7"/>
        <v>#VALUE!</v>
      </c>
      <c r="P39" s="521" t="e">
        <f t="shared" ca="1" si="7"/>
        <v>#VALUE!</v>
      </c>
      <c r="Q39" s="521" t="e">
        <f t="shared" ca="1" si="7"/>
        <v>#VALUE!</v>
      </c>
      <c r="R39" s="521" t="e">
        <f t="shared" ca="1" si="7"/>
        <v>#VALUE!</v>
      </c>
    </row>
    <row r="40" spans="1:37" x14ac:dyDescent="0.2">
      <c r="A40" s="261"/>
      <c r="B40" s="594"/>
      <c r="C40" s="2"/>
      <c r="D40" s="2"/>
      <c r="E40" s="2"/>
      <c r="F40" s="602"/>
      <c r="G40" s="2"/>
      <c r="H40" s="12"/>
      <c r="I40" s="12"/>
      <c r="J40" s="12"/>
      <c r="K40" s="12"/>
      <c r="L40" s="12"/>
      <c r="M40" s="12"/>
      <c r="N40" s="12"/>
    </row>
    <row r="41" spans="1:37" x14ac:dyDescent="0.2">
      <c r="A41" s="261"/>
      <c r="B41" s="34" t="s">
        <v>175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37" x14ac:dyDescent="0.2">
      <c r="A42" s="261"/>
      <c r="B42" s="133" t="s">
        <v>163</v>
      </c>
      <c r="D42" s="601" t="e">
        <f t="shared" ref="D42:D47" ca="1" si="8">SUM(F42:R42)</f>
        <v>#VALUE!</v>
      </c>
      <c r="F42" s="92">
        <f>'Returns Land+Home'!F42+'Returns A+H'!F42</f>
        <v>0</v>
      </c>
      <c r="G42" s="92">
        <f>'Returns Land+Home'!G42+'Returns A+H'!G42</f>
        <v>0</v>
      </c>
      <c r="H42" s="92">
        <f>'Returns Land+Home'!H42+'Returns A+H'!H42</f>
        <v>0</v>
      </c>
      <c r="I42" s="92">
        <f>'Returns Land+Home'!I42+'Returns A+H'!I42</f>
        <v>0</v>
      </c>
      <c r="J42" s="92">
        <f>'Returns Land+Home'!J42+'Returns A+H'!J42</f>
        <v>14896191.103249133</v>
      </c>
      <c r="K42" s="92">
        <f>'Returns Land+Home'!K42+'Returns A+H'!K42</f>
        <v>2752597.7724634074</v>
      </c>
      <c r="L42" s="92">
        <f>'Returns Land+Home'!L42+'Returns A+H'!L42</f>
        <v>19756224.523989722</v>
      </c>
      <c r="M42" s="92" t="e">
        <f ca="1">'Returns Land+Home'!M42+'Returns A+H'!M42</f>
        <v>#VALUE!</v>
      </c>
      <c r="N42" s="92">
        <f>'Returns Land+Home'!N42+'Returns A+H'!N42</f>
        <v>0</v>
      </c>
      <c r="O42" s="92">
        <f>'Returns Land+Home'!O42+'Returns A+H'!O42</f>
        <v>0</v>
      </c>
      <c r="P42" s="92">
        <f>'Returns Land+Home'!P42+'Returns A+H'!P42</f>
        <v>0</v>
      </c>
      <c r="Q42" s="92">
        <f>'Returns Land+Home'!Q42+'Returns A+H'!Q42</f>
        <v>0</v>
      </c>
      <c r="R42" s="92">
        <f>'Returns Land+Home'!R42+'Returns A+H'!R42</f>
        <v>0</v>
      </c>
      <c r="S42" s="266"/>
      <c r="T42" s="603"/>
      <c r="U42" s="603"/>
      <c r="V42" s="603"/>
    </row>
    <row r="43" spans="1:37" x14ac:dyDescent="0.2">
      <c r="A43" s="261"/>
      <c r="B43" s="594" t="str">
        <f>'Proforma Land+Home'!B138</f>
        <v xml:space="preserve">Developer Overhead </v>
      </c>
      <c r="C43" s="2"/>
      <c r="D43" s="601" t="e">
        <f t="shared" si="8"/>
        <v>#REF!</v>
      </c>
      <c r="E43" s="2"/>
      <c r="F43" s="521" t="e">
        <f>'Returns Land+Home'!#REF!+'Returns A+H'!F43</f>
        <v>#REF!</v>
      </c>
      <c r="G43" s="521" t="e">
        <f>'Returns Land+Home'!#REF!+'Returns A+H'!G43</f>
        <v>#REF!</v>
      </c>
      <c r="H43" s="521" t="e">
        <f>'Returns Land+Home'!#REF!+'Returns A+H'!H43</f>
        <v>#REF!</v>
      </c>
      <c r="I43" s="521" t="e">
        <f>'Returns Land+Home'!#REF!+'Returns A+H'!I43</f>
        <v>#REF!</v>
      </c>
      <c r="J43" s="521" t="e">
        <f>'Returns Land+Home'!#REF!+'Returns A+H'!J43</f>
        <v>#REF!</v>
      </c>
      <c r="K43" s="521" t="e">
        <f>'Returns Land+Home'!#REF!+'Returns A+H'!K43</f>
        <v>#REF!</v>
      </c>
      <c r="L43" s="521" t="e">
        <f>'Returns Land+Home'!#REF!+'Returns A+H'!L43</f>
        <v>#REF!</v>
      </c>
      <c r="M43" s="521" t="e">
        <f>'Returns Land+Home'!#REF!+'Returns A+H'!M43</f>
        <v>#REF!</v>
      </c>
      <c r="N43" s="521" t="e">
        <f>'Returns Land+Home'!#REF!+'Returns A+H'!N43</f>
        <v>#REF!</v>
      </c>
      <c r="O43" s="521" t="e">
        <f>'Returns Land+Home'!#REF!+'Returns A+H'!O43</f>
        <v>#REF!</v>
      </c>
      <c r="P43" s="521" t="e">
        <f>'Returns Land+Home'!#REF!+'Returns A+H'!P43</f>
        <v>#REF!</v>
      </c>
      <c r="Q43" s="521" t="e">
        <f>'Returns Land+Home'!#REF!+'Returns A+H'!Q43</f>
        <v>#REF!</v>
      </c>
      <c r="R43" s="521" t="e">
        <f>'Returns Land+Home'!#REF!+'Returns A+H'!R43</f>
        <v>#REF!</v>
      </c>
    </row>
    <row r="44" spans="1:37" x14ac:dyDescent="0.2">
      <c r="A44" s="261"/>
      <c r="B44" s="594" t="str">
        <f>'Proforma Land+Home'!B139</f>
        <v>Disposition Fees</v>
      </c>
      <c r="C44" s="2"/>
      <c r="D44" s="601" t="e">
        <f t="shared" si="8"/>
        <v>#REF!</v>
      </c>
      <c r="E44" s="2"/>
      <c r="F44" s="521" t="e">
        <f>'Returns Land+Home'!#REF!</f>
        <v>#REF!</v>
      </c>
      <c r="G44" s="521" t="e">
        <f>'Returns Land+Home'!#REF!</f>
        <v>#REF!</v>
      </c>
      <c r="H44" s="521" t="e">
        <f>'Returns Land+Home'!#REF!</f>
        <v>#REF!</v>
      </c>
      <c r="I44" s="521" t="e">
        <f>'Returns Land+Home'!#REF!</f>
        <v>#REF!</v>
      </c>
      <c r="J44" s="521" t="e">
        <f>'Returns Land+Home'!#REF!</f>
        <v>#REF!</v>
      </c>
      <c r="K44" s="521" t="e">
        <f>'Returns Land+Home'!#REF!</f>
        <v>#REF!</v>
      </c>
      <c r="L44" s="521" t="e">
        <f>'Returns Land+Home'!#REF!</f>
        <v>#REF!</v>
      </c>
      <c r="M44" s="521" t="e">
        <f>'Returns Land+Home'!#REF!</f>
        <v>#REF!</v>
      </c>
      <c r="N44" s="521" t="e">
        <f>'Returns Land+Home'!#REF!</f>
        <v>#REF!</v>
      </c>
      <c r="O44" s="521" t="e">
        <f>'Returns Land+Home'!#REF!</f>
        <v>#REF!</v>
      </c>
      <c r="P44" s="521" t="e">
        <f>'Returns Land+Home'!#REF!</f>
        <v>#REF!</v>
      </c>
      <c r="Q44" s="521" t="e">
        <f>'Returns Land+Home'!#REF!</f>
        <v>#REF!</v>
      </c>
      <c r="R44" s="521" t="e">
        <f>'Returns Land+Home'!#REF!</f>
        <v>#REF!</v>
      </c>
    </row>
    <row r="45" spans="1:37" x14ac:dyDescent="0.2">
      <c r="A45" s="261"/>
      <c r="B45" s="684" t="s">
        <v>172</v>
      </c>
      <c r="C45" s="685"/>
      <c r="D45" s="686" t="e">
        <f t="shared" si="8"/>
        <v>#REF!</v>
      </c>
      <c r="E45" s="685"/>
      <c r="F45" s="687" t="e">
        <f>SUM(F42:F44)</f>
        <v>#REF!</v>
      </c>
      <c r="G45" s="687" t="e">
        <f t="shared" ref="G45:R45" si="9">SUM(G42:G44)</f>
        <v>#REF!</v>
      </c>
      <c r="H45" s="687" t="e">
        <f t="shared" si="9"/>
        <v>#REF!</v>
      </c>
      <c r="I45" s="687" t="e">
        <f t="shared" si="9"/>
        <v>#REF!</v>
      </c>
      <c r="J45" s="687" t="e">
        <f t="shared" si="9"/>
        <v>#REF!</v>
      </c>
      <c r="K45" s="687" t="e">
        <f t="shared" si="9"/>
        <v>#REF!</v>
      </c>
      <c r="L45" s="687" t="e">
        <f t="shared" si="9"/>
        <v>#REF!</v>
      </c>
      <c r="M45" s="687" t="e">
        <f t="shared" ca="1" si="9"/>
        <v>#VALUE!</v>
      </c>
      <c r="N45" s="687" t="e">
        <f t="shared" si="9"/>
        <v>#REF!</v>
      </c>
      <c r="O45" s="687" t="e">
        <f t="shared" si="9"/>
        <v>#REF!</v>
      </c>
      <c r="P45" s="687" t="e">
        <f t="shared" si="9"/>
        <v>#REF!</v>
      </c>
      <c r="Q45" s="687" t="e">
        <f t="shared" si="9"/>
        <v>#REF!</v>
      </c>
      <c r="R45" s="687" t="e">
        <f t="shared" si="9"/>
        <v>#REF!</v>
      </c>
      <c r="S45" s="266"/>
      <c r="T45" s="603"/>
      <c r="U45" s="603"/>
      <c r="V45" s="603"/>
      <c r="W45" s="603"/>
      <c r="X45" s="603"/>
      <c r="Y45" s="603"/>
      <c r="Z45" s="603"/>
      <c r="AA45" s="603"/>
      <c r="AB45" s="603"/>
      <c r="AC45" s="603"/>
      <c r="AD45" s="603"/>
      <c r="AE45" s="603"/>
      <c r="AF45" s="603"/>
      <c r="AG45" s="603"/>
      <c r="AH45" s="603"/>
      <c r="AI45" s="603"/>
      <c r="AJ45" s="603"/>
      <c r="AK45" s="603"/>
    </row>
    <row r="46" spans="1:37" x14ac:dyDescent="0.2">
      <c r="A46" s="261"/>
      <c r="B46" s="594" t="s">
        <v>176</v>
      </c>
      <c r="C46" s="683">
        <f>Assumptions!K11</f>
        <v>0</v>
      </c>
      <c r="D46" s="601" t="e">
        <f t="shared" si="8"/>
        <v>#REF!</v>
      </c>
      <c r="E46" s="2"/>
      <c r="F46" s="521" t="e">
        <f>F45*$C$46</f>
        <v>#REF!</v>
      </c>
      <c r="G46" s="521" t="e">
        <f t="shared" ref="G46:R46" si="10">G45*$C$46</f>
        <v>#REF!</v>
      </c>
      <c r="H46" s="521" t="e">
        <f t="shared" si="10"/>
        <v>#REF!</v>
      </c>
      <c r="I46" s="521" t="e">
        <f t="shared" si="10"/>
        <v>#REF!</v>
      </c>
      <c r="J46" s="521" t="e">
        <f t="shared" si="10"/>
        <v>#REF!</v>
      </c>
      <c r="K46" s="521" t="e">
        <f t="shared" si="10"/>
        <v>#REF!</v>
      </c>
      <c r="L46" s="521" t="e">
        <f t="shared" si="10"/>
        <v>#REF!</v>
      </c>
      <c r="M46" s="521" t="e">
        <f t="shared" ca="1" si="10"/>
        <v>#VALUE!</v>
      </c>
      <c r="N46" s="521" t="e">
        <f t="shared" si="10"/>
        <v>#REF!</v>
      </c>
      <c r="O46" s="521" t="e">
        <f t="shared" si="10"/>
        <v>#REF!</v>
      </c>
      <c r="P46" s="521" t="e">
        <f t="shared" si="10"/>
        <v>#REF!</v>
      </c>
      <c r="Q46" s="521" t="e">
        <f t="shared" si="10"/>
        <v>#REF!</v>
      </c>
      <c r="R46" s="521" t="e">
        <f t="shared" si="10"/>
        <v>#REF!</v>
      </c>
      <c r="S46" s="266"/>
      <c r="T46" s="603"/>
      <c r="U46" s="603"/>
      <c r="V46" s="603"/>
      <c r="W46" s="603"/>
      <c r="X46" s="603"/>
      <c r="Y46" s="603"/>
      <c r="Z46" s="603"/>
      <c r="AA46" s="603"/>
      <c r="AB46" s="603"/>
      <c r="AC46" s="603"/>
      <c r="AD46" s="603"/>
      <c r="AE46" s="603"/>
      <c r="AF46" s="603"/>
      <c r="AG46" s="603"/>
      <c r="AH46" s="603"/>
      <c r="AI46" s="603"/>
      <c r="AJ46" s="603"/>
      <c r="AK46" s="603"/>
    </row>
    <row r="47" spans="1:37" ht="16.25" customHeight="1" x14ac:dyDescent="0.2">
      <c r="A47" s="261"/>
      <c r="B47" s="594" t="s">
        <v>177</v>
      </c>
      <c r="C47" s="683">
        <f>1-C46</f>
        <v>1</v>
      </c>
      <c r="D47" s="601" t="e">
        <f t="shared" si="8"/>
        <v>#REF!</v>
      </c>
      <c r="E47" s="2"/>
      <c r="F47" s="521" t="e">
        <f>F45*$C$47</f>
        <v>#REF!</v>
      </c>
      <c r="G47" s="521" t="e">
        <f t="shared" ref="G47:R47" si="11">G45*$C$47</f>
        <v>#REF!</v>
      </c>
      <c r="H47" s="521" t="e">
        <f t="shared" si="11"/>
        <v>#REF!</v>
      </c>
      <c r="I47" s="521" t="e">
        <f t="shared" si="11"/>
        <v>#REF!</v>
      </c>
      <c r="J47" s="521" t="e">
        <f t="shared" si="11"/>
        <v>#REF!</v>
      </c>
      <c r="K47" s="521" t="e">
        <f t="shared" si="11"/>
        <v>#REF!</v>
      </c>
      <c r="L47" s="521" t="e">
        <f t="shared" si="11"/>
        <v>#REF!</v>
      </c>
      <c r="M47" s="521" t="e">
        <f t="shared" ca="1" si="11"/>
        <v>#VALUE!</v>
      </c>
      <c r="N47" s="521" t="e">
        <f t="shared" si="11"/>
        <v>#REF!</v>
      </c>
      <c r="O47" s="521" t="e">
        <f t="shared" si="11"/>
        <v>#REF!</v>
      </c>
      <c r="P47" s="521" t="e">
        <f t="shared" si="11"/>
        <v>#REF!</v>
      </c>
      <c r="Q47" s="521" t="e">
        <f t="shared" si="11"/>
        <v>#REF!</v>
      </c>
      <c r="R47" s="521" t="e">
        <f t="shared" si="11"/>
        <v>#REF!</v>
      </c>
    </row>
    <row r="48" spans="1:37" customFormat="1" x14ac:dyDescent="0.2">
      <c r="A48" s="265"/>
      <c r="B48" s="3"/>
      <c r="C48" s="4"/>
      <c r="D48" s="4"/>
      <c r="E48" s="4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69"/>
    </row>
    <row r="49" spans="1:20" x14ac:dyDescent="0.2">
      <c r="A49" s="261"/>
      <c r="B49" s="34" t="s">
        <v>178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270"/>
    </row>
    <row r="50" spans="1:20" x14ac:dyDescent="0.2">
      <c r="A50" s="261"/>
      <c r="B50" s="261" t="s">
        <v>179</v>
      </c>
      <c r="D50" s="148" t="e">
        <f t="shared" ref="D50" ca="1" si="12">SUM(F50:R50)</f>
        <v>#VALUE!</v>
      </c>
      <c r="F50" s="12">
        <f>'Returns Land+Home'!F48+'Returns A+H'!F50</f>
        <v>-15400000</v>
      </c>
      <c r="G50" s="12">
        <f>'Returns Land+Home'!G48+'Returns A+H'!G50</f>
        <v>0</v>
      </c>
      <c r="H50" s="12" t="e">
        <f ca="1">'Returns Land+Home'!H48+'Returns A+H'!H50</f>
        <v>#VALUE!</v>
      </c>
      <c r="I50" s="12" t="e">
        <f ca="1">'Returns Land+Home'!I48+'Returns A+H'!I50</f>
        <v>#VALUE!</v>
      </c>
      <c r="J50" s="12" t="e">
        <f ca="1">'Returns Land+Home'!J48+'Returns A+H'!J50</f>
        <v>#VALUE!</v>
      </c>
      <c r="K50" s="12" t="e">
        <f ca="1">'Returns Land+Home'!K48+'Returns A+H'!K50</f>
        <v>#VALUE!</v>
      </c>
      <c r="L50" s="12" t="e">
        <f ca="1">'Returns Land+Home'!L48+'Returns A+H'!L50</f>
        <v>#VALUE!</v>
      </c>
      <c r="M50" s="12" t="e">
        <f ca="1">'Returns Land+Home'!M48+'Returns A+H'!M50</f>
        <v>#VALUE!</v>
      </c>
      <c r="N50" s="12">
        <f>'Returns Land+Home'!N48+'Returns A+H'!N50</f>
        <v>0</v>
      </c>
      <c r="O50" s="12">
        <f>'Returns Land+Home'!O48+'Returns A+H'!O50</f>
        <v>0</v>
      </c>
      <c r="P50" s="12">
        <f>'Returns Land+Home'!P48+'Returns A+H'!P50</f>
        <v>0</v>
      </c>
      <c r="Q50" s="12">
        <f>'Returns Land+Home'!Q48+'Returns A+H'!Q50</f>
        <v>0</v>
      </c>
      <c r="R50" s="12">
        <f>'Returns Land+Home'!R48+'Returns A+H'!R50</f>
        <v>0</v>
      </c>
    </row>
    <row r="51" spans="1:20" x14ac:dyDescent="0.2">
      <c r="A51" s="261"/>
      <c r="B51" s="594" t="s">
        <v>180</v>
      </c>
      <c r="F51" s="593" t="e">
        <f ca="1">XIRR(F50:R50,F20:R20)</f>
        <v>#VALUE!</v>
      </c>
      <c r="G51" s="12"/>
      <c r="H51" s="12"/>
      <c r="I51" s="12"/>
      <c r="J51" s="12"/>
      <c r="K51" s="12"/>
      <c r="L51" s="12"/>
      <c r="M51" s="12"/>
      <c r="N51" s="12"/>
    </row>
    <row r="52" spans="1:20" x14ac:dyDescent="0.2">
      <c r="A52" s="261"/>
      <c r="B52" s="594" t="s">
        <v>174</v>
      </c>
      <c r="F52" s="599">
        <f ca="1">SUMIF(F50:R50,"&gt;0")/-SUMIF(F50:R50,"&lt;0")</f>
        <v>0</v>
      </c>
      <c r="M52" s="597"/>
    </row>
    <row r="53" spans="1:20" x14ac:dyDescent="0.2">
      <c r="A53" s="261"/>
      <c r="F53" s="12"/>
      <c r="G53" s="12"/>
      <c r="H53" s="12"/>
      <c r="I53" s="12"/>
      <c r="J53" s="12"/>
      <c r="K53" s="12"/>
      <c r="L53" s="12"/>
      <c r="M53" s="12"/>
    </row>
    <row r="54" spans="1:20" hidden="1" x14ac:dyDescent="0.2">
      <c r="A54" s="261"/>
      <c r="B54" s="34" t="s">
        <v>181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</row>
    <row r="55" spans="1:20" hidden="1" x14ac:dyDescent="0.2">
      <c r="A55" s="261"/>
      <c r="B55" s="261" t="s">
        <v>179</v>
      </c>
      <c r="F55" s="61">
        <f t="shared" ref="F55:M55" si="13">F50</f>
        <v>-15400000</v>
      </c>
      <c r="G55" s="61">
        <f t="shared" si="13"/>
        <v>0</v>
      </c>
      <c r="H55" s="61" t="e">
        <f t="shared" ca="1" si="13"/>
        <v>#VALUE!</v>
      </c>
      <c r="I55" s="61" t="e">
        <f t="shared" ca="1" si="13"/>
        <v>#VALUE!</v>
      </c>
      <c r="J55" s="61" t="e">
        <f t="shared" ca="1" si="13"/>
        <v>#VALUE!</v>
      </c>
      <c r="K55" s="61" t="e">
        <f t="shared" ca="1" si="13"/>
        <v>#VALUE!</v>
      </c>
      <c r="L55" s="61" t="e">
        <f t="shared" ca="1" si="13"/>
        <v>#VALUE!</v>
      </c>
      <c r="M55" s="61" t="e">
        <f t="shared" ca="1" si="13"/>
        <v>#VALUE!</v>
      </c>
      <c r="N55" s="12">
        <f>'Proforma Land+Home'!M204</f>
        <v>0</v>
      </c>
      <c r="O55" s="12">
        <f>'Proforma Land+Home'!N204</f>
        <v>0</v>
      </c>
      <c r="P55" s="12">
        <f>'Proforma Land+Home'!O204</f>
        <v>0</v>
      </c>
      <c r="Q55" s="12">
        <f>'Proforma Land+Home'!P204</f>
        <v>0</v>
      </c>
      <c r="R55" s="12">
        <f>'Proforma Land+Home'!Q204</f>
        <v>0</v>
      </c>
    </row>
    <row r="56" spans="1:20" hidden="1" x14ac:dyDescent="0.2">
      <c r="A56" s="261"/>
      <c r="B56" s="133" t="s">
        <v>182</v>
      </c>
      <c r="F56" s="61">
        <f>F55</f>
        <v>-15400000</v>
      </c>
      <c r="G56" s="12">
        <f>G55</f>
        <v>0</v>
      </c>
      <c r="H56" s="12" t="e">
        <f ca="1">H55</f>
        <v>#VALUE!</v>
      </c>
      <c r="I56" s="12" t="e">
        <f ca="1">I55</f>
        <v>#VALUE!</v>
      </c>
      <c r="J56" s="12" t="e">
        <f ca="1">J55</f>
        <v>#VALUE!</v>
      </c>
      <c r="K56" s="596"/>
      <c r="L56" s="596" t="e">
        <f ca="1">L55</f>
        <v>#VALUE!</v>
      </c>
      <c r="M56" s="12">
        <v>27400000</v>
      </c>
      <c r="N56" s="12">
        <f>N55</f>
        <v>0</v>
      </c>
      <c r="O56" s="12">
        <f>O55</f>
        <v>0</v>
      </c>
      <c r="P56" s="12">
        <f>P55</f>
        <v>0</v>
      </c>
      <c r="Q56" s="12">
        <f>Q55</f>
        <v>0</v>
      </c>
      <c r="R56" s="12">
        <f>R55</f>
        <v>0</v>
      </c>
      <c r="T56" s="501" t="e">
        <f ca="1">SUM(F56:S56)</f>
        <v>#VALUE!</v>
      </c>
    </row>
    <row r="57" spans="1:20" hidden="1" x14ac:dyDescent="0.2">
      <c r="A57" s="261"/>
      <c r="B57" s="594" t="s">
        <v>183</v>
      </c>
      <c r="E57" s="138"/>
      <c r="F57" s="593" t="e">
        <f ca="1">XIRR(F56:R56,F48:R48)</f>
        <v>#VALUE!</v>
      </c>
      <c r="T57" s="592">
        <f>U79</f>
        <v>0</v>
      </c>
    </row>
    <row r="58" spans="1:20" hidden="1" x14ac:dyDescent="0.2">
      <c r="A58" s="261"/>
      <c r="B58" t="s">
        <v>184</v>
      </c>
      <c r="F58" s="12">
        <f t="shared" ref="F58:R58" si="14">F55-F56</f>
        <v>0</v>
      </c>
      <c r="G58" s="12">
        <f t="shared" si="14"/>
        <v>0</v>
      </c>
      <c r="H58" s="12" t="e">
        <f t="shared" ca="1" si="14"/>
        <v>#VALUE!</v>
      </c>
      <c r="I58" s="12" t="e">
        <f t="shared" ca="1" si="14"/>
        <v>#VALUE!</v>
      </c>
      <c r="J58" s="12" t="e">
        <f t="shared" ca="1" si="14"/>
        <v>#VALUE!</v>
      </c>
      <c r="K58" s="12" t="e">
        <f t="shared" ca="1" si="14"/>
        <v>#VALUE!</v>
      </c>
      <c r="L58" s="12" t="e">
        <f t="shared" ca="1" si="14"/>
        <v>#VALUE!</v>
      </c>
      <c r="M58" s="12" t="e">
        <f t="shared" ca="1" si="14"/>
        <v>#VALUE!</v>
      </c>
      <c r="N58" s="12">
        <f t="shared" si="14"/>
        <v>0</v>
      </c>
      <c r="O58" s="12">
        <f t="shared" si="14"/>
        <v>0</v>
      </c>
      <c r="P58" s="12">
        <f t="shared" si="14"/>
        <v>0</v>
      </c>
      <c r="Q58" s="12">
        <f t="shared" si="14"/>
        <v>0</v>
      </c>
      <c r="R58" s="12">
        <f t="shared" si="14"/>
        <v>0</v>
      </c>
    </row>
    <row r="59" spans="1:20" hidden="1" x14ac:dyDescent="0.2">
      <c r="A59" s="261"/>
      <c r="B59" s="591">
        <f>T82</f>
        <v>0</v>
      </c>
      <c r="C59" s="590">
        <f>U82</f>
        <v>0</v>
      </c>
      <c r="D59" s="590"/>
      <c r="E59" s="590"/>
      <c r="F59" s="57">
        <f t="shared" ref="F59:R60" si="15">F$58*$C59</f>
        <v>0</v>
      </c>
      <c r="G59" s="57">
        <f t="shared" si="15"/>
        <v>0</v>
      </c>
      <c r="H59" s="57" t="e">
        <f t="shared" ca="1" si="15"/>
        <v>#VALUE!</v>
      </c>
      <c r="I59" s="57" t="e">
        <f t="shared" ca="1" si="15"/>
        <v>#VALUE!</v>
      </c>
      <c r="J59" s="57" t="e">
        <f t="shared" ca="1" si="15"/>
        <v>#VALUE!</v>
      </c>
      <c r="K59" s="57" t="e">
        <f t="shared" ca="1" si="15"/>
        <v>#VALUE!</v>
      </c>
      <c r="L59" s="57" t="e">
        <f t="shared" ca="1" si="15"/>
        <v>#VALUE!</v>
      </c>
      <c r="M59" s="57" t="e">
        <f t="shared" ca="1" si="15"/>
        <v>#VALUE!</v>
      </c>
      <c r="N59" s="57">
        <f t="shared" si="15"/>
        <v>0</v>
      </c>
      <c r="O59" s="57">
        <f t="shared" si="15"/>
        <v>0</v>
      </c>
      <c r="P59" s="57">
        <f t="shared" si="15"/>
        <v>0</v>
      </c>
      <c r="Q59" s="57">
        <f t="shared" si="15"/>
        <v>0</v>
      </c>
      <c r="R59" s="57">
        <f t="shared" si="15"/>
        <v>0</v>
      </c>
      <c r="T59" s="501" t="e">
        <f ca="1">SUM(F59:S59)</f>
        <v>#VALUE!</v>
      </c>
    </row>
    <row r="60" spans="1:20" hidden="1" x14ac:dyDescent="0.2">
      <c r="A60" s="261"/>
      <c r="B60" s="261">
        <f>T83</f>
        <v>0</v>
      </c>
      <c r="C60" s="415">
        <f>U83</f>
        <v>0</v>
      </c>
      <c r="D60" s="415"/>
      <c r="E60" s="415"/>
      <c r="F60" s="12">
        <f t="shared" si="15"/>
        <v>0</v>
      </c>
      <c r="G60" s="12">
        <f t="shared" si="15"/>
        <v>0</v>
      </c>
      <c r="H60" s="12" t="e">
        <f t="shared" ca="1" si="15"/>
        <v>#VALUE!</v>
      </c>
      <c r="I60" s="12" t="e">
        <f t="shared" ca="1" si="15"/>
        <v>#VALUE!</v>
      </c>
      <c r="J60" s="12" t="e">
        <f t="shared" ca="1" si="15"/>
        <v>#VALUE!</v>
      </c>
      <c r="K60" s="12" t="e">
        <f t="shared" ca="1" si="15"/>
        <v>#VALUE!</v>
      </c>
      <c r="L60" s="12" t="e">
        <f t="shared" ca="1" si="15"/>
        <v>#VALUE!</v>
      </c>
      <c r="M60" s="12" t="e">
        <f t="shared" ca="1" si="15"/>
        <v>#VALUE!</v>
      </c>
      <c r="N60" s="12">
        <f t="shared" si="15"/>
        <v>0</v>
      </c>
      <c r="O60" s="12">
        <f t="shared" si="15"/>
        <v>0</v>
      </c>
      <c r="P60" s="12">
        <f t="shared" si="15"/>
        <v>0</v>
      </c>
      <c r="Q60" s="12">
        <f t="shared" si="15"/>
        <v>0</v>
      </c>
      <c r="R60" s="12">
        <f t="shared" si="15"/>
        <v>0</v>
      </c>
      <c r="T60" s="501" t="e">
        <f ca="1">SUM(F60:S60)</f>
        <v>#VALUE!</v>
      </c>
    </row>
    <row r="61" spans="1:20" hidden="1" x14ac:dyDescent="0.2">
      <c r="A61" s="261"/>
      <c r="B61" s="261"/>
      <c r="C61" s="415"/>
      <c r="D61" s="415"/>
      <c r="E61" s="415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20" hidden="1" x14ac:dyDescent="0.2">
      <c r="B62" s="34" t="s">
        <v>185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1:20" hidden="1" x14ac:dyDescent="0.2">
      <c r="B63" s="261" t="s">
        <v>179</v>
      </c>
      <c r="F63" s="12" t="e">
        <f>-#REF!</f>
        <v>#REF!</v>
      </c>
      <c r="G63" s="12" t="e">
        <f>-#REF!</f>
        <v>#REF!</v>
      </c>
      <c r="H63" s="12" t="e">
        <f>-#REF!</f>
        <v>#REF!</v>
      </c>
      <c r="I63" s="12" t="e">
        <f t="shared" ref="I63:R63" ca="1" si="16">I60</f>
        <v>#VALUE!</v>
      </c>
      <c r="J63" s="12" t="e">
        <f t="shared" ca="1" si="16"/>
        <v>#VALUE!</v>
      </c>
      <c r="K63" s="12" t="e">
        <f t="shared" ca="1" si="16"/>
        <v>#VALUE!</v>
      </c>
      <c r="L63" s="12" t="e">
        <f t="shared" ca="1" si="16"/>
        <v>#VALUE!</v>
      </c>
      <c r="M63" s="12" t="e">
        <f t="shared" ca="1" si="16"/>
        <v>#VALUE!</v>
      </c>
      <c r="N63" s="12">
        <f t="shared" si="16"/>
        <v>0</v>
      </c>
      <c r="O63" s="12">
        <f t="shared" si="16"/>
        <v>0</v>
      </c>
      <c r="P63" s="12">
        <f t="shared" si="16"/>
        <v>0</v>
      </c>
      <c r="Q63" s="12">
        <f t="shared" si="16"/>
        <v>0</v>
      </c>
      <c r="R63" s="12">
        <f t="shared" si="16"/>
        <v>0</v>
      </c>
    </row>
    <row r="64" spans="1:20" hidden="1" x14ac:dyDescent="0.2">
      <c r="B64" s="133" t="s">
        <v>182</v>
      </c>
      <c r="F64" s="12" t="e">
        <f>F63</f>
        <v>#REF!</v>
      </c>
      <c r="G64" s="12" t="e">
        <f>G63</f>
        <v>#REF!</v>
      </c>
      <c r="H64" s="12"/>
      <c r="I64" s="12"/>
      <c r="J64" s="12"/>
      <c r="K64" s="595"/>
      <c r="L64" s="12"/>
      <c r="M64" s="12"/>
      <c r="N64" s="12"/>
      <c r="O64" s="12"/>
      <c r="P64" s="12"/>
      <c r="Q64" s="12"/>
      <c r="R64" s="12"/>
    </row>
    <row r="65" spans="2:30" hidden="1" x14ac:dyDescent="0.2">
      <c r="B65" s="594" t="s">
        <v>183</v>
      </c>
      <c r="F65" s="593" t="e">
        <f>XIRR(F64:R64,F48:R48)</f>
        <v>#REF!</v>
      </c>
      <c r="T65" s="592">
        <v>0.1</v>
      </c>
    </row>
    <row r="66" spans="2:30" hidden="1" x14ac:dyDescent="0.2">
      <c r="B66" t="s">
        <v>184</v>
      </c>
      <c r="F66" s="12" t="e">
        <f t="shared" ref="F66:R66" si="17">F63-F64</f>
        <v>#REF!</v>
      </c>
      <c r="G66" s="12" t="e">
        <f t="shared" si="17"/>
        <v>#REF!</v>
      </c>
      <c r="H66" s="12" t="e">
        <f t="shared" si="17"/>
        <v>#REF!</v>
      </c>
      <c r="I66" s="12" t="e">
        <f t="shared" ca="1" si="17"/>
        <v>#VALUE!</v>
      </c>
      <c r="J66" s="12" t="e">
        <f t="shared" ca="1" si="17"/>
        <v>#VALUE!</v>
      </c>
      <c r="K66" s="12" t="e">
        <f t="shared" ca="1" si="17"/>
        <v>#VALUE!</v>
      </c>
      <c r="L66" s="12" t="e">
        <f t="shared" ca="1" si="17"/>
        <v>#VALUE!</v>
      </c>
      <c r="M66" s="12" t="e">
        <f t="shared" ca="1" si="17"/>
        <v>#VALUE!</v>
      </c>
      <c r="N66" s="12">
        <f t="shared" si="17"/>
        <v>0</v>
      </c>
      <c r="O66" s="12">
        <f t="shared" si="17"/>
        <v>0</v>
      </c>
      <c r="P66" s="12">
        <f t="shared" si="17"/>
        <v>0</v>
      </c>
      <c r="Q66" s="12">
        <f t="shared" si="17"/>
        <v>0</v>
      </c>
      <c r="R66" s="12">
        <f t="shared" si="17"/>
        <v>0</v>
      </c>
    </row>
    <row r="67" spans="2:30" hidden="1" x14ac:dyDescent="0.2">
      <c r="B67" s="591" t="s">
        <v>186</v>
      </c>
      <c r="C67" s="590">
        <v>0</v>
      </c>
      <c r="D67" s="590"/>
      <c r="E67" s="590"/>
      <c r="F67" s="57" t="e">
        <f t="shared" ref="F67:R68" si="18">F$66*$C67</f>
        <v>#REF!</v>
      </c>
      <c r="G67" s="57" t="e">
        <f t="shared" si="18"/>
        <v>#REF!</v>
      </c>
      <c r="H67" s="57" t="e">
        <f t="shared" si="18"/>
        <v>#REF!</v>
      </c>
      <c r="I67" s="57" t="e">
        <f t="shared" ca="1" si="18"/>
        <v>#VALUE!</v>
      </c>
      <c r="J67" s="57" t="e">
        <f t="shared" ca="1" si="18"/>
        <v>#VALUE!</v>
      </c>
      <c r="K67" s="57" t="e">
        <f t="shared" ca="1" si="18"/>
        <v>#VALUE!</v>
      </c>
      <c r="L67" s="57" t="e">
        <f t="shared" ca="1" si="18"/>
        <v>#VALUE!</v>
      </c>
      <c r="M67" s="57" t="e">
        <f t="shared" ca="1" si="18"/>
        <v>#VALUE!</v>
      </c>
      <c r="N67" s="57">
        <f t="shared" si="18"/>
        <v>0</v>
      </c>
      <c r="O67" s="57">
        <f t="shared" si="18"/>
        <v>0</v>
      </c>
      <c r="P67" s="57">
        <f t="shared" si="18"/>
        <v>0</v>
      </c>
      <c r="Q67" s="57">
        <f t="shared" si="18"/>
        <v>0</v>
      </c>
      <c r="R67" s="57">
        <f t="shared" si="18"/>
        <v>0</v>
      </c>
    </row>
    <row r="68" spans="2:30" hidden="1" x14ac:dyDescent="0.2">
      <c r="B68" s="261" t="s">
        <v>187</v>
      </c>
      <c r="C68" s="415">
        <f>1-C67</f>
        <v>1</v>
      </c>
      <c r="D68" s="415"/>
      <c r="E68" s="415"/>
      <c r="F68" s="12" t="e">
        <f t="shared" si="18"/>
        <v>#REF!</v>
      </c>
      <c r="G68" s="12" t="e">
        <f t="shared" si="18"/>
        <v>#REF!</v>
      </c>
      <c r="H68" s="12" t="e">
        <f t="shared" si="18"/>
        <v>#REF!</v>
      </c>
      <c r="I68" s="12" t="e">
        <f t="shared" ca="1" si="18"/>
        <v>#VALUE!</v>
      </c>
      <c r="J68" s="12" t="e">
        <f t="shared" ca="1" si="18"/>
        <v>#VALUE!</v>
      </c>
      <c r="K68" s="12" t="e">
        <f t="shared" ca="1" si="18"/>
        <v>#VALUE!</v>
      </c>
      <c r="L68" s="12" t="e">
        <f t="shared" ca="1" si="18"/>
        <v>#VALUE!</v>
      </c>
      <c r="M68" s="12" t="e">
        <f t="shared" ca="1" si="18"/>
        <v>#VALUE!</v>
      </c>
      <c r="N68" s="12">
        <f t="shared" si="18"/>
        <v>0</v>
      </c>
      <c r="O68" s="12">
        <f t="shared" si="18"/>
        <v>0</v>
      </c>
      <c r="P68" s="12">
        <f t="shared" si="18"/>
        <v>0</v>
      </c>
      <c r="Q68" s="12">
        <f t="shared" si="18"/>
        <v>0</v>
      </c>
      <c r="R68" s="12">
        <f t="shared" si="18"/>
        <v>0</v>
      </c>
      <c r="T68" s="501" t="e">
        <f>SUM(D68:S68)</f>
        <v>#REF!</v>
      </c>
    </row>
    <row r="69" spans="2:30" hidden="1" x14ac:dyDescent="0.2"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497"/>
      <c r="P69" s="497"/>
      <c r="Q69" s="497"/>
      <c r="R69" s="497"/>
      <c r="S69" s="497"/>
      <c r="V69" s="587" t="s">
        <v>188</v>
      </c>
      <c r="W69" s="589" t="s">
        <v>189</v>
      </c>
      <c r="AA69" s="583" t="s">
        <v>190</v>
      </c>
      <c r="AB69" s="583" t="s">
        <v>191</v>
      </c>
      <c r="AC69" s="583" t="s">
        <v>192</v>
      </c>
      <c r="AD69" s="583" t="s">
        <v>193</v>
      </c>
    </row>
    <row r="70" spans="2:30" hidden="1" x14ac:dyDescent="0.2">
      <c r="B70" s="588" t="s">
        <v>194</v>
      </c>
      <c r="O70" s="497"/>
      <c r="P70" s="497"/>
      <c r="Q70" s="497"/>
      <c r="R70" s="497"/>
    </row>
    <row r="71" spans="2:30" hidden="1" x14ac:dyDescent="0.2">
      <c r="B71" s="265" t="s">
        <v>195</v>
      </c>
      <c r="O71" s="497"/>
      <c r="P71" s="497"/>
      <c r="Q71" s="497"/>
      <c r="R71" s="497"/>
    </row>
    <row r="72" spans="2:30" hidden="1" x14ac:dyDescent="0.2">
      <c r="B72" s="265" t="s">
        <v>196</v>
      </c>
      <c r="O72" s="497"/>
      <c r="P72" s="497"/>
      <c r="Q72" s="497"/>
      <c r="R72" s="497"/>
    </row>
    <row r="73" spans="2:30" hidden="1" x14ac:dyDescent="0.2">
      <c r="B73" s="265" t="s">
        <v>197</v>
      </c>
      <c r="O73" s="497"/>
      <c r="P73" s="497"/>
      <c r="Q73" s="497"/>
      <c r="R73" s="497"/>
    </row>
    <row r="74" spans="2:30" hidden="1" x14ac:dyDescent="0.2">
      <c r="B74" s="497"/>
      <c r="C74" s="497"/>
      <c r="D74" s="497"/>
      <c r="E74" s="497"/>
      <c r="F74" s="497"/>
      <c r="G74" s="497"/>
      <c r="H74" s="497"/>
      <c r="I74" s="497"/>
      <c r="J74" s="497"/>
      <c r="K74" s="497"/>
      <c r="L74" s="497"/>
      <c r="M74" s="497"/>
      <c r="N74" s="497"/>
      <c r="O74" s="497"/>
      <c r="P74" s="497"/>
      <c r="Q74" s="497"/>
      <c r="R74" s="497"/>
      <c r="S74" s="497"/>
      <c r="T74" s="587" t="s">
        <v>198</v>
      </c>
      <c r="U74" s="586">
        <f>AA78</f>
        <v>0</v>
      </c>
      <c r="V74" s="501" t="e">
        <f ca="1">$T$60*U74</f>
        <v>#VALUE!</v>
      </c>
      <c r="W74" s="501" t="e">
        <f ca="1">(5000000/$D$25)*$T$59+5000000</f>
        <v>#VALUE!</v>
      </c>
      <c r="Y74" s="497" t="s">
        <v>199</v>
      </c>
      <c r="Z74" s="585">
        <v>0.33333000000000002</v>
      </c>
      <c r="AA74" s="585">
        <f>1/3</f>
        <v>0.33333333333333331</v>
      </c>
      <c r="AB74" s="585">
        <f>1/3</f>
        <v>0.33333333333333331</v>
      </c>
      <c r="AC74" s="585">
        <f>1/3</f>
        <v>0.33333333333333331</v>
      </c>
      <c r="AD74" s="585">
        <f>SUM(AA74:AC74)</f>
        <v>1</v>
      </c>
    </row>
    <row r="75" spans="2:30" x14ac:dyDescent="0.2">
      <c r="B75" s="497"/>
      <c r="C75" s="497"/>
      <c r="D75" s="497"/>
      <c r="E75" s="497"/>
      <c r="F75" s="497"/>
      <c r="G75" s="497"/>
      <c r="H75" s="497"/>
      <c r="I75" s="497"/>
      <c r="J75" s="497"/>
      <c r="K75" s="497"/>
      <c r="L75" s="497"/>
      <c r="M75" s="497"/>
      <c r="N75" s="497"/>
      <c r="O75" s="497"/>
      <c r="P75" s="497"/>
      <c r="Q75" s="497"/>
      <c r="R75" s="497"/>
      <c r="S75" s="497"/>
      <c r="T75" s="587"/>
      <c r="U75" s="586"/>
      <c r="V75" s="501"/>
      <c r="W75" s="501"/>
      <c r="Z75" s="585"/>
      <c r="AA75" s="585"/>
      <c r="AB75" s="585"/>
      <c r="AC75" s="585"/>
      <c r="AD75" s="585"/>
    </row>
    <row r="76" spans="2:30" x14ac:dyDescent="0.2">
      <c r="B76" s="497"/>
      <c r="C76" s="497"/>
      <c r="D76" s="497"/>
      <c r="E76" s="497"/>
      <c r="F76" s="497"/>
      <c r="G76" s="497"/>
      <c r="H76" s="497"/>
      <c r="I76" s="497"/>
      <c r="J76" s="497"/>
      <c r="K76" s="497"/>
      <c r="L76" s="497"/>
      <c r="M76" s="497"/>
      <c r="N76" s="497"/>
      <c r="O76" s="497"/>
      <c r="P76" s="497"/>
      <c r="Q76" s="497"/>
      <c r="R76" s="497"/>
      <c r="S76" s="497"/>
      <c r="T76" s="587"/>
      <c r="U76" s="677"/>
      <c r="V76" s="501"/>
      <c r="W76" s="501"/>
      <c r="Z76" s="585"/>
      <c r="AA76" s="585"/>
      <c r="AB76" s="585"/>
      <c r="AC76" s="585"/>
      <c r="AD76" s="585"/>
    </row>
    <row r="77" spans="2:30" x14ac:dyDescent="0.2">
      <c r="B77" s="497"/>
      <c r="C77" s="497"/>
      <c r="D77" s="497"/>
      <c r="E77" s="497"/>
      <c r="F77" s="497"/>
      <c r="G77" s="497"/>
      <c r="H77" s="497"/>
      <c r="I77" s="497"/>
      <c r="J77" s="497"/>
      <c r="K77" s="497"/>
      <c r="L77" s="497"/>
      <c r="M77" s="497"/>
      <c r="N77" s="497"/>
      <c r="O77" s="497"/>
      <c r="P77" s="497"/>
      <c r="Q77" s="497"/>
      <c r="R77" s="497"/>
      <c r="S77" s="497"/>
      <c r="Z77" s="585"/>
      <c r="AA77" s="585"/>
      <c r="AB77" s="585"/>
      <c r="AC77" s="586"/>
      <c r="AD77" s="585"/>
    </row>
    <row r="78" spans="2:30" x14ac:dyDescent="0.2">
      <c r="B78" s="497"/>
      <c r="C78" s="497"/>
      <c r="D78" s="497"/>
      <c r="E78" s="497"/>
      <c r="F78" s="497"/>
      <c r="G78" s="497"/>
      <c r="H78" s="497"/>
      <c r="I78" s="497"/>
      <c r="J78" s="497"/>
      <c r="K78" s="497"/>
      <c r="L78" s="497"/>
      <c r="M78" s="497"/>
      <c r="N78" s="497"/>
      <c r="O78" s="497"/>
      <c r="P78" s="497"/>
      <c r="Q78" s="497"/>
      <c r="R78" s="497"/>
      <c r="S78" s="497"/>
      <c r="T78" s="619"/>
      <c r="AA78" s="584"/>
      <c r="AB78" s="584"/>
      <c r="AC78" s="584"/>
      <c r="AD78" s="584"/>
    </row>
    <row r="79" spans="2:30" x14ac:dyDescent="0.2">
      <c r="B79" s="497"/>
      <c r="C79" s="497"/>
      <c r="D79" s="497"/>
      <c r="E79" s="497"/>
      <c r="F79" s="497"/>
      <c r="G79" s="497"/>
      <c r="H79" s="497"/>
      <c r="I79" s="497"/>
      <c r="J79" s="497"/>
      <c r="K79" s="497"/>
      <c r="L79" s="497"/>
      <c r="M79" s="497"/>
      <c r="N79" s="497"/>
      <c r="O79" s="497"/>
      <c r="P79" s="497"/>
      <c r="Q79" s="497"/>
      <c r="R79" s="497"/>
      <c r="S79" s="497"/>
      <c r="U79" s="680"/>
    </row>
    <row r="80" spans="2:30" x14ac:dyDescent="0.2">
      <c r="B80" s="497"/>
      <c r="C80" s="497"/>
      <c r="D80" s="497"/>
      <c r="E80" s="497"/>
      <c r="F80" s="497"/>
      <c r="G80" s="497"/>
      <c r="H80" s="497"/>
      <c r="I80" s="497"/>
      <c r="J80" s="497"/>
      <c r="K80" s="497"/>
      <c r="L80" s="497"/>
      <c r="M80" s="497"/>
      <c r="N80" s="497"/>
      <c r="O80" s="497"/>
      <c r="P80" s="497"/>
      <c r="Q80" s="497"/>
      <c r="R80" s="497"/>
      <c r="S80" s="497"/>
      <c r="U80" s="677"/>
      <c r="V80" s="501"/>
    </row>
    <row r="81" spans="2:22" x14ac:dyDescent="0.2">
      <c r="B81" s="497"/>
      <c r="C81" s="497"/>
      <c r="D81" s="497"/>
      <c r="E81" s="497"/>
      <c r="F81" s="497"/>
      <c r="G81" s="497"/>
      <c r="H81" s="497"/>
      <c r="I81" s="497"/>
      <c r="J81" s="497"/>
      <c r="K81" s="497"/>
      <c r="L81" s="497"/>
      <c r="M81" s="497"/>
      <c r="N81" s="497"/>
      <c r="O81" s="497"/>
      <c r="P81" s="497"/>
      <c r="Q81" s="497"/>
      <c r="R81" s="497"/>
      <c r="S81" s="497"/>
      <c r="T81" s="619"/>
      <c r="U81" s="677"/>
      <c r="V81" s="501"/>
    </row>
    <row r="82" spans="2:22" x14ac:dyDescent="0.2">
      <c r="B82" s="497"/>
      <c r="C82" s="497"/>
      <c r="D82" s="497"/>
      <c r="E82" s="497"/>
      <c r="F82" s="497"/>
      <c r="G82" s="497"/>
      <c r="H82" s="497"/>
      <c r="I82" s="497"/>
      <c r="J82" s="497"/>
      <c r="K82" s="497"/>
      <c r="L82" s="497"/>
      <c r="M82" s="497"/>
      <c r="N82" s="497"/>
      <c r="O82" s="497"/>
      <c r="P82" s="497"/>
      <c r="Q82" s="497"/>
      <c r="R82" s="497"/>
      <c r="S82" s="497"/>
      <c r="T82" s="681"/>
      <c r="U82" s="682"/>
      <c r="V82" s="501"/>
    </row>
    <row r="83" spans="2:22" x14ac:dyDescent="0.2">
      <c r="B83" s="497"/>
      <c r="C83" s="497"/>
      <c r="D83" s="497"/>
      <c r="E83" s="497"/>
      <c r="F83" s="497"/>
      <c r="G83" s="497"/>
      <c r="H83" s="497"/>
      <c r="I83" s="497"/>
      <c r="J83" s="497"/>
      <c r="K83" s="497"/>
      <c r="L83" s="497"/>
      <c r="M83" s="497"/>
      <c r="N83" s="497"/>
      <c r="O83" s="497"/>
      <c r="P83" s="497"/>
      <c r="Q83" s="497"/>
      <c r="R83" s="497"/>
      <c r="S83" s="497"/>
      <c r="T83" s="681"/>
      <c r="U83" s="682"/>
      <c r="V83" s="501"/>
    </row>
    <row r="84" spans="2:22" x14ac:dyDescent="0.2">
      <c r="B84" s="497"/>
      <c r="C84" s="497"/>
      <c r="D84" s="497"/>
      <c r="E84" s="497"/>
      <c r="F84" s="497"/>
      <c r="G84" s="497"/>
      <c r="H84" s="497"/>
      <c r="I84" s="497"/>
      <c r="J84" s="497"/>
      <c r="K84" s="497"/>
      <c r="L84" s="497"/>
      <c r="M84" s="497"/>
      <c r="N84" s="497"/>
      <c r="O84" s="497"/>
      <c r="P84" s="497"/>
      <c r="Q84" s="497"/>
      <c r="R84" s="497"/>
      <c r="S84" s="497"/>
    </row>
    <row r="85" spans="2:22" x14ac:dyDescent="0.2">
      <c r="B85" s="497"/>
      <c r="C85" s="497"/>
      <c r="D85" s="497"/>
      <c r="E85" s="497"/>
      <c r="F85" s="497"/>
      <c r="G85" s="497"/>
      <c r="H85" s="497"/>
      <c r="I85" s="497"/>
      <c r="J85" s="497"/>
      <c r="K85" s="497"/>
      <c r="L85" s="497"/>
      <c r="M85" s="497"/>
      <c r="N85" s="497"/>
      <c r="O85" s="497"/>
      <c r="P85" s="497"/>
      <c r="Q85" s="497"/>
      <c r="R85" s="497"/>
      <c r="S85" s="497"/>
    </row>
    <row r="86" spans="2:22" x14ac:dyDescent="0.2">
      <c r="B86" s="497"/>
      <c r="C86" s="497"/>
      <c r="D86" s="497"/>
      <c r="E86" s="497"/>
      <c r="F86" s="497"/>
      <c r="G86" s="497"/>
      <c r="H86" s="497"/>
      <c r="I86" s="497"/>
      <c r="J86" s="497"/>
      <c r="K86" s="497"/>
      <c r="L86" s="497"/>
      <c r="M86" s="497"/>
      <c r="N86" s="497"/>
      <c r="O86" s="497"/>
      <c r="P86" s="497"/>
      <c r="Q86" s="497"/>
      <c r="R86" s="497"/>
      <c r="S86" s="497"/>
    </row>
    <row r="87" spans="2:22" x14ac:dyDescent="0.2">
      <c r="B87" s="497"/>
      <c r="C87" s="497"/>
      <c r="D87" s="497"/>
      <c r="E87" s="497"/>
      <c r="F87" s="497"/>
      <c r="G87" s="497"/>
      <c r="H87" s="497"/>
      <c r="I87" s="497"/>
      <c r="J87" s="497"/>
      <c r="K87" s="497"/>
      <c r="L87" s="497"/>
      <c r="M87" s="497"/>
      <c r="N87" s="497"/>
      <c r="O87" s="497"/>
      <c r="P87" s="497"/>
      <c r="Q87" s="497"/>
      <c r="R87" s="497"/>
      <c r="S87" s="497"/>
    </row>
    <row r="88" spans="2:22" x14ac:dyDescent="0.2">
      <c r="B88" s="497"/>
      <c r="C88" s="497"/>
      <c r="D88" s="497"/>
      <c r="E88" s="497"/>
      <c r="F88" s="497"/>
      <c r="G88" s="497"/>
      <c r="H88" s="497"/>
      <c r="I88" s="497"/>
      <c r="J88" s="497"/>
      <c r="K88" s="497"/>
      <c r="L88" s="497"/>
      <c r="M88" s="497"/>
      <c r="N88" s="497"/>
      <c r="O88" s="497"/>
      <c r="P88" s="497"/>
      <c r="Q88" s="497"/>
      <c r="R88" s="497"/>
      <c r="S88" s="497"/>
    </row>
    <row r="89" spans="2:22" x14ac:dyDescent="0.2">
      <c r="B89" s="497"/>
      <c r="C89" s="497"/>
      <c r="D89" s="497"/>
      <c r="E89" s="497"/>
      <c r="F89" s="497"/>
      <c r="G89" s="497"/>
      <c r="H89" s="497"/>
      <c r="I89" s="497"/>
      <c r="J89" s="497"/>
      <c r="K89" s="497"/>
      <c r="L89" s="497"/>
      <c r="M89" s="497"/>
      <c r="N89" s="497"/>
      <c r="O89" s="497"/>
      <c r="P89" s="497"/>
      <c r="Q89" s="497"/>
      <c r="R89" s="497"/>
      <c r="S89" s="497"/>
    </row>
    <row r="90" spans="2:22" x14ac:dyDescent="0.2">
      <c r="B90" s="497"/>
      <c r="C90" s="497"/>
      <c r="D90" s="497"/>
      <c r="E90" s="497"/>
      <c r="F90" s="497"/>
      <c r="G90" s="497"/>
      <c r="H90" s="497"/>
      <c r="I90" s="497"/>
      <c r="J90" s="497"/>
      <c r="K90" s="497"/>
      <c r="L90" s="497"/>
      <c r="M90" s="497"/>
      <c r="N90" s="497"/>
      <c r="O90" s="497"/>
      <c r="P90" s="497"/>
      <c r="Q90" s="497"/>
      <c r="R90" s="497"/>
      <c r="S90" s="497"/>
    </row>
    <row r="91" spans="2:22" x14ac:dyDescent="0.2">
      <c r="B91" s="497"/>
      <c r="C91" s="497"/>
      <c r="D91" s="497"/>
      <c r="E91" s="497"/>
      <c r="F91" s="497"/>
      <c r="G91" s="497"/>
      <c r="H91" s="497"/>
      <c r="I91" s="497"/>
      <c r="J91" s="497"/>
      <c r="K91" s="497"/>
      <c r="L91" s="497"/>
      <c r="M91" s="497"/>
      <c r="N91" s="497"/>
      <c r="O91" s="497"/>
      <c r="P91" s="497"/>
      <c r="Q91" s="497"/>
      <c r="R91" s="497"/>
      <c r="S91" s="497"/>
    </row>
    <row r="92" spans="2:22" x14ac:dyDescent="0.2">
      <c r="B92" s="497"/>
      <c r="C92" s="497"/>
      <c r="D92" s="497"/>
      <c r="E92" s="497"/>
      <c r="F92" s="497"/>
      <c r="G92" s="497"/>
      <c r="H92" s="497"/>
      <c r="I92" s="497"/>
      <c r="J92" s="497"/>
      <c r="K92" s="497"/>
      <c r="L92" s="497"/>
      <c r="M92" s="497"/>
      <c r="N92" s="497"/>
      <c r="O92" s="497"/>
      <c r="P92" s="497"/>
      <c r="Q92" s="497"/>
      <c r="R92" s="497"/>
      <c r="S92" s="497"/>
    </row>
    <row r="93" spans="2:22" x14ac:dyDescent="0.2">
      <c r="B93" s="497"/>
      <c r="C93" s="497"/>
      <c r="D93" s="497"/>
      <c r="E93" s="497"/>
      <c r="F93" s="497"/>
      <c r="G93" s="497"/>
      <c r="H93" s="497"/>
      <c r="I93" s="497"/>
      <c r="J93" s="497"/>
      <c r="K93" s="497"/>
      <c r="L93" s="497"/>
      <c r="M93" s="497"/>
      <c r="N93" s="497"/>
      <c r="O93" s="497"/>
      <c r="P93" s="497"/>
      <c r="Q93" s="497"/>
      <c r="R93" s="497"/>
      <c r="S93" s="497"/>
    </row>
    <row r="94" spans="2:22" x14ac:dyDescent="0.2">
      <c r="B94" s="497"/>
      <c r="C94" s="497"/>
      <c r="D94" s="497"/>
      <c r="E94" s="497"/>
      <c r="F94" s="497"/>
      <c r="G94" s="497"/>
      <c r="H94" s="497"/>
      <c r="I94" s="497"/>
      <c r="J94" s="497"/>
      <c r="K94" s="497"/>
      <c r="L94" s="497"/>
      <c r="M94" s="497"/>
      <c r="N94" s="497"/>
      <c r="O94" s="497"/>
      <c r="P94" s="497"/>
      <c r="Q94" s="497"/>
      <c r="R94" s="497"/>
      <c r="S94" s="497"/>
    </row>
    <row r="95" spans="2:22" x14ac:dyDescent="0.2">
      <c r="B95" s="497"/>
      <c r="C95" s="497"/>
      <c r="D95" s="497"/>
      <c r="E95" s="497"/>
      <c r="F95" s="497"/>
      <c r="G95" s="497"/>
      <c r="H95" s="497"/>
      <c r="I95" s="497"/>
      <c r="J95" s="497"/>
      <c r="K95" s="497"/>
      <c r="L95" s="497"/>
      <c r="M95" s="497"/>
      <c r="N95" s="497"/>
      <c r="O95" s="497"/>
      <c r="P95" s="497"/>
      <c r="Q95" s="497"/>
      <c r="R95" s="497"/>
      <c r="S95" s="497"/>
    </row>
    <row r="96" spans="2:22" x14ac:dyDescent="0.2">
      <c r="B96" s="497"/>
      <c r="C96" s="497"/>
      <c r="D96" s="497"/>
      <c r="E96" s="497"/>
      <c r="F96" s="497"/>
      <c r="G96" s="497"/>
      <c r="H96" s="497"/>
      <c r="I96" s="497"/>
      <c r="J96" s="497"/>
      <c r="K96" s="497"/>
      <c r="L96" s="497"/>
      <c r="M96" s="497"/>
      <c r="N96" s="497"/>
      <c r="O96" s="497"/>
      <c r="P96" s="497"/>
      <c r="Q96" s="497"/>
      <c r="R96" s="497"/>
      <c r="S96" s="497"/>
    </row>
    <row r="97" s="497" customFormat="1" x14ac:dyDescent="0.2"/>
    <row r="98" s="497" customFormat="1" x14ac:dyDescent="0.2"/>
    <row r="99" s="497" customFormat="1" x14ac:dyDescent="0.2"/>
    <row r="100" s="497" customFormat="1" x14ac:dyDescent="0.2"/>
    <row r="101" s="497" customFormat="1" x14ac:dyDescent="0.2"/>
    <row r="102" s="497" customFormat="1" x14ac:dyDescent="0.2"/>
    <row r="103" s="497" customFormat="1" x14ac:dyDescent="0.2"/>
    <row r="104" s="497" customFormat="1" x14ac:dyDescent="0.2"/>
    <row r="105" s="497" customFormat="1" x14ac:dyDescent="0.2"/>
  </sheetData>
  <conditionalFormatting sqref="D5:D6 H5:H7 D13">
    <cfRule type="cellIs" dxfId="7" priority="1" operator="lessThan">
      <formula>$C$205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68" min="1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4" name="Button 1">
              <controlPr defaultSize="0" print="0" autoFill="0" autoPict="0" macro="[0]!IRRY4">
                <anchor moveWithCells="1" sizeWithCells="1">
                  <from>
                    <xdr:col>20</xdr:col>
                    <xdr:colOff>546100</xdr:colOff>
                    <xdr:row>49</xdr:row>
                    <xdr:rowOff>101600</xdr:rowOff>
                  </from>
                  <to>
                    <xdr:col>21</xdr:col>
                    <xdr:colOff>673100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5" name="Button 2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49</xdr:row>
                    <xdr:rowOff>114300</xdr:rowOff>
                  </from>
                  <to>
                    <xdr:col>23</xdr:col>
                    <xdr:colOff>304800</xdr:colOff>
                    <xdr:row>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6" name="Button 3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49</xdr:row>
                    <xdr:rowOff>101600</xdr:rowOff>
                  </from>
                  <to>
                    <xdr:col>20</xdr:col>
                    <xdr:colOff>228600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7" name="Button 4">
              <controlPr defaultSize="0" print="0" autoFill="0" autoPict="0" macro="[0]!IRRY6">
                <anchor moveWithCells="1" sizeWithCells="1">
                  <from>
                    <xdr:col>23</xdr:col>
                    <xdr:colOff>825500</xdr:colOff>
                    <xdr:row>49</xdr:row>
                    <xdr:rowOff>88900</xdr:rowOff>
                  </from>
                  <to>
                    <xdr:col>24</xdr:col>
                    <xdr:colOff>939800</xdr:colOff>
                    <xdr:row>52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560D-8375-2A4F-8C30-228067768C23}">
  <sheetPr codeName="Sheet1">
    <tabColor theme="9" tint="0.59999389629810485"/>
  </sheetPr>
  <dimension ref="A1:AK269"/>
  <sheetViews>
    <sheetView topLeftCell="A248" zoomScaleNormal="100" workbookViewId="0">
      <selection activeCell="F259" sqref="F259"/>
    </sheetView>
  </sheetViews>
  <sheetFormatPr baseColWidth="10" defaultColWidth="11" defaultRowHeight="16" outlineLevelRow="1" outlineLevelCol="1" x14ac:dyDescent="0.2"/>
  <cols>
    <col min="1" max="1" width="2.6640625" style="2" customWidth="1"/>
    <col min="2" max="2" width="46.1640625" customWidth="1"/>
    <col min="3" max="3" width="18.1640625" bestFit="1" customWidth="1"/>
    <col min="4" max="4" width="11.6640625" customWidth="1"/>
    <col min="5" max="5" width="12.6640625" bestFit="1" customWidth="1"/>
    <col min="6" max="13" width="13.6640625" bestFit="1" customWidth="1"/>
    <col min="14" max="15" width="10.6640625" hidden="1" customWidth="1" outlineLevel="1"/>
    <col min="16" max="16" width="10.1640625" hidden="1" customWidth="1" outlineLevel="1"/>
    <col min="17" max="17" width="10.6640625" hidden="1" customWidth="1" outlineLevel="1"/>
    <col min="18" max="18" width="15.1640625" bestFit="1" customWidth="1" collapsed="1"/>
    <col min="19" max="19" width="12.1640625" customWidth="1"/>
    <col min="20" max="20" width="22.6640625" customWidth="1"/>
    <col min="21" max="21" width="13.6640625" customWidth="1"/>
    <col min="22" max="22" width="12.6640625" customWidth="1"/>
    <col min="23" max="23" width="16.6640625" customWidth="1"/>
    <col min="24" max="24" width="12.1640625" bestFit="1" customWidth="1"/>
    <col min="25" max="25" width="11.5" bestFit="1" customWidth="1"/>
    <col min="26" max="26" width="16" bestFit="1" customWidth="1"/>
    <col min="27" max="27" width="16.5" bestFit="1" customWidth="1"/>
    <col min="28" max="28" width="36.1640625" bestFit="1" customWidth="1"/>
    <col min="29" max="30" width="18" bestFit="1" customWidth="1"/>
    <col min="31" max="31" width="16.1640625" customWidth="1"/>
    <col min="32" max="35" width="18" bestFit="1" customWidth="1"/>
    <col min="36" max="36" width="17.1640625" bestFit="1" customWidth="1"/>
  </cols>
  <sheetData>
    <row r="1" spans="1:36" s="2" customFormat="1" ht="21" x14ac:dyDescent="0.25">
      <c r="B1" s="301" t="s">
        <v>200</v>
      </c>
      <c r="C1" s="302"/>
      <c r="D1" s="302"/>
      <c r="AB1" s="2" t="s">
        <v>201</v>
      </c>
      <c r="AC1" s="305">
        <f t="shared" ref="AC1:AJ1" si="0">+IF(AC2&lt;0,-$C$193*AC2,0)</f>
        <v>0</v>
      </c>
      <c r="AD1" s="305" t="e">
        <f t="shared" si="0"/>
        <v>#REF!</v>
      </c>
      <c r="AE1" s="305" t="e">
        <f t="shared" si="0"/>
        <v>#REF!</v>
      </c>
      <c r="AF1" s="305" t="e">
        <f t="shared" si="0"/>
        <v>#REF!</v>
      </c>
      <c r="AG1" s="305" t="e">
        <f t="shared" si="0"/>
        <v>#REF!</v>
      </c>
      <c r="AH1" s="305" t="e">
        <f t="shared" si="0"/>
        <v>#REF!</v>
      </c>
      <c r="AI1" s="305" t="e">
        <f t="shared" si="0"/>
        <v>#REF!</v>
      </c>
      <c r="AJ1" s="305" t="e">
        <f t="shared" si="0"/>
        <v>#REF!</v>
      </c>
    </row>
    <row r="2" spans="1:36" x14ac:dyDescent="0.2">
      <c r="B2" s="1" t="s">
        <v>202</v>
      </c>
      <c r="C2" s="1" t="s">
        <v>17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43"/>
      <c r="AB2" t="s">
        <v>203</v>
      </c>
      <c r="AC2" s="131">
        <f>+'Returns Resi'!F30</f>
        <v>0</v>
      </c>
      <c r="AD2" s="131" t="e">
        <f>+'Returns Resi'!G40</f>
        <v>#REF!</v>
      </c>
      <c r="AE2" s="131" t="e">
        <f>+'Returns Resi'!H40</f>
        <v>#REF!</v>
      </c>
      <c r="AF2" s="131" t="e">
        <f>+'Returns Resi'!I40</f>
        <v>#REF!</v>
      </c>
      <c r="AG2" s="131" t="e">
        <f>+'Returns Resi'!J40</f>
        <v>#REF!</v>
      </c>
      <c r="AH2" s="131" t="e">
        <f>+'Returns Resi'!K40</f>
        <v>#REF!</v>
      </c>
      <c r="AI2" s="131" t="e">
        <f>+'Returns Resi'!L40</f>
        <v>#REF!</v>
      </c>
      <c r="AJ2" s="131" t="e">
        <f>+'Returns Resi'!M40</f>
        <v>#REF!</v>
      </c>
    </row>
    <row r="3" spans="1:36" s="3" customFormat="1" x14ac:dyDescent="0.2">
      <c r="A3" s="55"/>
      <c r="B3" s="194"/>
      <c r="C3" s="194"/>
      <c r="D3" s="194"/>
      <c r="E3" s="250">
        <v>0</v>
      </c>
      <c r="F3" s="250">
        <f>E3+1</f>
        <v>1</v>
      </c>
      <c r="G3" s="250">
        <f t="shared" ref="G3:Q3" si="1">F3+1</f>
        <v>2</v>
      </c>
      <c r="H3" s="250">
        <f t="shared" si="1"/>
        <v>3</v>
      </c>
      <c r="I3" s="250">
        <f t="shared" si="1"/>
        <v>4</v>
      </c>
      <c r="J3" s="250">
        <f t="shared" si="1"/>
        <v>5</v>
      </c>
      <c r="K3" s="250">
        <f t="shared" si="1"/>
        <v>6</v>
      </c>
      <c r="L3" s="250">
        <f t="shared" si="1"/>
        <v>7</v>
      </c>
      <c r="M3" s="250">
        <f t="shared" si="1"/>
        <v>8</v>
      </c>
      <c r="N3" s="250">
        <f t="shared" si="1"/>
        <v>9</v>
      </c>
      <c r="O3" s="250">
        <f t="shared" si="1"/>
        <v>10</v>
      </c>
      <c r="P3" s="250">
        <f t="shared" si="1"/>
        <v>11</v>
      </c>
      <c r="Q3" s="250">
        <f t="shared" si="1"/>
        <v>12</v>
      </c>
      <c r="R3" s="194"/>
      <c r="Z3" s="185"/>
      <c r="AA3" s="186"/>
      <c r="AC3" s="3" t="s">
        <v>204</v>
      </c>
      <c r="AD3" s="3" t="s">
        <v>205</v>
      </c>
      <c r="AE3" s="3" t="s">
        <v>206</v>
      </c>
      <c r="AF3" s="3" t="s">
        <v>207</v>
      </c>
      <c r="AG3" s="3" t="s">
        <v>208</v>
      </c>
      <c r="AH3" s="3" t="s">
        <v>209</v>
      </c>
      <c r="AI3" s="3" t="s">
        <v>210</v>
      </c>
      <c r="AJ3" s="3" t="s">
        <v>211</v>
      </c>
    </row>
    <row r="4" spans="1:36" s="3" customFormat="1" x14ac:dyDescent="0.2">
      <c r="A4" s="55"/>
      <c r="E4" s="6">
        <f>Assumptions!C6</f>
        <v>2024</v>
      </c>
      <c r="F4" s="6">
        <f>E4+1</f>
        <v>2025</v>
      </c>
      <c r="G4" s="6">
        <f t="shared" ref="G4:Q4" si="2">F4+1</f>
        <v>2026</v>
      </c>
      <c r="H4" s="6">
        <f t="shared" si="2"/>
        <v>2027</v>
      </c>
      <c r="I4" s="6">
        <f t="shared" si="2"/>
        <v>2028</v>
      </c>
      <c r="J4" s="6">
        <f t="shared" si="2"/>
        <v>2029</v>
      </c>
      <c r="K4" s="6">
        <f t="shared" si="2"/>
        <v>2030</v>
      </c>
      <c r="L4" s="6">
        <f t="shared" si="2"/>
        <v>2031</v>
      </c>
      <c r="M4" s="6">
        <f t="shared" si="2"/>
        <v>2032</v>
      </c>
      <c r="N4" s="6">
        <f t="shared" si="2"/>
        <v>2033</v>
      </c>
      <c r="O4" s="6">
        <f t="shared" si="2"/>
        <v>2034</v>
      </c>
      <c r="P4" s="6">
        <f t="shared" si="2"/>
        <v>2035</v>
      </c>
      <c r="Q4" s="6">
        <f t="shared" si="2"/>
        <v>2036</v>
      </c>
      <c r="R4" s="6" t="s">
        <v>212</v>
      </c>
      <c r="U4"/>
      <c r="V4" s="133"/>
      <c r="AB4"/>
      <c r="AC4"/>
      <c r="AD4"/>
      <c r="AE4"/>
      <c r="AF4"/>
      <c r="AG4"/>
      <c r="AH4"/>
      <c r="AI4"/>
      <c r="AJ4"/>
    </row>
    <row r="5" spans="1:36" x14ac:dyDescent="0.2">
      <c r="C5" s="782" t="s">
        <v>213</v>
      </c>
      <c r="D5" s="782" t="s">
        <v>214</v>
      </c>
      <c r="E5" s="20">
        <v>44927</v>
      </c>
      <c r="F5" s="20">
        <f>E5+365</f>
        <v>45292</v>
      </c>
      <c r="G5" s="20">
        <f>F5+366</f>
        <v>45658</v>
      </c>
      <c r="H5" s="20">
        <f>G5+365</f>
        <v>46023</v>
      </c>
      <c r="I5" s="20">
        <f>H5+365</f>
        <v>46388</v>
      </c>
      <c r="J5" s="20">
        <f>I5+365</f>
        <v>46753</v>
      </c>
      <c r="K5" s="20">
        <f>J5+366</f>
        <v>47119</v>
      </c>
      <c r="L5" s="20">
        <f>K5+365</f>
        <v>47484</v>
      </c>
      <c r="M5" s="20">
        <f>L5+365</f>
        <v>47849</v>
      </c>
      <c r="N5" s="20">
        <f>M5+365</f>
        <v>48214</v>
      </c>
      <c r="O5" s="20">
        <f>N5+365</f>
        <v>48579</v>
      </c>
      <c r="P5" s="20">
        <f>O5+366</f>
        <v>48945</v>
      </c>
      <c r="Q5" s="20">
        <f>P5+365</f>
        <v>49310</v>
      </c>
      <c r="R5" s="7"/>
      <c r="S5" s="782" t="s">
        <v>215</v>
      </c>
    </row>
    <row r="6" spans="1:36" ht="19" outlineLevel="1" x14ac:dyDescent="0.25">
      <c r="A6" s="74" t="s">
        <v>216</v>
      </c>
      <c r="B6" s="76" t="s">
        <v>217</v>
      </c>
      <c r="C6" s="782"/>
      <c r="D6" s="782" t="s">
        <v>218</v>
      </c>
      <c r="S6" s="783"/>
    </row>
    <row r="7" spans="1:36" outlineLevel="1" x14ac:dyDescent="0.2">
      <c r="A7" s="74"/>
      <c r="B7" s="103" t="str">
        <f>'Proforma Resi'!E265</f>
        <v>Phase 1: Downhill SFR</v>
      </c>
      <c r="C7" s="483">
        <v>10000</v>
      </c>
      <c r="D7" s="333">
        <f>'Proforma Resi'!G265</f>
        <v>2650</v>
      </c>
      <c r="E7" s="104"/>
      <c r="F7" s="8">
        <v>1</v>
      </c>
      <c r="G7" s="8">
        <v>1</v>
      </c>
      <c r="H7" s="8">
        <v>5</v>
      </c>
      <c r="I7" s="8">
        <v>3</v>
      </c>
      <c r="J7" s="8"/>
      <c r="K7" s="8"/>
      <c r="L7" s="8"/>
      <c r="M7" s="8"/>
      <c r="N7" s="8"/>
      <c r="O7" s="8"/>
      <c r="P7" s="8"/>
      <c r="Q7" s="8"/>
      <c r="R7">
        <f>SUM(F7:Q7)</f>
        <v>10</v>
      </c>
      <c r="S7" s="11">
        <f>D7*F23</f>
        <v>3776250</v>
      </c>
      <c r="T7" s="11">
        <f t="shared" ref="T7:T10" si="3">R7*S7</f>
        <v>37762500</v>
      </c>
      <c r="V7" s="11">
        <f>SUMPRODUCT(D7,R7)</f>
        <v>26500</v>
      </c>
      <c r="X7" s="3"/>
    </row>
    <row r="8" spans="1:36" outlineLevel="1" x14ac:dyDescent="0.2">
      <c r="A8" s="74"/>
      <c r="B8" s="103" t="str">
        <f>'Proforma Resi'!E266</f>
        <v>Phase 1: Uphill SFR</v>
      </c>
      <c r="C8" s="484">
        <v>10000</v>
      </c>
      <c r="D8" s="333">
        <f>'Proforma Resi'!G266</f>
        <v>2405</v>
      </c>
      <c r="E8" s="104"/>
      <c r="F8" s="8">
        <v>1</v>
      </c>
      <c r="G8" s="8">
        <v>2</v>
      </c>
      <c r="H8" s="8"/>
      <c r="I8" s="8"/>
      <c r="J8" s="8"/>
      <c r="K8" s="8"/>
      <c r="L8" s="8"/>
      <c r="M8" s="8"/>
      <c r="N8" s="8"/>
      <c r="O8" s="8"/>
      <c r="P8" s="8"/>
      <c r="Q8" s="8"/>
      <c r="R8">
        <f>SUM(F8:Q8)</f>
        <v>3</v>
      </c>
      <c r="S8" s="11">
        <f t="shared" ref="S8:S10" si="4">D8*F24</f>
        <v>3487250</v>
      </c>
      <c r="T8" s="11">
        <f t="shared" si="3"/>
        <v>10461750</v>
      </c>
      <c r="V8" s="11">
        <f>SUMPRODUCT(D8,R8)</f>
        <v>7215</v>
      </c>
      <c r="X8" s="3"/>
    </row>
    <row r="9" spans="1:36" outlineLevel="1" x14ac:dyDescent="0.2">
      <c r="A9" s="74"/>
      <c r="B9" s="103" t="str">
        <f>'Proforma Resi'!E267</f>
        <v>Phase 1: Uphill/Downhill Duplex</v>
      </c>
      <c r="C9" s="484">
        <v>5000</v>
      </c>
      <c r="D9" s="481">
        <f>'Proforma Resi'!G267</f>
        <v>1783</v>
      </c>
      <c r="E9" s="104"/>
      <c r="F9" s="8">
        <v>2</v>
      </c>
      <c r="G9" s="8">
        <v>8</v>
      </c>
      <c r="H9" s="8">
        <v>4</v>
      </c>
      <c r="I9" s="8">
        <v>8</v>
      </c>
      <c r="J9" s="8"/>
      <c r="K9" s="8"/>
      <c r="L9" s="8"/>
      <c r="M9" s="8"/>
      <c r="N9" s="8"/>
      <c r="O9" s="8"/>
      <c r="P9" s="8"/>
      <c r="Q9" s="8"/>
      <c r="R9">
        <f>SUM(F9:Q9)</f>
        <v>22</v>
      </c>
      <c r="S9" s="11">
        <f t="shared" si="4"/>
        <v>2451625</v>
      </c>
      <c r="T9" s="11">
        <f t="shared" si="3"/>
        <v>53935750</v>
      </c>
      <c r="V9" s="11">
        <f>SUMPRODUCT(D9,R9)</f>
        <v>39226</v>
      </c>
      <c r="X9" s="3"/>
    </row>
    <row r="10" spans="1:36" outlineLevel="1" x14ac:dyDescent="0.2">
      <c r="A10" s="74"/>
      <c r="B10" s="103" t="str">
        <f>'Proforma Resi'!E268</f>
        <v>Phase 1: Multi-unit</v>
      </c>
      <c r="C10" s="484">
        <v>5000</v>
      </c>
      <c r="D10" s="482">
        <f>'Proforma Resi'!G268</f>
        <v>1350</v>
      </c>
      <c r="E10" s="104"/>
      <c r="F10" s="8"/>
      <c r="G10" s="8">
        <v>4</v>
      </c>
      <c r="H10" s="8">
        <v>4</v>
      </c>
      <c r="I10" s="8"/>
      <c r="J10" s="8"/>
      <c r="K10" s="8"/>
      <c r="L10" s="8"/>
      <c r="M10" s="8"/>
      <c r="N10" s="8"/>
      <c r="O10" s="8"/>
      <c r="P10" s="8"/>
      <c r="Q10" s="8"/>
      <c r="R10">
        <f>SUM(F10:Q10)</f>
        <v>8</v>
      </c>
      <c r="S10" s="11">
        <f t="shared" si="4"/>
        <v>1957500</v>
      </c>
      <c r="T10" s="11">
        <f t="shared" si="3"/>
        <v>15660000</v>
      </c>
      <c r="V10" s="11">
        <f>SUMPRODUCT(D10,R10)</f>
        <v>10800</v>
      </c>
      <c r="X10" s="3"/>
    </row>
    <row r="11" spans="1:36" outlineLevel="1" x14ac:dyDescent="0.2">
      <c r="B11" s="49" t="s">
        <v>219</v>
      </c>
      <c r="C11" s="49"/>
      <c r="D11" s="3"/>
      <c r="E11" s="8"/>
      <c r="F11" s="56">
        <f t="shared" ref="F11:R11" si="5">SUM(F7:F10)</f>
        <v>4</v>
      </c>
      <c r="G11" s="56">
        <f t="shared" si="5"/>
        <v>15</v>
      </c>
      <c r="H11" s="56">
        <f t="shared" si="5"/>
        <v>13</v>
      </c>
      <c r="I11" s="56">
        <f t="shared" si="5"/>
        <v>11</v>
      </c>
      <c r="J11" s="56">
        <f t="shared" si="5"/>
        <v>0</v>
      </c>
      <c r="K11" s="56">
        <f t="shared" si="5"/>
        <v>0</v>
      </c>
      <c r="L11" s="56">
        <f t="shared" si="5"/>
        <v>0</v>
      </c>
      <c r="M11" s="56">
        <f t="shared" si="5"/>
        <v>0</v>
      </c>
      <c r="N11" s="56">
        <f t="shared" si="5"/>
        <v>0</v>
      </c>
      <c r="O11" s="56">
        <f t="shared" si="5"/>
        <v>0</v>
      </c>
      <c r="P11" s="56">
        <f t="shared" si="5"/>
        <v>0</v>
      </c>
      <c r="Q11" s="56">
        <f t="shared" si="5"/>
        <v>0</v>
      </c>
      <c r="R11" s="49">
        <f t="shared" si="5"/>
        <v>43</v>
      </c>
      <c r="S11" s="99" t="s">
        <v>220</v>
      </c>
      <c r="T11" s="134">
        <f>SUM(T7:T10)</f>
        <v>117820000</v>
      </c>
      <c r="U11" s="112"/>
      <c r="V11" s="61">
        <f>SUMPRODUCT(D7:D10,R7:R10)</f>
        <v>83741</v>
      </c>
      <c r="W11" s="135" t="s">
        <v>221</v>
      </c>
      <c r="X11">
        <f>SUM(T7:T10)/V11</f>
        <v>1406.9571655461482</v>
      </c>
      <c r="Y11" t="s">
        <v>221</v>
      </c>
      <c r="Z11" t="s">
        <v>221</v>
      </c>
    </row>
    <row r="12" spans="1:36" outlineLevel="1" x14ac:dyDescent="0.2">
      <c r="B12" t="s">
        <v>222</v>
      </c>
      <c r="C12" s="12">
        <f>SUMPRODUCT(C7:C10,R7:R10)</f>
        <v>280000</v>
      </c>
      <c r="D12" s="82">
        <f>SUMPRODUCT(D7:D10,R7:R10)</f>
        <v>83741</v>
      </c>
      <c r="E12" s="83"/>
      <c r="G12" s="8"/>
      <c r="H12" s="8"/>
      <c r="I12" s="8"/>
      <c r="J12" s="8"/>
      <c r="K12" s="8"/>
      <c r="L12" s="8"/>
      <c r="M12" s="8"/>
      <c r="N12" s="8"/>
      <c r="O12" s="8"/>
      <c r="P12" s="8"/>
      <c r="S12" s="7"/>
      <c r="T12" s="136">
        <f>T11/R11</f>
        <v>2740000</v>
      </c>
      <c r="U12" s="137" t="s">
        <v>223</v>
      </c>
    </row>
    <row r="13" spans="1:36" outlineLevel="1" x14ac:dyDescent="0.2">
      <c r="B13" t="s">
        <v>224</v>
      </c>
      <c r="C13" s="73">
        <f>C12/43560</f>
        <v>6.4279155188246095</v>
      </c>
      <c r="D13" s="7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36" ht="8" customHeight="1" outlineLevel="1" x14ac:dyDescent="0.2">
      <c r="C14" s="73"/>
      <c r="D14" s="7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36" ht="19" outlineLevel="1" x14ac:dyDescent="0.25">
      <c r="B15" s="76" t="s">
        <v>225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U15" s="138"/>
      <c r="V15" s="138"/>
      <c r="W15" s="138"/>
      <c r="X15" s="138"/>
      <c r="Y15" s="138"/>
      <c r="Z15" s="138"/>
    </row>
    <row r="16" spans="1:36" outlineLevel="1" x14ac:dyDescent="0.2">
      <c r="B16" s="103" t="str">
        <f>B7</f>
        <v>Phase 1: Downhill SFR</v>
      </c>
      <c r="C16" s="5">
        <f>R7</f>
        <v>10</v>
      </c>
      <c r="D16" s="17"/>
      <c r="E16" s="8"/>
      <c r="F16" s="7">
        <v>0</v>
      </c>
      <c r="G16" s="7">
        <f t="shared" ref="G16:Q16" si="6">F7</f>
        <v>1</v>
      </c>
      <c r="H16" s="7">
        <f t="shared" si="6"/>
        <v>1</v>
      </c>
      <c r="I16" s="7">
        <f t="shared" si="6"/>
        <v>5</v>
      </c>
      <c r="J16" s="7">
        <f t="shared" si="6"/>
        <v>3</v>
      </c>
      <c r="K16" s="7">
        <f t="shared" si="6"/>
        <v>0</v>
      </c>
      <c r="L16" s="7">
        <f t="shared" si="6"/>
        <v>0</v>
      </c>
      <c r="M16" s="7">
        <f t="shared" si="6"/>
        <v>0</v>
      </c>
      <c r="N16" s="7">
        <f t="shared" si="6"/>
        <v>0</v>
      </c>
      <c r="O16" s="7">
        <f t="shared" si="6"/>
        <v>0</v>
      </c>
      <c r="P16" s="7">
        <f t="shared" si="6"/>
        <v>0</v>
      </c>
      <c r="Q16" s="7">
        <f t="shared" si="6"/>
        <v>0</v>
      </c>
      <c r="R16">
        <f>SUM(F16:Q16)</f>
        <v>10</v>
      </c>
      <c r="U16" s="139"/>
      <c r="V16" s="139"/>
      <c r="W16" s="139"/>
      <c r="X16" s="139"/>
      <c r="Y16" s="139"/>
      <c r="Z16" s="139"/>
      <c r="AA16" s="139"/>
      <c r="AB16" s="139"/>
      <c r="AC16" s="139">
        <f>+_xlfn.XLOOKUP($T16,$D$23:$D$26,O$23:O$26)</f>
        <v>2541.4559014253882</v>
      </c>
      <c r="AD16" s="139">
        <f>+_xlfn.XLOOKUP($T16,$D$23:$D$26,P$23:P$26)</f>
        <v>2732.0650940322921</v>
      </c>
      <c r="AE16" s="139">
        <f>+_xlfn.XLOOKUP($T16,$D$23:$D$26,Q$23:Q$26)</f>
        <v>2936.9699760847138</v>
      </c>
      <c r="AF16" s="139"/>
      <c r="AG16" s="139"/>
    </row>
    <row r="17" spans="1:33" outlineLevel="1" x14ac:dyDescent="0.2">
      <c r="B17" s="103" t="str">
        <f>B8</f>
        <v>Phase 1: Uphill SFR</v>
      </c>
      <c r="C17" s="5">
        <f>R8</f>
        <v>3</v>
      </c>
      <c r="D17" s="17"/>
      <c r="E17" s="8"/>
      <c r="F17" s="7">
        <v>0</v>
      </c>
      <c r="G17" s="7">
        <f t="shared" ref="G17:Q17" si="7">F8</f>
        <v>1</v>
      </c>
      <c r="H17" s="7">
        <f t="shared" si="7"/>
        <v>2</v>
      </c>
      <c r="I17" s="7">
        <f t="shared" si="7"/>
        <v>0</v>
      </c>
      <c r="J17" s="7">
        <f t="shared" si="7"/>
        <v>0</v>
      </c>
      <c r="K17" s="7">
        <f t="shared" si="7"/>
        <v>0</v>
      </c>
      <c r="L17" s="7">
        <f t="shared" si="7"/>
        <v>0</v>
      </c>
      <c r="M17" s="7">
        <f t="shared" si="7"/>
        <v>0</v>
      </c>
      <c r="N17" s="7">
        <f t="shared" si="7"/>
        <v>0</v>
      </c>
      <c r="O17" s="7">
        <f t="shared" si="7"/>
        <v>0</v>
      </c>
      <c r="P17" s="7">
        <f t="shared" si="7"/>
        <v>0</v>
      </c>
      <c r="Q17" s="7">
        <f t="shared" si="7"/>
        <v>0</v>
      </c>
      <c r="R17">
        <f>SUM(F17:Q17)</f>
        <v>3</v>
      </c>
      <c r="U17" s="139"/>
      <c r="V17" s="139"/>
      <c r="W17" s="139"/>
      <c r="X17" s="139"/>
      <c r="Y17" s="139"/>
      <c r="Z17" s="139"/>
      <c r="AA17" s="139"/>
      <c r="AB17" s="139"/>
      <c r="AC17" s="139">
        <f t="shared" ref="AC17:AE17" si="8">+AC16</f>
        <v>2541.4559014253882</v>
      </c>
      <c r="AD17" s="139">
        <f t="shared" si="8"/>
        <v>2732.0650940322921</v>
      </c>
      <c r="AE17" s="139">
        <f t="shared" si="8"/>
        <v>2936.9699760847138</v>
      </c>
      <c r="AF17" s="139"/>
      <c r="AG17" s="139"/>
    </row>
    <row r="18" spans="1:33" outlineLevel="1" x14ac:dyDescent="0.2">
      <c r="B18" s="103" t="str">
        <f>B9</f>
        <v>Phase 1: Uphill/Downhill Duplex</v>
      </c>
      <c r="C18" s="5">
        <f>R9</f>
        <v>22</v>
      </c>
      <c r="D18" s="17"/>
      <c r="E18" s="8"/>
      <c r="F18" s="7">
        <v>0</v>
      </c>
      <c r="G18" s="7">
        <f t="shared" ref="G18:Q18" si="9">F9</f>
        <v>2</v>
      </c>
      <c r="H18" s="7">
        <f t="shared" si="9"/>
        <v>8</v>
      </c>
      <c r="I18" s="7">
        <f t="shared" si="9"/>
        <v>4</v>
      </c>
      <c r="J18" s="7">
        <f t="shared" si="9"/>
        <v>8</v>
      </c>
      <c r="K18" s="7">
        <f t="shared" si="9"/>
        <v>0</v>
      </c>
      <c r="L18" s="7">
        <f t="shared" si="9"/>
        <v>0</v>
      </c>
      <c r="M18" s="7">
        <f t="shared" si="9"/>
        <v>0</v>
      </c>
      <c r="N18" s="7">
        <f t="shared" si="9"/>
        <v>0</v>
      </c>
      <c r="O18" s="7">
        <f t="shared" si="9"/>
        <v>0</v>
      </c>
      <c r="P18" s="7">
        <f t="shared" si="9"/>
        <v>0</v>
      </c>
      <c r="Q18" s="7">
        <f t="shared" si="9"/>
        <v>0</v>
      </c>
      <c r="R18">
        <f>SUM(F18:Q18)</f>
        <v>22</v>
      </c>
      <c r="U18" s="139"/>
      <c r="V18" s="139"/>
      <c r="W18" s="139"/>
      <c r="X18" s="139"/>
      <c r="Y18" s="139"/>
      <c r="Z18" s="139"/>
      <c r="AA18" s="139"/>
      <c r="AB18" s="139"/>
      <c r="AC18" s="139">
        <f>+_xlfn.XLOOKUP($T18,$D$23:$D$26,O$23:O$26)</f>
        <v>2541.4559014253882</v>
      </c>
      <c r="AD18" s="139">
        <f>+_xlfn.XLOOKUP($T18,$D$23:$D$26,P$23:P$26)</f>
        <v>2732.0650940322921</v>
      </c>
      <c r="AE18" s="139">
        <f>+_xlfn.XLOOKUP($T18,$D$23:$D$26,Q$23:Q$26)</f>
        <v>2936.9699760847138</v>
      </c>
    </row>
    <row r="19" spans="1:33" outlineLevel="1" x14ac:dyDescent="0.2">
      <c r="B19" s="103" t="str">
        <f>B10</f>
        <v>Phase 1: Multi-unit</v>
      </c>
      <c r="C19" s="5">
        <f>R10</f>
        <v>8</v>
      </c>
      <c r="D19" s="17"/>
      <c r="E19" s="8"/>
      <c r="F19" s="7">
        <v>0</v>
      </c>
      <c r="G19" s="7">
        <f t="shared" ref="G19:Q19" si="10">F10</f>
        <v>0</v>
      </c>
      <c r="H19" s="7">
        <f t="shared" si="10"/>
        <v>4</v>
      </c>
      <c r="I19" s="7">
        <f t="shared" si="10"/>
        <v>4</v>
      </c>
      <c r="J19" s="7">
        <f t="shared" si="10"/>
        <v>0</v>
      </c>
      <c r="K19" s="7">
        <f t="shared" si="10"/>
        <v>0</v>
      </c>
      <c r="L19" s="7">
        <f t="shared" si="10"/>
        <v>0</v>
      </c>
      <c r="M19" s="7">
        <f t="shared" si="10"/>
        <v>0</v>
      </c>
      <c r="N19" s="7">
        <f t="shared" si="10"/>
        <v>0</v>
      </c>
      <c r="O19" s="7">
        <f t="shared" si="10"/>
        <v>0</v>
      </c>
      <c r="P19" s="7">
        <f t="shared" si="10"/>
        <v>0</v>
      </c>
      <c r="Q19" s="7">
        <f t="shared" si="10"/>
        <v>0</v>
      </c>
      <c r="R19">
        <f>SUM(F19:Q19)</f>
        <v>8</v>
      </c>
      <c r="U19" s="139"/>
      <c r="V19" s="139"/>
      <c r="W19" s="139"/>
      <c r="X19" s="139"/>
      <c r="Y19" s="139"/>
      <c r="Z19" s="139"/>
      <c r="AA19" s="139"/>
      <c r="AB19" s="139"/>
      <c r="AC19" s="139">
        <f t="shared" ref="AC19:AE19" si="11">+AC18</f>
        <v>2541.4559014253882</v>
      </c>
      <c r="AD19" s="139">
        <f t="shared" si="11"/>
        <v>2732.0650940322921</v>
      </c>
      <c r="AE19" s="139">
        <f t="shared" si="11"/>
        <v>2936.9699760847138</v>
      </c>
    </row>
    <row r="20" spans="1:33" x14ac:dyDescent="0.2">
      <c r="B20" s="49" t="s">
        <v>226</v>
      </c>
      <c r="C20" s="49">
        <f>SUM(C16:C19)</f>
        <v>43</v>
      </c>
      <c r="D20" s="3"/>
      <c r="E20" s="9"/>
      <c r="F20" s="56">
        <f t="shared" ref="F20:R20" si="12">SUM(F16:F19)</f>
        <v>0</v>
      </c>
      <c r="G20" s="56">
        <f t="shared" si="12"/>
        <v>4</v>
      </c>
      <c r="H20" s="56">
        <f t="shared" si="12"/>
        <v>15</v>
      </c>
      <c r="I20" s="56">
        <f t="shared" si="12"/>
        <v>13</v>
      </c>
      <c r="J20" s="56">
        <f t="shared" si="12"/>
        <v>11</v>
      </c>
      <c r="K20" s="56">
        <f t="shared" si="12"/>
        <v>0</v>
      </c>
      <c r="L20" s="56">
        <f t="shared" si="12"/>
        <v>0</v>
      </c>
      <c r="M20" s="56">
        <f t="shared" si="12"/>
        <v>0</v>
      </c>
      <c r="N20" s="56">
        <f t="shared" si="12"/>
        <v>0</v>
      </c>
      <c r="O20" s="56">
        <f t="shared" si="12"/>
        <v>0</v>
      </c>
      <c r="P20" s="56">
        <f t="shared" si="12"/>
        <v>0</v>
      </c>
      <c r="Q20" s="56">
        <f t="shared" si="12"/>
        <v>0</v>
      </c>
      <c r="R20" s="49">
        <f t="shared" si="12"/>
        <v>43</v>
      </c>
      <c r="W20" s="105"/>
      <c r="Z20" s="132"/>
      <c r="AA20" s="132"/>
    </row>
    <row r="21" spans="1:33" x14ac:dyDescent="0.2">
      <c r="B21" s="3"/>
      <c r="C21" s="3"/>
      <c r="D21" s="3"/>
      <c r="E21" s="9"/>
      <c r="F21" s="334"/>
      <c r="G21" s="334"/>
      <c r="H21" s="334"/>
      <c r="I21" s="334"/>
      <c r="J21" s="334"/>
      <c r="K21" s="334"/>
      <c r="L21" s="334"/>
      <c r="M21" s="334"/>
      <c r="N21" s="334"/>
      <c r="O21" s="334"/>
      <c r="P21" s="334"/>
      <c r="Q21" s="334"/>
      <c r="R21" s="3"/>
      <c r="W21" s="105"/>
      <c r="Z21" s="132"/>
      <c r="AA21" s="132"/>
    </row>
    <row r="22" spans="1:33" ht="15.5" customHeight="1" x14ac:dyDescent="0.25">
      <c r="B22" s="76" t="s">
        <v>71</v>
      </c>
      <c r="C22" s="17"/>
      <c r="D22" s="17"/>
      <c r="E22" s="59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163"/>
      <c r="U22" s="144"/>
    </row>
    <row r="23" spans="1:33" x14ac:dyDescent="0.2">
      <c r="B23" s="15" t="s">
        <v>227</v>
      </c>
      <c r="C23" s="436">
        <v>7.4999999999999997E-2</v>
      </c>
      <c r="E23" s="327"/>
      <c r="F23" s="437">
        <f>'Proforma Resi'!H265</f>
        <v>1425</v>
      </c>
      <c r="G23" s="437">
        <f>'Proforma Resi'!H265</f>
        <v>1425</v>
      </c>
      <c r="H23" s="437">
        <f t="shared" ref="H23:M23" si="13">G23*(1+$C23)</f>
        <v>1531.875</v>
      </c>
      <c r="I23" s="437">
        <f t="shared" si="13"/>
        <v>1646.765625</v>
      </c>
      <c r="J23" s="437">
        <f t="shared" si="13"/>
        <v>1770.2730468749999</v>
      </c>
      <c r="K23" s="437">
        <f t="shared" si="13"/>
        <v>1903.0435253906248</v>
      </c>
      <c r="L23" s="437">
        <f t="shared" si="13"/>
        <v>2045.7717897949217</v>
      </c>
      <c r="M23" s="437">
        <f t="shared" si="13"/>
        <v>2199.2046740295409</v>
      </c>
      <c r="N23" s="437">
        <f>M23*(1+$C$23)</f>
        <v>2364.1450245817564</v>
      </c>
      <c r="O23" s="437">
        <f>N23*(1+$C$23)</f>
        <v>2541.4559014253882</v>
      </c>
      <c r="P23" s="437">
        <f>O23*(1+$C$23)</f>
        <v>2732.0650940322921</v>
      </c>
      <c r="Q23" s="437">
        <f>P23*(1+$C$23)</f>
        <v>2936.9699760847138</v>
      </c>
      <c r="R23" s="147"/>
      <c r="T23" s="219"/>
      <c r="U23" s="144"/>
    </row>
    <row r="24" spans="1:33" x14ac:dyDescent="0.2">
      <c r="B24" s="15" t="s">
        <v>228</v>
      </c>
      <c r="C24" s="436">
        <v>7.4999999999999997E-2</v>
      </c>
      <c r="E24" s="327"/>
      <c r="F24" s="437">
        <f>'Proforma Resi'!H266</f>
        <v>1450</v>
      </c>
      <c r="G24" s="437">
        <v>1450</v>
      </c>
      <c r="H24" s="437">
        <f t="shared" ref="H24:M26" si="14">G24*(1+$C24)</f>
        <v>1558.75</v>
      </c>
      <c r="I24" s="437">
        <f t="shared" si="14"/>
        <v>1675.65625</v>
      </c>
      <c r="J24" s="437">
        <f t="shared" si="14"/>
        <v>1801.3304687499999</v>
      </c>
      <c r="K24" s="437">
        <f t="shared" si="14"/>
        <v>1936.4302539062498</v>
      </c>
      <c r="L24" s="437">
        <f t="shared" si="14"/>
        <v>2081.6625229492183</v>
      </c>
      <c r="M24" s="437">
        <f t="shared" si="14"/>
        <v>2237.7872121704095</v>
      </c>
      <c r="N24" s="437">
        <f>M24*(1+$C$24)</f>
        <v>2405.6212530831899</v>
      </c>
      <c r="O24" s="437">
        <f>N24*(1+$C$24)</f>
        <v>2586.0428470644292</v>
      </c>
      <c r="P24" s="437">
        <f>O24*(1+$C$24)</f>
        <v>2779.9960605942615</v>
      </c>
      <c r="Q24" s="437">
        <f>P24*(1+$C$24)</f>
        <v>2988.4957651388308</v>
      </c>
      <c r="R24" s="437"/>
      <c r="T24" s="219"/>
      <c r="U24" s="144"/>
      <c r="Z24" s="132"/>
      <c r="AA24" s="125"/>
    </row>
    <row r="25" spans="1:33" x14ac:dyDescent="0.2">
      <c r="B25" s="129" t="s">
        <v>229</v>
      </c>
      <c r="C25" s="436">
        <v>7.4999999999999997E-2</v>
      </c>
      <c r="D25" s="15"/>
      <c r="E25" s="327"/>
      <c r="F25" s="437">
        <f>'Proforma Resi'!H267</f>
        <v>1375</v>
      </c>
      <c r="G25" s="437">
        <v>1375</v>
      </c>
      <c r="H25" s="437">
        <f t="shared" si="14"/>
        <v>1478.125</v>
      </c>
      <c r="I25" s="437">
        <f t="shared" si="14"/>
        <v>1588.984375</v>
      </c>
      <c r="J25" s="437">
        <f t="shared" si="14"/>
        <v>1708.158203125</v>
      </c>
      <c r="K25" s="437">
        <f t="shared" si="14"/>
        <v>1836.2700683593748</v>
      </c>
      <c r="L25" s="437">
        <f t="shared" si="14"/>
        <v>1973.990323486328</v>
      </c>
      <c r="M25" s="437">
        <f t="shared" si="14"/>
        <v>2122.0395977478024</v>
      </c>
      <c r="N25" s="437">
        <f>M25*(1+$C$25)</f>
        <v>2281.1925675788875</v>
      </c>
      <c r="O25" s="437">
        <f>N25*(1+$C$25)</f>
        <v>2452.2820101473039</v>
      </c>
      <c r="P25" s="437">
        <f>O25*(1+$C$25)</f>
        <v>2636.2031609083515</v>
      </c>
      <c r="Q25" s="437">
        <f>P25*(1+$C$25)</f>
        <v>2833.9183979764775</v>
      </c>
      <c r="R25" s="437"/>
      <c r="U25" s="144"/>
      <c r="Z25" s="132"/>
      <c r="AA25" s="125"/>
    </row>
    <row r="26" spans="1:33" ht="15.5" customHeight="1" x14ac:dyDescent="0.2">
      <c r="B26" s="129" t="s">
        <v>230</v>
      </c>
      <c r="C26" s="436">
        <v>7.4999999999999997E-2</v>
      </c>
      <c r="D26" s="15"/>
      <c r="E26" s="327"/>
      <c r="F26" s="437">
        <f>'Proforma Resi'!H268</f>
        <v>1450</v>
      </c>
      <c r="G26" s="437">
        <f>'Proforma Resi'!H268</f>
        <v>1450</v>
      </c>
      <c r="H26" s="437">
        <f>'Proforma Resi'!H268</f>
        <v>1450</v>
      </c>
      <c r="I26" s="437">
        <f>'Proforma Resi'!H268</f>
        <v>1450</v>
      </c>
      <c r="J26" s="437">
        <f t="shared" si="14"/>
        <v>1558.75</v>
      </c>
      <c r="K26" s="437">
        <f t="shared" si="14"/>
        <v>1675.65625</v>
      </c>
      <c r="L26" s="437">
        <f t="shared" si="14"/>
        <v>1801.3304687499999</v>
      </c>
      <c r="M26" s="437">
        <f t="shared" si="14"/>
        <v>1936.4302539062498</v>
      </c>
      <c r="N26" s="437">
        <f>M26*(1+$C$26)</f>
        <v>2081.6625229492183</v>
      </c>
      <c r="O26" s="437">
        <f>N26*(1+$C$26)</f>
        <v>2237.7872121704095</v>
      </c>
      <c r="P26" s="437">
        <f>O26*(1+$C$26)</f>
        <v>2405.6212530831899</v>
      </c>
      <c r="Q26" s="437">
        <f>P26*(1+$C$26)</f>
        <v>2586.0428470644292</v>
      </c>
      <c r="R26" s="437"/>
      <c r="U26" s="144"/>
    </row>
    <row r="27" spans="1:33" x14ac:dyDescent="0.2">
      <c r="B27" s="138" t="s">
        <v>231</v>
      </c>
      <c r="C27" s="17"/>
      <c r="D27" s="17"/>
      <c r="E27" s="59"/>
      <c r="F27" s="163"/>
      <c r="G27" s="163">
        <f t="shared" ref="G27:Q27" si="15">IFERROR(SUM(F42+G44)/G20,"")</f>
        <v>3041687.5</v>
      </c>
      <c r="H27" s="163">
        <f t="shared" si="15"/>
        <v>2698068.75</v>
      </c>
      <c r="I27" s="163">
        <f t="shared" si="15"/>
        <v>3152483.1610576925</v>
      </c>
      <c r="J27" s="163">
        <f t="shared" si="15"/>
        <v>3494439.9392755684</v>
      </c>
      <c r="K27" s="163" t="str">
        <f t="shared" si="15"/>
        <v/>
      </c>
      <c r="L27" s="163" t="str">
        <f t="shared" si="15"/>
        <v/>
      </c>
      <c r="M27" s="163" t="str">
        <f t="shared" si="15"/>
        <v/>
      </c>
      <c r="N27" s="163" t="str">
        <f t="shared" si="15"/>
        <v/>
      </c>
      <c r="O27" s="163" t="str">
        <f t="shared" si="15"/>
        <v/>
      </c>
      <c r="P27" s="163" t="str">
        <f t="shared" si="15"/>
        <v/>
      </c>
      <c r="Q27" s="163" t="str">
        <f t="shared" si="15"/>
        <v/>
      </c>
      <c r="U27" s="144"/>
    </row>
    <row r="28" spans="1:33" x14ac:dyDescent="0.2">
      <c r="B28" s="34" t="s">
        <v>127</v>
      </c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T28" s="781" t="s">
        <v>232</v>
      </c>
      <c r="U28" s="781"/>
      <c r="W28" s="781" t="s">
        <v>233</v>
      </c>
      <c r="X28" s="781"/>
      <c r="Y28" s="781"/>
    </row>
    <row r="29" spans="1:33" x14ac:dyDescent="0.2">
      <c r="B29" s="133" t="s">
        <v>234</v>
      </c>
      <c r="E29" s="25">
        <v>75000</v>
      </c>
      <c r="F29" s="25"/>
      <c r="G29" s="10"/>
      <c r="H29" s="10"/>
      <c r="I29" s="10"/>
      <c r="J29" s="10"/>
      <c r="K29" s="10"/>
      <c r="L29" s="10">
        <v>0</v>
      </c>
      <c r="M29" s="10"/>
      <c r="N29" s="10"/>
      <c r="O29" s="10"/>
      <c r="P29" s="10"/>
      <c r="Q29" s="10"/>
      <c r="R29" s="12">
        <f>SUM(E29:Q29)</f>
        <v>75000</v>
      </c>
      <c r="T29" s="3" t="s">
        <v>235</v>
      </c>
      <c r="U29" s="148" t="e">
        <f>SUM(E197:G197)</f>
        <v>#REF!</v>
      </c>
      <c r="V29" s="307" t="s">
        <v>236</v>
      </c>
      <c r="W29" s="3" t="s">
        <v>237</v>
      </c>
      <c r="Y29" s="11">
        <f>SUMPRODUCT(D7:D10,F7:F10,F23:F26)</f>
        <v>12166750</v>
      </c>
    </row>
    <row r="30" spans="1:33" x14ac:dyDescent="0.2">
      <c r="B30" s="133" t="s">
        <v>238</v>
      </c>
      <c r="E30" s="25"/>
      <c r="F30" s="61" t="s">
        <v>239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2"/>
      <c r="T30" s="3" t="s">
        <v>240</v>
      </c>
      <c r="U30" s="148" t="e">
        <f>U29*(1+Assumptions!#REF!)</f>
        <v>#REF!</v>
      </c>
      <c r="V30" s="308" t="e">
        <f>U29+SUMIF(E3:Q3,"&lt;="&amp;Assumptions!G6,'Proforma Resi'!E201:Q201)+R202</f>
        <v>#REF!</v>
      </c>
      <c r="W30" s="3" t="s">
        <v>241</v>
      </c>
      <c r="Y30" s="111" t="e">
        <f>(R32)/Y29</f>
        <v>#REF!</v>
      </c>
    </row>
    <row r="31" spans="1:33" ht="17" customHeight="1" x14ac:dyDescent="0.2">
      <c r="B31" s="133" t="s">
        <v>242</v>
      </c>
      <c r="E31" s="67"/>
      <c r="F31" s="67" t="e">
        <f>U34-SUM(E29:F29)</f>
        <v>#REF!</v>
      </c>
      <c r="G31" s="32"/>
      <c r="H31" s="32"/>
      <c r="I31" s="32"/>
      <c r="J31" s="32"/>
      <c r="K31" s="32"/>
      <c r="L31" s="32">
        <v>0</v>
      </c>
      <c r="M31" s="32"/>
      <c r="N31" s="32"/>
      <c r="O31" s="10"/>
      <c r="P31" s="10"/>
      <c r="Q31" s="10"/>
      <c r="R31" s="12" t="e">
        <f>SUM(E31:Q31)</f>
        <v>#REF!</v>
      </c>
      <c r="T31" s="146" t="s">
        <v>243</v>
      </c>
      <c r="U31" s="147">
        <f>SUM(E44:G44)</f>
        <v>12166750</v>
      </c>
      <c r="W31" s="3" t="s">
        <v>244</v>
      </c>
      <c r="Y31" s="111" t="e">
        <f>R35/(Y29+R64+F72+G72)</f>
        <v>#REF!</v>
      </c>
    </row>
    <row r="32" spans="1:33" s="3" customFormat="1" ht="17" customHeight="1" x14ac:dyDescent="0.2">
      <c r="A32" s="55"/>
      <c r="B32" s="49" t="s">
        <v>245</v>
      </c>
      <c r="C32" s="49"/>
      <c r="D32" s="49"/>
      <c r="E32" s="252">
        <f t="shared" ref="E32:R32" si="16">SUM(E29:E31)</f>
        <v>75000</v>
      </c>
      <c r="F32" s="252" t="e">
        <f>SUM(F29:F31)</f>
        <v>#REF!</v>
      </c>
      <c r="G32" s="252">
        <f t="shared" si="16"/>
        <v>0</v>
      </c>
      <c r="H32" s="252">
        <f t="shared" si="16"/>
        <v>0</v>
      </c>
      <c r="I32" s="252">
        <f t="shared" si="16"/>
        <v>0</v>
      </c>
      <c r="J32" s="252">
        <f t="shared" si="16"/>
        <v>0</v>
      </c>
      <c r="K32" s="252">
        <f t="shared" si="16"/>
        <v>0</v>
      </c>
      <c r="L32" s="252">
        <f t="shared" si="16"/>
        <v>0</v>
      </c>
      <c r="M32" s="252">
        <f t="shared" si="16"/>
        <v>0</v>
      </c>
      <c r="N32" s="252">
        <f t="shared" si="16"/>
        <v>0</v>
      </c>
      <c r="O32" s="252">
        <f t="shared" si="16"/>
        <v>0</v>
      </c>
      <c r="P32" s="252">
        <f t="shared" si="16"/>
        <v>0</v>
      </c>
      <c r="Q32" s="252">
        <f t="shared" si="16"/>
        <v>0</v>
      </c>
      <c r="R32" s="252" t="e">
        <f t="shared" si="16"/>
        <v>#REF!</v>
      </c>
      <c r="T32" s="146" t="s">
        <v>246</v>
      </c>
      <c r="U32" s="325">
        <f>Assumptions!F7</f>
        <v>0.81187740386080298</v>
      </c>
      <c r="V32" s="24"/>
      <c r="W32" s="3" t="s">
        <v>247</v>
      </c>
      <c r="Y32" s="326" t="e">
        <f>(R35/(R58+R32+R35))</f>
        <v>#REF!</v>
      </c>
    </row>
    <row r="33" spans="1:30" x14ac:dyDescent="0.2">
      <c r="B33" s="133"/>
      <c r="D33" s="220"/>
      <c r="E33" s="12"/>
      <c r="F33" s="12"/>
      <c r="G33" s="12"/>
      <c r="H33" s="221"/>
      <c r="I33" s="221"/>
      <c r="J33" s="220"/>
      <c r="K33" s="220"/>
      <c r="L33" s="222"/>
      <c r="M33" s="10"/>
      <c r="N33" s="10"/>
      <c r="O33" s="10"/>
      <c r="P33" s="10"/>
      <c r="Q33" s="10"/>
      <c r="R33" s="223"/>
      <c r="T33" s="146" t="s">
        <v>248</v>
      </c>
      <c r="U33" s="480" t="e">
        <f>U30*U32</f>
        <v>#REF!</v>
      </c>
      <c r="V33" s="307" t="s">
        <v>236</v>
      </c>
    </row>
    <row r="34" spans="1:30" ht="17" customHeight="1" x14ac:dyDescent="0.2">
      <c r="B34" s="133" t="s">
        <v>249</v>
      </c>
      <c r="C34" s="60" t="e">
        <f>U33</f>
        <v>#REF!</v>
      </c>
      <c r="D34" s="220"/>
      <c r="E34" s="67">
        <v>0</v>
      </c>
      <c r="F34" s="67" t="e">
        <f t="shared" ref="F34:M34" si="17">MAX(F197-F32-F44-E230,0)</f>
        <v>#REF!</v>
      </c>
      <c r="G34" s="67" t="e">
        <f t="shared" si="17"/>
        <v>#REF!</v>
      </c>
      <c r="H34" s="67" t="e">
        <f t="shared" si="17"/>
        <v>#REF!</v>
      </c>
      <c r="I34" s="67" t="e">
        <f t="shared" si="17"/>
        <v>#REF!</v>
      </c>
      <c r="J34" s="67" t="e">
        <f t="shared" si="17"/>
        <v>#REF!</v>
      </c>
      <c r="K34" s="67" t="e">
        <f t="shared" si="17"/>
        <v>#REF!</v>
      </c>
      <c r="L34" s="67" t="e">
        <f t="shared" si="17"/>
        <v>#REF!</v>
      </c>
      <c r="M34" s="67" t="e">
        <f t="shared" si="17"/>
        <v>#REF!</v>
      </c>
      <c r="N34" s="67"/>
      <c r="O34" s="67" t="e">
        <f>MAX(O197-O32-O44-N230,0)</f>
        <v>#REF!</v>
      </c>
      <c r="P34" s="67" t="e">
        <f>MAX(P197-P32-P44-O230,0)</f>
        <v>#REF!</v>
      </c>
      <c r="Q34" s="67" t="e">
        <f>MAX(Q197-Q32-Q44-P230,0)</f>
        <v>#REF!</v>
      </c>
      <c r="R34" s="67" t="e">
        <f>SUM(E34:Q34)</f>
        <v>#REF!</v>
      </c>
      <c r="T34" s="146" t="s">
        <v>250</v>
      </c>
      <c r="U34" s="109" t="e">
        <f>U30-U33-C56*0.89</f>
        <v>#REF!</v>
      </c>
      <c r="V34" s="308" t="e">
        <f>U34+C56</f>
        <v>#REF!</v>
      </c>
    </row>
    <row r="35" spans="1:30" s="3" customFormat="1" ht="17" customHeight="1" x14ac:dyDescent="0.2">
      <c r="A35" s="55"/>
      <c r="B35" s="49" t="s">
        <v>251</v>
      </c>
      <c r="C35" s="324"/>
      <c r="D35" s="324"/>
      <c r="E35" s="52">
        <f t="shared" ref="E35:Q35" si="18">SUM(E34:E34)</f>
        <v>0</v>
      </c>
      <c r="F35" s="52" t="e">
        <f t="shared" si="18"/>
        <v>#REF!</v>
      </c>
      <c r="G35" s="52" t="e">
        <f t="shared" si="18"/>
        <v>#REF!</v>
      </c>
      <c r="H35" s="52" t="e">
        <f t="shared" si="18"/>
        <v>#REF!</v>
      </c>
      <c r="I35" s="52" t="e">
        <f t="shared" si="18"/>
        <v>#REF!</v>
      </c>
      <c r="J35" s="52" t="e">
        <f t="shared" si="18"/>
        <v>#REF!</v>
      </c>
      <c r="K35" s="52" t="e">
        <f t="shared" si="18"/>
        <v>#REF!</v>
      </c>
      <c r="L35" s="52" t="e">
        <f t="shared" si="18"/>
        <v>#REF!</v>
      </c>
      <c r="M35" s="52" t="e">
        <f t="shared" si="18"/>
        <v>#REF!</v>
      </c>
      <c r="N35" s="52">
        <f t="shared" si="18"/>
        <v>0</v>
      </c>
      <c r="O35" s="52" t="e">
        <f t="shared" si="18"/>
        <v>#REF!</v>
      </c>
      <c r="P35" s="52" t="e">
        <f t="shared" si="18"/>
        <v>#REF!</v>
      </c>
      <c r="Q35" s="52" t="e">
        <f t="shared" si="18"/>
        <v>#REF!</v>
      </c>
      <c r="R35" s="52" t="e">
        <f>SUM(E35:Q35)</f>
        <v>#REF!</v>
      </c>
      <c r="U35" s="109"/>
    </row>
    <row r="36" spans="1:30" x14ac:dyDescent="0.2">
      <c r="C36" s="15"/>
      <c r="D36" s="15"/>
      <c r="E36" s="16"/>
      <c r="F36" s="91"/>
      <c r="G36" s="92"/>
      <c r="H36" s="92"/>
      <c r="I36" s="92"/>
      <c r="J36" s="32"/>
      <c r="K36" s="32"/>
      <c r="L36" s="32"/>
      <c r="M36" s="32"/>
      <c r="N36" s="32"/>
      <c r="O36" s="32"/>
      <c r="P36" s="32"/>
      <c r="Q36" s="32"/>
      <c r="R36" s="12"/>
    </row>
    <row r="37" spans="1:30" hidden="1" outlineLevel="1" x14ac:dyDescent="0.2">
      <c r="B37" s="133" t="s">
        <v>252</v>
      </c>
      <c r="C37" s="224"/>
      <c r="D37" s="224"/>
      <c r="E37" s="16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220"/>
      <c r="R37" s="12"/>
      <c r="T37" s="111"/>
    </row>
    <row r="38" spans="1:30" hidden="1" outlineLevel="1" x14ac:dyDescent="0.2">
      <c r="B38" s="133" t="s">
        <v>253</v>
      </c>
      <c r="C38" s="224"/>
      <c r="D38" s="224"/>
      <c r="E38" s="16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220"/>
      <c r="R38" s="12"/>
      <c r="T38" s="111"/>
    </row>
    <row r="39" spans="1:30" hidden="1" outlineLevel="1" x14ac:dyDescent="0.2">
      <c r="B39" s="133" t="s">
        <v>254</v>
      </c>
      <c r="C39" s="224"/>
      <c r="D39" s="224"/>
      <c r="E39" s="16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220"/>
      <c r="R39" s="12"/>
      <c r="T39" s="111"/>
    </row>
    <row r="40" spans="1:30" hidden="1" outlineLevel="1" x14ac:dyDescent="0.2">
      <c r="B40" s="133" t="s">
        <v>255</v>
      </c>
      <c r="C40" s="224"/>
      <c r="D40" s="224"/>
      <c r="E40" s="16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73"/>
      <c r="R40" s="12"/>
      <c r="T40" s="111"/>
    </row>
    <row r="41" spans="1:30" hidden="1" outlineLevel="1" x14ac:dyDescent="0.2">
      <c r="B41" s="133" t="s">
        <v>256</v>
      </c>
      <c r="C41" s="224"/>
      <c r="D41" s="224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21"/>
      <c r="T41" s="111"/>
    </row>
    <row r="42" spans="1:30" collapsed="1" x14ac:dyDescent="0.2">
      <c r="B42" t="s">
        <v>257</v>
      </c>
      <c r="C42" s="15">
        <f>SUM(C37:C41)</f>
        <v>0</v>
      </c>
      <c r="D42" s="15"/>
      <c r="E42" s="32">
        <f t="shared" ref="E42:G42" si="19">SUM(E37:E41)</f>
        <v>0</v>
      </c>
      <c r="F42" s="32">
        <f t="shared" si="19"/>
        <v>0</v>
      </c>
      <c r="G42" s="32">
        <f t="shared" si="19"/>
        <v>0</v>
      </c>
      <c r="H42" s="32">
        <f t="shared" ref="H42" si="20">SUM(H37:H41)</f>
        <v>0</v>
      </c>
      <c r="I42" s="32">
        <f t="shared" ref="I42" si="21">SUM(I37:I41)</f>
        <v>0</v>
      </c>
      <c r="J42" s="32">
        <f t="shared" ref="J42" si="22">SUM(J37:J41)</f>
        <v>0</v>
      </c>
      <c r="K42" s="32">
        <f t="shared" ref="K42" si="23">SUM(K37:K41)</f>
        <v>0</v>
      </c>
      <c r="L42" s="32">
        <f t="shared" ref="L42" si="24">SUM(L37:L41)</f>
        <v>0</v>
      </c>
      <c r="M42" s="32">
        <f t="shared" ref="M42" si="25">SUM(M37:M41)</f>
        <v>0</v>
      </c>
      <c r="N42" s="32">
        <f t="shared" ref="N42" si="26">SUM(N37:N41)</f>
        <v>0</v>
      </c>
      <c r="O42" s="32">
        <f t="shared" ref="O42" si="27">SUM(O37:O41)</f>
        <v>0</v>
      </c>
      <c r="P42" s="32">
        <f t="shared" ref="P42" si="28">SUM(P37:P41)</f>
        <v>0</v>
      </c>
      <c r="Q42" s="32"/>
      <c r="R42" s="12">
        <f>SUM(E42:Q42)</f>
        <v>0</v>
      </c>
      <c r="T42" s="140" t="s">
        <v>258</v>
      </c>
    </row>
    <row r="43" spans="1:30" x14ac:dyDescent="0.2">
      <c r="B43" t="s">
        <v>259</v>
      </c>
      <c r="C43" s="15"/>
      <c r="D43" s="15"/>
      <c r="E43" s="32"/>
      <c r="F43" s="32"/>
      <c r="G43" s="32"/>
      <c r="H43" s="32" t="e">
        <f>'Proforma A+H'!#REF!</f>
        <v>#REF!</v>
      </c>
      <c r="I43" s="32"/>
      <c r="J43" s="32"/>
      <c r="K43" s="32"/>
      <c r="L43" s="32"/>
      <c r="M43" s="32"/>
      <c r="N43" s="32"/>
      <c r="O43" s="32"/>
      <c r="P43" s="32"/>
      <c r="Q43" s="32"/>
      <c r="R43" s="12"/>
      <c r="T43" s="140"/>
    </row>
    <row r="44" spans="1:30" x14ac:dyDescent="0.2">
      <c r="B44" s="225" t="s">
        <v>260</v>
      </c>
      <c r="C44" s="44"/>
      <c r="D44" s="44"/>
      <c r="E44" s="45"/>
      <c r="F44" s="77">
        <f>(1-$C$42)*SUMPRODUCT(F$16:F$19,$D$7:$D$10,F$23:F$26)</f>
        <v>0</v>
      </c>
      <c r="G44" s="77">
        <f>+(1-$C$42)*SUMPRODUCT(G$16:G$19,$D$7:$D$10,G$23:G$26)</f>
        <v>12166750</v>
      </c>
      <c r="H44" s="77">
        <f>(1-$C$42)*SUMPRODUCT(H$16:H$19,$D$7:$D$10,H$23:H$26)</f>
        <v>40471031.25</v>
      </c>
      <c r="I44" s="77">
        <f t="shared" ref="I44:Q44" si="29">(1-$C$42)*SUMPRODUCT(I$16:I$19,$D$7:$D$10,I$23:I$26)</f>
        <v>40982281.09375</v>
      </c>
      <c r="J44" s="77">
        <f>(1-$C$42)*SUMPRODUCT(J$16:J$19,$D$7:$D$10,J$23:J$26)</f>
        <v>38438839.33203125</v>
      </c>
      <c r="K44" s="77">
        <f t="shared" si="29"/>
        <v>0</v>
      </c>
      <c r="L44" s="77">
        <f t="shared" si="29"/>
        <v>0</v>
      </c>
      <c r="M44" s="77">
        <f t="shared" si="29"/>
        <v>0</v>
      </c>
      <c r="N44" s="77">
        <f t="shared" si="29"/>
        <v>0</v>
      </c>
      <c r="O44" s="77">
        <f t="shared" si="29"/>
        <v>0</v>
      </c>
      <c r="P44" s="77">
        <f t="shared" si="29"/>
        <v>0</v>
      </c>
      <c r="Q44" s="77">
        <f t="shared" si="29"/>
        <v>0</v>
      </c>
      <c r="R44" s="77">
        <f>SUM(E44:Q44)</f>
        <v>132058901.67578125</v>
      </c>
      <c r="T44" s="61"/>
      <c r="W44" s="11"/>
      <c r="AA44" s="226"/>
      <c r="AB44" s="226"/>
      <c r="AC44" s="226"/>
      <c r="AD44" s="226"/>
    </row>
    <row r="45" spans="1:30" x14ac:dyDescent="0.2">
      <c r="B45" s="30" t="s">
        <v>132</v>
      </c>
      <c r="C45" s="3"/>
      <c r="D45" s="3"/>
      <c r="E45" s="24">
        <f t="shared" ref="E45:G45" si="30">E32+E35+E42+E43+E44</f>
        <v>75000</v>
      </c>
      <c r="F45" s="24" t="e">
        <f t="shared" si="30"/>
        <v>#REF!</v>
      </c>
      <c r="G45" s="24" t="e">
        <f t="shared" si="30"/>
        <v>#REF!</v>
      </c>
      <c r="H45" s="24" t="e">
        <f>H32+H35+H42+H43+H44</f>
        <v>#REF!</v>
      </c>
      <c r="I45" s="24" t="e">
        <f t="shared" ref="I45:M45" si="31">I32+I35+I42+I43+I44</f>
        <v>#REF!</v>
      </c>
      <c r="J45" s="24" t="e">
        <f t="shared" si="31"/>
        <v>#REF!</v>
      </c>
      <c r="K45" s="24" t="e">
        <f t="shared" si="31"/>
        <v>#REF!</v>
      </c>
      <c r="L45" s="24" t="e">
        <f t="shared" si="31"/>
        <v>#REF!</v>
      </c>
      <c r="M45" s="24" t="e">
        <f t="shared" si="31"/>
        <v>#REF!</v>
      </c>
      <c r="N45" s="24">
        <f t="shared" ref="N45:Q45" si="32">N32+N35+N42+N44</f>
        <v>0</v>
      </c>
      <c r="O45" s="24" t="e">
        <f t="shared" si="32"/>
        <v>#REF!</v>
      </c>
      <c r="P45" s="24" t="e">
        <f t="shared" si="32"/>
        <v>#REF!</v>
      </c>
      <c r="Q45" s="24" t="e">
        <f t="shared" si="32"/>
        <v>#REF!</v>
      </c>
      <c r="R45" s="23" t="e">
        <f>SUM(E45:Q45)</f>
        <v>#REF!</v>
      </c>
      <c r="T45" t="s">
        <v>261</v>
      </c>
      <c r="U45" s="490">
        <f>T46/R11</f>
        <v>3071137.2482739827</v>
      </c>
      <c r="V45" s="488" t="s">
        <v>262</v>
      </c>
    </row>
    <row r="46" spans="1:30" x14ac:dyDescent="0.2">
      <c r="E46" s="138"/>
      <c r="G46" s="12"/>
      <c r="R46" s="12"/>
      <c r="T46" s="11">
        <f>(R42)+R44</f>
        <v>132058901.67578125</v>
      </c>
      <c r="U46" s="489">
        <f>T46/D12</f>
        <v>1576.9921743922482</v>
      </c>
      <c r="V46" s="488" t="s">
        <v>263</v>
      </c>
    </row>
    <row r="47" spans="1:30" x14ac:dyDescent="0.2">
      <c r="B47" s="34" t="s">
        <v>133</v>
      </c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35"/>
      <c r="T47" s="11"/>
    </row>
    <row r="48" spans="1:30" outlineLevel="1" x14ac:dyDescent="0.2">
      <c r="A48" s="227" t="s">
        <v>264</v>
      </c>
      <c r="B48" s="87" t="s">
        <v>265</v>
      </c>
      <c r="C48" s="138"/>
      <c r="R48" s="12"/>
      <c r="V48" s="70"/>
      <c r="W48" s="140"/>
    </row>
    <row r="49" spans="1:23" outlineLevel="1" x14ac:dyDescent="0.2">
      <c r="B49" s="166" t="s">
        <v>266</v>
      </c>
      <c r="C49" s="90">
        <v>0.02</v>
      </c>
      <c r="D49" s="25"/>
      <c r="E49" s="61"/>
      <c r="F49" s="12">
        <f>C49*C56</f>
        <v>300000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>
        <f>SUM(E49:L49)</f>
        <v>300000</v>
      </c>
      <c r="T49" s="471">
        <f>R49/T46</f>
        <v>2.2717135777528437E-3</v>
      </c>
      <c r="V49" s="70"/>
      <c r="W49" s="140"/>
    </row>
    <row r="50" spans="1:23" outlineLevel="1" x14ac:dyDescent="0.2">
      <c r="A50" s="227"/>
      <c r="B50" s="166" t="s">
        <v>267</v>
      </c>
      <c r="C50" s="90">
        <v>0.2</v>
      </c>
      <c r="F50" s="228">
        <f>Assumptions!Q7*C50</f>
        <v>3000000</v>
      </c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12">
        <f t="shared" ref="R50:R54" si="33">SUM(E50:L50)</f>
        <v>3000000</v>
      </c>
      <c r="V50" s="70"/>
      <c r="W50" s="140"/>
    </row>
    <row r="51" spans="1:23" outlineLevel="1" x14ac:dyDescent="0.2">
      <c r="A51" s="227"/>
      <c r="B51" s="166"/>
      <c r="C51" s="90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12"/>
      <c r="V51" s="70"/>
      <c r="W51" s="140"/>
    </row>
    <row r="52" spans="1:23" s="439" customFormat="1" outlineLevel="1" x14ac:dyDescent="0.2">
      <c r="A52" s="442"/>
      <c r="B52" s="441" t="s">
        <v>268</v>
      </c>
      <c r="C52" s="448">
        <f>'Proforma Resi'!M267</f>
        <v>0.2</v>
      </c>
      <c r="F52" s="444">
        <f>(F42+F44)*$C$52</f>
        <v>0</v>
      </c>
      <c r="G52" s="444">
        <f t="shared" ref="G52:Q52" si="34">(G42+G44)*$C$52</f>
        <v>2433350</v>
      </c>
      <c r="H52" s="444">
        <f t="shared" si="34"/>
        <v>8094206.25</v>
      </c>
      <c r="I52" s="444">
        <f t="shared" si="34"/>
        <v>8196456.21875</v>
      </c>
      <c r="J52" s="444">
        <f t="shared" si="34"/>
        <v>7687767.8664062507</v>
      </c>
      <c r="K52" s="444">
        <f t="shared" si="34"/>
        <v>0</v>
      </c>
      <c r="L52" s="444">
        <f t="shared" si="34"/>
        <v>0</v>
      </c>
      <c r="M52" s="444">
        <f t="shared" si="34"/>
        <v>0</v>
      </c>
      <c r="N52" s="444">
        <f t="shared" si="34"/>
        <v>0</v>
      </c>
      <c r="O52" s="444">
        <f t="shared" si="34"/>
        <v>0</v>
      </c>
      <c r="P52" s="444">
        <f t="shared" si="34"/>
        <v>0</v>
      </c>
      <c r="Q52" s="444">
        <f t="shared" si="34"/>
        <v>0</v>
      </c>
      <c r="R52" s="223">
        <f t="shared" si="33"/>
        <v>26411780.335156251</v>
      </c>
      <c r="V52" s="446"/>
      <c r="W52" s="447"/>
    </row>
    <row r="53" spans="1:23" s="439" customFormat="1" outlineLevel="1" x14ac:dyDescent="0.2">
      <c r="A53" s="442"/>
      <c r="B53" s="450" t="s">
        <v>269</v>
      </c>
      <c r="C53" s="451">
        <f>'Proforma Resi'!M268</f>
        <v>0.3</v>
      </c>
      <c r="D53" s="473"/>
      <c r="E53" s="452"/>
      <c r="F53" s="453">
        <f>F52*$C$53</f>
        <v>0</v>
      </c>
      <c r="G53" s="453">
        <f t="shared" ref="G53:Q53" si="35">G52*$C$53</f>
        <v>730005</v>
      </c>
      <c r="H53" s="453">
        <f t="shared" si="35"/>
        <v>2428261.875</v>
      </c>
      <c r="I53" s="453">
        <f t="shared" si="35"/>
        <v>2458936.8656250001</v>
      </c>
      <c r="J53" s="453">
        <f t="shared" si="35"/>
        <v>2306330.3599218749</v>
      </c>
      <c r="K53" s="453">
        <f t="shared" si="35"/>
        <v>0</v>
      </c>
      <c r="L53" s="453">
        <f t="shared" si="35"/>
        <v>0</v>
      </c>
      <c r="M53" s="453">
        <f t="shared" si="35"/>
        <v>0</v>
      </c>
      <c r="N53" s="453">
        <f t="shared" si="35"/>
        <v>0</v>
      </c>
      <c r="O53" s="453">
        <f t="shared" si="35"/>
        <v>0</v>
      </c>
      <c r="P53" s="453">
        <f t="shared" si="35"/>
        <v>0</v>
      </c>
      <c r="Q53" s="453">
        <f t="shared" si="35"/>
        <v>0</v>
      </c>
      <c r="R53" s="454">
        <f t="shared" si="33"/>
        <v>7923534.1005468741</v>
      </c>
      <c r="V53" s="446"/>
      <c r="W53" s="447"/>
    </row>
    <row r="54" spans="1:23" outlineLevel="1" x14ac:dyDescent="0.2">
      <c r="A54" s="227"/>
      <c r="B54" s="166" t="s">
        <v>270</v>
      </c>
      <c r="C54" s="25">
        <v>500000</v>
      </c>
      <c r="D54" s="440" t="s">
        <v>271</v>
      </c>
      <c r="E54" s="228"/>
      <c r="F54" s="228"/>
      <c r="G54" s="228">
        <f>MIN(MAX(G52-G53,$C$54),F56)</f>
        <v>1703345</v>
      </c>
      <c r="H54" s="228">
        <f t="shared" ref="H54:Q54" si="36">MIN(MAX(H52-H53,$C$54),G56)</f>
        <v>5665944.375</v>
      </c>
      <c r="I54" s="228">
        <f t="shared" si="36"/>
        <v>4630710.625</v>
      </c>
      <c r="J54" s="228">
        <f t="shared" si="36"/>
        <v>0</v>
      </c>
      <c r="K54" s="228">
        <f t="shared" si="36"/>
        <v>0</v>
      </c>
      <c r="L54" s="228">
        <f t="shared" si="36"/>
        <v>0</v>
      </c>
      <c r="M54" s="228">
        <f t="shared" si="36"/>
        <v>0</v>
      </c>
      <c r="N54" s="228">
        <f t="shared" si="36"/>
        <v>0</v>
      </c>
      <c r="O54" s="228">
        <f t="shared" si="36"/>
        <v>0</v>
      </c>
      <c r="P54" s="228">
        <f t="shared" si="36"/>
        <v>0</v>
      </c>
      <c r="Q54" s="228">
        <f t="shared" si="36"/>
        <v>0</v>
      </c>
      <c r="R54" s="12">
        <f t="shared" si="33"/>
        <v>12000000</v>
      </c>
      <c r="T54" s="105">
        <f>(R50+R54)/T46</f>
        <v>0.11358567888764218</v>
      </c>
      <c r="U54" s="228">
        <f>Assumptions!Q7</f>
        <v>15000000</v>
      </c>
      <c r="V54" s="70" t="s">
        <v>272</v>
      </c>
      <c r="W54" s="140"/>
    </row>
    <row r="55" spans="1:23" outlineLevel="1" x14ac:dyDescent="0.2">
      <c r="A55" s="227"/>
      <c r="B55" s="166"/>
      <c r="C55" s="25"/>
      <c r="D55" s="440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12"/>
      <c r="T55" s="105"/>
      <c r="U55" s="228"/>
      <c r="V55" s="70"/>
      <c r="W55" s="140"/>
    </row>
    <row r="56" spans="1:23" s="439" customFormat="1" outlineLevel="1" x14ac:dyDescent="0.2">
      <c r="A56" s="442"/>
      <c r="B56" s="449" t="s">
        <v>273</v>
      </c>
      <c r="C56" s="443">
        <f>Assumptions!Q7</f>
        <v>15000000</v>
      </c>
      <c r="D56" s="440" t="s">
        <v>274</v>
      </c>
      <c r="E56" s="444"/>
      <c r="F56" s="444">
        <f>C56-F50</f>
        <v>12000000</v>
      </c>
      <c r="G56" s="444">
        <f>F56-G54</f>
        <v>10296655</v>
      </c>
      <c r="H56" s="444">
        <f t="shared" ref="H56:Q56" si="37">G56-H54</f>
        <v>4630710.625</v>
      </c>
      <c r="I56" s="444">
        <f t="shared" si="37"/>
        <v>0</v>
      </c>
      <c r="J56" s="444">
        <f t="shared" si="37"/>
        <v>0</v>
      </c>
      <c r="K56" s="444">
        <f t="shared" si="37"/>
        <v>0</v>
      </c>
      <c r="L56" s="444">
        <f t="shared" si="37"/>
        <v>0</v>
      </c>
      <c r="M56" s="444">
        <f t="shared" si="37"/>
        <v>0</v>
      </c>
      <c r="N56" s="444">
        <f t="shared" si="37"/>
        <v>0</v>
      </c>
      <c r="O56" s="444">
        <f t="shared" si="37"/>
        <v>0</v>
      </c>
      <c r="P56" s="444">
        <f t="shared" si="37"/>
        <v>0</v>
      </c>
      <c r="Q56" s="444">
        <f t="shared" si="37"/>
        <v>0</v>
      </c>
      <c r="R56" s="223"/>
      <c r="T56" s="445"/>
      <c r="U56" s="444"/>
      <c r="V56" s="446"/>
      <c r="W56" s="447"/>
    </row>
    <row r="57" spans="1:23" outlineLevel="1" x14ac:dyDescent="0.2">
      <c r="B57" s="166" t="s">
        <v>275</v>
      </c>
      <c r="C57" s="90" t="e">
        <f>Assumptions!#REF!</f>
        <v>#REF!</v>
      </c>
      <c r="D57" s="93"/>
      <c r="E57" s="47"/>
      <c r="F57" s="12" t="e">
        <f>F56*C57/2</f>
        <v>#REF!</v>
      </c>
      <c r="G57" s="12" t="e">
        <f>F56*$C$57</f>
        <v>#REF!</v>
      </c>
      <c r="H57" s="12" t="e">
        <f t="shared" ref="H57:Q57" si="38">G56*$C$57</f>
        <v>#REF!</v>
      </c>
      <c r="I57" s="12" t="e">
        <f t="shared" si="38"/>
        <v>#REF!</v>
      </c>
      <c r="J57" s="12" t="e">
        <f t="shared" si="38"/>
        <v>#REF!</v>
      </c>
      <c r="K57" s="12" t="e">
        <f t="shared" si="38"/>
        <v>#REF!</v>
      </c>
      <c r="L57" s="12" t="e">
        <f t="shared" si="38"/>
        <v>#REF!</v>
      </c>
      <c r="M57" s="12" t="e">
        <f t="shared" si="38"/>
        <v>#REF!</v>
      </c>
      <c r="N57" s="12" t="e">
        <f t="shared" si="38"/>
        <v>#REF!</v>
      </c>
      <c r="O57" s="12" t="e">
        <f t="shared" si="38"/>
        <v>#REF!</v>
      </c>
      <c r="P57" s="12" t="e">
        <f t="shared" si="38"/>
        <v>#REF!</v>
      </c>
      <c r="Q57" s="12" t="e">
        <f t="shared" si="38"/>
        <v>#REF!</v>
      </c>
      <c r="R57" s="47" t="e">
        <f>SUM(E57:Q57)</f>
        <v>#REF!</v>
      </c>
      <c r="T57" s="471" t="e">
        <f>R57/T46</f>
        <v>#REF!</v>
      </c>
      <c r="V57" s="70"/>
      <c r="W57" s="140"/>
    </row>
    <row r="58" spans="1:23" x14ac:dyDescent="0.2">
      <c r="A58" s="227"/>
      <c r="B58" s="85" t="s">
        <v>265</v>
      </c>
      <c r="C58" s="94"/>
      <c r="D58" s="94"/>
      <c r="E58" s="52">
        <f>SUM(E54:E57)</f>
        <v>0</v>
      </c>
      <c r="F58" s="52" t="e">
        <f>F49+F50+F54+F57</f>
        <v>#REF!</v>
      </c>
      <c r="G58" s="52" t="e">
        <f t="shared" ref="G58:Q58" si="39">G49+G50+G54+G57</f>
        <v>#REF!</v>
      </c>
      <c r="H58" s="52" t="e">
        <f>H49+H50+H54+H57</f>
        <v>#REF!</v>
      </c>
      <c r="I58" s="52" t="e">
        <f t="shared" si="39"/>
        <v>#REF!</v>
      </c>
      <c r="J58" s="52" t="e">
        <f>J49+J50+J54+J57</f>
        <v>#REF!</v>
      </c>
      <c r="K58" s="52" t="e">
        <f t="shared" si="39"/>
        <v>#REF!</v>
      </c>
      <c r="L58" s="52" t="e">
        <f t="shared" si="39"/>
        <v>#REF!</v>
      </c>
      <c r="M58" s="52" t="e">
        <f t="shared" si="39"/>
        <v>#REF!</v>
      </c>
      <c r="N58" s="52" t="e">
        <f t="shared" si="39"/>
        <v>#REF!</v>
      </c>
      <c r="O58" s="52" t="e">
        <f t="shared" si="39"/>
        <v>#REF!</v>
      </c>
      <c r="P58" s="52" t="e">
        <f t="shared" si="39"/>
        <v>#REF!</v>
      </c>
      <c r="Q58" s="52" t="e">
        <f t="shared" si="39"/>
        <v>#REF!</v>
      </c>
      <c r="R58" s="107" t="e">
        <f>SUM(E58:Q58)</f>
        <v>#REF!</v>
      </c>
      <c r="T58" s="63" t="e">
        <f>+T54+T49+T57</f>
        <v>#REF!</v>
      </c>
      <c r="U58" s="18"/>
      <c r="V58" s="70"/>
      <c r="W58" s="140"/>
    </row>
    <row r="59" spans="1:23" x14ac:dyDescent="0.2">
      <c r="B59" s="165"/>
      <c r="C59" s="19"/>
      <c r="D59" s="19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2"/>
      <c r="T59" s="70"/>
      <c r="U59" s="135"/>
    </row>
    <row r="60" spans="1:23" outlineLevel="1" x14ac:dyDescent="0.2">
      <c r="A60" s="227" t="s">
        <v>276</v>
      </c>
      <c r="B60" s="87" t="s">
        <v>277</v>
      </c>
      <c r="C60" s="19"/>
      <c r="D60" s="19"/>
      <c r="E60" s="170"/>
      <c r="F60" s="33"/>
      <c r="G60" s="170"/>
      <c r="H60" s="170"/>
      <c r="I60" s="33"/>
      <c r="J60" s="170"/>
      <c r="K60" s="170"/>
      <c r="L60" s="170"/>
      <c r="M60" s="170"/>
      <c r="N60" s="170"/>
      <c r="O60" s="170"/>
      <c r="P60" s="170"/>
      <c r="Q60" s="170"/>
      <c r="R60" s="12"/>
      <c r="T60" s="105"/>
    </row>
    <row r="61" spans="1:23" ht="16.25" customHeight="1" outlineLevel="1" x14ac:dyDescent="0.2">
      <c r="B61" s="166" t="s">
        <v>278</v>
      </c>
      <c r="C61" s="416">
        <f>F61/SUM(R7:R8)</f>
        <v>451765.60946635128</v>
      </c>
      <c r="D61" s="13"/>
      <c r="E61" s="12"/>
      <c r="F61" s="61">
        <f>(Assumptions!Q9*($T$7/SUM($T$7:$T$8))*Assumptions!P6/Assumptions!P6)/2</f>
        <v>5872952.9230625667</v>
      </c>
      <c r="G61" s="61">
        <f>(Assumptions!Q9*($T$7/SUM($T$7:$T$8))*Assumptions!P6/Assumptions!P6)/2</f>
        <v>5872952.9230625667</v>
      </c>
      <c r="H61" s="780" t="s">
        <v>279</v>
      </c>
      <c r="I61" s="780"/>
      <c r="J61" s="780"/>
      <c r="K61" s="780"/>
      <c r="L61" s="780"/>
      <c r="M61" s="780"/>
      <c r="N61" s="486"/>
      <c r="O61" s="486"/>
      <c r="P61" s="486"/>
      <c r="Q61" s="486"/>
      <c r="R61" s="12">
        <f t="shared" ref="R61:R62" si="40">SUM(E61:P61)</f>
        <v>11745905.846125133</v>
      </c>
    </row>
    <row r="62" spans="1:23" outlineLevel="1" x14ac:dyDescent="0.2">
      <c r="B62" s="166" t="s">
        <v>280</v>
      </c>
      <c r="C62" s="416">
        <f>F62/SUM(R9:R10)</f>
        <v>54234.902564581098</v>
      </c>
      <c r="D62" s="13"/>
      <c r="E62" s="12"/>
      <c r="F62" s="61">
        <f>(Assumptions!Q9*($T$8/SUM($T$7:$T$8))*Assumptions!P6/Assumptions!P6)/2</f>
        <v>1627047.0769374329</v>
      </c>
      <c r="G62" s="61">
        <f>(Assumptions!Q9*($T$8/SUM($T$7:$T$8))*Assumptions!P6/Assumptions!P6)/2</f>
        <v>1627047.0769374329</v>
      </c>
      <c r="H62" s="780"/>
      <c r="I62" s="780"/>
      <c r="J62" s="780"/>
      <c r="K62" s="780"/>
      <c r="L62" s="780"/>
      <c r="M62" s="780"/>
      <c r="N62" s="486"/>
      <c r="O62" s="486"/>
      <c r="P62" s="486"/>
      <c r="Q62" s="486"/>
      <c r="R62" s="12">
        <f t="shared" si="40"/>
        <v>3254094.1538748657</v>
      </c>
    </row>
    <row r="63" spans="1:23" outlineLevel="1" x14ac:dyDescent="0.2">
      <c r="B63" s="171" t="s">
        <v>281</v>
      </c>
      <c r="C63" s="54">
        <v>0</v>
      </c>
      <c r="D63" s="54"/>
      <c r="E63" s="22">
        <f>SUM(E61:E62)*$C$63</f>
        <v>0</v>
      </c>
      <c r="F63" s="22">
        <f>SUM(F61:F62)*$C$63</f>
        <v>0</v>
      </c>
      <c r="G63" s="22">
        <f t="shared" ref="G63:Q63" si="41">SUM(G61:G62)*$C$63</f>
        <v>0</v>
      </c>
      <c r="H63" s="22">
        <f>SUM(H61:H62)*$C$63</f>
        <v>0</v>
      </c>
      <c r="I63" s="487"/>
      <c r="J63" s="487"/>
      <c r="K63" s="487"/>
      <c r="L63" s="487"/>
      <c r="M63" s="487"/>
      <c r="N63" s="22">
        <f t="shared" si="41"/>
        <v>0</v>
      </c>
      <c r="O63" s="22">
        <f t="shared" si="41"/>
        <v>0</v>
      </c>
      <c r="P63" s="22">
        <f t="shared" si="41"/>
        <v>0</v>
      </c>
      <c r="Q63" s="22">
        <f t="shared" si="41"/>
        <v>0</v>
      </c>
      <c r="R63" s="21">
        <f>SUM(E63:Q63)</f>
        <v>0</v>
      </c>
      <c r="T63" s="11"/>
    </row>
    <row r="64" spans="1:23" x14ac:dyDescent="0.2">
      <c r="B64" s="85" t="str">
        <f>B60</f>
        <v>HARD COSTS - SITE INFRASTRUCTURE RESORT</v>
      </c>
      <c r="C64" s="86"/>
      <c r="D64" s="86"/>
      <c r="E64" s="51">
        <f t="shared" ref="E64:P64" si="42">SUM(E61:E63)</f>
        <v>0</v>
      </c>
      <c r="F64" s="51">
        <f t="shared" si="42"/>
        <v>7500000</v>
      </c>
      <c r="G64" s="51">
        <f t="shared" si="42"/>
        <v>7500000</v>
      </c>
      <c r="H64" s="51">
        <f>SUM(H61:H63)</f>
        <v>0</v>
      </c>
      <c r="I64" s="51">
        <f t="shared" si="42"/>
        <v>0</v>
      </c>
      <c r="J64" s="51">
        <f t="shared" si="42"/>
        <v>0</v>
      </c>
      <c r="K64" s="51">
        <f t="shared" si="42"/>
        <v>0</v>
      </c>
      <c r="L64" s="51">
        <f t="shared" si="42"/>
        <v>0</v>
      </c>
      <c r="M64" s="51">
        <f t="shared" si="42"/>
        <v>0</v>
      </c>
      <c r="N64" s="51">
        <f t="shared" si="42"/>
        <v>0</v>
      </c>
      <c r="O64" s="51">
        <f t="shared" si="42"/>
        <v>0</v>
      </c>
      <c r="P64" s="51">
        <f t="shared" si="42"/>
        <v>0</v>
      </c>
      <c r="Q64" s="51"/>
      <c r="R64" s="52">
        <f>SUM(E64:Q64)</f>
        <v>15000000</v>
      </c>
      <c r="T64" s="11">
        <f>R64/$R$11</f>
        <v>348837.20930232556</v>
      </c>
      <c r="U64" s="135" t="s">
        <v>282</v>
      </c>
      <c r="V64" s="135"/>
    </row>
    <row r="65" spans="1:22" x14ac:dyDescent="0.2">
      <c r="B65" s="165"/>
      <c r="C65" s="19"/>
      <c r="D65" s="19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2"/>
      <c r="T65" s="111" t="e">
        <f>(R64-H43)/$T$46</f>
        <v>#REF!</v>
      </c>
      <c r="U65" t="s">
        <v>283</v>
      </c>
    </row>
    <row r="66" spans="1:22" outlineLevel="1" x14ac:dyDescent="0.2">
      <c r="A66" s="227" t="s">
        <v>276</v>
      </c>
      <c r="B66" s="87" t="s">
        <v>284</v>
      </c>
      <c r="C66" s="19"/>
      <c r="D66" s="19"/>
      <c r="E66" s="170"/>
      <c r="F66" s="33"/>
      <c r="G66" s="170"/>
      <c r="H66" s="170"/>
      <c r="I66" s="33"/>
      <c r="J66" s="170"/>
      <c r="K66" s="170"/>
      <c r="L66" s="170"/>
      <c r="M66" s="170"/>
      <c r="N66" s="170"/>
      <c r="O66" s="170"/>
      <c r="P66" s="170"/>
      <c r="Q66" s="170"/>
      <c r="R66" s="12"/>
    </row>
    <row r="67" spans="1:22" outlineLevel="1" x14ac:dyDescent="0.2">
      <c r="B67" s="166" t="s">
        <v>278</v>
      </c>
      <c r="C67" s="71">
        <v>85000</v>
      </c>
      <c r="D67" s="13"/>
      <c r="E67" s="12"/>
      <c r="F67" s="12">
        <f t="shared" ref="F67:L67" si="43">+(F7+F8)*$C67</f>
        <v>170000</v>
      </c>
      <c r="G67" s="12">
        <f t="shared" si="43"/>
        <v>255000</v>
      </c>
      <c r="H67" s="12">
        <f t="shared" si="43"/>
        <v>425000</v>
      </c>
      <c r="I67" s="12">
        <f t="shared" si="43"/>
        <v>255000</v>
      </c>
      <c r="J67" s="12">
        <f t="shared" si="43"/>
        <v>0</v>
      </c>
      <c r="K67" s="12">
        <f t="shared" si="43"/>
        <v>0</v>
      </c>
      <c r="L67" s="12">
        <f t="shared" si="43"/>
        <v>0</v>
      </c>
      <c r="M67" s="12"/>
      <c r="N67" s="12"/>
      <c r="O67" s="12"/>
      <c r="P67" s="12"/>
      <c r="Q67" s="12"/>
      <c r="R67" s="12">
        <f t="shared" ref="R67:R70" si="44">SUM(E67:P67)</f>
        <v>1105000</v>
      </c>
    </row>
    <row r="68" spans="1:22" outlineLevel="1" x14ac:dyDescent="0.2">
      <c r="B68" s="166" t="s">
        <v>285</v>
      </c>
      <c r="C68" s="71">
        <v>65000</v>
      </c>
      <c r="D68" s="13"/>
      <c r="E68" s="12"/>
      <c r="F68" s="12">
        <f>F9*$C68</f>
        <v>130000</v>
      </c>
      <c r="G68" s="12">
        <f t="shared" ref="G68:L68" si="45">G9*$C68</f>
        <v>520000</v>
      </c>
      <c r="H68" s="12">
        <f t="shared" si="45"/>
        <v>260000</v>
      </c>
      <c r="I68" s="12">
        <f t="shared" si="45"/>
        <v>520000</v>
      </c>
      <c r="J68" s="12">
        <f t="shared" si="45"/>
        <v>0</v>
      </c>
      <c r="K68" s="12">
        <f t="shared" si="45"/>
        <v>0</v>
      </c>
      <c r="L68" s="12">
        <f t="shared" si="45"/>
        <v>0</v>
      </c>
      <c r="M68" s="12"/>
      <c r="N68" s="12"/>
      <c r="O68" s="12"/>
      <c r="P68" s="12"/>
      <c r="Q68" s="12"/>
      <c r="R68" s="12">
        <f t="shared" si="44"/>
        <v>1430000</v>
      </c>
    </row>
    <row r="69" spans="1:22" outlineLevel="1" x14ac:dyDescent="0.2">
      <c r="B69" s="166" t="s">
        <v>286</v>
      </c>
      <c r="C69" s="71">
        <v>25000</v>
      </c>
      <c r="D69" s="13"/>
      <c r="E69" s="12"/>
      <c r="F69" s="12">
        <f>F10*$C69</f>
        <v>0</v>
      </c>
      <c r="G69" s="12">
        <f t="shared" ref="G69:P69" si="46">G10*$C69</f>
        <v>100000</v>
      </c>
      <c r="H69" s="12">
        <f t="shared" si="46"/>
        <v>100000</v>
      </c>
      <c r="I69" s="12">
        <f t="shared" si="46"/>
        <v>0</v>
      </c>
      <c r="J69" s="12">
        <f t="shared" si="46"/>
        <v>0</v>
      </c>
      <c r="K69" s="12">
        <f t="shared" si="46"/>
        <v>0</v>
      </c>
      <c r="L69" s="12">
        <f t="shared" si="46"/>
        <v>0</v>
      </c>
      <c r="M69" s="12">
        <f t="shared" si="46"/>
        <v>0</v>
      </c>
      <c r="N69" s="12">
        <f t="shared" si="46"/>
        <v>0</v>
      </c>
      <c r="O69" s="12">
        <f t="shared" si="46"/>
        <v>0</v>
      </c>
      <c r="P69" s="12">
        <f t="shared" si="46"/>
        <v>0</v>
      </c>
      <c r="Q69" s="12"/>
      <c r="R69" s="12">
        <f t="shared" si="44"/>
        <v>200000</v>
      </c>
    </row>
    <row r="70" spans="1:22" outlineLevel="1" x14ac:dyDescent="0.2">
      <c r="B70" s="166" t="s">
        <v>287</v>
      </c>
      <c r="C70" s="71">
        <v>750000</v>
      </c>
      <c r="D70" s="13"/>
      <c r="E70" s="12"/>
      <c r="F70" s="12"/>
      <c r="G70" s="12">
        <f>C70</f>
        <v>750000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>
        <f t="shared" si="44"/>
        <v>750000</v>
      </c>
    </row>
    <row r="71" spans="1:22" outlineLevel="1" x14ac:dyDescent="0.2">
      <c r="B71" s="171" t="s">
        <v>281</v>
      </c>
      <c r="C71" s="54">
        <v>0.05</v>
      </c>
      <c r="D71" s="54"/>
      <c r="E71" s="22">
        <f t="shared" ref="E71:L71" si="47">SUM(E67:E68)*$C$71</f>
        <v>0</v>
      </c>
      <c r="F71" s="22">
        <f t="shared" si="47"/>
        <v>15000</v>
      </c>
      <c r="G71" s="22">
        <f t="shared" si="47"/>
        <v>38750</v>
      </c>
      <c r="H71" s="22">
        <f t="shared" si="47"/>
        <v>34250</v>
      </c>
      <c r="I71" s="22">
        <f t="shared" si="47"/>
        <v>38750</v>
      </c>
      <c r="J71" s="22">
        <f t="shared" si="47"/>
        <v>0</v>
      </c>
      <c r="K71" s="22">
        <f t="shared" si="47"/>
        <v>0</v>
      </c>
      <c r="L71" s="22">
        <f t="shared" si="47"/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1">
        <f>SUM(E71:Q71)</f>
        <v>126750</v>
      </c>
      <c r="T71" s="11"/>
    </row>
    <row r="72" spans="1:22" x14ac:dyDescent="0.2">
      <c r="B72" s="85" t="str">
        <f>B66</f>
        <v>HARD COSTS - SITE INFRASTRUCTURE INTERNAL ROADS</v>
      </c>
      <c r="C72" s="86"/>
      <c r="D72" s="86"/>
      <c r="E72" s="51">
        <f t="shared" ref="E72:P72" si="48">SUM(E67:E71)</f>
        <v>0</v>
      </c>
      <c r="F72" s="51">
        <f t="shared" si="48"/>
        <v>315000</v>
      </c>
      <c r="G72" s="51">
        <f t="shared" si="48"/>
        <v>1663750</v>
      </c>
      <c r="H72" s="51">
        <f t="shared" si="48"/>
        <v>819250</v>
      </c>
      <c r="I72" s="51">
        <f t="shared" si="48"/>
        <v>813750</v>
      </c>
      <c r="J72" s="51">
        <f t="shared" si="48"/>
        <v>0</v>
      </c>
      <c r="K72" s="51">
        <f t="shared" si="48"/>
        <v>0</v>
      </c>
      <c r="L72" s="51">
        <f t="shared" si="48"/>
        <v>0</v>
      </c>
      <c r="M72" s="51">
        <f t="shared" si="48"/>
        <v>0</v>
      </c>
      <c r="N72" s="51">
        <f t="shared" si="48"/>
        <v>0</v>
      </c>
      <c r="O72" s="51">
        <f t="shared" si="48"/>
        <v>0</v>
      </c>
      <c r="P72" s="51">
        <f t="shared" si="48"/>
        <v>0</v>
      </c>
      <c r="Q72" s="51"/>
      <c r="R72" s="52">
        <f>SUM(E72:Q72)</f>
        <v>3611750</v>
      </c>
      <c r="T72" s="70">
        <f>R72/$R$11</f>
        <v>83994.186046511633</v>
      </c>
      <c r="U72" s="135" t="s">
        <v>288</v>
      </c>
      <c r="V72" s="135"/>
    </row>
    <row r="73" spans="1:22" x14ac:dyDescent="0.2">
      <c r="B73" s="165"/>
      <c r="C73" s="19"/>
      <c r="D73" s="19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2"/>
      <c r="T73" s="111">
        <f>R72/$T$46</f>
        <v>2.7349538381496109E-2</v>
      </c>
      <c r="U73" t="s">
        <v>283</v>
      </c>
    </row>
    <row r="74" spans="1:22" outlineLevel="1" x14ac:dyDescent="0.2">
      <c r="A74" s="227" t="s">
        <v>289</v>
      </c>
      <c r="B74" s="87" t="s">
        <v>290</v>
      </c>
      <c r="C74" s="19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2"/>
    </row>
    <row r="75" spans="1:22" outlineLevel="1" x14ac:dyDescent="0.2">
      <c r="B75" s="166" t="s">
        <v>291</v>
      </c>
      <c r="C75" s="71">
        <v>50000</v>
      </c>
      <c r="D75" s="12"/>
      <c r="E75" s="12"/>
      <c r="F75" s="12">
        <f t="shared" ref="F75:Q75" si="49">((SUM(E$7)*$C75)*0.25)+((SUM(F$7)*$C75)*0.75)</f>
        <v>37500</v>
      </c>
      <c r="G75" s="12">
        <f t="shared" si="49"/>
        <v>50000</v>
      </c>
      <c r="H75" s="12">
        <f t="shared" si="49"/>
        <v>200000</v>
      </c>
      <c r="I75" s="12">
        <f t="shared" si="49"/>
        <v>175000</v>
      </c>
      <c r="J75" s="12">
        <f t="shared" si="49"/>
        <v>37500</v>
      </c>
      <c r="K75" s="12">
        <f t="shared" si="49"/>
        <v>0</v>
      </c>
      <c r="L75" s="12">
        <f t="shared" si="49"/>
        <v>0</v>
      </c>
      <c r="M75" s="12">
        <f t="shared" si="49"/>
        <v>0</v>
      </c>
      <c r="N75" s="12">
        <f t="shared" si="49"/>
        <v>0</v>
      </c>
      <c r="O75" s="12">
        <f t="shared" si="49"/>
        <v>0</v>
      </c>
      <c r="P75" s="12">
        <f t="shared" si="49"/>
        <v>0</v>
      </c>
      <c r="Q75" s="12">
        <f t="shared" si="49"/>
        <v>0</v>
      </c>
      <c r="R75" s="12">
        <f t="shared" ref="R75:R80" si="50">SUM(E75:Q75)</f>
        <v>500000</v>
      </c>
      <c r="T75" s="11">
        <f t="shared" ref="T75:T80" si="51">R75/SUM($R$7)</f>
        <v>50000</v>
      </c>
      <c r="U75" s="135" t="s">
        <v>292</v>
      </c>
      <c r="V75" t="s">
        <v>293</v>
      </c>
    </row>
    <row r="76" spans="1:22" outlineLevel="1" x14ac:dyDescent="0.2">
      <c r="B76" s="166" t="s">
        <v>294</v>
      </c>
      <c r="C76" s="416">
        <v>635</v>
      </c>
      <c r="D76" s="61"/>
      <c r="E76" s="61"/>
      <c r="F76" s="61">
        <f>(IFERROR(SUMPRODUCT($D$7,E7)*$C76,0)*0.75)+(IFERROR(SUMPRODUCT($D$7,F7)*$C76,0)*0.25)</f>
        <v>420687.5</v>
      </c>
      <c r="G76" s="61">
        <f t="shared" ref="G76:Q76" si="52">(IFERROR(SUMPRODUCT($D$7,F7)*$C76,0)*0.75)+(IFERROR(SUMPRODUCT($D$7,G7)*$C76,0)*0.25)</f>
        <v>1682750</v>
      </c>
      <c r="H76" s="61">
        <f t="shared" si="52"/>
        <v>3365500</v>
      </c>
      <c r="I76" s="61">
        <f t="shared" si="52"/>
        <v>7572375</v>
      </c>
      <c r="J76" s="61">
        <f t="shared" si="52"/>
        <v>3786187.5</v>
      </c>
      <c r="K76" s="61">
        <f t="shared" si="52"/>
        <v>0</v>
      </c>
      <c r="L76" s="61">
        <f t="shared" si="52"/>
        <v>0</v>
      </c>
      <c r="M76" s="61">
        <f t="shared" si="52"/>
        <v>0</v>
      </c>
      <c r="N76" s="61">
        <f t="shared" si="52"/>
        <v>0</v>
      </c>
      <c r="O76" s="61">
        <f t="shared" si="52"/>
        <v>0</v>
      </c>
      <c r="P76" s="61">
        <f t="shared" si="52"/>
        <v>0</v>
      </c>
      <c r="Q76" s="61">
        <f t="shared" si="52"/>
        <v>0</v>
      </c>
      <c r="R76" s="12">
        <f t="shared" si="50"/>
        <v>16827500</v>
      </c>
      <c r="T76" s="11">
        <f t="shared" si="51"/>
        <v>1682750</v>
      </c>
      <c r="U76" t="s">
        <v>295</v>
      </c>
      <c r="V76" s="229">
        <f>(R76)/V7</f>
        <v>635</v>
      </c>
    </row>
    <row r="77" spans="1:22" outlineLevel="1" x14ac:dyDescent="0.2">
      <c r="B77" s="166" t="s">
        <v>296</v>
      </c>
      <c r="C77" s="101">
        <v>50000</v>
      </c>
      <c r="D77" s="61"/>
      <c r="E77" s="61"/>
      <c r="F77" s="61">
        <f t="shared" ref="F77:Q77" si="53">SUM(E7)*$C77</f>
        <v>0</v>
      </c>
      <c r="G77" s="61">
        <f t="shared" si="53"/>
        <v>50000</v>
      </c>
      <c r="H77" s="61">
        <f t="shared" si="53"/>
        <v>50000</v>
      </c>
      <c r="I77" s="61">
        <f t="shared" si="53"/>
        <v>250000</v>
      </c>
      <c r="J77" s="61">
        <f t="shared" si="53"/>
        <v>150000</v>
      </c>
      <c r="K77" s="61">
        <f t="shared" si="53"/>
        <v>0</v>
      </c>
      <c r="L77" s="61">
        <f t="shared" si="53"/>
        <v>0</v>
      </c>
      <c r="M77" s="61">
        <f t="shared" si="53"/>
        <v>0</v>
      </c>
      <c r="N77" s="61">
        <f t="shared" si="53"/>
        <v>0</v>
      </c>
      <c r="O77" s="61">
        <f t="shared" si="53"/>
        <v>0</v>
      </c>
      <c r="P77" s="12">
        <f t="shared" si="53"/>
        <v>0</v>
      </c>
      <c r="Q77" s="12">
        <f t="shared" si="53"/>
        <v>0</v>
      </c>
      <c r="R77" s="12">
        <f t="shared" si="50"/>
        <v>500000</v>
      </c>
      <c r="T77" s="11">
        <f t="shared" si="51"/>
        <v>50000</v>
      </c>
      <c r="U77" s="135" t="s">
        <v>292</v>
      </c>
    </row>
    <row r="78" spans="1:22" outlineLevel="1" x14ac:dyDescent="0.2">
      <c r="B78" s="166" t="s">
        <v>297</v>
      </c>
      <c r="C78" s="84">
        <v>0.05</v>
      </c>
      <c r="D78" s="61"/>
      <c r="E78" s="61"/>
      <c r="F78" s="61">
        <f>SUM(F75:F77,E78)*$C78</f>
        <v>22909.375</v>
      </c>
      <c r="G78" s="61">
        <f>SUM(G75:G77,F78)*$C78</f>
        <v>90282.96875</v>
      </c>
      <c r="H78" s="61">
        <f>SUM(H75:H77,G78)*$C78</f>
        <v>185289.1484375</v>
      </c>
      <c r="I78" s="61">
        <f t="shared" ref="I78:M78" si="54">SUM(I75:I77,H78)*$C78</f>
        <v>409133.20742187503</v>
      </c>
      <c r="J78" s="61">
        <f t="shared" si="54"/>
        <v>219141.03537109375</v>
      </c>
      <c r="K78" s="61"/>
      <c r="L78" s="61">
        <f t="shared" si="54"/>
        <v>0</v>
      </c>
      <c r="M78" s="61">
        <f t="shared" si="54"/>
        <v>0</v>
      </c>
      <c r="N78" s="61"/>
      <c r="O78" s="61"/>
      <c r="P78" s="12"/>
      <c r="Q78" s="12"/>
      <c r="R78" s="12">
        <f t="shared" si="50"/>
        <v>926755.73498046887</v>
      </c>
      <c r="T78" s="11">
        <f t="shared" si="51"/>
        <v>92675.573498046884</v>
      </c>
      <c r="U78" t="s">
        <v>295</v>
      </c>
    </row>
    <row r="79" spans="1:22" outlineLevel="1" x14ac:dyDescent="0.2">
      <c r="B79" s="166" t="s">
        <v>281</v>
      </c>
      <c r="C79" s="84">
        <v>3.5000000000000003E-2</v>
      </c>
      <c r="D79" s="11"/>
      <c r="E79" s="11">
        <f>SUM(E74:E77)*$C79</f>
        <v>0</v>
      </c>
      <c r="F79" s="11">
        <f t="shared" ref="F79:L79" si="55">SUM(F74:F78)*$C79</f>
        <v>16838.390625</v>
      </c>
      <c r="G79" s="11">
        <f t="shared" si="55"/>
        <v>65556.153906250009</v>
      </c>
      <c r="H79" s="11">
        <f t="shared" si="55"/>
        <v>133027.62019531251</v>
      </c>
      <c r="I79" s="11">
        <f t="shared" si="55"/>
        <v>294227.78725976567</v>
      </c>
      <c r="J79" s="11">
        <f t="shared" si="55"/>
        <v>146748.9987379883</v>
      </c>
      <c r="K79" s="11">
        <f t="shared" si="55"/>
        <v>0</v>
      </c>
      <c r="L79" s="11">
        <f t="shared" si="55"/>
        <v>0</v>
      </c>
      <c r="M79" s="11">
        <f>SUM(M74:M77)*$C79</f>
        <v>0</v>
      </c>
      <c r="N79" s="11">
        <f>SUM(N74:N77)*$C79</f>
        <v>0</v>
      </c>
      <c r="O79" s="11">
        <f>SUM(O74:O77)*$C79</f>
        <v>0</v>
      </c>
      <c r="P79" s="11">
        <f>SUM(P74:P77)*$C79</f>
        <v>0</v>
      </c>
      <c r="Q79" s="11">
        <f>SUM(Q74:Q77)*$C79</f>
        <v>0</v>
      </c>
      <c r="R79" s="12">
        <f t="shared" si="50"/>
        <v>656398.95072431653</v>
      </c>
      <c r="T79" s="11">
        <f t="shared" si="51"/>
        <v>65639.895072431653</v>
      </c>
      <c r="U79" t="s">
        <v>295</v>
      </c>
      <c r="V79" s="3" t="s">
        <v>298</v>
      </c>
    </row>
    <row r="80" spans="1:22" x14ac:dyDescent="0.2">
      <c r="B80" s="85" t="str">
        <f>B74</f>
        <v>HARD COSTS - HOMES: SFR Large</v>
      </c>
      <c r="C80" s="86"/>
      <c r="D80" s="51"/>
      <c r="E80" s="51">
        <f t="shared" ref="E80:Q80" si="56">SUM(E74:E79)</f>
        <v>0</v>
      </c>
      <c r="F80" s="51">
        <f t="shared" si="56"/>
        <v>497935.265625</v>
      </c>
      <c r="G80" s="51">
        <f t="shared" si="56"/>
        <v>1938589.1226562499</v>
      </c>
      <c r="H80" s="51">
        <f t="shared" si="56"/>
        <v>3933816.7686328124</v>
      </c>
      <c r="I80" s="51">
        <f t="shared" si="56"/>
        <v>8700735.9946816396</v>
      </c>
      <c r="J80" s="51">
        <f t="shared" si="56"/>
        <v>4339577.5341090821</v>
      </c>
      <c r="K80" s="51">
        <f t="shared" si="56"/>
        <v>0</v>
      </c>
      <c r="L80" s="51">
        <f t="shared" si="56"/>
        <v>0</v>
      </c>
      <c r="M80" s="51">
        <f t="shared" si="56"/>
        <v>0</v>
      </c>
      <c r="N80" s="51">
        <f t="shared" si="56"/>
        <v>0</v>
      </c>
      <c r="O80" s="51">
        <f t="shared" si="56"/>
        <v>0</v>
      </c>
      <c r="P80" s="51">
        <f t="shared" si="56"/>
        <v>0</v>
      </c>
      <c r="Q80" s="51">
        <f t="shared" si="56"/>
        <v>0</v>
      </c>
      <c r="R80" s="52">
        <f t="shared" si="50"/>
        <v>19410654.685704783</v>
      </c>
      <c r="T80" s="134">
        <f t="shared" si="51"/>
        <v>1941065.4685704783</v>
      </c>
      <c r="U80" t="s">
        <v>295</v>
      </c>
      <c r="V80" s="413">
        <f>R80/V7</f>
        <v>732.47753530961438</v>
      </c>
    </row>
    <row r="81" spans="1:22" x14ac:dyDescent="0.2">
      <c r="B81" s="26"/>
      <c r="C81" s="19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66"/>
      <c r="T81" s="111" cm="1">
        <f t="array" ref="T81">R80/SUMPRODUCT(D7*F7:Q7*F$23:Q$23)</f>
        <v>0.4741055610992479</v>
      </c>
      <c r="U81" t="s">
        <v>283</v>
      </c>
      <c r="V81" s="229"/>
    </row>
    <row r="82" spans="1:22" outlineLevel="1" x14ac:dyDescent="0.2">
      <c r="A82" s="227" t="s">
        <v>289</v>
      </c>
      <c r="B82" s="87" t="s">
        <v>299</v>
      </c>
      <c r="C82" s="19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2"/>
    </row>
    <row r="83" spans="1:22" outlineLevel="1" x14ac:dyDescent="0.2">
      <c r="B83" s="166" t="s">
        <v>291</v>
      </c>
      <c r="C83" s="71">
        <v>50000</v>
      </c>
      <c r="D83" s="61"/>
      <c r="E83" s="61"/>
      <c r="F83" s="61">
        <f t="shared" ref="F83:Q83" si="57">((SUM(E$8)*$C83)*0.25)+((SUM(F$8)*$C83)*0.75)</f>
        <v>37500</v>
      </c>
      <c r="G83" s="61">
        <f t="shared" si="57"/>
        <v>87500</v>
      </c>
      <c r="H83" s="61">
        <f t="shared" si="57"/>
        <v>25000</v>
      </c>
      <c r="I83" s="61">
        <f t="shared" si="57"/>
        <v>0</v>
      </c>
      <c r="J83" s="61">
        <f t="shared" si="57"/>
        <v>0</v>
      </c>
      <c r="K83" s="61">
        <f t="shared" si="57"/>
        <v>0</v>
      </c>
      <c r="L83" s="61">
        <f t="shared" si="57"/>
        <v>0</v>
      </c>
      <c r="M83" s="61">
        <f t="shared" si="57"/>
        <v>0</v>
      </c>
      <c r="N83" s="61">
        <f t="shared" si="57"/>
        <v>0</v>
      </c>
      <c r="O83" s="61">
        <f t="shared" si="57"/>
        <v>0</v>
      </c>
      <c r="P83" s="12">
        <f t="shared" si="57"/>
        <v>0</v>
      </c>
      <c r="Q83" s="12">
        <f t="shared" si="57"/>
        <v>0</v>
      </c>
      <c r="R83" s="12">
        <f t="shared" ref="R83:R88" si="58">SUM(E83:Q83)</f>
        <v>150000</v>
      </c>
      <c r="T83" s="11">
        <f t="shared" ref="T83:T88" si="59">R83/SUM($R$8)</f>
        <v>50000</v>
      </c>
      <c r="U83" s="135" t="s">
        <v>292</v>
      </c>
      <c r="V83" t="s">
        <v>293</v>
      </c>
    </row>
    <row r="84" spans="1:22" outlineLevel="1" x14ac:dyDescent="0.2">
      <c r="B84" s="166" t="s">
        <v>294</v>
      </c>
      <c r="C84" s="416">
        <v>650</v>
      </c>
      <c r="D84" s="61"/>
      <c r="E84" s="61"/>
      <c r="F84" s="61">
        <f>(IFERROR((SUMPRODUCT($D$8,E8))*$C84,0)*0.75)+(IFERROR((SUMPRODUCT($D$8,F8))*$C84,0)*0.25)</f>
        <v>390812.5</v>
      </c>
      <c r="G84" s="61">
        <f t="shared" ref="G84:Q84" si="60">(IFERROR((SUMPRODUCT($D$8,F8))*$C84,0)*0.75)+(IFERROR((SUMPRODUCT($D$8,G8))*$C84,0)*0.25)</f>
        <v>1954062.5</v>
      </c>
      <c r="H84" s="61">
        <f t="shared" si="60"/>
        <v>2344875</v>
      </c>
      <c r="I84" s="61">
        <f t="shared" si="60"/>
        <v>0</v>
      </c>
      <c r="J84" s="61">
        <f t="shared" si="60"/>
        <v>0</v>
      </c>
      <c r="K84" s="61">
        <f t="shared" si="60"/>
        <v>0</v>
      </c>
      <c r="L84" s="61">
        <f t="shared" si="60"/>
        <v>0</v>
      </c>
      <c r="M84" s="61">
        <f t="shared" si="60"/>
        <v>0</v>
      </c>
      <c r="N84" s="61">
        <f t="shared" si="60"/>
        <v>0</v>
      </c>
      <c r="O84" s="61">
        <f t="shared" si="60"/>
        <v>0</v>
      </c>
      <c r="P84" s="61">
        <f t="shared" si="60"/>
        <v>0</v>
      </c>
      <c r="Q84" s="61">
        <f t="shared" si="60"/>
        <v>0</v>
      </c>
      <c r="R84" s="12">
        <f t="shared" si="58"/>
        <v>4689750</v>
      </c>
      <c r="T84" s="11">
        <f t="shared" si="59"/>
        <v>1563250</v>
      </c>
      <c r="U84" t="s">
        <v>295</v>
      </c>
      <c r="V84" s="229">
        <f>(R84)/V8</f>
        <v>650</v>
      </c>
    </row>
    <row r="85" spans="1:22" outlineLevel="1" x14ac:dyDescent="0.2">
      <c r="B85" s="166" t="s">
        <v>296</v>
      </c>
      <c r="C85" s="101">
        <v>50000</v>
      </c>
      <c r="D85" s="61"/>
      <c r="E85" s="61"/>
      <c r="F85" s="61"/>
      <c r="G85" s="61">
        <f t="shared" ref="G85:Q85" si="61">SUM(F8*$C85)</f>
        <v>50000</v>
      </c>
      <c r="H85" s="61">
        <f t="shared" si="61"/>
        <v>100000</v>
      </c>
      <c r="I85" s="61">
        <f t="shared" si="61"/>
        <v>0</v>
      </c>
      <c r="J85" s="61">
        <f t="shared" si="61"/>
        <v>0</v>
      </c>
      <c r="K85" s="61">
        <f t="shared" si="61"/>
        <v>0</v>
      </c>
      <c r="L85" s="61">
        <f t="shared" si="61"/>
        <v>0</v>
      </c>
      <c r="M85" s="61">
        <f t="shared" si="61"/>
        <v>0</v>
      </c>
      <c r="N85" s="61">
        <f t="shared" si="61"/>
        <v>0</v>
      </c>
      <c r="O85" s="61">
        <f t="shared" si="61"/>
        <v>0</v>
      </c>
      <c r="P85" s="61">
        <f t="shared" si="61"/>
        <v>0</v>
      </c>
      <c r="Q85" s="61">
        <f t="shared" si="61"/>
        <v>0</v>
      </c>
      <c r="R85" s="12">
        <f t="shared" si="58"/>
        <v>150000</v>
      </c>
      <c r="T85" s="11">
        <f t="shared" si="59"/>
        <v>50000</v>
      </c>
      <c r="U85" s="135" t="s">
        <v>292</v>
      </c>
    </row>
    <row r="86" spans="1:22" outlineLevel="1" x14ac:dyDescent="0.2">
      <c r="B86" s="166" t="s">
        <v>297</v>
      </c>
      <c r="C86" s="84">
        <v>0.05</v>
      </c>
      <c r="D86" s="61"/>
      <c r="E86" s="61"/>
      <c r="F86" s="61">
        <f>SUM(F83:F85,E86)*$C86</f>
        <v>21415.625</v>
      </c>
      <c r="G86" s="61">
        <f>SUM(G83:G85,F86)*$C86</f>
        <v>105648.90625</v>
      </c>
      <c r="H86" s="61">
        <f>SUM(H83:H85,G86)*$C86</f>
        <v>128776.1953125</v>
      </c>
      <c r="I86" s="61">
        <f t="shared" ref="I86:J86" si="62">SUM(I83:I85,H86)*$C86</f>
        <v>6438.8097656250002</v>
      </c>
      <c r="J86" s="61">
        <f t="shared" si="62"/>
        <v>321.94048828125005</v>
      </c>
      <c r="K86" s="61"/>
      <c r="L86" s="61"/>
      <c r="M86" s="61"/>
      <c r="N86" s="61"/>
      <c r="O86" s="61"/>
      <c r="P86" s="12"/>
      <c r="Q86" s="12"/>
      <c r="R86" s="12">
        <f t="shared" si="58"/>
        <v>262601.47681640624</v>
      </c>
      <c r="T86" s="11">
        <f t="shared" si="59"/>
        <v>87533.825605468752</v>
      </c>
      <c r="U86" t="s">
        <v>295</v>
      </c>
    </row>
    <row r="87" spans="1:22" outlineLevel="1" x14ac:dyDescent="0.2">
      <c r="B87" s="166" t="s">
        <v>281</v>
      </c>
      <c r="C87" s="84">
        <v>3.5000000000000003E-2</v>
      </c>
      <c r="D87" s="11"/>
      <c r="E87" s="11">
        <f>SUM(E82:E85)*$C87</f>
        <v>0</v>
      </c>
      <c r="F87" s="11">
        <f t="shared" ref="F87:L87" si="63">SUM(F82:F86)*$C87</f>
        <v>15740.484375000002</v>
      </c>
      <c r="G87" s="11">
        <f t="shared" si="63"/>
        <v>76902.399218750012</v>
      </c>
      <c r="H87" s="11">
        <f t="shared" si="63"/>
        <v>90952.791835937503</v>
      </c>
      <c r="I87" s="11">
        <f t="shared" si="63"/>
        <v>225.35834179687504</v>
      </c>
      <c r="J87" s="11">
        <f t="shared" si="63"/>
        <v>11.267917089843753</v>
      </c>
      <c r="K87" s="11">
        <f t="shared" si="63"/>
        <v>0</v>
      </c>
      <c r="L87" s="11">
        <f t="shared" si="63"/>
        <v>0</v>
      </c>
      <c r="M87" s="11">
        <f>SUM(M82:M85)*$C87</f>
        <v>0</v>
      </c>
      <c r="N87" s="11">
        <f>SUM(N82:N85)*$C87</f>
        <v>0</v>
      </c>
      <c r="O87" s="11">
        <f>SUM(O82:O85)*$C87</f>
        <v>0</v>
      </c>
      <c r="P87" s="11">
        <f>SUM(P82:P85)*$C87</f>
        <v>0</v>
      </c>
      <c r="Q87" s="11">
        <f>SUM(Q82:Q85)*$C87</f>
        <v>0</v>
      </c>
      <c r="R87" s="12">
        <f t="shared" si="58"/>
        <v>183832.30168857423</v>
      </c>
      <c r="T87" s="11">
        <f t="shared" si="59"/>
        <v>61277.433896191411</v>
      </c>
      <c r="U87" t="s">
        <v>295</v>
      </c>
      <c r="V87" s="3" t="s">
        <v>298</v>
      </c>
    </row>
    <row r="88" spans="1:22" x14ac:dyDescent="0.2">
      <c r="B88" s="85" t="str">
        <f>B82</f>
        <v>HARD COSTS - HOMES: SFR Small</v>
      </c>
      <c r="C88" s="86"/>
      <c r="D88" s="51"/>
      <c r="E88" s="51">
        <f t="shared" ref="E88:Q88" si="64">SUM(E82:E87)</f>
        <v>0</v>
      </c>
      <c r="F88" s="51">
        <f t="shared" si="64"/>
        <v>465468.609375</v>
      </c>
      <c r="G88" s="51">
        <f t="shared" si="64"/>
        <v>2274113.8054687502</v>
      </c>
      <c r="H88" s="51">
        <f t="shared" si="64"/>
        <v>2689603.9871484376</v>
      </c>
      <c r="I88" s="51">
        <f t="shared" si="64"/>
        <v>6664.168107421875</v>
      </c>
      <c r="J88" s="51">
        <f t="shared" si="64"/>
        <v>333.20840537109382</v>
      </c>
      <c r="K88" s="51">
        <f t="shared" si="64"/>
        <v>0</v>
      </c>
      <c r="L88" s="51">
        <f t="shared" si="64"/>
        <v>0</v>
      </c>
      <c r="M88" s="51">
        <f t="shared" si="64"/>
        <v>0</v>
      </c>
      <c r="N88" s="51">
        <f t="shared" si="64"/>
        <v>0</v>
      </c>
      <c r="O88" s="51">
        <f t="shared" si="64"/>
        <v>0</v>
      </c>
      <c r="P88" s="51">
        <f t="shared" si="64"/>
        <v>0</v>
      </c>
      <c r="Q88" s="51">
        <f t="shared" si="64"/>
        <v>0</v>
      </c>
      <c r="R88" s="52">
        <f t="shared" si="58"/>
        <v>5436183.7785049807</v>
      </c>
      <c r="T88" s="134">
        <f t="shared" si="59"/>
        <v>1812061.2595016602</v>
      </c>
      <c r="U88" t="s">
        <v>295</v>
      </c>
      <c r="V88" s="413">
        <f>R88/V8</f>
        <v>753.45582515661545</v>
      </c>
    </row>
    <row r="89" spans="1:22" x14ac:dyDescent="0.2">
      <c r="B89" s="26"/>
      <c r="C89" s="19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66"/>
      <c r="T89" s="111" cm="1">
        <f t="array" ref="T89">R88/SUMPRODUCT(D8*F8:Q8*F$24:Q$24)</f>
        <v>0.51962470700456243</v>
      </c>
      <c r="U89" t="s">
        <v>283</v>
      </c>
      <c r="V89" s="229"/>
    </row>
    <row r="90" spans="1:22" outlineLevel="1" x14ac:dyDescent="0.2">
      <c r="A90" s="227" t="s">
        <v>289</v>
      </c>
      <c r="B90" s="87" t="s">
        <v>300</v>
      </c>
      <c r="C90" s="19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2"/>
    </row>
    <row r="91" spans="1:22" outlineLevel="1" x14ac:dyDescent="0.2">
      <c r="B91" s="166" t="s">
        <v>301</v>
      </c>
      <c r="C91" s="71">
        <v>30000</v>
      </c>
      <c r="D91" s="61"/>
      <c r="E91" s="61"/>
      <c r="F91" s="61">
        <f>((SUM(E$9)*$C91)*0.25)+((SUM(F$9)*$C91)*0.75)</f>
        <v>45000</v>
      </c>
      <c r="G91" s="61">
        <f t="shared" ref="G91:Q91" si="65">((SUM(F$9)*$C91)*0.25)+((SUM(G$9)*$C91)*0.75)</f>
        <v>195000</v>
      </c>
      <c r="H91" s="61">
        <f t="shared" si="65"/>
        <v>150000</v>
      </c>
      <c r="I91" s="61">
        <f t="shared" si="65"/>
        <v>210000</v>
      </c>
      <c r="J91" s="61">
        <f t="shared" si="65"/>
        <v>60000</v>
      </c>
      <c r="K91" s="61">
        <f t="shared" si="65"/>
        <v>0</v>
      </c>
      <c r="L91" s="61">
        <f t="shared" si="65"/>
        <v>0</v>
      </c>
      <c r="M91" s="61">
        <f t="shared" si="65"/>
        <v>0</v>
      </c>
      <c r="N91" s="61">
        <f t="shared" si="65"/>
        <v>0</v>
      </c>
      <c r="O91" s="61">
        <f t="shared" si="65"/>
        <v>0</v>
      </c>
      <c r="P91" s="61">
        <f t="shared" si="65"/>
        <v>0</v>
      </c>
      <c r="Q91" s="61">
        <f t="shared" si="65"/>
        <v>0</v>
      </c>
      <c r="R91" s="12">
        <f t="shared" ref="R91:R96" si="66">SUM(E91:Q91)</f>
        <v>660000</v>
      </c>
      <c r="T91" s="11">
        <f t="shared" ref="T91:T96" si="67">R91/SUM($R$9)</f>
        <v>30000</v>
      </c>
      <c r="U91" s="135" t="s">
        <v>292</v>
      </c>
      <c r="V91" t="s">
        <v>293</v>
      </c>
    </row>
    <row r="92" spans="1:22" outlineLevel="1" x14ac:dyDescent="0.2">
      <c r="B92" s="166" t="s">
        <v>302</v>
      </c>
      <c r="C92" s="416">
        <v>615</v>
      </c>
      <c r="D92" s="61"/>
      <c r="E92" s="61"/>
      <c r="F92" s="61">
        <f>(IFERROR((SUMPRODUCT($D$9,E9))*$C92,0)*0.75)+(IFERROR((SUMPRODUCT($D$9,F9))*$C92,0)*0.25)</f>
        <v>548272.5</v>
      </c>
      <c r="G92" s="61">
        <f t="shared" ref="G92:Q92" si="68">(IFERROR((SUMPRODUCT($D$9,F9))*$C92,0)*0.75)+(IFERROR((SUMPRODUCT($D$9,G9))*$C92,0)*0.25)</f>
        <v>3837907.5</v>
      </c>
      <c r="H92" s="61">
        <f t="shared" si="68"/>
        <v>7675815</v>
      </c>
      <c r="I92" s="61">
        <f t="shared" si="68"/>
        <v>5482725</v>
      </c>
      <c r="J92" s="61">
        <f t="shared" si="68"/>
        <v>6579270</v>
      </c>
      <c r="K92" s="61">
        <f t="shared" si="68"/>
        <v>0</v>
      </c>
      <c r="L92" s="61">
        <f t="shared" si="68"/>
        <v>0</v>
      </c>
      <c r="M92" s="61">
        <f t="shared" si="68"/>
        <v>0</v>
      </c>
      <c r="N92" s="61">
        <f t="shared" si="68"/>
        <v>0</v>
      </c>
      <c r="O92" s="61">
        <f t="shared" si="68"/>
        <v>0</v>
      </c>
      <c r="P92" s="61">
        <f t="shared" si="68"/>
        <v>0</v>
      </c>
      <c r="Q92" s="61">
        <f t="shared" si="68"/>
        <v>0</v>
      </c>
      <c r="R92" s="12">
        <f t="shared" si="66"/>
        <v>24123990</v>
      </c>
      <c r="T92" s="11">
        <f t="shared" si="67"/>
        <v>1096545</v>
      </c>
      <c r="U92" t="s">
        <v>295</v>
      </c>
      <c r="V92" s="229">
        <f>(R92)/V9</f>
        <v>615</v>
      </c>
    </row>
    <row r="93" spans="1:22" outlineLevel="1" x14ac:dyDescent="0.2">
      <c r="B93" s="166" t="s">
        <v>303</v>
      </c>
      <c r="C93" s="101">
        <v>40000</v>
      </c>
      <c r="D93" s="12"/>
      <c r="E93" s="12"/>
      <c r="F93" s="61"/>
      <c r="G93" s="61">
        <f>+$C$93*F9</f>
        <v>80000</v>
      </c>
      <c r="H93" s="61">
        <f t="shared" ref="H93:Q93" si="69">+$C$93*G9</f>
        <v>320000</v>
      </c>
      <c r="I93" s="61">
        <f t="shared" si="69"/>
        <v>160000</v>
      </c>
      <c r="J93" s="61">
        <f t="shared" si="69"/>
        <v>320000</v>
      </c>
      <c r="K93" s="61">
        <f t="shared" si="69"/>
        <v>0</v>
      </c>
      <c r="L93" s="61">
        <f t="shared" si="69"/>
        <v>0</v>
      </c>
      <c r="M93" s="61">
        <f t="shared" si="69"/>
        <v>0</v>
      </c>
      <c r="N93" s="61">
        <f t="shared" si="69"/>
        <v>0</v>
      </c>
      <c r="O93" s="61">
        <f t="shared" si="69"/>
        <v>0</v>
      </c>
      <c r="P93" s="61">
        <f t="shared" si="69"/>
        <v>0</v>
      </c>
      <c r="Q93" s="61">
        <f t="shared" si="69"/>
        <v>0</v>
      </c>
      <c r="R93" s="12">
        <f t="shared" si="66"/>
        <v>880000</v>
      </c>
      <c r="T93" s="11">
        <f t="shared" si="67"/>
        <v>40000</v>
      </c>
      <c r="U93" s="135" t="s">
        <v>292</v>
      </c>
    </row>
    <row r="94" spans="1:22" outlineLevel="1" x14ac:dyDescent="0.2">
      <c r="B94" s="166" t="s">
        <v>297</v>
      </c>
      <c r="C94" s="84">
        <v>0.05</v>
      </c>
      <c r="D94" s="12"/>
      <c r="E94" s="12"/>
      <c r="F94" s="61">
        <f>SUM(F91:F93,E94)*$C94</f>
        <v>29663.625</v>
      </c>
      <c r="G94" s="61">
        <f>SUM(G91:G93,F94)*$C94</f>
        <v>207128.55625000002</v>
      </c>
      <c r="H94" s="61">
        <f>SUM(H91:H93,G94)*$C94</f>
        <v>417647.17781250004</v>
      </c>
      <c r="I94" s="61">
        <f t="shared" ref="I94:J94" si="70">SUM(I91:I93,H94)*$C94</f>
        <v>313518.60889062501</v>
      </c>
      <c r="J94" s="61">
        <f t="shared" si="70"/>
        <v>363639.43044453126</v>
      </c>
      <c r="K94" s="61"/>
      <c r="L94" s="61"/>
      <c r="M94" s="61"/>
      <c r="N94" s="61"/>
      <c r="O94" s="61"/>
      <c r="P94" s="12"/>
      <c r="Q94" s="12"/>
      <c r="R94" s="12">
        <f t="shared" si="66"/>
        <v>1331597.3983976562</v>
      </c>
      <c r="T94" s="11">
        <f t="shared" si="67"/>
        <v>60527.154472620736</v>
      </c>
      <c r="U94" t="s">
        <v>295</v>
      </c>
    </row>
    <row r="95" spans="1:22" outlineLevel="1" x14ac:dyDescent="0.2">
      <c r="B95" s="166" t="s">
        <v>281</v>
      </c>
      <c r="C95" s="84">
        <v>3.5000000000000003E-2</v>
      </c>
      <c r="D95" s="11"/>
      <c r="E95" s="11">
        <f>SUM(E90:E93)*$C95</f>
        <v>0</v>
      </c>
      <c r="F95" s="11">
        <f t="shared" ref="F95:L95" si="71">SUM(F90:F94)*$C95</f>
        <v>21802.764375000002</v>
      </c>
      <c r="G95" s="11">
        <f t="shared" si="71"/>
        <v>151201.26196875004</v>
      </c>
      <c r="H95" s="11">
        <f t="shared" si="71"/>
        <v>299721.17622343753</v>
      </c>
      <c r="I95" s="11">
        <f t="shared" si="71"/>
        <v>215818.52631117188</v>
      </c>
      <c r="J95" s="11">
        <f t="shared" si="71"/>
        <v>256301.83006555861</v>
      </c>
      <c r="K95" s="11">
        <f t="shared" si="71"/>
        <v>0</v>
      </c>
      <c r="L95" s="11">
        <f t="shared" si="71"/>
        <v>0</v>
      </c>
      <c r="M95" s="11">
        <f>SUM(M90:M93)*$C95</f>
        <v>0</v>
      </c>
      <c r="N95" s="11">
        <f>SUM(N90:N93)*$C95</f>
        <v>0</v>
      </c>
      <c r="O95" s="11">
        <f>SUM(O90:O93)*$C95</f>
        <v>0</v>
      </c>
      <c r="P95" s="11">
        <f>SUM(P90:P93)*$C95</f>
        <v>0</v>
      </c>
      <c r="Q95" s="11">
        <f>SUM(Q90:Q93)*$C95</f>
        <v>0</v>
      </c>
      <c r="R95" s="12">
        <f t="shared" si="66"/>
        <v>944845.55894391821</v>
      </c>
      <c r="T95" s="11">
        <f t="shared" si="67"/>
        <v>42947.525406541739</v>
      </c>
      <c r="U95" t="s">
        <v>295</v>
      </c>
      <c r="V95" s="3" t="s">
        <v>298</v>
      </c>
    </row>
    <row r="96" spans="1:22" x14ac:dyDescent="0.2">
      <c r="B96" s="85" t="str">
        <f>B90</f>
        <v>HARD COSTS - HOMES: Duplex Small</v>
      </c>
      <c r="C96" s="86"/>
      <c r="D96" s="51"/>
      <c r="E96" s="51">
        <f t="shared" ref="E96:Q96" si="72">SUM(E90:E95)</f>
        <v>0</v>
      </c>
      <c r="F96" s="51">
        <f t="shared" si="72"/>
        <v>644738.88937500003</v>
      </c>
      <c r="G96" s="51">
        <f t="shared" si="72"/>
        <v>4471237.3182187509</v>
      </c>
      <c r="H96" s="51">
        <f t="shared" si="72"/>
        <v>8863183.3540359382</v>
      </c>
      <c r="I96" s="51">
        <f t="shared" si="72"/>
        <v>6382062.1352017969</v>
      </c>
      <c r="J96" s="51">
        <f t="shared" si="72"/>
        <v>7579211.2605100898</v>
      </c>
      <c r="K96" s="51">
        <f t="shared" si="72"/>
        <v>0</v>
      </c>
      <c r="L96" s="51">
        <f t="shared" si="72"/>
        <v>0</v>
      </c>
      <c r="M96" s="51">
        <f t="shared" si="72"/>
        <v>0</v>
      </c>
      <c r="N96" s="51">
        <f t="shared" si="72"/>
        <v>0</v>
      </c>
      <c r="O96" s="51">
        <f t="shared" si="72"/>
        <v>0</v>
      </c>
      <c r="P96" s="51">
        <f t="shared" si="72"/>
        <v>0</v>
      </c>
      <c r="Q96" s="51">
        <f t="shared" si="72"/>
        <v>0</v>
      </c>
      <c r="R96" s="52">
        <f t="shared" si="66"/>
        <v>27940432.957341578</v>
      </c>
      <c r="T96" s="134">
        <f t="shared" si="67"/>
        <v>1270019.6798791627</v>
      </c>
      <c r="U96" t="s">
        <v>295</v>
      </c>
      <c r="V96" s="413">
        <f>R96/V9</f>
        <v>712.29370716722531</v>
      </c>
    </row>
    <row r="97" spans="1:22" x14ac:dyDescent="0.2">
      <c r="B97" s="26"/>
      <c r="C97" s="19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66"/>
      <c r="T97" s="111" cm="1">
        <f t="array" ref="T97">R96/SUMPRODUCT(D9*F9:Q9*F$25:Q$25)</f>
        <v>0.48403904500639644</v>
      </c>
      <c r="U97" t="s">
        <v>283</v>
      </c>
      <c r="V97" s="229"/>
    </row>
    <row r="98" spans="1:22" outlineLevel="1" x14ac:dyDescent="0.2">
      <c r="A98" s="227" t="s">
        <v>289</v>
      </c>
      <c r="B98" s="87" t="s">
        <v>304</v>
      </c>
      <c r="C98" s="19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2"/>
    </row>
    <row r="99" spans="1:22" outlineLevel="1" x14ac:dyDescent="0.2">
      <c r="B99" s="166" t="s">
        <v>305</v>
      </c>
      <c r="C99" s="71">
        <f>35000/2</f>
        <v>17500</v>
      </c>
      <c r="D99" s="61"/>
      <c r="E99" s="61"/>
      <c r="F99" s="61">
        <f>((SUM(E$10)*$C99)*0.25)+((SUM(F$10)*$C99)*0.75)</f>
        <v>0</v>
      </c>
      <c r="G99" s="61">
        <f t="shared" ref="G99:Q99" si="73">((SUM(F$10)*$C99)*0.25)+((SUM(G$10)*$C99)*0.75)</f>
        <v>52500</v>
      </c>
      <c r="H99" s="61">
        <f t="shared" si="73"/>
        <v>70000</v>
      </c>
      <c r="I99" s="61">
        <f t="shared" si="73"/>
        <v>17500</v>
      </c>
      <c r="J99" s="61">
        <f t="shared" si="73"/>
        <v>0</v>
      </c>
      <c r="K99" s="61">
        <f t="shared" si="73"/>
        <v>0</v>
      </c>
      <c r="L99" s="61">
        <f t="shared" si="73"/>
        <v>0</v>
      </c>
      <c r="M99" s="61">
        <f t="shared" si="73"/>
        <v>0</v>
      </c>
      <c r="N99" s="61">
        <f t="shared" si="73"/>
        <v>0</v>
      </c>
      <c r="O99" s="61">
        <f t="shared" si="73"/>
        <v>0</v>
      </c>
      <c r="P99" s="61">
        <f t="shared" si="73"/>
        <v>0</v>
      </c>
      <c r="Q99" s="61">
        <f t="shared" si="73"/>
        <v>0</v>
      </c>
      <c r="R99" s="12">
        <f t="shared" ref="R99:R105" si="74">SUM(E99:Q99)</f>
        <v>140000</v>
      </c>
      <c r="T99" s="11">
        <f>R99/SUM($R$10)</f>
        <v>17500</v>
      </c>
      <c r="U99" s="135" t="s">
        <v>292</v>
      </c>
      <c r="V99" t="s">
        <v>293</v>
      </c>
    </row>
    <row r="100" spans="1:22" outlineLevel="1" x14ac:dyDescent="0.2">
      <c r="B100" s="166" t="s">
        <v>306</v>
      </c>
      <c r="C100" s="71">
        <v>100000</v>
      </c>
      <c r="D100" s="61"/>
      <c r="E100" s="61"/>
      <c r="F100" s="61">
        <f t="shared" ref="F100:G100" si="75">$C100*F10</f>
        <v>0</v>
      </c>
      <c r="G100" s="61">
        <f t="shared" si="75"/>
        <v>400000</v>
      </c>
      <c r="H100" s="61">
        <f>$C100*H10</f>
        <v>400000</v>
      </c>
      <c r="I100" s="61">
        <f t="shared" ref="I100:Q100" si="76">$C100*I10</f>
        <v>0</v>
      </c>
      <c r="J100" s="61">
        <f t="shared" si="76"/>
        <v>0</v>
      </c>
      <c r="K100" s="61">
        <f t="shared" si="76"/>
        <v>0</v>
      </c>
      <c r="L100" s="61">
        <f t="shared" si="76"/>
        <v>0</v>
      </c>
      <c r="M100" s="61">
        <f t="shared" si="76"/>
        <v>0</v>
      </c>
      <c r="N100" s="61">
        <f t="shared" si="76"/>
        <v>0</v>
      </c>
      <c r="O100" s="61">
        <f t="shared" si="76"/>
        <v>0</v>
      </c>
      <c r="P100" s="61">
        <f t="shared" si="76"/>
        <v>0</v>
      </c>
      <c r="Q100" s="61">
        <f t="shared" si="76"/>
        <v>0</v>
      </c>
      <c r="R100" s="12">
        <f t="shared" si="74"/>
        <v>800000</v>
      </c>
      <c r="T100" s="11">
        <f>R100/SUM($R$10)</f>
        <v>100000</v>
      </c>
      <c r="U100" s="135" t="s">
        <v>292</v>
      </c>
    </row>
    <row r="101" spans="1:22" outlineLevel="1" x14ac:dyDescent="0.2">
      <c r="B101" s="166" t="s">
        <v>307</v>
      </c>
      <c r="C101" s="67">
        <v>550</v>
      </c>
      <c r="D101" s="61"/>
      <c r="E101" s="61"/>
      <c r="F101" s="61">
        <f t="shared" ref="F101:G101" si="77">(IFERROR((SUMPRODUCT($D$10,E10))*$C101,0)*0.75)+(IFERROR((SUMPRODUCT($D$10,F10))*$C101,0)*0.25)</f>
        <v>0</v>
      </c>
      <c r="G101" s="61">
        <f t="shared" si="77"/>
        <v>742500</v>
      </c>
      <c r="H101" s="61">
        <f>(IFERROR((SUMPRODUCT($D$10,G10))*$C101,0)*0.75)+(IFERROR((SUMPRODUCT($D$10,H10))*$C101,0)*0.25)</f>
        <v>2970000</v>
      </c>
      <c r="I101" s="61">
        <f t="shared" ref="I101:Q101" si="78">(IFERROR((SUMPRODUCT($D$10,H10))*$C101,0)*0.75)+(IFERROR((SUMPRODUCT($D$10,I10))*$C101,0)*0.25)</f>
        <v>2227500</v>
      </c>
      <c r="J101" s="61">
        <f t="shared" si="78"/>
        <v>0</v>
      </c>
      <c r="K101" s="61">
        <f t="shared" si="78"/>
        <v>0</v>
      </c>
      <c r="L101" s="61">
        <f t="shared" si="78"/>
        <v>0</v>
      </c>
      <c r="M101" s="61">
        <f t="shared" si="78"/>
        <v>0</v>
      </c>
      <c r="N101" s="61">
        <f t="shared" si="78"/>
        <v>0</v>
      </c>
      <c r="O101" s="61">
        <f t="shared" si="78"/>
        <v>0</v>
      </c>
      <c r="P101" s="61">
        <f t="shared" si="78"/>
        <v>0</v>
      </c>
      <c r="Q101" s="61">
        <f t="shared" si="78"/>
        <v>0</v>
      </c>
      <c r="R101" s="12">
        <f t="shared" si="74"/>
        <v>5940000</v>
      </c>
      <c r="T101" s="11">
        <f t="shared" ref="T101:T104" si="79">R101/SUM($R$10)</f>
        <v>742500</v>
      </c>
      <c r="U101" t="s">
        <v>295</v>
      </c>
      <c r="V101" s="229">
        <f>(R101)/V10</f>
        <v>550</v>
      </c>
    </row>
    <row r="102" spans="1:22" outlineLevel="1" x14ac:dyDescent="0.2">
      <c r="B102" s="166" t="s">
        <v>308</v>
      </c>
      <c r="C102" s="101">
        <v>15000</v>
      </c>
      <c r="D102" s="61"/>
      <c r="E102" s="61"/>
      <c r="F102" s="61"/>
      <c r="G102" s="61">
        <f>SUM(F10*$C102)</f>
        <v>0</v>
      </c>
      <c r="H102" s="61">
        <f t="shared" ref="H102:Q102" si="80">SUM(G10*$C102)</f>
        <v>60000</v>
      </c>
      <c r="I102" s="61">
        <f t="shared" si="80"/>
        <v>60000</v>
      </c>
      <c r="J102" s="61">
        <f t="shared" si="80"/>
        <v>0</v>
      </c>
      <c r="K102" s="61">
        <f t="shared" si="80"/>
        <v>0</v>
      </c>
      <c r="L102" s="61">
        <f t="shared" si="80"/>
        <v>0</v>
      </c>
      <c r="M102" s="61">
        <f t="shared" si="80"/>
        <v>0</v>
      </c>
      <c r="N102" s="61">
        <f t="shared" si="80"/>
        <v>0</v>
      </c>
      <c r="O102" s="61">
        <f t="shared" si="80"/>
        <v>0</v>
      </c>
      <c r="P102" s="61">
        <f t="shared" si="80"/>
        <v>0</v>
      </c>
      <c r="Q102" s="61">
        <f t="shared" si="80"/>
        <v>0</v>
      </c>
      <c r="R102" s="12">
        <f t="shared" si="74"/>
        <v>120000</v>
      </c>
      <c r="T102" s="11">
        <f t="shared" si="79"/>
        <v>15000</v>
      </c>
      <c r="U102" s="135" t="s">
        <v>292</v>
      </c>
    </row>
    <row r="103" spans="1:22" outlineLevel="1" x14ac:dyDescent="0.2">
      <c r="B103" s="166" t="s">
        <v>297</v>
      </c>
      <c r="C103" s="84">
        <v>0.05</v>
      </c>
      <c r="D103" s="61"/>
      <c r="E103" s="61"/>
      <c r="F103" s="61"/>
      <c r="G103" s="61">
        <f>SUM(G99:G102,F103)*$C103</f>
        <v>59750</v>
      </c>
      <c r="H103" s="61">
        <f>SUM(H99:H102,G103)*$C103</f>
        <v>177987.5</v>
      </c>
      <c r="I103" s="61">
        <f>SUM(I99:I102,H103)*$C103</f>
        <v>124149.375</v>
      </c>
      <c r="J103" s="61">
        <f>SUM(J99:J102,I103)*$C103</f>
        <v>6207.46875</v>
      </c>
      <c r="K103" s="61"/>
      <c r="L103" s="61"/>
      <c r="M103" s="61"/>
      <c r="N103" s="61"/>
      <c r="O103" s="61"/>
      <c r="P103" s="12"/>
      <c r="Q103" s="12"/>
      <c r="R103" s="12">
        <f t="shared" si="74"/>
        <v>368094.34375</v>
      </c>
      <c r="T103" s="11">
        <f t="shared" si="79"/>
        <v>46011.79296875</v>
      </c>
      <c r="U103" t="s">
        <v>295</v>
      </c>
    </row>
    <row r="104" spans="1:22" outlineLevel="1" x14ac:dyDescent="0.2">
      <c r="B104" s="166" t="s">
        <v>281</v>
      </c>
      <c r="C104" s="84">
        <v>3.5000000000000003E-2</v>
      </c>
      <c r="D104" s="11"/>
      <c r="E104" s="11">
        <f>SUM(E98:E102)*$C104</f>
        <v>0</v>
      </c>
      <c r="F104" s="11">
        <f t="shared" ref="F104:L104" si="81">SUM(F98:F103)*$C104</f>
        <v>0</v>
      </c>
      <c r="G104" s="11">
        <f t="shared" si="81"/>
        <v>43916.250000000007</v>
      </c>
      <c r="H104" s="11">
        <f t="shared" si="81"/>
        <v>128729.56250000001</v>
      </c>
      <c r="I104" s="11">
        <f t="shared" si="81"/>
        <v>85020.228125000009</v>
      </c>
      <c r="J104" s="11">
        <f t="shared" si="81"/>
        <v>217.26140625000002</v>
      </c>
      <c r="K104" s="11">
        <f t="shared" si="81"/>
        <v>0</v>
      </c>
      <c r="L104" s="11">
        <f t="shared" si="81"/>
        <v>0</v>
      </c>
      <c r="M104" s="11">
        <f>SUM(M98:M102)*$C104</f>
        <v>0</v>
      </c>
      <c r="N104" s="11">
        <f>SUM(N98:N102)*$C104</f>
        <v>0</v>
      </c>
      <c r="O104" s="11">
        <f>SUM(O98:O102)*$C104</f>
        <v>0</v>
      </c>
      <c r="P104" s="11">
        <f>SUM(P98:P102)*$C104</f>
        <v>0</v>
      </c>
      <c r="Q104" s="11">
        <f>SUM(Q98:Q102)*$C104</f>
        <v>0</v>
      </c>
      <c r="R104" s="12">
        <f t="shared" si="74"/>
        <v>257883.30203125003</v>
      </c>
      <c r="T104" s="11">
        <f t="shared" si="79"/>
        <v>32235.412753906254</v>
      </c>
      <c r="U104" t="s">
        <v>295</v>
      </c>
      <c r="V104" s="3" t="s">
        <v>298</v>
      </c>
    </row>
    <row r="105" spans="1:22" x14ac:dyDescent="0.2">
      <c r="B105" s="85" t="str">
        <f>B98</f>
        <v>HARD COSTS - HOMES: Multi-Unit</v>
      </c>
      <c r="C105" s="86"/>
      <c r="D105" s="51"/>
      <c r="E105" s="51">
        <f t="shared" ref="E105:Q105" si="82">SUM(E98:E104)</f>
        <v>0</v>
      </c>
      <c r="F105" s="51">
        <f t="shared" si="82"/>
        <v>0</v>
      </c>
      <c r="G105" s="51">
        <f t="shared" si="82"/>
        <v>1298666.25</v>
      </c>
      <c r="H105" s="51">
        <f t="shared" si="82"/>
        <v>3806717.0625</v>
      </c>
      <c r="I105" s="51">
        <f>SUM(I98:I104)</f>
        <v>2514169.6031249999</v>
      </c>
      <c r="J105" s="51">
        <f t="shared" si="82"/>
        <v>6424.7301562499997</v>
      </c>
      <c r="K105" s="51">
        <f t="shared" si="82"/>
        <v>0</v>
      </c>
      <c r="L105" s="51">
        <f t="shared" si="82"/>
        <v>0</v>
      </c>
      <c r="M105" s="51">
        <f t="shared" si="82"/>
        <v>0</v>
      </c>
      <c r="N105" s="51">
        <f t="shared" si="82"/>
        <v>0</v>
      </c>
      <c r="O105" s="51">
        <f t="shared" si="82"/>
        <v>0</v>
      </c>
      <c r="P105" s="51">
        <f t="shared" si="82"/>
        <v>0</v>
      </c>
      <c r="Q105" s="51">
        <f t="shared" si="82"/>
        <v>0</v>
      </c>
      <c r="R105" s="52">
        <f t="shared" si="74"/>
        <v>7625977.6457812507</v>
      </c>
      <c r="T105" s="134">
        <f>R105/SUM($R$10)</f>
        <v>953247.20572265633</v>
      </c>
      <c r="U105" t="s">
        <v>295</v>
      </c>
      <c r="V105" s="413">
        <f>R105/V10</f>
        <v>706.10904127604169</v>
      </c>
    </row>
    <row r="106" spans="1:22" x14ac:dyDescent="0.2">
      <c r="B106" s="26"/>
      <c r="C106" s="19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66"/>
      <c r="T106" s="111" cm="1">
        <f t="array" ref="T106">R105/SUMPRODUCT(D10*F10:Q10*F$26:Q$26)</f>
        <v>0.4869717526041667</v>
      </c>
      <c r="U106" t="s">
        <v>283</v>
      </c>
      <c r="V106" s="229"/>
    </row>
    <row r="107" spans="1:22" outlineLevel="1" x14ac:dyDescent="0.2">
      <c r="A107" s="227" t="s">
        <v>309</v>
      </c>
      <c r="B107" s="81" t="s">
        <v>310</v>
      </c>
      <c r="R107" s="12"/>
    </row>
    <row r="108" spans="1:22" outlineLevel="1" x14ac:dyDescent="0.2">
      <c r="A108" s="227"/>
      <c r="B108" s="166" t="s">
        <v>311</v>
      </c>
      <c r="C108" s="25">
        <f>(R72+R77+R85+R93+R102)*0.05</f>
        <v>263087.5</v>
      </c>
      <c r="D108" s="10"/>
      <c r="F108" s="67">
        <f>$C108*0.2</f>
        <v>52617.5</v>
      </c>
      <c r="G108" s="67">
        <f>$C108*0.35</f>
        <v>92080.625</v>
      </c>
      <c r="H108" s="67">
        <f>$C108*0.2</f>
        <v>52617.5</v>
      </c>
      <c r="I108" s="67">
        <f>$C108*0.2</f>
        <v>52617.5</v>
      </c>
      <c r="J108" s="67">
        <f>$C108*0.05</f>
        <v>13154.375</v>
      </c>
      <c r="K108" s="32"/>
      <c r="L108" s="32"/>
      <c r="M108" s="32"/>
      <c r="N108" s="32"/>
      <c r="O108" s="32"/>
      <c r="R108" s="12">
        <f>SUM(F108:Q108)</f>
        <v>263087.5</v>
      </c>
      <c r="T108" s="11">
        <f>C108-R108</f>
        <v>0</v>
      </c>
    </row>
    <row r="109" spans="1:22" outlineLevel="1" x14ac:dyDescent="0.2">
      <c r="A109" s="227"/>
      <c r="B109" s="166" t="s">
        <v>312</v>
      </c>
      <c r="C109" s="25">
        <f>(R72+R75+R83+R91+R99)*0.05</f>
        <v>253087.5</v>
      </c>
      <c r="D109" s="10"/>
      <c r="F109" s="67">
        <f>$C109*0.2</f>
        <v>50617.5</v>
      </c>
      <c r="G109" s="67">
        <f>$C109*0.35</f>
        <v>88580.625</v>
      </c>
      <c r="H109" s="67">
        <f>$C109*0.2</f>
        <v>50617.5</v>
      </c>
      <c r="I109" s="67">
        <f>$C109*0.2</f>
        <v>50617.5</v>
      </c>
      <c r="J109" s="67">
        <f>$C109*0.05</f>
        <v>12654.375</v>
      </c>
      <c r="R109" s="12">
        <f>SUM(F109:Q109)</f>
        <v>253087.5</v>
      </c>
      <c r="T109" s="11">
        <f>C109-R109</f>
        <v>0</v>
      </c>
    </row>
    <row r="110" spans="1:22" outlineLevel="1" x14ac:dyDescent="0.2">
      <c r="B110" s="166" t="s">
        <v>313</v>
      </c>
      <c r="C110" s="485" t="s">
        <v>314</v>
      </c>
      <c r="D110" s="80"/>
      <c r="E110" s="67"/>
      <c r="F110" s="67"/>
      <c r="G110" s="67"/>
      <c r="H110" s="32"/>
      <c r="I110" s="32"/>
      <c r="J110" s="32"/>
      <c r="K110" s="32"/>
      <c r="L110" s="32"/>
      <c r="M110" s="32"/>
      <c r="N110" s="32"/>
      <c r="O110" s="32"/>
      <c r="R110" s="12">
        <f t="shared" ref="R110:R114" si="83">SUM(E110:Q110)</f>
        <v>0</v>
      </c>
      <c r="T110" s="11" t="e">
        <f>C110-R110</f>
        <v>#VALUE!</v>
      </c>
    </row>
    <row r="111" spans="1:22" outlineLevel="1" x14ac:dyDescent="0.2">
      <c r="B111" s="166" t="s">
        <v>315</v>
      </c>
      <c r="C111" s="25">
        <v>50000</v>
      </c>
      <c r="D111" s="10"/>
      <c r="F111" s="67">
        <f>$C111*0.25</f>
        <v>12500</v>
      </c>
      <c r="G111" s="67">
        <f>$C111*0.5</f>
        <v>25000</v>
      </c>
      <c r="H111" s="67">
        <f>$C111*0.25</f>
        <v>12500</v>
      </c>
      <c r="I111" s="32"/>
      <c r="J111" s="32"/>
      <c r="K111" s="32"/>
      <c r="L111" s="32"/>
      <c r="M111" s="32"/>
      <c r="N111" s="32"/>
      <c r="O111" s="32"/>
      <c r="R111" s="12">
        <f>SUM(F111:Q111)</f>
        <v>50000</v>
      </c>
      <c r="T111" s="11">
        <f>C111-R111</f>
        <v>0</v>
      </c>
    </row>
    <row r="112" spans="1:22" outlineLevel="1" x14ac:dyDescent="0.2">
      <c r="B112" s="166" t="s">
        <v>316</v>
      </c>
      <c r="C112" s="25">
        <v>2500</v>
      </c>
      <c r="D112" s="10"/>
      <c r="E112" s="61"/>
      <c r="F112" s="61">
        <f t="shared" ref="F112:J112" si="84">$C$112</f>
        <v>2500</v>
      </c>
      <c r="G112" s="61">
        <f t="shared" si="84"/>
        <v>2500</v>
      </c>
      <c r="H112" s="61">
        <f t="shared" si="84"/>
        <v>2500</v>
      </c>
      <c r="I112" s="61">
        <f t="shared" si="84"/>
        <v>2500</v>
      </c>
      <c r="J112" s="61">
        <f t="shared" si="84"/>
        <v>2500</v>
      </c>
      <c r="K112" s="61"/>
      <c r="L112" s="61"/>
      <c r="M112" s="61"/>
      <c r="N112" s="12"/>
      <c r="O112" s="12"/>
      <c r="P112" s="12"/>
      <c r="Q112" s="12"/>
      <c r="R112" s="12">
        <f t="shared" si="83"/>
        <v>12500</v>
      </c>
      <c r="T112" s="11"/>
    </row>
    <row r="113" spans="1:26" outlineLevel="1" x14ac:dyDescent="0.2">
      <c r="B113" s="166" t="s">
        <v>317</v>
      </c>
      <c r="C113" s="472">
        <v>0.05</v>
      </c>
      <c r="D113" s="472"/>
      <c r="E113" s="11">
        <f t="shared" ref="E113:M113" si="85">SUM(E107:E112)*$C$113</f>
        <v>0</v>
      </c>
      <c r="F113" s="11">
        <f t="shared" si="85"/>
        <v>5911.75</v>
      </c>
      <c r="G113" s="11">
        <f t="shared" si="85"/>
        <v>10408.0625</v>
      </c>
      <c r="H113" s="11">
        <f t="shared" si="85"/>
        <v>5911.75</v>
      </c>
      <c r="I113" s="11">
        <f t="shared" si="85"/>
        <v>5286.75</v>
      </c>
      <c r="J113" s="11">
        <f t="shared" si="85"/>
        <v>1415.4375</v>
      </c>
      <c r="K113" s="11">
        <f t="shared" si="85"/>
        <v>0</v>
      </c>
      <c r="L113" s="11">
        <f t="shared" si="85"/>
        <v>0</v>
      </c>
      <c r="M113" s="11">
        <f t="shared" si="85"/>
        <v>0</v>
      </c>
      <c r="N113" s="11"/>
      <c r="O113" s="11"/>
      <c r="P113" s="11"/>
      <c r="Q113" s="11">
        <f>SUM(Q109:Q112)*$C$113</f>
        <v>0</v>
      </c>
      <c r="R113" s="47">
        <f t="shared" si="83"/>
        <v>28933.75</v>
      </c>
      <c r="T113" s="11"/>
    </row>
    <row r="114" spans="1:26" x14ac:dyDescent="0.2">
      <c r="B114" s="49" t="str">
        <f>B107</f>
        <v>SOFT COSTS PROFESSIONALS - SITE, RESTORE, &amp; INFRA</v>
      </c>
      <c r="C114" s="167"/>
      <c r="D114" s="167"/>
      <c r="E114" s="51">
        <f t="shared" ref="E114:Q114" si="86">SUM(E107:E113)</f>
        <v>0</v>
      </c>
      <c r="F114" s="51">
        <f t="shared" si="86"/>
        <v>124146.75</v>
      </c>
      <c r="G114" s="51">
        <f t="shared" si="86"/>
        <v>218569.3125</v>
      </c>
      <c r="H114" s="51">
        <f t="shared" si="86"/>
        <v>124146.75</v>
      </c>
      <c r="I114" s="51">
        <f t="shared" si="86"/>
        <v>111021.75</v>
      </c>
      <c r="J114" s="51">
        <f t="shared" si="86"/>
        <v>29724.1875</v>
      </c>
      <c r="K114" s="51">
        <f t="shared" si="86"/>
        <v>0</v>
      </c>
      <c r="L114" s="51">
        <f t="shared" si="86"/>
        <v>0</v>
      </c>
      <c r="M114" s="51">
        <f t="shared" si="86"/>
        <v>0</v>
      </c>
      <c r="N114" s="51">
        <f t="shared" si="86"/>
        <v>0</v>
      </c>
      <c r="O114" s="51">
        <f t="shared" si="86"/>
        <v>0</v>
      </c>
      <c r="P114" s="51">
        <f t="shared" si="86"/>
        <v>0</v>
      </c>
      <c r="Q114" s="51">
        <f t="shared" si="86"/>
        <v>0</v>
      </c>
      <c r="R114" s="52">
        <f t="shared" si="83"/>
        <v>607608.75</v>
      </c>
      <c r="T114" s="70">
        <f>R114/$R$11</f>
        <v>14130.436046511628</v>
      </c>
      <c r="U114" s="135" t="s">
        <v>282</v>
      </c>
    </row>
    <row r="115" spans="1:26" x14ac:dyDescent="0.2">
      <c r="B115" s="165"/>
      <c r="C115" s="19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2"/>
      <c r="T115" s="111">
        <f>R114/$T$46</f>
        <v>4.6010434911214438E-3</v>
      </c>
      <c r="U115" t="s">
        <v>283</v>
      </c>
    </row>
    <row r="116" spans="1:26" outlineLevel="1" x14ac:dyDescent="0.2">
      <c r="A116" s="227" t="s">
        <v>318</v>
      </c>
      <c r="B116" s="81" t="s">
        <v>319</v>
      </c>
      <c r="R116" s="12"/>
      <c r="V116">
        <v>2</v>
      </c>
      <c r="W116" t="s">
        <v>320</v>
      </c>
    </row>
    <row r="117" spans="1:26" outlineLevel="1" x14ac:dyDescent="0.2">
      <c r="A117" s="227" t="s">
        <v>321</v>
      </c>
      <c r="B117" s="166" t="s">
        <v>322</v>
      </c>
      <c r="C117" s="65">
        <v>0.05</v>
      </c>
      <c r="D117" s="32"/>
      <c r="E117" s="32">
        <f>($C117*F75)*0.5</f>
        <v>937.5</v>
      </c>
      <c r="F117" s="32">
        <f t="shared" ref="F117:Q117" si="87">$C117*F75</f>
        <v>1875</v>
      </c>
      <c r="G117" s="32">
        <f t="shared" si="87"/>
        <v>2500</v>
      </c>
      <c r="H117" s="32">
        <f t="shared" si="87"/>
        <v>10000</v>
      </c>
      <c r="I117" s="32">
        <f t="shared" si="87"/>
        <v>8750</v>
      </c>
      <c r="J117" s="32">
        <f t="shared" si="87"/>
        <v>1875</v>
      </c>
      <c r="K117" s="32">
        <f t="shared" si="87"/>
        <v>0</v>
      </c>
      <c r="L117" s="32">
        <f t="shared" si="87"/>
        <v>0</v>
      </c>
      <c r="M117" s="32">
        <f t="shared" si="87"/>
        <v>0</v>
      </c>
      <c r="N117" s="32">
        <f t="shared" si="87"/>
        <v>0</v>
      </c>
      <c r="O117" s="32">
        <f t="shared" si="87"/>
        <v>0</v>
      </c>
      <c r="P117" s="32">
        <f t="shared" si="87"/>
        <v>0</v>
      </c>
      <c r="Q117" s="32">
        <f t="shared" si="87"/>
        <v>0</v>
      </c>
      <c r="R117" s="12">
        <f>SUM(D117:Q117)</f>
        <v>25937.5</v>
      </c>
      <c r="T117" s="11">
        <f t="shared" ref="T117:T128" si="88">R117/$R$7</f>
        <v>2593.75</v>
      </c>
      <c r="U117" s="135" t="s">
        <v>292</v>
      </c>
      <c r="V117" s="11">
        <f t="shared" ref="V117:V128" si="89">R117/$V$116</f>
        <v>12968.75</v>
      </c>
      <c r="W117" s="135" t="s">
        <v>323</v>
      </c>
    </row>
    <row r="118" spans="1:26" outlineLevel="1" x14ac:dyDescent="0.2">
      <c r="B118" s="166" t="s">
        <v>324</v>
      </c>
      <c r="C118" s="65">
        <v>8.5000000000000006E-2</v>
      </c>
      <c r="D118" s="32"/>
      <c r="E118" s="10">
        <v>10000</v>
      </c>
      <c r="F118" s="32">
        <f>($C118*F$76)*V116</f>
        <v>71516.875</v>
      </c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12">
        <f>SUM(D118:Q118)</f>
        <v>81516.875</v>
      </c>
      <c r="T118" s="11">
        <f t="shared" si="88"/>
        <v>8151.6875</v>
      </c>
      <c r="U118" s="135" t="s">
        <v>292</v>
      </c>
      <c r="V118" s="11">
        <f t="shared" si="89"/>
        <v>40758.4375</v>
      </c>
      <c r="W118" s="135" t="s">
        <v>323</v>
      </c>
    </row>
    <row r="119" spans="1:26" outlineLevel="1" x14ac:dyDescent="0.2">
      <c r="B119" s="166" t="s">
        <v>325</v>
      </c>
      <c r="C119" s="10">
        <v>20000</v>
      </c>
      <c r="D119" s="32"/>
      <c r="E119" s="32"/>
      <c r="F119" s="32"/>
      <c r="G119" s="32">
        <f>$C119*G7</f>
        <v>20000</v>
      </c>
      <c r="H119" s="32">
        <f t="shared" ref="H119:Q119" si="90">$C119*H7</f>
        <v>100000</v>
      </c>
      <c r="I119" s="32">
        <f t="shared" si="90"/>
        <v>60000</v>
      </c>
      <c r="J119" s="32">
        <f t="shared" si="90"/>
        <v>0</v>
      </c>
      <c r="K119" s="32">
        <f t="shared" si="90"/>
        <v>0</v>
      </c>
      <c r="L119" s="32">
        <f t="shared" si="90"/>
        <v>0</v>
      </c>
      <c r="M119" s="32">
        <f t="shared" si="90"/>
        <v>0</v>
      </c>
      <c r="N119" s="32">
        <f t="shared" si="90"/>
        <v>0</v>
      </c>
      <c r="O119" s="32">
        <f t="shared" si="90"/>
        <v>0</v>
      </c>
      <c r="P119" s="32">
        <f t="shared" si="90"/>
        <v>0</v>
      </c>
      <c r="Q119" s="32">
        <f t="shared" si="90"/>
        <v>0</v>
      </c>
      <c r="R119" s="12">
        <f>SUM(D119:Q119)</f>
        <v>180000</v>
      </c>
      <c r="T119" s="11">
        <f t="shared" ref="T119" si="91">R119/$R$7</f>
        <v>18000</v>
      </c>
      <c r="U119" s="135" t="s">
        <v>292</v>
      </c>
      <c r="V119" s="11">
        <f t="shared" ref="V119" si="92">R119/$V$116</f>
        <v>90000</v>
      </c>
      <c r="W119" s="135" t="s">
        <v>323</v>
      </c>
    </row>
    <row r="120" spans="1:26" outlineLevel="1" x14ac:dyDescent="0.2">
      <c r="B120" s="166" t="s">
        <v>326</v>
      </c>
      <c r="C120" s="10">
        <v>6500</v>
      </c>
      <c r="D120" s="10"/>
      <c r="E120" s="67"/>
      <c r="F120" s="67">
        <f t="shared" ref="F120:N120" si="93">SUM(F7)*$C120</f>
        <v>6500</v>
      </c>
      <c r="G120" s="67">
        <f t="shared" si="93"/>
        <v>6500</v>
      </c>
      <c r="H120" s="67">
        <f t="shared" si="93"/>
        <v>32500</v>
      </c>
      <c r="I120" s="67">
        <f t="shared" si="93"/>
        <v>19500</v>
      </c>
      <c r="J120" s="67">
        <f t="shared" si="93"/>
        <v>0</v>
      </c>
      <c r="K120" s="67">
        <f t="shared" si="93"/>
        <v>0</v>
      </c>
      <c r="L120" s="67">
        <f t="shared" si="93"/>
        <v>0</v>
      </c>
      <c r="M120" s="67">
        <f t="shared" si="93"/>
        <v>0</v>
      </c>
      <c r="N120" s="67">
        <f t="shared" si="93"/>
        <v>0</v>
      </c>
      <c r="O120" s="67">
        <f>SUM(O7:O8)*$C120</f>
        <v>0</v>
      </c>
      <c r="P120" s="67">
        <f>SUM(P7:P8)*$C120</f>
        <v>0</v>
      </c>
      <c r="Q120" s="67">
        <f>SUM(Q7:Q8)*$C120</f>
        <v>0</v>
      </c>
      <c r="R120" s="12">
        <f>SUM(D120:Q120)</f>
        <v>65000</v>
      </c>
      <c r="T120" s="11">
        <f t="shared" si="88"/>
        <v>6500</v>
      </c>
      <c r="U120" s="135" t="s">
        <v>292</v>
      </c>
      <c r="V120" s="11">
        <f t="shared" si="89"/>
        <v>32500</v>
      </c>
      <c r="W120" s="135" t="s">
        <v>323</v>
      </c>
    </row>
    <row r="121" spans="1:26" outlineLevel="1" x14ac:dyDescent="0.2">
      <c r="B121" s="166" t="s">
        <v>327</v>
      </c>
      <c r="C121" s="65">
        <v>0.05</v>
      </c>
      <c r="D121" s="32"/>
      <c r="E121" s="67">
        <f>$C121*G77*0.5</f>
        <v>1250</v>
      </c>
      <c r="F121" s="67">
        <f t="shared" ref="F121:P121" si="94">$C121*G77</f>
        <v>2500</v>
      </c>
      <c r="G121" s="67">
        <f t="shared" si="94"/>
        <v>2500</v>
      </c>
      <c r="H121" s="67">
        <f t="shared" si="94"/>
        <v>12500</v>
      </c>
      <c r="I121" s="67">
        <f t="shared" si="94"/>
        <v>7500</v>
      </c>
      <c r="J121" s="67">
        <f t="shared" si="94"/>
        <v>0</v>
      </c>
      <c r="K121" s="67">
        <f t="shared" si="94"/>
        <v>0</v>
      </c>
      <c r="L121" s="67">
        <f t="shared" si="94"/>
        <v>0</v>
      </c>
      <c r="M121" s="67">
        <f t="shared" si="94"/>
        <v>0</v>
      </c>
      <c r="N121" s="67">
        <f t="shared" si="94"/>
        <v>0</v>
      </c>
      <c r="O121" s="67">
        <f t="shared" si="94"/>
        <v>0</v>
      </c>
      <c r="P121" s="67">
        <f t="shared" si="94"/>
        <v>0</v>
      </c>
      <c r="Q121" s="32"/>
      <c r="R121" s="12">
        <f>SUM(D121:Q121)</f>
        <v>26250</v>
      </c>
      <c r="T121" s="11">
        <f t="shared" si="88"/>
        <v>2625</v>
      </c>
      <c r="U121" s="135" t="s">
        <v>292</v>
      </c>
      <c r="V121" s="11">
        <f t="shared" si="89"/>
        <v>13125</v>
      </c>
      <c r="W121" s="135" t="s">
        <v>323</v>
      </c>
    </row>
    <row r="122" spans="1:26" outlineLevel="1" x14ac:dyDescent="0.2">
      <c r="B122" s="166" t="s">
        <v>328</v>
      </c>
      <c r="C122" s="10">
        <v>3500</v>
      </c>
      <c r="D122" s="32"/>
      <c r="E122" s="67"/>
      <c r="F122" s="67">
        <f t="shared" ref="F122:N122" si="95">SUM(F7)*$C122</f>
        <v>3500</v>
      </c>
      <c r="G122" s="67">
        <f t="shared" si="95"/>
        <v>3500</v>
      </c>
      <c r="H122" s="67">
        <f t="shared" si="95"/>
        <v>17500</v>
      </c>
      <c r="I122" s="67">
        <f t="shared" si="95"/>
        <v>10500</v>
      </c>
      <c r="J122" s="67">
        <f t="shared" si="95"/>
        <v>0</v>
      </c>
      <c r="K122" s="67">
        <f t="shared" si="95"/>
        <v>0</v>
      </c>
      <c r="L122" s="67">
        <f t="shared" si="95"/>
        <v>0</v>
      </c>
      <c r="M122" s="67">
        <f t="shared" si="95"/>
        <v>0</v>
      </c>
      <c r="N122" s="67">
        <f t="shared" si="95"/>
        <v>0</v>
      </c>
      <c r="O122" s="67">
        <f>SUM(O7:O8)*$C122</f>
        <v>0</v>
      </c>
      <c r="P122" s="67">
        <f>SUM(P7:P8)*$C122</f>
        <v>0</v>
      </c>
      <c r="Q122" s="67">
        <f>SUM(Q7:Q8)*$C122</f>
        <v>0</v>
      </c>
      <c r="R122" s="12">
        <f>SUM(D122:P122)</f>
        <v>35000</v>
      </c>
      <c r="T122" s="11">
        <f t="shared" si="88"/>
        <v>3500</v>
      </c>
      <c r="U122" s="135" t="s">
        <v>292</v>
      </c>
      <c r="V122" s="11">
        <f t="shared" si="89"/>
        <v>17500</v>
      </c>
      <c r="W122" s="135" t="s">
        <v>323</v>
      </c>
    </row>
    <row r="123" spans="1:26" outlineLevel="1" x14ac:dyDescent="0.2">
      <c r="B123" s="166" t="s">
        <v>329</v>
      </c>
      <c r="C123" s="64">
        <v>3.5</v>
      </c>
      <c r="D123" s="10"/>
      <c r="E123" s="61"/>
      <c r="F123" s="61">
        <f t="shared" ref="F123:Q123" si="96">IFERROR((SUMPRODUCT($D$7,F7))*$C123,0)</f>
        <v>9275</v>
      </c>
      <c r="G123" s="61">
        <f t="shared" si="96"/>
        <v>9275</v>
      </c>
      <c r="H123" s="61">
        <f t="shared" si="96"/>
        <v>46375</v>
      </c>
      <c r="I123" s="61">
        <f t="shared" si="96"/>
        <v>27825</v>
      </c>
      <c r="J123" s="61">
        <f t="shared" si="96"/>
        <v>0</v>
      </c>
      <c r="K123" s="61">
        <f t="shared" si="96"/>
        <v>0</v>
      </c>
      <c r="L123" s="61">
        <f t="shared" si="96"/>
        <v>0</v>
      </c>
      <c r="M123" s="61">
        <f t="shared" si="96"/>
        <v>0</v>
      </c>
      <c r="N123" s="61">
        <f t="shared" si="96"/>
        <v>0</v>
      </c>
      <c r="O123" s="61">
        <f t="shared" si="96"/>
        <v>0</v>
      </c>
      <c r="P123" s="61">
        <f t="shared" si="96"/>
        <v>0</v>
      </c>
      <c r="Q123" s="61">
        <f t="shared" si="96"/>
        <v>0</v>
      </c>
      <c r="R123" s="12">
        <f>SUM(D123:P123)</f>
        <v>92750</v>
      </c>
      <c r="T123" s="11">
        <f t="shared" si="88"/>
        <v>9275</v>
      </c>
      <c r="U123" s="135" t="s">
        <v>292</v>
      </c>
      <c r="V123" s="11">
        <f t="shared" si="89"/>
        <v>46375</v>
      </c>
      <c r="W123" s="135" t="s">
        <v>323</v>
      </c>
      <c r="X123" s="229" t="e">
        <f>R123/#REF!</f>
        <v>#REF!</v>
      </c>
      <c r="Y123" s="229"/>
      <c r="Z123" s="229"/>
    </row>
    <row r="124" spans="1:26" outlineLevel="1" x14ac:dyDescent="0.2">
      <c r="B124" s="166" t="s">
        <v>330</v>
      </c>
      <c r="C124" s="102">
        <v>6.4999999999999997E-3</v>
      </c>
      <c r="D124" s="10"/>
      <c r="E124" s="32"/>
      <c r="F124" s="32">
        <f t="shared" ref="F124:N126" si="97">$C124*F$76</f>
        <v>2734.46875</v>
      </c>
      <c r="G124" s="32">
        <f t="shared" si="97"/>
        <v>10937.875</v>
      </c>
      <c r="H124" s="32">
        <f t="shared" si="97"/>
        <v>21875.75</v>
      </c>
      <c r="I124" s="32">
        <f t="shared" si="97"/>
        <v>49220.4375</v>
      </c>
      <c r="J124" s="32">
        <f t="shared" si="97"/>
        <v>24610.21875</v>
      </c>
      <c r="K124" s="32">
        <f t="shared" si="97"/>
        <v>0</v>
      </c>
      <c r="L124" s="32">
        <f t="shared" si="97"/>
        <v>0</v>
      </c>
      <c r="M124" s="32">
        <f t="shared" si="97"/>
        <v>0</v>
      </c>
      <c r="N124" s="32">
        <f t="shared" si="97"/>
        <v>0</v>
      </c>
      <c r="O124" s="32">
        <f t="shared" ref="O124:Q126" si="98">$C124*O$76</f>
        <v>0</v>
      </c>
      <c r="P124" s="32">
        <f t="shared" si="98"/>
        <v>0</v>
      </c>
      <c r="Q124" s="32">
        <f t="shared" si="98"/>
        <v>0</v>
      </c>
      <c r="R124" s="12">
        <f>SUM(D124:P124)</f>
        <v>109378.75</v>
      </c>
      <c r="T124" s="11">
        <f t="shared" si="88"/>
        <v>10937.875</v>
      </c>
      <c r="U124" s="135" t="s">
        <v>292</v>
      </c>
      <c r="V124" s="11">
        <f t="shared" si="89"/>
        <v>54689.375</v>
      </c>
      <c r="W124" s="135" t="s">
        <v>323</v>
      </c>
    </row>
    <row r="125" spans="1:26" outlineLevel="1" x14ac:dyDescent="0.2">
      <c r="B125" s="166" t="s">
        <v>331</v>
      </c>
      <c r="C125" s="102">
        <v>5.0000000000000001E-3</v>
      </c>
      <c r="D125" s="10"/>
      <c r="E125" s="32"/>
      <c r="F125" s="32">
        <f t="shared" si="97"/>
        <v>2103.4375</v>
      </c>
      <c r="G125" s="32">
        <f t="shared" si="97"/>
        <v>8413.75</v>
      </c>
      <c r="H125" s="32">
        <f t="shared" si="97"/>
        <v>16827.5</v>
      </c>
      <c r="I125" s="32">
        <f t="shared" si="97"/>
        <v>37861.875</v>
      </c>
      <c r="J125" s="32">
        <f t="shared" si="97"/>
        <v>18930.9375</v>
      </c>
      <c r="K125" s="32">
        <f t="shared" si="97"/>
        <v>0</v>
      </c>
      <c r="L125" s="32">
        <f t="shared" si="97"/>
        <v>0</v>
      </c>
      <c r="M125" s="32">
        <f t="shared" si="97"/>
        <v>0</v>
      </c>
      <c r="N125" s="32">
        <f t="shared" si="97"/>
        <v>0</v>
      </c>
      <c r="O125" s="32">
        <f t="shared" si="98"/>
        <v>0</v>
      </c>
      <c r="P125" s="32">
        <f t="shared" si="98"/>
        <v>0</v>
      </c>
      <c r="Q125" s="32">
        <f t="shared" si="98"/>
        <v>0</v>
      </c>
      <c r="R125" s="12">
        <f>SUM(D125:P125)</f>
        <v>84137.5</v>
      </c>
      <c r="T125" s="11">
        <f t="shared" si="88"/>
        <v>8413.75</v>
      </c>
      <c r="U125" s="135" t="s">
        <v>292</v>
      </c>
      <c r="V125" s="11">
        <f t="shared" si="89"/>
        <v>42068.75</v>
      </c>
      <c r="W125" s="135" t="s">
        <v>323</v>
      </c>
    </row>
    <row r="126" spans="1:26" outlineLevel="1" x14ac:dyDescent="0.2">
      <c r="B126" s="166" t="s">
        <v>332</v>
      </c>
      <c r="C126" s="102">
        <v>5.0000000000000001E-3</v>
      </c>
      <c r="D126" s="10"/>
      <c r="E126" s="32"/>
      <c r="F126" s="32">
        <f t="shared" si="97"/>
        <v>2103.4375</v>
      </c>
      <c r="G126" s="32">
        <f t="shared" si="97"/>
        <v>8413.75</v>
      </c>
      <c r="H126" s="32">
        <f t="shared" si="97"/>
        <v>16827.5</v>
      </c>
      <c r="I126" s="32">
        <f t="shared" si="97"/>
        <v>37861.875</v>
      </c>
      <c r="J126" s="32">
        <f t="shared" si="97"/>
        <v>18930.9375</v>
      </c>
      <c r="K126" s="32">
        <f t="shared" si="97"/>
        <v>0</v>
      </c>
      <c r="L126" s="32">
        <f t="shared" si="97"/>
        <v>0</v>
      </c>
      <c r="M126" s="32">
        <f t="shared" si="97"/>
        <v>0</v>
      </c>
      <c r="N126" s="32">
        <f t="shared" si="97"/>
        <v>0</v>
      </c>
      <c r="O126" s="32">
        <f t="shared" si="98"/>
        <v>0</v>
      </c>
      <c r="P126" s="32">
        <f t="shared" si="98"/>
        <v>0</v>
      </c>
      <c r="Q126" s="32">
        <f t="shared" si="98"/>
        <v>0</v>
      </c>
      <c r="R126" s="12">
        <f>SUM(D126:P126)</f>
        <v>84137.5</v>
      </c>
      <c r="T126" s="11">
        <f t="shared" si="88"/>
        <v>8413.75</v>
      </c>
      <c r="U126" s="135" t="s">
        <v>292</v>
      </c>
      <c r="V126" s="11">
        <f t="shared" si="89"/>
        <v>42068.75</v>
      </c>
      <c r="W126" s="135" t="s">
        <v>323</v>
      </c>
    </row>
    <row r="127" spans="1:26" outlineLevel="1" x14ac:dyDescent="0.2">
      <c r="B127" s="171" t="s">
        <v>317</v>
      </c>
      <c r="C127" s="54">
        <v>0.05</v>
      </c>
      <c r="D127" s="22"/>
      <c r="E127" s="22">
        <f t="shared" ref="E127:N127" si="99">SUM(E117:E126)*$C127</f>
        <v>609.375</v>
      </c>
      <c r="F127" s="22">
        <f t="shared" si="99"/>
        <v>5105.4109375000007</v>
      </c>
      <c r="G127" s="22">
        <f t="shared" si="99"/>
        <v>3602.0187500000002</v>
      </c>
      <c r="H127" s="22">
        <f t="shared" si="99"/>
        <v>13720.2875</v>
      </c>
      <c r="I127" s="22">
        <f t="shared" si="99"/>
        <v>12950.959375</v>
      </c>
      <c r="J127" s="22">
        <f t="shared" si="99"/>
        <v>3217.3546875000002</v>
      </c>
      <c r="K127" s="22">
        <f t="shared" si="99"/>
        <v>0</v>
      </c>
      <c r="L127" s="22">
        <f t="shared" si="99"/>
        <v>0</v>
      </c>
      <c r="M127" s="22">
        <f t="shared" si="99"/>
        <v>0</v>
      </c>
      <c r="N127" s="22">
        <f t="shared" si="99"/>
        <v>0</v>
      </c>
      <c r="O127" s="22">
        <f t="shared" ref="O127:Q127" si="100">SUM(O117:O126)*$C127</f>
        <v>0</v>
      </c>
      <c r="P127" s="22">
        <f t="shared" si="100"/>
        <v>0</v>
      </c>
      <c r="Q127" s="22">
        <f t="shared" si="100"/>
        <v>0</v>
      </c>
      <c r="R127" s="21">
        <f>SUM(D127:Q127)</f>
        <v>39205.40625</v>
      </c>
      <c r="T127" s="11">
        <f t="shared" si="88"/>
        <v>3920.5406250000001</v>
      </c>
      <c r="U127" s="135" t="s">
        <v>292</v>
      </c>
      <c r="V127" s="11">
        <f t="shared" si="89"/>
        <v>19602.703125</v>
      </c>
      <c r="W127" s="135" t="s">
        <v>323</v>
      </c>
    </row>
    <row r="128" spans="1:26" x14ac:dyDescent="0.2">
      <c r="B128" s="49" t="str">
        <f>B116</f>
        <v>SOFT COSTS PROFESSIONALS: Large SFR</v>
      </c>
      <c r="C128" s="167"/>
      <c r="D128" s="51"/>
      <c r="E128" s="51">
        <f t="shared" ref="E128:P128" si="101">SUM(E116:E127)</f>
        <v>12796.875</v>
      </c>
      <c r="F128" s="51">
        <f t="shared" si="101"/>
        <v>107213.6296875</v>
      </c>
      <c r="G128" s="51">
        <f t="shared" si="101"/>
        <v>75642.393750000003</v>
      </c>
      <c r="H128" s="51">
        <f t="shared" si="101"/>
        <v>288126.03749999998</v>
      </c>
      <c r="I128" s="51">
        <f t="shared" si="101"/>
        <v>271970.14687499998</v>
      </c>
      <c r="J128" s="51">
        <f t="shared" si="101"/>
        <v>67564.448437500003</v>
      </c>
      <c r="K128" s="51">
        <f t="shared" si="101"/>
        <v>0</v>
      </c>
      <c r="L128" s="51">
        <f t="shared" si="101"/>
        <v>0</v>
      </c>
      <c r="M128" s="51">
        <f t="shared" si="101"/>
        <v>0</v>
      </c>
      <c r="N128" s="51">
        <f t="shared" si="101"/>
        <v>0</v>
      </c>
      <c r="O128" s="51">
        <f t="shared" si="101"/>
        <v>0</v>
      </c>
      <c r="P128" s="51">
        <f t="shared" si="101"/>
        <v>0</v>
      </c>
      <c r="Q128" s="51"/>
      <c r="R128" s="107">
        <f>SUM(D128:Q128)</f>
        <v>823313.53125</v>
      </c>
      <c r="T128" s="134">
        <f t="shared" si="88"/>
        <v>82331.353124999994</v>
      </c>
      <c r="U128" s="135" t="s">
        <v>292</v>
      </c>
      <c r="V128" s="11">
        <f t="shared" si="89"/>
        <v>411656.765625</v>
      </c>
      <c r="W128" s="135" t="s">
        <v>323</v>
      </c>
    </row>
    <row r="129" spans="2:23" x14ac:dyDescent="0.2">
      <c r="T129" s="111" cm="1">
        <f t="array" ref="T129">R128/SUMPRODUCT(D7*F23:Q23*F$7:Q$7)</f>
        <v>2.0109446590760967E-2</v>
      </c>
      <c r="U129" t="s">
        <v>283</v>
      </c>
    </row>
    <row r="130" spans="2:23" outlineLevel="1" x14ac:dyDescent="0.2">
      <c r="B130" s="81" t="s">
        <v>333</v>
      </c>
      <c r="R130" s="12"/>
      <c r="T130" s="111"/>
      <c r="V130">
        <v>2</v>
      </c>
      <c r="W130" t="s">
        <v>320</v>
      </c>
    </row>
    <row r="131" spans="2:23" outlineLevel="1" x14ac:dyDescent="0.2">
      <c r="B131" s="166" t="s">
        <v>322</v>
      </c>
      <c r="C131" s="65">
        <v>0.05</v>
      </c>
      <c r="D131" s="32"/>
      <c r="E131" s="32">
        <f>$C131*F$83*0.5</f>
        <v>937.5</v>
      </c>
      <c r="F131" s="32">
        <f>$C131*F$83</f>
        <v>1875</v>
      </c>
      <c r="G131" s="32">
        <f t="shared" ref="G131:Q131" si="102">$C131*G83</f>
        <v>4375</v>
      </c>
      <c r="H131" s="32">
        <f t="shared" si="102"/>
        <v>1250</v>
      </c>
      <c r="I131" s="32">
        <f t="shared" si="102"/>
        <v>0</v>
      </c>
      <c r="J131" s="32">
        <f t="shared" si="102"/>
        <v>0</v>
      </c>
      <c r="K131" s="32">
        <f t="shared" si="102"/>
        <v>0</v>
      </c>
      <c r="L131" s="32">
        <f t="shared" si="102"/>
        <v>0</v>
      </c>
      <c r="M131" s="32">
        <f t="shared" si="102"/>
        <v>0</v>
      </c>
      <c r="N131" s="32">
        <f t="shared" si="102"/>
        <v>0</v>
      </c>
      <c r="O131" s="32">
        <f t="shared" si="102"/>
        <v>0</v>
      </c>
      <c r="P131" s="32">
        <f t="shared" si="102"/>
        <v>0</v>
      </c>
      <c r="Q131" s="32">
        <f t="shared" si="102"/>
        <v>0</v>
      </c>
      <c r="R131" s="12">
        <f>SUM(D131:Q131)</f>
        <v>8437.5</v>
      </c>
      <c r="T131" s="11">
        <f t="shared" ref="T131:T142" si="103">R131/$R$8</f>
        <v>2812.5</v>
      </c>
      <c r="U131" s="135" t="s">
        <v>292</v>
      </c>
      <c r="V131" s="11">
        <f t="shared" ref="V131:V141" si="104">R131/$V$130</f>
        <v>4218.75</v>
      </c>
      <c r="W131" s="135" t="s">
        <v>323</v>
      </c>
    </row>
    <row r="132" spans="2:23" outlineLevel="1" x14ac:dyDescent="0.2">
      <c r="B132" s="166" t="s">
        <v>324</v>
      </c>
      <c r="C132" s="65">
        <v>8.5000000000000006E-2</v>
      </c>
      <c r="D132" s="32"/>
      <c r="E132" s="10">
        <v>10000</v>
      </c>
      <c r="F132" s="32">
        <f>($C132*F$84)*V130</f>
        <v>66438.125</v>
      </c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12">
        <f>SUM(D132:Q132)</f>
        <v>76438.125</v>
      </c>
      <c r="T132" s="11">
        <f t="shared" si="103"/>
        <v>25479.375</v>
      </c>
      <c r="U132" s="135" t="s">
        <v>292</v>
      </c>
      <c r="V132" s="11">
        <f t="shared" si="104"/>
        <v>38219.0625</v>
      </c>
      <c r="W132" s="135" t="s">
        <v>323</v>
      </c>
    </row>
    <row r="133" spans="2:23" outlineLevel="1" x14ac:dyDescent="0.2">
      <c r="B133" s="166" t="s">
        <v>325</v>
      </c>
      <c r="C133" s="10">
        <v>20000</v>
      </c>
      <c r="D133" s="32"/>
      <c r="E133" s="32"/>
      <c r="F133" s="32"/>
      <c r="G133" s="32">
        <f>$C133*G8</f>
        <v>40000</v>
      </c>
      <c r="H133" s="32">
        <f t="shared" ref="H133:Q133" si="105">$C133*H8</f>
        <v>0</v>
      </c>
      <c r="I133" s="32">
        <f t="shared" si="105"/>
        <v>0</v>
      </c>
      <c r="J133" s="32">
        <f t="shared" si="105"/>
        <v>0</v>
      </c>
      <c r="K133" s="32">
        <f t="shared" si="105"/>
        <v>0</v>
      </c>
      <c r="L133" s="32">
        <f t="shared" si="105"/>
        <v>0</v>
      </c>
      <c r="M133" s="32">
        <f t="shared" si="105"/>
        <v>0</v>
      </c>
      <c r="N133" s="32">
        <f t="shared" si="105"/>
        <v>0</v>
      </c>
      <c r="O133" s="32">
        <f t="shared" si="105"/>
        <v>0</v>
      </c>
      <c r="P133" s="32">
        <f t="shared" si="105"/>
        <v>0</v>
      </c>
      <c r="Q133" s="32">
        <f t="shared" si="105"/>
        <v>0</v>
      </c>
      <c r="R133" s="12">
        <f>SUM(D133:Q133)</f>
        <v>40000</v>
      </c>
      <c r="T133" s="11">
        <f t="shared" ref="T133" si="106">R133/$R$7</f>
        <v>4000</v>
      </c>
      <c r="U133" s="135" t="s">
        <v>292</v>
      </c>
      <c r="V133" s="11">
        <f>R133/$V$130</f>
        <v>20000</v>
      </c>
      <c r="W133" s="135" t="s">
        <v>323</v>
      </c>
    </row>
    <row r="134" spans="2:23" outlineLevel="1" x14ac:dyDescent="0.2">
      <c r="B134" s="166" t="s">
        <v>326</v>
      </c>
      <c r="C134" s="10">
        <v>6500</v>
      </c>
      <c r="D134" s="10"/>
      <c r="E134" s="67"/>
      <c r="F134" s="67">
        <f>SUM(F$8)*$C134</f>
        <v>6500</v>
      </c>
      <c r="G134" s="67">
        <f>SUM(G8)*$C134</f>
        <v>13000</v>
      </c>
      <c r="H134" s="67">
        <f t="shared" ref="H134:Q134" si="107">SUM(H8)*$C134</f>
        <v>0</v>
      </c>
      <c r="I134" s="67">
        <f t="shared" si="107"/>
        <v>0</v>
      </c>
      <c r="J134" s="67">
        <f t="shared" si="107"/>
        <v>0</v>
      </c>
      <c r="K134" s="67">
        <f t="shared" si="107"/>
        <v>0</v>
      </c>
      <c r="L134" s="67">
        <f t="shared" si="107"/>
        <v>0</v>
      </c>
      <c r="M134" s="67">
        <f t="shared" si="107"/>
        <v>0</v>
      </c>
      <c r="N134" s="67">
        <f t="shared" si="107"/>
        <v>0</v>
      </c>
      <c r="O134" s="67">
        <f t="shared" si="107"/>
        <v>0</v>
      </c>
      <c r="P134" s="67">
        <f t="shared" si="107"/>
        <v>0</v>
      </c>
      <c r="Q134" s="67">
        <f t="shared" si="107"/>
        <v>0</v>
      </c>
      <c r="R134" s="12">
        <f>SUM(D134:Q134)</f>
        <v>19500</v>
      </c>
      <c r="T134" s="11">
        <f t="shared" si="103"/>
        <v>6500</v>
      </c>
      <c r="U134" s="135" t="s">
        <v>292</v>
      </c>
      <c r="V134" s="11">
        <f t="shared" si="104"/>
        <v>9750</v>
      </c>
      <c r="W134" s="135" t="s">
        <v>323</v>
      </c>
    </row>
    <row r="135" spans="2:23" outlineLevel="1" x14ac:dyDescent="0.2">
      <c r="B135" s="166" t="s">
        <v>327</v>
      </c>
      <c r="C135" s="65">
        <v>0.05</v>
      </c>
      <c r="D135" s="32"/>
      <c r="E135" s="67">
        <f>$C135*G$85*0.5</f>
        <v>1250</v>
      </c>
      <c r="F135" s="67">
        <f>$C135*G$85</f>
        <v>2500</v>
      </c>
      <c r="G135" s="67">
        <f t="shared" ref="G135:P135" si="108">$C135*H85</f>
        <v>5000</v>
      </c>
      <c r="H135" s="67">
        <f t="shared" si="108"/>
        <v>0</v>
      </c>
      <c r="I135" s="67">
        <f t="shared" si="108"/>
        <v>0</v>
      </c>
      <c r="J135" s="67">
        <f t="shared" si="108"/>
        <v>0</v>
      </c>
      <c r="K135" s="67">
        <f t="shared" si="108"/>
        <v>0</v>
      </c>
      <c r="L135" s="67">
        <f t="shared" si="108"/>
        <v>0</v>
      </c>
      <c r="M135" s="67">
        <f t="shared" si="108"/>
        <v>0</v>
      </c>
      <c r="N135" s="67">
        <f t="shared" si="108"/>
        <v>0</v>
      </c>
      <c r="O135" s="67">
        <f t="shared" si="108"/>
        <v>0</v>
      </c>
      <c r="P135" s="67">
        <f t="shared" si="108"/>
        <v>0</v>
      </c>
      <c r="Q135" s="67"/>
      <c r="R135" s="12">
        <f>SUM(D135:Q135)</f>
        <v>8750</v>
      </c>
      <c r="T135" s="11">
        <f t="shared" si="103"/>
        <v>2916.6666666666665</v>
      </c>
      <c r="U135" s="135" t="s">
        <v>292</v>
      </c>
      <c r="V135" s="11">
        <f t="shared" si="104"/>
        <v>4375</v>
      </c>
      <c r="W135" s="135" t="s">
        <v>323</v>
      </c>
    </row>
    <row r="136" spans="2:23" outlineLevel="1" x14ac:dyDescent="0.2">
      <c r="B136" s="166" t="s">
        <v>328</v>
      </c>
      <c r="C136" s="10">
        <v>3500</v>
      </c>
      <c r="D136" s="32"/>
      <c r="E136" s="67"/>
      <c r="F136" s="67">
        <f>SUM(F$8)*$C136</f>
        <v>3500</v>
      </c>
      <c r="G136" s="67">
        <f t="shared" ref="G136:Q136" si="109">SUM(G8)*$C136</f>
        <v>7000</v>
      </c>
      <c r="H136" s="67">
        <f t="shared" si="109"/>
        <v>0</v>
      </c>
      <c r="I136" s="67">
        <f t="shared" si="109"/>
        <v>0</v>
      </c>
      <c r="J136" s="67">
        <f t="shared" si="109"/>
        <v>0</v>
      </c>
      <c r="K136" s="67">
        <f t="shared" si="109"/>
        <v>0</v>
      </c>
      <c r="L136" s="67">
        <f t="shared" si="109"/>
        <v>0</v>
      </c>
      <c r="M136" s="67">
        <f t="shared" si="109"/>
        <v>0</v>
      </c>
      <c r="N136" s="67">
        <f t="shared" si="109"/>
        <v>0</v>
      </c>
      <c r="O136" s="67">
        <f t="shared" si="109"/>
        <v>0</v>
      </c>
      <c r="P136" s="67">
        <f t="shared" si="109"/>
        <v>0</v>
      </c>
      <c r="Q136" s="67">
        <f t="shared" si="109"/>
        <v>0</v>
      </c>
      <c r="R136" s="12">
        <f>SUM(D136:P136)</f>
        <v>10500</v>
      </c>
      <c r="T136" s="11">
        <f t="shared" si="103"/>
        <v>3500</v>
      </c>
      <c r="U136" s="135" t="s">
        <v>292</v>
      </c>
      <c r="V136" s="11">
        <f t="shared" si="104"/>
        <v>5250</v>
      </c>
      <c r="W136" s="135" t="s">
        <v>323</v>
      </c>
    </row>
    <row r="137" spans="2:23" outlineLevel="1" x14ac:dyDescent="0.2">
      <c r="B137" s="166" t="s">
        <v>329</v>
      </c>
      <c r="C137" s="64">
        <v>3.5</v>
      </c>
      <c r="D137" s="10"/>
      <c r="E137" s="61"/>
      <c r="F137" s="61">
        <f>IFERROR((SUMPRODUCT($D$8,F$8))*$C137,0)</f>
        <v>8417.5</v>
      </c>
      <c r="G137" s="61">
        <f t="shared" ref="G137:Q137" si="110">IFERROR((SUMPRODUCT($D$8,G8))*$C137,0)</f>
        <v>16835</v>
      </c>
      <c r="H137" s="61">
        <f t="shared" si="110"/>
        <v>0</v>
      </c>
      <c r="I137" s="61">
        <f t="shared" si="110"/>
        <v>0</v>
      </c>
      <c r="J137" s="61">
        <f t="shared" si="110"/>
        <v>0</v>
      </c>
      <c r="K137" s="61">
        <f t="shared" si="110"/>
        <v>0</v>
      </c>
      <c r="L137" s="61">
        <f t="shared" si="110"/>
        <v>0</v>
      </c>
      <c r="M137" s="61">
        <f t="shared" si="110"/>
        <v>0</v>
      </c>
      <c r="N137" s="61">
        <f t="shared" si="110"/>
        <v>0</v>
      </c>
      <c r="O137" s="61">
        <f t="shared" si="110"/>
        <v>0</v>
      </c>
      <c r="P137" s="61">
        <f t="shared" si="110"/>
        <v>0</v>
      </c>
      <c r="Q137" s="61">
        <f t="shared" si="110"/>
        <v>0</v>
      </c>
      <c r="R137" s="12">
        <f>SUM(D137:P137)</f>
        <v>25252.5</v>
      </c>
      <c r="T137" s="11">
        <f t="shared" si="103"/>
        <v>8417.5</v>
      </c>
      <c r="U137" s="135" t="s">
        <v>292</v>
      </c>
      <c r="V137" s="11">
        <f t="shared" si="104"/>
        <v>12626.25</v>
      </c>
      <c r="W137" s="135" t="s">
        <v>323</v>
      </c>
    </row>
    <row r="138" spans="2:23" outlineLevel="1" x14ac:dyDescent="0.2">
      <c r="B138" s="166" t="s">
        <v>330</v>
      </c>
      <c r="C138" s="102">
        <v>6.4999999999999997E-3</v>
      </c>
      <c r="D138" s="10"/>
      <c r="E138" s="32"/>
      <c r="F138" s="32">
        <f>$C138*F$84</f>
        <v>2540.28125</v>
      </c>
      <c r="G138" s="32">
        <f t="shared" ref="G138:Q140" si="111">$C138*G$84</f>
        <v>12701.40625</v>
      </c>
      <c r="H138" s="32">
        <f t="shared" si="111"/>
        <v>15241.6875</v>
      </c>
      <c r="I138" s="32">
        <f t="shared" si="111"/>
        <v>0</v>
      </c>
      <c r="J138" s="32">
        <f t="shared" si="111"/>
        <v>0</v>
      </c>
      <c r="K138" s="32">
        <f t="shared" si="111"/>
        <v>0</v>
      </c>
      <c r="L138" s="32">
        <f t="shared" si="111"/>
        <v>0</v>
      </c>
      <c r="M138" s="32">
        <f t="shared" si="111"/>
        <v>0</v>
      </c>
      <c r="N138" s="32">
        <f t="shared" si="111"/>
        <v>0</v>
      </c>
      <c r="O138" s="32">
        <f t="shared" si="111"/>
        <v>0</v>
      </c>
      <c r="P138" s="32">
        <f t="shared" si="111"/>
        <v>0</v>
      </c>
      <c r="Q138" s="32">
        <f t="shared" si="111"/>
        <v>0</v>
      </c>
      <c r="R138" s="12">
        <f>SUM(D138:P138)</f>
        <v>30483.375</v>
      </c>
      <c r="T138" s="11">
        <f t="shared" si="103"/>
        <v>10161.125</v>
      </c>
      <c r="U138" s="135" t="s">
        <v>292</v>
      </c>
      <c r="V138" s="11">
        <f t="shared" si="104"/>
        <v>15241.6875</v>
      </c>
      <c r="W138" s="135" t="s">
        <v>323</v>
      </c>
    </row>
    <row r="139" spans="2:23" outlineLevel="1" x14ac:dyDescent="0.2">
      <c r="B139" s="166" t="s">
        <v>331</v>
      </c>
      <c r="C139" s="102">
        <v>5.0000000000000001E-3</v>
      </c>
      <c r="D139" s="10"/>
      <c r="E139" s="32"/>
      <c r="F139" s="32">
        <f>$C139*F$84</f>
        <v>1954.0625</v>
      </c>
      <c r="G139" s="32">
        <f t="shared" si="111"/>
        <v>9770.3125</v>
      </c>
      <c r="H139" s="32">
        <f>$C139*H$84</f>
        <v>11724.375</v>
      </c>
      <c r="I139" s="32">
        <f t="shared" si="111"/>
        <v>0</v>
      </c>
      <c r="J139" s="32">
        <f t="shared" si="111"/>
        <v>0</v>
      </c>
      <c r="K139" s="32">
        <f t="shared" si="111"/>
        <v>0</v>
      </c>
      <c r="L139" s="32">
        <f t="shared" si="111"/>
        <v>0</v>
      </c>
      <c r="M139" s="32">
        <f t="shared" si="111"/>
        <v>0</v>
      </c>
      <c r="N139" s="32">
        <f t="shared" si="111"/>
        <v>0</v>
      </c>
      <c r="O139" s="32">
        <f t="shared" si="111"/>
        <v>0</v>
      </c>
      <c r="P139" s="32">
        <f t="shared" si="111"/>
        <v>0</v>
      </c>
      <c r="Q139" s="32">
        <f t="shared" si="111"/>
        <v>0</v>
      </c>
      <c r="R139" s="12">
        <f>SUM(D139:P139)</f>
        <v>23448.75</v>
      </c>
      <c r="T139" s="11">
        <f t="shared" si="103"/>
        <v>7816.25</v>
      </c>
      <c r="U139" s="135" t="s">
        <v>292</v>
      </c>
      <c r="V139" s="11">
        <f t="shared" si="104"/>
        <v>11724.375</v>
      </c>
      <c r="W139" s="135" t="s">
        <v>323</v>
      </c>
    </row>
    <row r="140" spans="2:23" outlineLevel="1" x14ac:dyDescent="0.2">
      <c r="B140" s="166" t="s">
        <v>332</v>
      </c>
      <c r="C140" s="102">
        <v>5.0000000000000001E-3</v>
      </c>
      <c r="D140" s="10"/>
      <c r="E140" s="32"/>
      <c r="F140" s="32">
        <f>$C140*F$84</f>
        <v>1954.0625</v>
      </c>
      <c r="G140" s="32">
        <f t="shared" si="111"/>
        <v>9770.3125</v>
      </c>
      <c r="H140" s="32">
        <f t="shared" si="111"/>
        <v>11724.375</v>
      </c>
      <c r="I140" s="32">
        <f t="shared" si="111"/>
        <v>0</v>
      </c>
      <c r="J140" s="32">
        <f t="shared" si="111"/>
        <v>0</v>
      </c>
      <c r="K140" s="32">
        <f t="shared" si="111"/>
        <v>0</v>
      </c>
      <c r="L140" s="32">
        <f t="shared" si="111"/>
        <v>0</v>
      </c>
      <c r="M140" s="32">
        <f t="shared" si="111"/>
        <v>0</v>
      </c>
      <c r="N140" s="32">
        <f t="shared" si="111"/>
        <v>0</v>
      </c>
      <c r="O140" s="32">
        <f t="shared" si="111"/>
        <v>0</v>
      </c>
      <c r="P140" s="32">
        <f t="shared" si="111"/>
        <v>0</v>
      </c>
      <c r="Q140" s="32">
        <f t="shared" si="111"/>
        <v>0</v>
      </c>
      <c r="R140" s="12">
        <f>SUM(D140:P140)</f>
        <v>23448.75</v>
      </c>
      <c r="T140" s="11">
        <f t="shared" si="103"/>
        <v>7816.25</v>
      </c>
      <c r="U140" s="135" t="s">
        <v>292</v>
      </c>
      <c r="V140" s="11">
        <f t="shared" si="104"/>
        <v>11724.375</v>
      </c>
      <c r="W140" s="135" t="s">
        <v>323</v>
      </c>
    </row>
    <row r="141" spans="2:23" outlineLevel="1" x14ac:dyDescent="0.2">
      <c r="B141" s="171" t="s">
        <v>317</v>
      </c>
      <c r="C141" s="54">
        <v>0.05</v>
      </c>
      <c r="D141" s="22"/>
      <c r="E141" s="22">
        <f>SUM(E131:E140)*$C141</f>
        <v>609.375</v>
      </c>
      <c r="F141" s="22">
        <f>SUM(F131:F140)*$C141</f>
        <v>4783.9515625000004</v>
      </c>
      <c r="G141" s="22">
        <f t="shared" ref="G141:Q141" si="112">SUM(G131:G140)*$C141</f>
        <v>5922.6015625</v>
      </c>
      <c r="H141" s="22">
        <f t="shared" si="112"/>
        <v>1997.0218750000001</v>
      </c>
      <c r="I141" s="22">
        <f t="shared" si="112"/>
        <v>0</v>
      </c>
      <c r="J141" s="22">
        <f t="shared" si="112"/>
        <v>0</v>
      </c>
      <c r="K141" s="22">
        <f t="shared" si="112"/>
        <v>0</v>
      </c>
      <c r="L141" s="22">
        <f t="shared" si="112"/>
        <v>0</v>
      </c>
      <c r="M141" s="22">
        <f t="shared" si="112"/>
        <v>0</v>
      </c>
      <c r="N141" s="22">
        <f t="shared" si="112"/>
        <v>0</v>
      </c>
      <c r="O141" s="22">
        <f t="shared" si="112"/>
        <v>0</v>
      </c>
      <c r="P141" s="22">
        <f t="shared" si="112"/>
        <v>0</v>
      </c>
      <c r="Q141" s="22">
        <f t="shared" si="112"/>
        <v>0</v>
      </c>
      <c r="R141" s="21">
        <f>SUM(D141:Q141)</f>
        <v>13312.95</v>
      </c>
      <c r="T141" s="11">
        <f t="shared" si="103"/>
        <v>4437.6500000000005</v>
      </c>
      <c r="U141" s="135" t="s">
        <v>292</v>
      </c>
      <c r="V141" s="11">
        <f t="shared" si="104"/>
        <v>6656.4750000000004</v>
      </c>
      <c r="W141" s="135" t="s">
        <v>323</v>
      </c>
    </row>
    <row r="142" spans="2:23" x14ac:dyDescent="0.2">
      <c r="B142" s="49" t="str">
        <f>B130</f>
        <v>SOFT COSTS PROFESSIONALS: Small SFR</v>
      </c>
      <c r="C142" s="167"/>
      <c r="D142" s="51"/>
      <c r="E142" s="51">
        <f t="shared" ref="E142:P142" si="113">SUM(E130:E141)</f>
        <v>12796.875</v>
      </c>
      <c r="F142" s="51">
        <f t="shared" si="113"/>
        <v>100462.98281250001</v>
      </c>
      <c r="G142" s="51">
        <f t="shared" si="113"/>
        <v>124374.6328125</v>
      </c>
      <c r="H142" s="51">
        <f t="shared" si="113"/>
        <v>41937.459374999999</v>
      </c>
      <c r="I142" s="51">
        <f t="shared" si="113"/>
        <v>0</v>
      </c>
      <c r="J142" s="51">
        <f t="shared" si="113"/>
        <v>0</v>
      </c>
      <c r="K142" s="51">
        <f t="shared" si="113"/>
        <v>0</v>
      </c>
      <c r="L142" s="51">
        <f t="shared" si="113"/>
        <v>0</v>
      </c>
      <c r="M142" s="51">
        <f t="shared" si="113"/>
        <v>0</v>
      </c>
      <c r="N142" s="51">
        <f t="shared" si="113"/>
        <v>0</v>
      </c>
      <c r="O142" s="51">
        <f t="shared" si="113"/>
        <v>0</v>
      </c>
      <c r="P142" s="51">
        <f t="shared" si="113"/>
        <v>0</v>
      </c>
      <c r="Q142" s="51"/>
      <c r="R142" s="107">
        <f>SUM(D142:Q142)</f>
        <v>279571.95</v>
      </c>
      <c r="T142" s="134">
        <f t="shared" si="103"/>
        <v>93190.650000000009</v>
      </c>
      <c r="U142" s="135" t="s">
        <v>292</v>
      </c>
      <c r="V142" s="11">
        <f>R142/$V$130</f>
        <v>139785.97500000001</v>
      </c>
      <c r="W142" s="135" t="s">
        <v>323</v>
      </c>
    </row>
    <row r="143" spans="2:23" x14ac:dyDescent="0.2">
      <c r="T143" s="111" cm="1">
        <f t="array" ref="T143">R169/SUMPRODUCT(D8*F24:Q24*F$8:Q$8)</f>
        <v>5.5148899562692665E-2</v>
      </c>
      <c r="U143" t="s">
        <v>283</v>
      </c>
    </row>
    <row r="144" spans="2:23" outlineLevel="1" x14ac:dyDescent="0.2">
      <c r="B144" s="81" t="s">
        <v>334</v>
      </c>
      <c r="R144" s="12"/>
      <c r="V144">
        <v>2</v>
      </c>
      <c r="W144" t="s">
        <v>320</v>
      </c>
    </row>
    <row r="145" spans="2:24" outlineLevel="1" x14ac:dyDescent="0.2">
      <c r="B145" s="166" t="s">
        <v>322</v>
      </c>
      <c r="C145" s="65">
        <v>0.05</v>
      </c>
      <c r="D145" s="32"/>
      <c r="E145" s="32">
        <f t="shared" ref="E145:F145" si="114">$C145*F$91</f>
        <v>2250</v>
      </c>
      <c r="F145" s="32">
        <f t="shared" si="114"/>
        <v>9750</v>
      </c>
      <c r="G145" s="32">
        <f>$C145*H$91</f>
        <v>7500</v>
      </c>
      <c r="H145" s="32">
        <f t="shared" ref="H145:P145" si="115">$C145*I$91</f>
        <v>10500</v>
      </c>
      <c r="I145" s="32">
        <f t="shared" si="115"/>
        <v>3000</v>
      </c>
      <c r="J145" s="32">
        <f t="shared" si="115"/>
        <v>0</v>
      </c>
      <c r="K145" s="32">
        <f t="shared" si="115"/>
        <v>0</v>
      </c>
      <c r="L145" s="32">
        <f t="shared" si="115"/>
        <v>0</v>
      </c>
      <c r="M145" s="32">
        <f t="shared" si="115"/>
        <v>0</v>
      </c>
      <c r="N145" s="32">
        <f t="shared" si="115"/>
        <v>0</v>
      </c>
      <c r="O145" s="32">
        <f t="shared" si="115"/>
        <v>0</v>
      </c>
      <c r="P145" s="32">
        <f t="shared" si="115"/>
        <v>0</v>
      </c>
      <c r="Q145" s="32"/>
      <c r="R145" s="12">
        <f>SUM(D145:Q145)</f>
        <v>33000</v>
      </c>
      <c r="T145" s="11">
        <f t="shared" ref="T145:T156" si="116">R145/$R$9</f>
        <v>1500</v>
      </c>
      <c r="U145" s="135" t="s">
        <v>292</v>
      </c>
      <c r="V145" s="11">
        <f t="shared" ref="V145:V155" si="117">R145/$V$144</f>
        <v>16500</v>
      </c>
      <c r="W145" s="135" t="s">
        <v>323</v>
      </c>
    </row>
    <row r="146" spans="2:24" outlineLevel="1" x14ac:dyDescent="0.2">
      <c r="B146" s="166" t="s">
        <v>324</v>
      </c>
      <c r="C146" s="90">
        <v>8.5000000000000006E-2</v>
      </c>
      <c r="D146" s="32"/>
      <c r="E146" s="10">
        <v>10000</v>
      </c>
      <c r="F146" s="32">
        <f>($C146*F$92)*V144</f>
        <v>93206.325000000012</v>
      </c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12">
        <f>SUM(D146:Q146)</f>
        <v>103206.32500000001</v>
      </c>
      <c r="T146" s="11">
        <f t="shared" si="116"/>
        <v>4691.1965909090914</v>
      </c>
      <c r="U146" s="135" t="s">
        <v>292</v>
      </c>
      <c r="V146" s="11">
        <f t="shared" si="117"/>
        <v>51603.162500000006</v>
      </c>
      <c r="W146" s="135" t="s">
        <v>323</v>
      </c>
    </row>
    <row r="147" spans="2:24" outlineLevel="1" x14ac:dyDescent="0.2">
      <c r="B147" s="166" t="s">
        <v>325</v>
      </c>
      <c r="C147" s="10">
        <v>10000</v>
      </c>
      <c r="D147" s="32"/>
      <c r="E147" s="32"/>
      <c r="F147" s="32"/>
      <c r="G147" s="32">
        <f>$C147*G9</f>
        <v>80000</v>
      </c>
      <c r="H147" s="32">
        <f t="shared" ref="H147:Q147" si="118">$C147*H9</f>
        <v>40000</v>
      </c>
      <c r="I147" s="32">
        <f t="shared" si="118"/>
        <v>80000</v>
      </c>
      <c r="J147" s="32">
        <f t="shared" si="118"/>
        <v>0</v>
      </c>
      <c r="K147" s="32">
        <f t="shared" si="118"/>
        <v>0</v>
      </c>
      <c r="L147" s="32">
        <f t="shared" si="118"/>
        <v>0</v>
      </c>
      <c r="M147" s="32">
        <f t="shared" si="118"/>
        <v>0</v>
      </c>
      <c r="N147" s="32">
        <f t="shared" si="118"/>
        <v>0</v>
      </c>
      <c r="O147" s="32">
        <f t="shared" si="118"/>
        <v>0</v>
      </c>
      <c r="P147" s="32">
        <f t="shared" si="118"/>
        <v>0</v>
      </c>
      <c r="Q147" s="32">
        <f t="shared" si="118"/>
        <v>0</v>
      </c>
      <c r="R147" s="12">
        <f>SUM(D147:Q147)</f>
        <v>200000</v>
      </c>
      <c r="T147" s="11">
        <f t="shared" ref="T147" si="119">R147/$R$7</f>
        <v>20000</v>
      </c>
      <c r="U147" s="135" t="s">
        <v>292</v>
      </c>
      <c r="V147" s="11">
        <f>R147/$V$144</f>
        <v>100000</v>
      </c>
      <c r="W147" s="135" t="s">
        <v>323</v>
      </c>
    </row>
    <row r="148" spans="2:24" outlineLevel="1" x14ac:dyDescent="0.2">
      <c r="B148" s="166" t="s">
        <v>326</v>
      </c>
      <c r="C148" s="25">
        <v>4500</v>
      </c>
      <c r="D148" s="10"/>
      <c r="E148" s="67"/>
      <c r="F148" s="67">
        <f>SUM(F$9)*$C148</f>
        <v>9000</v>
      </c>
      <c r="G148" s="67">
        <f>SUM(G$9)*$C148</f>
        <v>36000</v>
      </c>
      <c r="H148" s="67">
        <f t="shared" ref="H148:Q148" si="120">SUM(H$9)*$C148</f>
        <v>18000</v>
      </c>
      <c r="I148" s="67">
        <f t="shared" si="120"/>
        <v>36000</v>
      </c>
      <c r="J148" s="67">
        <f t="shared" si="120"/>
        <v>0</v>
      </c>
      <c r="K148" s="67">
        <f t="shared" si="120"/>
        <v>0</v>
      </c>
      <c r="L148" s="67">
        <f t="shared" si="120"/>
        <v>0</v>
      </c>
      <c r="M148" s="67">
        <f t="shared" si="120"/>
        <v>0</v>
      </c>
      <c r="N148" s="67">
        <f t="shared" si="120"/>
        <v>0</v>
      </c>
      <c r="O148" s="67">
        <f t="shared" si="120"/>
        <v>0</v>
      </c>
      <c r="P148" s="67">
        <f t="shared" si="120"/>
        <v>0</v>
      </c>
      <c r="Q148" s="67">
        <f t="shared" si="120"/>
        <v>0</v>
      </c>
      <c r="R148" s="12">
        <f>SUM(D148:Q148)</f>
        <v>99000</v>
      </c>
      <c r="T148" s="11">
        <f t="shared" si="116"/>
        <v>4500</v>
      </c>
      <c r="U148" s="135" t="s">
        <v>292</v>
      </c>
      <c r="V148" s="11">
        <f t="shared" si="117"/>
        <v>49500</v>
      </c>
      <c r="W148" s="135" t="s">
        <v>323</v>
      </c>
    </row>
    <row r="149" spans="2:24" outlineLevel="1" x14ac:dyDescent="0.2">
      <c r="B149" s="166" t="s">
        <v>327</v>
      </c>
      <c r="C149" s="65">
        <v>0.05</v>
      </c>
      <c r="D149" s="32"/>
      <c r="E149" s="67">
        <f>$C149*G$93*0.5</f>
        <v>2000</v>
      </c>
      <c r="F149" s="67">
        <f t="shared" ref="F149:P149" si="121">$C149*G$93</f>
        <v>4000</v>
      </c>
      <c r="G149" s="67">
        <f t="shared" si="121"/>
        <v>16000</v>
      </c>
      <c r="H149" s="67">
        <f t="shared" si="121"/>
        <v>8000</v>
      </c>
      <c r="I149" s="67">
        <f t="shared" si="121"/>
        <v>16000</v>
      </c>
      <c r="J149" s="67">
        <f t="shared" si="121"/>
        <v>0</v>
      </c>
      <c r="K149" s="67">
        <f t="shared" si="121"/>
        <v>0</v>
      </c>
      <c r="L149" s="67">
        <f t="shared" si="121"/>
        <v>0</v>
      </c>
      <c r="M149" s="67">
        <f t="shared" si="121"/>
        <v>0</v>
      </c>
      <c r="N149" s="67">
        <f t="shared" si="121"/>
        <v>0</v>
      </c>
      <c r="O149" s="67">
        <f t="shared" si="121"/>
        <v>0</v>
      </c>
      <c r="P149" s="67">
        <f t="shared" si="121"/>
        <v>0</v>
      </c>
      <c r="Q149" s="67"/>
      <c r="R149" s="12">
        <f>SUM(D149:Q149)</f>
        <v>46000</v>
      </c>
      <c r="T149" s="11">
        <f t="shared" si="116"/>
        <v>2090.909090909091</v>
      </c>
      <c r="U149" s="135" t="s">
        <v>292</v>
      </c>
      <c r="V149" s="11">
        <f t="shared" si="117"/>
        <v>23000</v>
      </c>
      <c r="W149" s="135" t="s">
        <v>323</v>
      </c>
    </row>
    <row r="150" spans="2:24" outlineLevel="1" x14ac:dyDescent="0.2">
      <c r="B150" s="166" t="s">
        <v>328</v>
      </c>
      <c r="C150" s="10">
        <v>3500</v>
      </c>
      <c r="D150" s="32"/>
      <c r="E150" s="67"/>
      <c r="F150" s="67">
        <f>SUM(E$9)*$C150</f>
        <v>0</v>
      </c>
      <c r="G150" s="67">
        <f t="shared" ref="G150:Q150" si="122">SUM(F$9)*$C150</f>
        <v>7000</v>
      </c>
      <c r="H150" s="67">
        <f t="shared" si="122"/>
        <v>28000</v>
      </c>
      <c r="I150" s="67">
        <f t="shared" si="122"/>
        <v>14000</v>
      </c>
      <c r="J150" s="67">
        <f t="shared" si="122"/>
        <v>28000</v>
      </c>
      <c r="K150" s="67">
        <f t="shared" si="122"/>
        <v>0</v>
      </c>
      <c r="L150" s="67">
        <f t="shared" si="122"/>
        <v>0</v>
      </c>
      <c r="M150" s="67">
        <f t="shared" si="122"/>
        <v>0</v>
      </c>
      <c r="N150" s="67">
        <f t="shared" si="122"/>
        <v>0</v>
      </c>
      <c r="O150" s="67">
        <f t="shared" si="122"/>
        <v>0</v>
      </c>
      <c r="P150" s="67">
        <f t="shared" si="122"/>
        <v>0</v>
      </c>
      <c r="Q150" s="67">
        <f t="shared" si="122"/>
        <v>0</v>
      </c>
      <c r="R150" s="12">
        <f>SUM(D150:P150)</f>
        <v>77000</v>
      </c>
      <c r="T150" s="11">
        <f t="shared" si="116"/>
        <v>3500</v>
      </c>
      <c r="U150" s="135" t="s">
        <v>292</v>
      </c>
      <c r="V150" s="11">
        <f t="shared" si="117"/>
        <v>38500</v>
      </c>
      <c r="W150" s="135" t="s">
        <v>323</v>
      </c>
    </row>
    <row r="151" spans="2:24" outlineLevel="1" x14ac:dyDescent="0.2">
      <c r="B151" s="166" t="s">
        <v>329</v>
      </c>
      <c r="C151" s="64">
        <v>2.75</v>
      </c>
      <c r="D151" s="10"/>
      <c r="E151" s="61"/>
      <c r="F151" s="61">
        <f>IFERROR((SUMPRODUCT($D$9,F$9))*$C151,0)</f>
        <v>9806.5</v>
      </c>
      <c r="G151" s="61">
        <f t="shared" ref="G151:Q151" si="123">IFERROR((SUMPRODUCT($D$9,G$9))*$C151,0)</f>
        <v>39226</v>
      </c>
      <c r="H151" s="61">
        <f t="shared" si="123"/>
        <v>19613</v>
      </c>
      <c r="I151" s="61">
        <f t="shared" si="123"/>
        <v>39226</v>
      </c>
      <c r="J151" s="61">
        <f t="shared" si="123"/>
        <v>0</v>
      </c>
      <c r="K151" s="61">
        <f t="shared" si="123"/>
        <v>0</v>
      </c>
      <c r="L151" s="61">
        <f t="shared" si="123"/>
        <v>0</v>
      </c>
      <c r="M151" s="61">
        <f t="shared" si="123"/>
        <v>0</v>
      </c>
      <c r="N151" s="61">
        <f t="shared" si="123"/>
        <v>0</v>
      </c>
      <c r="O151" s="61">
        <f t="shared" si="123"/>
        <v>0</v>
      </c>
      <c r="P151" s="61">
        <f t="shared" si="123"/>
        <v>0</v>
      </c>
      <c r="Q151" s="61">
        <f t="shared" si="123"/>
        <v>0</v>
      </c>
      <c r="R151" s="12">
        <f>SUM(D151:P151)</f>
        <v>107871.5</v>
      </c>
      <c r="T151" s="11">
        <f t="shared" si="116"/>
        <v>4903.25</v>
      </c>
      <c r="U151" s="135" t="s">
        <v>292</v>
      </c>
      <c r="V151" s="11">
        <f t="shared" si="117"/>
        <v>53935.75</v>
      </c>
      <c r="W151" s="135" t="s">
        <v>323</v>
      </c>
      <c r="X151" s="229" t="e">
        <f>R151/#REF!</f>
        <v>#REF!</v>
      </c>
    </row>
    <row r="152" spans="2:24" outlineLevel="1" x14ac:dyDescent="0.2">
      <c r="B152" s="166" t="s">
        <v>330</v>
      </c>
      <c r="C152" s="102">
        <v>6.4999999999999997E-3</v>
      </c>
      <c r="D152" s="10"/>
      <c r="E152" s="32"/>
      <c r="F152" s="32">
        <f>$C152*F$92</f>
        <v>3563.7712499999998</v>
      </c>
      <c r="G152" s="32">
        <f t="shared" ref="G152:Q154" si="124">$C152*G$92</f>
        <v>24946.39875</v>
      </c>
      <c r="H152" s="32">
        <f t="shared" si="124"/>
        <v>49892.797500000001</v>
      </c>
      <c r="I152" s="32">
        <f t="shared" si="124"/>
        <v>35637.712500000001</v>
      </c>
      <c r="J152" s="32">
        <f t="shared" si="124"/>
        <v>42765.254999999997</v>
      </c>
      <c r="K152" s="32">
        <f t="shared" si="124"/>
        <v>0</v>
      </c>
      <c r="L152" s="32">
        <f t="shared" si="124"/>
        <v>0</v>
      </c>
      <c r="M152" s="32">
        <f t="shared" si="124"/>
        <v>0</v>
      </c>
      <c r="N152" s="32">
        <f t="shared" si="124"/>
        <v>0</v>
      </c>
      <c r="O152" s="32">
        <f t="shared" si="124"/>
        <v>0</v>
      </c>
      <c r="P152" s="32">
        <f t="shared" si="124"/>
        <v>0</v>
      </c>
      <c r="Q152" s="32">
        <f t="shared" si="124"/>
        <v>0</v>
      </c>
      <c r="R152" s="12">
        <f>SUM(D152:P152)</f>
        <v>156805.935</v>
      </c>
      <c r="T152" s="11">
        <f t="shared" si="116"/>
        <v>7127.5424999999996</v>
      </c>
      <c r="U152" s="135" t="s">
        <v>292</v>
      </c>
      <c r="V152" s="11">
        <f t="shared" si="117"/>
        <v>78402.967499999999</v>
      </c>
      <c r="W152" s="135" t="s">
        <v>323</v>
      </c>
    </row>
    <row r="153" spans="2:24" outlineLevel="1" x14ac:dyDescent="0.2">
      <c r="B153" s="166" t="s">
        <v>331</v>
      </c>
      <c r="C153" s="102">
        <v>5.0000000000000001E-3</v>
      </c>
      <c r="D153" s="10"/>
      <c r="E153" s="32"/>
      <c r="F153" s="32">
        <f>$C153*F$92</f>
        <v>2741.3625000000002</v>
      </c>
      <c r="G153" s="32">
        <f t="shared" si="124"/>
        <v>19189.537500000002</v>
      </c>
      <c r="H153" s="32">
        <f t="shared" si="124"/>
        <v>38379.075000000004</v>
      </c>
      <c r="I153" s="32">
        <f t="shared" si="124"/>
        <v>27413.625</v>
      </c>
      <c r="J153" s="32">
        <f t="shared" si="124"/>
        <v>32896.35</v>
      </c>
      <c r="K153" s="32">
        <f t="shared" si="124"/>
        <v>0</v>
      </c>
      <c r="L153" s="32">
        <f t="shared" si="124"/>
        <v>0</v>
      </c>
      <c r="M153" s="32">
        <f t="shared" si="124"/>
        <v>0</v>
      </c>
      <c r="N153" s="32">
        <f t="shared" si="124"/>
        <v>0</v>
      </c>
      <c r="O153" s="32">
        <f t="shared" si="124"/>
        <v>0</v>
      </c>
      <c r="P153" s="32">
        <f t="shared" si="124"/>
        <v>0</v>
      </c>
      <c r="Q153" s="32">
        <f t="shared" si="124"/>
        <v>0</v>
      </c>
      <c r="R153" s="12">
        <f>SUM(D153:P153)</f>
        <v>120619.95000000001</v>
      </c>
      <c r="T153" s="11">
        <f t="shared" si="116"/>
        <v>5482.7250000000004</v>
      </c>
      <c r="U153" s="135" t="s">
        <v>292</v>
      </c>
      <c r="V153" s="11">
        <f t="shared" si="117"/>
        <v>60309.975000000006</v>
      </c>
      <c r="W153" s="135" t="s">
        <v>323</v>
      </c>
    </row>
    <row r="154" spans="2:24" outlineLevel="1" x14ac:dyDescent="0.2">
      <c r="B154" s="166" t="s">
        <v>332</v>
      </c>
      <c r="C154" s="102">
        <v>5.0000000000000001E-3</v>
      </c>
      <c r="D154" s="10"/>
      <c r="E154" s="32"/>
      <c r="F154" s="32">
        <f>$C154*F$92</f>
        <v>2741.3625000000002</v>
      </c>
      <c r="G154" s="32">
        <f t="shared" si="124"/>
        <v>19189.537500000002</v>
      </c>
      <c r="H154" s="32">
        <f t="shared" si="124"/>
        <v>38379.075000000004</v>
      </c>
      <c r="I154" s="32">
        <f t="shared" si="124"/>
        <v>27413.625</v>
      </c>
      <c r="J154" s="32">
        <f t="shared" si="124"/>
        <v>32896.35</v>
      </c>
      <c r="K154" s="32">
        <f t="shared" si="124"/>
        <v>0</v>
      </c>
      <c r="L154" s="32">
        <f t="shared" si="124"/>
        <v>0</v>
      </c>
      <c r="M154" s="32">
        <f t="shared" si="124"/>
        <v>0</v>
      </c>
      <c r="N154" s="32">
        <f t="shared" si="124"/>
        <v>0</v>
      </c>
      <c r="O154" s="32">
        <f t="shared" si="124"/>
        <v>0</v>
      </c>
      <c r="P154" s="32">
        <f t="shared" si="124"/>
        <v>0</v>
      </c>
      <c r="Q154" s="32">
        <f t="shared" si="124"/>
        <v>0</v>
      </c>
      <c r="R154" s="12">
        <f>SUM(D154:P154)</f>
        <v>120619.95000000001</v>
      </c>
      <c r="T154" s="11">
        <f t="shared" si="116"/>
        <v>5482.7250000000004</v>
      </c>
      <c r="U154" s="135" t="s">
        <v>292</v>
      </c>
      <c r="V154" s="11">
        <f t="shared" si="117"/>
        <v>60309.975000000006</v>
      </c>
      <c r="W154" s="135" t="s">
        <v>323</v>
      </c>
    </row>
    <row r="155" spans="2:24" outlineLevel="1" x14ac:dyDescent="0.2">
      <c r="B155" s="171" t="s">
        <v>317</v>
      </c>
      <c r="C155" s="54">
        <v>0.05</v>
      </c>
      <c r="D155" s="22"/>
      <c r="E155" s="22">
        <f>SUM(E145:E154)*$C155</f>
        <v>712.5</v>
      </c>
      <c r="F155" s="22">
        <f>SUM(F145:F154)*$C155</f>
        <v>6740.4660625000006</v>
      </c>
      <c r="G155" s="22">
        <f t="shared" ref="G155" si="125">SUM(G145:G154)*$C155</f>
        <v>12452.5736875</v>
      </c>
      <c r="H155" s="22">
        <f t="shared" ref="H155" si="126">SUM(H145:H154)*$C155</f>
        <v>12538.197375000002</v>
      </c>
      <c r="I155" s="22">
        <f t="shared" ref="I155" si="127">SUM(I145:I154)*$C155</f>
        <v>13934.548125000001</v>
      </c>
      <c r="J155" s="22">
        <f t="shared" ref="J155" si="128">SUM(J145:J154)*$C155</f>
        <v>6827.897750000001</v>
      </c>
      <c r="K155" s="22">
        <f t="shared" ref="K155" si="129">SUM(K145:K154)*$C155</f>
        <v>0</v>
      </c>
      <c r="L155" s="22">
        <f t="shared" ref="L155" si="130">SUM(L145:L154)*$C155</f>
        <v>0</v>
      </c>
      <c r="M155" s="22">
        <f t="shared" ref="M155" si="131">SUM(M145:M154)*$C155</f>
        <v>0</v>
      </c>
      <c r="N155" s="22">
        <f t="shared" ref="N155" si="132">SUM(N145:N154)*$C155</f>
        <v>0</v>
      </c>
      <c r="O155" s="22">
        <f t="shared" ref="O155" si="133">SUM(O145:O154)*$C155</f>
        <v>0</v>
      </c>
      <c r="P155" s="22">
        <f t="shared" ref="P155" si="134">SUM(P145:P154)*$C155</f>
        <v>0</v>
      </c>
      <c r="Q155" s="22">
        <f t="shared" ref="Q155" si="135">SUM(Q145:Q154)*$C155</f>
        <v>0</v>
      </c>
      <c r="R155" s="21">
        <f>SUM(D155:Q155)</f>
        <v>53206.183000000005</v>
      </c>
      <c r="T155" s="11">
        <f t="shared" si="116"/>
        <v>2418.4628636363636</v>
      </c>
      <c r="U155" s="135" t="s">
        <v>292</v>
      </c>
      <c r="V155" s="11">
        <f t="shared" si="117"/>
        <v>26603.091500000002</v>
      </c>
      <c r="W155" s="135" t="s">
        <v>323</v>
      </c>
    </row>
    <row r="156" spans="2:24" x14ac:dyDescent="0.2">
      <c r="B156" s="49" t="str">
        <f>B144</f>
        <v>SOFT COSTS PROFESSIONALS: Duplex Small</v>
      </c>
      <c r="C156" s="167"/>
      <c r="D156" s="51"/>
      <c r="E156" s="51">
        <f t="shared" ref="E156:P156" si="136">SUM(E144:E155)</f>
        <v>14962.5</v>
      </c>
      <c r="F156" s="51">
        <f t="shared" si="136"/>
        <v>141549.7873125</v>
      </c>
      <c r="G156" s="51">
        <f t="shared" si="136"/>
        <v>261504.0474375</v>
      </c>
      <c r="H156" s="51">
        <f t="shared" si="136"/>
        <v>263302.144875</v>
      </c>
      <c r="I156" s="51">
        <f t="shared" si="136"/>
        <v>292625.510625</v>
      </c>
      <c r="J156" s="51">
        <f t="shared" si="136"/>
        <v>143385.85275000002</v>
      </c>
      <c r="K156" s="51">
        <f t="shared" si="136"/>
        <v>0</v>
      </c>
      <c r="L156" s="51">
        <f t="shared" si="136"/>
        <v>0</v>
      </c>
      <c r="M156" s="51">
        <f t="shared" si="136"/>
        <v>0</v>
      </c>
      <c r="N156" s="51">
        <f t="shared" si="136"/>
        <v>0</v>
      </c>
      <c r="O156" s="51">
        <f t="shared" si="136"/>
        <v>0</v>
      </c>
      <c r="P156" s="51">
        <f t="shared" si="136"/>
        <v>0</v>
      </c>
      <c r="Q156" s="51"/>
      <c r="R156" s="107">
        <f>SUM(D156:Q156)</f>
        <v>1117329.8430000001</v>
      </c>
      <c r="T156" s="134">
        <f t="shared" si="116"/>
        <v>50787.720136363641</v>
      </c>
      <c r="U156" s="135" t="s">
        <v>292</v>
      </c>
      <c r="V156" s="11">
        <f>R156/$V$144</f>
        <v>558664.92150000005</v>
      </c>
      <c r="W156" s="135" t="s">
        <v>323</v>
      </c>
    </row>
    <row r="157" spans="2:24" x14ac:dyDescent="0.2">
      <c r="B157" s="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106"/>
      <c r="T157" s="111" cm="1">
        <f t="array" ref="T157">R156/SUMPRODUCT(D9*F25:Q25*F$9:Q$9)</f>
        <v>1.935658158871726E-2</v>
      </c>
      <c r="U157" t="s">
        <v>283</v>
      </c>
    </row>
    <row r="158" spans="2:24" outlineLevel="1" x14ac:dyDescent="0.2">
      <c r="B158" s="81" t="s">
        <v>335</v>
      </c>
      <c r="R158" s="12"/>
      <c r="T158" s="111"/>
      <c r="V158">
        <v>1</v>
      </c>
      <c r="W158" t="s">
        <v>320</v>
      </c>
    </row>
    <row r="159" spans="2:24" outlineLevel="1" x14ac:dyDescent="0.2">
      <c r="B159" s="166" t="s">
        <v>322</v>
      </c>
      <c r="C159" s="65">
        <v>0.1</v>
      </c>
      <c r="D159" s="32"/>
      <c r="E159" s="32"/>
      <c r="F159" s="67">
        <f t="shared" ref="F159:G159" si="137">$C159*G$99</f>
        <v>5250</v>
      </c>
      <c r="G159" s="67">
        <f t="shared" si="137"/>
        <v>7000</v>
      </c>
      <c r="H159" s="67">
        <f>$C159*I$99</f>
        <v>1750</v>
      </c>
      <c r="I159" s="67">
        <f>$C159*J$99</f>
        <v>0</v>
      </c>
      <c r="J159" s="67">
        <f t="shared" ref="J159:P159" si="138">$C159*K$99</f>
        <v>0</v>
      </c>
      <c r="K159" s="67">
        <f t="shared" si="138"/>
        <v>0</v>
      </c>
      <c r="L159" s="67">
        <f t="shared" si="138"/>
        <v>0</v>
      </c>
      <c r="M159" s="67">
        <f t="shared" si="138"/>
        <v>0</v>
      </c>
      <c r="N159" s="67">
        <f t="shared" si="138"/>
        <v>0</v>
      </c>
      <c r="O159" s="67">
        <f t="shared" si="138"/>
        <v>0</v>
      </c>
      <c r="P159" s="67">
        <f t="shared" si="138"/>
        <v>0</v>
      </c>
      <c r="Q159" s="67"/>
      <c r="R159" s="12">
        <f>SUM(D159:Q159)</f>
        <v>14000</v>
      </c>
      <c r="T159" s="11">
        <f t="shared" ref="T159:T169" si="139">R159/$R$10</f>
        <v>1750</v>
      </c>
      <c r="U159" s="135" t="s">
        <v>292</v>
      </c>
      <c r="V159" s="11">
        <f t="shared" ref="V159:V168" si="140">R159/$V$158</f>
        <v>14000</v>
      </c>
      <c r="W159" s="135" t="s">
        <v>323</v>
      </c>
    </row>
    <row r="160" spans="2:24" outlineLevel="1" x14ac:dyDescent="0.2">
      <c r="B160" s="166" t="s">
        <v>324</v>
      </c>
      <c r="C160" s="65">
        <v>0.05</v>
      </c>
      <c r="D160" s="32"/>
      <c r="E160" s="32"/>
      <c r="F160" s="67">
        <f>$C160*H$101*0.5</f>
        <v>74250</v>
      </c>
      <c r="G160" s="67">
        <f>$C160*H$101</f>
        <v>148500</v>
      </c>
      <c r="H160" s="67">
        <f>$C160*I$101</f>
        <v>111375</v>
      </c>
      <c r="J160" s="67">
        <f t="shared" ref="J160:P160" si="141">$C160*J$101</f>
        <v>0</v>
      </c>
      <c r="K160" s="67">
        <f t="shared" si="141"/>
        <v>0</v>
      </c>
      <c r="L160" s="67">
        <f t="shared" si="141"/>
        <v>0</v>
      </c>
      <c r="M160" s="67">
        <f t="shared" si="141"/>
        <v>0</v>
      </c>
      <c r="N160" s="67">
        <f t="shared" si="141"/>
        <v>0</v>
      </c>
      <c r="O160" s="67">
        <f t="shared" si="141"/>
        <v>0</v>
      </c>
      <c r="P160" s="67">
        <f t="shared" si="141"/>
        <v>0</v>
      </c>
      <c r="Q160" s="67"/>
      <c r="R160" s="12">
        <f>SUM(D160:Q160)</f>
        <v>334125</v>
      </c>
      <c r="T160" s="11">
        <f t="shared" si="139"/>
        <v>41765.625</v>
      </c>
      <c r="U160" s="135" t="s">
        <v>292</v>
      </c>
      <c r="V160" s="11">
        <f t="shared" si="140"/>
        <v>334125</v>
      </c>
      <c r="W160" s="135" t="s">
        <v>323</v>
      </c>
    </row>
    <row r="161" spans="1:23" outlineLevel="1" x14ac:dyDescent="0.2">
      <c r="B161" s="166" t="s">
        <v>326</v>
      </c>
      <c r="C161" s="10">
        <v>5000</v>
      </c>
      <c r="D161" s="10"/>
      <c r="E161" s="32"/>
      <c r="F161" s="67">
        <f>SUM(F$10)*$C161</f>
        <v>0</v>
      </c>
      <c r="G161" s="67">
        <f t="shared" ref="G161:P161" si="142">SUM(G$10)*$C161</f>
        <v>20000</v>
      </c>
      <c r="H161" s="67">
        <f t="shared" si="142"/>
        <v>20000</v>
      </c>
      <c r="I161" s="67">
        <f>SUM(I$10)*$C161</f>
        <v>0</v>
      </c>
      <c r="J161" s="67">
        <f t="shared" si="142"/>
        <v>0</v>
      </c>
      <c r="K161" s="67">
        <f t="shared" si="142"/>
        <v>0</v>
      </c>
      <c r="L161" s="67">
        <f t="shared" si="142"/>
        <v>0</v>
      </c>
      <c r="M161" s="67">
        <f t="shared" si="142"/>
        <v>0</v>
      </c>
      <c r="N161" s="67">
        <f t="shared" si="142"/>
        <v>0</v>
      </c>
      <c r="O161" s="67">
        <f t="shared" si="142"/>
        <v>0</v>
      </c>
      <c r="P161" s="67">
        <f t="shared" si="142"/>
        <v>0</v>
      </c>
      <c r="Q161" s="67"/>
      <c r="R161" s="12">
        <f>SUM(D161:Q161)</f>
        <v>40000</v>
      </c>
      <c r="T161" s="11">
        <f t="shared" si="139"/>
        <v>5000</v>
      </c>
      <c r="U161" s="135" t="s">
        <v>292</v>
      </c>
      <c r="V161" s="11">
        <f t="shared" si="140"/>
        <v>40000</v>
      </c>
      <c r="W161" s="135" t="s">
        <v>323</v>
      </c>
    </row>
    <row r="162" spans="1:23" outlineLevel="1" x14ac:dyDescent="0.2">
      <c r="B162" s="166" t="s">
        <v>327</v>
      </c>
      <c r="C162" s="65">
        <v>0.1</v>
      </c>
      <c r="D162" s="32"/>
      <c r="E162" s="32"/>
      <c r="F162" s="67">
        <f>$C162*G$102</f>
        <v>0</v>
      </c>
      <c r="G162" s="67">
        <f>$C162*H$102</f>
        <v>6000</v>
      </c>
      <c r="H162" s="67">
        <f>$C162*$R102*0.5</f>
        <v>6000</v>
      </c>
      <c r="I162" s="67">
        <f>$C162*$R102*0.5</f>
        <v>6000</v>
      </c>
      <c r="J162" s="67"/>
      <c r="K162" s="67"/>
      <c r="L162" s="67"/>
      <c r="M162" s="67"/>
      <c r="N162" s="67"/>
      <c r="O162" s="67">
        <f t="shared" ref="O162:P162" si="143">$C162*P$102</f>
        <v>0</v>
      </c>
      <c r="P162" s="67">
        <f t="shared" si="143"/>
        <v>0</v>
      </c>
      <c r="Q162" s="67"/>
      <c r="R162" s="12">
        <f>SUM(D162:Q162)</f>
        <v>18000</v>
      </c>
      <c r="T162" s="11">
        <f t="shared" si="139"/>
        <v>2250</v>
      </c>
      <c r="U162" s="135" t="s">
        <v>292</v>
      </c>
      <c r="V162" s="11">
        <f t="shared" si="140"/>
        <v>18000</v>
      </c>
      <c r="W162" s="135" t="s">
        <v>323</v>
      </c>
    </row>
    <row r="163" spans="1:23" outlineLevel="1" x14ac:dyDescent="0.2">
      <c r="B163" s="166" t="s">
        <v>328</v>
      </c>
      <c r="C163" s="10">
        <v>1500</v>
      </c>
      <c r="D163" s="32"/>
      <c r="E163" s="32"/>
      <c r="F163" s="67">
        <f t="shared" ref="F163:H163" si="144">SUM(E$10)*$C163</f>
        <v>0</v>
      </c>
      <c r="G163" s="67">
        <f t="shared" si="144"/>
        <v>0</v>
      </c>
      <c r="H163" s="67">
        <f t="shared" si="144"/>
        <v>6000</v>
      </c>
      <c r="I163" s="67">
        <f>SUM(H$10)*$C163</f>
        <v>6000</v>
      </c>
      <c r="J163" s="67">
        <f>SUM(I$10)*$C163</f>
        <v>0</v>
      </c>
      <c r="K163" s="67">
        <f t="shared" ref="K163:P163" si="145">SUM(J$10)*$C163</f>
        <v>0</v>
      </c>
      <c r="L163" s="67">
        <f t="shared" si="145"/>
        <v>0</v>
      </c>
      <c r="M163" s="67">
        <f t="shared" si="145"/>
        <v>0</v>
      </c>
      <c r="N163" s="67">
        <f t="shared" si="145"/>
        <v>0</v>
      </c>
      <c r="O163" s="67">
        <f t="shared" si="145"/>
        <v>0</v>
      </c>
      <c r="P163" s="67">
        <f t="shared" si="145"/>
        <v>0</v>
      </c>
      <c r="Q163" s="67"/>
      <c r="R163" s="12">
        <f>SUM(D163:P163)</f>
        <v>12000</v>
      </c>
      <c r="T163" s="11">
        <f t="shared" si="139"/>
        <v>1500</v>
      </c>
      <c r="U163" s="135" t="s">
        <v>292</v>
      </c>
      <c r="V163" s="11">
        <f t="shared" si="140"/>
        <v>12000</v>
      </c>
      <c r="W163" s="135" t="s">
        <v>323</v>
      </c>
    </row>
    <row r="164" spans="1:23" outlineLevel="1" x14ac:dyDescent="0.2">
      <c r="B164" s="166" t="s">
        <v>329</v>
      </c>
      <c r="C164" s="64">
        <v>3.5</v>
      </c>
      <c r="D164" s="10"/>
      <c r="E164" s="12"/>
      <c r="F164" s="61">
        <f>IFERROR((SUMPRODUCT($D$10,G$10))*$C164,0)</f>
        <v>18900</v>
      </c>
      <c r="G164" s="61">
        <f>IFERROR((SUMPRODUCT($D$10,H$10))*$C164,0)</f>
        <v>18900</v>
      </c>
      <c r="H164" s="61">
        <f t="shared" ref="H164:P164" si="146">IFERROR((SUMPRODUCT($D$10,I$10))*$C164,0)</f>
        <v>0</v>
      </c>
      <c r="I164" s="61">
        <f t="shared" si="146"/>
        <v>0</v>
      </c>
      <c r="J164" s="61">
        <f t="shared" si="146"/>
        <v>0</v>
      </c>
      <c r="K164" s="61">
        <f t="shared" si="146"/>
        <v>0</v>
      </c>
      <c r="L164" s="61">
        <f t="shared" si="146"/>
        <v>0</v>
      </c>
      <c r="M164" s="61">
        <f t="shared" si="146"/>
        <v>0</v>
      </c>
      <c r="N164" s="61">
        <f t="shared" si="146"/>
        <v>0</v>
      </c>
      <c r="O164" s="61">
        <f t="shared" si="146"/>
        <v>0</v>
      </c>
      <c r="P164" s="61">
        <f t="shared" si="146"/>
        <v>0</v>
      </c>
      <c r="Q164" s="61"/>
      <c r="R164" s="12">
        <f>SUM(D164:P164)</f>
        <v>37800</v>
      </c>
      <c r="T164" s="11">
        <f t="shared" si="139"/>
        <v>4725</v>
      </c>
      <c r="U164" s="135" t="s">
        <v>292</v>
      </c>
      <c r="V164" s="11">
        <f t="shared" si="140"/>
        <v>37800</v>
      </c>
      <c r="W164" s="135" t="s">
        <v>323</v>
      </c>
    </row>
    <row r="165" spans="1:23" outlineLevel="1" x14ac:dyDescent="0.2">
      <c r="B165" s="166" t="s">
        <v>330</v>
      </c>
      <c r="C165" s="69">
        <v>7.0000000000000001E-3</v>
      </c>
      <c r="D165" s="10"/>
      <c r="E165" s="32"/>
      <c r="F165" s="67">
        <f t="shared" ref="F165:P165" si="147">$C165*G$101</f>
        <v>5197.5</v>
      </c>
      <c r="G165" s="67">
        <f t="shared" si="147"/>
        <v>20790</v>
      </c>
      <c r="H165" s="67">
        <f t="shared" si="147"/>
        <v>15592.5</v>
      </c>
      <c r="I165" s="67">
        <f t="shared" si="147"/>
        <v>0</v>
      </c>
      <c r="J165" s="67">
        <f t="shared" si="147"/>
        <v>0</v>
      </c>
      <c r="K165" s="67">
        <f t="shared" si="147"/>
        <v>0</v>
      </c>
      <c r="L165" s="67">
        <f t="shared" si="147"/>
        <v>0</v>
      </c>
      <c r="M165" s="67">
        <f t="shared" si="147"/>
        <v>0</v>
      </c>
      <c r="N165" s="67">
        <f t="shared" si="147"/>
        <v>0</v>
      </c>
      <c r="O165" s="67">
        <f t="shared" si="147"/>
        <v>0</v>
      </c>
      <c r="P165" s="67">
        <f t="shared" si="147"/>
        <v>0</v>
      </c>
      <c r="Q165" s="67"/>
      <c r="R165" s="12">
        <f>SUM(D165:P165)</f>
        <v>41580</v>
      </c>
      <c r="T165" s="11">
        <f t="shared" si="139"/>
        <v>5197.5</v>
      </c>
      <c r="U165" s="135" t="s">
        <v>292</v>
      </c>
      <c r="V165" s="11">
        <f t="shared" si="140"/>
        <v>41580</v>
      </c>
      <c r="W165" s="135" t="s">
        <v>323</v>
      </c>
    </row>
    <row r="166" spans="1:23" outlineLevel="1" x14ac:dyDescent="0.2">
      <c r="B166" s="166" t="s">
        <v>331</v>
      </c>
      <c r="C166" s="69">
        <v>5.0000000000000001E-3</v>
      </c>
      <c r="D166" s="10"/>
      <c r="E166" s="32"/>
      <c r="F166" s="67">
        <f t="shared" ref="F166:F167" si="148">$C166*F$101</f>
        <v>0</v>
      </c>
      <c r="G166" s="67">
        <f>$C166*H$101</f>
        <v>14850</v>
      </c>
      <c r="H166" s="67">
        <f t="shared" ref="H166:P166" si="149">$C166*I$101</f>
        <v>11137.5</v>
      </c>
      <c r="I166" s="67">
        <f t="shared" si="149"/>
        <v>0</v>
      </c>
      <c r="J166" s="67">
        <f t="shared" si="149"/>
        <v>0</v>
      </c>
      <c r="K166" s="67">
        <f t="shared" si="149"/>
        <v>0</v>
      </c>
      <c r="L166" s="67">
        <f t="shared" si="149"/>
        <v>0</v>
      </c>
      <c r="M166" s="67">
        <f t="shared" si="149"/>
        <v>0</v>
      </c>
      <c r="N166" s="67">
        <f t="shared" si="149"/>
        <v>0</v>
      </c>
      <c r="O166" s="67">
        <f t="shared" si="149"/>
        <v>0</v>
      </c>
      <c r="P166" s="67">
        <f t="shared" si="149"/>
        <v>0</v>
      </c>
      <c r="Q166" s="67"/>
      <c r="R166" s="12">
        <f>SUM(D166:P166)</f>
        <v>25987.5</v>
      </c>
      <c r="T166" s="11">
        <f t="shared" si="139"/>
        <v>3248.4375</v>
      </c>
      <c r="U166" s="135" t="s">
        <v>292</v>
      </c>
      <c r="V166" s="11">
        <f t="shared" si="140"/>
        <v>25987.5</v>
      </c>
      <c r="W166" s="135" t="s">
        <v>323</v>
      </c>
    </row>
    <row r="167" spans="1:23" outlineLevel="1" x14ac:dyDescent="0.2">
      <c r="B167" s="166" t="s">
        <v>332</v>
      </c>
      <c r="C167" s="69">
        <v>5.0000000000000001E-3</v>
      </c>
      <c r="D167" s="10"/>
      <c r="E167" s="32"/>
      <c r="F167" s="67">
        <f t="shared" si="148"/>
        <v>0</v>
      </c>
      <c r="G167" s="67">
        <f>$C167*H$101</f>
        <v>14850</v>
      </c>
      <c r="H167" s="67">
        <f t="shared" ref="H167:P167" si="150">$C167*I$101</f>
        <v>11137.5</v>
      </c>
      <c r="I167" s="67">
        <f t="shared" si="150"/>
        <v>0</v>
      </c>
      <c r="J167" s="67">
        <f t="shared" si="150"/>
        <v>0</v>
      </c>
      <c r="K167" s="67">
        <f t="shared" si="150"/>
        <v>0</v>
      </c>
      <c r="L167" s="67">
        <f t="shared" si="150"/>
        <v>0</v>
      </c>
      <c r="M167" s="67">
        <f t="shared" si="150"/>
        <v>0</v>
      </c>
      <c r="N167" s="67">
        <f t="shared" si="150"/>
        <v>0</v>
      </c>
      <c r="O167" s="67">
        <f t="shared" si="150"/>
        <v>0</v>
      </c>
      <c r="P167" s="67">
        <f t="shared" si="150"/>
        <v>0</v>
      </c>
      <c r="Q167" s="67"/>
      <c r="R167" s="12">
        <f>SUM(D167:P167)</f>
        <v>25987.5</v>
      </c>
      <c r="T167" s="11">
        <f t="shared" si="139"/>
        <v>3248.4375</v>
      </c>
      <c r="U167" s="135" t="s">
        <v>292</v>
      </c>
      <c r="V167" s="11">
        <f t="shared" si="140"/>
        <v>25987.5</v>
      </c>
      <c r="W167" s="135" t="s">
        <v>323</v>
      </c>
    </row>
    <row r="168" spans="1:23" outlineLevel="1" x14ac:dyDescent="0.2">
      <c r="B168" s="171" t="s">
        <v>317</v>
      </c>
      <c r="C168" s="54">
        <v>0.05</v>
      </c>
      <c r="D168" s="22"/>
      <c r="E168" s="22">
        <f t="shared" ref="E168:Q168" si="151">SUM(E159:E167)*$C168</f>
        <v>0</v>
      </c>
      <c r="F168" s="22">
        <f t="shared" si="151"/>
        <v>5179.875</v>
      </c>
      <c r="G168" s="22">
        <f>SUM(G159:G167)*$C168</f>
        <v>12544.5</v>
      </c>
      <c r="H168" s="22">
        <f t="shared" si="151"/>
        <v>9149.625</v>
      </c>
      <c r="I168" s="22">
        <f t="shared" si="151"/>
        <v>600</v>
      </c>
      <c r="J168" s="22">
        <f t="shared" si="151"/>
        <v>0</v>
      </c>
      <c r="K168" s="22">
        <f t="shared" si="151"/>
        <v>0</v>
      </c>
      <c r="L168" s="22">
        <f t="shared" si="151"/>
        <v>0</v>
      </c>
      <c r="M168" s="22">
        <f t="shared" si="151"/>
        <v>0</v>
      </c>
      <c r="N168" s="22">
        <f t="shared" si="151"/>
        <v>0</v>
      </c>
      <c r="O168" s="22">
        <f t="shared" si="151"/>
        <v>0</v>
      </c>
      <c r="P168" s="22">
        <f t="shared" si="151"/>
        <v>0</v>
      </c>
      <c r="Q168" s="22">
        <f t="shared" si="151"/>
        <v>0</v>
      </c>
      <c r="R168" s="21">
        <f>SUM(D168:Q168)</f>
        <v>27474</v>
      </c>
      <c r="T168" s="11">
        <f t="shared" si="139"/>
        <v>3434.25</v>
      </c>
      <c r="U168" s="135" t="s">
        <v>292</v>
      </c>
      <c r="V168" s="11">
        <f t="shared" si="140"/>
        <v>27474</v>
      </c>
      <c r="W168" s="135" t="s">
        <v>323</v>
      </c>
    </row>
    <row r="169" spans="1:23" x14ac:dyDescent="0.2">
      <c r="B169" s="49" t="str">
        <f>B158</f>
        <v>SOFT COSTS PROFESSIONALS: Multi-Unit</v>
      </c>
      <c r="C169" s="167"/>
      <c r="D169" s="51"/>
      <c r="E169" s="51">
        <f t="shared" ref="E169:P169" si="152">SUM(E158:E168)</f>
        <v>0</v>
      </c>
      <c r="F169" s="51">
        <f t="shared" si="152"/>
        <v>108777.375</v>
      </c>
      <c r="G169" s="51">
        <f t="shared" si="152"/>
        <v>263434.5</v>
      </c>
      <c r="H169" s="51">
        <f t="shared" si="152"/>
        <v>192142.125</v>
      </c>
      <c r="I169" s="51">
        <f t="shared" si="152"/>
        <v>12600</v>
      </c>
      <c r="J169" s="51">
        <f t="shared" si="152"/>
        <v>0</v>
      </c>
      <c r="K169" s="51">
        <f t="shared" si="152"/>
        <v>0</v>
      </c>
      <c r="L169" s="51">
        <f t="shared" si="152"/>
        <v>0</v>
      </c>
      <c r="M169" s="51">
        <f t="shared" si="152"/>
        <v>0</v>
      </c>
      <c r="N169" s="51">
        <f t="shared" si="152"/>
        <v>0</v>
      </c>
      <c r="O169" s="51">
        <f t="shared" si="152"/>
        <v>0</v>
      </c>
      <c r="P169" s="51">
        <f t="shared" si="152"/>
        <v>0</v>
      </c>
      <c r="Q169" s="51"/>
      <c r="R169" s="107">
        <f>SUM(D169:Q169)</f>
        <v>576954</v>
      </c>
      <c r="T169" s="134">
        <f t="shared" si="139"/>
        <v>72119.25</v>
      </c>
      <c r="U169" s="135" t="s">
        <v>292</v>
      </c>
      <c r="V169" s="11">
        <f>R169/$V$158</f>
        <v>576954</v>
      </c>
      <c r="W169" s="135" t="s">
        <v>323</v>
      </c>
    </row>
    <row r="170" spans="1:23" x14ac:dyDescent="0.2">
      <c r="T170" s="111" cm="1">
        <f t="array" ref="T170">R169/SUMPRODUCT(D10*F26:Q26*F$10:Q$10)</f>
        <v>3.6842528735632186E-2</v>
      </c>
      <c r="U170" t="s">
        <v>283</v>
      </c>
      <c r="V170" s="11"/>
      <c r="W170" s="135"/>
    </row>
    <row r="171" spans="1:23" outlineLevel="1" x14ac:dyDescent="0.2">
      <c r="A171" s="227" t="s">
        <v>336</v>
      </c>
      <c r="B171" s="81" t="s">
        <v>337</v>
      </c>
      <c r="T171" s="111"/>
    </row>
    <row r="172" spans="1:23" outlineLevel="1" x14ac:dyDescent="0.2">
      <c r="B172" s="166" t="s">
        <v>47</v>
      </c>
      <c r="C172" s="40">
        <f>'Proforma Resi'!C268</f>
        <v>0.05</v>
      </c>
      <c r="D172" s="43"/>
      <c r="E172" s="11">
        <f t="shared" ref="E172:G172" si="153">(E42+E44)*$C$172</f>
        <v>0</v>
      </c>
      <c r="F172" s="11">
        <f t="shared" si="153"/>
        <v>0</v>
      </c>
      <c r="G172" s="11">
        <f t="shared" si="153"/>
        <v>608337.5</v>
      </c>
      <c r="H172" s="11">
        <f>(H42+H44)*$C$172</f>
        <v>2023551.5625</v>
      </c>
      <c r="I172" s="11">
        <f t="shared" ref="I172:Q172" si="154">(I42+I44)*$C$172</f>
        <v>2049114.0546875</v>
      </c>
      <c r="J172" s="11">
        <f t="shared" si="154"/>
        <v>1921941.9666015627</v>
      </c>
      <c r="K172" s="11">
        <f t="shared" si="154"/>
        <v>0</v>
      </c>
      <c r="L172" s="11">
        <f t="shared" si="154"/>
        <v>0</v>
      </c>
      <c r="M172" s="11">
        <f t="shared" si="154"/>
        <v>0</v>
      </c>
      <c r="N172" s="11">
        <f t="shared" si="154"/>
        <v>0</v>
      </c>
      <c r="O172" s="11">
        <f t="shared" si="154"/>
        <v>0</v>
      </c>
      <c r="P172" s="11">
        <f t="shared" si="154"/>
        <v>0</v>
      </c>
      <c r="Q172" s="11">
        <f t="shared" si="154"/>
        <v>0</v>
      </c>
      <c r="R172" s="12">
        <f>SUM(E172:Q172)</f>
        <v>6602945.0837890627</v>
      </c>
    </row>
    <row r="173" spans="1:23" outlineLevel="1" x14ac:dyDescent="0.2">
      <c r="B173" s="166" t="s">
        <v>338</v>
      </c>
      <c r="C173" s="10">
        <v>0</v>
      </c>
      <c r="D173" s="10"/>
      <c r="E173" s="11"/>
      <c r="F173" s="11"/>
      <c r="G173" s="11"/>
      <c r="H173" s="11"/>
      <c r="I173" s="11">
        <f t="shared" ref="I173:P173" si="155">$C$173*I20</f>
        <v>0</v>
      </c>
      <c r="J173" s="11">
        <f t="shared" si="155"/>
        <v>0</v>
      </c>
      <c r="K173" s="11">
        <f t="shared" si="155"/>
        <v>0</v>
      </c>
      <c r="L173" s="11">
        <f t="shared" si="155"/>
        <v>0</v>
      </c>
      <c r="M173" s="11">
        <f t="shared" si="155"/>
        <v>0</v>
      </c>
      <c r="N173" s="11">
        <f t="shared" si="155"/>
        <v>0</v>
      </c>
      <c r="O173" s="11">
        <f t="shared" si="155"/>
        <v>0</v>
      </c>
      <c r="P173" s="11">
        <f t="shared" si="155"/>
        <v>0</v>
      </c>
      <c r="Q173" s="11"/>
      <c r="R173" s="12">
        <f>SUM(E173:P173)</f>
        <v>0</v>
      </c>
    </row>
    <row r="174" spans="1:23" outlineLevel="1" x14ac:dyDescent="0.2">
      <c r="B174" s="166" t="s">
        <v>339</v>
      </c>
      <c r="C174" s="10">
        <v>75000</v>
      </c>
      <c r="D174" s="88" t="s">
        <v>340</v>
      </c>
      <c r="E174" s="11"/>
      <c r="F174" s="11">
        <f>$C$174*3</f>
        <v>225000</v>
      </c>
      <c r="G174" s="11">
        <f>$C$174*2</f>
        <v>150000</v>
      </c>
      <c r="H174" s="11">
        <f>$C$174</f>
        <v>75000</v>
      </c>
      <c r="I174" s="11">
        <f>$C$174</f>
        <v>75000</v>
      </c>
      <c r="J174" s="11">
        <f>$C$174</f>
        <v>75000</v>
      </c>
      <c r="K174" s="11"/>
      <c r="L174" s="11"/>
      <c r="M174" s="11"/>
      <c r="N174" s="11"/>
      <c r="O174" s="11"/>
      <c r="P174" s="11"/>
      <c r="Q174" s="11"/>
      <c r="R174" s="12">
        <f>SUM(E174:Q174)</f>
        <v>600000</v>
      </c>
    </row>
    <row r="175" spans="1:23" outlineLevel="1" x14ac:dyDescent="0.2">
      <c r="B175" s="171" t="s">
        <v>341</v>
      </c>
      <c r="C175" s="225"/>
      <c r="D175" s="225"/>
      <c r="E175" s="225"/>
      <c r="F175" s="225"/>
      <c r="G175" s="225"/>
      <c r="H175" s="225"/>
      <c r="I175" s="225"/>
      <c r="J175" s="21"/>
      <c r="K175" s="21"/>
      <c r="L175" s="225"/>
      <c r="M175" s="225"/>
      <c r="N175" s="22">
        <f>J175/-5</f>
        <v>0</v>
      </c>
      <c r="O175" s="22"/>
      <c r="P175" s="225"/>
      <c r="Q175" s="225"/>
      <c r="R175" s="21">
        <f>SUM(E175:P175)</f>
        <v>0</v>
      </c>
      <c r="S175" s="11"/>
    </row>
    <row r="176" spans="1:23" x14ac:dyDescent="0.2">
      <c r="A176" s="227"/>
      <c r="B176" s="49" t="str">
        <f>B171</f>
        <v>SOFT COSTS - SALES</v>
      </c>
      <c r="C176" s="167"/>
      <c r="D176" s="167"/>
      <c r="E176" s="52">
        <f>SUM(E172:E175)</f>
        <v>0</v>
      </c>
      <c r="F176" s="52">
        <f t="shared" ref="F176:Q176" si="156">SUM(F172:F175)</f>
        <v>225000</v>
      </c>
      <c r="G176" s="52">
        <f t="shared" si="156"/>
        <v>758337.5</v>
      </c>
      <c r="H176" s="52">
        <f t="shared" si="156"/>
        <v>2098551.5625</v>
      </c>
      <c r="I176" s="52">
        <f t="shared" si="156"/>
        <v>2124114.0546875</v>
      </c>
      <c r="J176" s="52">
        <f t="shared" si="156"/>
        <v>1996941.9666015627</v>
      </c>
      <c r="K176" s="52">
        <f t="shared" si="156"/>
        <v>0</v>
      </c>
      <c r="L176" s="52">
        <f t="shared" si="156"/>
        <v>0</v>
      </c>
      <c r="M176" s="52">
        <f t="shared" si="156"/>
        <v>0</v>
      </c>
      <c r="N176" s="52">
        <f>SUM(N172:N175)</f>
        <v>0</v>
      </c>
      <c r="O176" s="52">
        <f t="shared" si="156"/>
        <v>0</v>
      </c>
      <c r="P176" s="52">
        <f t="shared" si="156"/>
        <v>0</v>
      </c>
      <c r="Q176" s="52">
        <f t="shared" si="156"/>
        <v>0</v>
      </c>
      <c r="R176" s="52">
        <f>SUM(E176:Q176)</f>
        <v>7202945.0837890627</v>
      </c>
      <c r="T176" s="111">
        <f>R176/$T$46</f>
        <v>5.454342715550569E-2</v>
      </c>
      <c r="U176" t="s">
        <v>283</v>
      </c>
    </row>
    <row r="178" spans="1:22" outlineLevel="1" x14ac:dyDescent="0.2">
      <c r="B178" s="81" t="s">
        <v>342</v>
      </c>
    </row>
    <row r="179" spans="1:22" outlineLevel="1" x14ac:dyDescent="0.2">
      <c r="B179" s="166" t="s">
        <v>343</v>
      </c>
      <c r="C179" s="417">
        <f>'Proforma Resi'!C269</f>
        <v>256</v>
      </c>
      <c r="D179" s="68" t="s">
        <v>344</v>
      </c>
      <c r="E179" s="60"/>
      <c r="F179" s="12">
        <f>$C$179*($C$20-SUM(E20:F20))</f>
        <v>11008</v>
      </c>
      <c r="G179" s="12">
        <f>$C$179*($C$20-SUM(F20:G20))</f>
        <v>9984</v>
      </c>
      <c r="H179" s="12">
        <f>$C$179*($C$20-SUM(F20:H20))</f>
        <v>6144</v>
      </c>
      <c r="I179" s="12">
        <f>$C$179*($C$20-SUM(F20:I20))</f>
        <v>2816</v>
      </c>
      <c r="J179" s="12">
        <f>$C$179*($C$20-SUM(F20:J20))</f>
        <v>0</v>
      </c>
      <c r="K179" s="12">
        <f>$C$179*($C$20-SUM(G20:K20))</f>
        <v>0</v>
      </c>
      <c r="L179" s="12">
        <f>$C$179*($C$20-SUM(G20:L20))</f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f>SUM(E179:Q179)</f>
        <v>29952</v>
      </c>
    </row>
    <row r="180" spans="1:22" outlineLevel="1" x14ac:dyDescent="0.2">
      <c r="B180" s="171" t="s">
        <v>345</v>
      </c>
      <c r="C180" s="58">
        <v>5.4999999999999997E-3</v>
      </c>
      <c r="D180" s="58"/>
      <c r="E180" s="21">
        <f t="shared" ref="E180:L180" si="157">$C$180*(E72+E80)</f>
        <v>0</v>
      </c>
      <c r="F180" s="21">
        <f t="shared" si="157"/>
        <v>4471.1439609374993</v>
      </c>
      <c r="G180" s="21">
        <f t="shared" si="157"/>
        <v>19812.865174609375</v>
      </c>
      <c r="H180" s="21">
        <f t="shared" si="157"/>
        <v>26141.867227480467</v>
      </c>
      <c r="I180" s="21">
        <f t="shared" si="157"/>
        <v>52329.672970749016</v>
      </c>
      <c r="J180" s="21">
        <f t="shared" si="157"/>
        <v>23867.676437599948</v>
      </c>
      <c r="K180" s="21">
        <f t="shared" si="157"/>
        <v>0</v>
      </c>
      <c r="L180" s="21">
        <f t="shared" si="157"/>
        <v>0</v>
      </c>
      <c r="M180" s="21">
        <f>$C$180*M72</f>
        <v>0</v>
      </c>
      <c r="N180" s="21">
        <f>$C$180*N72</f>
        <v>0</v>
      </c>
      <c r="O180" s="21">
        <f>$C$180*O72</f>
        <v>0</v>
      </c>
      <c r="P180" s="21">
        <f>$C$180*P72</f>
        <v>0</v>
      </c>
      <c r="Q180" s="21">
        <f>$C$180*Q72</f>
        <v>0</v>
      </c>
      <c r="R180" s="21">
        <f>SUM(E180:Q180)</f>
        <v>126623.22577137631</v>
      </c>
    </row>
    <row r="181" spans="1:22" x14ac:dyDescent="0.2">
      <c r="B181" s="49" t="s">
        <v>342</v>
      </c>
      <c r="C181" s="167"/>
      <c r="D181" s="167"/>
      <c r="E181" s="52">
        <f t="shared" ref="E181:Q181" si="158">SUM(E179:E180)</f>
        <v>0</v>
      </c>
      <c r="F181" s="52">
        <f t="shared" si="158"/>
        <v>15479.143960937499</v>
      </c>
      <c r="G181" s="52">
        <f t="shared" si="158"/>
        <v>29796.865174609375</v>
      </c>
      <c r="H181" s="52">
        <f t="shared" si="158"/>
        <v>32285.867227480467</v>
      </c>
      <c r="I181" s="52">
        <f t="shared" si="158"/>
        <v>55145.672970749016</v>
      </c>
      <c r="J181" s="52">
        <f t="shared" si="158"/>
        <v>23867.676437599948</v>
      </c>
      <c r="K181" s="52">
        <f t="shared" si="158"/>
        <v>0</v>
      </c>
      <c r="L181" s="52">
        <f t="shared" si="158"/>
        <v>0</v>
      </c>
      <c r="M181" s="52">
        <f t="shared" si="158"/>
        <v>0</v>
      </c>
      <c r="N181" s="52">
        <f t="shared" si="158"/>
        <v>0</v>
      </c>
      <c r="O181" s="52">
        <f t="shared" si="158"/>
        <v>0</v>
      </c>
      <c r="P181" s="52">
        <f t="shared" si="158"/>
        <v>0</v>
      </c>
      <c r="Q181" s="52">
        <f t="shared" si="158"/>
        <v>0</v>
      </c>
      <c r="R181" s="52">
        <f>SUM(E181:Q181)</f>
        <v>156575.22577137628</v>
      </c>
      <c r="T181" s="111">
        <f>R181/$T$46</f>
        <v>1.185646887748508E-3</v>
      </c>
      <c r="U181" t="s">
        <v>283</v>
      </c>
    </row>
    <row r="183" spans="1:22" outlineLevel="1" x14ac:dyDescent="0.2">
      <c r="A183" s="227" t="s">
        <v>346</v>
      </c>
      <c r="B183" s="81" t="s">
        <v>347</v>
      </c>
    </row>
    <row r="184" spans="1:22" outlineLevel="1" x14ac:dyDescent="0.2">
      <c r="B184" s="166" t="s">
        <v>348</v>
      </c>
      <c r="C184" s="46">
        <v>22800</v>
      </c>
      <c r="D184" s="46"/>
      <c r="E184" s="47">
        <f>E11*$C$184</f>
        <v>0</v>
      </c>
      <c r="F184" s="47">
        <f t="shared" ref="F184:Q184" si="159">F11*$C$184</f>
        <v>91200</v>
      </c>
      <c r="G184" s="47">
        <f t="shared" si="159"/>
        <v>342000</v>
      </c>
      <c r="H184" s="47">
        <f t="shared" si="159"/>
        <v>296400</v>
      </c>
      <c r="I184" s="47">
        <f t="shared" si="159"/>
        <v>250800</v>
      </c>
      <c r="J184" s="47">
        <f t="shared" si="159"/>
        <v>0</v>
      </c>
      <c r="K184" s="47">
        <f t="shared" si="159"/>
        <v>0</v>
      </c>
      <c r="L184" s="47">
        <f t="shared" si="159"/>
        <v>0</v>
      </c>
      <c r="M184" s="47">
        <f t="shared" si="159"/>
        <v>0</v>
      </c>
      <c r="N184" s="47">
        <f t="shared" si="159"/>
        <v>0</v>
      </c>
      <c r="O184" s="47">
        <f t="shared" si="159"/>
        <v>0</v>
      </c>
      <c r="P184" s="47">
        <f t="shared" si="159"/>
        <v>0</v>
      </c>
      <c r="Q184" s="47">
        <f t="shared" si="159"/>
        <v>0</v>
      </c>
      <c r="R184" s="47">
        <f>SUM(E184:Q184)</f>
        <v>980400</v>
      </c>
    </row>
    <row r="185" spans="1:22" outlineLevel="1" x14ac:dyDescent="0.2">
      <c r="B185" s="166" t="s">
        <v>349</v>
      </c>
      <c r="C185" s="68">
        <v>30000</v>
      </c>
      <c r="D185" s="68"/>
      <c r="E185" s="47">
        <v>0</v>
      </c>
      <c r="F185" s="47">
        <f>$C$185</f>
        <v>30000</v>
      </c>
      <c r="G185" s="47"/>
      <c r="H185" s="47"/>
      <c r="I185" s="47">
        <f>$C$185</f>
        <v>30000</v>
      </c>
      <c r="J185" s="47"/>
      <c r="K185" s="47"/>
      <c r="L185" s="47"/>
      <c r="M185" s="47"/>
      <c r="N185" s="47"/>
      <c r="O185" s="47"/>
      <c r="P185" s="47"/>
      <c r="Q185" s="47"/>
      <c r="R185" s="47">
        <f>SUM(F185:Q185)</f>
        <v>60000</v>
      </c>
    </row>
    <row r="186" spans="1:22" outlineLevel="1" x14ac:dyDescent="0.2">
      <c r="B186" s="166" t="s">
        <v>350</v>
      </c>
      <c r="C186" s="68">
        <v>25000</v>
      </c>
      <c r="D186" s="68"/>
      <c r="E186" s="47">
        <f t="shared" ref="E186:Q186" si="160">$C$186*E11</f>
        <v>0</v>
      </c>
      <c r="F186" s="47">
        <f t="shared" si="160"/>
        <v>100000</v>
      </c>
      <c r="G186" s="47">
        <f t="shared" si="160"/>
        <v>375000</v>
      </c>
      <c r="H186" s="47">
        <f t="shared" si="160"/>
        <v>325000</v>
      </c>
      <c r="I186" s="47">
        <f t="shared" si="160"/>
        <v>275000</v>
      </c>
      <c r="J186" s="47">
        <f t="shared" si="160"/>
        <v>0</v>
      </c>
      <c r="K186" s="47">
        <f t="shared" si="160"/>
        <v>0</v>
      </c>
      <c r="L186" s="47">
        <f t="shared" si="160"/>
        <v>0</v>
      </c>
      <c r="M186" s="47">
        <f t="shared" si="160"/>
        <v>0</v>
      </c>
      <c r="N186" s="47">
        <f t="shared" si="160"/>
        <v>0</v>
      </c>
      <c r="O186" s="47">
        <f t="shared" si="160"/>
        <v>0</v>
      </c>
      <c r="P186" s="47">
        <f t="shared" si="160"/>
        <v>0</v>
      </c>
      <c r="Q186" s="47">
        <f t="shared" si="160"/>
        <v>0</v>
      </c>
      <c r="R186" s="47">
        <f>SUM(E186:Q186)</f>
        <v>1075000</v>
      </c>
    </row>
    <row r="187" spans="1:22" outlineLevel="1" x14ac:dyDescent="0.2">
      <c r="B187" s="171" t="s">
        <v>351</v>
      </c>
      <c r="C187" s="27">
        <v>0</v>
      </c>
      <c r="D187" s="27"/>
      <c r="E187" s="21"/>
      <c r="F187" s="21">
        <f>C187</f>
        <v>0</v>
      </c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>
        <f>SUM(E187:Q187)</f>
        <v>0</v>
      </c>
    </row>
    <row r="188" spans="1:22" x14ac:dyDescent="0.2">
      <c r="A188" s="227"/>
      <c r="B188" s="49" t="s">
        <v>347</v>
      </c>
      <c r="C188" s="57"/>
      <c r="D188" s="57"/>
      <c r="E188" s="52">
        <f t="shared" ref="E188:Q188" si="161">SUM(E184:E187)</f>
        <v>0</v>
      </c>
      <c r="F188" s="52">
        <f t="shared" si="161"/>
        <v>221200</v>
      </c>
      <c r="G188" s="52">
        <f t="shared" si="161"/>
        <v>717000</v>
      </c>
      <c r="H188" s="52">
        <f t="shared" si="161"/>
        <v>621400</v>
      </c>
      <c r="I188" s="52">
        <f t="shared" si="161"/>
        <v>555800</v>
      </c>
      <c r="J188" s="52">
        <f t="shared" si="161"/>
        <v>0</v>
      </c>
      <c r="K188" s="52">
        <f t="shared" si="161"/>
        <v>0</v>
      </c>
      <c r="L188" s="52">
        <f t="shared" si="161"/>
        <v>0</v>
      </c>
      <c r="M188" s="52">
        <f t="shared" si="161"/>
        <v>0</v>
      </c>
      <c r="N188" s="52">
        <f t="shared" si="161"/>
        <v>0</v>
      </c>
      <c r="O188" s="52">
        <f t="shared" si="161"/>
        <v>0</v>
      </c>
      <c r="P188" s="52">
        <f t="shared" si="161"/>
        <v>0</v>
      </c>
      <c r="Q188" s="52">
        <f t="shared" si="161"/>
        <v>0</v>
      </c>
      <c r="R188" s="52">
        <f>SUM(E188:Q188)</f>
        <v>2115400</v>
      </c>
      <c r="T188" s="111">
        <f>R188/$T$46</f>
        <v>1.601860967459455E-2</v>
      </c>
      <c r="U188" t="s">
        <v>283</v>
      </c>
    </row>
    <row r="189" spans="1:22" x14ac:dyDescent="0.2">
      <c r="M189" s="258" t="s">
        <v>352</v>
      </c>
      <c r="Q189" s="258"/>
      <c r="R189" s="259" t="e">
        <f>R58+R64+R72+R80+R88+R96+R105+R128+R142+R169+R156+R174+R181+R188</f>
        <v>#REF!</v>
      </c>
    </row>
    <row r="190" spans="1:22" outlineLevel="1" x14ac:dyDescent="0.2">
      <c r="A190" s="227" t="s">
        <v>353</v>
      </c>
      <c r="B190" s="81" t="s">
        <v>354</v>
      </c>
      <c r="E190" s="11"/>
      <c r="F190" s="11"/>
      <c r="G190" s="11"/>
      <c r="H190" s="11"/>
      <c r="I190" s="11"/>
      <c r="J190" s="11"/>
      <c r="K190" s="11"/>
      <c r="L190" s="11"/>
    </row>
    <row r="191" spans="1:22" outlineLevel="1" x14ac:dyDescent="0.2">
      <c r="B191" s="166" t="s">
        <v>355</v>
      </c>
      <c r="C191" s="79">
        <v>0.05</v>
      </c>
      <c r="D191" s="260" t="e">
        <f>+R189*C191</f>
        <v>#REF!</v>
      </c>
      <c r="E191" s="11"/>
      <c r="F191" s="11" t="e">
        <f>$D$191/5</f>
        <v>#REF!</v>
      </c>
      <c r="G191" s="11" t="e">
        <f>$D$191/5</f>
        <v>#REF!</v>
      </c>
      <c r="H191" s="11" t="e">
        <f>$D$191/5</f>
        <v>#REF!</v>
      </c>
      <c r="I191" s="11" t="e">
        <f>$D$191/5</f>
        <v>#REF!</v>
      </c>
      <c r="J191" s="11" t="e">
        <f>$D$191/5</f>
        <v>#REF!</v>
      </c>
      <c r="K191" s="11"/>
      <c r="L191" s="11"/>
      <c r="M191" s="11"/>
      <c r="N191" s="11">
        <f>(N72+N114+N176+N181+N188)*$C$191</f>
        <v>0</v>
      </c>
      <c r="O191" s="11">
        <f>(O72+O114+O176+O181+O188)*$C$191</f>
        <v>0</v>
      </c>
      <c r="P191" s="11">
        <f>(P72+P114+P176+P181+P188)*$C$191</f>
        <v>0</v>
      </c>
      <c r="Q191" s="11">
        <f>(Q72+Q114+Q176+Q181+Q188)*$C$191</f>
        <v>0</v>
      </c>
      <c r="R191" s="12" t="e">
        <f>SUM(E191:Q191)</f>
        <v>#REF!</v>
      </c>
      <c r="V191" s="111" t="e">
        <f>R191/R189</f>
        <v>#REF!</v>
      </c>
    </row>
    <row r="192" spans="1:22" outlineLevel="1" x14ac:dyDescent="0.2">
      <c r="B192" s="166" t="s">
        <v>356</v>
      </c>
      <c r="C192" s="62">
        <v>0.02</v>
      </c>
      <c r="D192" s="53"/>
      <c r="E192" s="11">
        <f t="shared" ref="E192:M192" si="162">$C$192*(E42+E44)</f>
        <v>0</v>
      </c>
      <c r="F192" s="11">
        <f t="shared" si="162"/>
        <v>0</v>
      </c>
      <c r="G192" s="11">
        <f>$C$192*(G42+G44)</f>
        <v>243335</v>
      </c>
      <c r="H192" s="11">
        <f t="shared" si="162"/>
        <v>809420.625</v>
      </c>
      <c r="I192" s="11">
        <f t="shared" si="162"/>
        <v>819645.62187500007</v>
      </c>
      <c r="J192" s="11">
        <f t="shared" si="162"/>
        <v>768776.78664062498</v>
      </c>
      <c r="K192" s="11">
        <f t="shared" si="162"/>
        <v>0</v>
      </c>
      <c r="L192" s="11">
        <f t="shared" si="162"/>
        <v>0</v>
      </c>
      <c r="M192" s="11">
        <f t="shared" si="162"/>
        <v>0</v>
      </c>
      <c r="N192" s="12"/>
      <c r="O192" s="61"/>
      <c r="P192" s="12"/>
      <c r="Q192" s="12"/>
      <c r="R192" s="12">
        <f>SUM(E192:Q192)</f>
        <v>2641178.0335156252</v>
      </c>
    </row>
    <row r="193" spans="1:27" outlineLevel="1" x14ac:dyDescent="0.2">
      <c r="B193" s="166" t="s">
        <v>357</v>
      </c>
      <c r="C193" s="100">
        <v>1.7500000000000002E-2</v>
      </c>
      <c r="D193" s="98"/>
      <c r="E193" s="16"/>
      <c r="F193" s="16">
        <v>168534.63374734551</v>
      </c>
      <c r="G193" s="16">
        <v>168534.63374734551</v>
      </c>
      <c r="H193" s="16">
        <v>168534.63374734551</v>
      </c>
      <c r="I193" s="16">
        <v>129838.87769313539</v>
      </c>
      <c r="J193" s="16">
        <v>14961.263303426771</v>
      </c>
      <c r="K193" s="16">
        <v>0</v>
      </c>
      <c r="L193" s="16">
        <v>0</v>
      </c>
      <c r="M193" s="61"/>
      <c r="N193" s="12"/>
      <c r="O193" s="61"/>
      <c r="P193" s="12"/>
      <c r="Q193" s="12"/>
      <c r="R193" s="12">
        <f>SUM(E193:Q193)</f>
        <v>650404.04223859869</v>
      </c>
      <c r="Z193" s="132" t="s">
        <v>358</v>
      </c>
      <c r="AA193" s="97" t="e">
        <f>SUM(AC1:AJ1)-R193</f>
        <v>#REF!</v>
      </c>
    </row>
    <row r="194" spans="1:27" outlineLevel="1" x14ac:dyDescent="0.2">
      <c r="B194" s="166"/>
      <c r="C194" s="48"/>
      <c r="D194" s="48"/>
      <c r="E194" s="11"/>
      <c r="F194" s="11"/>
      <c r="G194" s="11"/>
      <c r="H194" s="11"/>
      <c r="I194" s="11"/>
      <c r="J194" s="11"/>
      <c r="K194" s="11"/>
      <c r="L194" s="11"/>
      <c r="M194" s="11">
        <f>$C$194</f>
        <v>0</v>
      </c>
      <c r="N194" s="11">
        <f>$C$194</f>
        <v>0</v>
      </c>
      <c r="O194" s="11">
        <f>$C$194</f>
        <v>0</v>
      </c>
      <c r="P194" s="11">
        <f>$C$194</f>
        <v>0</v>
      </c>
      <c r="Q194" s="11"/>
      <c r="R194" s="11">
        <f>SUM(E194:P194)</f>
        <v>0</v>
      </c>
    </row>
    <row r="195" spans="1:27" x14ac:dyDescent="0.2">
      <c r="B195" s="49" t="s">
        <v>359</v>
      </c>
      <c r="C195" s="50"/>
      <c r="D195" s="50"/>
      <c r="E195" s="51">
        <f t="shared" ref="E195:Q195" si="163">SUM(E191:E194)</f>
        <v>0</v>
      </c>
      <c r="F195" s="51" t="e">
        <f t="shared" si="163"/>
        <v>#REF!</v>
      </c>
      <c r="G195" s="51" t="e">
        <f t="shared" si="163"/>
        <v>#REF!</v>
      </c>
      <c r="H195" s="51" t="e">
        <f t="shared" si="163"/>
        <v>#REF!</v>
      </c>
      <c r="I195" s="51" t="e">
        <f t="shared" si="163"/>
        <v>#REF!</v>
      </c>
      <c r="J195" s="51" t="e">
        <f t="shared" si="163"/>
        <v>#REF!</v>
      </c>
      <c r="K195" s="51">
        <f t="shared" si="163"/>
        <v>0</v>
      </c>
      <c r="L195" s="51">
        <f t="shared" si="163"/>
        <v>0</v>
      </c>
      <c r="M195" s="51">
        <f t="shared" si="163"/>
        <v>0</v>
      </c>
      <c r="N195" s="51">
        <f t="shared" si="163"/>
        <v>0</v>
      </c>
      <c r="O195" s="51">
        <f t="shared" si="163"/>
        <v>0</v>
      </c>
      <c r="P195" s="51">
        <f t="shared" si="163"/>
        <v>0</v>
      </c>
      <c r="Q195" s="51">
        <f t="shared" si="163"/>
        <v>0</v>
      </c>
      <c r="R195" s="52" t="e">
        <f>SUM(E195:Q195)</f>
        <v>#REF!</v>
      </c>
      <c r="T195" s="111" t="e">
        <f>R195/$T$46</f>
        <v>#REF!</v>
      </c>
      <c r="U195" t="s">
        <v>283</v>
      </c>
    </row>
    <row r="196" spans="1:27" x14ac:dyDescent="0.2">
      <c r="B196" s="113"/>
      <c r="C196" s="126"/>
      <c r="D196" s="126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8"/>
    </row>
    <row r="197" spans="1:27" x14ac:dyDescent="0.2">
      <c r="B197" s="3" t="s">
        <v>360</v>
      </c>
      <c r="C197" s="31"/>
      <c r="D197" s="31"/>
      <c r="E197" s="24">
        <f t="shared" ref="E197:Q197" si="164">SUM(E195,E188,E181,E176,E128,E114,E80,E72,E58,E88,E105,E96,E142,E169,E156,E64)</f>
        <v>40556.25</v>
      </c>
      <c r="F197" s="24" t="e">
        <f t="shared" si="164"/>
        <v>#REF!</v>
      </c>
      <c r="G197" s="24" t="e">
        <f t="shared" si="164"/>
        <v>#REF!</v>
      </c>
      <c r="H197" s="24" t="e">
        <f t="shared" si="164"/>
        <v>#REF!</v>
      </c>
      <c r="I197" s="24" t="e">
        <f t="shared" si="164"/>
        <v>#REF!</v>
      </c>
      <c r="J197" s="24" t="e">
        <f t="shared" si="164"/>
        <v>#REF!</v>
      </c>
      <c r="K197" s="24" t="e">
        <f t="shared" si="164"/>
        <v>#REF!</v>
      </c>
      <c r="L197" s="24" t="e">
        <f t="shared" si="164"/>
        <v>#REF!</v>
      </c>
      <c r="M197" s="24" t="e">
        <f t="shared" si="164"/>
        <v>#REF!</v>
      </c>
      <c r="N197" s="24" t="e">
        <f t="shared" si="164"/>
        <v>#REF!</v>
      </c>
      <c r="O197" s="24" t="e">
        <f t="shared" si="164"/>
        <v>#REF!</v>
      </c>
      <c r="P197" s="24" t="e">
        <f t="shared" si="164"/>
        <v>#REF!</v>
      </c>
      <c r="Q197" s="24" t="e">
        <f t="shared" si="164"/>
        <v>#REF!</v>
      </c>
      <c r="R197" s="52" t="e">
        <f>SUM(E197:Q197)</f>
        <v>#REF!</v>
      </c>
      <c r="T197" s="326" t="e">
        <f>(R197-R58-R64)/$T$46</f>
        <v>#REF!</v>
      </c>
      <c r="U197" t="s">
        <v>283</v>
      </c>
    </row>
    <row r="198" spans="1:27" x14ac:dyDescent="0.2">
      <c r="B198" s="3"/>
      <c r="C198" s="31"/>
      <c r="D198" s="31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3"/>
    </row>
    <row r="199" spans="1:27" outlineLevel="1" x14ac:dyDescent="0.2">
      <c r="A199" s="227" t="s">
        <v>361</v>
      </c>
      <c r="B199" s="81" t="s">
        <v>362</v>
      </c>
      <c r="C199" s="31"/>
      <c r="D199" s="31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3"/>
    </row>
    <row r="200" spans="1:27" outlineLevel="1" x14ac:dyDescent="0.2">
      <c r="B200" s="173" t="s">
        <v>363</v>
      </c>
      <c r="C200" s="148" t="e">
        <f>U33</f>
        <v>#REF!</v>
      </c>
      <c r="D200" s="428">
        <v>5</v>
      </c>
      <c r="E200" s="114">
        <f t="shared" ref="E200:Q200" si="165">D204+E35</f>
        <v>0</v>
      </c>
      <c r="F200" s="114" t="e">
        <f t="shared" si="165"/>
        <v>#REF!</v>
      </c>
      <c r="G200" s="114" t="e">
        <f t="shared" si="165"/>
        <v>#REF!</v>
      </c>
      <c r="H200" s="114" t="e">
        <f t="shared" si="165"/>
        <v>#REF!</v>
      </c>
      <c r="I200" s="114" t="e">
        <f t="shared" si="165"/>
        <v>#REF!</v>
      </c>
      <c r="J200" s="114" t="e">
        <f t="shared" si="165"/>
        <v>#REF!</v>
      </c>
      <c r="K200" s="114" t="e">
        <f t="shared" si="165"/>
        <v>#REF!</v>
      </c>
      <c r="L200" s="114" t="e">
        <f t="shared" si="165"/>
        <v>#REF!</v>
      </c>
      <c r="M200" s="114" t="e">
        <f t="shared" si="165"/>
        <v>#REF!</v>
      </c>
      <c r="N200" s="114" t="e">
        <f t="shared" si="165"/>
        <v>#REF!</v>
      </c>
      <c r="O200" s="114" t="e">
        <f t="shared" si="165"/>
        <v>#REF!</v>
      </c>
      <c r="P200" s="114" t="e">
        <f t="shared" si="165"/>
        <v>#REF!</v>
      </c>
      <c r="Q200" s="114" t="e">
        <f t="shared" si="165"/>
        <v>#REF!</v>
      </c>
      <c r="R200" s="32"/>
    </row>
    <row r="201" spans="1:27" outlineLevel="1" x14ac:dyDescent="0.2">
      <c r="B201" s="166" t="s">
        <v>364</v>
      </c>
      <c r="C201" s="418">
        <f>Assumptions!F8</f>
        <v>0.12</v>
      </c>
      <c r="D201" s="427">
        <f>C201-2.5%</f>
        <v>9.5000000000000001E-2</v>
      </c>
      <c r="E201" s="114">
        <f>E200*$C$201</f>
        <v>0</v>
      </c>
      <c r="F201" s="114" t="e">
        <f t="shared" ref="F201:I201" si="166">F200*$C$201</f>
        <v>#REF!</v>
      </c>
      <c r="G201" s="114" t="e">
        <f t="shared" si="166"/>
        <v>#REF!</v>
      </c>
      <c r="H201" s="114" t="e">
        <f t="shared" si="166"/>
        <v>#REF!</v>
      </c>
      <c r="I201" s="114" t="e">
        <f t="shared" si="166"/>
        <v>#REF!</v>
      </c>
      <c r="J201" s="114" t="e">
        <f>J200*$D$201</f>
        <v>#REF!</v>
      </c>
      <c r="K201" s="114" t="e">
        <f t="shared" ref="K201:Q201" si="167">K200*$D$201</f>
        <v>#REF!</v>
      </c>
      <c r="L201" s="114" t="e">
        <f t="shared" si="167"/>
        <v>#REF!</v>
      </c>
      <c r="M201" s="114" t="e">
        <f t="shared" si="167"/>
        <v>#REF!</v>
      </c>
      <c r="N201" s="114" t="e">
        <f t="shared" si="167"/>
        <v>#REF!</v>
      </c>
      <c r="O201" s="114" t="e">
        <f t="shared" si="167"/>
        <v>#REF!</v>
      </c>
      <c r="P201" s="114" t="e">
        <f t="shared" si="167"/>
        <v>#REF!</v>
      </c>
      <c r="Q201" s="114" t="e">
        <f t="shared" si="167"/>
        <v>#REF!</v>
      </c>
      <c r="R201" s="32" t="e">
        <f>SUM(E201:L201)</f>
        <v>#REF!</v>
      </c>
    </row>
    <row r="202" spans="1:27" outlineLevel="1" x14ac:dyDescent="0.2">
      <c r="B202" s="166" t="s">
        <v>365</v>
      </c>
      <c r="C202" s="418">
        <f>Assumptions!F9</f>
        <v>0.04</v>
      </c>
      <c r="D202" s="149"/>
      <c r="E202" s="129"/>
      <c r="F202" s="67" t="e">
        <f>IF(AND(F200&gt;0,SUM($E202:E202)=0),$C$200*$C$202,0)</f>
        <v>#REF!</v>
      </c>
      <c r="G202" s="67" t="e">
        <f>IF(AND(G200&gt;0,SUM($E202:F202)=0),$C$200*$C$202,0)</f>
        <v>#REF!</v>
      </c>
      <c r="H202" s="67" t="e">
        <f>IF(AND(H200&gt;0,SUM($E202:G202)=0),$C$200*$C$202,0)</f>
        <v>#REF!</v>
      </c>
      <c r="I202" s="67" t="e">
        <f>IF(AND(I200&gt;0,SUM($E202:H202)=0),$C$200*$C$202,0)</f>
        <v>#REF!</v>
      </c>
      <c r="J202" s="32" t="e">
        <f>IF(AND(J200&gt;0,SUM($E202:I202)=0),$C$200*$C$202,0)</f>
        <v>#REF!</v>
      </c>
      <c r="K202" s="32" t="e">
        <f>IF(AND(K200&gt;0,SUM($E202:J202)=0),$C$200*$C$202,0)</f>
        <v>#REF!</v>
      </c>
      <c r="L202" s="32" t="e">
        <f>IF(AND(L200&gt;0,SUM($E202:K202)=0),$C$200*$C$202,0)</f>
        <v>#REF!</v>
      </c>
      <c r="M202" s="32" t="e">
        <f>IF(AND(M200&gt;0,SUM($E202:L202)=0),$C$200*$C$202,0)</f>
        <v>#REF!</v>
      </c>
      <c r="N202" s="32" t="e">
        <f>IF(AND(N200&gt;0,SUM($E202:M202)=0),$C$200*$C$202,0)</f>
        <v>#REF!</v>
      </c>
      <c r="O202" s="32" t="e">
        <f>IF(AND(O200&gt;0,SUM($E202:N202)=0),$C$200*$C$202,0)</f>
        <v>#REF!</v>
      </c>
      <c r="P202" s="32" t="e">
        <f>IF(AND(P200&gt;0,SUM($E202:O202)=0),$C$200*$C$202,0)</f>
        <v>#REF!</v>
      </c>
      <c r="Q202" s="32" t="e">
        <f>IF(AND(Q200&gt;0,SUM($E202:P202)=0),$C$200*$C$202,0)</f>
        <v>#REF!</v>
      </c>
      <c r="R202" s="32" t="e">
        <f>SUM(F202:Q202)</f>
        <v>#REF!</v>
      </c>
    </row>
    <row r="203" spans="1:27" outlineLevel="1" x14ac:dyDescent="0.2">
      <c r="B203" s="166" t="s">
        <v>366</v>
      </c>
      <c r="C203" s="14"/>
      <c r="D203" s="149"/>
      <c r="E203" s="92">
        <f>IF(E3&gt;=Assumptions!$F$6,MAX(MIN(E45-E197,SUM(E200:E202)),0),0)</f>
        <v>0</v>
      </c>
      <c r="F203" s="92">
        <f>IF(F3&gt;=Assumptions!$F$6,MAX(MIN(F45-F197,SUM(F200:F202)),0),0)</f>
        <v>0</v>
      </c>
      <c r="G203" s="92" t="e">
        <f>IF(G3&gt;=Assumptions!$F$6,MAX(MIN(G45-G197,SUM(G200:G202)),0),0)</f>
        <v>#REF!</v>
      </c>
      <c r="H203" s="92" t="e">
        <f>IF(H3&gt;=Assumptions!$F$6,MAX(MIN(H45-H197,SUM(H200:H202)),0),0)</f>
        <v>#REF!</v>
      </c>
      <c r="I203" s="92" t="e">
        <f>IF(I3&gt;=Assumptions!$F$6,MAX(MIN(I45-I197,SUM(I200:I202)),0),0)</f>
        <v>#REF!</v>
      </c>
      <c r="J203" s="92" t="e">
        <f>IF(J3&gt;=Assumptions!$F$6,MAX(MIN(J45-J197,SUM(J200:J202)),0),0)</f>
        <v>#REF!</v>
      </c>
      <c r="K203" s="92" t="e">
        <f>IF(K3&gt;=Assumptions!$F$6,MAX(MIN(K45-K197,SUM(K200:K202)),0),0)</f>
        <v>#REF!</v>
      </c>
      <c r="L203" s="92" t="e">
        <f>IF(L3&gt;=Assumptions!$F$6,MAX(MIN(L45-L197,SUM(L200:L202)),0),0)</f>
        <v>#REF!</v>
      </c>
      <c r="M203" s="92" t="e">
        <f>IF(M3&gt;=Assumptions!$F$6,MAX(MIN(M45-M197,SUM(M200:M202)),0),0)</f>
        <v>#REF!</v>
      </c>
      <c r="N203" s="92" t="e">
        <f>IF(N3&gt;=Assumptions!$F$6,MAX(MIN(N45-N197,SUM(N200:N202)),0),0)</f>
        <v>#REF!</v>
      </c>
      <c r="O203" s="92" t="e">
        <f>IF(O3&gt;=Assumptions!$F$6,MAX(MIN(O45-O197,SUM(O200:O202)),0),0)</f>
        <v>#REF!</v>
      </c>
      <c r="P203" s="92" t="e">
        <f>IF(P3&gt;=Assumptions!$F$6,MAX(MIN(P45-P197,SUM(P200:P202)),0),0)</f>
        <v>#REF!</v>
      </c>
      <c r="Q203" s="92" t="e">
        <f>IF(Q3&gt;=Assumptions!$F$6,MAX(MIN(Q45-Q197,SUM(Q200:Q202)),0),0)</f>
        <v>#REF!</v>
      </c>
      <c r="R203" s="114" t="e">
        <f>SUM(E203:L203)</f>
        <v>#REF!</v>
      </c>
    </row>
    <row r="204" spans="1:27" outlineLevel="1" x14ac:dyDescent="0.2">
      <c r="B204" s="173" t="s">
        <v>367</v>
      </c>
      <c r="C204" s="14"/>
      <c r="D204" s="149"/>
      <c r="E204" s="92">
        <f>SUM(E200:E202)-E203</f>
        <v>0</v>
      </c>
      <c r="F204" s="92" t="e">
        <f t="shared" ref="F204:Q204" si="168">SUM(F200:F202)-F203</f>
        <v>#REF!</v>
      </c>
      <c r="G204" s="92" t="e">
        <f t="shared" si="168"/>
        <v>#REF!</v>
      </c>
      <c r="H204" s="92" t="e">
        <f t="shared" si="168"/>
        <v>#REF!</v>
      </c>
      <c r="I204" s="92" t="e">
        <f t="shared" si="168"/>
        <v>#REF!</v>
      </c>
      <c r="J204" s="92" t="e">
        <f t="shared" si="168"/>
        <v>#REF!</v>
      </c>
      <c r="K204" s="92" t="e">
        <f t="shared" si="168"/>
        <v>#REF!</v>
      </c>
      <c r="L204" s="92" t="e">
        <f t="shared" si="168"/>
        <v>#REF!</v>
      </c>
      <c r="M204" s="92" t="e">
        <f t="shared" si="168"/>
        <v>#REF!</v>
      </c>
      <c r="N204" s="92" t="e">
        <f t="shared" si="168"/>
        <v>#REF!</v>
      </c>
      <c r="O204" s="92" t="e">
        <f t="shared" si="168"/>
        <v>#REF!</v>
      </c>
      <c r="P204" s="92" t="e">
        <f t="shared" si="168"/>
        <v>#REF!</v>
      </c>
      <c r="Q204" s="92" t="e">
        <f t="shared" si="168"/>
        <v>#REF!</v>
      </c>
      <c r="R204" s="114"/>
    </row>
    <row r="205" spans="1:27" outlineLevel="1" x14ac:dyDescent="0.2">
      <c r="B205" s="166"/>
      <c r="C205" s="14"/>
      <c r="D205" s="149"/>
      <c r="E205" s="92"/>
      <c r="F205" s="92"/>
      <c r="G205" s="92"/>
      <c r="H205" s="92"/>
      <c r="I205" s="92"/>
      <c r="J205" s="92"/>
      <c r="K205" s="92"/>
      <c r="L205" s="92"/>
      <c r="M205" s="114"/>
      <c r="N205" s="114"/>
      <c r="O205" s="114"/>
      <c r="P205" s="114"/>
      <c r="Q205" s="114"/>
      <c r="R205" s="114"/>
    </row>
    <row r="206" spans="1:27" x14ac:dyDescent="0.2">
      <c r="B206" s="49" t="s">
        <v>368</v>
      </c>
      <c r="C206" s="50"/>
      <c r="D206" s="50"/>
      <c r="E206" s="51">
        <f>E203</f>
        <v>0</v>
      </c>
      <c r="F206" s="51">
        <f t="shared" ref="F206:Q206" si="169">F203</f>
        <v>0</v>
      </c>
      <c r="G206" s="51" t="e">
        <f t="shared" si="169"/>
        <v>#REF!</v>
      </c>
      <c r="H206" s="51" t="e">
        <f t="shared" si="169"/>
        <v>#REF!</v>
      </c>
      <c r="I206" s="51" t="e">
        <f t="shared" si="169"/>
        <v>#REF!</v>
      </c>
      <c r="J206" s="51" t="e">
        <f t="shared" si="169"/>
        <v>#REF!</v>
      </c>
      <c r="K206" s="51" t="e">
        <f t="shared" si="169"/>
        <v>#REF!</v>
      </c>
      <c r="L206" s="51" t="e">
        <f t="shared" si="169"/>
        <v>#REF!</v>
      </c>
      <c r="M206" s="51" t="e">
        <f t="shared" si="169"/>
        <v>#REF!</v>
      </c>
      <c r="N206" s="51" t="e">
        <f t="shared" si="169"/>
        <v>#REF!</v>
      </c>
      <c r="O206" s="51" t="e">
        <f t="shared" si="169"/>
        <v>#REF!</v>
      </c>
      <c r="P206" s="51" t="e">
        <f t="shared" si="169"/>
        <v>#REF!</v>
      </c>
      <c r="Q206" s="51" t="e">
        <f t="shared" si="169"/>
        <v>#REF!</v>
      </c>
      <c r="R206" s="52" t="e">
        <f>SUM(E206:Q206)</f>
        <v>#REF!</v>
      </c>
      <c r="Z206" s="132" t="s">
        <v>369</v>
      </c>
      <c r="AA206" s="141">
        <v>500000</v>
      </c>
    </row>
    <row r="207" spans="1:27" x14ac:dyDescent="0.2">
      <c r="B207" s="3"/>
      <c r="C207" s="31"/>
      <c r="D207" s="31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3"/>
    </row>
    <row r="208" spans="1:27" outlineLevel="1" x14ac:dyDescent="0.2">
      <c r="B208" s="81" t="s">
        <v>370</v>
      </c>
      <c r="C208" s="31"/>
      <c r="D208" s="31"/>
      <c r="E208" s="237"/>
      <c r="F208" s="237"/>
      <c r="G208" s="237"/>
      <c r="H208" s="237"/>
      <c r="I208" s="237"/>
      <c r="J208" s="237"/>
      <c r="K208" s="237"/>
      <c r="L208" s="237"/>
      <c r="M208" s="237"/>
      <c r="N208" s="237"/>
      <c r="O208" s="237"/>
      <c r="P208" s="237"/>
      <c r="Q208" s="237"/>
      <c r="R208" s="238"/>
    </row>
    <row r="209" spans="1:37" outlineLevel="1" x14ac:dyDescent="0.2">
      <c r="B209" s="230" t="s">
        <v>371</v>
      </c>
      <c r="C209" s="149"/>
      <c r="D209" s="149"/>
      <c r="E209" s="92">
        <f>IF(E3&gt;Assumptions!$G$6,MAX(E45-E197-E203,0),0)</f>
        <v>0</v>
      </c>
      <c r="F209" s="92">
        <f>IF(F3&gt;Assumptions!$G$6,MAX(F45-F197-F203,0),0)</f>
        <v>0</v>
      </c>
      <c r="G209" s="92">
        <f>IF(G3&gt;Assumptions!$G$6,MAX(G45-G197-G203,0),0)</f>
        <v>0</v>
      </c>
      <c r="H209" s="92">
        <f>IF(H3&gt;Assumptions!$G$6,MAX(H45-H197-H203,0),0)</f>
        <v>0</v>
      </c>
      <c r="I209" s="92" t="e">
        <f>IF(I3&gt;Assumptions!$G$6,MAX(I45-I197-I203,0),0)</f>
        <v>#REF!</v>
      </c>
      <c r="J209" s="92" t="e">
        <f>IF(J3&gt;Assumptions!$G$6,MAX(J45-J197-J203,0),0)</f>
        <v>#REF!</v>
      </c>
      <c r="K209" s="92" t="e">
        <f>IF(K3&gt;Assumptions!$G$6,MAX(K45-K197-K203,0),0)</f>
        <v>#REF!</v>
      </c>
      <c r="L209" s="92" t="e">
        <f>IF(L3&gt;Assumptions!$G$6,MAX(L45-L197-L203,0),0)</f>
        <v>#REF!</v>
      </c>
      <c r="M209" s="92" t="e">
        <f>IF(M3&gt;Assumptions!$G$6,MAX(M45-M197-M203,0),0)</f>
        <v>#REF!</v>
      </c>
      <c r="N209" s="92" t="e">
        <f>IF(N3&gt;Assumptions!$G$6,MAX(N45-N197-N203,0),0)</f>
        <v>#REF!</v>
      </c>
      <c r="O209" s="92" t="e">
        <f>IF(O3&gt;Assumptions!$G$6,MAX(O45-O197-O203,0),0)</f>
        <v>#REF!</v>
      </c>
      <c r="P209" s="92" t="e">
        <f>IF(P3&gt;Assumptions!$G$6,MAX(P45-P197-P203,0),0)</f>
        <v>#REF!</v>
      </c>
      <c r="Q209" s="92" t="e">
        <f>IF(Q3&gt;Assumptions!$G$6,MAX(Q45-Q197-Q203,0),0)</f>
        <v>#REF!</v>
      </c>
      <c r="R209" s="92" t="e">
        <f>SUM(E209:Q209)</f>
        <v>#REF!</v>
      </c>
    </row>
    <row r="210" spans="1:37" outlineLevel="1" x14ac:dyDescent="0.2">
      <c r="B210" s="81"/>
      <c r="C210" s="31"/>
      <c r="D210" s="31"/>
      <c r="E210" s="237"/>
      <c r="F210" s="237"/>
      <c r="G210" s="237"/>
      <c r="H210" s="237"/>
      <c r="I210" s="237"/>
      <c r="J210" s="237"/>
      <c r="K210" s="237"/>
      <c r="L210" s="237"/>
      <c r="M210" s="237"/>
      <c r="N210" s="237"/>
      <c r="O210" s="237"/>
      <c r="P210" s="237"/>
      <c r="Q210" s="237"/>
      <c r="R210" s="238"/>
    </row>
    <row r="211" spans="1:37" s="129" customFormat="1" outlineLevel="1" x14ac:dyDescent="0.2">
      <c r="A211" s="187"/>
      <c r="B211" s="230" t="s">
        <v>372</v>
      </c>
      <c r="C211" s="148">
        <f>Assumptions!Q7</f>
        <v>15000000</v>
      </c>
      <c r="D211" s="149"/>
      <c r="E211" s="92">
        <f t="shared" ref="E211:Q211" si="170">E56</f>
        <v>0</v>
      </c>
      <c r="F211" s="92">
        <f t="shared" si="170"/>
        <v>12000000</v>
      </c>
      <c r="G211" s="92">
        <f t="shared" si="170"/>
        <v>10296655</v>
      </c>
      <c r="H211" s="92">
        <f t="shared" si="170"/>
        <v>4630710.625</v>
      </c>
      <c r="I211" s="92">
        <f t="shared" si="170"/>
        <v>0</v>
      </c>
      <c r="J211" s="92">
        <f t="shared" si="170"/>
        <v>0</v>
      </c>
      <c r="K211" s="92">
        <f t="shared" si="170"/>
        <v>0</v>
      </c>
      <c r="L211" s="92">
        <f t="shared" si="170"/>
        <v>0</v>
      </c>
      <c r="M211" s="92">
        <f t="shared" si="170"/>
        <v>0</v>
      </c>
      <c r="N211" s="92">
        <f t="shared" si="170"/>
        <v>0</v>
      </c>
      <c r="O211" s="92">
        <f t="shared" si="170"/>
        <v>0</v>
      </c>
      <c r="P211" s="92">
        <f t="shared" si="170"/>
        <v>0</v>
      </c>
      <c r="Q211" s="92">
        <f t="shared" si="170"/>
        <v>0</v>
      </c>
      <c r="R211" s="92"/>
      <c r="AC211"/>
      <c r="AD211"/>
      <c r="AE211"/>
      <c r="AF211"/>
      <c r="AG211"/>
      <c r="AH211"/>
      <c r="AI211"/>
      <c r="AJ211"/>
      <c r="AK211"/>
    </row>
    <row r="212" spans="1:37" s="129" customFormat="1" outlineLevel="1" x14ac:dyDescent="0.2">
      <c r="A212" s="187"/>
      <c r="B212" s="230" t="s">
        <v>373</v>
      </c>
      <c r="C212" s="149"/>
      <c r="D212" s="149"/>
      <c r="E212" s="92">
        <f t="shared" ref="E212:Q212" si="171">MAX(D212+E31-E224,0)</f>
        <v>0</v>
      </c>
      <c r="F212" s="92" t="e">
        <f t="shared" si="171"/>
        <v>#REF!</v>
      </c>
      <c r="G212" s="92" t="e">
        <f t="shared" si="171"/>
        <v>#REF!</v>
      </c>
      <c r="H212" s="92" t="e">
        <f t="shared" si="171"/>
        <v>#REF!</v>
      </c>
      <c r="I212" s="92" t="e">
        <f t="shared" si="171"/>
        <v>#REF!</v>
      </c>
      <c r="J212" s="92" t="e">
        <f t="shared" si="171"/>
        <v>#REF!</v>
      </c>
      <c r="K212" s="92" t="e">
        <f t="shared" si="171"/>
        <v>#REF!</v>
      </c>
      <c r="L212" s="92" t="e">
        <f t="shared" si="171"/>
        <v>#REF!</v>
      </c>
      <c r="M212" s="92" t="e">
        <f t="shared" si="171"/>
        <v>#REF!</v>
      </c>
      <c r="N212" s="92" t="e">
        <f t="shared" si="171"/>
        <v>#REF!</v>
      </c>
      <c r="O212" s="92" t="e">
        <f t="shared" si="171"/>
        <v>#REF!</v>
      </c>
      <c r="P212" s="92" t="e">
        <f t="shared" si="171"/>
        <v>#REF!</v>
      </c>
      <c r="Q212" s="92" t="e">
        <f t="shared" si="171"/>
        <v>#REF!</v>
      </c>
      <c r="R212" s="92"/>
      <c r="AC212"/>
      <c r="AD212"/>
      <c r="AE212"/>
      <c r="AF212"/>
      <c r="AG212"/>
      <c r="AH212"/>
      <c r="AI212"/>
      <c r="AJ212"/>
      <c r="AK212"/>
    </row>
    <row r="213" spans="1:37" s="129" customFormat="1" outlineLevel="1" x14ac:dyDescent="0.2">
      <c r="A213" s="187"/>
      <c r="B213" s="230" t="s">
        <v>374</v>
      </c>
      <c r="C213" s="149"/>
      <c r="D213" s="149"/>
      <c r="E213" s="92">
        <f t="shared" ref="E213:Q213" si="172">MAX(D213+E29-E225,0)</f>
        <v>75000</v>
      </c>
      <c r="F213" s="92" t="e">
        <f t="shared" si="172"/>
        <v>#REF!</v>
      </c>
      <c r="G213" s="92" t="e">
        <f t="shared" si="172"/>
        <v>#REF!</v>
      </c>
      <c r="H213" s="92" t="e">
        <f t="shared" si="172"/>
        <v>#REF!</v>
      </c>
      <c r="I213" s="92" t="e">
        <f t="shared" si="172"/>
        <v>#REF!</v>
      </c>
      <c r="J213" s="92" t="e">
        <f t="shared" si="172"/>
        <v>#REF!</v>
      </c>
      <c r="K213" s="92" t="e">
        <f t="shared" si="172"/>
        <v>#REF!</v>
      </c>
      <c r="L213" s="92" t="e">
        <f t="shared" si="172"/>
        <v>#REF!</v>
      </c>
      <c r="M213" s="92" t="e">
        <f t="shared" si="172"/>
        <v>#REF!</v>
      </c>
      <c r="N213" s="92" t="e">
        <f t="shared" si="172"/>
        <v>#REF!</v>
      </c>
      <c r="O213" s="92" t="e">
        <f t="shared" si="172"/>
        <v>#REF!</v>
      </c>
      <c r="P213" s="92" t="e">
        <f t="shared" si="172"/>
        <v>#REF!</v>
      </c>
      <c r="Q213" s="92" t="e">
        <f t="shared" si="172"/>
        <v>#REF!</v>
      </c>
      <c r="R213" s="92"/>
    </row>
    <row r="214" spans="1:37" s="129" customFormat="1" outlineLevel="1" x14ac:dyDescent="0.2">
      <c r="A214" s="187"/>
      <c r="B214" s="230"/>
      <c r="C214" s="149"/>
      <c r="D214" s="149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</row>
    <row r="215" spans="1:37" s="129" customFormat="1" hidden="1" outlineLevel="1" x14ac:dyDescent="0.2">
      <c r="A215" s="187"/>
      <c r="B215" s="431" t="s">
        <v>375</v>
      </c>
      <c r="C215" s="432">
        <f>Assumptions!K7</f>
        <v>0.01</v>
      </c>
      <c r="D215" s="433"/>
      <c r="E215" s="407"/>
      <c r="F215" s="407"/>
      <c r="G215" s="407"/>
      <c r="H215" s="407"/>
      <c r="I215" s="407"/>
      <c r="J215" s="407"/>
      <c r="K215" s="407"/>
      <c r="L215" s="407"/>
      <c r="M215" s="407"/>
      <c r="N215" s="407"/>
      <c r="O215" s="407"/>
      <c r="P215" s="407"/>
      <c r="Q215" s="92"/>
      <c r="R215" s="92"/>
    </row>
    <row r="216" spans="1:37" s="129" customFormat="1" hidden="1" outlineLevel="1" x14ac:dyDescent="0.2">
      <c r="A216" s="187"/>
      <c r="B216" s="431" t="s">
        <v>376</v>
      </c>
      <c r="C216" s="433"/>
      <c r="D216" s="433"/>
      <c r="E216" s="407"/>
      <c r="F216" s="407"/>
      <c r="G216" s="407"/>
      <c r="H216" s="407"/>
      <c r="I216" s="407"/>
      <c r="J216" s="407"/>
      <c r="K216" s="407"/>
      <c r="L216" s="407"/>
      <c r="M216" s="407"/>
      <c r="N216" s="407"/>
      <c r="O216" s="407"/>
      <c r="P216" s="407"/>
      <c r="Q216" s="92"/>
      <c r="R216" s="92"/>
    </row>
    <row r="217" spans="1:37" s="129" customFormat="1" hidden="1" outlineLevel="1" x14ac:dyDescent="0.2">
      <c r="A217" s="187"/>
      <c r="B217" s="431" t="s">
        <v>377</v>
      </c>
      <c r="C217" s="433"/>
      <c r="D217" s="433"/>
      <c r="E217" s="407"/>
      <c r="F217" s="407"/>
      <c r="G217" s="407"/>
      <c r="H217" s="407"/>
      <c r="I217" s="407"/>
      <c r="J217" s="407"/>
      <c r="K217" s="407"/>
      <c r="L217" s="407"/>
      <c r="M217" s="407"/>
      <c r="N217" s="407"/>
      <c r="O217" s="407"/>
      <c r="P217" s="407"/>
      <c r="Q217" s="92"/>
      <c r="R217" s="92">
        <f>SUM(E217:Q217)</f>
        <v>0</v>
      </c>
    </row>
    <row r="218" spans="1:37" s="129" customFormat="1" hidden="1" outlineLevel="1" x14ac:dyDescent="0.2">
      <c r="A218" s="187"/>
      <c r="B218" s="230"/>
      <c r="C218" s="149"/>
      <c r="D218" s="149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</row>
    <row r="219" spans="1:37" s="129" customFormat="1" outlineLevel="1" x14ac:dyDescent="0.2">
      <c r="A219" s="187"/>
      <c r="B219" s="230" t="s">
        <v>378</v>
      </c>
      <c r="C219" s="40">
        <f>Assumptions!K10</f>
        <v>0.15</v>
      </c>
      <c r="D219" s="149"/>
      <c r="E219" s="92">
        <f>D212*$C$219</f>
        <v>0</v>
      </c>
      <c r="F219" s="92">
        <f t="shared" ref="F219:Q219" si="173">E212*$C$219</f>
        <v>0</v>
      </c>
      <c r="G219" s="92" t="e">
        <f t="shared" si="173"/>
        <v>#REF!</v>
      </c>
      <c r="H219" s="92" t="e">
        <f t="shared" si="173"/>
        <v>#REF!</v>
      </c>
      <c r="I219" s="92" t="e">
        <f t="shared" si="173"/>
        <v>#REF!</v>
      </c>
      <c r="J219" s="92" t="e">
        <f t="shared" si="173"/>
        <v>#REF!</v>
      </c>
      <c r="K219" s="92" t="e">
        <f t="shared" si="173"/>
        <v>#REF!</v>
      </c>
      <c r="L219" s="92" t="e">
        <f t="shared" si="173"/>
        <v>#REF!</v>
      </c>
      <c r="M219" s="92" t="e">
        <f t="shared" si="173"/>
        <v>#REF!</v>
      </c>
      <c r="N219" s="92" t="e">
        <f t="shared" si="173"/>
        <v>#REF!</v>
      </c>
      <c r="O219" s="92" t="e">
        <f t="shared" si="173"/>
        <v>#REF!</v>
      </c>
      <c r="P219" s="92" t="e">
        <f t="shared" si="173"/>
        <v>#REF!</v>
      </c>
      <c r="Q219" s="92" t="e">
        <f t="shared" si="173"/>
        <v>#REF!</v>
      </c>
      <c r="R219" s="92"/>
    </row>
    <row r="220" spans="1:37" s="129" customFormat="1" outlineLevel="1" x14ac:dyDescent="0.2">
      <c r="A220" s="187"/>
      <c r="B220" s="230" t="s">
        <v>379</v>
      </c>
      <c r="C220" s="149"/>
      <c r="D220" s="149"/>
      <c r="E220" s="92">
        <f>D220-D221+E219</f>
        <v>0</v>
      </c>
      <c r="F220" s="92">
        <f t="shared" ref="F220:Q220" si="174">E220-E221+F219</f>
        <v>0</v>
      </c>
      <c r="G220" s="92" t="e">
        <f t="shared" si="174"/>
        <v>#REF!</v>
      </c>
      <c r="H220" s="92" t="e">
        <f t="shared" si="174"/>
        <v>#REF!</v>
      </c>
      <c r="I220" s="92" t="e">
        <f t="shared" si="174"/>
        <v>#REF!</v>
      </c>
      <c r="J220" s="92" t="e">
        <f t="shared" si="174"/>
        <v>#REF!</v>
      </c>
      <c r="K220" s="92" t="e">
        <f t="shared" si="174"/>
        <v>#REF!</v>
      </c>
      <c r="L220" s="92" t="e">
        <f t="shared" si="174"/>
        <v>#REF!</v>
      </c>
      <c r="M220" s="92" t="e">
        <f t="shared" si="174"/>
        <v>#REF!</v>
      </c>
      <c r="N220" s="92" t="e">
        <f t="shared" si="174"/>
        <v>#REF!</v>
      </c>
      <c r="O220" s="92" t="e">
        <f t="shared" si="174"/>
        <v>#REF!</v>
      </c>
      <c r="P220" s="92" t="e">
        <f t="shared" si="174"/>
        <v>#REF!</v>
      </c>
      <c r="Q220" s="92" t="e">
        <f t="shared" si="174"/>
        <v>#REF!</v>
      </c>
      <c r="R220" s="92"/>
    </row>
    <row r="221" spans="1:37" s="129" customFormat="1" outlineLevel="1" x14ac:dyDescent="0.2">
      <c r="A221" s="187"/>
      <c r="B221" s="230" t="s">
        <v>380</v>
      </c>
      <c r="C221" s="149"/>
      <c r="D221" s="149"/>
      <c r="E221" s="92">
        <f>IFERROR(MIN(E216+E220,E209)*E220/(E216+E220),0)</f>
        <v>0</v>
      </c>
      <c r="F221" s="92">
        <f t="shared" ref="F221:Q221" si="175">IFERROR(MIN(F216+F220,F209)*F220/(F216+F220),0)</f>
        <v>0</v>
      </c>
      <c r="G221" s="92">
        <f t="shared" si="175"/>
        <v>0</v>
      </c>
      <c r="H221" s="92">
        <f t="shared" si="175"/>
        <v>0</v>
      </c>
      <c r="I221" s="92">
        <f t="shared" si="175"/>
        <v>0</v>
      </c>
      <c r="J221" s="92">
        <f t="shared" si="175"/>
        <v>0</v>
      </c>
      <c r="K221" s="92">
        <f t="shared" si="175"/>
        <v>0</v>
      </c>
      <c r="L221" s="92">
        <f t="shared" si="175"/>
        <v>0</v>
      </c>
      <c r="M221" s="92">
        <f t="shared" si="175"/>
        <v>0</v>
      </c>
      <c r="N221" s="92">
        <f t="shared" si="175"/>
        <v>0</v>
      </c>
      <c r="O221" s="92">
        <f t="shared" si="175"/>
        <v>0</v>
      </c>
      <c r="P221" s="92">
        <f t="shared" si="175"/>
        <v>0</v>
      </c>
      <c r="Q221" s="92">
        <f t="shared" si="175"/>
        <v>0</v>
      </c>
      <c r="R221" s="92">
        <f>SUM(E221:Q221)</f>
        <v>0</v>
      </c>
    </row>
    <row r="222" spans="1:37" s="129" customFormat="1" outlineLevel="1" x14ac:dyDescent="0.2">
      <c r="A222" s="187"/>
      <c r="C222" s="149"/>
      <c r="D222" s="149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</row>
    <row r="223" spans="1:37" s="129" customFormat="1" outlineLevel="1" x14ac:dyDescent="0.2">
      <c r="A223" s="187"/>
      <c r="B223" s="230" t="s">
        <v>381</v>
      </c>
      <c r="C223" s="415" t="e">
        <f>Assumptions!#REF!</f>
        <v>#REF!</v>
      </c>
      <c r="D223" s="149"/>
      <c r="E223" s="92"/>
      <c r="F223" s="92" t="e">
        <f>MAX((F209-F217-F221-E212)*$C223,0)</f>
        <v>#REF!</v>
      </c>
      <c r="G223" s="92" t="e">
        <f t="shared" ref="G223:Q223" si="176">MAX((G209-G217-G221-F212)*$C223,0)</f>
        <v>#REF!</v>
      </c>
      <c r="H223" s="92" t="e">
        <f t="shared" si="176"/>
        <v>#REF!</v>
      </c>
      <c r="I223" s="92" t="e">
        <f t="shared" si="176"/>
        <v>#REF!</v>
      </c>
      <c r="J223" s="92" t="e">
        <f t="shared" si="176"/>
        <v>#REF!</v>
      </c>
      <c r="K223" s="92" t="e">
        <f t="shared" si="176"/>
        <v>#REF!</v>
      </c>
      <c r="L223" s="92" t="e">
        <f t="shared" si="176"/>
        <v>#REF!</v>
      </c>
      <c r="M223" s="92" t="e">
        <f t="shared" si="176"/>
        <v>#REF!</v>
      </c>
      <c r="N223" s="92" t="e">
        <f t="shared" si="176"/>
        <v>#REF!</v>
      </c>
      <c r="O223" s="92" t="e">
        <f t="shared" si="176"/>
        <v>#REF!</v>
      </c>
      <c r="P223" s="92" t="e">
        <f t="shared" si="176"/>
        <v>#REF!</v>
      </c>
      <c r="Q223" s="92" t="e">
        <f t="shared" si="176"/>
        <v>#REF!</v>
      </c>
      <c r="R223" s="92" t="e">
        <f t="shared" ref="R223:R225" si="177">SUM(E223:Q223)</f>
        <v>#REF!</v>
      </c>
    </row>
    <row r="224" spans="1:37" s="129" customFormat="1" outlineLevel="1" x14ac:dyDescent="0.2">
      <c r="A224" s="187"/>
      <c r="B224" s="230" t="s">
        <v>382</v>
      </c>
      <c r="C224" s="415" t="e">
        <f>Assumptions!#REF!</f>
        <v>#REF!</v>
      </c>
      <c r="D224" s="149"/>
      <c r="E224" s="92"/>
      <c r="F224" s="92" t="e">
        <f>MAX((F209-F217-F221-E212)*$C224,0)+MIN(F209-F217-F221,E212)</f>
        <v>#REF!</v>
      </c>
      <c r="G224" s="92" t="e">
        <f t="shared" ref="G224:M224" si="178">MAX((G209-G217-G221-F212)*$C224,0)+MIN(G209-G217-G221,F212)</f>
        <v>#REF!</v>
      </c>
      <c r="H224" s="92" t="e">
        <f t="shared" si="178"/>
        <v>#REF!</v>
      </c>
      <c r="I224" s="92" t="e">
        <f t="shared" si="178"/>
        <v>#REF!</v>
      </c>
      <c r="J224" s="92" t="e">
        <f t="shared" si="178"/>
        <v>#REF!</v>
      </c>
      <c r="K224" s="92" t="e">
        <f t="shared" si="178"/>
        <v>#REF!</v>
      </c>
      <c r="L224" s="92" t="e">
        <f t="shared" si="178"/>
        <v>#REF!</v>
      </c>
      <c r="M224" s="92" t="e">
        <f t="shared" si="178"/>
        <v>#REF!</v>
      </c>
      <c r="N224" s="92" t="e">
        <f t="shared" ref="N224:Q224" si="179">MAX((N209-N217-N221-M212)*$C224,0)</f>
        <v>#REF!</v>
      </c>
      <c r="O224" s="92" t="e">
        <f t="shared" si="179"/>
        <v>#REF!</v>
      </c>
      <c r="P224" s="92" t="e">
        <f t="shared" si="179"/>
        <v>#REF!</v>
      </c>
      <c r="Q224" s="92" t="e">
        <f t="shared" si="179"/>
        <v>#REF!</v>
      </c>
      <c r="R224" s="92" t="e">
        <f t="shared" si="177"/>
        <v>#REF!</v>
      </c>
      <c r="S224" s="189"/>
      <c r="T224" s="189"/>
      <c r="U224" s="189"/>
      <c r="V224" s="189"/>
      <c r="W224" s="189"/>
      <c r="X224" s="189"/>
      <c r="Y224" s="189"/>
      <c r="Z224" s="189"/>
      <c r="AA224" s="189"/>
      <c r="AB224" s="189"/>
    </row>
    <row r="225" spans="1:37" s="129" customFormat="1" outlineLevel="1" x14ac:dyDescent="0.2">
      <c r="A225" s="187"/>
      <c r="B225" s="230" t="s">
        <v>383</v>
      </c>
      <c r="C225" s="415" t="e">
        <f>Assumptions!#REF!</f>
        <v>#REF!</v>
      </c>
      <c r="D225" s="149"/>
      <c r="E225" s="92"/>
      <c r="F225" s="92" t="e">
        <f>MAX((F209-F217-F221-E212)*$C225,0)</f>
        <v>#REF!</v>
      </c>
      <c r="G225" s="92" t="e">
        <f t="shared" ref="G225:Q225" si="180">MAX((G209-G217-G221-F212)*$C225,0)</f>
        <v>#REF!</v>
      </c>
      <c r="H225" s="92" t="e">
        <f t="shared" si="180"/>
        <v>#REF!</v>
      </c>
      <c r="I225" s="92" t="e">
        <f t="shared" si="180"/>
        <v>#REF!</v>
      </c>
      <c r="J225" s="92" t="e">
        <f t="shared" si="180"/>
        <v>#REF!</v>
      </c>
      <c r="K225" s="92" t="e">
        <f t="shared" si="180"/>
        <v>#REF!</v>
      </c>
      <c r="L225" s="92" t="e">
        <f t="shared" si="180"/>
        <v>#REF!</v>
      </c>
      <c r="M225" s="92" t="e">
        <f t="shared" si="180"/>
        <v>#REF!</v>
      </c>
      <c r="N225" s="92" t="e">
        <f t="shared" si="180"/>
        <v>#REF!</v>
      </c>
      <c r="O225" s="92" t="e">
        <f t="shared" si="180"/>
        <v>#REF!</v>
      </c>
      <c r="P225" s="92" t="e">
        <f t="shared" si="180"/>
        <v>#REF!</v>
      </c>
      <c r="Q225" s="92" t="e">
        <f t="shared" si="180"/>
        <v>#REF!</v>
      </c>
      <c r="R225" s="92" t="e">
        <f t="shared" si="177"/>
        <v>#REF!</v>
      </c>
    </row>
    <row r="226" spans="1:37" s="189" customFormat="1" x14ac:dyDescent="0.2">
      <c r="A226" s="188"/>
      <c r="B226" s="235" t="s">
        <v>384</v>
      </c>
      <c r="C226" s="235"/>
      <c r="D226" s="235"/>
      <c r="E226" s="252">
        <f t="shared" ref="E226:Q226" si="181">E217+E221+SUM(E223:E225)</f>
        <v>0</v>
      </c>
      <c r="F226" s="252" t="e">
        <f t="shared" si="181"/>
        <v>#REF!</v>
      </c>
      <c r="G226" s="252" t="e">
        <f t="shared" si="181"/>
        <v>#REF!</v>
      </c>
      <c r="H226" s="252" t="e">
        <f t="shared" si="181"/>
        <v>#REF!</v>
      </c>
      <c r="I226" s="252" t="e">
        <f t="shared" si="181"/>
        <v>#REF!</v>
      </c>
      <c r="J226" s="252" t="e">
        <f t="shared" si="181"/>
        <v>#REF!</v>
      </c>
      <c r="K226" s="252" t="e">
        <f t="shared" si="181"/>
        <v>#REF!</v>
      </c>
      <c r="L226" s="252" t="e">
        <f t="shared" si="181"/>
        <v>#REF!</v>
      </c>
      <c r="M226" s="252" t="e">
        <f>M217+M221+SUM(M223:M225)</f>
        <v>#REF!</v>
      </c>
      <c r="N226" s="252" t="e">
        <f t="shared" si="181"/>
        <v>#REF!</v>
      </c>
      <c r="O226" s="252" t="e">
        <f t="shared" si="181"/>
        <v>#REF!</v>
      </c>
      <c r="P226" s="252" t="e">
        <f t="shared" si="181"/>
        <v>#REF!</v>
      </c>
      <c r="Q226" s="252" t="e">
        <f t="shared" si="181"/>
        <v>#REF!</v>
      </c>
      <c r="R226" s="236" t="e">
        <f>SUM(E226:Q226)</f>
        <v>#REF!</v>
      </c>
      <c r="S226" s="129"/>
      <c r="T226" s="114"/>
      <c r="U226" s="114"/>
      <c r="V226" s="114"/>
      <c r="W226" s="114"/>
      <c r="X226" s="114"/>
      <c r="Y226" s="114"/>
      <c r="Z226" s="114"/>
      <c r="AA226" s="114"/>
      <c r="AB226" s="129"/>
    </row>
    <row r="227" spans="1:37" ht="17" thickBot="1" x14ac:dyDescent="0.25">
      <c r="B227" s="231"/>
      <c r="C227" s="28"/>
      <c r="D227" s="28"/>
      <c r="E227" s="232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T227" s="11"/>
      <c r="U227" s="11"/>
      <c r="V227" s="11"/>
      <c r="W227" s="11"/>
      <c r="X227" s="11"/>
      <c r="Y227" s="11"/>
      <c r="Z227" s="11"/>
      <c r="AA227" s="11"/>
      <c r="AC227" s="129"/>
      <c r="AD227" s="129"/>
      <c r="AE227" s="129"/>
      <c r="AF227" s="129"/>
      <c r="AG227" s="129"/>
      <c r="AH227" s="129"/>
      <c r="AI227" s="129"/>
      <c r="AJ227" s="129"/>
      <c r="AK227" s="129"/>
    </row>
    <row r="228" spans="1:37" ht="17" thickTop="1" x14ac:dyDescent="0.2">
      <c r="B228" s="30" t="s">
        <v>135</v>
      </c>
      <c r="C228" s="3"/>
      <c r="D228" s="3"/>
      <c r="E228" s="24">
        <f>E197+E206+E226</f>
        <v>40556.25</v>
      </c>
      <c r="F228" s="24" t="e">
        <f>F197+F206+F226</f>
        <v>#REF!</v>
      </c>
      <c r="G228" s="24" t="e">
        <f t="shared" ref="G228:Q228" si="182">G197+G206+G226</f>
        <v>#REF!</v>
      </c>
      <c r="H228" s="24" t="e">
        <f t="shared" si="182"/>
        <v>#REF!</v>
      </c>
      <c r="I228" s="24" t="e">
        <f t="shared" si="182"/>
        <v>#REF!</v>
      </c>
      <c r="J228" s="24" t="e">
        <f t="shared" si="182"/>
        <v>#REF!</v>
      </c>
      <c r="K228" s="24" t="e">
        <f t="shared" si="182"/>
        <v>#REF!</v>
      </c>
      <c r="L228" s="24" t="e">
        <f t="shared" si="182"/>
        <v>#REF!</v>
      </c>
      <c r="M228" s="24" t="e">
        <f t="shared" si="182"/>
        <v>#REF!</v>
      </c>
      <c r="N228" s="24" t="e">
        <f t="shared" si="182"/>
        <v>#REF!</v>
      </c>
      <c r="O228" s="24" t="e">
        <f t="shared" si="182"/>
        <v>#REF!</v>
      </c>
      <c r="P228" s="24" t="e">
        <f t="shared" si="182"/>
        <v>#REF!</v>
      </c>
      <c r="Q228" s="24" t="e">
        <f t="shared" si="182"/>
        <v>#REF!</v>
      </c>
      <c r="R228" s="24" t="e">
        <f>SUM(E228:Q228)</f>
        <v>#REF!</v>
      </c>
      <c r="U228" s="11"/>
      <c r="V228" s="11"/>
      <c r="W228" s="11"/>
      <c r="X228" s="11"/>
      <c r="Y228" s="11"/>
      <c r="Z228" s="11"/>
      <c r="AA228" s="11"/>
      <c r="AC228" s="129"/>
      <c r="AD228" s="129"/>
      <c r="AE228" s="129"/>
      <c r="AF228" s="129"/>
      <c r="AG228" s="129"/>
      <c r="AH228" s="129"/>
      <c r="AI228" s="129"/>
      <c r="AJ228" s="129"/>
      <c r="AK228" s="129"/>
    </row>
    <row r="229" spans="1:37" x14ac:dyDescent="0.2"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1"/>
    </row>
    <row r="230" spans="1:37" x14ac:dyDescent="0.2">
      <c r="B230" s="4" t="s">
        <v>385</v>
      </c>
      <c r="C230" s="148"/>
      <c r="D230" s="148"/>
      <c r="E230" s="95">
        <f>E45-E228</f>
        <v>34443.75</v>
      </c>
      <c r="F230" s="95" t="e">
        <f t="shared" ref="F230:Q230" si="183">F45-F228+E230</f>
        <v>#REF!</v>
      </c>
      <c r="G230" s="95" t="e">
        <f t="shared" si="183"/>
        <v>#REF!</v>
      </c>
      <c r="H230" s="95" t="e">
        <f t="shared" si="183"/>
        <v>#REF!</v>
      </c>
      <c r="I230" s="95" t="e">
        <f t="shared" si="183"/>
        <v>#REF!</v>
      </c>
      <c r="J230" s="95" t="e">
        <f t="shared" si="183"/>
        <v>#REF!</v>
      </c>
      <c r="K230" s="95" t="e">
        <f t="shared" si="183"/>
        <v>#REF!</v>
      </c>
      <c r="L230" s="95" t="e">
        <f t="shared" si="183"/>
        <v>#REF!</v>
      </c>
      <c r="M230" s="95" t="e">
        <f t="shared" si="183"/>
        <v>#REF!</v>
      </c>
      <c r="N230" s="95" t="e">
        <f t="shared" si="183"/>
        <v>#REF!</v>
      </c>
      <c r="O230" s="95" t="e">
        <f t="shared" si="183"/>
        <v>#REF!</v>
      </c>
      <c r="P230" s="95" t="e">
        <f t="shared" si="183"/>
        <v>#REF!</v>
      </c>
      <c r="Q230" s="95" t="e">
        <f t="shared" si="183"/>
        <v>#REF!</v>
      </c>
      <c r="R230" s="11"/>
    </row>
    <row r="231" spans="1:37" x14ac:dyDescent="0.2">
      <c r="B231" s="4"/>
      <c r="H231" s="11"/>
      <c r="I231" s="11"/>
      <c r="J231" s="11"/>
      <c r="K231" s="11"/>
      <c r="L231" s="11"/>
      <c r="M231" s="11"/>
    </row>
    <row r="232" spans="1:37" x14ac:dyDescent="0.2">
      <c r="B232" s="4" t="s">
        <v>386</v>
      </c>
      <c r="E232" s="24">
        <f>-SUM(E29:E31)+E226</f>
        <v>-75000</v>
      </c>
      <c r="F232" s="24" t="e">
        <f>-SUM(F29:F31)-C56+F226+F58</f>
        <v>#REF!</v>
      </c>
      <c r="G232" s="24" t="e">
        <f t="shared" ref="G232:Q232" si="184">-SUM(G29:G31)+G226+G58</f>
        <v>#REF!</v>
      </c>
      <c r="H232" s="24" t="e">
        <f t="shared" si="184"/>
        <v>#REF!</v>
      </c>
      <c r="I232" s="24" t="e">
        <f t="shared" si="184"/>
        <v>#REF!</v>
      </c>
      <c r="J232" s="24" t="e">
        <f t="shared" si="184"/>
        <v>#REF!</v>
      </c>
      <c r="K232" s="24" t="e">
        <f t="shared" si="184"/>
        <v>#REF!</v>
      </c>
      <c r="L232" s="24" t="e">
        <f t="shared" si="184"/>
        <v>#REF!</v>
      </c>
      <c r="M232" s="24" t="e">
        <f t="shared" si="184"/>
        <v>#REF!</v>
      </c>
      <c r="N232" s="24" t="e">
        <f t="shared" si="184"/>
        <v>#REF!</v>
      </c>
      <c r="O232" s="24" t="e">
        <f t="shared" si="184"/>
        <v>#REF!</v>
      </c>
      <c r="P232" s="24" t="e">
        <f t="shared" si="184"/>
        <v>#REF!</v>
      </c>
      <c r="Q232" s="24" t="e">
        <f t="shared" si="184"/>
        <v>#REF!</v>
      </c>
      <c r="R232" s="24" t="e">
        <f>SUM(E232:Q232)</f>
        <v>#REF!</v>
      </c>
      <c r="Z232" s="132" t="s">
        <v>387</v>
      </c>
      <c r="AA232" s="97" t="e">
        <f>+ROUND(R228-R45,0)</f>
        <v>#REF!</v>
      </c>
    </row>
    <row r="233" spans="1:37" x14ac:dyDescent="0.2">
      <c r="Z233" s="132" t="s">
        <v>388</v>
      </c>
      <c r="AA233" s="97" t="e">
        <f>ROUND(L230-0,0)</f>
        <v>#REF!</v>
      </c>
    </row>
    <row r="234" spans="1:37" x14ac:dyDescent="0.2">
      <c r="F234" s="11"/>
      <c r="L234" s="11"/>
      <c r="M234" s="11"/>
      <c r="N234" s="11"/>
      <c r="O234" s="11"/>
      <c r="P234" s="11"/>
      <c r="Q234" s="11"/>
      <c r="Z234" s="132"/>
      <c r="AA234" s="125"/>
    </row>
    <row r="235" spans="1:37" x14ac:dyDescent="0.2">
      <c r="F235" s="11"/>
      <c r="L235" s="11"/>
      <c r="M235" s="11"/>
      <c r="N235" s="11"/>
      <c r="O235" s="11"/>
      <c r="P235" s="11"/>
      <c r="Q235" s="11"/>
      <c r="Z235" s="132"/>
      <c r="AA235" s="125"/>
    </row>
    <row r="236" spans="1:37" outlineLevel="1" x14ac:dyDescent="0.2">
      <c r="B236" s="3" t="str">
        <f>B1</f>
        <v>BRUNDAGE - RESI DEVELOPMENT: PROFORMA</v>
      </c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7"/>
    </row>
    <row r="237" spans="1:37" outlineLevel="1" x14ac:dyDescent="0.2">
      <c r="B237" s="3" t="s">
        <v>389</v>
      </c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7"/>
    </row>
    <row r="238" spans="1:37" outlineLevel="1" x14ac:dyDescent="0.2">
      <c r="B238" s="124" t="str">
        <f>B28</f>
        <v>SOURCES</v>
      </c>
      <c r="C238" s="124"/>
      <c r="D238" s="124"/>
      <c r="E238" s="176">
        <f t="shared" ref="E238:Q238" si="185">E5</f>
        <v>44927</v>
      </c>
      <c r="F238" s="176">
        <f t="shared" si="185"/>
        <v>45292</v>
      </c>
      <c r="G238" s="176">
        <f t="shared" si="185"/>
        <v>45658</v>
      </c>
      <c r="H238" s="176">
        <f t="shared" si="185"/>
        <v>46023</v>
      </c>
      <c r="I238" s="176">
        <f t="shared" si="185"/>
        <v>46388</v>
      </c>
      <c r="J238" s="176">
        <f t="shared" si="185"/>
        <v>46753</v>
      </c>
      <c r="K238" s="176">
        <f t="shared" si="185"/>
        <v>47119</v>
      </c>
      <c r="L238" s="176">
        <f t="shared" si="185"/>
        <v>47484</v>
      </c>
      <c r="M238" s="176">
        <f t="shared" si="185"/>
        <v>47849</v>
      </c>
      <c r="N238" s="176">
        <f t="shared" si="185"/>
        <v>48214</v>
      </c>
      <c r="O238" s="176">
        <f t="shared" si="185"/>
        <v>48579</v>
      </c>
      <c r="P238" s="176">
        <f t="shared" si="185"/>
        <v>48945</v>
      </c>
      <c r="Q238" s="176">
        <f t="shared" si="185"/>
        <v>49310</v>
      </c>
      <c r="R238" s="176" t="s">
        <v>212</v>
      </c>
    </row>
    <row r="239" spans="1:37" outlineLevel="1" x14ac:dyDescent="0.2">
      <c r="B239" t="str">
        <f>B29</f>
        <v>CM - PURSUIT CAPITAL</v>
      </c>
      <c r="C239" s="12"/>
      <c r="D239" s="12"/>
      <c r="E239" s="177">
        <f t="shared" ref="E239:R239" si="186">E29</f>
        <v>75000</v>
      </c>
      <c r="F239" s="177">
        <f t="shared" si="186"/>
        <v>0</v>
      </c>
      <c r="G239" s="177">
        <f t="shared" si="186"/>
        <v>0</v>
      </c>
      <c r="H239" s="177">
        <f t="shared" si="186"/>
        <v>0</v>
      </c>
      <c r="I239" s="177">
        <f t="shared" si="186"/>
        <v>0</v>
      </c>
      <c r="J239" s="177">
        <f t="shared" si="186"/>
        <v>0</v>
      </c>
      <c r="K239" s="177">
        <f t="shared" si="186"/>
        <v>0</v>
      </c>
      <c r="L239" s="177">
        <f t="shared" si="186"/>
        <v>0</v>
      </c>
      <c r="M239" s="177">
        <f t="shared" si="186"/>
        <v>0</v>
      </c>
      <c r="N239" s="177">
        <f t="shared" si="186"/>
        <v>0</v>
      </c>
      <c r="O239" s="177">
        <f t="shared" si="186"/>
        <v>0</v>
      </c>
      <c r="P239" s="177">
        <f t="shared" si="186"/>
        <v>0</v>
      </c>
      <c r="Q239" s="177">
        <f t="shared" si="186"/>
        <v>0</v>
      </c>
      <c r="R239" s="177">
        <f t="shared" si="186"/>
        <v>75000</v>
      </c>
    </row>
    <row r="240" spans="1:37" outlineLevel="1" x14ac:dyDescent="0.2">
      <c r="B240" s="225" t="str">
        <f>B31</f>
        <v>PM2 - EQUITY (CASH)</v>
      </c>
      <c r="C240" s="21"/>
      <c r="D240" s="21"/>
      <c r="E240" s="426">
        <f t="shared" ref="E240:R240" si="187">E31</f>
        <v>0</v>
      </c>
      <c r="F240" s="426" t="e">
        <f t="shared" si="187"/>
        <v>#REF!</v>
      </c>
      <c r="G240" s="426">
        <f t="shared" si="187"/>
        <v>0</v>
      </c>
      <c r="H240" s="426">
        <f t="shared" si="187"/>
        <v>0</v>
      </c>
      <c r="I240" s="426">
        <f t="shared" si="187"/>
        <v>0</v>
      </c>
      <c r="J240" s="426">
        <f t="shared" si="187"/>
        <v>0</v>
      </c>
      <c r="K240" s="426">
        <f t="shared" si="187"/>
        <v>0</v>
      </c>
      <c r="L240" s="426">
        <f t="shared" si="187"/>
        <v>0</v>
      </c>
      <c r="M240" s="426">
        <f t="shared" si="187"/>
        <v>0</v>
      </c>
      <c r="N240" s="426">
        <f t="shared" si="187"/>
        <v>0</v>
      </c>
      <c r="O240" s="426">
        <f t="shared" si="187"/>
        <v>0</v>
      </c>
      <c r="P240" s="426">
        <f t="shared" si="187"/>
        <v>0</v>
      </c>
      <c r="Q240" s="426">
        <f t="shared" si="187"/>
        <v>0</v>
      </c>
      <c r="R240" s="426" t="e">
        <f t="shared" si="187"/>
        <v>#REF!</v>
      </c>
    </row>
    <row r="241" spans="2:23" outlineLevel="1" x14ac:dyDescent="0.2">
      <c r="B241" t="str">
        <f>B32</f>
        <v>EQUITY / PROJECT ACQUISITION + ENTITLEMENT</v>
      </c>
      <c r="C241" s="12"/>
      <c r="D241" s="12"/>
      <c r="E241" s="177">
        <f t="shared" ref="E241:R241" si="188">E32</f>
        <v>75000</v>
      </c>
      <c r="F241" s="177" t="e">
        <f t="shared" si="188"/>
        <v>#REF!</v>
      </c>
      <c r="G241" s="177">
        <f t="shared" si="188"/>
        <v>0</v>
      </c>
      <c r="H241" s="177">
        <f t="shared" si="188"/>
        <v>0</v>
      </c>
      <c r="I241" s="177">
        <f t="shared" si="188"/>
        <v>0</v>
      </c>
      <c r="J241" s="177">
        <f t="shared" si="188"/>
        <v>0</v>
      </c>
      <c r="K241" s="177">
        <f t="shared" si="188"/>
        <v>0</v>
      </c>
      <c r="L241" s="177">
        <f t="shared" si="188"/>
        <v>0</v>
      </c>
      <c r="M241" s="177">
        <f t="shared" si="188"/>
        <v>0</v>
      </c>
      <c r="N241" s="177">
        <f t="shared" si="188"/>
        <v>0</v>
      </c>
      <c r="O241" s="177">
        <f t="shared" si="188"/>
        <v>0</v>
      </c>
      <c r="P241" s="177">
        <f t="shared" si="188"/>
        <v>0</v>
      </c>
      <c r="Q241" s="177">
        <f t="shared" si="188"/>
        <v>0</v>
      </c>
      <c r="R241" s="177" t="e">
        <f t="shared" si="188"/>
        <v>#REF!</v>
      </c>
    </row>
    <row r="242" spans="2:23" outlineLevel="1" x14ac:dyDescent="0.2">
      <c r="B242" t="str">
        <f>B35</f>
        <v>DEBT</v>
      </c>
      <c r="C242" s="12"/>
      <c r="D242" s="12"/>
      <c r="E242" s="177">
        <f t="shared" ref="E242:R242" si="189">E35</f>
        <v>0</v>
      </c>
      <c r="F242" s="177" t="e">
        <f t="shared" si="189"/>
        <v>#REF!</v>
      </c>
      <c r="G242" s="177" t="e">
        <f t="shared" si="189"/>
        <v>#REF!</v>
      </c>
      <c r="H242" s="177" t="e">
        <f t="shared" si="189"/>
        <v>#REF!</v>
      </c>
      <c r="I242" s="177" t="e">
        <f t="shared" si="189"/>
        <v>#REF!</v>
      </c>
      <c r="J242" s="177" t="e">
        <f t="shared" si="189"/>
        <v>#REF!</v>
      </c>
      <c r="K242" s="177" t="e">
        <f t="shared" si="189"/>
        <v>#REF!</v>
      </c>
      <c r="L242" s="177" t="e">
        <f t="shared" si="189"/>
        <v>#REF!</v>
      </c>
      <c r="M242" s="177" t="e">
        <f t="shared" si="189"/>
        <v>#REF!</v>
      </c>
      <c r="N242" s="177">
        <f t="shared" si="189"/>
        <v>0</v>
      </c>
      <c r="O242" s="177" t="e">
        <f t="shared" si="189"/>
        <v>#REF!</v>
      </c>
      <c r="P242" s="177" t="e">
        <f t="shared" si="189"/>
        <v>#REF!</v>
      </c>
      <c r="Q242" s="177" t="e">
        <f t="shared" si="189"/>
        <v>#REF!</v>
      </c>
      <c r="R242" s="177" t="e">
        <f t="shared" si="189"/>
        <v>#REF!</v>
      </c>
      <c r="U242" s="131"/>
      <c r="V242" s="131"/>
    </row>
    <row r="243" spans="2:23" outlineLevel="1" x14ac:dyDescent="0.2">
      <c r="B243" t="str">
        <f>B42</f>
        <v>PRESALE REVENUES</v>
      </c>
      <c r="C243" s="12"/>
      <c r="D243" s="12"/>
      <c r="E243" s="177">
        <f t="shared" ref="E243:R243" si="190">E42</f>
        <v>0</v>
      </c>
      <c r="F243" s="177">
        <f t="shared" si="190"/>
        <v>0</v>
      </c>
      <c r="G243" s="177">
        <f t="shared" si="190"/>
        <v>0</v>
      </c>
      <c r="H243" s="177">
        <f t="shared" si="190"/>
        <v>0</v>
      </c>
      <c r="I243" s="177">
        <f t="shared" si="190"/>
        <v>0</v>
      </c>
      <c r="J243" s="177">
        <f t="shared" si="190"/>
        <v>0</v>
      </c>
      <c r="K243" s="177">
        <f t="shared" si="190"/>
        <v>0</v>
      </c>
      <c r="L243" s="177">
        <f t="shared" si="190"/>
        <v>0</v>
      </c>
      <c r="M243" s="177">
        <f t="shared" si="190"/>
        <v>0</v>
      </c>
      <c r="N243" s="177">
        <f t="shared" si="190"/>
        <v>0</v>
      </c>
      <c r="O243" s="177">
        <f t="shared" si="190"/>
        <v>0</v>
      </c>
      <c r="P243" s="177">
        <f t="shared" si="190"/>
        <v>0</v>
      </c>
      <c r="Q243" s="177">
        <f t="shared" si="190"/>
        <v>0</v>
      </c>
      <c r="R243" s="177">
        <f t="shared" si="190"/>
        <v>0</v>
      </c>
    </row>
    <row r="244" spans="2:23" outlineLevel="1" x14ac:dyDescent="0.2">
      <c r="B244" t="str">
        <f>B44</f>
        <v>UNIT SALES</v>
      </c>
      <c r="C244" s="12"/>
      <c r="D244" s="12"/>
      <c r="E244" s="177">
        <f t="shared" ref="E244:R244" si="191">E44</f>
        <v>0</v>
      </c>
      <c r="F244" s="177">
        <f t="shared" si="191"/>
        <v>0</v>
      </c>
      <c r="G244" s="177">
        <f t="shared" si="191"/>
        <v>12166750</v>
      </c>
      <c r="H244" s="177">
        <f t="shared" si="191"/>
        <v>40471031.25</v>
      </c>
      <c r="I244" s="177">
        <f t="shared" si="191"/>
        <v>40982281.09375</v>
      </c>
      <c r="J244" s="177">
        <f t="shared" si="191"/>
        <v>38438839.33203125</v>
      </c>
      <c r="K244" s="177">
        <f t="shared" si="191"/>
        <v>0</v>
      </c>
      <c r="L244" s="177">
        <f t="shared" si="191"/>
        <v>0</v>
      </c>
      <c r="M244" s="177">
        <f t="shared" si="191"/>
        <v>0</v>
      </c>
      <c r="N244" s="177">
        <f t="shared" si="191"/>
        <v>0</v>
      </c>
      <c r="O244" s="177">
        <f t="shared" si="191"/>
        <v>0</v>
      </c>
      <c r="P244" s="177">
        <f t="shared" si="191"/>
        <v>0</v>
      </c>
      <c r="Q244" s="177">
        <f t="shared" si="191"/>
        <v>0</v>
      </c>
      <c r="R244" s="177">
        <f t="shared" si="191"/>
        <v>132058901.67578125</v>
      </c>
    </row>
    <row r="245" spans="2:23" outlineLevel="1" x14ac:dyDescent="0.2">
      <c r="B245" s="49" t="str">
        <f>B45</f>
        <v>TOTAL SOURCES</v>
      </c>
      <c r="C245" s="52"/>
      <c r="D245" s="52"/>
      <c r="E245" s="233">
        <f t="shared" ref="E245:R245" si="192">E45</f>
        <v>75000</v>
      </c>
      <c r="F245" s="233" t="e">
        <f t="shared" si="192"/>
        <v>#REF!</v>
      </c>
      <c r="G245" s="233" t="e">
        <f t="shared" si="192"/>
        <v>#REF!</v>
      </c>
      <c r="H245" s="233" t="e">
        <f t="shared" si="192"/>
        <v>#REF!</v>
      </c>
      <c r="I245" s="233" t="e">
        <f t="shared" si="192"/>
        <v>#REF!</v>
      </c>
      <c r="J245" s="233" t="e">
        <f t="shared" si="192"/>
        <v>#REF!</v>
      </c>
      <c r="K245" s="233" t="e">
        <f t="shared" si="192"/>
        <v>#REF!</v>
      </c>
      <c r="L245" s="233" t="e">
        <f t="shared" si="192"/>
        <v>#REF!</v>
      </c>
      <c r="M245" s="233" t="e">
        <f t="shared" si="192"/>
        <v>#REF!</v>
      </c>
      <c r="N245" s="233">
        <f t="shared" si="192"/>
        <v>0</v>
      </c>
      <c r="O245" s="233" t="e">
        <f t="shared" si="192"/>
        <v>#REF!</v>
      </c>
      <c r="P245" s="233" t="e">
        <f t="shared" si="192"/>
        <v>#REF!</v>
      </c>
      <c r="Q245" s="233" t="e">
        <f t="shared" si="192"/>
        <v>#REF!</v>
      </c>
      <c r="R245" s="479" t="e">
        <f t="shared" si="192"/>
        <v>#REF!</v>
      </c>
      <c r="T245" s="11" t="s">
        <v>390</v>
      </c>
    </row>
    <row r="246" spans="2:23" ht="22.25" customHeight="1" outlineLevel="1" x14ac:dyDescent="0.2">
      <c r="C246" s="12"/>
      <c r="D246" s="12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</row>
    <row r="247" spans="2:23" outlineLevel="1" x14ac:dyDescent="0.2">
      <c r="B247" s="124" t="str">
        <f>B47</f>
        <v>USES</v>
      </c>
      <c r="C247" s="36"/>
      <c r="D247" s="36"/>
      <c r="E247" s="183">
        <f t="shared" ref="E247:Q247" si="193">E5</f>
        <v>44927</v>
      </c>
      <c r="F247" s="183">
        <f t="shared" si="193"/>
        <v>45292</v>
      </c>
      <c r="G247" s="183">
        <f t="shared" si="193"/>
        <v>45658</v>
      </c>
      <c r="H247" s="183">
        <f t="shared" si="193"/>
        <v>46023</v>
      </c>
      <c r="I247" s="183">
        <f t="shared" si="193"/>
        <v>46388</v>
      </c>
      <c r="J247" s="183">
        <f t="shared" si="193"/>
        <v>46753</v>
      </c>
      <c r="K247" s="183">
        <f t="shared" si="193"/>
        <v>47119</v>
      </c>
      <c r="L247" s="183">
        <f t="shared" si="193"/>
        <v>47484</v>
      </c>
      <c r="M247" s="183">
        <f t="shared" si="193"/>
        <v>47849</v>
      </c>
      <c r="N247" s="183">
        <f t="shared" si="193"/>
        <v>48214</v>
      </c>
      <c r="O247" s="183">
        <f t="shared" si="193"/>
        <v>48579</v>
      </c>
      <c r="P247" s="183">
        <f t="shared" si="193"/>
        <v>48945</v>
      </c>
      <c r="Q247" s="183">
        <f t="shared" si="193"/>
        <v>49310</v>
      </c>
      <c r="R247" s="183" t="s">
        <v>212</v>
      </c>
    </row>
    <row r="248" spans="2:23" outlineLevel="1" x14ac:dyDescent="0.2">
      <c r="B248" t="s">
        <v>265</v>
      </c>
      <c r="C248" s="12"/>
      <c r="D248" s="12"/>
      <c r="E248" s="177">
        <f t="shared" ref="E248:R248" si="194">E58</f>
        <v>0</v>
      </c>
      <c r="F248" s="177" t="e">
        <f t="shared" si="194"/>
        <v>#REF!</v>
      </c>
      <c r="G248" s="177" t="e">
        <f t="shared" si="194"/>
        <v>#REF!</v>
      </c>
      <c r="H248" s="177" t="e">
        <f t="shared" si="194"/>
        <v>#REF!</v>
      </c>
      <c r="I248" s="177" t="e">
        <f t="shared" si="194"/>
        <v>#REF!</v>
      </c>
      <c r="J248" s="177" t="e">
        <f t="shared" si="194"/>
        <v>#REF!</v>
      </c>
      <c r="K248" s="177" t="e">
        <f t="shared" si="194"/>
        <v>#REF!</v>
      </c>
      <c r="L248" s="177" t="e">
        <f t="shared" si="194"/>
        <v>#REF!</v>
      </c>
      <c r="M248" s="177" t="e">
        <f t="shared" si="194"/>
        <v>#REF!</v>
      </c>
      <c r="N248" s="177" t="e">
        <f t="shared" si="194"/>
        <v>#REF!</v>
      </c>
      <c r="O248" s="177" t="e">
        <f t="shared" si="194"/>
        <v>#REF!</v>
      </c>
      <c r="P248" s="177" t="e">
        <f t="shared" si="194"/>
        <v>#REF!</v>
      </c>
      <c r="Q248" s="177" t="e">
        <f t="shared" si="194"/>
        <v>#REF!</v>
      </c>
      <c r="R248" s="177" t="e">
        <f t="shared" si="194"/>
        <v>#REF!</v>
      </c>
    </row>
    <row r="249" spans="2:23" outlineLevel="1" x14ac:dyDescent="0.2">
      <c r="B249" t="s">
        <v>391</v>
      </c>
      <c r="C249" s="12"/>
      <c r="D249" s="12"/>
      <c r="E249" s="177">
        <f t="shared" ref="E249:R249" si="195">+E64+E72</f>
        <v>0</v>
      </c>
      <c r="F249" s="177">
        <f t="shared" si="195"/>
        <v>7815000</v>
      </c>
      <c r="G249" s="177">
        <f t="shared" si="195"/>
        <v>9163750</v>
      </c>
      <c r="H249" s="177">
        <f t="shared" si="195"/>
        <v>819250</v>
      </c>
      <c r="I249" s="177">
        <f t="shared" si="195"/>
        <v>813750</v>
      </c>
      <c r="J249" s="177">
        <f t="shared" si="195"/>
        <v>0</v>
      </c>
      <c r="K249" s="177">
        <f t="shared" si="195"/>
        <v>0</v>
      </c>
      <c r="L249" s="177">
        <f t="shared" si="195"/>
        <v>0</v>
      </c>
      <c r="M249" s="177">
        <f t="shared" si="195"/>
        <v>0</v>
      </c>
      <c r="N249" s="177">
        <f t="shared" si="195"/>
        <v>0</v>
      </c>
      <c r="O249" s="177">
        <f t="shared" si="195"/>
        <v>0</v>
      </c>
      <c r="P249" s="177">
        <f t="shared" si="195"/>
        <v>0</v>
      </c>
      <c r="Q249" s="177">
        <f t="shared" si="195"/>
        <v>0</v>
      </c>
      <c r="R249" s="177">
        <f t="shared" si="195"/>
        <v>18611750</v>
      </c>
    </row>
    <row r="250" spans="2:23" outlineLevel="1" x14ac:dyDescent="0.2">
      <c r="B250" t="s">
        <v>392</v>
      </c>
      <c r="C250" s="12"/>
      <c r="D250" s="12"/>
      <c r="E250" s="177">
        <f t="shared" ref="E250:R250" si="196">+E80+E88+E105+E96</f>
        <v>0</v>
      </c>
      <c r="F250" s="177">
        <f t="shared" si="196"/>
        <v>1608142.764375</v>
      </c>
      <c r="G250" s="177">
        <f t="shared" si="196"/>
        <v>9982606.4963437505</v>
      </c>
      <c r="H250" s="177">
        <f t="shared" si="196"/>
        <v>19293321.172317188</v>
      </c>
      <c r="I250" s="177">
        <f t="shared" si="196"/>
        <v>17603631.901115857</v>
      </c>
      <c r="J250" s="177">
        <f t="shared" si="196"/>
        <v>11925546.733180793</v>
      </c>
      <c r="K250" s="177">
        <f t="shared" si="196"/>
        <v>0</v>
      </c>
      <c r="L250" s="177">
        <f t="shared" si="196"/>
        <v>0</v>
      </c>
      <c r="M250" s="177">
        <f t="shared" si="196"/>
        <v>0</v>
      </c>
      <c r="N250" s="177">
        <f t="shared" si="196"/>
        <v>0</v>
      </c>
      <c r="O250" s="177">
        <f t="shared" si="196"/>
        <v>0</v>
      </c>
      <c r="P250" s="177">
        <f t="shared" si="196"/>
        <v>0</v>
      </c>
      <c r="Q250" s="177">
        <f t="shared" si="196"/>
        <v>0</v>
      </c>
      <c r="R250" s="177">
        <f t="shared" si="196"/>
        <v>60413249.067332596</v>
      </c>
      <c r="V250" s="234"/>
      <c r="W250" s="40" t="e">
        <f>XIRR(E232:Q232,E5:Q5)</f>
        <v>#REF!</v>
      </c>
    </row>
    <row r="251" spans="2:23" outlineLevel="1" x14ac:dyDescent="0.2">
      <c r="B251" t="s">
        <v>310</v>
      </c>
      <c r="C251" s="12"/>
      <c r="D251" s="12"/>
      <c r="E251" s="177">
        <f t="shared" ref="E251:R251" si="197">E114</f>
        <v>0</v>
      </c>
      <c r="F251" s="177">
        <f t="shared" si="197"/>
        <v>124146.75</v>
      </c>
      <c r="G251" s="177">
        <f t="shared" si="197"/>
        <v>218569.3125</v>
      </c>
      <c r="H251" s="177">
        <f t="shared" si="197"/>
        <v>124146.75</v>
      </c>
      <c r="I251" s="177">
        <f t="shared" si="197"/>
        <v>111021.75</v>
      </c>
      <c r="J251" s="177">
        <f t="shared" si="197"/>
        <v>29724.1875</v>
      </c>
      <c r="K251" s="177">
        <f t="shared" si="197"/>
        <v>0</v>
      </c>
      <c r="L251" s="177">
        <f t="shared" si="197"/>
        <v>0</v>
      </c>
      <c r="M251" s="177">
        <f t="shared" si="197"/>
        <v>0</v>
      </c>
      <c r="N251" s="177">
        <f t="shared" si="197"/>
        <v>0</v>
      </c>
      <c r="O251" s="177">
        <f t="shared" si="197"/>
        <v>0</v>
      </c>
      <c r="P251" s="177">
        <f t="shared" si="197"/>
        <v>0</v>
      </c>
      <c r="Q251" s="177">
        <f t="shared" si="197"/>
        <v>0</v>
      </c>
      <c r="R251" s="177">
        <f t="shared" si="197"/>
        <v>607608.75</v>
      </c>
      <c r="V251" s="11">
        <v>150000</v>
      </c>
      <c r="W251" s="142" t="e">
        <f t="dataTable" ref="W251:W255" dt2D="0" dtr="0" r1="C54"/>
        <v>#REF!</v>
      </c>
    </row>
    <row r="252" spans="2:23" outlineLevel="1" x14ac:dyDescent="0.2">
      <c r="B252" t="s">
        <v>393</v>
      </c>
      <c r="C252" s="12"/>
      <c r="D252" s="12"/>
      <c r="E252" s="177">
        <f t="shared" ref="E252:R252" si="198">E128+E142+E169+E156</f>
        <v>40556.25</v>
      </c>
      <c r="F252" s="177">
        <f t="shared" si="198"/>
        <v>458003.77481249999</v>
      </c>
      <c r="G252" s="177">
        <f t="shared" si="198"/>
        <v>724955.57400000002</v>
      </c>
      <c r="H252" s="177">
        <f t="shared" si="198"/>
        <v>785507.76674999995</v>
      </c>
      <c r="I252" s="177">
        <f t="shared" si="198"/>
        <v>577195.65749999997</v>
      </c>
      <c r="J252" s="177">
        <f t="shared" si="198"/>
        <v>210950.30118750001</v>
      </c>
      <c r="K252" s="177">
        <f t="shared" si="198"/>
        <v>0</v>
      </c>
      <c r="L252" s="177">
        <f t="shared" si="198"/>
        <v>0</v>
      </c>
      <c r="M252" s="177">
        <f t="shared" si="198"/>
        <v>0</v>
      </c>
      <c r="N252" s="177">
        <f t="shared" si="198"/>
        <v>0</v>
      </c>
      <c r="O252" s="177">
        <f t="shared" si="198"/>
        <v>0</v>
      </c>
      <c r="P252" s="177">
        <f t="shared" si="198"/>
        <v>0</v>
      </c>
      <c r="Q252" s="177">
        <f t="shared" si="198"/>
        <v>0</v>
      </c>
      <c r="R252" s="177">
        <f t="shared" si="198"/>
        <v>2797169.3242500001</v>
      </c>
      <c r="V252" s="11">
        <v>175000</v>
      </c>
      <c r="W252" s="142" t="e">
        <v>#REF!</v>
      </c>
    </row>
    <row r="253" spans="2:23" outlineLevel="1" x14ac:dyDescent="0.2">
      <c r="B253" t="s">
        <v>337</v>
      </c>
      <c r="C253" s="12"/>
      <c r="D253" s="12"/>
      <c r="E253" s="177">
        <f t="shared" ref="E253:R253" si="199">E176</f>
        <v>0</v>
      </c>
      <c r="F253" s="177">
        <f t="shared" si="199"/>
        <v>225000</v>
      </c>
      <c r="G253" s="177">
        <f t="shared" si="199"/>
        <v>758337.5</v>
      </c>
      <c r="H253" s="177">
        <f t="shared" si="199"/>
        <v>2098551.5625</v>
      </c>
      <c r="I253" s="177">
        <f t="shared" si="199"/>
        <v>2124114.0546875</v>
      </c>
      <c r="J253" s="177">
        <f t="shared" si="199"/>
        <v>1996941.9666015627</v>
      </c>
      <c r="K253" s="177">
        <f t="shared" si="199"/>
        <v>0</v>
      </c>
      <c r="L253" s="177">
        <f t="shared" si="199"/>
        <v>0</v>
      </c>
      <c r="M253" s="177">
        <f t="shared" si="199"/>
        <v>0</v>
      </c>
      <c r="N253" s="177">
        <f t="shared" si="199"/>
        <v>0</v>
      </c>
      <c r="O253" s="177">
        <f t="shared" si="199"/>
        <v>0</v>
      </c>
      <c r="P253" s="177">
        <f t="shared" si="199"/>
        <v>0</v>
      </c>
      <c r="Q253" s="177">
        <f t="shared" si="199"/>
        <v>0</v>
      </c>
      <c r="R253" s="177">
        <f t="shared" si="199"/>
        <v>7202945.0837890627</v>
      </c>
      <c r="V253" s="11">
        <v>200000</v>
      </c>
      <c r="W253" s="142" t="e">
        <v>#REF!</v>
      </c>
    </row>
    <row r="254" spans="2:23" outlineLevel="1" x14ac:dyDescent="0.2">
      <c r="B254" t="s">
        <v>342</v>
      </c>
      <c r="C254" s="12"/>
      <c r="D254" s="12"/>
      <c r="E254" s="177">
        <f t="shared" ref="E254:R254" si="200">E181</f>
        <v>0</v>
      </c>
      <c r="F254" s="177">
        <f t="shared" si="200"/>
        <v>15479.143960937499</v>
      </c>
      <c r="G254" s="177">
        <f t="shared" si="200"/>
        <v>29796.865174609375</v>
      </c>
      <c r="H254" s="177">
        <f t="shared" si="200"/>
        <v>32285.867227480467</v>
      </c>
      <c r="I254" s="177">
        <f t="shared" si="200"/>
        <v>55145.672970749016</v>
      </c>
      <c r="J254" s="177">
        <f t="shared" si="200"/>
        <v>23867.676437599948</v>
      </c>
      <c r="K254" s="177">
        <f t="shared" si="200"/>
        <v>0</v>
      </c>
      <c r="L254" s="177">
        <f t="shared" si="200"/>
        <v>0</v>
      </c>
      <c r="M254" s="177">
        <f t="shared" si="200"/>
        <v>0</v>
      </c>
      <c r="N254" s="177">
        <f t="shared" si="200"/>
        <v>0</v>
      </c>
      <c r="O254" s="177">
        <f t="shared" si="200"/>
        <v>0</v>
      </c>
      <c r="P254" s="177">
        <f t="shared" si="200"/>
        <v>0</v>
      </c>
      <c r="Q254" s="177">
        <f t="shared" si="200"/>
        <v>0</v>
      </c>
      <c r="R254" s="177">
        <f t="shared" si="200"/>
        <v>156575.22577137628</v>
      </c>
      <c r="V254" s="11">
        <v>225000</v>
      </c>
      <c r="W254" s="142" t="e">
        <v>#REF!</v>
      </c>
    </row>
    <row r="255" spans="2:23" outlineLevel="1" x14ac:dyDescent="0.2">
      <c r="B255" t="s">
        <v>347</v>
      </c>
      <c r="C255" s="12"/>
      <c r="D255" s="12"/>
      <c r="E255" s="177">
        <f t="shared" ref="E255:R255" si="201">E188</f>
        <v>0</v>
      </c>
      <c r="F255" s="177">
        <f t="shared" si="201"/>
        <v>221200</v>
      </c>
      <c r="G255" s="177">
        <f t="shared" si="201"/>
        <v>717000</v>
      </c>
      <c r="H255" s="177">
        <f t="shared" si="201"/>
        <v>621400</v>
      </c>
      <c r="I255" s="177">
        <f t="shared" si="201"/>
        <v>555800</v>
      </c>
      <c r="J255" s="177">
        <f t="shared" si="201"/>
        <v>0</v>
      </c>
      <c r="K255" s="177">
        <f t="shared" si="201"/>
        <v>0</v>
      </c>
      <c r="L255" s="177">
        <f t="shared" si="201"/>
        <v>0</v>
      </c>
      <c r="M255" s="177">
        <f t="shared" si="201"/>
        <v>0</v>
      </c>
      <c r="N255" s="177">
        <f t="shared" si="201"/>
        <v>0</v>
      </c>
      <c r="O255" s="177">
        <f t="shared" si="201"/>
        <v>0</v>
      </c>
      <c r="P255" s="177">
        <f t="shared" si="201"/>
        <v>0</v>
      </c>
      <c r="Q255" s="177">
        <f t="shared" si="201"/>
        <v>0</v>
      </c>
      <c r="R255" s="177">
        <f t="shared" si="201"/>
        <v>2115400</v>
      </c>
      <c r="V255" s="11">
        <v>250000</v>
      </c>
      <c r="W255" s="142" t="e">
        <v>#REF!</v>
      </c>
    </row>
    <row r="256" spans="2:23" outlineLevel="1" x14ac:dyDescent="0.2">
      <c r="B256" t="s">
        <v>359</v>
      </c>
      <c r="C256" s="12"/>
      <c r="D256" s="12"/>
      <c r="E256" s="177">
        <f t="shared" ref="E256:R256" si="202">E195</f>
        <v>0</v>
      </c>
      <c r="F256" s="177" t="e">
        <f t="shared" si="202"/>
        <v>#REF!</v>
      </c>
      <c r="G256" s="177" t="e">
        <f t="shared" si="202"/>
        <v>#REF!</v>
      </c>
      <c r="H256" s="177" t="e">
        <f t="shared" si="202"/>
        <v>#REF!</v>
      </c>
      <c r="I256" s="177" t="e">
        <f t="shared" si="202"/>
        <v>#REF!</v>
      </c>
      <c r="J256" s="177" t="e">
        <f t="shared" si="202"/>
        <v>#REF!</v>
      </c>
      <c r="K256" s="177">
        <f t="shared" si="202"/>
        <v>0</v>
      </c>
      <c r="L256" s="177">
        <f t="shared" si="202"/>
        <v>0</v>
      </c>
      <c r="M256" s="177">
        <f t="shared" si="202"/>
        <v>0</v>
      </c>
      <c r="N256" s="177">
        <f t="shared" si="202"/>
        <v>0</v>
      </c>
      <c r="O256" s="177">
        <f t="shared" si="202"/>
        <v>0</v>
      </c>
      <c r="P256" s="177">
        <f t="shared" si="202"/>
        <v>0</v>
      </c>
      <c r="Q256" s="177">
        <f t="shared" si="202"/>
        <v>0</v>
      </c>
      <c r="R256" s="177" t="e">
        <f t="shared" si="202"/>
        <v>#REF!</v>
      </c>
    </row>
    <row r="257" spans="2:20" outlineLevel="1" x14ac:dyDescent="0.2">
      <c r="B257" t="s">
        <v>368</v>
      </c>
      <c r="C257" s="12"/>
      <c r="D257" s="12"/>
      <c r="E257" s="177">
        <f t="shared" ref="E257:R257" si="203">E206</f>
        <v>0</v>
      </c>
      <c r="F257" s="177">
        <f t="shared" si="203"/>
        <v>0</v>
      </c>
      <c r="G257" s="177" t="e">
        <f t="shared" si="203"/>
        <v>#REF!</v>
      </c>
      <c r="H257" s="177" t="e">
        <f t="shared" si="203"/>
        <v>#REF!</v>
      </c>
      <c r="I257" s="177" t="e">
        <f t="shared" si="203"/>
        <v>#REF!</v>
      </c>
      <c r="J257" s="177" t="e">
        <f t="shared" si="203"/>
        <v>#REF!</v>
      </c>
      <c r="K257" s="177" t="e">
        <f t="shared" si="203"/>
        <v>#REF!</v>
      </c>
      <c r="L257" s="177" t="e">
        <f t="shared" si="203"/>
        <v>#REF!</v>
      </c>
      <c r="M257" s="177" t="e">
        <f t="shared" si="203"/>
        <v>#REF!</v>
      </c>
      <c r="N257" s="177" t="e">
        <f t="shared" si="203"/>
        <v>#REF!</v>
      </c>
      <c r="O257" s="177" t="e">
        <f t="shared" si="203"/>
        <v>#REF!</v>
      </c>
      <c r="P257" s="177" t="e">
        <f t="shared" si="203"/>
        <v>#REF!</v>
      </c>
      <c r="Q257" s="177" t="e">
        <f t="shared" si="203"/>
        <v>#REF!</v>
      </c>
      <c r="R257" s="177" t="e">
        <f t="shared" si="203"/>
        <v>#REF!</v>
      </c>
    </row>
    <row r="258" spans="2:20" outlineLevel="1" x14ac:dyDescent="0.2">
      <c r="B258" t="s">
        <v>384</v>
      </c>
      <c r="C258" s="12"/>
      <c r="D258" s="12"/>
      <c r="E258" s="177">
        <f t="shared" ref="E258:R258" si="204">E226</f>
        <v>0</v>
      </c>
      <c r="F258" s="177" t="e">
        <f t="shared" si="204"/>
        <v>#REF!</v>
      </c>
      <c r="G258" s="177" t="e">
        <f t="shared" si="204"/>
        <v>#REF!</v>
      </c>
      <c r="H258" s="177" t="e">
        <f t="shared" si="204"/>
        <v>#REF!</v>
      </c>
      <c r="I258" s="177" t="e">
        <f t="shared" si="204"/>
        <v>#REF!</v>
      </c>
      <c r="J258" s="177" t="e">
        <f t="shared" si="204"/>
        <v>#REF!</v>
      </c>
      <c r="K258" s="177" t="e">
        <f t="shared" si="204"/>
        <v>#REF!</v>
      </c>
      <c r="L258" s="177" t="e">
        <f t="shared" si="204"/>
        <v>#REF!</v>
      </c>
      <c r="M258" s="177" t="e">
        <f t="shared" si="204"/>
        <v>#REF!</v>
      </c>
      <c r="N258" s="177" t="e">
        <f t="shared" si="204"/>
        <v>#REF!</v>
      </c>
      <c r="O258" s="177" t="e">
        <f t="shared" si="204"/>
        <v>#REF!</v>
      </c>
      <c r="P258" s="177" t="e">
        <f t="shared" si="204"/>
        <v>#REF!</v>
      </c>
      <c r="Q258" s="177" t="e">
        <f t="shared" si="204"/>
        <v>#REF!</v>
      </c>
      <c r="R258" s="177" t="e">
        <f t="shared" si="204"/>
        <v>#REF!</v>
      </c>
    </row>
    <row r="259" spans="2:20" outlineLevel="1" x14ac:dyDescent="0.2">
      <c r="B259" s="49" t="str">
        <f>B228</f>
        <v>TOTAL USES</v>
      </c>
      <c r="C259" s="52"/>
      <c r="D259" s="52"/>
      <c r="E259" s="233">
        <f t="shared" ref="E259:R259" si="205">E228</f>
        <v>40556.25</v>
      </c>
      <c r="F259" s="233" t="e">
        <f t="shared" si="205"/>
        <v>#REF!</v>
      </c>
      <c r="G259" s="233" t="e">
        <f t="shared" si="205"/>
        <v>#REF!</v>
      </c>
      <c r="H259" s="233" t="e">
        <f t="shared" si="205"/>
        <v>#REF!</v>
      </c>
      <c r="I259" s="233" t="e">
        <f t="shared" si="205"/>
        <v>#REF!</v>
      </c>
      <c r="J259" s="233" t="e">
        <f t="shared" si="205"/>
        <v>#REF!</v>
      </c>
      <c r="K259" s="233" t="e">
        <f t="shared" si="205"/>
        <v>#REF!</v>
      </c>
      <c r="L259" s="233" t="e">
        <f t="shared" si="205"/>
        <v>#REF!</v>
      </c>
      <c r="M259" s="233" t="e">
        <f t="shared" si="205"/>
        <v>#REF!</v>
      </c>
      <c r="N259" s="233" t="e">
        <f t="shared" si="205"/>
        <v>#REF!</v>
      </c>
      <c r="O259" s="233" t="e">
        <f t="shared" si="205"/>
        <v>#REF!</v>
      </c>
      <c r="P259" s="233" t="e">
        <f t="shared" si="205"/>
        <v>#REF!</v>
      </c>
      <c r="Q259" s="233" t="e">
        <f t="shared" si="205"/>
        <v>#REF!</v>
      </c>
      <c r="R259" s="479" t="e">
        <f t="shared" si="205"/>
        <v>#REF!</v>
      </c>
      <c r="T259" s="11" t="s">
        <v>390</v>
      </c>
    </row>
    <row r="260" spans="2:20" x14ac:dyDescent="0.2">
      <c r="B260" s="3"/>
      <c r="C260" s="23"/>
      <c r="D260" s="23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</row>
    <row r="263" spans="2:20" x14ac:dyDescent="0.2">
      <c r="B263" s="243" t="s">
        <v>55</v>
      </c>
      <c r="C263" s="243"/>
      <c r="D263" s="190"/>
      <c r="E263" s="243" t="s">
        <v>37</v>
      </c>
      <c r="F263" s="246"/>
      <c r="G263" s="246"/>
      <c r="H263" s="246"/>
      <c r="I263" s="190"/>
      <c r="J263" s="243" t="s">
        <v>38</v>
      </c>
      <c r="K263" s="243"/>
      <c r="L263" s="246"/>
      <c r="M263" s="243"/>
    </row>
    <row r="264" spans="2:20" x14ac:dyDescent="0.2">
      <c r="B264" s="430" t="s">
        <v>394</v>
      </c>
      <c r="C264" s="620">
        <v>600</v>
      </c>
      <c r="D264" s="154"/>
      <c r="E264" s="154"/>
      <c r="F264" s="621" t="s">
        <v>395</v>
      </c>
      <c r="G264" s="621" t="s">
        <v>40</v>
      </c>
      <c r="H264" s="621" t="s">
        <v>41</v>
      </c>
      <c r="I264" s="154"/>
      <c r="J264" s="129" t="s">
        <v>396</v>
      </c>
      <c r="K264" s="154"/>
      <c r="L264" s="154"/>
      <c r="M264" s="241">
        <v>7.4999999999999997E-2</v>
      </c>
    </row>
    <row r="265" spans="2:20" x14ac:dyDescent="0.2">
      <c r="B265" s="430" t="s">
        <v>302</v>
      </c>
      <c r="C265" s="620">
        <v>575</v>
      </c>
      <c r="D265" s="154"/>
      <c r="E265" s="430" t="s">
        <v>397</v>
      </c>
      <c r="F265" s="334">
        <v>3</v>
      </c>
      <c r="G265" s="211">
        <v>2650</v>
      </c>
      <c r="H265" s="211">
        <v>1425</v>
      </c>
      <c r="I265" s="154"/>
      <c r="J265" s="129" t="s">
        <v>398</v>
      </c>
      <c r="K265" s="154"/>
      <c r="L265" s="154"/>
      <c r="M265" s="241">
        <v>7.4999999999999997E-2</v>
      </c>
    </row>
    <row r="266" spans="2:20" x14ac:dyDescent="0.2">
      <c r="B266" s="430" t="s">
        <v>399</v>
      </c>
      <c r="C266" s="620">
        <v>475</v>
      </c>
      <c r="D266" s="154"/>
      <c r="E266" s="430" t="s">
        <v>400</v>
      </c>
      <c r="F266" s="334">
        <v>10</v>
      </c>
      <c r="G266" s="211">
        <f>2180+225</f>
        <v>2405</v>
      </c>
      <c r="H266" s="211">
        <v>1450</v>
      </c>
      <c r="I266" s="154"/>
      <c r="J266" s="154" t="s">
        <v>43</v>
      </c>
      <c r="K266" s="154"/>
      <c r="L266" s="154"/>
      <c r="M266" s="212">
        <v>1</v>
      </c>
    </row>
    <row r="267" spans="2:20" x14ac:dyDescent="0.2">
      <c r="B267" s="154" t="s">
        <v>44</v>
      </c>
      <c r="C267" s="212">
        <v>1</v>
      </c>
      <c r="D267" s="154"/>
      <c r="E267" s="430" t="s">
        <v>401</v>
      </c>
      <c r="F267" s="334">
        <v>22</v>
      </c>
      <c r="G267" s="211">
        <f>1533+250</f>
        <v>1783</v>
      </c>
      <c r="H267" s="211">
        <v>1375</v>
      </c>
      <c r="I267" s="154"/>
      <c r="J267" s="154" t="s">
        <v>46</v>
      </c>
      <c r="K267" s="154"/>
      <c r="L267" s="154"/>
      <c r="M267" s="212">
        <v>0.2</v>
      </c>
    </row>
    <row r="268" spans="2:20" x14ac:dyDescent="0.2">
      <c r="B268" s="154" t="s">
        <v>47</v>
      </c>
      <c r="C268" s="622">
        <v>0.05</v>
      </c>
      <c r="D268" s="154"/>
      <c r="E268" s="430" t="s">
        <v>230</v>
      </c>
      <c r="F268" s="334">
        <v>8</v>
      </c>
      <c r="G268" s="211">
        <v>1350</v>
      </c>
      <c r="H268" s="211">
        <v>1450</v>
      </c>
      <c r="I268" s="154"/>
      <c r="J268" s="154" t="s">
        <v>49</v>
      </c>
      <c r="K268" s="154"/>
      <c r="L268" s="154"/>
      <c r="M268" s="212">
        <v>0.3</v>
      </c>
    </row>
    <row r="269" spans="2:20" x14ac:dyDescent="0.2">
      <c r="B269" s="430" t="s">
        <v>50</v>
      </c>
      <c r="C269" s="620">
        <v>256</v>
      </c>
      <c r="D269" s="154"/>
      <c r="E269" s="430"/>
      <c r="F269" s="334"/>
      <c r="G269" s="211"/>
      <c r="H269" s="211"/>
      <c r="I269" s="154"/>
      <c r="J269" s="154"/>
      <c r="K269" s="154"/>
      <c r="L269" s="154"/>
      <c r="M269" s="212"/>
    </row>
  </sheetData>
  <mergeCells count="6">
    <mergeCell ref="H61:M62"/>
    <mergeCell ref="T28:U28"/>
    <mergeCell ref="W28:Y28"/>
    <mergeCell ref="C5:C6"/>
    <mergeCell ref="D5:D6"/>
    <mergeCell ref="S5:S6"/>
  </mergeCells>
  <phoneticPr fontId="20" type="noConversion"/>
  <conditionalFormatting sqref="F16:Q19">
    <cfRule type="cellIs" dxfId="6" priority="5" operator="equal">
      <formula>0</formula>
    </cfRule>
  </conditionalFormatting>
  <pageMargins left="0.7" right="0.7" top="0.5" bottom="0.5" header="0.3" footer="0.3"/>
  <pageSetup scale="48" fitToHeight="4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189" max="18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093D-2FD0-474B-B7EB-59438CEB0AF7}">
  <sheetPr codeName="Sheet2">
    <tabColor theme="9" tint="0.59999389629810485"/>
  </sheetPr>
  <dimension ref="A1:V62"/>
  <sheetViews>
    <sheetView zoomScale="80" zoomScaleNormal="80" workbookViewId="0">
      <selection activeCell="I7" sqref="I7"/>
    </sheetView>
  </sheetViews>
  <sheetFormatPr baseColWidth="10" defaultColWidth="11" defaultRowHeight="16" outlineLevelCol="1" x14ac:dyDescent="0.2"/>
  <cols>
    <col min="1" max="1" width="1.6640625" style="2" customWidth="1"/>
    <col min="2" max="2" width="37.1640625" bestFit="1" customWidth="1"/>
    <col min="3" max="3" width="11.1640625" bestFit="1" customWidth="1"/>
    <col min="4" max="4" width="13" bestFit="1" customWidth="1"/>
    <col min="5" max="5" width="11.1640625" customWidth="1"/>
    <col min="6" max="9" width="14.1640625" customWidth="1"/>
    <col min="10" max="10" width="12" customWidth="1"/>
    <col min="11" max="11" width="13.5" customWidth="1"/>
    <col min="12" max="12" width="14.1640625" customWidth="1"/>
    <col min="13" max="13" width="13.6640625" customWidth="1"/>
    <col min="14" max="19" width="12.1640625" customWidth="1" outlineLevel="1"/>
    <col min="20" max="20" width="3.6640625" customWidth="1"/>
    <col min="21" max="21" width="14" bestFit="1" customWidth="1"/>
    <col min="22" max="22" width="13.1640625" bestFit="1" customWidth="1"/>
  </cols>
  <sheetData>
    <row r="1" spans="1:20" s="2" customFormat="1" ht="21" x14ac:dyDescent="0.25">
      <c r="A1" s="75"/>
      <c r="B1" s="301" t="s">
        <v>402</v>
      </c>
      <c r="C1" s="302"/>
      <c r="D1" s="302"/>
      <c r="E1" s="302"/>
    </row>
    <row r="2" spans="1:20" x14ac:dyDescent="0.2">
      <c r="A2" s="261"/>
      <c r="B2" s="1" t="s">
        <v>141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T2" s="96"/>
    </row>
    <row r="3" spans="1:20" x14ac:dyDescent="0.2">
      <c r="A3" s="261"/>
      <c r="H3" s="138"/>
    </row>
    <row r="4" spans="1:20" x14ac:dyDescent="0.2">
      <c r="A4" s="261"/>
      <c r="B4" s="194" t="s">
        <v>142</v>
      </c>
      <c r="C4" s="194"/>
      <c r="D4" s="194"/>
      <c r="E4" s="3"/>
      <c r="F4" s="194" t="s">
        <v>155</v>
      </c>
      <c r="G4" s="194"/>
      <c r="H4" s="194"/>
      <c r="Q4" s="2"/>
      <c r="R4" s="2"/>
      <c r="T4" s="2"/>
    </row>
    <row r="5" spans="1:20" x14ac:dyDescent="0.2">
      <c r="A5" s="261"/>
      <c r="B5" s="242" t="s">
        <v>403</v>
      </c>
      <c r="D5" s="290" t="e">
        <f>SUM('Proforma Resi'!R32,'Proforma Resi'!R35)</f>
        <v>#REF!</v>
      </c>
      <c r="F5" t="s">
        <v>404</v>
      </c>
      <c r="H5" s="290" t="e">
        <f>D54</f>
        <v>#REF!</v>
      </c>
      <c r="Q5" s="2"/>
      <c r="R5" s="2"/>
      <c r="T5" s="2"/>
    </row>
    <row r="6" spans="1:20" x14ac:dyDescent="0.2">
      <c r="A6" s="261"/>
      <c r="B6" s="242" t="s">
        <v>405</v>
      </c>
      <c r="D6" s="290">
        <f>'Proforma Resi'!T11</f>
        <v>117820000</v>
      </c>
      <c r="F6" t="s">
        <v>406</v>
      </c>
      <c r="H6" s="276" t="e">
        <f>D55</f>
        <v>#REF!</v>
      </c>
    </row>
    <row r="7" spans="1:20" x14ac:dyDescent="0.2">
      <c r="A7" s="261"/>
      <c r="B7" s="242" t="s">
        <v>407</v>
      </c>
      <c r="D7" s="262">
        <f>'Proforma Resi'!G44+'Proforma Resi'!F42</f>
        <v>12166750</v>
      </c>
      <c r="F7" s="242" t="s">
        <v>408</v>
      </c>
      <c r="H7" s="291" t="e">
        <f>D56</f>
        <v>#REF!</v>
      </c>
    </row>
    <row r="8" spans="1:20" ht="15.5" customHeight="1" x14ac:dyDescent="0.2">
      <c r="A8" s="261"/>
      <c r="B8" s="242" t="s">
        <v>409</v>
      </c>
      <c r="D8" s="263" t="e">
        <f>'Proforma Resi'!Y30</f>
        <v>#REF!</v>
      </c>
      <c r="F8" s="242" t="s">
        <v>410</v>
      </c>
      <c r="H8" s="292" t="e">
        <f>H5/H6</f>
        <v>#REF!</v>
      </c>
    </row>
    <row r="9" spans="1:20" x14ac:dyDescent="0.2">
      <c r="A9" s="261"/>
      <c r="B9" s="242" t="s">
        <v>411</v>
      </c>
      <c r="D9" s="264" t="e">
        <f>'Proforma Resi'!Y32</f>
        <v>#REF!</v>
      </c>
      <c r="F9" s="242" t="s">
        <v>412</v>
      </c>
      <c r="H9" s="293" t="e">
        <f>H7/H6</f>
        <v>#REF!</v>
      </c>
      <c r="I9" s="11"/>
    </row>
    <row r="10" spans="1:20" x14ac:dyDescent="0.2">
      <c r="A10" s="261"/>
      <c r="B10" s="242" t="s">
        <v>413</v>
      </c>
      <c r="D10" s="264" t="e">
        <f>'Proforma Resi'!Y31</f>
        <v>#REF!</v>
      </c>
      <c r="F10" s="242" t="s">
        <v>173</v>
      </c>
      <c r="H10" s="293" t="e">
        <f>XIRR(F56:N56,F20:N20)</f>
        <v>#REF!</v>
      </c>
    </row>
    <row r="11" spans="1:20" x14ac:dyDescent="0.2">
      <c r="A11" s="261"/>
      <c r="B11" s="129"/>
      <c r="C11" s="63"/>
      <c r="D11" s="11"/>
      <c r="I11" s="294"/>
    </row>
    <row r="12" spans="1:20" x14ac:dyDescent="0.2">
      <c r="A12" s="261"/>
      <c r="B12" s="3" t="s">
        <v>143</v>
      </c>
      <c r="C12" s="3"/>
      <c r="D12" s="3"/>
      <c r="I12" s="294"/>
    </row>
    <row r="13" spans="1:20" x14ac:dyDescent="0.2">
      <c r="A13" s="261"/>
      <c r="B13" s="242" t="s">
        <v>145</v>
      </c>
      <c r="D13" s="290">
        <f>('Proforma Resi'!R44+'Proforma Resi'!R42)-'Proforma Resi'!R172</f>
        <v>125455956.59199218</v>
      </c>
      <c r="I13" s="294"/>
      <c r="J13" s="280" t="s">
        <v>414</v>
      </c>
    </row>
    <row r="14" spans="1:20" x14ac:dyDescent="0.2">
      <c r="A14" s="261"/>
      <c r="B14" s="295" t="s">
        <v>415</v>
      </c>
      <c r="D14" s="296" t="e">
        <f>'Proforma Resi'!R197-'Proforma Resi'!R172+'Proforma Resi'!R202+'Proforma Resi'!R201</f>
        <v>#REF!</v>
      </c>
      <c r="I14" s="294"/>
      <c r="J14" s="277" t="s">
        <v>416</v>
      </c>
      <c r="K14" s="278"/>
      <c r="L14" s="279">
        <v>1</v>
      </c>
    </row>
    <row r="15" spans="1:20" x14ac:dyDescent="0.2">
      <c r="A15" s="261"/>
      <c r="B15" s="295" t="s">
        <v>149</v>
      </c>
      <c r="D15" s="290" t="e">
        <f>D13-D14</f>
        <v>#REF!</v>
      </c>
      <c r="E15" s="145"/>
      <c r="I15" s="294"/>
      <c r="J15" s="277" t="s">
        <v>43</v>
      </c>
      <c r="L15" s="279">
        <v>1</v>
      </c>
      <c r="M15" s="11"/>
      <c r="N15" s="11"/>
    </row>
    <row r="16" spans="1:20" x14ac:dyDescent="0.2">
      <c r="A16" s="261"/>
      <c r="B16" s="242" t="s">
        <v>151</v>
      </c>
      <c r="D16" s="264" t="e">
        <f>D15/D13</f>
        <v>#REF!</v>
      </c>
      <c r="I16" s="249"/>
      <c r="J16" s="11"/>
      <c r="K16" s="11"/>
      <c r="L16" s="11"/>
      <c r="M16" s="11"/>
      <c r="N16" s="11"/>
    </row>
    <row r="17" spans="1:22" x14ac:dyDescent="0.2">
      <c r="A17" s="261"/>
      <c r="B17" s="242" t="s">
        <v>153</v>
      </c>
      <c r="D17" s="297" t="e">
        <f>D15/H6</f>
        <v>#REF!</v>
      </c>
      <c r="I17" s="249"/>
      <c r="J17" s="11"/>
      <c r="K17" s="11"/>
      <c r="L17" s="11"/>
      <c r="M17" s="11"/>
      <c r="N17" s="11"/>
    </row>
    <row r="18" spans="1:22" x14ac:dyDescent="0.2">
      <c r="A18" s="261"/>
      <c r="F18" s="250">
        <f>'Proforma Resi'!E3</f>
        <v>0</v>
      </c>
      <c r="G18" s="250">
        <f>'Proforma Resi'!F3</f>
        <v>1</v>
      </c>
      <c r="H18" s="250">
        <f>'Proforma Resi'!G3</f>
        <v>2</v>
      </c>
      <c r="I18" s="250">
        <f>'Proforma Resi'!H3</f>
        <v>3</v>
      </c>
      <c r="J18" s="250">
        <f>'Proforma Resi'!I3</f>
        <v>4</v>
      </c>
      <c r="K18" s="250">
        <f>'Proforma Resi'!J3</f>
        <v>5</v>
      </c>
      <c r="L18" s="250">
        <f>'Proforma Resi'!K3</f>
        <v>6</v>
      </c>
      <c r="M18" s="250">
        <f>'Proforma Resi'!L3</f>
        <v>7</v>
      </c>
      <c r="N18" s="250">
        <f>'Proforma Resi'!M3</f>
        <v>8</v>
      </c>
      <c r="O18" s="250">
        <f>'Proforma Resi'!N3</f>
        <v>9</v>
      </c>
      <c r="P18" s="250">
        <f>'Proforma Resi'!O3</f>
        <v>10</v>
      </c>
      <c r="Q18" s="250">
        <f>'Proforma Resi'!P3</f>
        <v>11</v>
      </c>
      <c r="R18" s="250">
        <f>'Proforma Resi'!Q3</f>
        <v>12</v>
      </c>
    </row>
    <row r="19" spans="1:22" s="3" customFormat="1" x14ac:dyDescent="0.2">
      <c r="A19" s="261"/>
      <c r="F19" s="251">
        <f>Assumptions!C6</f>
        <v>2024</v>
      </c>
      <c r="G19" s="251">
        <f>F19+1</f>
        <v>2025</v>
      </c>
      <c r="H19" s="251">
        <f t="shared" ref="H19:R19" si="0">G19+1</f>
        <v>2026</v>
      </c>
      <c r="I19" s="251">
        <f t="shared" si="0"/>
        <v>2027</v>
      </c>
      <c r="J19" s="251">
        <f t="shared" si="0"/>
        <v>2028</v>
      </c>
      <c r="K19" s="251">
        <f t="shared" si="0"/>
        <v>2029</v>
      </c>
      <c r="L19" s="251">
        <f t="shared" si="0"/>
        <v>2030</v>
      </c>
      <c r="M19" s="251">
        <f t="shared" si="0"/>
        <v>2031</v>
      </c>
      <c r="N19" s="251">
        <f t="shared" si="0"/>
        <v>2032</v>
      </c>
      <c r="O19" s="251">
        <f t="shared" si="0"/>
        <v>2033</v>
      </c>
      <c r="P19" s="251">
        <f t="shared" si="0"/>
        <v>2034</v>
      </c>
      <c r="Q19" s="251">
        <f t="shared" si="0"/>
        <v>2035</v>
      </c>
      <c r="R19" s="251">
        <f t="shared" si="0"/>
        <v>2036</v>
      </c>
      <c r="T19"/>
      <c r="U19"/>
      <c r="V19"/>
    </row>
    <row r="20" spans="1:22" x14ac:dyDescent="0.2">
      <c r="A20" s="261"/>
      <c r="B20" s="3" t="s">
        <v>160</v>
      </c>
      <c r="F20" s="257">
        <f>DATE(F19,12,31)</f>
        <v>45657</v>
      </c>
      <c r="G20" s="257">
        <f>EDATE(F20,12)</f>
        <v>46022</v>
      </c>
      <c r="H20" s="257">
        <f t="shared" ref="H20:R20" si="1">EDATE(G20,12)</f>
        <v>46387</v>
      </c>
      <c r="I20" s="257">
        <f t="shared" si="1"/>
        <v>46752</v>
      </c>
      <c r="J20" s="257">
        <f t="shared" si="1"/>
        <v>47118</v>
      </c>
      <c r="K20" s="257">
        <f t="shared" si="1"/>
        <v>47483</v>
      </c>
      <c r="L20" s="257">
        <f t="shared" si="1"/>
        <v>47848</v>
      </c>
      <c r="M20" s="257">
        <f t="shared" si="1"/>
        <v>48213</v>
      </c>
      <c r="N20" s="257">
        <f t="shared" si="1"/>
        <v>48579</v>
      </c>
      <c r="O20" s="257">
        <f t="shared" si="1"/>
        <v>48944</v>
      </c>
      <c r="P20" s="257">
        <f t="shared" si="1"/>
        <v>49309</v>
      </c>
      <c r="Q20" s="257">
        <f t="shared" si="1"/>
        <v>49674</v>
      </c>
      <c r="R20" s="257">
        <f t="shared" si="1"/>
        <v>50040</v>
      </c>
      <c r="T20" s="2"/>
      <c r="U20" s="266"/>
      <c r="V20" s="266"/>
    </row>
    <row r="21" spans="1:22" x14ac:dyDescent="0.2">
      <c r="A21" s="261"/>
      <c r="B21" s="34" t="s">
        <v>417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4"/>
      <c r="T21" s="266"/>
      <c r="U21" s="266"/>
      <c r="V21" s="266"/>
    </row>
    <row r="22" spans="1:22" x14ac:dyDescent="0.2">
      <c r="A22" s="261"/>
      <c r="B22" s="173" t="s">
        <v>270</v>
      </c>
      <c r="D22" s="148">
        <f t="shared" ref="D22:D27" si="2">SUM(F22:R22)</f>
        <v>15000000</v>
      </c>
      <c r="F22" s="92">
        <f>'Proforma Resi'!E50+'Proforma Resi'!E54</f>
        <v>0</v>
      </c>
      <c r="G22" s="92">
        <f>'Proforma Resi'!F50+'Proforma Resi'!F54</f>
        <v>3000000</v>
      </c>
      <c r="H22" s="92">
        <f>'Proforma Resi'!G50+'Proforma Resi'!G54</f>
        <v>1703345</v>
      </c>
      <c r="I22" s="92">
        <f>'Proforma Resi'!H50+'Proforma Resi'!H54</f>
        <v>5665944.375</v>
      </c>
      <c r="J22" s="92">
        <f>'Proforma Resi'!I50+'Proforma Resi'!I54</f>
        <v>4630710.625</v>
      </c>
      <c r="K22" s="92">
        <f>'Proforma Resi'!J50+'Proforma Resi'!J54</f>
        <v>0</v>
      </c>
      <c r="L22" s="92">
        <f>'Proforma Resi'!K50+'Proforma Resi'!K54</f>
        <v>0</v>
      </c>
      <c r="M22" s="92">
        <f>'Proforma Resi'!L50+'Proforma Resi'!L54</f>
        <v>0</v>
      </c>
      <c r="N22" s="92">
        <f>'Proforma Resi'!M50+'Proforma Resi'!M54</f>
        <v>0</v>
      </c>
      <c r="O22" s="92">
        <f>'Proforma Resi'!N50+'Proforma Resi'!N54</f>
        <v>0</v>
      </c>
      <c r="P22" s="92">
        <f>'Proforma Resi'!O50+'Proforma Resi'!O54</f>
        <v>0</v>
      </c>
      <c r="Q22" s="92">
        <f>'Proforma Resi'!P50+'Proforma Resi'!P54</f>
        <v>0</v>
      </c>
      <c r="R22" s="92">
        <f>'Proforma Resi'!Q50+'Proforma Resi'!Q54</f>
        <v>0</v>
      </c>
      <c r="S22" s="266"/>
      <c r="T22" s="266"/>
      <c r="U22" s="266"/>
      <c r="V22" s="266"/>
    </row>
    <row r="23" spans="1:22" x14ac:dyDescent="0.2">
      <c r="A23" s="261"/>
      <c r="B23" s="173" t="s">
        <v>418</v>
      </c>
      <c r="D23" s="148" t="e">
        <f t="shared" si="2"/>
        <v>#REF!</v>
      </c>
      <c r="F23" s="92">
        <f>'Proforma Resi'!E57</f>
        <v>0</v>
      </c>
      <c r="G23" s="92" t="e">
        <f>'Proforma Resi'!F57</f>
        <v>#REF!</v>
      </c>
      <c r="H23" s="92" t="e">
        <f>'Proforma Resi'!G57</f>
        <v>#REF!</v>
      </c>
      <c r="I23" s="92" t="e">
        <f>'Proforma Resi'!H57</f>
        <v>#REF!</v>
      </c>
      <c r="J23" s="92" t="e">
        <f>'Proforma Resi'!I57</f>
        <v>#REF!</v>
      </c>
      <c r="K23" s="92" t="e">
        <f>'Proforma Resi'!J57</f>
        <v>#REF!</v>
      </c>
      <c r="L23" s="92" t="e">
        <f>'Proforma Resi'!K57</f>
        <v>#REF!</v>
      </c>
      <c r="M23" s="92" t="e">
        <f>'Proforma Resi'!L57</f>
        <v>#REF!</v>
      </c>
      <c r="N23" s="92" t="e">
        <f>'Proforma Resi'!M57</f>
        <v>#REF!</v>
      </c>
      <c r="O23" s="92" t="e">
        <f>'Proforma Resi'!N57</f>
        <v>#REF!</v>
      </c>
      <c r="P23" s="92" t="e">
        <f>'Proforma Resi'!O57</f>
        <v>#REF!</v>
      </c>
      <c r="Q23" s="92" t="e">
        <f>'Proforma Resi'!P57</f>
        <v>#REF!</v>
      </c>
      <c r="R23" s="92" t="e">
        <f>'Proforma Resi'!Q57</f>
        <v>#REF!</v>
      </c>
      <c r="S23" s="266"/>
      <c r="T23" s="266"/>
      <c r="U23" s="266"/>
      <c r="V23" s="266"/>
    </row>
    <row r="24" spans="1:22" x14ac:dyDescent="0.2">
      <c r="A24" s="261"/>
      <c r="B24" s="272" t="e">
        <f>"Additional Profit Split ("&amp;TEXT(Assumptions!#REF!,"0%")&amp;")"</f>
        <v>#REF!</v>
      </c>
      <c r="C24" s="225"/>
      <c r="D24" s="271" t="e">
        <f t="shared" si="2"/>
        <v>#REF!</v>
      </c>
      <c r="E24" s="225"/>
      <c r="F24" s="77">
        <f>'Proforma Resi'!E223</f>
        <v>0</v>
      </c>
      <c r="G24" s="77" t="e">
        <f>'Proforma Resi'!F223</f>
        <v>#REF!</v>
      </c>
      <c r="H24" s="77" t="e">
        <f>'Proforma Resi'!G223</f>
        <v>#REF!</v>
      </c>
      <c r="I24" s="77" t="e">
        <f>'Proforma Resi'!H223</f>
        <v>#REF!</v>
      </c>
      <c r="J24" s="77" t="e">
        <f>'Proforma Resi'!I223</f>
        <v>#REF!</v>
      </c>
      <c r="K24" s="77" t="e">
        <f>'Proforma Resi'!J223</f>
        <v>#REF!</v>
      </c>
      <c r="L24" s="77" t="e">
        <f>'Proforma Resi'!K223</f>
        <v>#REF!</v>
      </c>
      <c r="M24" s="77" t="e">
        <f>'Proforma Resi'!L223</f>
        <v>#REF!</v>
      </c>
      <c r="N24" s="77" t="e">
        <f>'Proforma Resi'!M223</f>
        <v>#REF!</v>
      </c>
      <c r="O24" s="77" t="e">
        <f>'Proforma Resi'!N223</f>
        <v>#REF!</v>
      </c>
      <c r="P24" s="77" t="e">
        <f>'Proforma Resi'!O223</f>
        <v>#REF!</v>
      </c>
      <c r="Q24" s="77" t="e">
        <f>'Proforma Resi'!P223</f>
        <v>#REF!</v>
      </c>
      <c r="R24" s="77" t="e">
        <f>'Proforma Resi'!Q223</f>
        <v>#REF!</v>
      </c>
      <c r="S24" s="266"/>
      <c r="T24" s="266"/>
      <c r="U24" s="266"/>
      <c r="V24" s="266"/>
    </row>
    <row r="25" spans="1:22" x14ac:dyDescent="0.2">
      <c r="A25" s="261"/>
      <c r="B25" t="s">
        <v>419</v>
      </c>
      <c r="D25" s="109" t="e">
        <f t="shared" si="2"/>
        <v>#REF!</v>
      </c>
      <c r="F25" s="92">
        <f t="shared" ref="F25:R25" si="3">SUM(F22:F24)</f>
        <v>0</v>
      </c>
      <c r="G25" s="92" t="e">
        <f t="shared" si="3"/>
        <v>#REF!</v>
      </c>
      <c r="H25" s="92" t="e">
        <f t="shared" si="3"/>
        <v>#REF!</v>
      </c>
      <c r="I25" s="92" t="e">
        <f t="shared" si="3"/>
        <v>#REF!</v>
      </c>
      <c r="J25" s="92" t="e">
        <f t="shared" si="3"/>
        <v>#REF!</v>
      </c>
      <c r="K25" s="92" t="e">
        <f t="shared" si="3"/>
        <v>#REF!</v>
      </c>
      <c r="L25" s="92" t="e">
        <f t="shared" si="3"/>
        <v>#REF!</v>
      </c>
      <c r="M25" s="92" t="e">
        <f t="shared" si="3"/>
        <v>#REF!</v>
      </c>
      <c r="N25" s="92" t="e">
        <f t="shared" si="3"/>
        <v>#REF!</v>
      </c>
      <c r="O25" s="92" t="e">
        <f t="shared" si="3"/>
        <v>#REF!</v>
      </c>
      <c r="P25" s="92" t="e">
        <f t="shared" si="3"/>
        <v>#REF!</v>
      </c>
      <c r="Q25" s="92" t="e">
        <f t="shared" si="3"/>
        <v>#REF!</v>
      </c>
      <c r="R25" s="92" t="e">
        <f t="shared" si="3"/>
        <v>#REF!</v>
      </c>
      <c r="S25" s="266"/>
      <c r="T25" s="266"/>
      <c r="U25" s="266"/>
      <c r="V25" s="266"/>
    </row>
    <row r="26" spans="1:22" x14ac:dyDescent="0.2">
      <c r="A26" s="261"/>
      <c r="B26" t="s">
        <v>420</v>
      </c>
      <c r="D26" s="109">
        <f>SUM(F26:R26)</f>
        <v>15000000</v>
      </c>
      <c r="F26" s="92"/>
      <c r="G26" s="92">
        <f>'Proforma Resi'!C56</f>
        <v>15000000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0</v>
      </c>
      <c r="Q26" s="92">
        <v>0</v>
      </c>
      <c r="R26" s="92">
        <v>0</v>
      </c>
      <c r="S26" s="266"/>
      <c r="T26" s="266"/>
      <c r="U26" s="266"/>
      <c r="V26" s="266"/>
    </row>
    <row r="27" spans="1:22" ht="17" thickBot="1" x14ac:dyDescent="0.25">
      <c r="A27" s="261"/>
      <c r="B27" t="s">
        <v>421</v>
      </c>
      <c r="D27" s="110" t="e">
        <f t="shared" si="2"/>
        <v>#REF!</v>
      </c>
      <c r="F27" s="92">
        <f>F25-F26</f>
        <v>0</v>
      </c>
      <c r="G27" s="92" t="e">
        <f>G25-G26</f>
        <v>#REF!</v>
      </c>
      <c r="H27" s="92" t="e">
        <f t="shared" ref="H27:R27" si="4">H25-H26</f>
        <v>#REF!</v>
      </c>
      <c r="I27" s="92" t="e">
        <f t="shared" si="4"/>
        <v>#REF!</v>
      </c>
      <c r="J27" s="92" t="e">
        <f t="shared" si="4"/>
        <v>#REF!</v>
      </c>
      <c r="K27" s="92" t="e">
        <f t="shared" si="4"/>
        <v>#REF!</v>
      </c>
      <c r="L27" s="92" t="e">
        <f t="shared" si="4"/>
        <v>#REF!</v>
      </c>
      <c r="M27" s="92" t="e">
        <f t="shared" si="4"/>
        <v>#REF!</v>
      </c>
      <c r="N27" s="92" t="e">
        <f t="shared" si="4"/>
        <v>#REF!</v>
      </c>
      <c r="O27" s="92" t="e">
        <f t="shared" si="4"/>
        <v>#REF!</v>
      </c>
      <c r="P27" s="92" t="e">
        <f t="shared" si="4"/>
        <v>#REF!</v>
      </c>
      <c r="Q27" s="92" t="e">
        <f t="shared" si="4"/>
        <v>#REF!</v>
      </c>
      <c r="R27" s="92" t="e">
        <f t="shared" si="4"/>
        <v>#REF!</v>
      </c>
      <c r="S27" s="266"/>
      <c r="T27" s="266"/>
      <c r="U27" s="266"/>
      <c r="V27" s="266"/>
    </row>
    <row r="28" spans="1:22" ht="17" thickTop="1" x14ac:dyDescent="0.2">
      <c r="A28" s="261"/>
      <c r="B28" t="s">
        <v>422</v>
      </c>
      <c r="F28" s="267" t="e">
        <f>XIRR(G27:R27,G20:R20)</f>
        <v>#REF!</v>
      </c>
    </row>
    <row r="29" spans="1:22" x14ac:dyDescent="0.2">
      <c r="A29" s="261"/>
      <c r="B29" t="s">
        <v>423</v>
      </c>
      <c r="F29" s="268" t="e">
        <f>SUMIF(F27:R27,"&gt;0")/-SUMIF(F27:R27,"&lt;0")</f>
        <v>#DIV/0!</v>
      </c>
    </row>
    <row r="30" spans="1:22" x14ac:dyDescent="0.2">
      <c r="A30" s="261"/>
      <c r="B30" t="s">
        <v>203</v>
      </c>
      <c r="F30" s="92">
        <f t="shared" ref="F30:O30" si="5">F27+E30</f>
        <v>0</v>
      </c>
      <c r="G30" s="92" t="e">
        <f t="shared" si="5"/>
        <v>#REF!</v>
      </c>
      <c r="H30" s="92" t="e">
        <f t="shared" si="5"/>
        <v>#REF!</v>
      </c>
      <c r="I30" s="92" t="e">
        <f t="shared" si="5"/>
        <v>#REF!</v>
      </c>
      <c r="J30" s="92" t="e">
        <f t="shared" si="5"/>
        <v>#REF!</v>
      </c>
      <c r="K30" s="92" t="e">
        <f t="shared" si="5"/>
        <v>#REF!</v>
      </c>
      <c r="L30" s="92" t="e">
        <f t="shared" si="5"/>
        <v>#REF!</v>
      </c>
      <c r="M30" s="92" t="e">
        <f t="shared" si="5"/>
        <v>#REF!</v>
      </c>
      <c r="N30" s="92" t="e">
        <f t="shared" si="5"/>
        <v>#REF!</v>
      </c>
      <c r="O30" s="92" t="e">
        <f t="shared" si="5"/>
        <v>#REF!</v>
      </c>
      <c r="P30" s="92" t="e">
        <f t="shared" ref="P30:R30" si="6">P27+O30</f>
        <v>#REF!</v>
      </c>
      <c r="Q30" s="92" t="e">
        <f t="shared" si="6"/>
        <v>#REF!</v>
      </c>
      <c r="R30" s="92" t="e">
        <f t="shared" si="6"/>
        <v>#REF!</v>
      </c>
    </row>
    <row r="31" spans="1:22" x14ac:dyDescent="0.2">
      <c r="A31" s="261"/>
      <c r="B31" s="133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</row>
    <row r="32" spans="1:22" x14ac:dyDescent="0.2">
      <c r="A32" s="261"/>
      <c r="B32" s="34" t="s">
        <v>424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4"/>
      <c r="T32" s="266"/>
      <c r="U32" s="266"/>
      <c r="V32" s="266"/>
    </row>
    <row r="33" spans="1:22" x14ac:dyDescent="0.2">
      <c r="A33" s="261"/>
      <c r="B33" s="173" t="s">
        <v>425</v>
      </c>
      <c r="D33" s="148">
        <f t="shared" ref="D33:D34" si="7">SUM(F33:R33)</f>
        <v>0</v>
      </c>
      <c r="F33" s="92">
        <f>'Proforma Resi'!E221</f>
        <v>0</v>
      </c>
      <c r="G33" s="92">
        <f>'Proforma Resi'!F221</f>
        <v>0</v>
      </c>
      <c r="H33" s="92">
        <f>'Proforma Resi'!G221</f>
        <v>0</v>
      </c>
      <c r="I33" s="92">
        <f>'Proforma Resi'!H221</f>
        <v>0</v>
      </c>
      <c r="J33" s="92">
        <f>'Proforma Resi'!I221</f>
        <v>0</v>
      </c>
      <c r="K33" s="92">
        <f>'Proforma Resi'!J221</f>
        <v>0</v>
      </c>
      <c r="L33" s="92">
        <f>'Proforma Resi'!K221</f>
        <v>0</v>
      </c>
      <c r="M33" s="92">
        <f>'Proforma Resi'!L221</f>
        <v>0</v>
      </c>
      <c r="N33" s="92">
        <f>'Proforma Resi'!M221</f>
        <v>0</v>
      </c>
      <c r="O33" s="92">
        <f>'Proforma Resi'!N221</f>
        <v>0</v>
      </c>
      <c r="P33" s="92">
        <f>'Proforma Resi'!O221</f>
        <v>0</v>
      </c>
      <c r="Q33" s="92">
        <f>'Proforma Resi'!P221</f>
        <v>0</v>
      </c>
      <c r="R33" s="92">
        <f>'Proforma Resi'!Q221</f>
        <v>0</v>
      </c>
      <c r="S33" s="266"/>
      <c r="T33" s="266"/>
      <c r="U33" s="266"/>
      <c r="V33" s="266"/>
    </row>
    <row r="34" spans="1:22" x14ac:dyDescent="0.2">
      <c r="A34" s="261"/>
      <c r="B34" s="272" t="e">
        <f>"Additional Profit Split ("&amp;TEXT(Assumptions!#REF!,"0%")&amp;")"</f>
        <v>#REF!</v>
      </c>
      <c r="C34" s="225"/>
      <c r="D34" s="271" t="e">
        <f t="shared" si="7"/>
        <v>#REF!</v>
      </c>
      <c r="E34" s="225"/>
      <c r="F34" s="77">
        <f>'Proforma Resi'!E224</f>
        <v>0</v>
      </c>
      <c r="G34" s="77" t="e">
        <f>'Proforma Resi'!F224</f>
        <v>#REF!</v>
      </c>
      <c r="H34" s="77" t="e">
        <f>'Proforma Resi'!G224</f>
        <v>#REF!</v>
      </c>
      <c r="I34" s="77" t="e">
        <f>'Proforma Resi'!H224</f>
        <v>#REF!</v>
      </c>
      <c r="J34" s="77" t="e">
        <f>'Proforma Resi'!I224</f>
        <v>#REF!</v>
      </c>
      <c r="K34" s="77" t="e">
        <f>'Proforma Resi'!J224</f>
        <v>#REF!</v>
      </c>
      <c r="L34" s="77" t="e">
        <f>'Proforma Resi'!K224</f>
        <v>#REF!</v>
      </c>
      <c r="M34" s="77" t="e">
        <f>'Proforma Resi'!L224</f>
        <v>#REF!</v>
      </c>
      <c r="N34" s="77" t="e">
        <f>'Proforma Resi'!M224</f>
        <v>#REF!</v>
      </c>
      <c r="O34" s="77" t="e">
        <f>'Proforma Resi'!N224</f>
        <v>#REF!</v>
      </c>
      <c r="P34" s="77" t="e">
        <f>'Proforma Resi'!O224</f>
        <v>#REF!</v>
      </c>
      <c r="Q34" s="77" t="e">
        <f>'Proforma Resi'!P224</f>
        <v>#REF!</v>
      </c>
      <c r="R34" s="77" t="e">
        <f>'Proforma Resi'!Q224</f>
        <v>#REF!</v>
      </c>
      <c r="S34" s="266"/>
      <c r="T34" s="266"/>
      <c r="U34" s="266"/>
      <c r="V34" s="266"/>
    </row>
    <row r="35" spans="1:22" x14ac:dyDescent="0.2">
      <c r="A35" s="261"/>
      <c r="B35" s="133" t="s">
        <v>419</v>
      </c>
      <c r="D35" s="109" t="e">
        <f>SUM(F35:R35)</f>
        <v>#REF!</v>
      </c>
      <c r="F35" s="92">
        <f>SUM(F33:F34)</f>
        <v>0</v>
      </c>
      <c r="G35" s="92" t="e">
        <f t="shared" ref="G35:R35" si="8">SUM(G33:G34)</f>
        <v>#REF!</v>
      </c>
      <c r="H35" s="92" t="e">
        <f t="shared" si="8"/>
        <v>#REF!</v>
      </c>
      <c r="I35" s="92" t="e">
        <f t="shared" si="8"/>
        <v>#REF!</v>
      </c>
      <c r="J35" s="92" t="e">
        <f t="shared" si="8"/>
        <v>#REF!</v>
      </c>
      <c r="K35" s="92" t="e">
        <f t="shared" si="8"/>
        <v>#REF!</v>
      </c>
      <c r="L35" s="92" t="e">
        <f t="shared" si="8"/>
        <v>#REF!</v>
      </c>
      <c r="M35" s="92" t="e">
        <f t="shared" si="8"/>
        <v>#REF!</v>
      </c>
      <c r="N35" s="92" t="e">
        <f t="shared" si="8"/>
        <v>#REF!</v>
      </c>
      <c r="O35" s="92" t="e">
        <f t="shared" si="8"/>
        <v>#REF!</v>
      </c>
      <c r="P35" s="92" t="e">
        <f t="shared" si="8"/>
        <v>#REF!</v>
      </c>
      <c r="Q35" s="92" t="e">
        <f t="shared" si="8"/>
        <v>#REF!</v>
      </c>
      <c r="R35" s="92" t="e">
        <f t="shared" si="8"/>
        <v>#REF!</v>
      </c>
      <c r="S35" s="266"/>
      <c r="T35" s="266"/>
      <c r="U35" s="266"/>
      <c r="V35" s="266"/>
    </row>
    <row r="36" spans="1:22" x14ac:dyDescent="0.2">
      <c r="A36" s="261"/>
      <c r="B36" s="133" t="s">
        <v>420</v>
      </c>
      <c r="D36" s="109" t="e">
        <f>SUM(F36:R36)</f>
        <v>#REF!</v>
      </c>
      <c r="F36" s="92">
        <f>'Proforma Resi'!E31</f>
        <v>0</v>
      </c>
      <c r="G36" s="92" t="e">
        <f>'Proforma Resi'!F31</f>
        <v>#REF!</v>
      </c>
      <c r="H36" s="92">
        <f>'Proforma Resi'!G31</f>
        <v>0</v>
      </c>
      <c r="I36" s="92">
        <f>'Proforma Resi'!H31</f>
        <v>0</v>
      </c>
      <c r="J36" s="92">
        <f>'Proforma Resi'!I31</f>
        <v>0</v>
      </c>
      <c r="K36" s="92">
        <f>'Proforma Resi'!J31</f>
        <v>0</v>
      </c>
      <c r="L36" s="92">
        <f>'Proforma Resi'!K31</f>
        <v>0</v>
      </c>
      <c r="M36" s="92">
        <f>'Proforma Resi'!L31</f>
        <v>0</v>
      </c>
      <c r="N36" s="92">
        <f>'Proforma Resi'!M31</f>
        <v>0</v>
      </c>
      <c r="O36" s="92">
        <f>'Proforma Resi'!N31</f>
        <v>0</v>
      </c>
      <c r="P36" s="92">
        <f>'Proforma Resi'!O31</f>
        <v>0</v>
      </c>
      <c r="Q36" s="92">
        <f>'Proforma Resi'!P31</f>
        <v>0</v>
      </c>
      <c r="R36" s="92">
        <f>'Proforma Resi'!Q31</f>
        <v>0</v>
      </c>
      <c r="S36" s="266"/>
      <c r="T36" s="266"/>
      <c r="U36" s="266"/>
      <c r="V36" s="266"/>
    </row>
    <row r="37" spans="1:22" ht="17" thickBot="1" x14ac:dyDescent="0.25">
      <c r="A37" s="261"/>
      <c r="B37" s="133" t="s">
        <v>421</v>
      </c>
      <c r="D37" s="110" t="e">
        <f>SUM(F37:R37)</f>
        <v>#REF!</v>
      </c>
      <c r="F37" s="92">
        <f>F35-F36</f>
        <v>0</v>
      </c>
      <c r="G37" s="92" t="e">
        <f t="shared" ref="G37:R37" si="9">G35-G36</f>
        <v>#REF!</v>
      </c>
      <c r="H37" s="92" t="e">
        <f>H35-H36</f>
        <v>#REF!</v>
      </c>
      <c r="I37" s="92" t="e">
        <f t="shared" si="9"/>
        <v>#REF!</v>
      </c>
      <c r="J37" s="92" t="e">
        <f t="shared" si="9"/>
        <v>#REF!</v>
      </c>
      <c r="K37" s="92" t="e">
        <f t="shared" si="9"/>
        <v>#REF!</v>
      </c>
      <c r="L37" s="92" t="e">
        <f t="shared" si="9"/>
        <v>#REF!</v>
      </c>
      <c r="M37" s="92" t="e">
        <f t="shared" si="9"/>
        <v>#REF!</v>
      </c>
      <c r="N37" s="92" t="e">
        <f t="shared" si="9"/>
        <v>#REF!</v>
      </c>
      <c r="O37" s="92" t="e">
        <f t="shared" si="9"/>
        <v>#REF!</v>
      </c>
      <c r="P37" s="92" t="e">
        <f t="shared" si="9"/>
        <v>#REF!</v>
      </c>
      <c r="Q37" s="92" t="e">
        <f t="shared" si="9"/>
        <v>#REF!</v>
      </c>
      <c r="R37" s="92" t="e">
        <f t="shared" si="9"/>
        <v>#REF!</v>
      </c>
      <c r="S37" s="266"/>
      <c r="T37" s="266"/>
      <c r="U37" s="266"/>
      <c r="V37" s="266"/>
    </row>
    <row r="38" spans="1:22" ht="17" thickTop="1" x14ac:dyDescent="0.2">
      <c r="A38" s="261"/>
      <c r="B38" s="133" t="s">
        <v>422</v>
      </c>
      <c r="F38" s="267" t="e">
        <f>XIRR(G37:R37,G20:R20)</f>
        <v>#REF!</v>
      </c>
    </row>
    <row r="39" spans="1:22" x14ac:dyDescent="0.2">
      <c r="A39" s="261"/>
      <c r="B39" s="133" t="s">
        <v>423</v>
      </c>
      <c r="F39" s="268" t="e">
        <f>SUMIF(F37:R37,"&gt;0")/-SUMIF(F37:R37,"&lt;0")</f>
        <v>#DIV/0!</v>
      </c>
    </row>
    <row r="40" spans="1:22" x14ac:dyDescent="0.2">
      <c r="A40" s="261"/>
      <c r="B40" s="133" t="s">
        <v>203</v>
      </c>
      <c r="F40" s="92">
        <f>F37+E40</f>
        <v>0</v>
      </c>
      <c r="G40" s="92" t="e">
        <f t="shared" ref="G40" si="10">G37+F40</f>
        <v>#REF!</v>
      </c>
      <c r="H40" s="92" t="e">
        <f t="shared" ref="H40" si="11">H37+G40</f>
        <v>#REF!</v>
      </c>
      <c r="I40" s="92" t="e">
        <f t="shared" ref="I40" si="12">I37+H40</f>
        <v>#REF!</v>
      </c>
      <c r="J40" s="92" t="e">
        <f t="shared" ref="J40" si="13">J37+I40</f>
        <v>#REF!</v>
      </c>
      <c r="K40" s="92" t="e">
        <f t="shared" ref="K40" si="14">K37+J40</f>
        <v>#REF!</v>
      </c>
      <c r="L40" s="92" t="e">
        <f t="shared" ref="L40" si="15">L37+K40</f>
        <v>#REF!</v>
      </c>
      <c r="M40" s="92" t="e">
        <f t="shared" ref="M40" si="16">M37+L40</f>
        <v>#REF!</v>
      </c>
      <c r="N40" s="92" t="e">
        <f t="shared" ref="N40" si="17">N37+M40</f>
        <v>#REF!</v>
      </c>
      <c r="O40" s="92" t="e">
        <f t="shared" ref="O40" si="18">O37+N40</f>
        <v>#REF!</v>
      </c>
      <c r="P40" s="92" t="e">
        <f t="shared" ref="P40" si="19">P37+O40</f>
        <v>#REF!</v>
      </c>
      <c r="Q40" s="92" t="e">
        <f t="shared" ref="Q40" si="20">Q37+P40</f>
        <v>#REF!</v>
      </c>
      <c r="R40" s="92" t="e">
        <f t="shared" ref="R40" si="21">R37+Q40</f>
        <v>#REF!</v>
      </c>
    </row>
    <row r="41" spans="1:22" x14ac:dyDescent="0.2">
      <c r="A41" s="261"/>
      <c r="B41" s="133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</row>
    <row r="42" spans="1:22" x14ac:dyDescent="0.2">
      <c r="A42" s="261"/>
      <c r="B42" s="34" t="s">
        <v>426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4"/>
    </row>
    <row r="43" spans="1:22" x14ac:dyDescent="0.2">
      <c r="A43" s="261"/>
      <c r="B43" s="133" t="e">
        <f>"CM Profit Split ("&amp;TEXT(Assumptions!#REF!,"0%")&amp;")"</f>
        <v>#REF!</v>
      </c>
      <c r="D43" s="109" t="e">
        <f t="shared" ref="D43:D50" si="22">SUM(F43:R43)</f>
        <v>#REF!</v>
      </c>
      <c r="F43" s="92">
        <f>'Proforma Resi'!E225</f>
        <v>0</v>
      </c>
      <c r="G43" s="92" t="e">
        <f>'Proforma Resi'!F225</f>
        <v>#REF!</v>
      </c>
      <c r="H43" s="92" t="e">
        <f>'Proforma Resi'!G225</f>
        <v>#REF!</v>
      </c>
      <c r="I43" s="92" t="e">
        <f>'Proforma Resi'!H225</f>
        <v>#REF!</v>
      </c>
      <c r="J43" s="92" t="e">
        <f>'Proforma Resi'!I225</f>
        <v>#REF!</v>
      </c>
      <c r="K43" s="92" t="e">
        <f>'Proforma Resi'!J225</f>
        <v>#REF!</v>
      </c>
      <c r="L43" s="92" t="e">
        <f>'Proforma Resi'!K225</f>
        <v>#REF!</v>
      </c>
      <c r="M43" s="92" t="e">
        <f>'Proforma Resi'!L225</f>
        <v>#REF!</v>
      </c>
      <c r="N43" s="92" t="e">
        <f>'Proforma Resi'!M225</f>
        <v>#REF!</v>
      </c>
      <c r="O43" s="92" t="e">
        <f>'Proforma Resi'!N225</f>
        <v>#REF!</v>
      </c>
      <c r="P43" s="92" t="e">
        <f>'Proforma Resi'!O225</f>
        <v>#REF!</v>
      </c>
      <c r="Q43" s="92" t="e">
        <f>'Proforma Resi'!P225</f>
        <v>#REF!</v>
      </c>
      <c r="R43" s="92" t="e">
        <f>'Proforma Resi'!Q225</f>
        <v>#REF!</v>
      </c>
    </row>
    <row r="44" spans="1:22" x14ac:dyDescent="0.2">
      <c r="A44" s="261"/>
      <c r="B44" s="133" t="s">
        <v>427</v>
      </c>
      <c r="D44" s="109">
        <f t="shared" si="22"/>
        <v>75000</v>
      </c>
      <c r="F44" s="92">
        <f>'Proforma Resi'!E29</f>
        <v>75000</v>
      </c>
      <c r="G44" s="92">
        <f>'Proforma Resi'!F29</f>
        <v>0</v>
      </c>
      <c r="H44" s="92">
        <f>'Proforma Resi'!G29</f>
        <v>0</v>
      </c>
      <c r="I44" s="92">
        <f>'Proforma Resi'!H29</f>
        <v>0</v>
      </c>
      <c r="J44" s="92">
        <f>'Proforma Resi'!I29</f>
        <v>0</v>
      </c>
      <c r="K44" s="92">
        <f>'Proforma Resi'!J29</f>
        <v>0</v>
      </c>
      <c r="L44" s="92">
        <f>'Proforma Resi'!K29</f>
        <v>0</v>
      </c>
      <c r="M44" s="92">
        <f>'Proforma Resi'!L29</f>
        <v>0</v>
      </c>
      <c r="N44" s="92">
        <f>'Proforma Resi'!M29</f>
        <v>0</v>
      </c>
      <c r="O44" s="92">
        <f>'Proforma Resi'!N29</f>
        <v>0</v>
      </c>
      <c r="P44" s="92">
        <f>'Proforma Resi'!O29</f>
        <v>0</v>
      </c>
      <c r="Q44" s="92">
        <f>'Proforma Resi'!P29</f>
        <v>0</v>
      </c>
      <c r="R44" s="92">
        <f>'Proforma Resi'!Q29</f>
        <v>0</v>
      </c>
    </row>
    <row r="45" spans="1:22" ht="17" thickBot="1" x14ac:dyDescent="0.25">
      <c r="A45" s="261"/>
      <c r="B45" s="133" t="s">
        <v>428</v>
      </c>
      <c r="D45" s="110" t="e">
        <f t="shared" si="22"/>
        <v>#REF!</v>
      </c>
      <c r="F45" s="92">
        <f>F43-F44</f>
        <v>-75000</v>
      </c>
      <c r="G45" s="92" t="e">
        <f t="shared" ref="G45:R45" si="23">G43-G44</f>
        <v>#REF!</v>
      </c>
      <c r="H45" s="92" t="e">
        <f t="shared" si="23"/>
        <v>#REF!</v>
      </c>
      <c r="I45" s="92" t="e">
        <f t="shared" si="23"/>
        <v>#REF!</v>
      </c>
      <c r="J45" s="92" t="e">
        <f t="shared" si="23"/>
        <v>#REF!</v>
      </c>
      <c r="K45" s="92" t="e">
        <f t="shared" si="23"/>
        <v>#REF!</v>
      </c>
      <c r="L45" s="92" t="e">
        <f t="shared" si="23"/>
        <v>#REF!</v>
      </c>
      <c r="M45" s="92" t="e">
        <f t="shared" si="23"/>
        <v>#REF!</v>
      </c>
      <c r="N45" s="92" t="e">
        <f t="shared" si="23"/>
        <v>#REF!</v>
      </c>
      <c r="O45" s="92" t="e">
        <f t="shared" si="23"/>
        <v>#REF!</v>
      </c>
      <c r="P45" s="92" t="e">
        <f t="shared" si="23"/>
        <v>#REF!</v>
      </c>
      <c r="Q45" s="92" t="e">
        <f t="shared" si="23"/>
        <v>#REF!</v>
      </c>
      <c r="R45" s="92" t="e">
        <f t="shared" si="23"/>
        <v>#REF!</v>
      </c>
    </row>
    <row r="46" spans="1:22" ht="17" thickTop="1" x14ac:dyDescent="0.2">
      <c r="A46" s="261"/>
      <c r="B46" s="133" t="str">
        <f>'Proforma Resi'!B49</f>
        <v>Asset Acquisition Fee</v>
      </c>
      <c r="D46" s="109"/>
      <c r="F46" s="92">
        <f>'Proforma Resi'!E49</f>
        <v>0</v>
      </c>
      <c r="G46" s="92">
        <f>'Proforma Resi'!F49</f>
        <v>300000</v>
      </c>
      <c r="H46" s="92">
        <f>'Proforma Resi'!G49</f>
        <v>0</v>
      </c>
      <c r="I46" s="92">
        <f>'Proforma Resi'!H49</f>
        <v>0</v>
      </c>
      <c r="J46" s="92">
        <f>'Proforma Resi'!I49</f>
        <v>0</v>
      </c>
      <c r="K46" s="92">
        <f>'Proforma Resi'!J49</f>
        <v>0</v>
      </c>
      <c r="L46" s="92">
        <f>'Proforma Resi'!K49</f>
        <v>0</v>
      </c>
      <c r="M46" s="92">
        <f>'Proforma Resi'!L49</f>
        <v>0</v>
      </c>
      <c r="N46" s="92">
        <f>'Proforma Resi'!M49</f>
        <v>0</v>
      </c>
      <c r="O46" s="92">
        <f>'Proforma Resi'!N49</f>
        <v>0</v>
      </c>
      <c r="P46" s="92">
        <f>'Proforma Resi'!O49</f>
        <v>0</v>
      </c>
      <c r="Q46" s="92">
        <f>'Proforma Resi'!P49</f>
        <v>0</v>
      </c>
      <c r="R46" s="92">
        <f>'Proforma Resi'!Q49</f>
        <v>0</v>
      </c>
    </row>
    <row r="47" spans="1:22" x14ac:dyDescent="0.2">
      <c r="A47" s="261"/>
      <c r="B47" s="133" t="str">
        <f>'Proforma Resi'!B191</f>
        <v>Developer Overhead (% of COSTS less LAND &amp; RE Fees)</v>
      </c>
      <c r="D47" s="109" t="e">
        <f t="shared" si="22"/>
        <v>#REF!</v>
      </c>
      <c r="F47" s="92">
        <f>'Proforma Resi'!E191</f>
        <v>0</v>
      </c>
      <c r="G47" s="92" t="e">
        <f>'Proforma Resi'!F191</f>
        <v>#REF!</v>
      </c>
      <c r="H47" s="92" t="e">
        <f>'Proforma Resi'!G191</f>
        <v>#REF!</v>
      </c>
      <c r="I47" s="92" t="e">
        <f>'Proforma Resi'!H191</f>
        <v>#REF!</v>
      </c>
      <c r="J47" s="92" t="e">
        <f>'Proforma Resi'!I191</f>
        <v>#REF!</v>
      </c>
      <c r="K47" s="92" t="e">
        <f>'Proforma Resi'!J191</f>
        <v>#REF!</v>
      </c>
      <c r="L47" s="92">
        <f>'Proforma Resi'!K191</f>
        <v>0</v>
      </c>
      <c r="M47" s="92">
        <f>'Proforma Resi'!L191</f>
        <v>0</v>
      </c>
      <c r="N47" s="92">
        <f>'Proforma Resi'!M191</f>
        <v>0</v>
      </c>
      <c r="O47" s="92">
        <f>'Proforma Resi'!N191</f>
        <v>0</v>
      </c>
      <c r="P47" s="92">
        <f>'Proforma Resi'!O191</f>
        <v>0</v>
      </c>
      <c r="Q47" s="92">
        <f>'Proforma Resi'!P191</f>
        <v>0</v>
      </c>
      <c r="R47" s="92">
        <f>'Proforma Resi'!Q191</f>
        <v>0</v>
      </c>
    </row>
    <row r="48" spans="1:22" x14ac:dyDescent="0.2">
      <c r="A48" s="261"/>
      <c r="B48" s="133" t="str">
        <f>'Proforma Resi'!B192</f>
        <v>Disposition Fees</v>
      </c>
      <c r="D48" s="109">
        <f t="shared" si="22"/>
        <v>2641178.0335156252</v>
      </c>
      <c r="F48" s="92">
        <f>'Proforma Resi'!E192</f>
        <v>0</v>
      </c>
      <c r="G48" s="92">
        <f>'Proforma Resi'!F192</f>
        <v>0</v>
      </c>
      <c r="H48" s="92">
        <f>'Proforma Resi'!G192</f>
        <v>243335</v>
      </c>
      <c r="I48" s="92">
        <f>'Proforma Resi'!H192</f>
        <v>809420.625</v>
      </c>
      <c r="J48" s="92">
        <f>'Proforma Resi'!I192</f>
        <v>819645.62187500007</v>
      </c>
      <c r="K48" s="92">
        <f>'Proforma Resi'!J192</f>
        <v>768776.78664062498</v>
      </c>
      <c r="L48" s="92">
        <f>'Proforma Resi'!K192</f>
        <v>0</v>
      </c>
      <c r="M48" s="92">
        <f>'Proforma Resi'!L192</f>
        <v>0</v>
      </c>
      <c r="N48" s="92">
        <f>'Proforma Resi'!M192</f>
        <v>0</v>
      </c>
      <c r="O48" s="92">
        <f>'Proforma Resi'!N192</f>
        <v>0</v>
      </c>
      <c r="P48" s="92">
        <f>'Proforma Resi'!O192</f>
        <v>0</v>
      </c>
      <c r="Q48" s="92">
        <f>'Proforma Resi'!P192</f>
        <v>0</v>
      </c>
      <c r="R48" s="92">
        <f>'Proforma Resi'!Q192</f>
        <v>0</v>
      </c>
    </row>
    <row r="49" spans="1:22" x14ac:dyDescent="0.2">
      <c r="A49" s="261"/>
      <c r="B49" s="133" t="str">
        <f>'Proforma Resi'!B193</f>
        <v>Asset Management Fees</v>
      </c>
      <c r="D49" s="109">
        <f t="shared" si="22"/>
        <v>650404.04223859869</v>
      </c>
      <c r="F49" s="92">
        <f>'Proforma Resi'!E193</f>
        <v>0</v>
      </c>
      <c r="G49" s="92">
        <f>'Proforma Resi'!F193</f>
        <v>168534.63374734551</v>
      </c>
      <c r="H49" s="92">
        <f>'Proforma Resi'!G193</f>
        <v>168534.63374734551</v>
      </c>
      <c r="I49" s="92">
        <f>'Proforma Resi'!H193</f>
        <v>168534.63374734551</v>
      </c>
      <c r="J49" s="92">
        <f>'Proforma Resi'!I193</f>
        <v>129838.87769313539</v>
      </c>
      <c r="K49" s="92">
        <f>'Proforma Resi'!J193</f>
        <v>14961.263303426771</v>
      </c>
      <c r="L49" s="92">
        <f>'Proforma Resi'!K193</f>
        <v>0</v>
      </c>
      <c r="M49" s="92">
        <f>'Proforma Resi'!L193</f>
        <v>0</v>
      </c>
      <c r="N49" s="92">
        <f>'Proforma Resi'!M193</f>
        <v>0</v>
      </c>
      <c r="O49" s="92">
        <f>'Proforma Resi'!N193</f>
        <v>0</v>
      </c>
      <c r="P49" s="92">
        <f>'Proforma Resi'!O193</f>
        <v>0</v>
      </c>
      <c r="Q49" s="92">
        <f>'Proforma Resi'!P193</f>
        <v>0</v>
      </c>
      <c r="R49" s="92">
        <f>'Proforma Resi'!Q193</f>
        <v>0</v>
      </c>
    </row>
    <row r="50" spans="1:22" ht="17" thickBot="1" x14ac:dyDescent="0.25">
      <c r="A50" s="261"/>
      <c r="B50" s="133" t="s">
        <v>429</v>
      </c>
      <c r="D50" s="110" t="e">
        <f t="shared" si="22"/>
        <v>#REF!</v>
      </c>
      <c r="F50" s="92">
        <f>SUM(F45:F49)</f>
        <v>-75000</v>
      </c>
      <c r="G50" s="92" t="e">
        <f t="shared" ref="G50:R50" si="24">SUM(G45:G49)</f>
        <v>#REF!</v>
      </c>
      <c r="H50" s="92" t="e">
        <f t="shared" si="24"/>
        <v>#REF!</v>
      </c>
      <c r="I50" s="92" t="e">
        <f t="shared" si="24"/>
        <v>#REF!</v>
      </c>
      <c r="J50" s="92" t="e">
        <f t="shared" si="24"/>
        <v>#REF!</v>
      </c>
      <c r="K50" s="92" t="e">
        <f t="shared" si="24"/>
        <v>#REF!</v>
      </c>
      <c r="L50" s="92" t="e">
        <f t="shared" si="24"/>
        <v>#REF!</v>
      </c>
      <c r="M50" s="92" t="e">
        <f t="shared" si="24"/>
        <v>#REF!</v>
      </c>
      <c r="N50" s="92" t="e">
        <f t="shared" si="24"/>
        <v>#REF!</v>
      </c>
      <c r="O50" s="92" t="e">
        <f t="shared" si="24"/>
        <v>#REF!</v>
      </c>
      <c r="P50" s="92" t="e">
        <f t="shared" si="24"/>
        <v>#REF!</v>
      </c>
      <c r="Q50" s="92" t="e">
        <f t="shared" si="24"/>
        <v>#REF!</v>
      </c>
      <c r="R50" s="92" t="e">
        <f t="shared" si="24"/>
        <v>#REF!</v>
      </c>
      <c r="S50" s="266"/>
      <c r="T50" s="266"/>
      <c r="U50" s="266"/>
      <c r="V50" s="266"/>
    </row>
    <row r="51" spans="1:22" ht="16.25" customHeight="1" thickTop="1" x14ac:dyDescent="0.2">
      <c r="A51" s="261"/>
      <c r="B51" s="133"/>
      <c r="D51" s="109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</row>
    <row r="52" spans="1:22" x14ac:dyDescent="0.2">
      <c r="A52" s="261"/>
      <c r="B52" s="3"/>
      <c r="C52" s="4"/>
      <c r="D52" s="4"/>
      <c r="E52" s="4"/>
      <c r="F52" s="20">
        <f t="shared" ref="F52:R52" si="25">F20</f>
        <v>45657</v>
      </c>
      <c r="G52" s="20">
        <f t="shared" si="25"/>
        <v>46022</v>
      </c>
      <c r="H52" s="20">
        <f t="shared" si="25"/>
        <v>46387</v>
      </c>
      <c r="I52" s="20">
        <f t="shared" si="25"/>
        <v>46752</v>
      </c>
      <c r="J52" s="20">
        <f t="shared" si="25"/>
        <v>47118</v>
      </c>
      <c r="K52" s="20">
        <f t="shared" si="25"/>
        <v>47483</v>
      </c>
      <c r="L52" s="20">
        <f t="shared" si="25"/>
        <v>47848</v>
      </c>
      <c r="M52" s="20">
        <f t="shared" si="25"/>
        <v>48213</v>
      </c>
      <c r="N52" s="20">
        <f t="shared" si="25"/>
        <v>48579</v>
      </c>
      <c r="O52" s="20">
        <f t="shared" si="25"/>
        <v>48944</v>
      </c>
      <c r="P52" s="20">
        <f t="shared" si="25"/>
        <v>49309</v>
      </c>
      <c r="Q52" s="20">
        <f t="shared" si="25"/>
        <v>49674</v>
      </c>
      <c r="R52" s="20">
        <f t="shared" si="25"/>
        <v>50040</v>
      </c>
      <c r="S52" s="269"/>
      <c r="T52" s="269"/>
    </row>
    <row r="53" spans="1:22" x14ac:dyDescent="0.2">
      <c r="A53" s="261"/>
      <c r="B53" s="34" t="s">
        <v>178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4"/>
      <c r="T53" s="270"/>
    </row>
    <row r="54" spans="1:22" x14ac:dyDescent="0.2">
      <c r="A54" s="261"/>
      <c r="B54" s="265" t="s">
        <v>430</v>
      </c>
      <c r="D54" s="109" t="e">
        <f>SUM(F54:R54)</f>
        <v>#REF!</v>
      </c>
      <c r="F54" s="61">
        <f t="shared" ref="F54:R54" si="26">F25+F35+F43</f>
        <v>0</v>
      </c>
      <c r="G54" s="61" t="e">
        <f t="shared" si="26"/>
        <v>#REF!</v>
      </c>
      <c r="H54" s="61" t="e">
        <f t="shared" si="26"/>
        <v>#REF!</v>
      </c>
      <c r="I54" s="61" t="e">
        <f t="shared" si="26"/>
        <v>#REF!</v>
      </c>
      <c r="J54" s="61" t="e">
        <f t="shared" si="26"/>
        <v>#REF!</v>
      </c>
      <c r="K54" s="61" t="e">
        <f t="shared" si="26"/>
        <v>#REF!</v>
      </c>
      <c r="L54" s="61" t="e">
        <f t="shared" si="26"/>
        <v>#REF!</v>
      </c>
      <c r="M54" s="61" t="e">
        <f t="shared" si="26"/>
        <v>#REF!</v>
      </c>
      <c r="N54" s="61" t="e">
        <f t="shared" si="26"/>
        <v>#REF!</v>
      </c>
      <c r="O54" s="61" t="e">
        <f t="shared" si="26"/>
        <v>#REF!</v>
      </c>
      <c r="P54" s="61" t="e">
        <f t="shared" si="26"/>
        <v>#REF!</v>
      </c>
      <c r="Q54" s="61" t="e">
        <f t="shared" si="26"/>
        <v>#REF!</v>
      </c>
      <c r="R54" s="61" t="e">
        <f t="shared" si="26"/>
        <v>#REF!</v>
      </c>
    </row>
    <row r="55" spans="1:22" x14ac:dyDescent="0.2">
      <c r="A55" s="261"/>
      <c r="B55" s="265" t="s">
        <v>431</v>
      </c>
      <c r="D55" s="109" t="e">
        <f>SUM(F55:R55)</f>
        <v>#REF!</v>
      </c>
      <c r="F55" s="61">
        <f>F26+F36+F44</f>
        <v>75000</v>
      </c>
      <c r="G55" s="61" t="e">
        <f>G26+G36+G44</f>
        <v>#REF!</v>
      </c>
      <c r="H55" s="61">
        <f t="shared" ref="H55:R55" si="27">H26+H36+H44</f>
        <v>0</v>
      </c>
      <c r="I55" s="61">
        <f t="shared" si="27"/>
        <v>0</v>
      </c>
      <c r="J55" s="61">
        <f t="shared" si="27"/>
        <v>0</v>
      </c>
      <c r="K55" s="61">
        <f t="shared" si="27"/>
        <v>0</v>
      </c>
      <c r="L55" s="61">
        <f t="shared" si="27"/>
        <v>0</v>
      </c>
      <c r="M55" s="61">
        <f t="shared" si="27"/>
        <v>0</v>
      </c>
      <c r="N55" s="61">
        <f t="shared" si="27"/>
        <v>0</v>
      </c>
      <c r="O55" s="61">
        <f t="shared" si="27"/>
        <v>0</v>
      </c>
      <c r="P55" s="61">
        <f t="shared" si="27"/>
        <v>0</v>
      </c>
      <c r="Q55" s="61">
        <f t="shared" si="27"/>
        <v>0</v>
      </c>
      <c r="R55" s="61">
        <f t="shared" si="27"/>
        <v>0</v>
      </c>
    </row>
    <row r="56" spans="1:22" x14ac:dyDescent="0.2">
      <c r="A56" s="261"/>
      <c r="B56" s="265" t="s">
        <v>179</v>
      </c>
      <c r="D56" s="109" t="e">
        <f>SUM(F56:R56)</f>
        <v>#REF!</v>
      </c>
      <c r="F56" s="61">
        <f t="shared" ref="F56:R56" si="28">F27+F37+F45</f>
        <v>-75000</v>
      </c>
      <c r="G56" s="61" t="e">
        <f t="shared" si="28"/>
        <v>#REF!</v>
      </c>
      <c r="H56" s="61" t="e">
        <f t="shared" si="28"/>
        <v>#REF!</v>
      </c>
      <c r="I56" s="61" t="e">
        <f t="shared" si="28"/>
        <v>#REF!</v>
      </c>
      <c r="J56" s="61" t="e">
        <f t="shared" si="28"/>
        <v>#REF!</v>
      </c>
      <c r="K56" s="61" t="e">
        <f t="shared" si="28"/>
        <v>#REF!</v>
      </c>
      <c r="L56" s="61" t="e">
        <f t="shared" si="28"/>
        <v>#REF!</v>
      </c>
      <c r="M56" s="61" t="e">
        <f t="shared" si="28"/>
        <v>#REF!</v>
      </c>
      <c r="N56" s="61" t="e">
        <f t="shared" si="28"/>
        <v>#REF!</v>
      </c>
      <c r="O56" s="61" t="e">
        <f t="shared" si="28"/>
        <v>#REF!</v>
      </c>
      <c r="P56" s="61" t="e">
        <f t="shared" si="28"/>
        <v>#REF!</v>
      </c>
      <c r="Q56" s="61" t="e">
        <f t="shared" si="28"/>
        <v>#REF!</v>
      </c>
      <c r="R56" s="61" t="e">
        <f t="shared" si="28"/>
        <v>#REF!</v>
      </c>
    </row>
    <row r="57" spans="1:22" s="274" customFormat="1" x14ac:dyDescent="0.2">
      <c r="A57" s="273"/>
      <c r="B57" s="298" t="s">
        <v>432</v>
      </c>
      <c r="F57" s="299">
        <f>'Proforma Resi'!E232-F56</f>
        <v>0</v>
      </c>
      <c r="G57" s="299" t="e">
        <f>'Proforma Resi'!F232-G56</f>
        <v>#REF!</v>
      </c>
      <c r="H57" s="299" t="e">
        <f>'Proforma Resi'!G232-H56</f>
        <v>#REF!</v>
      </c>
      <c r="I57" s="299" t="e">
        <f>'Proforma Resi'!H232-I56</f>
        <v>#REF!</v>
      </c>
      <c r="J57" s="299" t="e">
        <f>'Proforma Resi'!I232-J56</f>
        <v>#REF!</v>
      </c>
      <c r="K57" s="299" t="e">
        <f>'Proforma Resi'!J232-K56</f>
        <v>#REF!</v>
      </c>
      <c r="L57" s="299" t="e">
        <f>'Proforma Resi'!K232-L56</f>
        <v>#REF!</v>
      </c>
      <c r="M57" s="299" t="e">
        <f>'Proforma Resi'!L232-M56</f>
        <v>#REF!</v>
      </c>
      <c r="N57" s="299" t="e">
        <f>'Proforma Resi'!M232-N56</f>
        <v>#REF!</v>
      </c>
      <c r="O57" s="299" t="e">
        <f>'Proforma Resi'!N232-O56</f>
        <v>#REF!</v>
      </c>
      <c r="P57" s="299" t="e">
        <f>'Proforma Resi'!O232-P56</f>
        <v>#REF!</v>
      </c>
      <c r="Q57" s="299" t="e">
        <f>'Proforma Resi'!P232-Q56</f>
        <v>#REF!</v>
      </c>
      <c r="R57" s="299" t="e">
        <f>'Proforma Resi'!Q232-R56</f>
        <v>#REF!</v>
      </c>
    </row>
    <row r="58" spans="1:22" x14ac:dyDescent="0.2">
      <c r="A58" s="261"/>
      <c r="B58" s="133" t="s">
        <v>180</v>
      </c>
      <c r="F58" s="267" t="e">
        <f>XIRR(F56:R56,F52:R52)</f>
        <v>#REF!</v>
      </c>
      <c r="G58" s="61"/>
      <c r="H58" s="61"/>
      <c r="I58" s="61"/>
      <c r="J58" s="61"/>
      <c r="K58" s="61"/>
      <c r="L58" s="61"/>
      <c r="M58" s="61"/>
      <c r="N58" s="61"/>
    </row>
    <row r="59" spans="1:22" x14ac:dyDescent="0.2">
      <c r="A59" s="261"/>
      <c r="B59" s="133" t="s">
        <v>174</v>
      </c>
      <c r="F59" s="300">
        <f>SUMIF(F56:R56,"&gt;0")/-SUMIF(F56:R56,"&lt;0")</f>
        <v>0</v>
      </c>
      <c r="M59" s="111"/>
    </row>
    <row r="60" spans="1:22" x14ac:dyDescent="0.2">
      <c r="A60" s="261"/>
      <c r="B60" s="133"/>
      <c r="F60" s="300"/>
      <c r="M60" s="111"/>
    </row>
    <row r="61" spans="1:22" x14ac:dyDescent="0.2">
      <c r="U61" s="138"/>
      <c r="V61" s="105"/>
    </row>
    <row r="62" spans="1:22" x14ac:dyDescent="0.2">
      <c r="U62" s="138"/>
      <c r="V62" s="105"/>
    </row>
  </sheetData>
  <conditionalFormatting sqref="D5:D6 H7 D13:D15">
    <cfRule type="cellIs" dxfId="5" priority="10" operator="lessThan">
      <formula>$C$224</formula>
    </cfRule>
  </conditionalFormatting>
  <conditionalFormatting sqref="H5">
    <cfRule type="cellIs" dxfId="4" priority="11" operator="lessThan">
      <formula>$C$224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D619-50C1-4F7D-B984-FFE1DEF5255D}">
  <sheetPr>
    <tabColor theme="9" tint="0.59999389629810485"/>
  </sheetPr>
  <dimension ref="A1:AJ239"/>
  <sheetViews>
    <sheetView showGridLines="0" tabSelected="1" zoomScaleNormal="100" zoomScaleSheetLayoutView="90" zoomScalePageLayoutView="50" workbookViewId="0">
      <pane ySplit="5" topLeftCell="A6" activePane="bottomLeft" state="frozen"/>
      <selection pane="bottomLeft" activeCell="E62" sqref="E62"/>
    </sheetView>
  </sheetViews>
  <sheetFormatPr baseColWidth="10" defaultColWidth="11" defaultRowHeight="16" outlineLevelRow="1" outlineLevelCol="1" x14ac:dyDescent="0.2"/>
  <cols>
    <col min="1" max="1" width="4.1640625" style="2" customWidth="1"/>
    <col min="2" max="2" width="55.1640625" customWidth="1"/>
    <col min="3" max="3" width="18.1640625" bestFit="1" customWidth="1"/>
    <col min="4" max="4" width="11.6640625" customWidth="1"/>
    <col min="5" max="12" width="15" customWidth="1"/>
    <col min="13" max="17" width="15" hidden="1" customWidth="1" outlineLevel="1"/>
    <col min="18" max="18" width="15" customWidth="1" collapsed="1"/>
    <col min="19" max="19" width="13.6640625" customWidth="1"/>
    <col min="20" max="20" width="22.1640625" customWidth="1"/>
    <col min="21" max="21" width="13.6640625" customWidth="1"/>
    <col min="22" max="22" width="17.1640625" customWidth="1"/>
    <col min="23" max="23" width="11.5" bestFit="1" customWidth="1"/>
    <col min="24" max="24" width="12.1640625" bestFit="1" customWidth="1"/>
    <col min="25" max="25" width="15.1640625" customWidth="1"/>
    <col min="26" max="26" width="16" bestFit="1" customWidth="1"/>
    <col min="27" max="27" width="16.5" bestFit="1" customWidth="1"/>
    <col min="28" max="28" width="17.1640625" customWidth="1"/>
    <col min="29" max="30" width="16.5" bestFit="1" customWidth="1"/>
    <col min="31" max="31" width="16.6640625" bestFit="1" customWidth="1"/>
    <col min="32" max="32" width="16.5" bestFit="1" customWidth="1"/>
    <col min="33" max="33" width="16.6640625" bestFit="1" customWidth="1"/>
    <col min="34" max="34" width="17" bestFit="1" customWidth="1"/>
    <col min="35" max="35" width="16.6640625" bestFit="1" customWidth="1"/>
    <col min="36" max="36" width="17" bestFit="1" customWidth="1"/>
  </cols>
  <sheetData>
    <row r="1" spans="1:36" ht="21" x14ac:dyDescent="0.25">
      <c r="B1" s="493" t="s">
        <v>433</v>
      </c>
      <c r="C1" s="565"/>
      <c r="D1" s="565"/>
      <c r="AB1" s="497"/>
      <c r="AC1" s="564" t="s">
        <v>204</v>
      </c>
      <c r="AD1" s="564" t="s">
        <v>205</v>
      </c>
      <c r="AE1" s="564" t="s">
        <v>206</v>
      </c>
      <c r="AF1" s="564" t="s">
        <v>207</v>
      </c>
      <c r="AG1" s="564" t="s">
        <v>208</v>
      </c>
      <c r="AH1" s="564" t="s">
        <v>209</v>
      </c>
      <c r="AI1" s="564" t="s">
        <v>210</v>
      </c>
      <c r="AJ1" s="564" t="s">
        <v>211</v>
      </c>
    </row>
    <row r="2" spans="1:36" ht="21" x14ac:dyDescent="0.25">
      <c r="B2" s="563" t="s">
        <v>202</v>
      </c>
      <c r="C2" s="563"/>
      <c r="D2" s="56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AB2" s="497"/>
      <c r="AC2" s="497"/>
      <c r="AD2" s="497"/>
      <c r="AE2" s="497"/>
      <c r="AF2" s="497"/>
      <c r="AG2" s="497"/>
      <c r="AH2" s="497"/>
      <c r="AI2" s="497"/>
      <c r="AJ2" s="497"/>
    </row>
    <row r="3" spans="1:36" s="497" customFormat="1" x14ac:dyDescent="0.2">
      <c r="A3" s="2"/>
      <c r="B3" s="194"/>
      <c r="C3" s="194"/>
      <c r="D3" s="194"/>
      <c r="E3" s="289" t="s">
        <v>204</v>
      </c>
      <c r="F3" s="289" t="s">
        <v>205</v>
      </c>
      <c r="G3" s="289" t="s">
        <v>206</v>
      </c>
      <c r="H3" s="289" t="s">
        <v>207</v>
      </c>
      <c r="I3" s="289" t="s">
        <v>208</v>
      </c>
      <c r="J3" s="289" t="s">
        <v>209</v>
      </c>
      <c r="K3" s="289" t="s">
        <v>210</v>
      </c>
      <c r="L3" s="289" t="s">
        <v>211</v>
      </c>
      <c r="M3" s="289" t="s">
        <v>434</v>
      </c>
      <c r="N3" s="289" t="s">
        <v>435</v>
      </c>
      <c r="O3" s="289" t="s">
        <v>436</v>
      </c>
      <c r="P3" s="289" t="s">
        <v>437</v>
      </c>
      <c r="Q3" s="289" t="s">
        <v>438</v>
      </c>
      <c r="R3" s="194"/>
      <c r="S3" s="3"/>
      <c r="T3"/>
      <c r="U3"/>
      <c r="V3" s="3"/>
      <c r="W3"/>
      <c r="X3"/>
      <c r="Y3"/>
      <c r="Z3" s="132" t="s">
        <v>439</v>
      </c>
      <c r="AA3" s="562" t="e">
        <f>SUM(AA4:AA210)</f>
        <v>#REF!</v>
      </c>
    </row>
    <row r="4" spans="1:36" s="3" customFormat="1" x14ac:dyDescent="0.2">
      <c r="A4" s="55"/>
      <c r="D4" s="760" t="s">
        <v>440</v>
      </c>
      <c r="E4" s="6">
        <v>2025</v>
      </c>
      <c r="F4" s="6">
        <f t="shared" ref="F4:Q4" si="0">E4+1</f>
        <v>2026</v>
      </c>
      <c r="G4" s="6">
        <f t="shared" si="0"/>
        <v>2027</v>
      </c>
      <c r="H4" s="6">
        <f t="shared" si="0"/>
        <v>2028</v>
      </c>
      <c r="I4" s="6">
        <f t="shared" si="0"/>
        <v>2029</v>
      </c>
      <c r="J4" s="6">
        <f t="shared" si="0"/>
        <v>2030</v>
      </c>
      <c r="K4" s="6">
        <f t="shared" si="0"/>
        <v>2031</v>
      </c>
      <c r="L4" s="6">
        <f t="shared" si="0"/>
        <v>2032</v>
      </c>
      <c r="M4" s="6">
        <f t="shared" si="0"/>
        <v>2033</v>
      </c>
      <c r="N4" s="6">
        <f t="shared" si="0"/>
        <v>2034</v>
      </c>
      <c r="O4" s="6">
        <f t="shared" si="0"/>
        <v>2035</v>
      </c>
      <c r="P4" s="6">
        <f t="shared" si="0"/>
        <v>2036</v>
      </c>
      <c r="Q4" s="6">
        <f t="shared" si="0"/>
        <v>2037</v>
      </c>
      <c r="R4" s="7" t="s">
        <v>212</v>
      </c>
      <c r="U4"/>
      <c r="V4" s="133"/>
    </row>
    <row r="5" spans="1:36" ht="15.5" customHeight="1" outlineLevel="1" x14ac:dyDescent="0.2">
      <c r="D5" s="144"/>
      <c r="E5" s="20">
        <v>45658</v>
      </c>
      <c r="F5" s="20">
        <f>E5+365</f>
        <v>46023</v>
      </c>
      <c r="G5" s="20">
        <f>F5+365</f>
        <v>46388</v>
      </c>
      <c r="H5" s="20">
        <f>G5+365</f>
        <v>46753</v>
      </c>
      <c r="I5" s="20">
        <f>H5+366</f>
        <v>47119</v>
      </c>
      <c r="J5" s="20">
        <f t="shared" ref="J5:O5" si="1">I5+365</f>
        <v>47484</v>
      </c>
      <c r="K5" s="20">
        <f t="shared" si="1"/>
        <v>47849</v>
      </c>
      <c r="L5" s="20">
        <f t="shared" si="1"/>
        <v>48214</v>
      </c>
      <c r="M5" s="20">
        <f t="shared" si="1"/>
        <v>48579</v>
      </c>
      <c r="N5" s="20">
        <f t="shared" si="1"/>
        <v>48944</v>
      </c>
      <c r="O5" s="20">
        <f t="shared" si="1"/>
        <v>49309</v>
      </c>
      <c r="P5" s="20">
        <f>O5+366</f>
        <v>49675</v>
      </c>
      <c r="Q5" s="20">
        <f>P5+365</f>
        <v>50040</v>
      </c>
      <c r="R5" s="7"/>
      <c r="S5" s="782" t="s">
        <v>215</v>
      </c>
    </row>
    <row r="6" spans="1:36" ht="34" outlineLevel="1" x14ac:dyDescent="0.2">
      <c r="A6" s="74" t="s">
        <v>216</v>
      </c>
      <c r="B6" s="554" t="s">
        <v>217</v>
      </c>
      <c r="C6" s="634"/>
      <c r="D6" s="144" t="s">
        <v>441</v>
      </c>
      <c r="S6" s="783"/>
    </row>
    <row r="7" spans="1:36" hidden="1" outlineLevel="1" x14ac:dyDescent="0.2">
      <c r="A7" s="74" t="s">
        <v>442</v>
      </c>
      <c r="B7" s="553" t="s">
        <v>443</v>
      </c>
      <c r="C7" s="78"/>
      <c r="D7" s="555">
        <v>1500</v>
      </c>
      <c r="E7" s="430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>
        <f>SUM(F7:Q7)</f>
        <v>0</v>
      </c>
      <c r="S7" s="11">
        <f>D7*$E$34</f>
        <v>2775000</v>
      </c>
      <c r="T7" s="11">
        <f t="shared" ref="T7:T16" si="2">R7*S7</f>
        <v>0</v>
      </c>
      <c r="V7" s="11" t="e">
        <f>#REF!*#REF!</f>
        <v>#REF!</v>
      </c>
    </row>
    <row r="8" spans="1:36" hidden="1" outlineLevel="1" x14ac:dyDescent="0.2">
      <c r="A8" s="74" t="s">
        <v>444</v>
      </c>
      <c r="B8" s="553" t="s">
        <v>445</v>
      </c>
      <c r="C8" s="78"/>
      <c r="D8" s="555">
        <v>2000</v>
      </c>
      <c r="E8" s="430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>
        <f>SUM(F8:Q8)</f>
        <v>0</v>
      </c>
      <c r="S8" s="11">
        <f>D8*$E$34</f>
        <v>3700000</v>
      </c>
      <c r="T8" s="11">
        <f t="shared" si="2"/>
        <v>0</v>
      </c>
      <c r="V8" s="11"/>
    </row>
    <row r="9" spans="1:36" hidden="1" outlineLevel="1" x14ac:dyDescent="0.2">
      <c r="A9" s="74" t="s">
        <v>446</v>
      </c>
      <c r="B9" s="5" t="s">
        <v>447</v>
      </c>
      <c r="C9" s="72"/>
      <c r="D9" s="555">
        <v>2500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>
        <f>SUM(F9:Q9)</f>
        <v>0</v>
      </c>
      <c r="S9" s="11">
        <f>D9*$E$34</f>
        <v>4625000</v>
      </c>
      <c r="T9" s="11">
        <f t="shared" si="2"/>
        <v>0</v>
      </c>
    </row>
    <row r="10" spans="1:36" hidden="1" outlineLevel="1" x14ac:dyDescent="0.2">
      <c r="A10" s="74" t="s">
        <v>448</v>
      </c>
      <c r="B10" s="553" t="s">
        <v>449</v>
      </c>
      <c r="C10" s="78"/>
      <c r="D10" s="555">
        <v>2500</v>
      </c>
      <c r="E10" s="430"/>
      <c r="F10" s="561"/>
      <c r="G10" s="8"/>
      <c r="H10" s="8"/>
      <c r="I10" s="8"/>
      <c r="J10" s="8"/>
      <c r="K10" s="8"/>
      <c r="M10" s="8"/>
      <c r="N10" s="8"/>
      <c r="O10" s="8"/>
      <c r="P10" s="8"/>
      <c r="Q10" s="8"/>
      <c r="R10">
        <f>SUM(F10:Q10)</f>
        <v>0</v>
      </c>
      <c r="S10" s="11">
        <f>D10*$E$34</f>
        <v>4625000</v>
      </c>
      <c r="T10" s="11">
        <f t="shared" si="2"/>
        <v>0</v>
      </c>
    </row>
    <row r="11" spans="1:36" outlineLevel="1" x14ac:dyDescent="0.2">
      <c r="A11" s="74" t="s">
        <v>450</v>
      </c>
      <c r="B11" s="560" t="s">
        <v>451</v>
      </c>
      <c r="C11" s="72"/>
      <c r="D11" s="559">
        <v>3500</v>
      </c>
      <c r="E11" s="8">
        <v>4</v>
      </c>
      <c r="F11" s="8"/>
      <c r="G11" s="8"/>
      <c r="H11" s="8"/>
      <c r="I11" s="8"/>
      <c r="J11" s="8"/>
      <c r="M11" s="8"/>
      <c r="N11" s="8"/>
      <c r="O11" s="8"/>
      <c r="P11" s="8"/>
      <c r="Q11" s="8"/>
      <c r="R11">
        <f t="shared" ref="R11:R16" si="3">SUM(E11:Q11)</f>
        <v>4</v>
      </c>
      <c r="S11" s="11">
        <f>D11*$E$32</f>
        <v>6125000</v>
      </c>
      <c r="T11" s="11">
        <f t="shared" si="2"/>
        <v>24500000</v>
      </c>
    </row>
    <row r="12" spans="1:36" outlineLevel="1" x14ac:dyDescent="0.2">
      <c r="A12" s="74" t="s">
        <v>452</v>
      </c>
      <c r="B12" s="560" t="s">
        <v>453</v>
      </c>
      <c r="C12" s="72"/>
      <c r="D12" s="559">
        <v>3250</v>
      </c>
      <c r="E12" s="8"/>
      <c r="F12" s="8">
        <v>8</v>
      </c>
      <c r="G12" s="8">
        <v>7</v>
      </c>
      <c r="H12" s="8"/>
      <c r="I12" s="8"/>
      <c r="J12" s="8"/>
      <c r="L12" s="8"/>
      <c r="M12" s="8"/>
      <c r="N12" s="8"/>
      <c r="O12" s="8"/>
      <c r="P12" s="8"/>
      <c r="Q12" s="8"/>
      <c r="R12">
        <f t="shared" si="3"/>
        <v>15</v>
      </c>
      <c r="S12" s="11">
        <f>D12*$E$32</f>
        <v>5687500</v>
      </c>
      <c r="T12" s="11">
        <f t="shared" si="2"/>
        <v>85312500</v>
      </c>
    </row>
    <row r="13" spans="1:36" ht="16.25" customHeight="1" outlineLevel="1" x14ac:dyDescent="0.2">
      <c r="A13" s="74" t="s">
        <v>454</v>
      </c>
      <c r="B13" s="560" t="s">
        <v>455</v>
      </c>
      <c r="C13" s="72"/>
      <c r="D13" s="559">
        <v>3750</v>
      </c>
      <c r="E13" s="8"/>
      <c r="F13" s="8"/>
      <c r="G13" s="8">
        <v>5</v>
      </c>
      <c r="H13" s="8">
        <v>5</v>
      </c>
      <c r="I13" s="8"/>
      <c r="J13" s="8"/>
      <c r="M13" s="8"/>
      <c r="N13" s="8"/>
      <c r="O13" s="8"/>
      <c r="P13" s="8"/>
      <c r="Q13" s="8"/>
      <c r="R13">
        <f t="shared" si="3"/>
        <v>10</v>
      </c>
      <c r="S13" s="11">
        <f>D13*$E$32</f>
        <v>6562500</v>
      </c>
      <c r="T13" s="11">
        <f t="shared" si="2"/>
        <v>65625000</v>
      </c>
      <c r="U13" s="112" t="s">
        <v>456</v>
      </c>
    </row>
    <row r="14" spans="1:36" ht="16.25" customHeight="1" outlineLevel="1" x14ac:dyDescent="0.2">
      <c r="A14" s="74" t="s">
        <v>457</v>
      </c>
      <c r="B14" s="560" t="s">
        <v>458</v>
      </c>
      <c r="C14" s="72"/>
      <c r="D14" s="559">
        <v>3750</v>
      </c>
      <c r="E14" s="8"/>
      <c r="F14" s="8"/>
      <c r="G14" s="8"/>
      <c r="H14" s="8">
        <v>7</v>
      </c>
      <c r="I14" s="8">
        <v>3</v>
      </c>
      <c r="J14" s="8"/>
      <c r="M14" s="8"/>
      <c r="N14" s="8"/>
      <c r="O14" s="8"/>
      <c r="P14" s="8"/>
      <c r="Q14" s="8"/>
      <c r="R14">
        <f t="shared" si="3"/>
        <v>10</v>
      </c>
      <c r="S14" s="11">
        <f>D14*$E$32</f>
        <v>6562500</v>
      </c>
      <c r="T14" s="11">
        <f t="shared" si="2"/>
        <v>65625000</v>
      </c>
      <c r="U14" s="112"/>
    </row>
    <row r="15" spans="1:36" outlineLevel="1" x14ac:dyDescent="0.2">
      <c r="A15" s="74" t="s">
        <v>459</v>
      </c>
      <c r="B15" s="5" t="s">
        <v>460</v>
      </c>
      <c r="C15" s="72"/>
      <c r="D15" s="558">
        <v>4500</v>
      </c>
      <c r="E15" s="8"/>
      <c r="F15" s="8"/>
      <c r="G15" s="8"/>
      <c r="H15" s="8"/>
      <c r="I15" s="613"/>
      <c r="J15" s="613"/>
      <c r="M15" s="8"/>
      <c r="N15" s="8"/>
      <c r="O15" s="8"/>
      <c r="P15" s="8"/>
      <c r="Q15" s="8"/>
      <c r="R15">
        <f t="shared" si="3"/>
        <v>0</v>
      </c>
      <c r="S15" s="11">
        <f>D15*$E$33</f>
        <v>7875000</v>
      </c>
      <c r="T15" s="11">
        <f t="shared" si="2"/>
        <v>0</v>
      </c>
    </row>
    <row r="16" spans="1:36" ht="16.25" customHeight="1" outlineLevel="1" x14ac:dyDescent="0.2">
      <c r="A16" s="74" t="s">
        <v>461</v>
      </c>
      <c r="B16" s="557" t="s">
        <v>462</v>
      </c>
      <c r="C16" s="556"/>
      <c r="D16" s="555">
        <v>3500</v>
      </c>
      <c r="E16" s="8">
        <v>1</v>
      </c>
      <c r="F16" s="8"/>
      <c r="G16" s="8"/>
      <c r="H16" s="8"/>
      <c r="I16" s="8"/>
      <c r="J16" s="8">
        <v>5</v>
      </c>
      <c r="K16" s="8"/>
      <c r="L16" s="8"/>
      <c r="M16" s="8"/>
      <c r="N16" s="8"/>
      <c r="O16" s="8"/>
      <c r="P16" s="8"/>
      <c r="Q16" s="8"/>
      <c r="R16">
        <f t="shared" si="3"/>
        <v>6</v>
      </c>
      <c r="S16" s="11">
        <f>D16*$E$34</f>
        <v>6475000</v>
      </c>
      <c r="T16" s="11">
        <f t="shared" si="2"/>
        <v>38850000</v>
      </c>
      <c r="U16" s="112"/>
    </row>
    <row r="17" spans="2:31" outlineLevel="1" x14ac:dyDescent="0.2">
      <c r="B17" s="49" t="s">
        <v>219</v>
      </c>
      <c r="C17" s="49"/>
      <c r="D17" s="3"/>
      <c r="E17" s="56">
        <f t="shared" ref="E17:R17" si="4">SUM(E7:E16)</f>
        <v>5</v>
      </c>
      <c r="F17" s="56">
        <f t="shared" si="4"/>
        <v>8</v>
      </c>
      <c r="G17" s="56">
        <f t="shared" si="4"/>
        <v>12</v>
      </c>
      <c r="H17" s="56">
        <f t="shared" si="4"/>
        <v>12</v>
      </c>
      <c r="I17" s="56">
        <f t="shared" si="4"/>
        <v>3</v>
      </c>
      <c r="J17" s="56">
        <f t="shared" si="4"/>
        <v>5</v>
      </c>
      <c r="K17" s="56">
        <f t="shared" si="4"/>
        <v>0</v>
      </c>
      <c r="L17" s="56">
        <f t="shared" si="4"/>
        <v>0</v>
      </c>
      <c r="M17" s="56">
        <f t="shared" si="4"/>
        <v>0</v>
      </c>
      <c r="N17" s="56">
        <f t="shared" si="4"/>
        <v>0</v>
      </c>
      <c r="O17" s="56">
        <f t="shared" si="4"/>
        <v>0</v>
      </c>
      <c r="P17" s="56">
        <f t="shared" si="4"/>
        <v>0</v>
      </c>
      <c r="Q17" s="56">
        <f t="shared" si="4"/>
        <v>0</v>
      </c>
      <c r="R17" s="49">
        <f t="shared" si="4"/>
        <v>45</v>
      </c>
      <c r="S17" s="99" t="s">
        <v>220</v>
      </c>
      <c r="T17" s="134">
        <f>SUM(T7:T16)</f>
        <v>279912500</v>
      </c>
      <c r="U17" s="112"/>
      <c r="V17" s="61">
        <f>SUMPRODUCT(D7:D16,R7:R16)</f>
        <v>158750</v>
      </c>
      <c r="W17" s="135" t="s">
        <v>463</v>
      </c>
      <c r="X17">
        <f>SUM(T7:T16)/V17</f>
        <v>1763.2283464566929</v>
      </c>
      <c r="Y17" t="s">
        <v>221</v>
      </c>
      <c r="Z17" t="s">
        <v>221</v>
      </c>
    </row>
    <row r="18" spans="2:31" outlineLevel="1" x14ac:dyDescent="0.2">
      <c r="B18" t="s">
        <v>222</v>
      </c>
      <c r="C18" s="12"/>
      <c r="D18" s="82">
        <f>SUMPRODUCT(D7:D16,R7:R16)</f>
        <v>158750</v>
      </c>
      <c r="E18" s="83"/>
      <c r="G18" s="8"/>
      <c r="H18" s="8"/>
      <c r="I18" s="8"/>
      <c r="J18" s="8"/>
      <c r="K18" s="8"/>
      <c r="L18" s="8"/>
      <c r="M18" s="8"/>
      <c r="N18" s="8"/>
      <c r="O18" s="8"/>
      <c r="P18" s="8"/>
      <c r="S18" s="7"/>
      <c r="T18" s="11">
        <f>T17/R17</f>
        <v>6220277.777777778</v>
      </c>
      <c r="U18" t="s">
        <v>223</v>
      </c>
      <c r="V18" s="11">
        <f>D18/R17</f>
        <v>3527.7777777777778</v>
      </c>
    </row>
    <row r="19" spans="2:31" ht="8" customHeight="1" outlineLevel="1" x14ac:dyDescent="0.2">
      <c r="C19" s="73"/>
      <c r="D19" s="7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2:31" outlineLevel="1" x14ac:dyDescent="0.2">
      <c r="B20" s="554" t="s">
        <v>225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U20" s="138" t="s">
        <v>205</v>
      </c>
      <c r="V20" s="138" t="s">
        <v>206</v>
      </c>
      <c r="W20" s="138" t="s">
        <v>207</v>
      </c>
      <c r="X20" s="138" t="s">
        <v>208</v>
      </c>
      <c r="Y20" s="138" t="s">
        <v>209</v>
      </c>
      <c r="Z20" s="138" t="s">
        <v>210</v>
      </c>
      <c r="AA20" s="138" t="s">
        <v>211</v>
      </c>
    </row>
    <row r="21" spans="2:31" hidden="1" outlineLevel="1" x14ac:dyDescent="0.2">
      <c r="B21" s="553" t="str">
        <f t="shared" ref="B21:B29" si="5">B7</f>
        <v>Pondside Cabins @ Event Barn (13ea)</v>
      </c>
      <c r="C21" s="5">
        <f t="shared" ref="C21:C29" si="6">R7</f>
        <v>0</v>
      </c>
      <c r="D21" t="str">
        <f t="shared" ref="D21:D30" si="7">T21</f>
        <v>Cottages</v>
      </c>
      <c r="E21" s="8"/>
      <c r="F21" s="7"/>
      <c r="G21" s="7">
        <f t="shared" ref="G21:Q21" si="8">F7</f>
        <v>0</v>
      </c>
      <c r="H21" s="7">
        <f t="shared" si="8"/>
        <v>0</v>
      </c>
      <c r="I21" s="7">
        <f t="shared" si="8"/>
        <v>0</v>
      </c>
      <c r="J21" s="7">
        <f t="shared" si="8"/>
        <v>0</v>
      </c>
      <c r="K21" s="7">
        <f t="shared" si="8"/>
        <v>0</v>
      </c>
      <c r="L21" s="7">
        <f t="shared" si="8"/>
        <v>0</v>
      </c>
      <c r="M21" s="7">
        <f t="shared" si="8"/>
        <v>0</v>
      </c>
      <c r="N21" s="7">
        <f t="shared" si="8"/>
        <v>0</v>
      </c>
      <c r="O21" s="7">
        <f t="shared" si="8"/>
        <v>0</v>
      </c>
      <c r="P21" s="7">
        <f t="shared" si="8"/>
        <v>0</v>
      </c>
      <c r="Q21" s="7">
        <f t="shared" si="8"/>
        <v>0</v>
      </c>
      <c r="R21">
        <f t="shared" ref="R21:R30" si="9">SUM(F21:Q21)</f>
        <v>0</v>
      </c>
      <c r="T21" t="s">
        <v>51</v>
      </c>
      <c r="U21" s="139">
        <f t="shared" ref="U21:Z21" si="10">+F34</f>
        <v>1850</v>
      </c>
      <c r="V21" s="139">
        <f t="shared" si="10"/>
        <v>2035.0000000000002</v>
      </c>
      <c r="W21" s="139">
        <f t="shared" si="10"/>
        <v>2238.5000000000005</v>
      </c>
      <c r="X21" s="139">
        <f t="shared" si="10"/>
        <v>2462.3500000000008</v>
      </c>
      <c r="Y21" s="139">
        <f t="shared" si="10"/>
        <v>2708.5850000000009</v>
      </c>
      <c r="Z21" s="139">
        <f t="shared" si="10"/>
        <v>2979.4435000000012</v>
      </c>
      <c r="AA21" s="139" cm="1">
        <f t="array" ref="AA21:AE21">+L34:P34</f>
        <v>3277.3878500000014</v>
      </c>
      <c r="AB21">
        <v>3605.1266350000019</v>
      </c>
      <c r="AC21">
        <v>3965.6392985000025</v>
      </c>
      <c r="AD21">
        <v>4362.203228350003</v>
      </c>
      <c r="AE21">
        <v>4798.4235511850038</v>
      </c>
    </row>
    <row r="22" spans="2:31" hidden="1" outlineLevel="1" x14ac:dyDescent="0.2">
      <c r="B22" s="553" t="str">
        <f t="shared" si="5"/>
        <v xml:space="preserve">Village Cabins (13ea) </v>
      </c>
      <c r="C22" s="5">
        <f t="shared" si="6"/>
        <v>0</v>
      </c>
      <c r="D22" t="str">
        <f t="shared" si="7"/>
        <v>Cottages</v>
      </c>
      <c r="E22" s="8"/>
      <c r="F22" s="7"/>
      <c r="G22" s="7">
        <f t="shared" ref="G22:Q22" si="11">F8</f>
        <v>0</v>
      </c>
      <c r="H22" s="7">
        <f t="shared" si="11"/>
        <v>0</v>
      </c>
      <c r="I22" s="7">
        <f t="shared" si="11"/>
        <v>0</v>
      </c>
      <c r="J22" s="7">
        <f t="shared" si="11"/>
        <v>0</v>
      </c>
      <c r="K22" s="7">
        <f t="shared" si="11"/>
        <v>0</v>
      </c>
      <c r="L22" s="7">
        <f t="shared" si="11"/>
        <v>0</v>
      </c>
      <c r="M22" s="7">
        <f t="shared" si="11"/>
        <v>0</v>
      </c>
      <c r="N22" s="7">
        <f t="shared" si="11"/>
        <v>0</v>
      </c>
      <c r="O22" s="7">
        <f t="shared" si="11"/>
        <v>0</v>
      </c>
      <c r="P22" s="7">
        <f t="shared" si="11"/>
        <v>0</v>
      </c>
      <c r="Q22" s="7">
        <f t="shared" si="11"/>
        <v>0</v>
      </c>
      <c r="R22">
        <f t="shared" si="9"/>
        <v>0</v>
      </c>
      <c r="T22" t="s">
        <v>51</v>
      </c>
      <c r="U22" s="139">
        <f t="shared" ref="U22:AA24" si="12">+U21</f>
        <v>1850</v>
      </c>
      <c r="V22" s="139">
        <f t="shared" si="12"/>
        <v>2035.0000000000002</v>
      </c>
      <c r="W22" s="139">
        <f t="shared" si="12"/>
        <v>2238.5000000000005</v>
      </c>
      <c r="X22" s="139">
        <f t="shared" si="12"/>
        <v>2462.3500000000008</v>
      </c>
      <c r="Y22" s="139">
        <f t="shared" si="12"/>
        <v>2708.5850000000009</v>
      </c>
      <c r="Z22" s="139">
        <f t="shared" si="12"/>
        <v>2979.4435000000012</v>
      </c>
      <c r="AA22" s="139">
        <f t="shared" si="12"/>
        <v>3277.3878500000014</v>
      </c>
    </row>
    <row r="23" spans="2:31" hidden="1" outlineLevel="1" x14ac:dyDescent="0.2">
      <c r="B23" s="5" t="str">
        <f t="shared" si="5"/>
        <v>Village Cottages (13ea)</v>
      </c>
      <c r="C23" s="5">
        <f t="shared" si="6"/>
        <v>0</v>
      </c>
      <c r="D23" t="str">
        <f t="shared" si="7"/>
        <v>Cottages</v>
      </c>
      <c r="E23" s="8"/>
      <c r="F23" s="7"/>
      <c r="G23" s="7">
        <f t="shared" ref="G23:Q23" si="13">F9</f>
        <v>0</v>
      </c>
      <c r="H23" s="7">
        <f t="shared" si="13"/>
        <v>0</v>
      </c>
      <c r="I23" s="7">
        <f t="shared" si="13"/>
        <v>0</v>
      </c>
      <c r="J23" s="7">
        <f t="shared" si="13"/>
        <v>0</v>
      </c>
      <c r="K23" s="7">
        <f t="shared" si="13"/>
        <v>0</v>
      </c>
      <c r="L23" s="7">
        <f t="shared" si="13"/>
        <v>0</v>
      </c>
      <c r="M23" s="7">
        <f t="shared" si="13"/>
        <v>0</v>
      </c>
      <c r="N23" s="7">
        <f t="shared" si="13"/>
        <v>0</v>
      </c>
      <c r="O23" s="7">
        <f t="shared" si="13"/>
        <v>0</v>
      </c>
      <c r="P23" s="7">
        <f t="shared" si="13"/>
        <v>0</v>
      </c>
      <c r="Q23" s="7">
        <f t="shared" si="13"/>
        <v>0</v>
      </c>
      <c r="R23">
        <f t="shared" si="9"/>
        <v>0</v>
      </c>
      <c r="T23" t="s">
        <v>51</v>
      </c>
      <c r="U23" s="139">
        <f t="shared" si="12"/>
        <v>1850</v>
      </c>
      <c r="V23" s="139">
        <f t="shared" si="12"/>
        <v>2035.0000000000002</v>
      </c>
      <c r="W23" s="139">
        <f t="shared" si="12"/>
        <v>2238.5000000000005</v>
      </c>
      <c r="X23" s="139">
        <f t="shared" si="12"/>
        <v>2462.3500000000008</v>
      </c>
      <c r="Y23" s="139">
        <f t="shared" si="12"/>
        <v>2708.5850000000009</v>
      </c>
      <c r="Z23" s="139">
        <f t="shared" si="12"/>
        <v>2979.4435000000012</v>
      </c>
      <c r="AA23" s="139">
        <f t="shared" si="12"/>
        <v>3277.3878500000014</v>
      </c>
    </row>
    <row r="24" spans="2:31" hidden="1" outlineLevel="1" x14ac:dyDescent="0.2">
      <c r="B24" s="553" t="str">
        <f t="shared" si="5"/>
        <v xml:space="preserve">Guest Cabins @ Fitness Spa (13ea) </v>
      </c>
      <c r="C24" s="5">
        <f t="shared" si="6"/>
        <v>0</v>
      </c>
      <c r="D24" t="str">
        <f t="shared" si="7"/>
        <v>Cottages</v>
      </c>
      <c r="E24" s="8"/>
      <c r="F24" s="7"/>
      <c r="G24" s="7">
        <f t="shared" ref="G24:Q24" si="14">F10</f>
        <v>0</v>
      </c>
      <c r="H24" s="7">
        <f t="shared" si="14"/>
        <v>0</v>
      </c>
      <c r="I24" s="7">
        <f t="shared" si="14"/>
        <v>0</v>
      </c>
      <c r="J24" s="7">
        <f t="shared" si="14"/>
        <v>0</v>
      </c>
      <c r="K24" s="7">
        <f t="shared" si="14"/>
        <v>0</v>
      </c>
      <c r="L24" s="7">
        <f t="shared" si="14"/>
        <v>0</v>
      </c>
      <c r="M24" s="7">
        <f t="shared" si="14"/>
        <v>0</v>
      </c>
      <c r="N24" s="7">
        <f t="shared" si="14"/>
        <v>0</v>
      </c>
      <c r="O24" s="7">
        <f t="shared" si="14"/>
        <v>0</v>
      </c>
      <c r="P24" s="7">
        <f t="shared" si="14"/>
        <v>0</v>
      </c>
      <c r="Q24" s="7">
        <f t="shared" si="14"/>
        <v>0</v>
      </c>
      <c r="R24">
        <f t="shared" si="9"/>
        <v>0</v>
      </c>
      <c r="T24" t="s">
        <v>51</v>
      </c>
      <c r="U24" s="139">
        <f t="shared" si="12"/>
        <v>1850</v>
      </c>
      <c r="V24" s="139">
        <f t="shared" si="12"/>
        <v>2035.0000000000002</v>
      </c>
      <c r="W24" s="139">
        <f t="shared" si="12"/>
        <v>2238.5000000000005</v>
      </c>
      <c r="X24" s="139">
        <f t="shared" si="12"/>
        <v>2462.3500000000008</v>
      </c>
      <c r="Y24" s="139">
        <f t="shared" si="12"/>
        <v>2708.5850000000009</v>
      </c>
      <c r="Z24" s="139">
        <f t="shared" si="12"/>
        <v>2979.4435000000012</v>
      </c>
      <c r="AA24" s="139">
        <f t="shared" si="12"/>
        <v>3277.3878500000014</v>
      </c>
    </row>
    <row r="25" spans="2:31" outlineLevel="1" x14ac:dyDescent="0.2">
      <c r="B25" s="5" t="str">
        <f t="shared" si="5"/>
        <v>Jimmy Creek Homes (4ea)</v>
      </c>
      <c r="C25" s="5">
        <f t="shared" si="6"/>
        <v>4</v>
      </c>
      <c r="D25" t="str">
        <f t="shared" si="7"/>
        <v>Village</v>
      </c>
      <c r="E25" s="8"/>
      <c r="F25" s="7">
        <f t="shared" ref="F25:L29" si="15">E11</f>
        <v>4</v>
      </c>
      <c r="G25" s="7">
        <f t="shared" si="15"/>
        <v>0</v>
      </c>
      <c r="H25" s="7">
        <f t="shared" si="15"/>
        <v>0</v>
      </c>
      <c r="I25" s="7">
        <f t="shared" si="15"/>
        <v>0</v>
      </c>
      <c r="J25" s="7">
        <f t="shared" si="15"/>
        <v>0</v>
      </c>
      <c r="K25" s="7">
        <f t="shared" si="15"/>
        <v>0</v>
      </c>
      <c r="L25" s="7">
        <f t="shared" si="15"/>
        <v>0</v>
      </c>
      <c r="M25" s="7">
        <f>L15</f>
        <v>0</v>
      </c>
      <c r="N25" s="7">
        <f>M15</f>
        <v>0</v>
      </c>
      <c r="O25" s="7">
        <f>N15</f>
        <v>0</v>
      </c>
      <c r="P25" s="7">
        <f>O15</f>
        <v>0</v>
      </c>
      <c r="Q25" s="7">
        <f>P15</f>
        <v>0</v>
      </c>
      <c r="R25">
        <f t="shared" si="9"/>
        <v>4</v>
      </c>
      <c r="T25" t="s">
        <v>48</v>
      </c>
      <c r="U25" s="139">
        <f>+F32</f>
        <v>1750</v>
      </c>
      <c r="V25" s="139">
        <f t="shared" ref="V25:AA25" si="16">+G33</f>
        <v>1881.25</v>
      </c>
      <c r="W25" s="139">
        <f t="shared" si="16"/>
        <v>2022.34375</v>
      </c>
      <c r="X25" s="139">
        <f t="shared" si="16"/>
        <v>2174.01953125</v>
      </c>
      <c r="Y25" s="139">
        <f t="shared" si="16"/>
        <v>2337.0709960937497</v>
      </c>
      <c r="Z25" s="139">
        <f t="shared" si="16"/>
        <v>2512.3513208007807</v>
      </c>
      <c r="AA25" s="139">
        <f t="shared" si="16"/>
        <v>2700.7776698608391</v>
      </c>
    </row>
    <row r="26" spans="2:31" outlineLevel="1" x14ac:dyDescent="0.2">
      <c r="B26" s="5" t="str">
        <f t="shared" si="5"/>
        <v>Bench Homesites (15ea)</v>
      </c>
      <c r="C26" s="5">
        <f t="shared" si="6"/>
        <v>15</v>
      </c>
      <c r="D26" t="str">
        <f t="shared" si="7"/>
        <v>Homesites</v>
      </c>
      <c r="E26" s="8"/>
      <c r="F26" s="7">
        <f t="shared" si="15"/>
        <v>0</v>
      </c>
      <c r="G26" s="7">
        <f t="shared" si="15"/>
        <v>8</v>
      </c>
      <c r="H26" s="7">
        <f t="shared" si="15"/>
        <v>7</v>
      </c>
      <c r="I26" s="7">
        <f t="shared" si="15"/>
        <v>0</v>
      </c>
      <c r="J26" s="7">
        <f t="shared" si="15"/>
        <v>0</v>
      </c>
      <c r="K26" s="7">
        <f t="shared" si="15"/>
        <v>0</v>
      </c>
      <c r="L26" s="7">
        <f t="shared" si="15"/>
        <v>0</v>
      </c>
      <c r="M26" s="7">
        <f t="shared" ref="M26:Q27" si="17">L11</f>
        <v>0</v>
      </c>
      <c r="N26" s="7">
        <f t="shared" si="17"/>
        <v>0</v>
      </c>
      <c r="O26" s="7">
        <f t="shared" si="17"/>
        <v>0</v>
      </c>
      <c r="P26" s="7">
        <f t="shared" si="17"/>
        <v>0</v>
      </c>
      <c r="Q26" s="7">
        <f t="shared" si="17"/>
        <v>0</v>
      </c>
      <c r="R26">
        <f t="shared" si="9"/>
        <v>15</v>
      </c>
      <c r="S26" t="s">
        <v>17</v>
      </c>
      <c r="T26" t="s">
        <v>45</v>
      </c>
      <c r="U26" s="139">
        <f t="shared" ref="U26:AA26" si="18">+F32</f>
        <v>1750</v>
      </c>
      <c r="V26" s="139">
        <f t="shared" si="18"/>
        <v>1925.0000000000002</v>
      </c>
      <c r="W26" s="139">
        <f t="shared" si="18"/>
        <v>2117.5000000000005</v>
      </c>
      <c r="X26" s="139">
        <f t="shared" si="18"/>
        <v>2329.2500000000009</v>
      </c>
      <c r="Y26" s="139">
        <f t="shared" si="18"/>
        <v>2562.1750000000011</v>
      </c>
      <c r="Z26" s="139">
        <f t="shared" si="18"/>
        <v>2818.3925000000013</v>
      </c>
      <c r="AA26" s="139">
        <f t="shared" si="18"/>
        <v>3100.2317500000017</v>
      </c>
    </row>
    <row r="27" spans="2:31" outlineLevel="1" x14ac:dyDescent="0.2">
      <c r="B27" s="5" t="str">
        <f t="shared" si="5"/>
        <v>Forest Homesites (10ea)</v>
      </c>
      <c r="C27" s="5">
        <f t="shared" si="6"/>
        <v>10</v>
      </c>
      <c r="D27" t="str">
        <f t="shared" si="7"/>
        <v>Homesites</v>
      </c>
      <c r="E27" s="8"/>
      <c r="F27" s="7">
        <f t="shared" si="15"/>
        <v>0</v>
      </c>
      <c r="G27" s="7">
        <f t="shared" si="15"/>
        <v>0</v>
      </c>
      <c r="H27" s="7">
        <f t="shared" si="15"/>
        <v>5</v>
      </c>
      <c r="I27" s="7">
        <f t="shared" si="15"/>
        <v>5</v>
      </c>
      <c r="J27" s="7">
        <f t="shared" si="15"/>
        <v>0</v>
      </c>
      <c r="K27" s="7">
        <f t="shared" si="15"/>
        <v>0</v>
      </c>
      <c r="L27" s="7">
        <f t="shared" si="15"/>
        <v>0</v>
      </c>
      <c r="M27" s="7">
        <f t="shared" si="17"/>
        <v>0</v>
      </c>
      <c r="N27" s="7">
        <f t="shared" si="17"/>
        <v>0</v>
      </c>
      <c r="O27" s="7">
        <f t="shared" si="17"/>
        <v>0</v>
      </c>
      <c r="P27" s="7">
        <f t="shared" si="17"/>
        <v>0</v>
      </c>
      <c r="Q27" s="7">
        <f t="shared" si="17"/>
        <v>0</v>
      </c>
      <c r="R27">
        <f t="shared" si="9"/>
        <v>10</v>
      </c>
      <c r="T27" t="s">
        <v>45</v>
      </c>
      <c r="U27" s="139">
        <f t="shared" ref="U27:AA29" si="19">+U26</f>
        <v>1750</v>
      </c>
      <c r="V27" s="139">
        <f t="shared" si="19"/>
        <v>1925.0000000000002</v>
      </c>
      <c r="W27" s="139">
        <f t="shared" si="19"/>
        <v>2117.5000000000005</v>
      </c>
      <c r="X27" s="139">
        <f t="shared" si="19"/>
        <v>2329.2500000000009</v>
      </c>
      <c r="Y27" s="139">
        <f t="shared" si="19"/>
        <v>2562.1750000000011</v>
      </c>
      <c r="Z27" s="139">
        <f t="shared" si="19"/>
        <v>2818.3925000000013</v>
      </c>
      <c r="AA27" s="139">
        <f t="shared" si="19"/>
        <v>3100.2317500000017</v>
      </c>
    </row>
    <row r="28" spans="2:31" outlineLevel="1" x14ac:dyDescent="0.2">
      <c r="B28" s="5" t="str">
        <f t="shared" si="5"/>
        <v>Hillside Homesites (10ea)</v>
      </c>
      <c r="C28" s="5">
        <f t="shared" si="6"/>
        <v>10</v>
      </c>
      <c r="D28" t="str">
        <f t="shared" si="7"/>
        <v>Homesites</v>
      </c>
      <c r="E28" s="8"/>
      <c r="F28" s="7">
        <f t="shared" si="15"/>
        <v>0</v>
      </c>
      <c r="G28" s="7">
        <f t="shared" si="15"/>
        <v>0</v>
      </c>
      <c r="H28" s="7">
        <f t="shared" si="15"/>
        <v>0</v>
      </c>
      <c r="I28" s="7">
        <f t="shared" si="15"/>
        <v>7</v>
      </c>
      <c r="J28" s="7">
        <f t="shared" si="15"/>
        <v>3</v>
      </c>
      <c r="K28" s="7">
        <f t="shared" si="15"/>
        <v>0</v>
      </c>
      <c r="L28" s="7">
        <f t="shared" si="15"/>
        <v>0</v>
      </c>
      <c r="M28" s="7">
        <f>L14</f>
        <v>0</v>
      </c>
      <c r="N28" s="7">
        <f>M14</f>
        <v>0</v>
      </c>
      <c r="O28" s="7">
        <f>N14</f>
        <v>0</v>
      </c>
      <c r="P28" s="7">
        <f>O14</f>
        <v>0</v>
      </c>
      <c r="Q28" s="7">
        <f>P13</f>
        <v>0</v>
      </c>
      <c r="R28">
        <f t="shared" si="9"/>
        <v>10</v>
      </c>
      <c r="T28" t="s">
        <v>45</v>
      </c>
      <c r="U28" s="139">
        <f t="shared" si="19"/>
        <v>1750</v>
      </c>
      <c r="V28" s="139">
        <f t="shared" si="19"/>
        <v>1925.0000000000002</v>
      </c>
      <c r="W28" s="139">
        <f t="shared" si="19"/>
        <v>2117.5000000000005</v>
      </c>
      <c r="X28" s="139">
        <f t="shared" si="19"/>
        <v>2329.2500000000009</v>
      </c>
      <c r="Y28" s="139">
        <f t="shared" si="19"/>
        <v>2562.1750000000011</v>
      </c>
      <c r="Z28" s="139">
        <f t="shared" si="19"/>
        <v>2818.3925000000013</v>
      </c>
      <c r="AA28" s="139">
        <f t="shared" si="19"/>
        <v>3100.2317500000017</v>
      </c>
    </row>
    <row r="29" spans="2:31" outlineLevel="1" x14ac:dyDescent="0.2">
      <c r="B29" s="5" t="str">
        <f t="shared" si="5"/>
        <v>Village Homesites (6ea)</v>
      </c>
      <c r="C29" s="5">
        <f t="shared" si="6"/>
        <v>0</v>
      </c>
      <c r="D29" t="str">
        <f t="shared" si="7"/>
        <v>Homesites</v>
      </c>
      <c r="E29" s="8"/>
      <c r="F29" s="7">
        <f t="shared" si="15"/>
        <v>0</v>
      </c>
      <c r="G29" s="7">
        <f t="shared" si="15"/>
        <v>0</v>
      </c>
      <c r="H29" s="7">
        <f t="shared" si="15"/>
        <v>0</v>
      </c>
      <c r="I29" s="7">
        <f t="shared" si="15"/>
        <v>0</v>
      </c>
      <c r="J29" s="7">
        <f t="shared" si="15"/>
        <v>0</v>
      </c>
      <c r="K29" s="7">
        <f t="shared" si="15"/>
        <v>0</v>
      </c>
      <c r="L29" s="7">
        <f t="shared" si="15"/>
        <v>0</v>
      </c>
      <c r="M29" s="7">
        <f>L14</f>
        <v>0</v>
      </c>
      <c r="N29" s="7">
        <f>M14</f>
        <v>0</v>
      </c>
      <c r="O29" s="7">
        <f>N14</f>
        <v>0</v>
      </c>
      <c r="P29" s="7">
        <f>O14</f>
        <v>0</v>
      </c>
      <c r="Q29" s="7">
        <f>P14</f>
        <v>0</v>
      </c>
      <c r="R29">
        <f t="shared" si="9"/>
        <v>0</v>
      </c>
      <c r="T29" t="s">
        <v>45</v>
      </c>
      <c r="U29" s="139">
        <f t="shared" si="19"/>
        <v>1750</v>
      </c>
      <c r="V29" s="139">
        <f t="shared" si="19"/>
        <v>1925.0000000000002</v>
      </c>
      <c r="W29" s="139">
        <f t="shared" si="19"/>
        <v>2117.5000000000005</v>
      </c>
      <c r="X29" s="139">
        <f t="shared" si="19"/>
        <v>2329.2500000000009</v>
      </c>
      <c r="Y29" s="139">
        <f t="shared" si="19"/>
        <v>2562.1750000000011</v>
      </c>
      <c r="Z29" s="139">
        <f t="shared" si="19"/>
        <v>2818.3925000000013</v>
      </c>
      <c r="AA29" s="139">
        <f t="shared" si="19"/>
        <v>3100.2317500000017</v>
      </c>
    </row>
    <row r="30" spans="2:31" outlineLevel="1" x14ac:dyDescent="0.2">
      <c r="B30" s="5" t="str">
        <f>B16</f>
        <v>Deer Creek Homesites (5ea + 1 lot used for Clubhouse)</v>
      </c>
      <c r="C30">
        <f>R16</f>
        <v>6</v>
      </c>
      <c r="D30" t="str">
        <f t="shared" si="7"/>
        <v>Cottages</v>
      </c>
      <c r="E30" s="8"/>
      <c r="F30" s="7">
        <f t="shared" ref="F30:Q30" si="20">E16</f>
        <v>1</v>
      </c>
      <c r="G30" s="7">
        <f t="shared" si="20"/>
        <v>0</v>
      </c>
      <c r="H30" s="7">
        <f t="shared" si="20"/>
        <v>0</v>
      </c>
      <c r="I30" s="7">
        <f t="shared" si="20"/>
        <v>0</v>
      </c>
      <c r="J30" s="7">
        <f t="shared" si="20"/>
        <v>0</v>
      </c>
      <c r="K30" s="7">
        <f t="shared" si="20"/>
        <v>5</v>
      </c>
      <c r="L30" s="7">
        <f t="shared" si="20"/>
        <v>0</v>
      </c>
      <c r="M30" s="7">
        <f t="shared" si="20"/>
        <v>0</v>
      </c>
      <c r="N30" s="7">
        <f t="shared" si="20"/>
        <v>0</v>
      </c>
      <c r="O30" s="7">
        <f t="shared" si="20"/>
        <v>0</v>
      </c>
      <c r="P30" s="7">
        <f t="shared" si="20"/>
        <v>0</v>
      </c>
      <c r="Q30" s="7">
        <f t="shared" si="20"/>
        <v>0</v>
      </c>
      <c r="R30">
        <f t="shared" si="9"/>
        <v>6</v>
      </c>
      <c r="T30" t="s">
        <v>51</v>
      </c>
      <c r="U30" s="139">
        <f t="shared" ref="U30:AA30" si="21">+U24</f>
        <v>1850</v>
      </c>
      <c r="V30" s="139">
        <f t="shared" si="21"/>
        <v>2035.0000000000002</v>
      </c>
      <c r="W30" s="139">
        <f t="shared" si="21"/>
        <v>2238.5000000000005</v>
      </c>
      <c r="X30" s="139">
        <f t="shared" si="21"/>
        <v>2462.3500000000008</v>
      </c>
      <c r="Y30" s="139">
        <f t="shared" si="21"/>
        <v>2708.5850000000009</v>
      </c>
      <c r="Z30" s="139">
        <f t="shared" si="21"/>
        <v>2979.4435000000012</v>
      </c>
      <c r="AA30" s="139">
        <f t="shared" si="21"/>
        <v>3277.3878500000014</v>
      </c>
    </row>
    <row r="31" spans="2:31" outlineLevel="1" x14ac:dyDescent="0.2">
      <c r="B31" s="49" t="s">
        <v>226</v>
      </c>
      <c r="C31" s="49">
        <f>SUM(C21:C30)</f>
        <v>45</v>
      </c>
      <c r="D31" s="3"/>
      <c r="E31" s="9"/>
      <c r="F31" s="56">
        <f t="shared" ref="F31:R31" si="22">SUM(F21:F30)</f>
        <v>5</v>
      </c>
      <c r="G31" s="56">
        <f t="shared" si="22"/>
        <v>8</v>
      </c>
      <c r="H31" s="56">
        <f t="shared" si="22"/>
        <v>12</v>
      </c>
      <c r="I31" s="56">
        <f t="shared" si="22"/>
        <v>12</v>
      </c>
      <c r="J31" s="56">
        <f t="shared" si="22"/>
        <v>3</v>
      </c>
      <c r="K31" s="56">
        <f t="shared" si="22"/>
        <v>5</v>
      </c>
      <c r="L31" s="56">
        <f t="shared" si="22"/>
        <v>0</v>
      </c>
      <c r="M31" s="56">
        <f t="shared" si="22"/>
        <v>0</v>
      </c>
      <c r="N31" s="56">
        <f t="shared" si="22"/>
        <v>0</v>
      </c>
      <c r="O31" s="56">
        <f t="shared" si="22"/>
        <v>0</v>
      </c>
      <c r="P31" s="56">
        <f t="shared" si="22"/>
        <v>0</v>
      </c>
      <c r="Q31" s="56">
        <f t="shared" si="22"/>
        <v>0</v>
      </c>
      <c r="R31" s="49">
        <f t="shared" si="22"/>
        <v>45</v>
      </c>
      <c r="Z31" s="132" t="s">
        <v>464</v>
      </c>
      <c r="AA31" s="552">
        <f>+R17-R31</f>
        <v>0</v>
      </c>
    </row>
    <row r="32" spans="2:31" outlineLevel="1" x14ac:dyDescent="0.2">
      <c r="B32" s="551" t="s">
        <v>465</v>
      </c>
      <c r="C32" s="550">
        <f>Assumptions!H18</f>
        <v>0.1</v>
      </c>
      <c r="D32" s="549" t="s">
        <v>45</v>
      </c>
      <c r="E32" s="548">
        <f>Assumptions!G18</f>
        <v>1750</v>
      </c>
      <c r="F32" s="548">
        <f>E32</f>
        <v>1750</v>
      </c>
      <c r="G32" s="548">
        <f t="shared" ref="G32:Q32" si="23">F32*(1+$C$32)</f>
        <v>1925.0000000000002</v>
      </c>
      <c r="H32" s="548">
        <f t="shared" si="23"/>
        <v>2117.5000000000005</v>
      </c>
      <c r="I32" s="548">
        <f t="shared" si="23"/>
        <v>2329.2500000000009</v>
      </c>
      <c r="J32" s="548">
        <f t="shared" si="23"/>
        <v>2562.1750000000011</v>
      </c>
      <c r="K32" s="548">
        <f t="shared" si="23"/>
        <v>2818.3925000000013</v>
      </c>
      <c r="L32" s="548">
        <f t="shared" si="23"/>
        <v>3100.2317500000017</v>
      </c>
      <c r="M32" s="548">
        <f t="shared" si="23"/>
        <v>3410.254925000002</v>
      </c>
      <c r="N32" s="548">
        <f t="shared" si="23"/>
        <v>3751.2804175000024</v>
      </c>
      <c r="O32" s="548">
        <f t="shared" si="23"/>
        <v>4126.408459250003</v>
      </c>
      <c r="P32" s="548">
        <f t="shared" si="23"/>
        <v>4539.0493051750036</v>
      </c>
      <c r="Q32" s="548">
        <f t="shared" si="23"/>
        <v>4992.954235692504</v>
      </c>
      <c r="R32" s="548"/>
      <c r="U32" s="144"/>
    </row>
    <row r="33" spans="1:27" outlineLevel="1" x14ac:dyDescent="0.2">
      <c r="B33" s="547" t="s">
        <v>465</v>
      </c>
      <c r="C33" s="546">
        <f>Assumptions!H19</f>
        <v>7.4999999999999997E-2</v>
      </c>
      <c r="D33" s="545" t="s">
        <v>48</v>
      </c>
      <c r="E33" s="544">
        <v>1750</v>
      </c>
      <c r="F33" s="544">
        <f>E33</f>
        <v>1750</v>
      </c>
      <c r="G33" s="544">
        <f t="shared" ref="G33:Q33" si="24">F33*(1+$C$33)</f>
        <v>1881.25</v>
      </c>
      <c r="H33" s="544">
        <f t="shared" si="24"/>
        <v>2022.34375</v>
      </c>
      <c r="I33" s="544">
        <f t="shared" si="24"/>
        <v>2174.01953125</v>
      </c>
      <c r="J33" s="544">
        <f t="shared" si="24"/>
        <v>2337.0709960937497</v>
      </c>
      <c r="K33" s="544">
        <f t="shared" si="24"/>
        <v>2512.3513208007807</v>
      </c>
      <c r="L33" s="544">
        <f t="shared" si="24"/>
        <v>2700.7776698608391</v>
      </c>
      <c r="M33" s="544">
        <f t="shared" si="24"/>
        <v>2903.3359951004018</v>
      </c>
      <c r="N33" s="544">
        <f t="shared" si="24"/>
        <v>3121.0861947329317</v>
      </c>
      <c r="O33" s="544">
        <f t="shared" si="24"/>
        <v>3355.1676593379016</v>
      </c>
      <c r="P33" s="544">
        <f t="shared" si="24"/>
        <v>3606.8052337882441</v>
      </c>
      <c r="Q33" s="544">
        <f t="shared" si="24"/>
        <v>3877.3156263223623</v>
      </c>
      <c r="R33" s="544"/>
      <c r="U33" s="144"/>
    </row>
    <row r="34" spans="1:27" outlineLevel="1" x14ac:dyDescent="0.2">
      <c r="B34" s="539" t="s">
        <v>465</v>
      </c>
      <c r="C34" s="543">
        <v>0.1</v>
      </c>
      <c r="D34" s="542" t="s">
        <v>51</v>
      </c>
      <c r="E34" s="541">
        <f>Assumptions!G20</f>
        <v>1850</v>
      </c>
      <c r="F34" s="541">
        <f>E34</f>
        <v>1850</v>
      </c>
      <c r="G34" s="540">
        <f t="shared" ref="G34:Q34" si="25">F34*(1+$C$34)</f>
        <v>2035.0000000000002</v>
      </c>
      <c r="H34" s="540">
        <f t="shared" si="25"/>
        <v>2238.5000000000005</v>
      </c>
      <c r="I34" s="540">
        <f t="shared" si="25"/>
        <v>2462.3500000000008</v>
      </c>
      <c r="J34" s="540">
        <f t="shared" si="25"/>
        <v>2708.5850000000009</v>
      </c>
      <c r="K34" s="540">
        <f t="shared" si="25"/>
        <v>2979.4435000000012</v>
      </c>
      <c r="L34" s="540">
        <f t="shared" si="25"/>
        <v>3277.3878500000014</v>
      </c>
      <c r="M34" s="540">
        <f t="shared" si="25"/>
        <v>3605.1266350000019</v>
      </c>
      <c r="N34" s="540">
        <f t="shared" si="25"/>
        <v>3965.6392985000025</v>
      </c>
      <c r="O34" s="540">
        <f t="shared" si="25"/>
        <v>4362.203228350003</v>
      </c>
      <c r="P34" s="540">
        <f t="shared" si="25"/>
        <v>4798.4235511850038</v>
      </c>
      <c r="Q34" s="540">
        <f t="shared" si="25"/>
        <v>5278.2659063035044</v>
      </c>
      <c r="R34" s="539"/>
      <c r="U34" s="242" t="s">
        <v>466</v>
      </c>
    </row>
    <row r="35" spans="1:27" outlineLevel="1" x14ac:dyDescent="0.2">
      <c r="C35" s="17"/>
      <c r="D35" s="17"/>
      <c r="E35" s="59"/>
      <c r="F35" s="138" t="s">
        <v>231</v>
      </c>
      <c r="G35" s="163"/>
      <c r="H35" s="163">
        <f>SUM(G56+H57)/H31</f>
        <v>7323020.8333333349</v>
      </c>
      <c r="I35" s="163">
        <f>SUM(H56+I57)/I31</f>
        <v>8734687.5000000019</v>
      </c>
      <c r="J35" s="163">
        <f>SUM(I56+J57)/J31</f>
        <v>9608156.2500000037</v>
      </c>
      <c r="K35" s="163">
        <f>SUM(J56+K57)/K31</f>
        <v>10428052.250000004</v>
      </c>
      <c r="L35" s="163"/>
      <c r="M35" s="163"/>
      <c r="N35" s="163"/>
      <c r="O35" s="163"/>
      <c r="P35" s="163"/>
      <c r="Q35" s="163"/>
      <c r="T35" s="219">
        <f>(R56+R57)/R17</f>
        <v>7820141.5590277789</v>
      </c>
      <c r="U35" s="144"/>
      <c r="W35" s="105">
        <f>T35/T18</f>
        <v>1.2572013402625821</v>
      </c>
    </row>
    <row r="36" spans="1:27" x14ac:dyDescent="0.2">
      <c r="B36" s="34" t="s">
        <v>127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</row>
    <row r="37" spans="1:27" x14ac:dyDescent="0.2">
      <c r="E37" s="10"/>
      <c r="F37" s="172"/>
      <c r="G37" s="10"/>
      <c r="H37" s="10"/>
      <c r="I37" s="10"/>
      <c r="J37" s="10"/>
      <c r="K37" s="10"/>
      <c r="L37" s="10">
        <v>0</v>
      </c>
      <c r="M37" s="10"/>
      <c r="N37" s="10"/>
      <c r="O37" s="10"/>
      <c r="P37" s="10"/>
      <c r="Q37" s="10"/>
      <c r="R37" s="12">
        <f t="shared" ref="R37:R41" si="26">SUM(E37:Q37)</f>
        <v>0</v>
      </c>
    </row>
    <row r="38" spans="1:27" ht="17" customHeight="1" x14ac:dyDescent="0.2">
      <c r="B38" s="499" t="s">
        <v>467</v>
      </c>
      <c r="E38" s="10"/>
      <c r="F38" s="10"/>
      <c r="G38" s="10"/>
      <c r="H38" s="10"/>
      <c r="I38" s="10"/>
      <c r="J38" s="10"/>
      <c r="K38" s="10"/>
      <c r="L38" s="10">
        <v>0</v>
      </c>
      <c r="M38" s="10"/>
      <c r="N38" s="10"/>
      <c r="O38" s="10"/>
      <c r="P38" s="10"/>
      <c r="Q38" s="10"/>
      <c r="R38" s="12">
        <f t="shared" si="26"/>
        <v>0</v>
      </c>
      <c r="T38" s="11" cm="1">
        <f t="array" ref="T38">SUMPRODUCT(E11:E16*S11:S16)</f>
        <v>30975000</v>
      </c>
      <c r="U38" t="s">
        <v>237</v>
      </c>
    </row>
    <row r="39" spans="1:27" x14ac:dyDescent="0.2">
      <c r="B39" s="133" t="s">
        <v>468</v>
      </c>
      <c r="E39" s="10">
        <v>400000</v>
      </c>
      <c r="F39" s="10"/>
      <c r="G39" s="538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2">
        <f t="shared" si="26"/>
        <v>400000</v>
      </c>
      <c r="S39" s="10"/>
      <c r="T39" s="758" t="e">
        <f>S39/S41</f>
        <v>#DIV/0!</v>
      </c>
    </row>
    <row r="40" spans="1:27" ht="17" customHeight="1" x14ac:dyDescent="0.35">
      <c r="B40" s="133" t="s">
        <v>469</v>
      </c>
      <c r="D40" s="220"/>
      <c r="E40" s="10">
        <v>15000000</v>
      </c>
      <c r="F40" s="10"/>
      <c r="G40" s="12"/>
      <c r="H40" s="12"/>
      <c r="I40" s="12"/>
      <c r="J40" s="220"/>
      <c r="K40" s="220"/>
      <c r="L40" s="220"/>
      <c r="M40" s="10"/>
      <c r="N40" s="10"/>
      <c r="O40" s="10"/>
      <c r="P40" s="10"/>
      <c r="Q40" s="10"/>
      <c r="R40" s="12">
        <f t="shared" si="26"/>
        <v>15000000</v>
      </c>
      <c r="S40" s="759"/>
      <c r="T40" s="758" t="e">
        <f>S40/S41</f>
        <v>#DIV/0!</v>
      </c>
    </row>
    <row r="41" spans="1:27" ht="17" customHeight="1" x14ac:dyDescent="0.2">
      <c r="B41" s="167" t="s">
        <v>467</v>
      </c>
      <c r="C41" s="167"/>
      <c r="D41" s="167"/>
      <c r="E41" s="512">
        <f t="shared" ref="E41:L41" si="27">SUM(E39:E40)</f>
        <v>15400000</v>
      </c>
      <c r="F41" s="512">
        <f t="shared" si="27"/>
        <v>0</v>
      </c>
      <c r="G41" s="512">
        <f t="shared" si="27"/>
        <v>0</v>
      </c>
      <c r="H41" s="512">
        <f t="shared" si="27"/>
        <v>0</v>
      </c>
      <c r="I41" s="512">
        <f t="shared" si="27"/>
        <v>0</v>
      </c>
      <c r="J41" s="512">
        <f t="shared" si="27"/>
        <v>0</v>
      </c>
      <c r="K41" s="512">
        <f t="shared" si="27"/>
        <v>0</v>
      </c>
      <c r="L41" s="512">
        <f t="shared" si="27"/>
        <v>0</v>
      </c>
      <c r="M41" s="537"/>
      <c r="N41" s="537"/>
      <c r="O41" s="537"/>
      <c r="P41" s="537"/>
      <c r="Q41" s="537"/>
      <c r="R41" s="57">
        <f t="shared" si="26"/>
        <v>15400000</v>
      </c>
      <c r="S41" s="16">
        <f>S39+S40</f>
        <v>0</v>
      </c>
      <c r="T41" s="111">
        <f>(C176+E41)/T38</f>
        <v>0.49717514124293788</v>
      </c>
      <c r="U41" t="s">
        <v>241</v>
      </c>
      <c r="V41" s="11">
        <f>25000000-E41</f>
        <v>9600000</v>
      </c>
      <c r="W41" s="11">
        <f>25000000-F41</f>
        <v>25000000</v>
      </c>
      <c r="Z41" s="132" t="s">
        <v>470</v>
      </c>
      <c r="AA41" s="97">
        <f>ROUND(40000000-R41,0)</f>
        <v>24600000</v>
      </c>
    </row>
    <row r="42" spans="1:27" ht="8" customHeight="1" x14ac:dyDescent="0.2">
      <c r="B42" s="133"/>
      <c r="D42" s="220"/>
      <c r="E42" s="12"/>
      <c r="F42" s="12"/>
      <c r="G42" s="12"/>
      <c r="H42" s="221"/>
      <c r="I42" s="221"/>
      <c r="J42" s="220"/>
      <c r="K42" s="220"/>
      <c r="L42" s="222"/>
      <c r="M42" s="10"/>
      <c r="N42" s="10"/>
      <c r="O42" s="10"/>
      <c r="P42" s="10"/>
      <c r="Q42" s="10"/>
      <c r="R42" s="223"/>
      <c r="T42" s="111"/>
    </row>
    <row r="43" spans="1:27" x14ac:dyDescent="0.2">
      <c r="B43" s="499" t="s">
        <v>251</v>
      </c>
      <c r="C43" s="148">
        <f>U150</f>
        <v>64719112.98306834</v>
      </c>
      <c r="D43" s="220"/>
      <c r="E43" s="33"/>
      <c r="F43" s="33"/>
      <c r="G43" s="12"/>
      <c r="H43" s="221"/>
      <c r="I43" s="221"/>
      <c r="J43" s="220"/>
      <c r="K43" s="220"/>
      <c r="L43" s="222"/>
      <c r="M43" s="10"/>
      <c r="N43" s="10"/>
      <c r="O43" s="10"/>
      <c r="P43" s="10"/>
      <c r="Q43" s="10"/>
      <c r="R43" s="223"/>
      <c r="T43" s="111">
        <f>(E48+F48)/(E41+F41+E48+F48)</f>
        <v>0.76494265884008805</v>
      </c>
      <c r="U43" t="s">
        <v>471</v>
      </c>
    </row>
    <row r="44" spans="1:27" x14ac:dyDescent="0.2">
      <c r="B44" s="133" t="s">
        <v>472</v>
      </c>
      <c r="C44" s="148"/>
      <c r="D44" s="220"/>
      <c r="E44" s="10"/>
      <c r="F44" s="755"/>
      <c r="G44" s="12"/>
      <c r="H44" s="221"/>
      <c r="I44" s="221"/>
      <c r="J44" s="220"/>
      <c r="K44" s="220"/>
      <c r="L44" s="222"/>
      <c r="M44" s="10"/>
      <c r="N44" s="10"/>
      <c r="O44" s="10"/>
      <c r="P44" s="10"/>
      <c r="Q44" s="10"/>
      <c r="R44" s="12">
        <f>SUM(E44:Q44)</f>
        <v>0</v>
      </c>
      <c r="T44" s="111"/>
    </row>
    <row r="45" spans="1:27" ht="17" customHeight="1" x14ac:dyDescent="0.2">
      <c r="B45" s="133" t="s">
        <v>473</v>
      </c>
      <c r="D45" s="220"/>
      <c r="E45" s="12"/>
      <c r="F45" s="25"/>
      <c r="G45" s="25"/>
      <c r="H45" s="12"/>
      <c r="I45" s="12"/>
      <c r="J45" s="220"/>
      <c r="K45" s="220"/>
      <c r="L45" s="220"/>
      <c r="M45" s="10"/>
      <c r="N45" s="10"/>
      <c r="O45" s="10"/>
      <c r="P45" s="10"/>
      <c r="Q45" s="10"/>
      <c r="R45" s="12">
        <f>SUM(E45:Q45)</f>
        <v>0</v>
      </c>
      <c r="T45" s="11"/>
    </row>
    <row r="46" spans="1:27" s="129" customFormat="1" x14ac:dyDescent="0.2">
      <c r="A46" s="187"/>
      <c r="B46" s="265" t="s">
        <v>474</v>
      </c>
      <c r="C46" s="130">
        <f>U149</f>
        <v>0.81187740386080298</v>
      </c>
      <c r="D46" s="536" t="s">
        <v>246</v>
      </c>
      <c r="E46" s="32">
        <f>MAX(E143+SUM(E153:E154)+SUM(E159:E162)-E41-SUM(E44:E45)-E51-SUM(E56:E57)-D208,0)</f>
        <v>28150999.133413464</v>
      </c>
      <c r="F46" s="32">
        <f>MAX(F143+SUM(F153:F154)+SUM(F159:F162)-F41-SUM(F44:F45)-F51-SUM(F56:F57)-E208,0)</f>
        <v>10628481.347365789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>
        <f>SUM(E46:Q46)</f>
        <v>38779480.480779253</v>
      </c>
      <c r="S46" s="114"/>
      <c r="T46" s="535">
        <f>(R48)/(R48+R41)</f>
        <v>0.81460695110618464</v>
      </c>
      <c r="U46" s="129" t="s">
        <v>475</v>
      </c>
    </row>
    <row r="47" spans="1:27" ht="17" customHeight="1" x14ac:dyDescent="0.2">
      <c r="B47" s="133" t="s">
        <v>476</v>
      </c>
      <c r="D47" s="220"/>
      <c r="E47" s="12">
        <f>E148+E149</f>
        <v>5966884.415332349</v>
      </c>
      <c r="F47" s="12">
        <f t="shared" ref="F47:L47" si="28">F148+F149</f>
        <v>5369563.7875333922</v>
      </c>
      <c r="G47" s="12">
        <f t="shared" si="28"/>
        <v>7558873.3451169915</v>
      </c>
      <c r="H47" s="12">
        <f t="shared" si="28"/>
        <v>7755405.8349299133</v>
      </c>
      <c r="I47" s="12">
        <f t="shared" si="28"/>
        <v>2236552.6857848773</v>
      </c>
      <c r="J47" s="12">
        <f t="shared" si="28"/>
        <v>0</v>
      </c>
      <c r="K47" s="12">
        <f t="shared" si="28"/>
        <v>0</v>
      </c>
      <c r="L47" s="12">
        <f t="shared" si="28"/>
        <v>0</v>
      </c>
      <c r="M47" s="10"/>
      <c r="N47" s="10"/>
      <c r="O47" s="10"/>
      <c r="P47" s="10"/>
      <c r="Q47" s="10"/>
      <c r="R47" s="12">
        <f>SUM(E47:Q47)</f>
        <v>28887280.068697523</v>
      </c>
      <c r="T47" s="11"/>
    </row>
    <row r="48" spans="1:27" ht="17" customHeight="1" x14ac:dyDescent="0.2">
      <c r="B48" s="167" t="s">
        <v>251</v>
      </c>
      <c r="C48" s="534"/>
      <c r="D48" s="534"/>
      <c r="E48" s="57">
        <f t="shared" ref="E48:L48" si="29">SUM(E44:E47)</f>
        <v>34117883.548745811</v>
      </c>
      <c r="F48" s="57">
        <f t="shared" si="29"/>
        <v>15998045.13489918</v>
      </c>
      <c r="G48" s="57">
        <f t="shared" si="29"/>
        <v>7558873.3451169915</v>
      </c>
      <c r="H48" s="57">
        <f t="shared" si="29"/>
        <v>7755405.8349299133</v>
      </c>
      <c r="I48" s="57">
        <f t="shared" si="29"/>
        <v>2236552.6857848773</v>
      </c>
      <c r="J48" s="57">
        <f t="shared" si="29"/>
        <v>0</v>
      </c>
      <c r="K48" s="57">
        <f t="shared" si="29"/>
        <v>0</v>
      </c>
      <c r="L48" s="57">
        <f t="shared" si="29"/>
        <v>0</v>
      </c>
      <c r="M48" s="57">
        <f>M46</f>
        <v>0</v>
      </c>
      <c r="N48" s="57">
        <f>N46</f>
        <v>0</v>
      </c>
      <c r="O48" s="57">
        <f>O46</f>
        <v>0</v>
      </c>
      <c r="P48" s="57">
        <f>P46</f>
        <v>0</v>
      </c>
      <c r="Q48" s="57">
        <f>Q46</f>
        <v>0</v>
      </c>
      <c r="R48" s="57">
        <f>SUM(E48:Q48)</f>
        <v>67666760.549476773</v>
      </c>
      <c r="T48" s="111">
        <f>R46/SUM(R51,R56,R57)</f>
        <v>0.11019829070886317</v>
      </c>
      <c r="U48" t="s">
        <v>244</v>
      </c>
    </row>
    <row r="49" spans="2:30" x14ac:dyDescent="0.2">
      <c r="B49" s="133"/>
      <c r="C49" s="15"/>
      <c r="D49" s="220"/>
      <c r="E49" s="220"/>
      <c r="F49" s="220"/>
      <c r="G49" s="220"/>
      <c r="H49" s="220"/>
      <c r="I49" s="220"/>
      <c r="J49" s="220"/>
      <c r="K49" s="220"/>
      <c r="L49" s="220"/>
      <c r="M49" s="10"/>
      <c r="N49" s="10"/>
      <c r="O49" s="10"/>
      <c r="P49" s="10"/>
      <c r="Q49" s="10"/>
      <c r="R49" s="12"/>
    </row>
    <row r="50" spans="2:30" x14ac:dyDescent="0.2">
      <c r="B50" s="242" t="s">
        <v>846</v>
      </c>
      <c r="E50" s="32"/>
      <c r="F50" s="32"/>
      <c r="G50" s="777" t="s">
        <v>847</v>
      </c>
      <c r="H50" s="778"/>
      <c r="I50" s="778"/>
      <c r="J50" s="778"/>
      <c r="K50" s="778"/>
      <c r="L50" s="778"/>
      <c r="M50" s="32"/>
      <c r="N50" s="32"/>
      <c r="O50" s="32"/>
      <c r="P50" s="32"/>
      <c r="Q50" s="32"/>
      <c r="R50" s="779"/>
    </row>
    <row r="51" spans="2:30" x14ac:dyDescent="0.2">
      <c r="B51" s="242" t="s">
        <v>477</v>
      </c>
      <c r="E51" s="32"/>
      <c r="F51" s="32"/>
      <c r="G51" s="10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12">
        <f>SUM(E51:Q51)</f>
        <v>0</v>
      </c>
    </row>
    <row r="52" spans="2:30" outlineLevel="1" x14ac:dyDescent="0.2">
      <c r="B52" s="133" t="s">
        <v>478</v>
      </c>
      <c r="C52" s="172">
        <v>0.2</v>
      </c>
      <c r="D52" s="172"/>
      <c r="E52" s="16"/>
      <c r="F52" s="12"/>
      <c r="G52" s="12">
        <f t="shared" ref="G52:L53" si="30">((SUMPRODUCT(H$21:H$30,$D$7:$D$16)*H$32)*$C52)</f>
        <v>17575250.000000004</v>
      </c>
      <c r="H52" s="12">
        <f t="shared" si="30"/>
        <v>20963250.000000011</v>
      </c>
      <c r="I52" s="12">
        <f t="shared" si="30"/>
        <v>5764893.7500000028</v>
      </c>
      <c r="J52" s="12">
        <f t="shared" si="30"/>
        <v>9864373.7500000056</v>
      </c>
      <c r="K52" s="12">
        <f t="shared" si="30"/>
        <v>0</v>
      </c>
      <c r="L52" s="12">
        <f t="shared" si="30"/>
        <v>0</v>
      </c>
      <c r="M52" s="220"/>
      <c r="N52" s="220"/>
      <c r="O52" s="220"/>
      <c r="P52" s="220"/>
      <c r="Q52" s="220"/>
      <c r="R52" s="12"/>
      <c r="T52" s="111"/>
    </row>
    <row r="53" spans="2:30" outlineLevel="1" x14ac:dyDescent="0.2">
      <c r="B53" s="133" t="s">
        <v>254</v>
      </c>
      <c r="C53" s="172">
        <v>0.15</v>
      </c>
      <c r="D53" s="172"/>
      <c r="E53" s="16"/>
      <c r="F53" s="12"/>
      <c r="G53" s="12">
        <f t="shared" si="30"/>
        <v>13181437.500000002</v>
      </c>
      <c r="H53" s="12">
        <f t="shared" si="30"/>
        <v>15722437.500000006</v>
      </c>
      <c r="I53" s="12">
        <f t="shared" si="30"/>
        <v>4323670.3125000019</v>
      </c>
      <c r="J53" s="12">
        <f t="shared" si="30"/>
        <v>7398280.3125000028</v>
      </c>
      <c r="K53" s="12">
        <f t="shared" si="30"/>
        <v>0</v>
      </c>
      <c r="L53" s="12">
        <f t="shared" si="30"/>
        <v>0</v>
      </c>
      <c r="M53" s="220"/>
      <c r="N53" s="220"/>
      <c r="O53" s="220"/>
      <c r="P53" s="220"/>
      <c r="Q53" s="220"/>
      <c r="R53" s="12"/>
      <c r="T53" s="111"/>
    </row>
    <row r="54" spans="2:30" outlineLevel="1" x14ac:dyDescent="0.2">
      <c r="B54" s="133" t="s">
        <v>479</v>
      </c>
      <c r="C54" s="172">
        <v>0.15</v>
      </c>
      <c r="D54" s="172"/>
      <c r="E54" s="16"/>
      <c r="F54" s="73"/>
      <c r="G54" s="12"/>
      <c r="H54" s="12">
        <f t="shared" ref="H54:L54" si="31">((SUMPRODUCT(H$21:H$30,$D$7:$D$16)*H$32)*$C54)</f>
        <v>13181437.500000002</v>
      </c>
      <c r="I54" s="12">
        <f t="shared" si="31"/>
        <v>15722437.500000006</v>
      </c>
      <c r="J54" s="12">
        <f t="shared" si="31"/>
        <v>4323670.3125000019</v>
      </c>
      <c r="K54" s="12">
        <f t="shared" si="31"/>
        <v>7398280.3125000028</v>
      </c>
      <c r="L54" s="12">
        <f t="shared" si="31"/>
        <v>0</v>
      </c>
      <c r="M54" s="73">
        <f>((SUMPRODUCT(M$21:M$30,$D$7:$D$16)*M$34)*$C54)</f>
        <v>0</v>
      </c>
      <c r="N54" s="73">
        <f>((SUMPRODUCT(N$21:N$30,$D$7:$D$16)*N$34)*$C54)</f>
        <v>0</v>
      </c>
      <c r="O54" s="73">
        <f>((SUMPRODUCT(O$21:O$30,$D$7:$D$16)*O$34)*$C54)</f>
        <v>0</v>
      </c>
      <c r="P54" s="73">
        <f>((SUMPRODUCT(P$21:P$30,$D$7:$D$16)*P$34)*$C54)</f>
        <v>0</v>
      </c>
      <c r="Q54" s="73">
        <f>((SUMPRODUCT(Q$21:Q$30,$D$7:$D$16)*Q$34)*$C54)</f>
        <v>0</v>
      </c>
      <c r="R54" s="12"/>
      <c r="T54" s="111"/>
    </row>
    <row r="55" spans="2:30" hidden="1" outlineLevel="1" x14ac:dyDescent="0.2">
      <c r="B55" s="533" t="s">
        <v>480</v>
      </c>
      <c r="C55" s="532">
        <v>0</v>
      </c>
      <c r="D55" s="172"/>
      <c r="E55" s="45">
        <f t="shared" ref="E55:Q55" si="32">+$C55*SUMPRODUCT(F7:F16,$D$7:$D$16,T$21:T$30)</f>
        <v>0</v>
      </c>
      <c r="F55" s="45">
        <f t="shared" si="32"/>
        <v>0</v>
      </c>
      <c r="G55" s="45">
        <f t="shared" si="32"/>
        <v>0</v>
      </c>
      <c r="H55" s="45">
        <f t="shared" si="32"/>
        <v>0</v>
      </c>
      <c r="I55" s="45">
        <f t="shared" si="32"/>
        <v>0</v>
      </c>
      <c r="J55" s="45">
        <f t="shared" si="32"/>
        <v>0</v>
      </c>
      <c r="K55" s="45">
        <f t="shared" si="32"/>
        <v>0</v>
      </c>
      <c r="L55" s="45">
        <f t="shared" si="32"/>
        <v>0</v>
      </c>
      <c r="M55" s="45">
        <f t="shared" si="32"/>
        <v>0</v>
      </c>
      <c r="N55" s="45">
        <f t="shared" si="32"/>
        <v>0</v>
      </c>
      <c r="O55" s="45">
        <f t="shared" si="32"/>
        <v>0</v>
      </c>
      <c r="P55" s="45">
        <f t="shared" si="32"/>
        <v>0</v>
      </c>
      <c r="Q55" s="45">
        <f t="shared" si="32"/>
        <v>0</v>
      </c>
      <c r="R55" s="21"/>
      <c r="T55" s="111"/>
    </row>
    <row r="56" spans="2:30" x14ac:dyDescent="0.2">
      <c r="B56" t="s">
        <v>257</v>
      </c>
      <c r="C56" s="436">
        <f>SUM(C52:C55)</f>
        <v>0.5</v>
      </c>
      <c r="D56" s="15"/>
      <c r="E56" s="32">
        <f t="shared" ref="E56:L56" si="33">SUM(E52:E55)/2</f>
        <v>0</v>
      </c>
      <c r="F56" s="32">
        <f t="shared" si="33"/>
        <v>0</v>
      </c>
      <c r="G56" s="32">
        <f t="shared" si="33"/>
        <v>15378343.750000004</v>
      </c>
      <c r="H56" s="32">
        <f t="shared" si="33"/>
        <v>24933562.500000007</v>
      </c>
      <c r="I56" s="32">
        <f t="shared" si="33"/>
        <v>12905500.781250004</v>
      </c>
      <c r="J56" s="32">
        <f t="shared" si="33"/>
        <v>10793162.187500004</v>
      </c>
      <c r="K56" s="32">
        <f t="shared" si="33"/>
        <v>3699140.1562500014</v>
      </c>
      <c r="L56" s="32">
        <f t="shared" si="33"/>
        <v>0</v>
      </c>
      <c r="M56" s="32">
        <f>SUM(M52:M54)</f>
        <v>0</v>
      </c>
      <c r="N56" s="32">
        <f>SUM(N52:N54)</f>
        <v>0</v>
      </c>
      <c r="O56" s="32">
        <f>SUM(O52:O54)</f>
        <v>0</v>
      </c>
      <c r="P56" s="32">
        <f>SUM(P52:P54)</f>
        <v>0</v>
      </c>
      <c r="Q56" s="32">
        <f>SUM(Q52:Q54)</f>
        <v>0</v>
      </c>
      <c r="R56" s="12">
        <f>SUM(E56:Q56)</f>
        <v>67709709.375000015</v>
      </c>
      <c r="S56" s="32">
        <v>71165446.40625003</v>
      </c>
      <c r="T56" s="140" t="s">
        <v>258</v>
      </c>
    </row>
    <row r="57" spans="2:30" x14ac:dyDescent="0.2">
      <c r="B57" s="225" t="s">
        <v>260</v>
      </c>
      <c r="C57" s="44"/>
      <c r="D57" s="44"/>
      <c r="E57" s="45"/>
      <c r="F57" s="77">
        <f>SUMPRODUCT(E$7:E$15,$D7:$D$15,U$21:U$29)-(E56)</f>
        <v>24500000</v>
      </c>
      <c r="G57" s="77">
        <f>SUMPRODUCT(F$7:F$16,$D7:$D$16,V$21:V$30)-(F56)</f>
        <v>50050000.000000007</v>
      </c>
      <c r="H57" s="77">
        <f>SUMPRODUCT(G$7:G$16,$D7:$D$16,W$21:W$30)-(G56)</f>
        <v>72497906.250000015</v>
      </c>
      <c r="I57" s="77">
        <f>SUMPRODUCT(H$7:H$16,$D7:$D$16,X$21:X$30)-(H56)</f>
        <v>79882687.50000003</v>
      </c>
      <c r="J57" s="77">
        <f>SUMPRODUCT(I$7:I$16,$D7:$D$16,Y$21:Y$30)-(I56)</f>
        <v>15918967.968750007</v>
      </c>
      <c r="K57" s="77">
        <f>SUMPRODUCT(J$7:J$16,$D7:$D$16,Z$21:Z$30)-(J56)</f>
        <v>41347099.062500015</v>
      </c>
      <c r="L57" s="77"/>
      <c r="M57" s="77">
        <f>SUMPRODUCT(M$21:M$30,$D7:$D$16,AA$21:AA$30)-L56</f>
        <v>0</v>
      </c>
      <c r="N57" s="77">
        <f>SUMPRODUCT(N$21:N$30,$D7:$D$16,AB$21:AB$30)-M56</f>
        <v>0</v>
      </c>
      <c r="O57" s="77">
        <f>SUMPRODUCT(O$21:O$30,$D7:$D$16,AC$21:AC$30)-N56</f>
        <v>0</v>
      </c>
      <c r="P57" s="77">
        <f>SUMPRODUCT(P$21:P$30,$D7:$D$16,AD$21:AD$30)-O56</f>
        <v>0</v>
      </c>
      <c r="Q57" s="77">
        <f>SUMPRODUCT(Q$21:Q$30,$D7:$D$16,AE$21:AE$30)-P56</f>
        <v>0</v>
      </c>
      <c r="R57" s="21">
        <f>SUM(E57:Q57)</f>
        <v>284196660.78125006</v>
      </c>
      <c r="S57" s="92">
        <v>278554868.59375006</v>
      </c>
      <c r="T57" s="61">
        <f>R57+(R56)</f>
        <v>351906370.15625006</v>
      </c>
      <c r="U57" s="531">
        <f>T57/R17</f>
        <v>7820141.5590277789</v>
      </c>
      <c r="V57" s="529">
        <f>T57/D18</f>
        <v>2216.733040354331</v>
      </c>
      <c r="W57" s="11" t="s">
        <v>481</v>
      </c>
      <c r="AA57" s="530"/>
      <c r="AB57" s="530"/>
      <c r="AC57" s="530"/>
      <c r="AD57" s="530"/>
    </row>
    <row r="58" spans="2:30" x14ac:dyDescent="0.2">
      <c r="B58" s="30" t="s">
        <v>132</v>
      </c>
      <c r="C58" s="3"/>
      <c r="D58" s="3"/>
      <c r="E58" s="24">
        <f t="shared" ref="E58:L58" si="34">E41+E48+SUM(E50:E51)+SUM(E56:E57)</f>
        <v>49517883.548745811</v>
      </c>
      <c r="F58" s="24">
        <f t="shared" si="34"/>
        <v>40498045.134899184</v>
      </c>
      <c r="G58" s="24">
        <f t="shared" si="34"/>
        <v>72987217.095117003</v>
      </c>
      <c r="H58" s="24">
        <f t="shared" si="34"/>
        <v>105186874.58492994</v>
      </c>
      <c r="I58" s="24">
        <f t="shared" si="34"/>
        <v>95024740.967034906</v>
      </c>
      <c r="J58" s="24">
        <f t="shared" si="34"/>
        <v>26712130.156250011</v>
      </c>
      <c r="K58" s="24">
        <f t="shared" si="34"/>
        <v>45046239.218750015</v>
      </c>
      <c r="L58" s="24">
        <f t="shared" si="34"/>
        <v>0</v>
      </c>
      <c r="M58" s="24">
        <f>M41+M48+SUM(M51:M57)</f>
        <v>0</v>
      </c>
      <c r="N58" s="24">
        <f>N41+N48+SUM(N51:N57)</f>
        <v>0</v>
      </c>
      <c r="O58" s="24">
        <f>O41+O48+SUM(O51:O57)</f>
        <v>0</v>
      </c>
      <c r="P58" s="24">
        <f>P41+P48+SUM(P51:P57)</f>
        <v>0</v>
      </c>
      <c r="Q58" s="24">
        <f>Q41+Q48+SUM(Q51:Q57)</f>
        <v>0</v>
      </c>
      <c r="R58" s="23">
        <f>SUM(E58:Q58)</f>
        <v>434973130.70572686</v>
      </c>
      <c r="T58" t="s">
        <v>261</v>
      </c>
    </row>
    <row r="59" spans="2:30" x14ac:dyDescent="0.2">
      <c r="E59" s="138"/>
      <c r="F59" s="768"/>
      <c r="R59" s="12"/>
      <c r="T59" s="11">
        <f>(R56)+R57</f>
        <v>351906370.15625006</v>
      </c>
      <c r="U59" s="529">
        <f>T59/D18</f>
        <v>2216.733040354331</v>
      </c>
      <c r="V59" s="11" t="s">
        <v>481</v>
      </c>
    </row>
    <row r="60" spans="2:30" x14ac:dyDescent="0.2">
      <c r="B60" s="34" t="s">
        <v>133</v>
      </c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35"/>
      <c r="S60" s="11">
        <f>S65-R65</f>
        <v>58661724</v>
      </c>
      <c r="T60" s="11"/>
    </row>
    <row r="61" spans="2:30" outlineLevel="1" x14ac:dyDescent="0.2">
      <c r="B61" s="87" t="s">
        <v>265</v>
      </c>
      <c r="R61" s="12"/>
      <c r="V61" s="70">
        <f>E62*0.65</f>
        <v>12025000</v>
      </c>
      <c r="W61" s="140">
        <v>0.65</v>
      </c>
    </row>
    <row r="62" spans="2:30" outlineLevel="1" x14ac:dyDescent="0.2">
      <c r="B62" s="166" t="s">
        <v>482</v>
      </c>
      <c r="C62" s="25"/>
      <c r="D62" s="25"/>
      <c r="E62" s="779">
        <v>18500000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/>
      <c r="N62" s="12"/>
      <c r="O62" s="12"/>
      <c r="P62" s="12"/>
      <c r="Q62" s="12"/>
      <c r="R62" s="12">
        <f>SUM(E62:L62)</f>
        <v>18500000</v>
      </c>
      <c r="V62" s="70">
        <f>E62*0.85</f>
        <v>15725000</v>
      </c>
      <c r="W62" s="140">
        <v>0.85</v>
      </c>
    </row>
    <row r="63" spans="2:30" outlineLevel="1" x14ac:dyDescent="0.2">
      <c r="B63" s="166" t="s">
        <v>483</v>
      </c>
      <c r="C63" s="90">
        <v>5.0000000000000001E-3</v>
      </c>
      <c r="D63" s="25"/>
      <c r="E63" s="71">
        <f>90000000*$C$63</f>
        <v>450000</v>
      </c>
      <c r="F63" s="61"/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/>
      <c r="N63" s="12"/>
      <c r="O63" s="12"/>
      <c r="P63" s="12"/>
      <c r="Q63" s="12"/>
      <c r="R63" s="12">
        <f>SUM(E63:L63)</f>
        <v>450000</v>
      </c>
      <c r="V63" s="70"/>
      <c r="W63" s="140"/>
    </row>
    <row r="64" spans="2:30" outlineLevel="1" x14ac:dyDescent="0.2">
      <c r="B64" s="166" t="s">
        <v>484</v>
      </c>
      <c r="C64" s="93">
        <v>1.5E-3</v>
      </c>
      <c r="D64" s="93"/>
      <c r="E64" s="108">
        <f>E62*$C$64</f>
        <v>27750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47">
        <f>M62*$C$64</f>
        <v>0</v>
      </c>
      <c r="N64" s="47">
        <f>N62*$C$64</f>
        <v>0</v>
      </c>
      <c r="O64" s="47">
        <f>O62*$C$64</f>
        <v>0</v>
      </c>
      <c r="P64" s="47">
        <f>P62*$C$64</f>
        <v>0</v>
      </c>
      <c r="Q64" s="47">
        <f>Q62*$C$64</f>
        <v>0</v>
      </c>
      <c r="R64" s="47">
        <f>SUM(E64:Q64)</f>
        <v>27750</v>
      </c>
      <c r="V64" s="141">
        <v>18423158</v>
      </c>
      <c r="W64" s="140">
        <v>1</v>
      </c>
    </row>
    <row r="65" spans="2:21" x14ac:dyDescent="0.2">
      <c r="B65" s="85" t="s">
        <v>265</v>
      </c>
      <c r="C65" s="94"/>
      <c r="D65" s="94"/>
      <c r="E65" s="52">
        <f t="shared" ref="E65:Q65" si="35">SUM(E62:E64)</f>
        <v>18977750</v>
      </c>
      <c r="F65" s="52">
        <f t="shared" si="35"/>
        <v>0</v>
      </c>
      <c r="G65" s="52">
        <f t="shared" si="35"/>
        <v>0</v>
      </c>
      <c r="H65" s="52">
        <f t="shared" si="35"/>
        <v>0</v>
      </c>
      <c r="I65" s="52">
        <f t="shared" si="35"/>
        <v>0</v>
      </c>
      <c r="J65" s="52">
        <f t="shared" si="35"/>
        <v>0</v>
      </c>
      <c r="K65" s="52">
        <f t="shared" si="35"/>
        <v>0</v>
      </c>
      <c r="L65" s="52">
        <f t="shared" si="35"/>
        <v>0</v>
      </c>
      <c r="M65" s="52">
        <f t="shared" si="35"/>
        <v>0</v>
      </c>
      <c r="N65" s="52">
        <f t="shared" si="35"/>
        <v>0</v>
      </c>
      <c r="O65" s="52">
        <f t="shared" si="35"/>
        <v>0</v>
      </c>
      <c r="P65" s="52">
        <f t="shared" si="35"/>
        <v>0</v>
      </c>
      <c r="Q65" s="52">
        <f t="shared" si="35"/>
        <v>0</v>
      </c>
      <c r="R65" s="52">
        <f>SUM(E65:Q65)</f>
        <v>18977750</v>
      </c>
      <c r="S65" s="106">
        <v>77639474</v>
      </c>
      <c r="T65" s="70">
        <f>R65/R17</f>
        <v>421727.77777777775</v>
      </c>
      <c r="U65" s="135" t="s">
        <v>282</v>
      </c>
    </row>
    <row r="66" spans="2:21" outlineLevel="1" x14ac:dyDescent="0.2">
      <c r="B66" s="165"/>
      <c r="C66" s="19"/>
      <c r="D66" s="19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2"/>
    </row>
    <row r="67" spans="2:21" outlineLevel="1" x14ac:dyDescent="0.2">
      <c r="B67" s="87" t="s">
        <v>485</v>
      </c>
      <c r="C67" s="19"/>
      <c r="D67" s="19"/>
      <c r="E67" s="170"/>
      <c r="F67" s="33"/>
      <c r="G67" s="170"/>
      <c r="H67" s="170"/>
      <c r="I67" s="33"/>
      <c r="J67" s="170"/>
      <c r="K67" s="170"/>
      <c r="L67" s="170"/>
      <c r="M67" s="170"/>
      <c r="N67" s="170"/>
      <c r="O67" s="170"/>
      <c r="P67" s="170"/>
      <c r="Q67" s="170"/>
      <c r="R67" s="12"/>
    </row>
    <row r="68" spans="2:21" outlineLevel="1" x14ac:dyDescent="0.2">
      <c r="B68" s="166" t="s">
        <v>486</v>
      </c>
      <c r="C68" s="71">
        <f>235000*1.25</f>
        <v>293750</v>
      </c>
      <c r="D68" s="71"/>
      <c r="E68" s="61">
        <f>$C$68*0.5</f>
        <v>146875</v>
      </c>
      <c r="F68" s="12">
        <f>$C$68*0.5</f>
        <v>146875</v>
      </c>
      <c r="G68" s="12">
        <v>0</v>
      </c>
      <c r="H68" s="12">
        <f>$C68*I$67</f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/>
      <c r="R68" s="12">
        <f t="shared" ref="R68:R82" si="36">SUM(E68:P68)</f>
        <v>293750</v>
      </c>
      <c r="T68" s="11">
        <f t="shared" ref="T68:T82" si="37">C68-R68</f>
        <v>0</v>
      </c>
    </row>
    <row r="69" spans="2:21" outlineLevel="1" x14ac:dyDescent="0.2">
      <c r="B69" s="166" t="s">
        <v>487</v>
      </c>
      <c r="C69" s="71">
        <f>590000*1.25</f>
        <v>737500</v>
      </c>
      <c r="D69" s="71"/>
      <c r="E69" s="61"/>
      <c r="F69" s="12">
        <f>$C$69/3</f>
        <v>245833.33333333334</v>
      </c>
      <c r="G69" s="12">
        <f>$C$69/3</f>
        <v>245833.33333333334</v>
      </c>
      <c r="H69" s="12">
        <f>$C$69/3</f>
        <v>245833.33333333334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/>
      <c r="R69" s="12">
        <f t="shared" si="36"/>
        <v>737500</v>
      </c>
      <c r="T69" s="11">
        <f t="shared" si="37"/>
        <v>0</v>
      </c>
    </row>
    <row r="70" spans="2:21" outlineLevel="1" x14ac:dyDescent="0.2">
      <c r="B70" s="166" t="s">
        <v>488</v>
      </c>
      <c r="C70" s="71">
        <f>350000*1.25</f>
        <v>437500</v>
      </c>
      <c r="D70" s="71"/>
      <c r="E70" s="61">
        <f>$C70*F$67</f>
        <v>0</v>
      </c>
      <c r="F70" s="12">
        <f>$C$70/3</f>
        <v>145833.33333333334</v>
      </c>
      <c r="G70" s="12">
        <f>$C$70/3</f>
        <v>145833.33333333334</v>
      </c>
      <c r="H70" s="12">
        <f>$C$70/3</f>
        <v>145833.33333333334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/>
      <c r="R70" s="12">
        <f t="shared" si="36"/>
        <v>437500</v>
      </c>
      <c r="T70" s="11">
        <f t="shared" si="37"/>
        <v>0</v>
      </c>
    </row>
    <row r="71" spans="2:21" outlineLevel="1" x14ac:dyDescent="0.2">
      <c r="B71" s="166" t="s">
        <v>489</v>
      </c>
      <c r="C71" s="528">
        <f>500000*1.25</f>
        <v>625000</v>
      </c>
      <c r="D71" s="528"/>
      <c r="E71" s="61">
        <f>$C$71/2</f>
        <v>312500</v>
      </c>
      <c r="F71" s="12">
        <v>0</v>
      </c>
      <c r="G71" s="12">
        <f>$C$71/2</f>
        <v>312500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/>
      <c r="R71" s="12">
        <f t="shared" si="36"/>
        <v>625000</v>
      </c>
      <c r="T71" s="11">
        <f t="shared" si="37"/>
        <v>0</v>
      </c>
    </row>
    <row r="72" spans="2:21" outlineLevel="1" x14ac:dyDescent="0.2">
      <c r="B72" s="166" t="s">
        <v>490</v>
      </c>
      <c r="C72" s="528">
        <f>500000*1.25</f>
        <v>625000</v>
      </c>
      <c r="D72" s="528"/>
      <c r="E72" s="61">
        <v>0</v>
      </c>
      <c r="F72" s="12">
        <f>$C72/2</f>
        <v>312500</v>
      </c>
      <c r="G72" s="12">
        <v>0</v>
      </c>
      <c r="H72" s="12">
        <f>$C72/2</f>
        <v>312500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/>
      <c r="R72" s="12">
        <f t="shared" si="36"/>
        <v>625000</v>
      </c>
      <c r="T72" s="11">
        <f t="shared" si="37"/>
        <v>0</v>
      </c>
    </row>
    <row r="73" spans="2:21" outlineLevel="1" x14ac:dyDescent="0.2">
      <c r="B73" s="166" t="s">
        <v>491</v>
      </c>
      <c r="C73" s="71">
        <v>150000</v>
      </c>
      <c r="D73" s="71"/>
      <c r="E73" s="61">
        <f>$C$73</f>
        <v>150000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/>
      <c r="R73" s="12">
        <f t="shared" si="36"/>
        <v>150000</v>
      </c>
      <c r="T73" s="11">
        <f t="shared" si="37"/>
        <v>0</v>
      </c>
    </row>
    <row r="74" spans="2:21" outlineLevel="1" x14ac:dyDescent="0.2">
      <c r="B74" s="166" t="s">
        <v>492</v>
      </c>
      <c r="C74" s="528">
        <f>650000*1.25</f>
        <v>812500</v>
      </c>
      <c r="D74" s="528"/>
      <c r="E74" s="776">
        <f>$C$74</f>
        <v>812500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/>
      <c r="R74" s="12">
        <f t="shared" si="36"/>
        <v>812500</v>
      </c>
      <c r="T74" s="11">
        <f t="shared" si="37"/>
        <v>0</v>
      </c>
    </row>
    <row r="75" spans="2:21" outlineLevel="1" x14ac:dyDescent="0.2">
      <c r="B75" s="166" t="s">
        <v>493</v>
      </c>
      <c r="C75" s="71">
        <f>(105000*1.25)+15*4000</f>
        <v>191250</v>
      </c>
      <c r="D75" s="71"/>
      <c r="E75" s="61">
        <f t="shared" ref="E75:G77" si="38">$C75/3</f>
        <v>63750</v>
      </c>
      <c r="F75" s="12">
        <f t="shared" si="38"/>
        <v>63750</v>
      </c>
      <c r="G75" s="12">
        <f t="shared" si="38"/>
        <v>63750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/>
      <c r="R75" s="12">
        <f t="shared" si="36"/>
        <v>191250</v>
      </c>
      <c r="T75" s="11">
        <f t="shared" si="37"/>
        <v>0</v>
      </c>
    </row>
    <row r="76" spans="2:21" outlineLevel="1" x14ac:dyDescent="0.2">
      <c r="B76" s="166" t="s">
        <v>494</v>
      </c>
      <c r="C76" s="71">
        <f>(8500*15)*1.25</f>
        <v>159375</v>
      </c>
      <c r="D76" s="71"/>
      <c r="E76" s="61">
        <f t="shared" si="38"/>
        <v>53125</v>
      </c>
      <c r="F76" s="12">
        <f t="shared" si="38"/>
        <v>53125</v>
      </c>
      <c r="G76" s="12">
        <f t="shared" si="38"/>
        <v>53125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/>
      <c r="R76" s="12">
        <f t="shared" si="36"/>
        <v>159375</v>
      </c>
      <c r="T76" s="11">
        <f t="shared" si="37"/>
        <v>0</v>
      </c>
    </row>
    <row r="77" spans="2:21" outlineLevel="1" x14ac:dyDescent="0.2">
      <c r="B77" s="166" t="s">
        <v>495</v>
      </c>
      <c r="C77" s="71">
        <f>550000*1.25</f>
        <v>687500</v>
      </c>
      <c r="D77" s="71"/>
      <c r="E77" s="61">
        <f t="shared" si="38"/>
        <v>229166.66666666666</v>
      </c>
      <c r="F77" s="12">
        <f t="shared" si="38"/>
        <v>229166.66666666666</v>
      </c>
      <c r="G77" s="12">
        <f t="shared" si="38"/>
        <v>229166.66666666666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/>
      <c r="R77" s="12">
        <f t="shared" si="36"/>
        <v>687500</v>
      </c>
      <c r="T77" s="11">
        <f t="shared" si="37"/>
        <v>0</v>
      </c>
    </row>
    <row r="78" spans="2:21" outlineLevel="1" x14ac:dyDescent="0.2">
      <c r="B78" s="166" t="s">
        <v>496</v>
      </c>
      <c r="C78" s="71">
        <f>1000000*1.25</f>
        <v>1250000</v>
      </c>
      <c r="D78" s="71"/>
      <c r="E78" s="61">
        <f>$C$78/2</f>
        <v>625000</v>
      </c>
      <c r="F78" s="12">
        <f>$C$78/2</f>
        <v>625000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/>
      <c r="R78" s="12">
        <f t="shared" si="36"/>
        <v>1250000</v>
      </c>
      <c r="T78" s="11">
        <f t="shared" si="37"/>
        <v>0</v>
      </c>
    </row>
    <row r="79" spans="2:21" outlineLevel="1" x14ac:dyDescent="0.2">
      <c r="B79" s="166" t="s">
        <v>497</v>
      </c>
      <c r="C79" s="71">
        <f>125000*1.25</f>
        <v>156250</v>
      </c>
      <c r="D79" s="71"/>
      <c r="E79" s="61">
        <f>($C79)/3</f>
        <v>52083.333333333336</v>
      </c>
      <c r="F79" s="12">
        <f>($C79)/3</f>
        <v>52083.333333333336</v>
      </c>
      <c r="G79" s="12">
        <f>($C79)/3</f>
        <v>52083.333333333336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/>
      <c r="R79" s="12">
        <f t="shared" si="36"/>
        <v>156250</v>
      </c>
      <c r="T79" s="11">
        <f t="shared" si="37"/>
        <v>0</v>
      </c>
    </row>
    <row r="80" spans="2:21" outlineLevel="1" x14ac:dyDescent="0.2">
      <c r="B80" s="166" t="s">
        <v>498</v>
      </c>
      <c r="C80" s="71">
        <f>625000*1.25</f>
        <v>781250</v>
      </c>
      <c r="D80" s="71"/>
      <c r="E80" s="61">
        <f>$C80/4</f>
        <v>195312.5</v>
      </c>
      <c r="F80" s="12">
        <f>$C80/4</f>
        <v>195312.5</v>
      </c>
      <c r="G80" s="12">
        <f>$C80/4</f>
        <v>195312.5</v>
      </c>
      <c r="H80" s="12">
        <f>$C80/4</f>
        <v>195312.5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/>
      <c r="R80" s="12">
        <f t="shared" si="36"/>
        <v>781250</v>
      </c>
      <c r="T80" s="11">
        <f t="shared" si="37"/>
        <v>0</v>
      </c>
    </row>
    <row r="81" spans="2:22" outlineLevel="1" x14ac:dyDescent="0.2">
      <c r="B81" s="166" t="s">
        <v>499</v>
      </c>
      <c r="C81" s="71">
        <f>175000*1.25</f>
        <v>218750</v>
      </c>
      <c r="D81" s="71"/>
      <c r="E81" s="61">
        <f>$C81/3</f>
        <v>72916.666666666672</v>
      </c>
      <c r="F81" s="12">
        <f>$C81/3</f>
        <v>72916.666666666672</v>
      </c>
      <c r="G81" s="12">
        <f>$C81/3</f>
        <v>72916.666666666672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/>
      <c r="R81" s="12">
        <f t="shared" si="36"/>
        <v>218750</v>
      </c>
      <c r="T81" s="11">
        <f t="shared" si="37"/>
        <v>0</v>
      </c>
    </row>
    <row r="82" spans="2:22" outlineLevel="1" x14ac:dyDescent="0.2">
      <c r="B82" s="166" t="s">
        <v>500</v>
      </c>
      <c r="C82" s="71">
        <v>750000</v>
      </c>
      <c r="D82" s="71"/>
      <c r="E82" s="61">
        <f>$C$82/3</f>
        <v>250000</v>
      </c>
      <c r="F82" s="12">
        <f>$C$82/3</f>
        <v>250000</v>
      </c>
      <c r="G82" s="12">
        <f>$C$82/3</f>
        <v>250000</v>
      </c>
      <c r="H82" s="12">
        <f>$C82*I$67</f>
        <v>0</v>
      </c>
      <c r="I82" s="12">
        <f>$C82*I$67</f>
        <v>0</v>
      </c>
      <c r="J82" s="12">
        <f>$C82*J$67</f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/>
      <c r="R82" s="12">
        <f t="shared" si="36"/>
        <v>750000</v>
      </c>
      <c r="T82" s="11">
        <f t="shared" si="37"/>
        <v>0</v>
      </c>
    </row>
    <row r="83" spans="2:22" outlineLevel="1" x14ac:dyDescent="0.2">
      <c r="B83" s="166" t="s">
        <v>297</v>
      </c>
      <c r="C83" s="84">
        <v>0.05</v>
      </c>
      <c r="D83" s="71"/>
      <c r="E83" s="61">
        <f>SUM(E67:E82,D83)*$C83</f>
        <v>148161.45833333334</v>
      </c>
      <c r="F83" s="61">
        <f>SUM(F67:F82,E83)*$C83</f>
        <v>127027.86458333336</v>
      </c>
      <c r="G83" s="61">
        <f>SUM(G67:G82,E83:F83)*$C83</f>
        <v>94785.5078125</v>
      </c>
      <c r="H83" s="61">
        <f>SUM(H67:H82,E83:G83)*$C83</f>
        <v>63472.699869791679</v>
      </c>
      <c r="I83" s="61">
        <v>0</v>
      </c>
      <c r="J83" s="61">
        <v>0</v>
      </c>
      <c r="K83" s="61">
        <v>0</v>
      </c>
      <c r="L83" s="61">
        <v>0</v>
      </c>
      <c r="M83" s="12"/>
      <c r="N83" s="12"/>
      <c r="O83" s="12"/>
      <c r="P83" s="12"/>
      <c r="Q83" s="12"/>
      <c r="R83" s="12">
        <f t="shared" ref="R83:R85" si="39">SUM(E83:Q83)</f>
        <v>433447.53059895837</v>
      </c>
      <c r="T83" s="11"/>
      <c r="V83" s="135"/>
    </row>
    <row r="84" spans="2:22" outlineLevel="1" x14ac:dyDescent="0.2">
      <c r="B84" s="171" t="s">
        <v>281</v>
      </c>
      <c r="C84" s="54">
        <v>0.05</v>
      </c>
      <c r="D84" s="54"/>
      <c r="E84" s="22">
        <f t="shared" ref="E84:L84" si="40">SUM(E68:E82)*$C$84</f>
        <v>148161.45833333334</v>
      </c>
      <c r="F84" s="22">
        <f t="shared" si="40"/>
        <v>119619.79166666669</v>
      </c>
      <c r="G84" s="22">
        <f t="shared" si="40"/>
        <v>81026.041666666686</v>
      </c>
      <c r="H84" s="22">
        <f t="shared" si="40"/>
        <v>44973.958333333343</v>
      </c>
      <c r="I84" s="22">
        <f t="shared" si="40"/>
        <v>0</v>
      </c>
      <c r="J84" s="22">
        <f t="shared" si="40"/>
        <v>0</v>
      </c>
      <c r="K84" s="22">
        <f t="shared" si="40"/>
        <v>0</v>
      </c>
      <c r="L84" s="22">
        <f t="shared" si="40"/>
        <v>0</v>
      </c>
      <c r="M84" s="22">
        <v>0</v>
      </c>
      <c r="N84" s="22">
        <v>0</v>
      </c>
      <c r="O84" s="22">
        <v>0</v>
      </c>
      <c r="P84" s="22">
        <v>0</v>
      </c>
      <c r="Q84" s="22"/>
      <c r="R84" s="21">
        <f t="shared" si="39"/>
        <v>393781.25</v>
      </c>
      <c r="T84" s="11"/>
    </row>
    <row r="85" spans="2:22" x14ac:dyDescent="0.2">
      <c r="B85" s="85" t="str">
        <f>B67</f>
        <v>HARD COSTS - SITE, RESTORATION &amp; INFRASTRUCTURE</v>
      </c>
      <c r="C85" s="86"/>
      <c r="D85" s="86"/>
      <c r="E85" s="51">
        <f t="shared" ref="E85:P85" si="41">SUM(E67:E84)</f>
        <v>3259552.083333334</v>
      </c>
      <c r="F85" s="51">
        <f t="shared" si="41"/>
        <v>2639043.4895833335</v>
      </c>
      <c r="G85" s="51">
        <f t="shared" si="41"/>
        <v>1796332.3828125002</v>
      </c>
      <c r="H85" s="51">
        <f t="shared" si="41"/>
        <v>1007925.8248697917</v>
      </c>
      <c r="I85" s="51">
        <f t="shared" si="41"/>
        <v>0</v>
      </c>
      <c r="J85" s="51">
        <f t="shared" si="41"/>
        <v>0</v>
      </c>
      <c r="K85" s="51">
        <f t="shared" si="41"/>
        <v>0</v>
      </c>
      <c r="L85" s="51">
        <f t="shared" si="41"/>
        <v>0</v>
      </c>
      <c r="M85" s="51">
        <f t="shared" si="41"/>
        <v>0</v>
      </c>
      <c r="N85" s="51">
        <f t="shared" si="41"/>
        <v>0</v>
      </c>
      <c r="O85" s="51">
        <f t="shared" si="41"/>
        <v>0</v>
      </c>
      <c r="P85" s="51">
        <f t="shared" si="41"/>
        <v>0</v>
      </c>
      <c r="Q85" s="51"/>
      <c r="R85" s="52">
        <f t="shared" si="39"/>
        <v>8702853.780598959</v>
      </c>
      <c r="S85" s="106">
        <v>8694686.380208334</v>
      </c>
      <c r="T85" s="70">
        <f>R85/$R$17</f>
        <v>193396.75067997686</v>
      </c>
      <c r="U85" s="135" t="s">
        <v>282</v>
      </c>
    </row>
    <row r="86" spans="2:22" outlineLevel="1" x14ac:dyDescent="0.2">
      <c r="B86" s="165"/>
      <c r="C86" s="19"/>
      <c r="D86" s="19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2"/>
      <c r="T86" s="111">
        <f>R85/$T$59</f>
        <v>2.473059460882962E-2</v>
      </c>
      <c r="U86" t="s">
        <v>283</v>
      </c>
    </row>
    <row r="87" spans="2:22" outlineLevel="1" x14ac:dyDescent="0.2">
      <c r="B87" s="87" t="s">
        <v>392</v>
      </c>
      <c r="C87" s="19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2"/>
    </row>
    <row r="88" spans="2:22" outlineLevel="1" x14ac:dyDescent="0.2">
      <c r="B88" s="166" t="s">
        <v>501</v>
      </c>
      <c r="C88" s="13">
        <v>100000</v>
      </c>
      <c r="D88" s="12"/>
      <c r="E88" s="12">
        <f t="shared" ref="E88:K88" si="42">((E$17*$C88)*0.25)+((F$17*$C88)*0.75)</f>
        <v>725000</v>
      </c>
      <c r="F88" s="12">
        <f t="shared" si="42"/>
        <v>1100000</v>
      </c>
      <c r="G88" s="12">
        <f t="shared" si="42"/>
        <v>1200000</v>
      </c>
      <c r="H88" s="12">
        <f t="shared" si="42"/>
        <v>525000</v>
      </c>
      <c r="I88" s="12">
        <f t="shared" si="42"/>
        <v>450000</v>
      </c>
      <c r="J88" s="12">
        <f t="shared" si="42"/>
        <v>125000</v>
      </c>
      <c r="K88" s="12">
        <f t="shared" si="42"/>
        <v>0</v>
      </c>
      <c r="M88" s="12">
        <f>((L$17*$C88)*0.25)+((M$17*$C88)*0.75)</f>
        <v>0</v>
      </c>
      <c r="N88" s="12">
        <f>((M$17*$C88)*0.25)+((N$17*$C88)*0.75)</f>
        <v>0</v>
      </c>
      <c r="O88" s="12">
        <f>((N$17*$C88)*0.25)+((O$17*$C88)*0.75)</f>
        <v>0</v>
      </c>
      <c r="P88" s="12">
        <f>((O$17*$C88)*0.25)+((P$17*$C88)*0.75)</f>
        <v>0</v>
      </c>
      <c r="Q88" s="12">
        <f>((P$17*$C88)*0.25)+((Q$17*$C88)*0.75)</f>
        <v>0</v>
      </c>
      <c r="R88" s="12">
        <f>SUM(E88:Q88)</f>
        <v>4125000</v>
      </c>
      <c r="T88" s="11">
        <f t="shared" ref="T88:T94" si="43">R88/$R$17</f>
        <v>91666.666666666672</v>
      </c>
      <c r="U88" s="135" t="s">
        <v>502</v>
      </c>
      <c r="V88" t="s">
        <v>293</v>
      </c>
    </row>
    <row r="89" spans="2:22" outlineLevel="1" x14ac:dyDescent="0.2">
      <c r="B89" s="166" t="s">
        <v>503</v>
      </c>
      <c r="C89" s="13">
        <f>Assumptions!C17</f>
        <v>850</v>
      </c>
      <c r="D89" s="12"/>
      <c r="E89" s="12">
        <f t="shared" ref="E89:L89" si="44">(((SUMPRODUCT($D$7:$D$16,E7:E16))*$C89))</f>
        <v>14875000</v>
      </c>
      <c r="F89" s="12">
        <f t="shared" si="44"/>
        <v>22100000</v>
      </c>
      <c r="G89" s="12">
        <f t="shared" si="44"/>
        <v>35275000</v>
      </c>
      <c r="H89" s="12">
        <f t="shared" si="44"/>
        <v>38250000</v>
      </c>
      <c r="I89" s="12">
        <f t="shared" si="44"/>
        <v>9562500</v>
      </c>
      <c r="J89" s="12">
        <f t="shared" si="44"/>
        <v>14875000</v>
      </c>
      <c r="K89" s="12">
        <f t="shared" si="44"/>
        <v>0</v>
      </c>
      <c r="L89" s="12">
        <f t="shared" si="44"/>
        <v>0</v>
      </c>
      <c r="M89" s="12">
        <f>(((SUMPRODUCT($D$7:$D$16,L7:L16))*$C89)*0.5)+(((SUMPRODUCT($D$7:$D$16,M7:M16))*$C89)*0.5)</f>
        <v>0</v>
      </c>
      <c r="N89" s="12">
        <f>(((SUMPRODUCT($D$7:$D$16,M7:M16))*$C89)*0.5)+(((SUMPRODUCT($D$7:$D$16,N7:N16))*$C89)*0.5)</f>
        <v>0</v>
      </c>
      <c r="O89" s="12">
        <f>(((SUMPRODUCT($D$7:$D$16,N7:N16))*$C89)*0.5)+(((SUMPRODUCT($D$7:$D$16,O7:O16))*$C89)*0.5)</f>
        <v>0</v>
      </c>
      <c r="P89" s="12">
        <f>(((SUMPRODUCT($D$7:$D$16,O7:O16))*$C89)*0.5)+(((SUMPRODUCT($D$7:$D$16,P7:P16))*$C89)*0.5)</f>
        <v>0</v>
      </c>
      <c r="Q89" s="12">
        <f>(((SUMPRODUCT($D$7:$D$16,P7:P16))*$C89)*0.5)+(((SUMPRODUCT($D$7:$D$16,Q7:Q16))*$C89)*0.5)</f>
        <v>0</v>
      </c>
      <c r="R89" s="12">
        <f>SUM(E89:Q89)</f>
        <v>134937500</v>
      </c>
      <c r="T89" s="11">
        <f t="shared" si="43"/>
        <v>2998611.111111111</v>
      </c>
      <c r="U89" t="s">
        <v>504</v>
      </c>
      <c r="V89" s="229">
        <f>R89/$V$17</f>
        <v>850</v>
      </c>
    </row>
    <row r="90" spans="2:22" outlineLevel="1" x14ac:dyDescent="0.2">
      <c r="B90" s="166" t="s">
        <v>505</v>
      </c>
      <c r="C90" s="527">
        <v>150000</v>
      </c>
      <c r="D90" s="12"/>
      <c r="F90" s="12">
        <f t="shared" ref="F90:Q90" si="45">E$17*$C90</f>
        <v>750000</v>
      </c>
      <c r="G90" s="12">
        <f t="shared" si="45"/>
        <v>1200000</v>
      </c>
      <c r="H90" s="12">
        <f t="shared" si="45"/>
        <v>1800000</v>
      </c>
      <c r="I90" s="12">
        <f t="shared" si="45"/>
        <v>1800000</v>
      </c>
      <c r="J90" s="12">
        <f t="shared" si="45"/>
        <v>450000</v>
      </c>
      <c r="K90" s="12">
        <f t="shared" si="45"/>
        <v>750000</v>
      </c>
      <c r="L90" s="12">
        <f t="shared" si="45"/>
        <v>0</v>
      </c>
      <c r="M90" s="12">
        <f t="shared" si="45"/>
        <v>0</v>
      </c>
      <c r="N90" s="12">
        <f t="shared" si="45"/>
        <v>0</v>
      </c>
      <c r="O90" s="12">
        <f t="shared" si="45"/>
        <v>0</v>
      </c>
      <c r="P90" s="12">
        <f t="shared" si="45"/>
        <v>0</v>
      </c>
      <c r="Q90" s="12">
        <f t="shared" si="45"/>
        <v>0</v>
      </c>
      <c r="R90" s="12">
        <f>SUM(F90:Q90)</f>
        <v>6750000</v>
      </c>
      <c r="T90" s="11">
        <f t="shared" si="43"/>
        <v>150000</v>
      </c>
      <c r="U90" s="135" t="s">
        <v>502</v>
      </c>
    </row>
    <row r="91" spans="2:22" outlineLevel="1" x14ac:dyDescent="0.2">
      <c r="B91" s="166" t="s">
        <v>506</v>
      </c>
      <c r="C91" s="84">
        <v>3.5000000000000003E-2</v>
      </c>
      <c r="D91" s="12"/>
      <c r="E91" s="61">
        <f>SUM(E88:E90)*$C91</f>
        <v>546000</v>
      </c>
      <c r="F91" s="61">
        <f t="shared" ref="F91:K91" si="46">SUM(F88:F90)*$C91</f>
        <v>838250.00000000012</v>
      </c>
      <c r="G91" s="61">
        <f t="shared" si="46"/>
        <v>1318625.0000000002</v>
      </c>
      <c r="H91" s="61">
        <f t="shared" si="46"/>
        <v>1420125.0000000002</v>
      </c>
      <c r="I91" s="61">
        <f t="shared" si="46"/>
        <v>413437.50000000006</v>
      </c>
      <c r="J91" s="61">
        <f t="shared" si="46"/>
        <v>540750</v>
      </c>
      <c r="K91" s="61">
        <f t="shared" si="46"/>
        <v>26250.000000000004</v>
      </c>
      <c r="L91" s="61">
        <f>SUM(L88:L90)*$C91</f>
        <v>0</v>
      </c>
      <c r="M91" s="12"/>
      <c r="N91" s="12"/>
      <c r="O91" s="12"/>
      <c r="P91" s="12"/>
      <c r="Q91" s="12"/>
      <c r="R91" s="12">
        <f>SUM(E91:Q91)</f>
        <v>5103437.5</v>
      </c>
      <c r="T91" s="11">
        <f t="shared" si="43"/>
        <v>113409.72222222222</v>
      </c>
      <c r="U91" t="s">
        <v>504</v>
      </c>
    </row>
    <row r="92" spans="2:22" outlineLevel="1" x14ac:dyDescent="0.2">
      <c r="B92" s="166" t="s">
        <v>297</v>
      </c>
      <c r="C92" s="84">
        <v>0.05</v>
      </c>
      <c r="D92" s="12"/>
      <c r="E92" s="61">
        <f>SUM(E88:E90)*$C92</f>
        <v>780000</v>
      </c>
      <c r="F92" s="61">
        <f>SUM(F88:F90,E92)*$C92</f>
        <v>1236500</v>
      </c>
      <c r="G92" s="61">
        <f>SUM(G88:G90,E92:F92)*$C92</f>
        <v>1984575</v>
      </c>
      <c r="H92" s="61">
        <f>SUM(H88:H90,E92:G92)*$C92</f>
        <v>2228803.75</v>
      </c>
      <c r="I92" s="61">
        <f>SUM(I88:I90,E92:H92)*$C92</f>
        <v>902118.9375</v>
      </c>
      <c r="J92" s="61">
        <f>SUM(J88:J90,E92:I92)*$C92</f>
        <v>1129099.8843750001</v>
      </c>
      <c r="K92" s="61">
        <f>SUM(K88:K90,E92:J92)*$C92</f>
        <v>450554.87859375007</v>
      </c>
      <c r="M92" s="12"/>
      <c r="N92" s="12"/>
      <c r="O92" s="12"/>
      <c r="P92" s="12"/>
      <c r="Q92" s="12"/>
      <c r="R92" s="12">
        <f>SUM(E92:Q92)</f>
        <v>8711652.4504687507</v>
      </c>
      <c r="T92" s="11">
        <f t="shared" si="43"/>
        <v>193592.27667708334</v>
      </c>
      <c r="U92" t="s">
        <v>504</v>
      </c>
    </row>
    <row r="93" spans="2:22" outlineLevel="1" x14ac:dyDescent="0.2">
      <c r="B93" s="166" t="s">
        <v>281</v>
      </c>
      <c r="C93" s="84">
        <v>3.5000000000000003E-2</v>
      </c>
      <c r="D93" s="11"/>
      <c r="E93" s="11">
        <f t="shared" ref="E93:Q93" si="47">SUM(E87:E90)*$C93</f>
        <v>546000</v>
      </c>
      <c r="F93" s="11">
        <f t="shared" si="47"/>
        <v>838250.00000000012</v>
      </c>
      <c r="G93" s="11">
        <f t="shared" si="47"/>
        <v>1318625.0000000002</v>
      </c>
      <c r="H93" s="11">
        <f t="shared" si="47"/>
        <v>1420125.0000000002</v>
      </c>
      <c r="I93" s="11">
        <f t="shared" si="47"/>
        <v>413437.50000000006</v>
      </c>
      <c r="J93" s="11">
        <f t="shared" si="47"/>
        <v>540750</v>
      </c>
      <c r="K93" s="11">
        <f t="shared" si="47"/>
        <v>26250.000000000004</v>
      </c>
      <c r="L93" s="11">
        <f t="shared" si="47"/>
        <v>0</v>
      </c>
      <c r="M93" s="11">
        <f t="shared" si="47"/>
        <v>0</v>
      </c>
      <c r="N93" s="11">
        <f t="shared" si="47"/>
        <v>0</v>
      </c>
      <c r="O93" s="11">
        <f t="shared" si="47"/>
        <v>0</v>
      </c>
      <c r="P93" s="11">
        <f t="shared" si="47"/>
        <v>0</v>
      </c>
      <c r="Q93" s="11">
        <f t="shared" si="47"/>
        <v>0</v>
      </c>
      <c r="R93" s="12">
        <f>SUM(E93:Q93)</f>
        <v>5103437.5</v>
      </c>
      <c r="T93" s="11">
        <f t="shared" si="43"/>
        <v>113409.72222222222</v>
      </c>
      <c r="U93" t="s">
        <v>504</v>
      </c>
      <c r="V93" t="s">
        <v>298</v>
      </c>
    </row>
    <row r="94" spans="2:22" x14ac:dyDescent="0.2">
      <c r="B94" s="85" t="str">
        <f>B87</f>
        <v>HARD COSTS - HOMES</v>
      </c>
      <c r="C94" s="86"/>
      <c r="D94" s="51"/>
      <c r="E94" s="51">
        <f t="shared" ref="E94:Q94" si="48">SUM(E87:E93)</f>
        <v>17472000</v>
      </c>
      <c r="F94" s="51">
        <f t="shared" si="48"/>
        <v>26863000</v>
      </c>
      <c r="G94" s="51">
        <f t="shared" si="48"/>
        <v>42296825</v>
      </c>
      <c r="H94" s="51">
        <f t="shared" si="48"/>
        <v>45644053.75</v>
      </c>
      <c r="I94" s="51">
        <f t="shared" si="48"/>
        <v>13541493.9375</v>
      </c>
      <c r="J94" s="51">
        <f t="shared" si="48"/>
        <v>17660599.884374999</v>
      </c>
      <c r="K94" s="51">
        <f t="shared" si="48"/>
        <v>1253054.8785937501</v>
      </c>
      <c r="L94" s="51">
        <f t="shared" si="48"/>
        <v>0</v>
      </c>
      <c r="M94" s="51">
        <f t="shared" si="48"/>
        <v>0</v>
      </c>
      <c r="N94" s="51">
        <f t="shared" si="48"/>
        <v>0</v>
      </c>
      <c r="O94" s="51">
        <f t="shared" si="48"/>
        <v>0</v>
      </c>
      <c r="P94" s="51">
        <f t="shared" si="48"/>
        <v>0</v>
      </c>
      <c r="Q94" s="51">
        <f t="shared" si="48"/>
        <v>0</v>
      </c>
      <c r="R94" s="52">
        <f>SUM(E94:Q94)</f>
        <v>164731027.45046875</v>
      </c>
      <c r="S94" s="106">
        <v>164720955.65234375</v>
      </c>
      <c r="T94" s="11">
        <f t="shared" si="43"/>
        <v>3660689.4988993057</v>
      </c>
      <c r="U94" t="s">
        <v>504</v>
      </c>
      <c r="V94" s="229">
        <f>R94/$V$17</f>
        <v>1037.6757634675196</v>
      </c>
    </row>
    <row r="95" spans="2:22" outlineLevel="1" x14ac:dyDescent="0.2">
      <c r="B95" s="165"/>
      <c r="C95" s="19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2"/>
      <c r="T95" s="111">
        <f>R94/$T$59</f>
        <v>0.46811038793451359</v>
      </c>
      <c r="U95" t="s">
        <v>283</v>
      </c>
    </row>
    <row r="96" spans="2:22" outlineLevel="1" x14ac:dyDescent="0.2">
      <c r="B96" s="81" t="s">
        <v>507</v>
      </c>
      <c r="R96" s="12"/>
    </row>
    <row r="97" spans="2:23" outlineLevel="1" x14ac:dyDescent="0.2">
      <c r="B97" s="166" t="s">
        <v>508</v>
      </c>
      <c r="C97" s="10">
        <f>(SUM(C82:C82))*0.15</f>
        <v>112500</v>
      </c>
      <c r="D97" s="10"/>
      <c r="E97" s="67">
        <f>$C$97*0.75</f>
        <v>84375</v>
      </c>
      <c r="F97" s="67">
        <f>$C$97*0.25</f>
        <v>28125</v>
      </c>
      <c r="G97" s="67"/>
      <c r="H97" s="67"/>
      <c r="J97" s="67"/>
      <c r="K97" s="32"/>
      <c r="L97" s="32"/>
      <c r="M97" s="32"/>
      <c r="N97" s="32"/>
      <c r="O97" s="32"/>
      <c r="R97" s="12">
        <f t="shared" ref="R97:R104" si="49">SUM(E97:Q97)</f>
        <v>112500</v>
      </c>
      <c r="T97" s="11">
        <f>C97-R97</f>
        <v>0</v>
      </c>
    </row>
    <row r="98" spans="2:23" outlineLevel="1" x14ac:dyDescent="0.2">
      <c r="B98" s="166" t="s">
        <v>509</v>
      </c>
      <c r="C98" s="10">
        <v>500000</v>
      </c>
      <c r="D98" s="10"/>
      <c r="E98" s="67">
        <f>$C98</f>
        <v>500000</v>
      </c>
      <c r="F98" s="67">
        <f>$C98</f>
        <v>500000</v>
      </c>
      <c r="G98" s="67">
        <f>$C98</f>
        <v>500000</v>
      </c>
      <c r="H98" s="67">
        <f>$C98</f>
        <v>500000</v>
      </c>
      <c r="J98" s="67"/>
      <c r="K98" s="32"/>
      <c r="L98" s="32"/>
      <c r="M98" s="32"/>
      <c r="N98" s="32"/>
      <c r="O98" s="32"/>
      <c r="R98" s="12">
        <f>SUM(E98:Q98)</f>
        <v>2000000</v>
      </c>
      <c r="T98" s="11"/>
    </row>
    <row r="99" spans="2:23" outlineLevel="1" x14ac:dyDescent="0.2">
      <c r="B99" s="166" t="s">
        <v>510</v>
      </c>
      <c r="C99" s="10">
        <f>(SUM(C68:C81))*0.1</f>
        <v>712562.5</v>
      </c>
      <c r="D99" s="10"/>
      <c r="E99" s="67">
        <f>$C$99*0.55</f>
        <v>391909.37500000006</v>
      </c>
      <c r="F99" s="67">
        <f>$C$99*0.2</f>
        <v>142512.5</v>
      </c>
      <c r="G99" s="67">
        <f>$C$99*0.2</f>
        <v>142512.5</v>
      </c>
      <c r="H99" s="67">
        <f>$C$99*0.05</f>
        <v>35628.125</v>
      </c>
      <c r="J99" s="67"/>
      <c r="R99" s="12">
        <f t="shared" si="49"/>
        <v>712562.5</v>
      </c>
      <c r="T99" s="11">
        <f>C99-R99</f>
        <v>0</v>
      </c>
    </row>
    <row r="100" spans="2:23" outlineLevel="1" x14ac:dyDescent="0.2">
      <c r="B100" s="166" t="s">
        <v>511</v>
      </c>
      <c r="C100" s="80">
        <v>300000</v>
      </c>
      <c r="D100" s="80"/>
      <c r="E100" s="67">
        <f>$C$100</f>
        <v>300000</v>
      </c>
      <c r="F100" s="67"/>
      <c r="G100" s="32"/>
      <c r="H100" s="32"/>
      <c r="J100" s="32"/>
      <c r="K100" s="32"/>
      <c r="L100" s="32"/>
      <c r="M100" s="32"/>
      <c r="N100" s="32"/>
      <c r="O100" s="32"/>
      <c r="R100" s="12">
        <f t="shared" si="49"/>
        <v>300000</v>
      </c>
      <c r="T100" s="11">
        <f>C100-R100</f>
        <v>0</v>
      </c>
    </row>
    <row r="101" spans="2:23" outlineLevel="1" x14ac:dyDescent="0.2">
      <c r="B101" s="166" t="s">
        <v>315</v>
      </c>
      <c r="C101" s="10">
        <v>400000</v>
      </c>
      <c r="D101" s="10"/>
      <c r="E101" s="67">
        <f>C101*0.75</f>
        <v>300000</v>
      </c>
      <c r="F101" s="67">
        <f>C101*0.25</f>
        <v>100000</v>
      </c>
      <c r="G101" s="32"/>
      <c r="H101" s="32"/>
      <c r="J101" s="32"/>
      <c r="K101" s="32"/>
      <c r="L101" s="32"/>
      <c r="M101" s="32"/>
      <c r="N101" s="32"/>
      <c r="O101" s="32"/>
      <c r="R101" s="12">
        <f t="shared" si="49"/>
        <v>400000</v>
      </c>
      <c r="T101" s="11">
        <f>C101-R101</f>
        <v>0</v>
      </c>
    </row>
    <row r="102" spans="2:23" outlineLevel="1" x14ac:dyDescent="0.2">
      <c r="B102" s="166" t="s">
        <v>316</v>
      </c>
      <c r="C102" s="10">
        <v>10000</v>
      </c>
      <c r="D102" s="10"/>
      <c r="E102" s="61">
        <f t="shared" ref="E102:K102" si="50">$C$102</f>
        <v>10000</v>
      </c>
      <c r="F102" s="61">
        <f t="shared" si="50"/>
        <v>10000</v>
      </c>
      <c r="G102" s="61">
        <f t="shared" si="50"/>
        <v>10000</v>
      </c>
      <c r="H102" s="61">
        <f t="shared" si="50"/>
        <v>10000</v>
      </c>
      <c r="I102" s="61">
        <f t="shared" si="50"/>
        <v>10000</v>
      </c>
      <c r="J102" s="61">
        <f t="shared" si="50"/>
        <v>10000</v>
      </c>
      <c r="K102" s="61">
        <f t="shared" si="50"/>
        <v>10000</v>
      </c>
      <c r="L102" s="61"/>
      <c r="M102" s="12"/>
      <c r="N102" s="12"/>
      <c r="O102" s="12"/>
      <c r="P102" s="12"/>
      <c r="Q102" s="12"/>
      <c r="R102" s="12">
        <f t="shared" si="49"/>
        <v>70000</v>
      </c>
      <c r="T102" s="11"/>
    </row>
    <row r="103" spans="2:23" outlineLevel="1" x14ac:dyDescent="0.2">
      <c r="B103" s="171" t="s">
        <v>317</v>
      </c>
      <c r="C103" s="526">
        <v>0.05</v>
      </c>
      <c r="D103" s="526"/>
      <c r="E103" s="22">
        <f>SUM(E96:E102)*$C$103</f>
        <v>79314.21875</v>
      </c>
      <c r="F103" s="22">
        <f>SUM(F96:F102)*$C$103</f>
        <v>39031.875</v>
      </c>
      <c r="G103" s="22">
        <f>SUM(G96:G102)*$C$103</f>
        <v>32625.625</v>
      </c>
      <c r="H103" s="22">
        <f>SUM(H96:H102)*$C$103</f>
        <v>27281.40625</v>
      </c>
      <c r="I103" s="22"/>
      <c r="J103" s="22"/>
      <c r="K103" s="22"/>
      <c r="L103" s="22"/>
      <c r="M103" s="22"/>
      <c r="N103" s="22"/>
      <c r="O103" s="22"/>
      <c r="P103" s="22"/>
      <c r="Q103" s="22">
        <f>SUM(Q99:Q102)*$C$103</f>
        <v>0</v>
      </c>
      <c r="R103" s="21">
        <f t="shared" si="49"/>
        <v>178253.125</v>
      </c>
      <c r="T103" s="11"/>
    </row>
    <row r="104" spans="2:23" x14ac:dyDescent="0.2">
      <c r="B104" s="49" t="str">
        <f>B96</f>
        <v>SOFT COSTS PROFESSIONALS - FINAL ENTITLEMENTS &amp; SITE INFRA.</v>
      </c>
      <c r="C104" s="167"/>
      <c r="D104" s="167"/>
      <c r="E104" s="51">
        <f t="shared" ref="E104:Q104" si="51">SUM(E96:E103)</f>
        <v>1665598.59375</v>
      </c>
      <c r="F104" s="51">
        <f t="shared" si="51"/>
        <v>819669.375</v>
      </c>
      <c r="G104" s="51">
        <f t="shared" si="51"/>
        <v>685138.125</v>
      </c>
      <c r="H104" s="51">
        <f t="shared" si="51"/>
        <v>572909.53125</v>
      </c>
      <c r="I104" s="51">
        <f t="shared" si="51"/>
        <v>10000</v>
      </c>
      <c r="J104" s="51">
        <f t="shared" si="51"/>
        <v>10000</v>
      </c>
      <c r="K104" s="51">
        <f t="shared" si="51"/>
        <v>10000</v>
      </c>
      <c r="L104" s="51">
        <f t="shared" si="51"/>
        <v>0</v>
      </c>
      <c r="M104" s="51">
        <f t="shared" si="51"/>
        <v>0</v>
      </c>
      <c r="N104" s="51">
        <f t="shared" si="51"/>
        <v>0</v>
      </c>
      <c r="O104" s="51">
        <f t="shared" si="51"/>
        <v>0</v>
      </c>
      <c r="P104" s="51">
        <f t="shared" si="51"/>
        <v>0</v>
      </c>
      <c r="Q104" s="51">
        <f t="shared" si="51"/>
        <v>0</v>
      </c>
      <c r="R104" s="52">
        <f t="shared" si="49"/>
        <v>3773315.625</v>
      </c>
      <c r="S104" s="106">
        <v>3237815.625</v>
      </c>
      <c r="T104" s="70">
        <f>R104/$R$17</f>
        <v>83851.458333333328</v>
      </c>
      <c r="U104" s="135" t="s">
        <v>282</v>
      </c>
    </row>
    <row r="105" spans="2:23" outlineLevel="1" x14ac:dyDescent="0.2">
      <c r="B105" s="165"/>
      <c r="C105" s="19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2"/>
      <c r="T105" s="111">
        <f>R104/$T$59</f>
        <v>1.0722498780924622E-2</v>
      </c>
      <c r="U105" t="s">
        <v>283</v>
      </c>
    </row>
    <row r="106" spans="2:23" outlineLevel="1" x14ac:dyDescent="0.2">
      <c r="B106" s="81" t="s">
        <v>512</v>
      </c>
      <c r="R106" s="12"/>
      <c r="W106" t="s">
        <v>513</v>
      </c>
    </row>
    <row r="107" spans="2:23" outlineLevel="1" x14ac:dyDescent="0.2">
      <c r="B107" s="166" t="s">
        <v>514</v>
      </c>
      <c r="C107" s="10">
        <v>500000</v>
      </c>
      <c r="D107" s="32"/>
      <c r="E107" s="67">
        <f>$C$107</f>
        <v>500000</v>
      </c>
      <c r="F107" s="32">
        <f t="shared" ref="F107:K107" si="52">$C107*G87</f>
        <v>0</v>
      </c>
      <c r="G107" s="32">
        <f t="shared" si="52"/>
        <v>0</v>
      </c>
      <c r="H107" s="32">
        <f t="shared" si="52"/>
        <v>0</v>
      </c>
      <c r="I107" s="32">
        <f t="shared" si="52"/>
        <v>0</v>
      </c>
      <c r="J107" s="32">
        <f t="shared" si="52"/>
        <v>0</v>
      </c>
      <c r="K107" s="32">
        <f t="shared" si="52"/>
        <v>0</v>
      </c>
      <c r="M107" s="32">
        <f t="shared" ref="M107:Q108" si="53">$C107*M87</f>
        <v>0</v>
      </c>
      <c r="N107" s="32">
        <f t="shared" si="53"/>
        <v>0</v>
      </c>
      <c r="O107" s="32">
        <f t="shared" si="53"/>
        <v>0</v>
      </c>
      <c r="P107" s="32">
        <f t="shared" si="53"/>
        <v>0</v>
      </c>
      <c r="Q107" s="32">
        <f t="shared" si="53"/>
        <v>0</v>
      </c>
      <c r="R107" s="12">
        <f>SUM(D107:Q107)</f>
        <v>500000</v>
      </c>
      <c r="T107" s="11">
        <f t="shared" ref="T107:T118" si="54">R107/$R$17</f>
        <v>11111.111111111111</v>
      </c>
      <c r="U107" s="135" t="s">
        <v>515</v>
      </c>
      <c r="V107" s="11">
        <f t="shared" ref="V107:V118" si="55">R107/4</f>
        <v>125000</v>
      </c>
      <c r="W107" s="135" t="s">
        <v>323</v>
      </c>
    </row>
    <row r="108" spans="2:23" outlineLevel="1" x14ac:dyDescent="0.2">
      <c r="B108" s="166" t="s">
        <v>322</v>
      </c>
      <c r="C108" s="65">
        <v>0.05</v>
      </c>
      <c r="D108" s="32"/>
      <c r="E108" s="32">
        <f t="shared" ref="E108:K108" si="56">$C108*E88</f>
        <v>36250</v>
      </c>
      <c r="F108" s="32">
        <f t="shared" si="56"/>
        <v>55000</v>
      </c>
      <c r="G108" s="32">
        <f t="shared" si="56"/>
        <v>60000</v>
      </c>
      <c r="H108" s="32">
        <f t="shared" si="56"/>
        <v>26250</v>
      </c>
      <c r="I108" s="32">
        <f t="shared" si="56"/>
        <v>22500</v>
      </c>
      <c r="J108" s="32">
        <f t="shared" si="56"/>
        <v>6250</v>
      </c>
      <c r="K108" s="32">
        <f t="shared" si="56"/>
        <v>0</v>
      </c>
      <c r="M108" s="32">
        <f t="shared" si="53"/>
        <v>0</v>
      </c>
      <c r="N108" s="32">
        <f t="shared" si="53"/>
        <v>0</v>
      </c>
      <c r="O108" s="32">
        <f t="shared" si="53"/>
        <v>0</v>
      </c>
      <c r="P108" s="32">
        <f t="shared" si="53"/>
        <v>0</v>
      </c>
      <c r="Q108" s="32">
        <f t="shared" si="53"/>
        <v>0</v>
      </c>
      <c r="R108" s="12">
        <f>SUM(D108:Q108)</f>
        <v>206250</v>
      </c>
      <c r="T108" s="11">
        <f t="shared" si="54"/>
        <v>4583.333333333333</v>
      </c>
      <c r="U108" s="135" t="s">
        <v>515</v>
      </c>
      <c r="V108" s="11">
        <f t="shared" si="55"/>
        <v>51562.5</v>
      </c>
      <c r="W108" s="135" t="s">
        <v>323</v>
      </c>
    </row>
    <row r="109" spans="2:23" outlineLevel="1" x14ac:dyDescent="0.2">
      <c r="B109" s="166" t="s">
        <v>324</v>
      </c>
      <c r="C109" s="65">
        <v>0.02</v>
      </c>
      <c r="D109" s="32"/>
      <c r="E109" s="32">
        <f t="shared" ref="E109:K109" si="57">$C109*E$89</f>
        <v>297500</v>
      </c>
      <c r="F109" s="32">
        <f t="shared" si="57"/>
        <v>442000</v>
      </c>
      <c r="G109" s="32">
        <f t="shared" si="57"/>
        <v>705500</v>
      </c>
      <c r="H109" s="32">
        <f t="shared" si="57"/>
        <v>765000</v>
      </c>
      <c r="I109" s="32">
        <f t="shared" si="57"/>
        <v>191250</v>
      </c>
      <c r="J109" s="32">
        <f t="shared" si="57"/>
        <v>297500</v>
      </c>
      <c r="K109" s="32">
        <f t="shared" si="57"/>
        <v>0</v>
      </c>
      <c r="M109" s="32">
        <f>$C109*M$89</f>
        <v>0</v>
      </c>
      <c r="N109" s="32">
        <f>$C109*N$89</f>
        <v>0</v>
      </c>
      <c r="O109" s="32">
        <f>$C109*O$89</f>
        <v>0</v>
      </c>
      <c r="P109" s="32">
        <f>$C109*P$89</f>
        <v>0</v>
      </c>
      <c r="Q109" s="32">
        <f>$C109*Q$89</f>
        <v>0</v>
      </c>
      <c r="R109" s="12">
        <f>SUM(D109:Q109)</f>
        <v>2698750</v>
      </c>
      <c r="T109" s="11">
        <f t="shared" si="54"/>
        <v>59972.222222222219</v>
      </c>
      <c r="U109" s="135" t="s">
        <v>515</v>
      </c>
      <c r="V109" s="11">
        <f t="shared" si="55"/>
        <v>674687.5</v>
      </c>
      <c r="W109" s="135" t="s">
        <v>323</v>
      </c>
    </row>
    <row r="110" spans="2:23" outlineLevel="1" x14ac:dyDescent="0.2">
      <c r="B110" s="166" t="s">
        <v>326</v>
      </c>
      <c r="C110" s="10">
        <v>10000</v>
      </c>
      <c r="D110" s="10"/>
      <c r="E110" s="32">
        <f t="shared" ref="E110:K110" si="58">E$17*$C110</f>
        <v>50000</v>
      </c>
      <c r="F110" s="32">
        <f t="shared" si="58"/>
        <v>80000</v>
      </c>
      <c r="G110" s="32">
        <f t="shared" si="58"/>
        <v>120000</v>
      </c>
      <c r="H110" s="32">
        <f t="shared" si="58"/>
        <v>120000</v>
      </c>
      <c r="I110" s="32">
        <f t="shared" si="58"/>
        <v>30000</v>
      </c>
      <c r="J110" s="32">
        <f t="shared" si="58"/>
        <v>50000</v>
      </c>
      <c r="K110" s="32">
        <f t="shared" si="58"/>
        <v>0</v>
      </c>
      <c r="L110" s="32"/>
      <c r="M110" s="32">
        <f>M$17*$C110</f>
        <v>0</v>
      </c>
      <c r="N110" s="32">
        <f>N$17*$C110</f>
        <v>0</v>
      </c>
      <c r="O110" s="32">
        <f>O$17*$C110</f>
        <v>0</v>
      </c>
      <c r="P110" s="32">
        <f>P$17*$C110</f>
        <v>0</v>
      </c>
      <c r="Q110" s="32">
        <f>Q$17*$C110</f>
        <v>0</v>
      </c>
      <c r="R110" s="12">
        <f>SUM(D110:Q110)</f>
        <v>450000</v>
      </c>
      <c r="T110" s="11">
        <f t="shared" si="54"/>
        <v>10000</v>
      </c>
      <c r="U110" s="135" t="s">
        <v>515</v>
      </c>
      <c r="V110" s="11">
        <f t="shared" si="55"/>
        <v>112500</v>
      </c>
      <c r="W110" s="135" t="s">
        <v>323</v>
      </c>
    </row>
    <row r="111" spans="2:23" outlineLevel="1" x14ac:dyDescent="0.2">
      <c r="B111" s="166" t="s">
        <v>327</v>
      </c>
      <c r="C111" s="65">
        <v>0.05</v>
      </c>
      <c r="D111" s="32"/>
      <c r="E111" s="32">
        <f t="shared" ref="E111:K111" si="59">$C111*F90</f>
        <v>37500</v>
      </c>
      <c r="F111" s="32">
        <f t="shared" si="59"/>
        <v>60000</v>
      </c>
      <c r="G111" s="32">
        <f t="shared" si="59"/>
        <v>90000</v>
      </c>
      <c r="H111" s="32">
        <f t="shared" si="59"/>
        <v>90000</v>
      </c>
      <c r="I111" s="32">
        <f t="shared" si="59"/>
        <v>22500</v>
      </c>
      <c r="J111" s="32">
        <f t="shared" si="59"/>
        <v>37500</v>
      </c>
      <c r="K111" s="32">
        <f t="shared" si="59"/>
        <v>0</v>
      </c>
      <c r="L111" s="32"/>
      <c r="M111" s="32">
        <f>$C111*M90</f>
        <v>0</v>
      </c>
      <c r="N111" s="32">
        <f>$C111*N90</f>
        <v>0</v>
      </c>
      <c r="O111" s="32">
        <f>$C111*O90</f>
        <v>0</v>
      </c>
      <c r="P111" s="32">
        <f>$C111*P90</f>
        <v>0</v>
      </c>
      <c r="Q111" s="32">
        <f>$C111*Q90</f>
        <v>0</v>
      </c>
      <c r="R111" s="12">
        <f>SUM(D111:Q111)</f>
        <v>337500</v>
      </c>
      <c r="T111" s="11">
        <f t="shared" si="54"/>
        <v>7500</v>
      </c>
      <c r="U111" s="135" t="s">
        <v>515</v>
      </c>
      <c r="V111" s="11">
        <f t="shared" si="55"/>
        <v>84375</v>
      </c>
      <c r="W111" s="135" t="s">
        <v>323</v>
      </c>
    </row>
    <row r="112" spans="2:23" outlineLevel="1" x14ac:dyDescent="0.2">
      <c r="B112" s="166" t="s">
        <v>328</v>
      </c>
      <c r="C112" s="10">
        <v>3500</v>
      </c>
      <c r="D112" s="32"/>
      <c r="E112" s="32">
        <f t="shared" ref="E112:K112" si="60">E$17*$C112</f>
        <v>17500</v>
      </c>
      <c r="F112" s="32">
        <f t="shared" si="60"/>
        <v>28000</v>
      </c>
      <c r="G112" s="32">
        <f t="shared" si="60"/>
        <v>42000</v>
      </c>
      <c r="H112" s="32">
        <f t="shared" si="60"/>
        <v>42000</v>
      </c>
      <c r="I112" s="32">
        <f t="shared" si="60"/>
        <v>10500</v>
      </c>
      <c r="J112" s="32">
        <f t="shared" si="60"/>
        <v>17500</v>
      </c>
      <c r="K112" s="32">
        <f t="shared" si="60"/>
        <v>0</v>
      </c>
      <c r="L112" s="32"/>
      <c r="M112" s="32">
        <f>M$17*$C112</f>
        <v>0</v>
      </c>
      <c r="N112" s="32">
        <f>N$17*$C112</f>
        <v>0</v>
      </c>
      <c r="O112" s="32">
        <f>O$17*$C112</f>
        <v>0</v>
      </c>
      <c r="P112" s="32">
        <f>P$17*$C112</f>
        <v>0</v>
      </c>
      <c r="Q112" s="32">
        <f>Q$17*$C112</f>
        <v>0</v>
      </c>
      <c r="R112" s="12">
        <f>SUM(D112:P112)</f>
        <v>157500</v>
      </c>
      <c r="T112" s="11">
        <f t="shared" si="54"/>
        <v>3500</v>
      </c>
      <c r="U112" s="135" t="s">
        <v>515</v>
      </c>
      <c r="V112" s="11">
        <f t="shared" si="55"/>
        <v>39375</v>
      </c>
      <c r="W112" s="135" t="s">
        <v>323</v>
      </c>
    </row>
    <row r="113" spans="2:26" outlineLevel="1" x14ac:dyDescent="0.2">
      <c r="B113" s="166" t="s">
        <v>329</v>
      </c>
      <c r="C113" s="64">
        <v>2.25</v>
      </c>
      <c r="D113" s="10"/>
      <c r="E113" s="12">
        <f t="shared" ref="E113:K113" si="61">((SUMPRODUCT($D$7:$D$16,E7:E16))*$C113)</f>
        <v>39375</v>
      </c>
      <c r="F113" s="12">
        <f t="shared" si="61"/>
        <v>58500</v>
      </c>
      <c r="G113" s="12">
        <f t="shared" si="61"/>
        <v>93375</v>
      </c>
      <c r="H113" s="12">
        <f t="shared" si="61"/>
        <v>101250</v>
      </c>
      <c r="I113" s="12">
        <f t="shared" si="61"/>
        <v>25312.5</v>
      </c>
      <c r="J113" s="12">
        <f t="shared" si="61"/>
        <v>39375</v>
      </c>
      <c r="K113" s="12">
        <f t="shared" si="61"/>
        <v>0</v>
      </c>
      <c r="L113" s="12"/>
      <c r="M113" s="12">
        <f>((SUMPRODUCT($D$7:$D$16,M7:M16))*$C113)</f>
        <v>0</v>
      </c>
      <c r="N113" s="12">
        <f>((SUMPRODUCT($D$7:$D$16,N7:N16))*$C113)</f>
        <v>0</v>
      </c>
      <c r="O113" s="12">
        <f>((SUMPRODUCT($D$7:$D$16,O7:O16))*$C113)</f>
        <v>0</v>
      </c>
      <c r="P113" s="12">
        <f>((SUMPRODUCT($D$7:$D$16,P7:P16))*$C113)</f>
        <v>0</v>
      </c>
      <c r="Q113" s="12">
        <f>((SUMPRODUCT($D$7:$D$16,Q7:Q16))*$C113)</f>
        <v>0</v>
      </c>
      <c r="R113" s="12">
        <f>SUM(D113:P113)</f>
        <v>357187.5</v>
      </c>
      <c r="T113" s="11">
        <f t="shared" si="54"/>
        <v>7937.5</v>
      </c>
      <c r="U113" s="135" t="s">
        <v>515</v>
      </c>
      <c r="V113" s="11">
        <f t="shared" si="55"/>
        <v>89296.875</v>
      </c>
      <c r="W113" s="135" t="s">
        <v>323</v>
      </c>
      <c r="X113" s="229">
        <f>R113/C75</f>
        <v>1.8676470588235294</v>
      </c>
      <c r="Y113" s="229"/>
      <c r="Z113" s="229"/>
    </row>
    <row r="114" spans="2:26" outlineLevel="1" x14ac:dyDescent="0.2">
      <c r="B114" s="166" t="s">
        <v>330</v>
      </c>
      <c r="C114" s="69">
        <v>3.5000000000000001E-3</v>
      </c>
      <c r="D114" s="10"/>
      <c r="E114" s="32">
        <f t="shared" ref="E114:K116" si="62">$C114*E$89</f>
        <v>52062.5</v>
      </c>
      <c r="F114" s="32">
        <f t="shared" si="62"/>
        <v>77350</v>
      </c>
      <c r="G114" s="32">
        <f t="shared" si="62"/>
        <v>123462.5</v>
      </c>
      <c r="H114" s="32">
        <f t="shared" si="62"/>
        <v>133875</v>
      </c>
      <c r="I114" s="32">
        <f t="shared" si="62"/>
        <v>33468.75</v>
      </c>
      <c r="J114" s="32">
        <f t="shared" si="62"/>
        <v>52062.5</v>
      </c>
      <c r="K114" s="32">
        <f t="shared" si="62"/>
        <v>0</v>
      </c>
      <c r="M114" s="32">
        <f t="shared" ref="M114:Q116" si="63">$C114*M$89</f>
        <v>0</v>
      </c>
      <c r="N114" s="32">
        <f t="shared" si="63"/>
        <v>0</v>
      </c>
      <c r="O114" s="32">
        <f t="shared" si="63"/>
        <v>0</v>
      </c>
      <c r="P114" s="32">
        <f t="shared" si="63"/>
        <v>0</v>
      </c>
      <c r="Q114" s="32">
        <f t="shared" si="63"/>
        <v>0</v>
      </c>
      <c r="R114" s="12">
        <f>SUM(D114:P114)</f>
        <v>472281.25</v>
      </c>
      <c r="T114" s="11">
        <f t="shared" si="54"/>
        <v>10495.138888888889</v>
      </c>
      <c r="U114" s="135" t="s">
        <v>515</v>
      </c>
      <c r="V114" s="11">
        <f t="shared" si="55"/>
        <v>118070.3125</v>
      </c>
      <c r="W114" s="135" t="s">
        <v>323</v>
      </c>
    </row>
    <row r="115" spans="2:26" outlineLevel="1" x14ac:dyDescent="0.2">
      <c r="B115" s="166" t="s">
        <v>331</v>
      </c>
      <c r="C115" s="69">
        <v>2.5000000000000001E-3</v>
      </c>
      <c r="D115" s="10"/>
      <c r="E115" s="32">
        <f t="shared" si="62"/>
        <v>37187.5</v>
      </c>
      <c r="F115" s="32">
        <f t="shared" si="62"/>
        <v>55250</v>
      </c>
      <c r="G115" s="32">
        <f t="shared" si="62"/>
        <v>88187.5</v>
      </c>
      <c r="H115" s="32">
        <f t="shared" si="62"/>
        <v>95625</v>
      </c>
      <c r="I115" s="32">
        <f t="shared" si="62"/>
        <v>23906.25</v>
      </c>
      <c r="J115" s="32">
        <f t="shared" si="62"/>
        <v>37187.5</v>
      </c>
      <c r="K115" s="32">
        <f t="shared" si="62"/>
        <v>0</v>
      </c>
      <c r="M115" s="32">
        <f t="shared" si="63"/>
        <v>0</v>
      </c>
      <c r="N115" s="32">
        <f t="shared" si="63"/>
        <v>0</v>
      </c>
      <c r="O115" s="32">
        <f t="shared" si="63"/>
        <v>0</v>
      </c>
      <c r="P115" s="32">
        <f t="shared" si="63"/>
        <v>0</v>
      </c>
      <c r="Q115" s="32">
        <f t="shared" si="63"/>
        <v>0</v>
      </c>
      <c r="R115" s="12">
        <f>SUM(D115:P115)</f>
        <v>337343.75</v>
      </c>
      <c r="T115" s="11">
        <f t="shared" si="54"/>
        <v>7496.5277777777774</v>
      </c>
      <c r="U115" s="135" t="s">
        <v>515</v>
      </c>
      <c r="V115" s="11">
        <f t="shared" si="55"/>
        <v>84335.9375</v>
      </c>
      <c r="W115" s="135" t="s">
        <v>323</v>
      </c>
    </row>
    <row r="116" spans="2:26" outlineLevel="1" x14ac:dyDescent="0.2">
      <c r="B116" s="166" t="s">
        <v>332</v>
      </c>
      <c r="C116" s="69">
        <v>2.5000000000000001E-3</v>
      </c>
      <c r="D116" s="10"/>
      <c r="E116" s="32">
        <f t="shared" si="62"/>
        <v>37187.5</v>
      </c>
      <c r="F116" s="32">
        <f t="shared" si="62"/>
        <v>55250</v>
      </c>
      <c r="G116" s="32">
        <f t="shared" si="62"/>
        <v>88187.5</v>
      </c>
      <c r="H116" s="32">
        <f t="shared" si="62"/>
        <v>95625</v>
      </c>
      <c r="I116" s="32">
        <f t="shared" si="62"/>
        <v>23906.25</v>
      </c>
      <c r="J116" s="32">
        <f t="shared" si="62"/>
        <v>37187.5</v>
      </c>
      <c r="K116" s="32">
        <f t="shared" si="62"/>
        <v>0</v>
      </c>
      <c r="M116" s="32">
        <f t="shared" si="63"/>
        <v>0</v>
      </c>
      <c r="N116" s="32">
        <f t="shared" si="63"/>
        <v>0</v>
      </c>
      <c r="O116" s="32">
        <f t="shared" si="63"/>
        <v>0</v>
      </c>
      <c r="P116" s="32">
        <f t="shared" si="63"/>
        <v>0</v>
      </c>
      <c r="Q116" s="32">
        <f t="shared" si="63"/>
        <v>0</v>
      </c>
      <c r="R116" s="12">
        <f>SUM(D116:P116)</f>
        <v>337343.75</v>
      </c>
      <c r="T116" s="11">
        <f t="shared" si="54"/>
        <v>7496.5277777777774</v>
      </c>
      <c r="U116" s="135" t="s">
        <v>515</v>
      </c>
      <c r="V116" s="11">
        <f t="shared" si="55"/>
        <v>84335.9375</v>
      </c>
      <c r="W116" s="135" t="s">
        <v>323</v>
      </c>
    </row>
    <row r="117" spans="2:26" outlineLevel="1" x14ac:dyDescent="0.2">
      <c r="B117" s="171" t="s">
        <v>317</v>
      </c>
      <c r="C117" s="54">
        <v>0.05</v>
      </c>
      <c r="D117" s="22"/>
      <c r="E117" s="22">
        <f t="shared" ref="E117:K117" si="64">SUM(E108:E116)*$C117</f>
        <v>30228.125</v>
      </c>
      <c r="F117" s="22">
        <f t="shared" si="64"/>
        <v>45567.5</v>
      </c>
      <c r="G117" s="22">
        <f t="shared" si="64"/>
        <v>70535.625</v>
      </c>
      <c r="H117" s="22">
        <f t="shared" si="64"/>
        <v>73481.25</v>
      </c>
      <c r="I117" s="22">
        <f t="shared" si="64"/>
        <v>19167.1875</v>
      </c>
      <c r="J117" s="22">
        <f t="shared" si="64"/>
        <v>28728.125</v>
      </c>
      <c r="K117" s="22">
        <f t="shared" si="64"/>
        <v>0</v>
      </c>
      <c r="M117" s="22">
        <f>SUM(M108:M116)*$C117</f>
        <v>0</v>
      </c>
      <c r="N117" s="22">
        <f>SUM(N108:N116)*$C117</f>
        <v>0</v>
      </c>
      <c r="O117" s="22">
        <f>SUM(O108:O116)*$C117</f>
        <v>0</v>
      </c>
      <c r="P117" s="22">
        <f>SUM(P108:P116)*$C117</f>
        <v>0</v>
      </c>
      <c r="Q117" s="22">
        <f>SUM(Q108:Q116)*$C117</f>
        <v>0</v>
      </c>
      <c r="R117" s="21">
        <f>SUM(D117:Q117)</f>
        <v>267707.8125</v>
      </c>
      <c r="T117" s="11">
        <f t="shared" si="54"/>
        <v>5949.0625</v>
      </c>
      <c r="U117" s="135" t="s">
        <v>515</v>
      </c>
      <c r="V117" s="11">
        <f t="shared" si="55"/>
        <v>66926.953125</v>
      </c>
      <c r="W117" s="135" t="s">
        <v>323</v>
      </c>
    </row>
    <row r="118" spans="2:26" x14ac:dyDescent="0.2">
      <c r="B118" s="49" t="str">
        <f>B106</f>
        <v>SOFT COSTS PROFESSIONALS - HOMES</v>
      </c>
      <c r="C118" s="167"/>
      <c r="D118" s="51"/>
      <c r="E118" s="51">
        <f t="shared" ref="E118:P118" si="65">SUM(E106:E117)</f>
        <v>1134790.625</v>
      </c>
      <c r="F118" s="51">
        <f t="shared" si="65"/>
        <v>956917.5</v>
      </c>
      <c r="G118" s="51">
        <f t="shared" si="65"/>
        <v>1481248.125</v>
      </c>
      <c r="H118" s="51">
        <f t="shared" si="65"/>
        <v>1543106.25</v>
      </c>
      <c r="I118" s="51">
        <f t="shared" si="65"/>
        <v>402510.9375</v>
      </c>
      <c r="J118" s="51">
        <f t="shared" si="65"/>
        <v>603290.625</v>
      </c>
      <c r="K118" s="51">
        <f t="shared" si="65"/>
        <v>0</v>
      </c>
      <c r="L118" s="51">
        <f t="shared" si="65"/>
        <v>0</v>
      </c>
      <c r="M118" s="51">
        <f t="shared" si="65"/>
        <v>0</v>
      </c>
      <c r="N118" s="51">
        <f t="shared" si="65"/>
        <v>0</v>
      </c>
      <c r="O118" s="51">
        <f t="shared" si="65"/>
        <v>0</v>
      </c>
      <c r="P118" s="51">
        <f t="shared" si="65"/>
        <v>0</v>
      </c>
      <c r="Q118" s="51"/>
      <c r="R118" s="107">
        <f>SUM(D118:Q118)</f>
        <v>6121864.0625</v>
      </c>
      <c r="S118" s="106">
        <v>6121864.0625</v>
      </c>
      <c r="T118" s="11">
        <f t="shared" si="54"/>
        <v>136041.42361111112</v>
      </c>
      <c r="U118" s="135" t="s">
        <v>515</v>
      </c>
      <c r="V118" s="11">
        <f t="shared" si="55"/>
        <v>1530466.015625</v>
      </c>
      <c r="W118" s="135" t="s">
        <v>323</v>
      </c>
    </row>
    <row r="119" spans="2:26" outlineLevel="1" x14ac:dyDescent="0.2">
      <c r="T119" s="111">
        <f>R118/$T$59</f>
        <v>1.7396286574130015E-2</v>
      </c>
      <c r="U119" t="s">
        <v>283</v>
      </c>
    </row>
    <row r="120" spans="2:26" outlineLevel="1" x14ac:dyDescent="0.2">
      <c r="B120" s="81" t="s">
        <v>337</v>
      </c>
    </row>
    <row r="121" spans="2:26" outlineLevel="1" x14ac:dyDescent="0.2">
      <c r="B121" s="166" t="s">
        <v>47</v>
      </c>
      <c r="C121" s="43">
        <v>4.4999999999999998E-2</v>
      </c>
      <c r="D121" s="43"/>
      <c r="E121" s="11">
        <f>SUM(E56:E57)*$C$121</f>
        <v>0</v>
      </c>
      <c r="F121" s="11">
        <f t="shared" ref="F121:L121" si="66">SUM(F57)*$C$121</f>
        <v>1102500</v>
      </c>
      <c r="G121" s="11">
        <f t="shared" si="66"/>
        <v>2252250.0000000005</v>
      </c>
      <c r="H121" s="11">
        <f t="shared" si="66"/>
        <v>3262405.7812500005</v>
      </c>
      <c r="I121" s="11">
        <f t="shared" si="66"/>
        <v>3594720.9375000014</v>
      </c>
      <c r="J121" s="11">
        <f t="shared" si="66"/>
        <v>716353.55859375035</v>
      </c>
      <c r="K121" s="11">
        <f t="shared" si="66"/>
        <v>1860619.4578125007</v>
      </c>
      <c r="L121" s="11">
        <f t="shared" si="66"/>
        <v>0</v>
      </c>
      <c r="M121" s="11">
        <f>SUM(M56:M57)*$C$121</f>
        <v>0</v>
      </c>
      <c r="N121" s="11">
        <f>SUM(N56:N57)*$C$121</f>
        <v>0</v>
      </c>
      <c r="O121" s="11">
        <f>SUM(O56:O57)*$C$121</f>
        <v>0</v>
      </c>
      <c r="P121" s="11">
        <f>SUM(P56:P57)*$C$121</f>
        <v>0</v>
      </c>
      <c r="Q121" s="11">
        <f>SUM(Q56:Q57)*$C$121</f>
        <v>0</v>
      </c>
      <c r="R121" s="12">
        <f>SUM(E121:Q121)</f>
        <v>12788849.735156253</v>
      </c>
    </row>
    <row r="122" spans="2:26" outlineLevel="1" x14ac:dyDescent="0.2">
      <c r="B122" s="166" t="s">
        <v>339</v>
      </c>
      <c r="C122" s="10">
        <v>75000</v>
      </c>
      <c r="D122" s="88" t="s">
        <v>340</v>
      </c>
      <c r="E122" s="11">
        <f>$C$122*2</f>
        <v>150000</v>
      </c>
      <c r="F122" s="11">
        <f>$C$122*3</f>
        <v>225000</v>
      </c>
      <c r="G122" s="11">
        <f>$C$122*2</f>
        <v>150000</v>
      </c>
      <c r="H122" s="11">
        <f>$C$122</f>
        <v>75000</v>
      </c>
      <c r="I122" s="11">
        <f>$C$122</f>
        <v>75000</v>
      </c>
      <c r="J122" s="11">
        <f>$C$122</f>
        <v>75000</v>
      </c>
      <c r="K122" s="11">
        <f>$C$122</f>
        <v>75000</v>
      </c>
      <c r="L122" s="11"/>
      <c r="M122" s="11"/>
      <c r="N122" s="11"/>
      <c r="O122" s="11"/>
      <c r="P122" s="11"/>
      <c r="Q122" s="11"/>
      <c r="R122" s="12">
        <f>SUM(E122:Q122)</f>
        <v>825000</v>
      </c>
    </row>
    <row r="123" spans="2:26" x14ac:dyDescent="0.2">
      <c r="B123" s="171" t="s">
        <v>341</v>
      </c>
      <c r="C123" s="225"/>
      <c r="D123" s="225"/>
      <c r="E123" s="225"/>
      <c r="F123" s="225"/>
      <c r="G123" s="225"/>
      <c r="H123" s="225"/>
      <c r="I123" s="225"/>
      <c r="J123" s="21"/>
      <c r="K123" s="21"/>
      <c r="L123" s="225"/>
      <c r="M123" s="225"/>
      <c r="N123" s="22">
        <f>J123/-5</f>
        <v>0</v>
      </c>
      <c r="O123" s="22"/>
      <c r="P123" s="225"/>
      <c r="Q123" s="225"/>
      <c r="R123" s="21">
        <f>SUM(E123:P123)</f>
        <v>0</v>
      </c>
      <c r="S123" s="11"/>
    </row>
    <row r="124" spans="2:26" x14ac:dyDescent="0.2">
      <c r="B124" s="49" t="s">
        <v>337</v>
      </c>
      <c r="C124" s="167"/>
      <c r="D124" s="167"/>
      <c r="E124" s="52">
        <f t="shared" ref="E124:Q124" si="67">SUM(E121:E123)</f>
        <v>150000</v>
      </c>
      <c r="F124" s="52">
        <f t="shared" si="67"/>
        <v>1327500</v>
      </c>
      <c r="G124" s="52">
        <f t="shared" si="67"/>
        <v>2402250.0000000005</v>
      </c>
      <c r="H124" s="52">
        <f t="shared" si="67"/>
        <v>3337405.7812500005</v>
      </c>
      <c r="I124" s="52">
        <f t="shared" si="67"/>
        <v>3669720.9375000014</v>
      </c>
      <c r="J124" s="52">
        <f t="shared" si="67"/>
        <v>791353.55859375035</v>
      </c>
      <c r="K124" s="52">
        <f t="shared" si="67"/>
        <v>1935619.4578125007</v>
      </c>
      <c r="L124" s="52">
        <f t="shared" si="67"/>
        <v>0</v>
      </c>
      <c r="M124" s="52">
        <f t="shared" si="67"/>
        <v>0</v>
      </c>
      <c r="N124" s="52">
        <f t="shared" si="67"/>
        <v>0</v>
      </c>
      <c r="O124" s="52">
        <f t="shared" si="67"/>
        <v>0</v>
      </c>
      <c r="P124" s="52">
        <f t="shared" si="67"/>
        <v>0</v>
      </c>
      <c r="Q124" s="52">
        <f t="shared" si="67"/>
        <v>0</v>
      </c>
      <c r="R124" s="52">
        <f>SUM(E124:Q124)</f>
        <v>13613849.735156253</v>
      </c>
      <c r="S124" s="106">
        <v>16487414.175000003</v>
      </c>
      <c r="T124" s="111">
        <f>R124/$T$59</f>
        <v>3.8685999713820363E-2</v>
      </c>
      <c r="U124" t="s">
        <v>283</v>
      </c>
    </row>
    <row r="125" spans="2:26" outlineLevel="1" x14ac:dyDescent="0.2"/>
    <row r="126" spans="2:26" outlineLevel="1" x14ac:dyDescent="0.2">
      <c r="B126" s="81" t="s">
        <v>342</v>
      </c>
    </row>
    <row r="127" spans="2:26" outlineLevel="1" x14ac:dyDescent="0.2">
      <c r="B127" s="166" t="s">
        <v>343</v>
      </c>
      <c r="C127" s="68">
        <f>Assumptions!C20</f>
        <v>256.41025641025641</v>
      </c>
      <c r="D127" s="68" t="s">
        <v>344</v>
      </c>
      <c r="E127" s="12">
        <f>$C$127*($C$31-SUM(D31:E31))</f>
        <v>11538.461538461539</v>
      </c>
      <c r="F127" s="12">
        <f>$C$127*($C$31-SUM(E31:F31))</f>
        <v>10256.410256410256</v>
      </c>
      <c r="G127" s="12">
        <f>$C$127*($C$31-SUM(F31:G31))</f>
        <v>8205.1282051282051</v>
      </c>
      <c r="H127" s="12">
        <f>$C$127*($C$31-SUM(F31:H31))</f>
        <v>5128.2051282051279</v>
      </c>
      <c r="I127" s="12">
        <f>$C$127*($C$31-SUM(F31:I31))</f>
        <v>2051.2820512820513</v>
      </c>
      <c r="J127" s="12">
        <f>$C$127*($C$31-SUM(F31:J31))</f>
        <v>1282.051282051282</v>
      </c>
      <c r="K127" s="12">
        <f>$C$127*($C$31-SUM(G31:K31))</f>
        <v>1282.051282051282</v>
      </c>
      <c r="L127" s="12"/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f>SUM(E127:Q127)</f>
        <v>39743.589743589742</v>
      </c>
    </row>
    <row r="128" spans="2:26" outlineLevel="1" x14ac:dyDescent="0.2">
      <c r="B128" s="171" t="s">
        <v>516</v>
      </c>
      <c r="C128" s="58">
        <v>5.4999999999999997E-3</v>
      </c>
      <c r="D128" s="58"/>
      <c r="E128" s="21">
        <f t="shared" ref="E128:L128" si="68">$C$128*(E85+E94)</f>
        <v>114023.53645833334</v>
      </c>
      <c r="F128" s="21">
        <f t="shared" si="68"/>
        <v>162261.23919270831</v>
      </c>
      <c r="G128" s="21">
        <f t="shared" si="68"/>
        <v>242512.36560546875</v>
      </c>
      <c r="H128" s="21">
        <f t="shared" si="68"/>
        <v>256585.88766178384</v>
      </c>
      <c r="I128" s="21">
        <f t="shared" si="68"/>
        <v>74478.216656249992</v>
      </c>
      <c r="J128" s="21">
        <f t="shared" si="68"/>
        <v>97133.299364062492</v>
      </c>
      <c r="K128" s="21">
        <f t="shared" si="68"/>
        <v>6891.8018322656253</v>
      </c>
      <c r="L128" s="21">
        <f t="shared" si="68"/>
        <v>0</v>
      </c>
      <c r="M128" s="21">
        <f>$C$128*M85</f>
        <v>0</v>
      </c>
      <c r="N128" s="21">
        <f>$C$128*N85</f>
        <v>0</v>
      </c>
      <c r="O128" s="21">
        <f>$C$128*O85</f>
        <v>0</v>
      </c>
      <c r="P128" s="21">
        <f>$C$128*P85</f>
        <v>0</v>
      </c>
      <c r="Q128" s="21">
        <f>$C$128*Q85</f>
        <v>0</v>
      </c>
      <c r="R128" s="21">
        <f>SUM(E128:Q128)</f>
        <v>953886.34677087225</v>
      </c>
    </row>
    <row r="129" spans="2:27" x14ac:dyDescent="0.2">
      <c r="B129" s="49" t="s">
        <v>342</v>
      </c>
      <c r="C129" s="167"/>
      <c r="D129" s="167"/>
      <c r="E129" s="52">
        <f t="shared" ref="E129:Q129" si="69">SUM(E127:E128)</f>
        <v>125561.99799679487</v>
      </c>
      <c r="F129" s="52">
        <f t="shared" si="69"/>
        <v>172517.64944911856</v>
      </c>
      <c r="G129" s="52">
        <f t="shared" si="69"/>
        <v>250717.49381059696</v>
      </c>
      <c r="H129" s="52">
        <f t="shared" si="69"/>
        <v>261714.09278998896</v>
      </c>
      <c r="I129" s="52">
        <f t="shared" si="69"/>
        <v>76529.498707532039</v>
      </c>
      <c r="J129" s="52">
        <f t="shared" si="69"/>
        <v>98415.350646113773</v>
      </c>
      <c r="K129" s="52">
        <f t="shared" si="69"/>
        <v>8173.8531143169075</v>
      </c>
      <c r="L129" s="52">
        <f t="shared" si="69"/>
        <v>0</v>
      </c>
      <c r="M129" s="52">
        <f t="shared" si="69"/>
        <v>0</v>
      </c>
      <c r="N129" s="52">
        <f t="shared" si="69"/>
        <v>0</v>
      </c>
      <c r="O129" s="52">
        <f t="shared" si="69"/>
        <v>0</v>
      </c>
      <c r="P129" s="52">
        <f t="shared" si="69"/>
        <v>0</v>
      </c>
      <c r="Q129" s="52">
        <f t="shared" si="69"/>
        <v>0</v>
      </c>
      <c r="R129" s="52">
        <f>SUM(E129:Q129)</f>
        <v>993629.93651446211</v>
      </c>
      <c r="S129" s="106">
        <v>991734.74912775436</v>
      </c>
      <c r="T129" s="111">
        <f>R129/$T$59</f>
        <v>2.823563370203501E-3</v>
      </c>
      <c r="U129" t="s">
        <v>283</v>
      </c>
    </row>
    <row r="130" spans="2:27" outlineLevel="1" x14ac:dyDescent="0.2"/>
    <row r="131" spans="2:27" outlineLevel="1" x14ac:dyDescent="0.2">
      <c r="B131" s="81" t="s">
        <v>347</v>
      </c>
    </row>
    <row r="132" spans="2:27" outlineLevel="1" x14ac:dyDescent="0.2">
      <c r="B132" s="166" t="s">
        <v>349</v>
      </c>
      <c r="C132" s="68">
        <f>(((10*250)+(30*175))*1.4)+5000</f>
        <v>15850</v>
      </c>
      <c r="D132" s="68"/>
      <c r="E132" s="47">
        <f>$C$132</f>
        <v>15850</v>
      </c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>
        <f>SUM(F132:Q132)</f>
        <v>0</v>
      </c>
    </row>
    <row r="133" spans="2:27" outlineLevel="1" x14ac:dyDescent="0.2">
      <c r="B133" s="166" t="s">
        <v>350</v>
      </c>
      <c r="C133" s="68">
        <f>0.015*T89</f>
        <v>44979.166666666664</v>
      </c>
      <c r="D133" s="68"/>
      <c r="E133" s="47">
        <f t="shared" ref="E133:Q133" si="70">$C133*E17</f>
        <v>224895.83333333331</v>
      </c>
      <c r="F133" s="47">
        <f t="shared" si="70"/>
        <v>359833.33333333331</v>
      </c>
      <c r="G133" s="47">
        <f t="shared" si="70"/>
        <v>539750</v>
      </c>
      <c r="H133" s="47">
        <f t="shared" si="70"/>
        <v>539750</v>
      </c>
      <c r="I133" s="47">
        <f t="shared" si="70"/>
        <v>134937.5</v>
      </c>
      <c r="J133" s="47">
        <f t="shared" si="70"/>
        <v>224895.83333333331</v>
      </c>
      <c r="K133" s="47">
        <f t="shared" si="70"/>
        <v>0</v>
      </c>
      <c r="L133" s="47">
        <f t="shared" si="70"/>
        <v>0</v>
      </c>
      <c r="M133" s="47">
        <f t="shared" si="70"/>
        <v>0</v>
      </c>
      <c r="N133" s="47">
        <f t="shared" si="70"/>
        <v>0</v>
      </c>
      <c r="O133" s="47">
        <f t="shared" si="70"/>
        <v>0</v>
      </c>
      <c r="P133" s="47">
        <f t="shared" si="70"/>
        <v>0</v>
      </c>
      <c r="Q133" s="47">
        <f t="shared" si="70"/>
        <v>0</v>
      </c>
      <c r="R133" s="47">
        <f>SUM(E133:Q133)</f>
        <v>2024062.4999999998</v>
      </c>
    </row>
    <row r="134" spans="2:27" outlineLevel="1" x14ac:dyDescent="0.2">
      <c r="B134" s="171" t="s">
        <v>351</v>
      </c>
      <c r="C134" s="27">
        <v>25000</v>
      </c>
      <c r="D134" s="27"/>
      <c r="E134" s="21">
        <f>$C$134</f>
        <v>25000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>
        <f>SUM(E134:Q134)</f>
        <v>25000</v>
      </c>
    </row>
    <row r="135" spans="2:27" x14ac:dyDescent="0.2">
      <c r="B135" s="49" t="s">
        <v>347</v>
      </c>
      <c r="C135" s="57"/>
      <c r="D135" s="57"/>
      <c r="E135" s="52">
        <f t="shared" ref="E135:Q135" si="71">SUM(E132:E134)</f>
        <v>265745.83333333331</v>
      </c>
      <c r="F135" s="52">
        <f t="shared" si="71"/>
        <v>359833.33333333331</v>
      </c>
      <c r="G135" s="52">
        <f t="shared" si="71"/>
        <v>539750</v>
      </c>
      <c r="H135" s="52">
        <f t="shared" si="71"/>
        <v>539750</v>
      </c>
      <c r="I135" s="52">
        <f t="shared" si="71"/>
        <v>134937.5</v>
      </c>
      <c r="J135" s="52">
        <f t="shared" si="71"/>
        <v>224895.83333333331</v>
      </c>
      <c r="K135" s="52">
        <f t="shared" si="71"/>
        <v>0</v>
      </c>
      <c r="L135" s="52">
        <f t="shared" si="71"/>
        <v>0</v>
      </c>
      <c r="M135" s="52">
        <f t="shared" si="71"/>
        <v>0</v>
      </c>
      <c r="N135" s="52">
        <f t="shared" si="71"/>
        <v>0</v>
      </c>
      <c r="O135" s="52">
        <f t="shared" si="71"/>
        <v>0</v>
      </c>
      <c r="P135" s="52">
        <f t="shared" si="71"/>
        <v>0</v>
      </c>
      <c r="Q135" s="52">
        <f t="shared" si="71"/>
        <v>0</v>
      </c>
      <c r="R135" s="52">
        <f>SUM(E135:Q135)</f>
        <v>2064912.4999999998</v>
      </c>
      <c r="S135" s="106">
        <v>2064912.4999999998</v>
      </c>
      <c r="T135" s="111">
        <f>R135/$T$59</f>
        <v>5.8677894892415769E-3</v>
      </c>
      <c r="U135" t="s">
        <v>283</v>
      </c>
    </row>
    <row r="136" spans="2:27" outlineLevel="1" x14ac:dyDescent="0.2"/>
    <row r="137" spans="2:27" outlineLevel="1" x14ac:dyDescent="0.2">
      <c r="B137" s="81" t="s">
        <v>354</v>
      </c>
      <c r="E137" s="11"/>
      <c r="F137" s="11"/>
      <c r="G137" s="11"/>
      <c r="H137" s="11"/>
      <c r="I137" s="11"/>
      <c r="J137" s="11"/>
      <c r="K137" s="11"/>
      <c r="L137" s="11"/>
    </row>
    <row r="138" spans="2:27" outlineLevel="1" x14ac:dyDescent="0.2">
      <c r="B138" s="166" t="s">
        <v>517</v>
      </c>
      <c r="C138" s="79"/>
      <c r="D138" s="79"/>
      <c r="E138" s="11">
        <v>500000</v>
      </c>
      <c r="F138" s="11">
        <v>1500000</v>
      </c>
      <c r="G138" s="11">
        <v>1500000</v>
      </c>
      <c r="H138" s="11">
        <v>1500000</v>
      </c>
      <c r="I138" s="11">
        <v>1500000</v>
      </c>
      <c r="J138" s="11">
        <v>1500000</v>
      </c>
      <c r="K138" s="11">
        <v>1500000</v>
      </c>
      <c r="L138" s="11"/>
      <c r="M138" s="11">
        <f>(M85+M104+M124+M129+M135)*$C$138</f>
        <v>0</v>
      </c>
      <c r="N138" s="11">
        <f>(N85+N104+N124+N129+N135)*$C$138</f>
        <v>0</v>
      </c>
      <c r="O138" s="11">
        <f>(O85+O104+O124+O129+O135)*$C$138</f>
        <v>0</v>
      </c>
      <c r="P138" s="11">
        <f>(P85+P104+P124+P129+P135)*$C$138</f>
        <v>0</v>
      </c>
      <c r="Q138" s="11">
        <f>(Q85+Q104+Q124+Q129+Q135)*$C$138</f>
        <v>0</v>
      </c>
      <c r="R138" s="12">
        <f>SUM(E138:Q138)</f>
        <v>9500000</v>
      </c>
      <c r="T138" s="524">
        <f>(R65+R85+R94+R104+R118+R124+R129+R135)</f>
        <v>218979203.09023842</v>
      </c>
      <c r="U138" s="524">
        <f>R138</f>
        <v>9500000</v>
      </c>
      <c r="V138" s="111">
        <f>U138/T138</f>
        <v>4.3383115227089285E-2</v>
      </c>
    </row>
    <row r="139" spans="2:27" outlineLevel="1" x14ac:dyDescent="0.2">
      <c r="B139" s="166" t="s">
        <v>356</v>
      </c>
      <c r="C139" s="62">
        <v>0.02</v>
      </c>
      <c r="D139" s="53"/>
      <c r="E139" s="11">
        <f t="shared" ref="E139:L139" si="72">$C$139*(E57)</f>
        <v>0</v>
      </c>
      <c r="F139" s="11">
        <f t="shared" si="72"/>
        <v>490000</v>
      </c>
      <c r="G139" s="11">
        <f t="shared" si="72"/>
        <v>1001000.0000000001</v>
      </c>
      <c r="H139" s="11">
        <f t="shared" si="72"/>
        <v>1449958.1250000002</v>
      </c>
      <c r="I139" s="11">
        <f t="shared" si="72"/>
        <v>1597653.7500000007</v>
      </c>
      <c r="J139" s="11">
        <f t="shared" si="72"/>
        <v>318379.35937500017</v>
      </c>
      <c r="K139" s="11">
        <f t="shared" si="72"/>
        <v>826941.9812500003</v>
      </c>
      <c r="L139" s="11">
        <f t="shared" si="72"/>
        <v>0</v>
      </c>
      <c r="M139" s="12"/>
      <c r="N139" s="12"/>
      <c r="O139" s="61"/>
      <c r="P139" s="12"/>
      <c r="Q139" s="12"/>
      <c r="R139" s="12">
        <f>SUM(E139:Q139)</f>
        <v>5683933.2156250011</v>
      </c>
    </row>
    <row r="140" spans="2:27" outlineLevel="1" x14ac:dyDescent="0.2">
      <c r="B140" s="166" t="s">
        <v>357</v>
      </c>
      <c r="C140" s="523">
        <v>0</v>
      </c>
      <c r="D140" s="98"/>
      <c r="E140" s="16">
        <f t="shared" ref="E140:J140" si="73">$C$140*180000</f>
        <v>0</v>
      </c>
      <c r="F140" s="16">
        <f t="shared" si="73"/>
        <v>0</v>
      </c>
      <c r="G140" s="16">
        <f t="shared" si="73"/>
        <v>0</v>
      </c>
      <c r="H140" s="16">
        <f t="shared" si="73"/>
        <v>0</v>
      </c>
      <c r="I140" s="16">
        <f t="shared" si="73"/>
        <v>0</v>
      </c>
      <c r="J140" s="16">
        <f t="shared" si="73"/>
        <v>0</v>
      </c>
      <c r="K140" s="16"/>
      <c r="L140" s="16"/>
      <c r="M140" s="12"/>
      <c r="N140" s="12"/>
      <c r="O140" s="61"/>
      <c r="P140" s="12"/>
      <c r="Q140" s="12"/>
      <c r="R140" s="12">
        <f>SUM(E140:Q140)</f>
        <v>0</v>
      </c>
      <c r="Z140" s="132" t="s">
        <v>358</v>
      </c>
      <c r="AA140" s="97" t="e">
        <f>SUM(#REF!)-R140</f>
        <v>#REF!</v>
      </c>
    </row>
    <row r="141" spans="2:27" x14ac:dyDescent="0.2">
      <c r="B141" s="49" t="s">
        <v>359</v>
      </c>
      <c r="C141" s="50"/>
      <c r="D141" s="50"/>
      <c r="E141" s="51">
        <f t="shared" ref="E141:Q141" si="74">SUM(E138:E140)</f>
        <v>500000</v>
      </c>
      <c r="F141" s="51">
        <f t="shared" si="74"/>
        <v>1990000</v>
      </c>
      <c r="G141" s="51">
        <f t="shared" si="74"/>
        <v>2501000</v>
      </c>
      <c r="H141" s="51">
        <f t="shared" si="74"/>
        <v>2949958.125</v>
      </c>
      <c r="I141" s="51">
        <f t="shared" si="74"/>
        <v>3097653.7500000009</v>
      </c>
      <c r="J141" s="51">
        <f t="shared" si="74"/>
        <v>1818379.3593750002</v>
      </c>
      <c r="K141" s="51">
        <f t="shared" si="74"/>
        <v>2326941.9812500002</v>
      </c>
      <c r="L141" s="51">
        <f t="shared" si="74"/>
        <v>0</v>
      </c>
      <c r="M141" s="51">
        <f t="shared" si="74"/>
        <v>0</v>
      </c>
      <c r="N141" s="51">
        <f t="shared" si="74"/>
        <v>0</v>
      </c>
      <c r="O141" s="51">
        <f t="shared" si="74"/>
        <v>0</v>
      </c>
      <c r="P141" s="51">
        <f t="shared" si="74"/>
        <v>0</v>
      </c>
      <c r="Q141" s="51">
        <f t="shared" si="74"/>
        <v>0</v>
      </c>
      <c r="R141" s="52">
        <f>SUM(E141:Q141)</f>
        <v>15183933.215624999</v>
      </c>
      <c r="S141" s="106">
        <v>14571097.371875001</v>
      </c>
      <c r="T141" s="111">
        <f>R141/$T$59</f>
        <v>4.314765091885997E-2</v>
      </c>
      <c r="U141" t="s">
        <v>283</v>
      </c>
    </row>
    <row r="142" spans="2:27" x14ac:dyDescent="0.2">
      <c r="B142" s="525"/>
      <c r="C142" s="635"/>
      <c r="D142" s="635"/>
      <c r="E142" s="525"/>
      <c r="F142" s="525"/>
      <c r="G142" s="525"/>
      <c r="H142" s="525"/>
      <c r="I142" s="525"/>
      <c r="J142" s="525"/>
      <c r="K142" s="525"/>
      <c r="L142" s="525"/>
      <c r="M142" s="525"/>
      <c r="N142" s="525"/>
      <c r="O142" s="525"/>
      <c r="P142" s="525"/>
      <c r="Q142" s="525"/>
      <c r="R142" s="47"/>
      <c r="T142" s="111"/>
    </row>
    <row r="143" spans="2:27" ht="17" thickBot="1" x14ac:dyDescent="0.25">
      <c r="B143" s="49" t="s">
        <v>360</v>
      </c>
      <c r="C143" s="50"/>
      <c r="D143" s="50"/>
      <c r="E143" s="51">
        <f t="shared" ref="E143:R143" si="75">SUM(E141,E135,E129,E124,E118,E104,E94,E85,E65)</f>
        <v>43550999.133413464</v>
      </c>
      <c r="F143" s="51">
        <f t="shared" si="75"/>
        <v>35128481.347365789</v>
      </c>
      <c r="G143" s="51">
        <f t="shared" si="75"/>
        <v>51953261.126623094</v>
      </c>
      <c r="H143" s="51">
        <f t="shared" si="75"/>
        <v>55856823.355159782</v>
      </c>
      <c r="I143" s="51">
        <f t="shared" si="75"/>
        <v>20932846.561207533</v>
      </c>
      <c r="J143" s="51">
        <f t="shared" si="75"/>
        <v>21206934.611323196</v>
      </c>
      <c r="K143" s="51">
        <f t="shared" si="75"/>
        <v>5533790.1707705678</v>
      </c>
      <c r="L143" s="51">
        <f t="shared" si="75"/>
        <v>0</v>
      </c>
      <c r="M143" s="51">
        <f t="shared" si="75"/>
        <v>0</v>
      </c>
      <c r="N143" s="51">
        <f t="shared" si="75"/>
        <v>0</v>
      </c>
      <c r="O143" s="51">
        <f t="shared" si="75"/>
        <v>0</v>
      </c>
      <c r="P143" s="51">
        <f t="shared" si="75"/>
        <v>0</v>
      </c>
      <c r="Q143" s="51">
        <f t="shared" si="75"/>
        <v>0</v>
      </c>
      <c r="R143" s="51">
        <f t="shared" si="75"/>
        <v>234163136.30586344</v>
      </c>
      <c r="T143" s="111">
        <f>R143/$T$59</f>
        <v>0.66541317851646897</v>
      </c>
      <c r="U143" t="s">
        <v>283</v>
      </c>
    </row>
    <row r="144" spans="2:27" outlineLevel="1" x14ac:dyDescent="0.2">
      <c r="B144" s="3"/>
      <c r="C144" s="31"/>
      <c r="D144" s="31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3"/>
      <c r="T144" s="787" t="s">
        <v>518</v>
      </c>
      <c r="U144" s="788"/>
      <c r="W144" s="787" t="s">
        <v>519</v>
      </c>
      <c r="X144" s="788"/>
    </row>
    <row r="145" spans="1:24" outlineLevel="1" x14ac:dyDescent="0.2">
      <c r="B145" s="81" t="s">
        <v>362</v>
      </c>
      <c r="C145" s="31"/>
      <c r="D145" s="31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3"/>
      <c r="T145" s="761" t="s">
        <v>520</v>
      </c>
      <c r="U145" s="517">
        <f>SUM(E143:F143)+SUM(F159:F160)*0.5</f>
        <v>78679480.48077926</v>
      </c>
      <c r="V145" s="307"/>
      <c r="W145" s="761" t="s">
        <v>521</v>
      </c>
      <c r="X145" s="762">
        <v>0.84</v>
      </c>
    </row>
    <row r="146" spans="1:24" outlineLevel="1" x14ac:dyDescent="0.2">
      <c r="B146" s="81"/>
      <c r="C146" s="31"/>
      <c r="D146" s="31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3"/>
      <c r="T146" s="766" t="s">
        <v>522</v>
      </c>
      <c r="U146" s="520">
        <f>SUM(E56:F57)*0.5</f>
        <v>12250000</v>
      </c>
      <c r="V146" s="308"/>
      <c r="W146" s="761" t="s">
        <v>523</v>
      </c>
      <c r="X146" s="763">
        <f>SUM(E148:F148)*X145/U150</f>
        <v>0.11353762367074632</v>
      </c>
    </row>
    <row r="147" spans="1:24" outlineLevel="1" x14ac:dyDescent="0.2">
      <c r="B147" s="173" t="s">
        <v>363</v>
      </c>
      <c r="C147" s="239">
        <f>U150</f>
        <v>64719112.98306834</v>
      </c>
      <c r="D147" s="31"/>
      <c r="E147" s="11">
        <f t="shared" ref="E147:K147" si="76">D151+E46</f>
        <v>28150999.133413464</v>
      </c>
      <c r="F147" s="11">
        <f t="shared" si="76"/>
        <v>44746364.8961116</v>
      </c>
      <c r="G147" s="11">
        <f t="shared" si="76"/>
        <v>50115928.683644995</v>
      </c>
      <c r="H147" s="11">
        <f t="shared" si="76"/>
        <v>46220981.798891611</v>
      </c>
      <c r="I147" s="11">
        <f t="shared" si="76"/>
        <v>18637939.048207313</v>
      </c>
      <c r="J147" s="11">
        <f t="shared" si="76"/>
        <v>0</v>
      </c>
      <c r="K147" s="11">
        <f t="shared" si="76"/>
        <v>0</v>
      </c>
      <c r="L147" s="11"/>
      <c r="M147" s="11"/>
      <c r="N147" s="11"/>
      <c r="O147" s="11"/>
      <c r="P147" s="11"/>
      <c r="Q147" s="11"/>
      <c r="R147" s="12"/>
      <c r="T147" s="761" t="s">
        <v>524</v>
      </c>
      <c r="U147" s="517">
        <f>U145-U146</f>
        <v>66429480.48077926</v>
      </c>
      <c r="V147" s="307" t="s">
        <v>236</v>
      </c>
      <c r="W147" s="761" t="s">
        <v>525</v>
      </c>
      <c r="X147" s="764">
        <v>0.128</v>
      </c>
    </row>
    <row r="148" spans="1:24" ht="17" outlineLevel="1" thickBot="1" x14ac:dyDescent="0.25">
      <c r="A148"/>
      <c r="B148" s="166" t="s">
        <v>364</v>
      </c>
      <c r="C148" s="14">
        <f>Assumptions!F8</f>
        <v>0.12</v>
      </c>
      <c r="D148" s="14"/>
      <c r="E148" s="11">
        <f>E147*$C$148</f>
        <v>3378119.8960096156</v>
      </c>
      <c r="F148" s="11">
        <f>F147*$C$148</f>
        <v>5369563.7875333922</v>
      </c>
      <c r="G148" s="11">
        <f>G147*($C$148+0.5%)</f>
        <v>6264491.0854556244</v>
      </c>
      <c r="H148" s="11">
        <f>H147*$C$148</f>
        <v>5546517.8158669928</v>
      </c>
      <c r="I148" s="11">
        <f>(I147*$C$148)</f>
        <v>2236552.6857848773</v>
      </c>
      <c r="J148" s="11">
        <f>(J147*$C$148)</f>
        <v>0</v>
      </c>
      <c r="K148" s="11">
        <f>(K147*$C$148)</f>
        <v>0</v>
      </c>
      <c r="L148" s="11"/>
      <c r="M148" s="11"/>
      <c r="N148" s="11"/>
      <c r="O148" s="11"/>
      <c r="P148" s="11"/>
      <c r="Q148" s="11"/>
      <c r="R148" s="61">
        <f>SUM(E148:Q148)</f>
        <v>22795245.270650502</v>
      </c>
      <c r="S148" s="61">
        <v>30243724.290641136</v>
      </c>
      <c r="T148" s="761" t="s">
        <v>240</v>
      </c>
      <c r="U148" s="517">
        <f>U147*(1+Assumptions!F11)</f>
        <v>79715376.576935112</v>
      </c>
      <c r="V148" s="308">
        <f>U147+SUM(E148:F148)*X145+SUM(E149:F149)</f>
        <v>76366299.29427813</v>
      </c>
      <c r="W148" s="765" t="s">
        <v>526</v>
      </c>
      <c r="X148" s="767">
        <v>0.16300000000000001</v>
      </c>
    </row>
    <row r="149" spans="1:24" outlineLevel="1" x14ac:dyDescent="0.2">
      <c r="A149"/>
      <c r="B149" s="756" t="s">
        <v>527</v>
      </c>
      <c r="C149" s="14">
        <f>Assumptions!F9</f>
        <v>0.04</v>
      </c>
      <c r="D149" s="14"/>
      <c r="E149" s="11">
        <f>C147*$C$149</f>
        <v>2588764.5193227339</v>
      </c>
      <c r="F149" s="11"/>
      <c r="G149" s="114">
        <f>C147*Assumptions!F10</f>
        <v>1294382.2596613669</v>
      </c>
      <c r="H149" s="114">
        <f>H147/(1-X148)*C149</f>
        <v>2208888.0190629205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61">
        <f>SUM(E149:Q149)</f>
        <v>6092034.798047021</v>
      </c>
      <c r="S149" s="61">
        <v>5523788.098143572</v>
      </c>
      <c r="T149" s="766" t="s">
        <v>246</v>
      </c>
      <c r="U149" s="518">
        <f>Assumptions!F7</f>
        <v>0.81187740386080298</v>
      </c>
    </row>
    <row r="150" spans="1:24" outlineLevel="1" x14ac:dyDescent="0.2">
      <c r="A150"/>
      <c r="B150" s="166" t="s">
        <v>366</v>
      </c>
      <c r="C150" s="14">
        <v>0.85</v>
      </c>
      <c r="D150" s="14"/>
      <c r="E150" s="114"/>
      <c r="F150" s="32">
        <f>(MIN((F58+E208-F143-SUM(F148:F149)-SUM(F153:F155)-SUM(F159:F160))*$C$150,SUM(F147:F149)))</f>
        <v>2.37487256526947E-9</v>
      </c>
      <c r="G150" s="32">
        <f>(MIN((G58+F208-G143-SUM(G148:G149)-SUM(G153:G155)-SUM(G159:G160))*$C$150,SUM(G147:G149)))</f>
        <v>11453820.229870379</v>
      </c>
      <c r="H150" s="32">
        <f>(MIN((H58+G208-H143-SUM(H148:H149)-SUM(H153:H155)-SUM(H159:H160))*$C$150,SUM(H147:H149)))</f>
        <v>35338448.585614212</v>
      </c>
      <c r="I150" s="32">
        <f>(MIN((I58+H208-I143-SUM(I148:I149)-SUM(I153:I155)-SUM(I159:I160))*$C$150,SUM(I147:I149)))</f>
        <v>20874491.733992189</v>
      </c>
      <c r="J150" s="32">
        <f>(MIN((J58+I208-J143-SUM(J148:J149)-SUM(J153:J155)-SUM(J159:J160))*$C$150,SUM(J147:J149)))</f>
        <v>0</v>
      </c>
      <c r="K150" s="32"/>
      <c r="L150" s="92"/>
      <c r="M150" s="92"/>
      <c r="N150" s="92"/>
      <c r="O150" s="92"/>
      <c r="P150" s="92"/>
      <c r="Q150" s="92"/>
      <c r="R150" s="11">
        <f>SUM(E150:Q150)</f>
        <v>67666760.549476773</v>
      </c>
      <c r="T150" s="766" t="s">
        <v>248</v>
      </c>
      <c r="U150" s="517">
        <f>U148*U149</f>
        <v>64719112.98306834</v>
      </c>
      <c r="V150" s="307" t="s">
        <v>236</v>
      </c>
      <c r="W150" s="307" t="s">
        <v>528</v>
      </c>
    </row>
    <row r="151" spans="1:24" outlineLevel="1" x14ac:dyDescent="0.2">
      <c r="B151" s="166" t="s">
        <v>367</v>
      </c>
      <c r="C151" s="14"/>
      <c r="D151" s="14"/>
      <c r="E151" s="114">
        <f>SUM(E147:E149)-E150</f>
        <v>34117883.548745811</v>
      </c>
      <c r="F151" s="114">
        <f t="shared" ref="F151:L151" si="77">SUM(F147:F149)-F150</f>
        <v>50115928.683644995</v>
      </c>
      <c r="G151" s="114">
        <f t="shared" si="77"/>
        <v>46220981.798891611</v>
      </c>
      <c r="H151" s="114">
        <f t="shared" si="77"/>
        <v>18637939.048207313</v>
      </c>
      <c r="I151" s="114">
        <f t="shared" si="77"/>
        <v>0</v>
      </c>
      <c r="J151" s="114">
        <f t="shared" si="77"/>
        <v>0</v>
      </c>
      <c r="K151" s="114">
        <f t="shared" si="77"/>
        <v>0</v>
      </c>
      <c r="L151" s="114">
        <f t="shared" si="77"/>
        <v>0</v>
      </c>
      <c r="M151" s="114"/>
      <c r="N151" s="114"/>
      <c r="O151" s="114"/>
      <c r="P151" s="114"/>
      <c r="Q151" s="114"/>
      <c r="R151" s="11"/>
      <c r="T151" s="766" t="s">
        <v>529</v>
      </c>
      <c r="U151" s="640">
        <f>U148-U150</f>
        <v>14996263.593866773</v>
      </c>
      <c r="V151" s="308">
        <f>SUM(R46:R47)</f>
        <v>67666760.549476773</v>
      </c>
      <c r="W151" s="308">
        <f>MAX(E151:L151)</f>
        <v>50115928.683644995</v>
      </c>
    </row>
    <row r="152" spans="1:24" s="439" customFormat="1" ht="17" outlineLevel="1" thickBot="1" x14ac:dyDescent="0.25">
      <c r="A152" s="511"/>
      <c r="B152" s="449" t="s">
        <v>530</v>
      </c>
      <c r="C152" s="771">
        <v>4874000</v>
      </c>
      <c r="D152" s="509"/>
      <c r="E152" s="507"/>
      <c r="F152" s="774">
        <f>SUM($E150:F150)/$C152</f>
        <v>4.8725329611601767E-16</v>
      </c>
      <c r="G152" s="774">
        <f>SUM($E150:G150)/$C152</f>
        <v>2.3499836335392659</v>
      </c>
      <c r="H152" s="774">
        <f>SUM($E150:H150)/$C152</f>
        <v>9.6003834254174372</v>
      </c>
      <c r="I152" s="774">
        <f>SUM($E150:I150)/$C152</f>
        <v>13.883208976092895</v>
      </c>
      <c r="J152" s="774">
        <f>SUM($E150:J150)/$C152</f>
        <v>13.883208976092895</v>
      </c>
      <c r="K152" s="774"/>
      <c r="L152" s="507"/>
      <c r="M152" s="507"/>
      <c r="N152" s="507"/>
      <c r="O152" s="507"/>
      <c r="P152" s="507"/>
      <c r="Q152" s="507"/>
      <c r="R152" s="278"/>
      <c r="T152" s="772"/>
      <c r="U152" s="773"/>
      <c r="V152" s="307"/>
    </row>
    <row r="153" spans="1:24" outlineLevel="1" x14ac:dyDescent="0.2">
      <c r="B153" s="166" t="s">
        <v>531</v>
      </c>
      <c r="C153" s="14">
        <v>0.15</v>
      </c>
      <c r="D153" s="14"/>
      <c r="E153" s="114"/>
      <c r="F153" s="114">
        <f>$C$153*E156</f>
        <v>0</v>
      </c>
      <c r="G153" s="114">
        <f>$C$153*F156</f>
        <v>0</v>
      </c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61">
        <f>SUM(E153:Q153)</f>
        <v>0</v>
      </c>
    </row>
    <row r="154" spans="1:24" outlineLevel="1" x14ac:dyDescent="0.2">
      <c r="B154" s="166" t="s">
        <v>532</v>
      </c>
      <c r="C154" s="14">
        <v>0</v>
      </c>
      <c r="D154" s="14"/>
      <c r="E154" s="114">
        <f>E156*C154</f>
        <v>0</v>
      </c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61">
        <f>SUM(E154:Q154)</f>
        <v>0</v>
      </c>
    </row>
    <row r="155" spans="1:24" outlineLevel="1" x14ac:dyDescent="0.2">
      <c r="B155" s="166" t="s">
        <v>533</v>
      </c>
      <c r="C155" s="14"/>
      <c r="D155" s="14"/>
      <c r="E155" s="114"/>
      <c r="F155" s="114"/>
      <c r="G155" s="114">
        <f>(F156+G153+F154)</f>
        <v>0</v>
      </c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61">
        <f>SUM(E155:Q155)</f>
        <v>0</v>
      </c>
    </row>
    <row r="156" spans="1:24" outlineLevel="1" x14ac:dyDescent="0.2">
      <c r="B156" s="166" t="s">
        <v>534</v>
      </c>
      <c r="C156" s="14"/>
      <c r="D156" s="14"/>
      <c r="E156" s="114">
        <f>E44</f>
        <v>0</v>
      </c>
      <c r="F156" s="114">
        <f>E156+F153+E154-F155</f>
        <v>0</v>
      </c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"/>
    </row>
    <row r="157" spans="1:24" outlineLevel="1" x14ac:dyDescent="0.2">
      <c r="B157" s="166"/>
      <c r="C157" s="14"/>
      <c r="D157" s="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"/>
    </row>
    <row r="158" spans="1:24" hidden="1" outlineLevel="1" x14ac:dyDescent="0.2">
      <c r="B158" s="166" t="s">
        <v>535</v>
      </c>
      <c r="C158" s="14"/>
      <c r="D158" s="14"/>
      <c r="E158" s="114"/>
      <c r="F158" s="114">
        <f>F45</f>
        <v>0</v>
      </c>
      <c r="G158" s="114">
        <f>F163+G45</f>
        <v>0</v>
      </c>
      <c r="H158" s="114">
        <f>G163+H45</f>
        <v>0</v>
      </c>
      <c r="I158" s="114">
        <f>H163+I45</f>
        <v>0</v>
      </c>
      <c r="J158" s="114"/>
      <c r="K158" s="114"/>
      <c r="L158" s="114"/>
      <c r="M158" s="114"/>
      <c r="N158" s="114"/>
      <c r="O158" s="114"/>
      <c r="P158" s="114"/>
      <c r="Q158" s="114"/>
      <c r="R158" s="11"/>
    </row>
    <row r="159" spans="1:24" hidden="1" outlineLevel="1" x14ac:dyDescent="0.2">
      <c r="B159" s="166" t="s">
        <v>536</v>
      </c>
      <c r="C159" s="14">
        <f>Assumptions!K6</f>
        <v>0.11</v>
      </c>
      <c r="D159" s="14"/>
      <c r="E159" s="114"/>
      <c r="F159" s="114">
        <f>F158*$C$159</f>
        <v>0</v>
      </c>
      <c r="G159" s="114">
        <f>G158*$C$159</f>
        <v>0</v>
      </c>
      <c r="H159" s="114">
        <f t="shared" ref="H159:I159" si="78">H158*$C$159</f>
        <v>0</v>
      </c>
      <c r="I159" s="114">
        <f t="shared" si="78"/>
        <v>0</v>
      </c>
      <c r="J159" s="114"/>
      <c r="K159" s="114"/>
      <c r="L159" s="114"/>
      <c r="M159" s="114"/>
      <c r="N159" s="114"/>
      <c r="O159" s="114"/>
      <c r="P159" s="114"/>
      <c r="Q159" s="114"/>
      <c r="R159" s="61">
        <f>SUM(E159:Q159)</f>
        <v>0</v>
      </c>
    </row>
    <row r="160" spans="1:24" hidden="1" outlineLevel="1" x14ac:dyDescent="0.2">
      <c r="B160" s="166" t="s">
        <v>537</v>
      </c>
      <c r="C160" s="14">
        <v>0.01</v>
      </c>
      <c r="D160" s="14"/>
      <c r="E160" s="114"/>
      <c r="F160" s="114">
        <f>$C$160*F45</f>
        <v>0</v>
      </c>
      <c r="G160" s="114">
        <f>$C$160*G45</f>
        <v>0</v>
      </c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61">
        <f>SUM(E160:Q160)</f>
        <v>0</v>
      </c>
    </row>
    <row r="161" spans="2:22" hidden="1" outlineLevel="1" x14ac:dyDescent="0.2">
      <c r="B161" s="166" t="s">
        <v>538</v>
      </c>
      <c r="C161" s="14"/>
      <c r="D161" s="14"/>
      <c r="E161" s="114"/>
      <c r="F161" s="114"/>
      <c r="G161" s="114">
        <f>MIN(G58+F208-G143-SUM(G148:G150)-SUM(G159:G160),G158)</f>
        <v>0</v>
      </c>
      <c r="H161" s="114">
        <f>MIN(H58+G208-H143-SUM(H148:H150)-SUM(H159:H160),H158)</f>
        <v>0</v>
      </c>
      <c r="I161" s="114">
        <f>MIN(I58+H208-I143-SUM(I148:I150)-SUM(I159:I160),I158)</f>
        <v>0</v>
      </c>
      <c r="J161" s="114"/>
      <c r="K161" s="114"/>
      <c r="L161" s="114"/>
      <c r="M161" s="114"/>
      <c r="N161" s="114"/>
      <c r="O161" s="114"/>
      <c r="P161" s="114"/>
      <c r="Q161" s="114"/>
      <c r="R161" s="61">
        <f>SUM(E161:Q161)</f>
        <v>0</v>
      </c>
    </row>
    <row r="162" spans="2:22" hidden="1" outlineLevel="1" x14ac:dyDescent="0.2">
      <c r="B162" s="166" t="s">
        <v>539</v>
      </c>
      <c r="C162" s="14"/>
      <c r="D162" s="14"/>
      <c r="E162" s="114"/>
      <c r="F162" s="114"/>
      <c r="G162" s="114"/>
      <c r="I162" s="114">
        <f>F158*Assumptions!K8</f>
        <v>0</v>
      </c>
      <c r="J162" s="114"/>
      <c r="K162" s="114"/>
      <c r="L162" s="114"/>
      <c r="M162" s="114"/>
      <c r="N162" s="114"/>
      <c r="O162" s="114"/>
      <c r="P162" s="114"/>
      <c r="Q162" s="114"/>
      <c r="R162" s="61">
        <f>SUM(E162:Q162)</f>
        <v>0</v>
      </c>
    </row>
    <row r="163" spans="2:22" hidden="1" outlineLevel="1" x14ac:dyDescent="0.2">
      <c r="B163" s="166" t="s">
        <v>540</v>
      </c>
      <c r="C163" s="14"/>
      <c r="D163" s="14"/>
      <c r="E163" s="114"/>
      <c r="F163" s="114">
        <f>F158-F161</f>
        <v>0</v>
      </c>
      <c r="G163" s="114">
        <f t="shared" ref="G163:I163" si="79">G158-G161</f>
        <v>0</v>
      </c>
      <c r="H163" s="114">
        <f t="shared" si="79"/>
        <v>0</v>
      </c>
      <c r="I163" s="114">
        <f t="shared" si="79"/>
        <v>0</v>
      </c>
      <c r="J163" s="114"/>
      <c r="K163" s="114"/>
      <c r="L163" s="114"/>
      <c r="M163" s="114"/>
      <c r="N163" s="114"/>
      <c r="O163" s="114"/>
      <c r="P163" s="114"/>
      <c r="Q163" s="114"/>
      <c r="R163" s="11"/>
    </row>
    <row r="164" spans="2:22" hidden="1" outlineLevel="1" x14ac:dyDescent="0.2">
      <c r="B164" s="166"/>
      <c r="C164" s="14"/>
      <c r="D164" s="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"/>
    </row>
    <row r="165" spans="2:22" outlineLevel="1" x14ac:dyDescent="0.2">
      <c r="B165" s="166" t="s">
        <v>541</v>
      </c>
      <c r="C165" s="14">
        <v>3.5000000000000003E-2</v>
      </c>
      <c r="D165" s="14"/>
      <c r="E165" s="114">
        <f>C165*E40</f>
        <v>525000</v>
      </c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61">
        <f>SUM(E165:Q165)</f>
        <v>525000</v>
      </c>
    </row>
    <row r="166" spans="2:22" outlineLevel="1" x14ac:dyDescent="0.2">
      <c r="B166" s="166"/>
      <c r="C166" s="14"/>
      <c r="D166" s="14"/>
      <c r="E166" s="114"/>
      <c r="F166" s="770"/>
      <c r="G166" s="770">
        <f t="shared" ref="G166:I166" si="80">G150/(G150+G171)</f>
        <v>0.85</v>
      </c>
      <c r="H166" s="770">
        <f t="shared" si="80"/>
        <v>0.85</v>
      </c>
      <c r="I166" s="770">
        <f t="shared" si="80"/>
        <v>0.29050716668110566</v>
      </c>
      <c r="J166" s="770"/>
      <c r="K166" s="770"/>
      <c r="L166" s="114"/>
      <c r="M166" s="114"/>
      <c r="N166" s="114"/>
      <c r="O166" s="114"/>
      <c r="P166" s="114"/>
      <c r="Q166" s="114"/>
      <c r="R166" s="11"/>
    </row>
    <row r="167" spans="2:22" x14ac:dyDescent="0.2">
      <c r="B167" s="49" t="s">
        <v>368</v>
      </c>
      <c r="C167" s="50"/>
      <c r="D167" s="50"/>
      <c r="E167" s="51">
        <f t="shared" ref="E167" si="81">SUM(E148:E150)+SUM(E153:E155)+SUM(E159:E162)</f>
        <v>5966884.415332349</v>
      </c>
      <c r="F167" s="51">
        <f>SUM(F148:F150)+SUM(F153:F155)+SUM(F159:F162)</f>
        <v>5369563.787533395</v>
      </c>
      <c r="G167" s="51">
        <f>SUM(G148:G150)+SUM(G153:G155)+SUM(G159:G162)</f>
        <v>19012693.574987371</v>
      </c>
      <c r="H167" s="51">
        <f t="shared" ref="H167:L167" si="82">SUM(H148:H150)+SUM(H153:H155)+SUM(H159:H162)</f>
        <v>43093854.420544125</v>
      </c>
      <c r="I167" s="51">
        <f t="shared" si="82"/>
        <v>23111044.419777066</v>
      </c>
      <c r="J167" s="51">
        <f t="shared" si="82"/>
        <v>0</v>
      </c>
      <c r="K167" s="51">
        <f t="shared" si="82"/>
        <v>0</v>
      </c>
      <c r="L167" s="51">
        <f t="shared" si="82"/>
        <v>0</v>
      </c>
      <c r="M167" s="51"/>
      <c r="N167" s="51"/>
      <c r="O167" s="51"/>
      <c r="P167" s="51"/>
      <c r="Q167" s="51"/>
      <c r="R167" s="52">
        <f>SUM(E167:Q167)</f>
        <v>96554040.618174314</v>
      </c>
      <c r="S167" s="106"/>
    </row>
    <row r="168" spans="2:22" x14ac:dyDescent="0.2">
      <c r="B168" s="3"/>
      <c r="C168" s="31"/>
      <c r="D168" s="31"/>
      <c r="E168" s="24"/>
      <c r="F168" s="775"/>
      <c r="G168" s="775"/>
      <c r="H168" s="775"/>
      <c r="I168" s="775"/>
      <c r="J168" s="775"/>
      <c r="K168" s="24"/>
      <c r="L168" s="24"/>
      <c r="M168" s="24"/>
      <c r="N168" s="24"/>
      <c r="O168" s="24"/>
      <c r="P168" s="24"/>
      <c r="Q168" s="24"/>
      <c r="R168" s="23"/>
    </row>
    <row r="169" spans="2:22" x14ac:dyDescent="0.2">
      <c r="B169" s="81" t="s">
        <v>542</v>
      </c>
      <c r="E169" s="68"/>
      <c r="F169" s="68"/>
      <c r="G169" s="68"/>
      <c r="H169" s="68"/>
      <c r="I169" s="519"/>
      <c r="J169" s="519"/>
      <c r="K169" s="519"/>
      <c r="L169" s="519"/>
      <c r="M169" s="46"/>
      <c r="N169" s="46"/>
      <c r="O169" s="46"/>
      <c r="P169" s="46"/>
      <c r="Q169" s="46"/>
      <c r="R169" s="11"/>
    </row>
    <row r="170" spans="2:22" x14ac:dyDescent="0.2">
      <c r="B170" s="81"/>
      <c r="E170" s="68"/>
      <c r="F170" s="769"/>
      <c r="G170" s="769"/>
      <c r="H170" s="769"/>
      <c r="I170" s="769"/>
      <c r="J170" s="769"/>
      <c r="K170" s="769"/>
      <c r="L170" s="519"/>
      <c r="M170" s="46"/>
      <c r="N170" s="46"/>
      <c r="O170" s="46"/>
      <c r="P170" s="46"/>
      <c r="Q170" s="46"/>
      <c r="R170" s="11"/>
    </row>
    <row r="171" spans="2:22" x14ac:dyDescent="0.2">
      <c r="B171" s="430" t="s">
        <v>371</v>
      </c>
      <c r="C171" s="129"/>
      <c r="D171" s="129"/>
      <c r="E171" s="92"/>
      <c r="F171" s="92">
        <f t="shared" ref="F171:L171" si="83">MAX(F58-F143-F167,0)</f>
        <v>0</v>
      </c>
      <c r="G171" s="92">
        <f t="shared" si="83"/>
        <v>2021262.3935065381</v>
      </c>
      <c r="H171" s="92">
        <f t="shared" si="83"/>
        <v>6236196.8092260361</v>
      </c>
      <c r="I171" s="92">
        <f t="shared" si="83"/>
        <v>50980849.986050308</v>
      </c>
      <c r="J171" s="92">
        <f t="shared" si="83"/>
        <v>5505195.5449268147</v>
      </c>
      <c r="K171" s="92">
        <f t="shared" si="83"/>
        <v>39512449.047979444</v>
      </c>
      <c r="L171" s="92">
        <f t="shared" si="83"/>
        <v>0</v>
      </c>
      <c r="M171" s="92"/>
      <c r="N171" s="92"/>
      <c r="O171" s="92"/>
      <c r="P171" s="92"/>
      <c r="Q171" s="92"/>
      <c r="R171" s="32">
        <f>SUM(E171:Q171)</f>
        <v>104255953.78168914</v>
      </c>
    </row>
    <row r="172" spans="2:22" x14ac:dyDescent="0.2">
      <c r="B172" s="3"/>
      <c r="D172" s="129"/>
      <c r="E172" s="92"/>
      <c r="F172" s="92"/>
      <c r="G172" s="92"/>
      <c r="H172" s="92"/>
      <c r="I172" s="514"/>
      <c r="J172" s="514"/>
      <c r="K172" s="514"/>
      <c r="L172" s="514"/>
      <c r="M172" s="91"/>
      <c r="N172" s="91"/>
      <c r="O172" s="91"/>
      <c r="P172" s="91"/>
      <c r="Q172" s="91"/>
      <c r="R172" s="114"/>
    </row>
    <row r="173" spans="2:22" x14ac:dyDescent="0.2">
      <c r="B173" t="s">
        <v>543</v>
      </c>
      <c r="D173" s="129"/>
      <c r="E173" s="92"/>
      <c r="F173" s="92"/>
      <c r="G173" s="92"/>
      <c r="H173" s="92"/>
      <c r="I173" s="514"/>
      <c r="J173" s="514"/>
      <c r="K173" s="514"/>
      <c r="L173" s="514"/>
      <c r="M173" s="91"/>
      <c r="N173" s="91"/>
      <c r="O173" s="91"/>
      <c r="P173" s="91"/>
      <c r="Q173" s="91"/>
      <c r="R173" s="114"/>
    </row>
    <row r="174" spans="2:22" x14ac:dyDescent="0.2">
      <c r="B174" s="173" t="s">
        <v>544</v>
      </c>
      <c r="C174" s="62">
        <f>Assumptions!K5</f>
        <v>0.1</v>
      </c>
      <c r="D174" s="129"/>
      <c r="E174" s="92"/>
      <c r="F174" s="92">
        <f t="shared" ref="F174:K174" si="84">E176*$C$174</f>
        <v>1500000</v>
      </c>
      <c r="G174" s="92">
        <f t="shared" si="84"/>
        <v>1650000</v>
      </c>
      <c r="H174" s="92">
        <f t="shared" si="84"/>
        <v>1618123.7928402722</v>
      </c>
      <c r="I174" s="92">
        <f t="shared" si="84"/>
        <v>1172514.4049918933</v>
      </c>
      <c r="J174" s="92">
        <f t="shared" si="84"/>
        <v>0</v>
      </c>
      <c r="K174" s="92">
        <f t="shared" si="84"/>
        <v>0</v>
      </c>
      <c r="L174" s="92"/>
      <c r="M174" s="91"/>
      <c r="N174" s="91"/>
      <c r="O174" s="91"/>
      <c r="P174" s="91"/>
      <c r="Q174" s="91"/>
      <c r="R174" s="11">
        <f>SUM(E174:Q174)</f>
        <v>5940638.1978321653</v>
      </c>
    </row>
    <row r="175" spans="2:22" x14ac:dyDescent="0.2">
      <c r="B175" s="173" t="s">
        <v>32</v>
      </c>
      <c r="C175" s="62">
        <f>R40/R41</f>
        <v>0.97402597402597402</v>
      </c>
      <c r="D175" s="129"/>
      <c r="E175" s="92"/>
      <c r="F175" s="92"/>
      <c r="G175" s="92">
        <f>MIN(G171*$C$175,F176+G174)</f>
        <v>1968762.0715972774</v>
      </c>
      <c r="H175" s="92">
        <f>MIN(H171*$C$175,G176+H174)</f>
        <v>6074217.6713240612</v>
      </c>
      <c r="I175" s="92">
        <f>MIN(I171*$C$175,H176+I174)</f>
        <v>12897658.454910826</v>
      </c>
      <c r="J175" s="92">
        <f>MIN(J171*$C$175,I176+J174)</f>
        <v>0</v>
      </c>
      <c r="K175" s="92">
        <f>MIN(K171*$C$175,J176+K174)</f>
        <v>0</v>
      </c>
      <c r="L175" s="92"/>
      <c r="M175" s="92"/>
      <c r="N175" s="92"/>
      <c r="O175" s="92"/>
      <c r="P175" s="92"/>
      <c r="Q175" s="92"/>
      <c r="R175" s="11">
        <f>SUM(E175:Q175)</f>
        <v>20940638.197832163</v>
      </c>
    </row>
    <row r="176" spans="2:22" x14ac:dyDescent="0.2">
      <c r="B176" s="230" t="s">
        <v>545</v>
      </c>
      <c r="C176" s="239"/>
      <c r="D176" s="147"/>
      <c r="E176" s="92">
        <f>E40</f>
        <v>15000000</v>
      </c>
      <c r="F176" s="92">
        <f t="shared" ref="F176:K176" si="85">MAX(E176+F174-F175,0)</f>
        <v>16500000</v>
      </c>
      <c r="G176" s="92">
        <f t="shared" si="85"/>
        <v>16181237.928402722</v>
      </c>
      <c r="H176" s="92">
        <f t="shared" si="85"/>
        <v>11725144.049918933</v>
      </c>
      <c r="I176" s="92">
        <f t="shared" si="85"/>
        <v>0</v>
      </c>
      <c r="J176" s="92">
        <f t="shared" si="85"/>
        <v>0</v>
      </c>
      <c r="K176" s="92">
        <f t="shared" si="85"/>
        <v>0</v>
      </c>
      <c r="L176" s="92"/>
      <c r="M176" s="92"/>
      <c r="N176" s="92"/>
      <c r="O176" s="92"/>
      <c r="P176" s="92"/>
      <c r="Q176" s="92"/>
      <c r="R176" s="114"/>
      <c r="V176" s="308"/>
    </row>
    <row r="177" spans="2:22" x14ac:dyDescent="0.2">
      <c r="B177" s="230" t="s">
        <v>546</v>
      </c>
      <c r="C177" s="668">
        <f>IRR(E177:Q177)</f>
        <v>0.10000000000000009</v>
      </c>
      <c r="D177" s="147"/>
      <c r="E177" s="92">
        <f>-E176</f>
        <v>-15000000</v>
      </c>
      <c r="F177" s="32">
        <v>0</v>
      </c>
      <c r="G177" s="92">
        <f t="shared" ref="G177:L177" si="86">G175</f>
        <v>1968762.0715972774</v>
      </c>
      <c r="H177" s="92">
        <f>H175</f>
        <v>6074217.6713240612</v>
      </c>
      <c r="I177" s="92">
        <f>I175</f>
        <v>12897658.454910826</v>
      </c>
      <c r="J177" s="92">
        <f>J175</f>
        <v>0</v>
      </c>
      <c r="K177" s="92">
        <f t="shared" si="86"/>
        <v>0</v>
      </c>
      <c r="L177" s="92">
        <f t="shared" si="86"/>
        <v>0</v>
      </c>
      <c r="M177" s="92"/>
      <c r="N177" s="92"/>
      <c r="O177" s="92"/>
      <c r="P177" s="92"/>
      <c r="Q177" s="92"/>
      <c r="R177" s="11">
        <f>SUM(E177:Q177)</f>
        <v>5940638.1978321653</v>
      </c>
      <c r="V177" s="308"/>
    </row>
    <row r="178" spans="2:22" x14ac:dyDescent="0.2">
      <c r="C178" s="516"/>
      <c r="D178" s="129"/>
      <c r="E178" s="757"/>
      <c r="F178" s="92"/>
      <c r="G178" s="408"/>
      <c r="H178" s="92"/>
      <c r="I178" s="32"/>
      <c r="J178" s="514"/>
      <c r="K178" s="514"/>
      <c r="L178" s="514"/>
      <c r="M178" s="91"/>
      <c r="N178" s="91"/>
      <c r="O178" s="91"/>
      <c r="P178" s="91"/>
      <c r="Q178" s="91"/>
      <c r="R178" s="114"/>
      <c r="T178" s="146"/>
      <c r="U178" s="147"/>
    </row>
    <row r="179" spans="2:22" x14ac:dyDescent="0.2">
      <c r="B179" t="s">
        <v>547</v>
      </c>
      <c r="D179" s="129"/>
      <c r="E179" s="92"/>
      <c r="F179" s="92"/>
      <c r="G179" s="92"/>
      <c r="H179" s="92"/>
      <c r="I179" s="514"/>
      <c r="J179" s="514"/>
      <c r="K179" s="514"/>
      <c r="L179" s="514"/>
      <c r="M179" s="91"/>
      <c r="N179" s="91"/>
      <c r="O179" s="91"/>
      <c r="P179" s="91"/>
      <c r="Q179" s="91"/>
      <c r="R179" s="114"/>
    </row>
    <row r="180" spans="2:22" x14ac:dyDescent="0.2">
      <c r="B180" s="173" t="s">
        <v>544</v>
      </c>
      <c r="C180" s="62">
        <f>Assumptions!K5</f>
        <v>0.1</v>
      </c>
      <c r="D180" s="129"/>
      <c r="E180" s="92">
        <f>D182*$C$180</f>
        <v>0</v>
      </c>
      <c r="F180" s="92">
        <f t="shared" ref="F180:I180" si="87">E182*$C$180</f>
        <v>40000</v>
      </c>
      <c r="G180" s="92">
        <f t="shared" si="87"/>
        <v>44000</v>
      </c>
      <c r="H180" s="92">
        <f t="shared" si="87"/>
        <v>43149.967809073933</v>
      </c>
      <c r="I180" s="92">
        <f t="shared" si="87"/>
        <v>31267.050799783821</v>
      </c>
      <c r="J180" s="92"/>
      <c r="K180" s="92"/>
      <c r="L180" s="92"/>
      <c r="M180" s="91"/>
      <c r="N180" s="91"/>
      <c r="O180" s="91"/>
      <c r="P180" s="91"/>
      <c r="Q180" s="91"/>
      <c r="R180" s="11">
        <f>SUM(E180:Q180)</f>
        <v>158417.01860885776</v>
      </c>
    </row>
    <row r="181" spans="2:22" x14ac:dyDescent="0.2">
      <c r="B181" s="173" t="s">
        <v>32</v>
      </c>
      <c r="C181" s="62">
        <f>R39/R41</f>
        <v>2.5974025974025976E-2</v>
      </c>
      <c r="D181" s="129"/>
      <c r="E181" s="92"/>
      <c r="F181" s="92"/>
      <c r="G181" s="92">
        <f>MIN(G171*$C$181,F182+G180)</f>
        <v>52500.321909260732</v>
      </c>
      <c r="H181" s="92">
        <f>MIN(H171*$C$181,G182+H180)</f>
        <v>161979.13790197499</v>
      </c>
      <c r="I181" s="92">
        <f>MIN(I171*$C$181,H182+I180)</f>
        <v>343937.55879762204</v>
      </c>
      <c r="J181" s="92">
        <f>MIN(J171*$C$181,I182+J180)</f>
        <v>0</v>
      </c>
      <c r="K181" s="92"/>
      <c r="L181" s="92">
        <f>MIN(L171*$C$181,K182+SUM($E180:L180))</f>
        <v>0</v>
      </c>
      <c r="M181" s="91"/>
      <c r="N181" s="91"/>
      <c r="O181" s="91"/>
      <c r="P181" s="91"/>
      <c r="Q181" s="91"/>
      <c r="R181" s="11">
        <f>SUM(E181:Q181)</f>
        <v>558417.01860885776</v>
      </c>
    </row>
    <row r="182" spans="2:22" x14ac:dyDescent="0.2">
      <c r="B182" s="230" t="s">
        <v>545</v>
      </c>
      <c r="D182" s="129"/>
      <c r="E182" s="92">
        <f>MAX(D182+E39-E181,0)</f>
        <v>400000</v>
      </c>
      <c r="F182" s="92">
        <f>MAX(E182+F39+F180-F181,0)</f>
        <v>440000</v>
      </c>
      <c r="G182" s="92">
        <f>MAX(F182+G39+G180-G181,0)</f>
        <v>431499.6780907393</v>
      </c>
      <c r="H182" s="92">
        <f>MAX(G182+H39+H180-H181,0)</f>
        <v>312670.5079978382</v>
      </c>
      <c r="I182" s="92">
        <f>MAX(H182+I39-I181,0)</f>
        <v>0</v>
      </c>
      <c r="J182" s="92">
        <f>MAX(I182+J39-J181,0)</f>
        <v>0</v>
      </c>
      <c r="K182" s="92">
        <f>MAX(J182+K39-K181,0)</f>
        <v>0</v>
      </c>
      <c r="L182" s="92">
        <f>MAX(K182+L39-L181,0)</f>
        <v>0</v>
      </c>
      <c r="M182" s="92"/>
      <c r="N182" s="92"/>
      <c r="O182" s="92"/>
      <c r="P182" s="92"/>
      <c r="Q182" s="92"/>
      <c r="R182" s="114"/>
    </row>
    <row r="183" spans="2:22" x14ac:dyDescent="0.2">
      <c r="B183" s="230" t="s">
        <v>548</v>
      </c>
      <c r="C183" s="668">
        <f>IRR(E183:Q183)</f>
        <v>0.10000000000000009</v>
      </c>
      <c r="D183" s="129"/>
      <c r="E183" s="92">
        <f>-E182</f>
        <v>-400000</v>
      </c>
      <c r="F183" s="92">
        <f>F181</f>
        <v>0</v>
      </c>
      <c r="G183" s="92">
        <f t="shared" ref="G183:L183" si="88">G181</f>
        <v>52500.321909260732</v>
      </c>
      <c r="H183" s="92">
        <f t="shared" si="88"/>
        <v>161979.13790197499</v>
      </c>
      <c r="I183" s="92">
        <f t="shared" si="88"/>
        <v>343937.55879762204</v>
      </c>
      <c r="J183" s="92">
        <f t="shared" si="88"/>
        <v>0</v>
      </c>
      <c r="K183" s="92">
        <f t="shared" si="88"/>
        <v>0</v>
      </c>
      <c r="L183" s="92">
        <f t="shared" si="88"/>
        <v>0</v>
      </c>
      <c r="M183" s="92"/>
      <c r="N183" s="92"/>
      <c r="O183" s="92"/>
      <c r="P183" s="92"/>
      <c r="Q183" s="92"/>
      <c r="R183" s="11">
        <f>SUM(E183:Q183)</f>
        <v>158417.01860885773</v>
      </c>
    </row>
    <row r="184" spans="2:22" x14ac:dyDescent="0.2">
      <c r="B184" s="173"/>
      <c r="D184" s="129"/>
      <c r="E184" s="92"/>
      <c r="F184" s="92"/>
      <c r="G184" s="92"/>
      <c r="H184" s="92"/>
      <c r="I184" s="514"/>
      <c r="J184" s="514"/>
      <c r="K184" s="514"/>
      <c r="L184" s="514"/>
      <c r="M184" s="91"/>
      <c r="N184" s="91"/>
      <c r="O184" s="91"/>
      <c r="P184" s="91"/>
      <c r="Q184" s="91"/>
      <c r="R184" s="114"/>
    </row>
    <row r="185" spans="2:22" x14ac:dyDescent="0.2">
      <c r="B185" s="614" t="s">
        <v>549</v>
      </c>
      <c r="C185" s="409">
        <v>1</v>
      </c>
      <c r="D185" s="616"/>
      <c r="E185" s="77">
        <f t="shared" ref="E185:H185" si="89">E171-E175-E181</f>
        <v>0</v>
      </c>
      <c r="F185" s="77">
        <f t="shared" si="89"/>
        <v>0</v>
      </c>
      <c r="G185" s="77">
        <f t="shared" si="89"/>
        <v>0</v>
      </c>
      <c r="H185" s="77">
        <f t="shared" si="89"/>
        <v>0</v>
      </c>
      <c r="I185" s="77">
        <f>I171-I175-I181</f>
        <v>37739253.972341858</v>
      </c>
      <c r="J185" s="77">
        <f t="shared" ref="J185:L185" si="90">J171-J175-J181</f>
        <v>5505195.5449268147</v>
      </c>
      <c r="K185" s="77">
        <f t="shared" si="90"/>
        <v>39512449.047979444</v>
      </c>
      <c r="L185" s="77">
        <f t="shared" si="90"/>
        <v>0</v>
      </c>
      <c r="M185" s="77"/>
      <c r="N185" s="77"/>
      <c r="O185" s="77"/>
      <c r="P185" s="77"/>
      <c r="Q185" s="77"/>
      <c r="R185" s="22"/>
      <c r="T185" s="146"/>
      <c r="U185" s="147"/>
    </row>
    <row r="186" spans="2:22" x14ac:dyDescent="0.2">
      <c r="C186" s="516"/>
      <c r="D186" s="129"/>
      <c r="E186" s="92"/>
      <c r="F186" s="92"/>
      <c r="G186" s="92"/>
      <c r="H186" s="92"/>
      <c r="I186" s="514"/>
      <c r="J186" s="514"/>
      <c r="K186" s="514"/>
      <c r="L186" s="514"/>
      <c r="M186" s="91"/>
      <c r="N186" s="91"/>
      <c r="O186" s="91"/>
      <c r="P186" s="91"/>
      <c r="Q186" s="91"/>
      <c r="R186" s="114"/>
      <c r="T186" s="146"/>
      <c r="U186" s="147"/>
    </row>
    <row r="187" spans="2:22" x14ac:dyDescent="0.2">
      <c r="B187" s="242" t="s">
        <v>550</v>
      </c>
      <c r="D187" s="129"/>
      <c r="E187" s="92"/>
      <c r="F187" s="92"/>
      <c r="G187" s="92"/>
      <c r="H187" s="515"/>
      <c r="I187" s="515"/>
      <c r="J187" s="515"/>
      <c r="K187" s="514"/>
      <c r="L187" s="514"/>
      <c r="M187" s="91"/>
      <c r="N187" s="91"/>
      <c r="O187" s="91"/>
      <c r="P187" s="91"/>
      <c r="Q187" s="91"/>
      <c r="R187" s="114">
        <f t="shared" ref="R187:R204" si="91">SUM(E187:Q187)</f>
        <v>0</v>
      </c>
      <c r="T187" s="146"/>
      <c r="U187" s="147"/>
    </row>
    <row r="188" spans="2:22" x14ac:dyDescent="0.2">
      <c r="B188" s="173" t="s">
        <v>551</v>
      </c>
      <c r="C188" s="668">
        <f>IRR(E188:Q188)</f>
        <v>0.10000000000000009</v>
      </c>
      <c r="D188" s="114"/>
      <c r="E188" s="114">
        <f>E177+E189+E183+E190</f>
        <v>-15400000</v>
      </c>
      <c r="F188" s="114">
        <f>F177+F189+F183+F190</f>
        <v>0</v>
      </c>
      <c r="G188" s="114">
        <f t="shared" ref="G188:L188" si="92">G177+G189+G183+G190</f>
        <v>2021262.3935065381</v>
      </c>
      <c r="H188" s="114">
        <f t="shared" si="92"/>
        <v>6236196.8092260361</v>
      </c>
      <c r="I188" s="114">
        <f>I175+I189+I181+I190</f>
        <v>13241596.013708448</v>
      </c>
      <c r="J188" s="114">
        <f t="shared" si="92"/>
        <v>0</v>
      </c>
      <c r="K188" s="114">
        <f t="shared" si="92"/>
        <v>0</v>
      </c>
      <c r="L188" s="114">
        <f t="shared" si="92"/>
        <v>0</v>
      </c>
      <c r="M188" s="114">
        <f t="shared" ref="M188:Q188" si="93">M177+M189</f>
        <v>0</v>
      </c>
      <c r="N188" s="114">
        <f t="shared" si="93"/>
        <v>0</v>
      </c>
      <c r="O188" s="114">
        <f t="shared" si="93"/>
        <v>0</v>
      </c>
      <c r="P188" s="114">
        <f t="shared" si="93"/>
        <v>0</v>
      </c>
      <c r="Q188" s="114">
        <f t="shared" si="93"/>
        <v>0</v>
      </c>
      <c r="R188" s="114">
        <f t="shared" si="91"/>
        <v>6099055.2164410222</v>
      </c>
      <c r="T188" s="146"/>
      <c r="U188" s="147"/>
    </row>
    <row r="189" spans="2:22" x14ac:dyDescent="0.2">
      <c r="B189" s="230" t="s">
        <v>552</v>
      </c>
      <c r="C189" s="84">
        <f>C175</f>
        <v>0.97402597402597402</v>
      </c>
      <c r="D189" s="92"/>
      <c r="E189" s="92">
        <f t="shared" ref="E189:Q189" si="94">E187*$C$189</f>
        <v>0</v>
      </c>
      <c r="F189" s="92">
        <f t="shared" si="94"/>
        <v>0</v>
      </c>
      <c r="G189" s="92">
        <f t="shared" si="94"/>
        <v>0</v>
      </c>
      <c r="H189" s="92">
        <f t="shared" si="94"/>
        <v>0</v>
      </c>
      <c r="I189" s="92">
        <f t="shared" si="94"/>
        <v>0</v>
      </c>
      <c r="J189" s="92">
        <f t="shared" si="94"/>
        <v>0</v>
      </c>
      <c r="K189" s="92">
        <f t="shared" si="94"/>
        <v>0</v>
      </c>
      <c r="L189" s="92">
        <f t="shared" si="94"/>
        <v>0</v>
      </c>
      <c r="M189" s="92">
        <f t="shared" si="94"/>
        <v>0</v>
      </c>
      <c r="N189" s="92">
        <f t="shared" si="94"/>
        <v>0</v>
      </c>
      <c r="O189" s="92">
        <f t="shared" si="94"/>
        <v>0</v>
      </c>
      <c r="P189" s="92">
        <f t="shared" si="94"/>
        <v>0</v>
      </c>
      <c r="Q189" s="92">
        <f t="shared" si="94"/>
        <v>0</v>
      </c>
      <c r="R189" s="11">
        <f t="shared" si="91"/>
        <v>0</v>
      </c>
      <c r="T189" s="146"/>
      <c r="U189" s="147"/>
    </row>
    <row r="190" spans="2:22" x14ac:dyDescent="0.2">
      <c r="B190" s="667" t="s">
        <v>553</v>
      </c>
      <c r="C190" s="54">
        <f>1-C189</f>
        <v>2.5974025974025983E-2</v>
      </c>
      <c r="D190" s="77"/>
      <c r="E190" s="77">
        <f t="shared" ref="E190:Q190" si="95">E187-E189</f>
        <v>0</v>
      </c>
      <c r="F190" s="77">
        <f t="shared" si="95"/>
        <v>0</v>
      </c>
      <c r="G190" s="77">
        <f t="shared" si="95"/>
        <v>0</v>
      </c>
      <c r="H190" s="77">
        <f t="shared" si="95"/>
        <v>0</v>
      </c>
      <c r="I190" s="77">
        <f t="shared" si="95"/>
        <v>0</v>
      </c>
      <c r="J190" s="77">
        <f t="shared" si="95"/>
        <v>0</v>
      </c>
      <c r="K190" s="77">
        <f t="shared" si="95"/>
        <v>0</v>
      </c>
      <c r="L190" s="77">
        <f t="shared" si="95"/>
        <v>0</v>
      </c>
      <c r="M190" s="77">
        <f t="shared" si="95"/>
        <v>0</v>
      </c>
      <c r="N190" s="77">
        <f t="shared" si="95"/>
        <v>0</v>
      </c>
      <c r="O190" s="77">
        <f t="shared" si="95"/>
        <v>0</v>
      </c>
      <c r="P190" s="77">
        <f t="shared" si="95"/>
        <v>0</v>
      </c>
      <c r="Q190" s="77">
        <f t="shared" si="95"/>
        <v>0</v>
      </c>
      <c r="R190" s="45">
        <f t="shared" si="91"/>
        <v>0</v>
      </c>
      <c r="T190" s="146"/>
      <c r="U190" s="147"/>
    </row>
    <row r="191" spans="2:22" x14ac:dyDescent="0.2">
      <c r="B191" s="242" t="s">
        <v>554</v>
      </c>
      <c r="C191" s="84">
        <v>0.7</v>
      </c>
      <c r="D191" s="129"/>
      <c r="E191" s="92"/>
      <c r="F191" s="92"/>
      <c r="G191" s="92"/>
      <c r="H191" s="515"/>
      <c r="I191" s="515">
        <v>19867179.414608981</v>
      </c>
      <c r="J191" s="515"/>
      <c r="K191" s="514"/>
      <c r="L191" s="514"/>
      <c r="M191" s="91"/>
      <c r="N191" s="91"/>
      <c r="O191" s="91"/>
      <c r="P191" s="91"/>
      <c r="Q191" s="91"/>
      <c r="R191" s="114">
        <f t="shared" si="91"/>
        <v>19867179.414608981</v>
      </c>
      <c r="T191" s="146"/>
      <c r="U191" s="147"/>
    </row>
    <row r="192" spans="2:22" x14ac:dyDescent="0.2">
      <c r="B192" s="173" t="s">
        <v>555</v>
      </c>
      <c r="C192" s="668">
        <f>IRR(E192:Q192)</f>
        <v>0.25131134942074573</v>
      </c>
      <c r="D192" s="114"/>
      <c r="E192" s="114">
        <f t="shared" ref="E192:Q192" si="96">E188+E193</f>
        <v>-15400000</v>
      </c>
      <c r="F192" s="114">
        <f t="shared" si="96"/>
        <v>0</v>
      </c>
      <c r="G192" s="114">
        <f t="shared" si="96"/>
        <v>2021262.3935065381</v>
      </c>
      <c r="H192" s="114">
        <f t="shared" si="96"/>
        <v>6236196.8092260361</v>
      </c>
      <c r="I192" s="114">
        <f t="shared" si="96"/>
        <v>26787400.160032753</v>
      </c>
      <c r="J192" s="114">
        <f t="shared" si="96"/>
        <v>0</v>
      </c>
      <c r="K192" s="114">
        <f t="shared" si="96"/>
        <v>0</v>
      </c>
      <c r="L192" s="114">
        <f t="shared" si="96"/>
        <v>0</v>
      </c>
      <c r="M192" s="114">
        <f t="shared" si="96"/>
        <v>0</v>
      </c>
      <c r="N192" s="114">
        <f t="shared" si="96"/>
        <v>0</v>
      </c>
      <c r="O192" s="114">
        <f t="shared" si="96"/>
        <v>0</v>
      </c>
      <c r="P192" s="114">
        <f t="shared" si="96"/>
        <v>0</v>
      </c>
      <c r="Q192" s="114">
        <f t="shared" si="96"/>
        <v>0</v>
      </c>
      <c r="R192" s="114">
        <f t="shared" si="91"/>
        <v>19644859.362765327</v>
      </c>
      <c r="T192" s="146"/>
      <c r="U192" s="147"/>
    </row>
    <row r="193" spans="1:35" x14ac:dyDescent="0.2">
      <c r="B193" s="230" t="s">
        <v>552</v>
      </c>
      <c r="C193" s="43">
        <f>C189</f>
        <v>0.97402597402597402</v>
      </c>
      <c r="D193" s="92"/>
      <c r="E193" s="92">
        <f>E191*$C$191*$C$193</f>
        <v>0</v>
      </c>
      <c r="F193" s="92">
        <f t="shared" ref="F193:L193" si="97">F191*$C$191*$C$193</f>
        <v>0</v>
      </c>
      <c r="G193" s="92">
        <f t="shared" si="97"/>
        <v>0</v>
      </c>
      <c r="H193" s="92">
        <f t="shared" si="97"/>
        <v>0</v>
      </c>
      <c r="I193" s="92">
        <f t="shared" si="97"/>
        <v>13545804.146324305</v>
      </c>
      <c r="J193" s="92">
        <f t="shared" si="97"/>
        <v>0</v>
      </c>
      <c r="K193" s="92">
        <f t="shared" si="97"/>
        <v>0</v>
      </c>
      <c r="L193" s="92">
        <f t="shared" si="97"/>
        <v>0</v>
      </c>
      <c r="M193" s="92">
        <f t="shared" ref="M193:Q193" si="98">M191*$C$191</f>
        <v>0</v>
      </c>
      <c r="N193" s="92">
        <f t="shared" si="98"/>
        <v>0</v>
      </c>
      <c r="O193" s="92">
        <f t="shared" si="98"/>
        <v>0</v>
      </c>
      <c r="P193" s="92">
        <f t="shared" si="98"/>
        <v>0</v>
      </c>
      <c r="Q193" s="92">
        <f t="shared" si="98"/>
        <v>0</v>
      </c>
      <c r="R193" s="11">
        <f t="shared" si="91"/>
        <v>13545804.146324305</v>
      </c>
      <c r="T193" s="146"/>
      <c r="U193" s="147"/>
    </row>
    <row r="194" spans="1:35" x14ac:dyDescent="0.2">
      <c r="B194" s="667" t="s">
        <v>553</v>
      </c>
      <c r="C194" s="43">
        <f>1-C189</f>
        <v>2.5974025974025983E-2</v>
      </c>
      <c r="D194" s="92"/>
      <c r="E194" s="92">
        <f>E191*$C$191*$C$194</f>
        <v>0</v>
      </c>
      <c r="F194" s="92">
        <f t="shared" ref="F194:L194" si="99">F191*$C$191*$C$194</f>
        <v>0</v>
      </c>
      <c r="G194" s="92">
        <f t="shared" si="99"/>
        <v>0</v>
      </c>
      <c r="H194" s="92">
        <f t="shared" si="99"/>
        <v>0</v>
      </c>
      <c r="I194" s="92">
        <f t="shared" si="99"/>
        <v>361221.44390198158</v>
      </c>
      <c r="J194" s="92">
        <f t="shared" si="99"/>
        <v>0</v>
      </c>
      <c r="K194" s="92">
        <f t="shared" si="99"/>
        <v>0</v>
      </c>
      <c r="L194" s="92">
        <f t="shared" si="99"/>
        <v>0</v>
      </c>
      <c r="M194" s="92"/>
      <c r="N194" s="92"/>
      <c r="O194" s="92"/>
      <c r="P194" s="92"/>
      <c r="Q194" s="92"/>
      <c r="R194" s="11">
        <f t="shared" si="91"/>
        <v>361221.44390198158</v>
      </c>
      <c r="T194" s="146"/>
      <c r="U194" s="147"/>
    </row>
    <row r="195" spans="1:35" x14ac:dyDescent="0.2">
      <c r="B195" s="667" t="s">
        <v>556</v>
      </c>
      <c r="C195" s="409">
        <f>1-C191</f>
        <v>0.30000000000000004</v>
      </c>
      <c r="D195" s="77"/>
      <c r="E195" s="77">
        <f>E191*$C$195</f>
        <v>0</v>
      </c>
      <c r="F195" s="77">
        <f t="shared" ref="F195:L195" si="100">F191*$C$195</f>
        <v>0</v>
      </c>
      <c r="G195" s="77">
        <f t="shared" si="100"/>
        <v>0</v>
      </c>
      <c r="H195" s="77">
        <f t="shared" si="100"/>
        <v>0</v>
      </c>
      <c r="I195" s="77">
        <f t="shared" si="100"/>
        <v>5960153.8243826954</v>
      </c>
      <c r="J195" s="77">
        <f t="shared" si="100"/>
        <v>0</v>
      </c>
      <c r="K195" s="77">
        <f t="shared" si="100"/>
        <v>0</v>
      </c>
      <c r="L195" s="77">
        <f t="shared" si="100"/>
        <v>0</v>
      </c>
      <c r="M195" s="77">
        <f t="shared" ref="M195:Q195" si="101">M191-M193</f>
        <v>0</v>
      </c>
      <c r="N195" s="77">
        <f t="shared" si="101"/>
        <v>0</v>
      </c>
      <c r="O195" s="77">
        <f t="shared" si="101"/>
        <v>0</v>
      </c>
      <c r="P195" s="77">
        <f t="shared" si="101"/>
        <v>0</v>
      </c>
      <c r="Q195" s="77">
        <f t="shared" si="101"/>
        <v>0</v>
      </c>
      <c r="R195" s="45">
        <f t="shared" si="91"/>
        <v>5960153.8243826954</v>
      </c>
      <c r="T195" s="146"/>
      <c r="U195" s="147"/>
    </row>
    <row r="196" spans="1:35" x14ac:dyDescent="0.2">
      <c r="B196" s="242" t="s">
        <v>557</v>
      </c>
      <c r="C196" s="84">
        <v>0.5</v>
      </c>
      <c r="D196" s="129"/>
      <c r="E196" s="92">
        <f>MAX(E185-E187-E191,0)</f>
        <v>0</v>
      </c>
      <c r="F196" s="92">
        <f t="shared" ref="F196:H196" si="102">MAX(F185-F187-F191,0)</f>
        <v>0</v>
      </c>
      <c r="G196" s="92">
        <f t="shared" si="102"/>
        <v>0</v>
      </c>
      <c r="H196" s="92">
        <f t="shared" si="102"/>
        <v>0</v>
      </c>
      <c r="I196" s="92">
        <f>MAX(I185-I187-I191,0)</f>
        <v>17872074.557732876</v>
      </c>
      <c r="J196" s="92">
        <f t="shared" ref="J196:L196" si="103">MAX(J185-J187-J191,0)</f>
        <v>5505195.5449268147</v>
      </c>
      <c r="K196" s="92">
        <f t="shared" si="103"/>
        <v>39512449.047979444</v>
      </c>
      <c r="L196" s="92">
        <f t="shared" si="103"/>
        <v>0</v>
      </c>
      <c r="M196" s="92"/>
      <c r="N196" s="92"/>
      <c r="O196" s="92"/>
      <c r="P196" s="92"/>
      <c r="Q196" s="92"/>
      <c r="R196" s="114">
        <f t="shared" si="91"/>
        <v>62889719.150639132</v>
      </c>
      <c r="T196" s="146"/>
      <c r="U196" s="147"/>
    </row>
    <row r="197" spans="1:35" x14ac:dyDescent="0.2">
      <c r="B197" s="173" t="s">
        <v>555</v>
      </c>
      <c r="C197" s="668">
        <f>IRR(E197:Q197)</f>
        <v>0.40436390756035845</v>
      </c>
      <c r="D197" s="114"/>
      <c r="E197" s="114">
        <f>E192+E198</f>
        <v>-15400000</v>
      </c>
      <c r="F197" s="114">
        <f t="shared" ref="F197:I197" si="104">F192+F198</f>
        <v>0</v>
      </c>
      <c r="G197" s="114">
        <f t="shared" si="104"/>
        <v>2021262.3935065381</v>
      </c>
      <c r="H197" s="114">
        <f t="shared" si="104"/>
        <v>6236196.8092260361</v>
      </c>
      <c r="I197" s="114">
        <f t="shared" si="104"/>
        <v>35491332.574513048</v>
      </c>
      <c r="J197" s="114">
        <f t="shared" ref="J197:L197" si="105">J192+J198</f>
        <v>2681101.7264253967</v>
      </c>
      <c r="K197" s="114">
        <f t="shared" si="105"/>
        <v>19243075.835054923</v>
      </c>
      <c r="L197" s="114">
        <f t="shared" si="105"/>
        <v>0</v>
      </c>
      <c r="M197" s="114"/>
      <c r="N197" s="114"/>
      <c r="O197" s="114"/>
      <c r="P197" s="114"/>
      <c r="Q197" s="114"/>
      <c r="R197" s="114">
        <f t="shared" si="91"/>
        <v>50272969.338725939</v>
      </c>
      <c r="T197" s="146"/>
      <c r="U197" s="147"/>
    </row>
    <row r="198" spans="1:35" x14ac:dyDescent="0.2">
      <c r="B198" s="230" t="s">
        <v>552</v>
      </c>
      <c r="C198" s="43">
        <f>C193</f>
        <v>0.97402597402597402</v>
      </c>
      <c r="D198" s="92"/>
      <c r="E198" s="92">
        <f>E196*$C$196*$C$198</f>
        <v>0</v>
      </c>
      <c r="F198" s="92">
        <f t="shared" ref="F198:H198" si="106">F196*$C$196*$C$198</f>
        <v>0</v>
      </c>
      <c r="G198" s="92">
        <f t="shared" si="106"/>
        <v>0</v>
      </c>
      <c r="H198" s="92">
        <f t="shared" si="106"/>
        <v>0</v>
      </c>
      <c r="I198" s="92">
        <f>I196*$C$196*$C$198</f>
        <v>8703932.4144802969</v>
      </c>
      <c r="J198" s="92">
        <f t="shared" ref="J198:L198" si="107">J196*$C$196*$C$198</f>
        <v>2681101.7264253967</v>
      </c>
      <c r="K198" s="92">
        <f t="shared" si="107"/>
        <v>19243075.835054923</v>
      </c>
      <c r="L198" s="92">
        <f t="shared" si="107"/>
        <v>0</v>
      </c>
      <c r="M198" s="92"/>
      <c r="N198" s="92"/>
      <c r="O198" s="92"/>
      <c r="P198" s="92"/>
      <c r="Q198" s="92"/>
      <c r="R198" s="11">
        <f t="shared" si="91"/>
        <v>30628109.975960616</v>
      </c>
      <c r="T198" s="146"/>
      <c r="U198" s="147"/>
    </row>
    <row r="199" spans="1:35" x14ac:dyDescent="0.2">
      <c r="B199" s="667" t="s">
        <v>553</v>
      </c>
      <c r="C199" s="43">
        <f>C194</f>
        <v>2.5974025974025983E-2</v>
      </c>
      <c r="D199" s="92"/>
      <c r="E199" s="92">
        <f>E196*$C$196*$C$199</f>
        <v>0</v>
      </c>
      <c r="F199" s="92">
        <f t="shared" ref="F199:I199" si="108">F196*$C$196*$C$199</f>
        <v>0</v>
      </c>
      <c r="G199" s="92">
        <f t="shared" si="108"/>
        <v>0</v>
      </c>
      <c r="H199" s="92">
        <f t="shared" si="108"/>
        <v>0</v>
      </c>
      <c r="I199" s="92">
        <f t="shared" si="108"/>
        <v>232104.86438614133</v>
      </c>
      <c r="J199" s="92">
        <f t="shared" ref="J199:L199" si="109">J196*$C$196*$C$199</f>
        <v>71496.046038010609</v>
      </c>
      <c r="K199" s="92">
        <f t="shared" si="109"/>
        <v>513148.68893479812</v>
      </c>
      <c r="L199" s="92">
        <f t="shared" si="109"/>
        <v>0</v>
      </c>
      <c r="M199" s="92"/>
      <c r="N199" s="92"/>
      <c r="O199" s="92"/>
      <c r="P199" s="92"/>
      <c r="Q199" s="92"/>
      <c r="R199" s="11">
        <f t="shared" si="91"/>
        <v>816749.59935895004</v>
      </c>
      <c r="T199" s="146"/>
      <c r="U199" s="147"/>
    </row>
    <row r="200" spans="1:35" x14ac:dyDescent="0.2">
      <c r="B200" s="614" t="s">
        <v>558</v>
      </c>
      <c r="C200" s="409">
        <f>1-C196</f>
        <v>0.5</v>
      </c>
      <c r="D200" s="77"/>
      <c r="E200" s="77">
        <f>E185</f>
        <v>0</v>
      </c>
      <c r="F200" s="77">
        <f t="shared" ref="F200:H200" si="110">F185</f>
        <v>0</v>
      </c>
      <c r="G200" s="77">
        <f t="shared" si="110"/>
        <v>0</v>
      </c>
      <c r="H200" s="77">
        <f t="shared" si="110"/>
        <v>0</v>
      </c>
      <c r="I200" s="77">
        <f>I196*$C$200</f>
        <v>8936037.2788664382</v>
      </c>
      <c r="J200" s="77">
        <f t="shared" ref="J200:L200" si="111">J196*$C$200</f>
        <v>2752597.7724634074</v>
      </c>
      <c r="K200" s="77">
        <f t="shared" si="111"/>
        <v>19756224.523989722</v>
      </c>
      <c r="L200" s="77">
        <f t="shared" si="111"/>
        <v>0</v>
      </c>
      <c r="M200" s="77"/>
      <c r="N200" s="77"/>
      <c r="O200" s="77"/>
      <c r="P200" s="77"/>
      <c r="Q200" s="77"/>
      <c r="R200" s="45">
        <f t="shared" si="91"/>
        <v>31444859.575319566</v>
      </c>
      <c r="T200" s="146"/>
      <c r="U200" s="147"/>
    </row>
    <row r="201" spans="1:35" s="439" customFormat="1" x14ac:dyDescent="0.2">
      <c r="A201" s="511"/>
      <c r="B201" s="430" t="s">
        <v>559</v>
      </c>
      <c r="C201" s="40"/>
      <c r="D201" s="92"/>
      <c r="E201" s="92">
        <f>E175+E189+E193+E198</f>
        <v>0</v>
      </c>
      <c r="F201" s="92">
        <f t="shared" ref="F201:H201" si="112">F175+F189+F193+F198</f>
        <v>0</v>
      </c>
      <c r="G201" s="92">
        <f t="shared" si="112"/>
        <v>1968762.0715972774</v>
      </c>
      <c r="H201" s="92">
        <f t="shared" si="112"/>
        <v>6074217.6713240612</v>
      </c>
      <c r="I201" s="92">
        <f>I175+I189+I193+I198</f>
        <v>35147395.015715428</v>
      </c>
      <c r="J201" s="92">
        <f t="shared" ref="J201:L201" si="113">J175+J189+J193+J198</f>
        <v>2681101.7264253967</v>
      </c>
      <c r="K201" s="92">
        <f t="shared" si="113"/>
        <v>19243075.835054923</v>
      </c>
      <c r="L201" s="92">
        <f t="shared" si="113"/>
        <v>0</v>
      </c>
      <c r="M201" s="92"/>
      <c r="N201" s="92"/>
      <c r="O201" s="92"/>
      <c r="P201" s="92"/>
      <c r="Q201" s="92"/>
      <c r="R201" s="11">
        <f>SUM(E201:Q201)</f>
        <v>65114552.320117086</v>
      </c>
    </row>
    <row r="202" spans="1:35" s="439" customFormat="1" x14ac:dyDescent="0.2">
      <c r="A202" s="511"/>
      <c r="B202" s="430" t="s">
        <v>560</v>
      </c>
      <c r="C202" s="40"/>
      <c r="D202" s="92"/>
      <c r="E202" s="92">
        <f>E181+E190+E194+E199</f>
        <v>0</v>
      </c>
      <c r="F202" s="92">
        <f t="shared" ref="F202:I202" si="114">F181+F190+F194+F199</f>
        <v>0</v>
      </c>
      <c r="G202" s="92">
        <f t="shared" si="114"/>
        <v>52500.321909260732</v>
      </c>
      <c r="H202" s="92">
        <f t="shared" si="114"/>
        <v>161979.13790197499</v>
      </c>
      <c r="I202" s="92">
        <f t="shared" si="114"/>
        <v>937263.86708574486</v>
      </c>
      <c r="J202" s="92">
        <f t="shared" ref="J202:L202" si="115">J181+J190+J194+J199</f>
        <v>71496.046038010609</v>
      </c>
      <c r="K202" s="92">
        <f t="shared" si="115"/>
        <v>513148.68893479812</v>
      </c>
      <c r="L202" s="92">
        <f t="shared" si="115"/>
        <v>0</v>
      </c>
      <c r="M202" s="92"/>
      <c r="N202" s="92"/>
      <c r="O202" s="92"/>
      <c r="P202" s="92"/>
      <c r="Q202" s="92"/>
      <c r="R202" s="11">
        <f t="shared" si="91"/>
        <v>1736388.0618697894</v>
      </c>
    </row>
    <row r="203" spans="1:35" s="439" customFormat="1" x14ac:dyDescent="0.2">
      <c r="A203" s="511"/>
      <c r="B203" s="430" t="s">
        <v>561</v>
      </c>
      <c r="C203" s="40"/>
      <c r="D203" s="92"/>
      <c r="E203" s="92">
        <f>E195+E200</f>
        <v>0</v>
      </c>
      <c r="F203" s="92">
        <f t="shared" ref="F203:I203" si="116">F195+F200</f>
        <v>0</v>
      </c>
      <c r="G203" s="92">
        <f t="shared" si="116"/>
        <v>0</v>
      </c>
      <c r="H203" s="92">
        <f t="shared" si="116"/>
        <v>0</v>
      </c>
      <c r="I203" s="92">
        <f t="shared" si="116"/>
        <v>14896191.103249133</v>
      </c>
      <c r="J203" s="92">
        <f t="shared" ref="J203:L203" si="117">J195+J200</f>
        <v>2752597.7724634074</v>
      </c>
      <c r="K203" s="92">
        <f t="shared" si="117"/>
        <v>19756224.523989722</v>
      </c>
      <c r="L203" s="92">
        <f t="shared" si="117"/>
        <v>0</v>
      </c>
      <c r="M203" s="92"/>
      <c r="N203" s="92"/>
      <c r="O203" s="92"/>
      <c r="P203" s="92"/>
      <c r="Q203" s="92"/>
      <c r="R203" s="11">
        <f t="shared" si="91"/>
        <v>37405013.399702266</v>
      </c>
    </row>
    <row r="204" spans="1:35" x14ac:dyDescent="0.2">
      <c r="B204" s="49" t="s">
        <v>384</v>
      </c>
      <c r="C204" s="167"/>
      <c r="D204" s="513"/>
      <c r="E204" s="512">
        <f t="shared" ref="E204:L204" si="118">E171</f>
        <v>0</v>
      </c>
      <c r="F204" s="512">
        <f t="shared" si="118"/>
        <v>0</v>
      </c>
      <c r="G204" s="512">
        <f t="shared" si="118"/>
        <v>2021262.3935065381</v>
      </c>
      <c r="H204" s="512">
        <f t="shared" si="118"/>
        <v>6236196.8092260361</v>
      </c>
      <c r="I204" s="512">
        <f>I171</f>
        <v>50980849.986050308</v>
      </c>
      <c r="J204" s="512">
        <f t="shared" si="118"/>
        <v>5505195.5449268147</v>
      </c>
      <c r="K204" s="512">
        <f t="shared" si="118"/>
        <v>39512449.047979444</v>
      </c>
      <c r="L204" s="512">
        <f t="shared" si="118"/>
        <v>0</v>
      </c>
      <c r="M204" s="512"/>
      <c r="N204" s="512"/>
      <c r="O204" s="512"/>
      <c r="P204" s="512"/>
      <c r="Q204" s="512"/>
      <c r="R204" s="399">
        <f t="shared" si="91"/>
        <v>104255953.78168914</v>
      </c>
    </row>
    <row r="205" spans="1:35" s="439" customFormat="1" ht="17" thickBot="1" x14ac:dyDescent="0.25">
      <c r="A205" s="511"/>
      <c r="B205" s="510"/>
      <c r="C205" s="509"/>
      <c r="D205" s="508" t="s">
        <v>432</v>
      </c>
      <c r="E205" s="507">
        <f>SUM(E201:E203)</f>
        <v>0</v>
      </c>
      <c r="F205" s="507">
        <f t="shared" ref="F205:L205" si="119">SUM(F201:F203)</f>
        <v>0</v>
      </c>
      <c r="G205" s="507">
        <f t="shared" si="119"/>
        <v>2021262.3935065381</v>
      </c>
      <c r="H205" s="507">
        <f t="shared" si="119"/>
        <v>6236196.8092260361</v>
      </c>
      <c r="I205" s="507">
        <f t="shared" si="119"/>
        <v>50980849.986050308</v>
      </c>
      <c r="J205" s="507">
        <f t="shared" si="119"/>
        <v>5505195.5449268147</v>
      </c>
      <c r="K205" s="507">
        <f t="shared" si="119"/>
        <v>39512449.047979444</v>
      </c>
      <c r="L205" s="507">
        <f t="shared" si="119"/>
        <v>0</v>
      </c>
      <c r="M205" s="507"/>
      <c r="N205" s="507"/>
      <c r="O205" s="507"/>
      <c r="P205" s="507"/>
      <c r="Q205" s="507"/>
      <c r="R205" s="506">
        <f>SUM(E205:Q205)</f>
        <v>104255953.78168914</v>
      </c>
    </row>
    <row r="206" spans="1:35" ht="17" thickTop="1" x14ac:dyDescent="0.2">
      <c r="B206" s="505" t="s">
        <v>135</v>
      </c>
      <c r="C206" s="504"/>
      <c r="D206" s="503"/>
      <c r="E206" s="502">
        <f t="shared" ref="E206:Q206" si="120">E143+E167+E204</f>
        <v>49517883.548745811</v>
      </c>
      <c r="F206" s="502">
        <f t="shared" si="120"/>
        <v>40498045.134899184</v>
      </c>
      <c r="G206" s="502">
        <f t="shared" si="120"/>
        <v>72987217.095117003</v>
      </c>
      <c r="H206" s="502">
        <f t="shared" si="120"/>
        <v>105186874.58492994</v>
      </c>
      <c r="I206" s="502">
        <f t="shared" si="120"/>
        <v>95024740.967034906</v>
      </c>
      <c r="J206" s="502">
        <f t="shared" si="120"/>
        <v>26712130.156250011</v>
      </c>
      <c r="K206" s="502">
        <f t="shared" si="120"/>
        <v>45046239.218750015</v>
      </c>
      <c r="L206" s="502">
        <f t="shared" si="120"/>
        <v>0</v>
      </c>
      <c r="M206" s="502">
        <f t="shared" si="120"/>
        <v>0</v>
      </c>
      <c r="N206" s="502">
        <f t="shared" si="120"/>
        <v>0</v>
      </c>
      <c r="O206" s="502">
        <f t="shared" si="120"/>
        <v>0</v>
      </c>
      <c r="P206" s="502">
        <f t="shared" si="120"/>
        <v>0</v>
      </c>
      <c r="Q206" s="502">
        <f t="shared" si="120"/>
        <v>0</v>
      </c>
      <c r="R206" s="502">
        <f>SUM(E206:Q206)</f>
        <v>434973130.70572686</v>
      </c>
      <c r="X206" s="132"/>
      <c r="Z206" s="132" t="s">
        <v>387</v>
      </c>
      <c r="AA206" s="500">
        <f>+ROUND(R206-R58,0)</f>
        <v>0</v>
      </c>
      <c r="AC206" s="501">
        <f>'Returns Land+Home'!H7-'Returns Land+Home'!D13</f>
        <v>-525000.0000000298</v>
      </c>
      <c r="AD206" s="497"/>
      <c r="AE206" s="497"/>
      <c r="AF206" s="497"/>
      <c r="AG206" s="497"/>
      <c r="AH206" s="497"/>
      <c r="AI206" s="497"/>
    </row>
    <row r="207" spans="1:35" x14ac:dyDescent="0.2">
      <c r="AC207" s="497"/>
      <c r="AD207" s="497"/>
      <c r="AE207" s="497"/>
      <c r="AF207" s="497"/>
      <c r="AG207" s="497"/>
      <c r="AH207" s="497"/>
      <c r="AI207" s="497"/>
    </row>
    <row r="208" spans="1:35" ht="17" thickBot="1" x14ac:dyDescent="0.25">
      <c r="B208" s="4" t="s">
        <v>385</v>
      </c>
      <c r="C208" s="148"/>
      <c r="D208" s="148"/>
      <c r="E208" s="11">
        <f>E58-E206</f>
        <v>0</v>
      </c>
      <c r="F208" s="11">
        <f t="shared" ref="F208:Q208" si="121">F58-F206+E208</f>
        <v>0</v>
      </c>
      <c r="G208" s="11">
        <f t="shared" si="121"/>
        <v>0</v>
      </c>
      <c r="H208" s="11">
        <f t="shared" si="121"/>
        <v>0</v>
      </c>
      <c r="I208" s="11">
        <f t="shared" si="121"/>
        <v>0</v>
      </c>
      <c r="J208" s="11">
        <f t="shared" si="121"/>
        <v>0</v>
      </c>
      <c r="K208" s="11">
        <f t="shared" si="121"/>
        <v>0</v>
      </c>
      <c r="L208" s="11">
        <f t="shared" si="121"/>
        <v>0</v>
      </c>
      <c r="M208" s="11">
        <f t="shared" si="121"/>
        <v>0</v>
      </c>
      <c r="N208" s="11">
        <f t="shared" si="121"/>
        <v>0</v>
      </c>
      <c r="O208" s="11">
        <f t="shared" si="121"/>
        <v>0</v>
      </c>
      <c r="P208" s="11">
        <f t="shared" si="121"/>
        <v>0</v>
      </c>
      <c r="Q208" s="11">
        <f t="shared" si="121"/>
        <v>0</v>
      </c>
      <c r="R208" s="11"/>
      <c r="T208" s="11">
        <f>R58-R206</f>
        <v>0</v>
      </c>
      <c r="U208" t="s">
        <v>562</v>
      </c>
      <c r="Z208" s="132" t="s">
        <v>388</v>
      </c>
      <c r="AA208" s="500">
        <f>ROUND(L208-0,0)</f>
        <v>0</v>
      </c>
      <c r="AC208" s="497"/>
      <c r="AD208" s="497"/>
      <c r="AE208" s="497"/>
      <c r="AF208" s="497"/>
      <c r="AG208" s="497"/>
      <c r="AH208" s="497"/>
      <c r="AI208" s="497"/>
    </row>
    <row r="209" spans="2:35" ht="17" thickBot="1" x14ac:dyDescent="0.25">
      <c r="B209" s="4"/>
      <c r="AC209" s="497"/>
      <c r="AD209" s="784" t="s">
        <v>563</v>
      </c>
      <c r="AE209" s="785"/>
      <c r="AF209" s="785"/>
      <c r="AG209" s="785"/>
      <c r="AH209" s="785"/>
      <c r="AI209" s="786"/>
    </row>
    <row r="210" spans="2:35" x14ac:dyDescent="0.2">
      <c r="B210" s="4" t="s">
        <v>386</v>
      </c>
      <c r="C210" s="668">
        <f>IRR(E210:Q210)</f>
        <v>0.53574199121614274</v>
      </c>
      <c r="E210" s="11">
        <f t="shared" ref="E210:L210" si="122">-E39-E40+E204</f>
        <v>-15400000</v>
      </c>
      <c r="F210" s="11">
        <f t="shared" si="122"/>
        <v>0</v>
      </c>
      <c r="G210" s="11">
        <f t="shared" si="122"/>
        <v>2021262.3935065381</v>
      </c>
      <c r="H210" s="11">
        <f t="shared" si="122"/>
        <v>6236196.8092260361</v>
      </c>
      <c r="I210" s="11">
        <f t="shared" si="122"/>
        <v>50980849.986050308</v>
      </c>
      <c r="J210" s="11">
        <f t="shared" si="122"/>
        <v>5505195.5449268147</v>
      </c>
      <c r="K210" s="11">
        <f t="shared" si="122"/>
        <v>39512449.047979444</v>
      </c>
      <c r="L210" s="11">
        <f t="shared" si="122"/>
        <v>0</v>
      </c>
      <c r="M210" s="11">
        <f>-M45+M204</f>
        <v>0</v>
      </c>
      <c r="N210" s="11">
        <f>-N45+N204</f>
        <v>0</v>
      </c>
      <c r="O210" s="11">
        <f>-O45+O204</f>
        <v>0</v>
      </c>
      <c r="P210" s="11">
        <f>-P45+P204</f>
        <v>0</v>
      </c>
      <c r="Q210" s="11">
        <f>-Q45+Q204</f>
        <v>0</v>
      </c>
      <c r="Z210" s="132" t="s">
        <v>564</v>
      </c>
      <c r="AA210" s="97" t="e">
        <f>0.08-'Returns Land+Home'!F55</f>
        <v>#NUM!</v>
      </c>
      <c r="AC210" s="497"/>
      <c r="AD210" s="499" t="s">
        <v>565</v>
      </c>
      <c r="AF210" s="81" t="s">
        <v>566</v>
      </c>
      <c r="AI210" s="498" t="s">
        <v>567</v>
      </c>
    </row>
    <row r="211" spans="2:35" x14ac:dyDescent="0.2">
      <c r="AC211" s="497"/>
      <c r="AD211" s="496">
        <f>T35</f>
        <v>7820141.5590277789</v>
      </c>
      <c r="AF211" s="495">
        <f>'Returns Land+Home'!D14</f>
        <v>6.7698671286811125</v>
      </c>
      <c r="AI211" s="494">
        <f>'Returns Land+Home'!D16</f>
        <v>0.53538526892662042</v>
      </c>
    </row>
    <row r="213" spans="2:35" ht="21" x14ac:dyDescent="0.25">
      <c r="B213" s="493" t="str">
        <f>B1</f>
        <v>CLARENDON - LAND &amp; HOME DEVELOPMENT</v>
      </c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7"/>
    </row>
    <row r="214" spans="2:35" x14ac:dyDescent="0.2">
      <c r="B214" s="3" t="s">
        <v>389</v>
      </c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7"/>
    </row>
    <row r="215" spans="2:35" x14ac:dyDescent="0.2">
      <c r="B215" s="124" t="str">
        <f>B36</f>
        <v>SOURCES</v>
      </c>
      <c r="C215" s="124"/>
      <c r="D215" s="124"/>
      <c r="E215" s="176">
        <f t="shared" ref="E215:Q215" si="123">E5</f>
        <v>45658</v>
      </c>
      <c r="F215" s="176">
        <f t="shared" si="123"/>
        <v>46023</v>
      </c>
      <c r="G215" s="176">
        <f t="shared" si="123"/>
        <v>46388</v>
      </c>
      <c r="H215" s="176">
        <f t="shared" si="123"/>
        <v>46753</v>
      </c>
      <c r="I215" s="176">
        <f t="shared" si="123"/>
        <v>47119</v>
      </c>
      <c r="J215" s="176">
        <f t="shared" si="123"/>
        <v>47484</v>
      </c>
      <c r="K215" s="176">
        <f t="shared" si="123"/>
        <v>47849</v>
      </c>
      <c r="L215" s="176">
        <f t="shared" si="123"/>
        <v>48214</v>
      </c>
      <c r="M215" s="176">
        <f t="shared" si="123"/>
        <v>48579</v>
      </c>
      <c r="N215" s="176">
        <f t="shared" si="123"/>
        <v>48944</v>
      </c>
      <c r="O215" s="176">
        <f t="shared" si="123"/>
        <v>49309</v>
      </c>
      <c r="P215" s="176">
        <f t="shared" si="123"/>
        <v>49675</v>
      </c>
      <c r="Q215" s="176">
        <f t="shared" si="123"/>
        <v>50040</v>
      </c>
      <c r="R215" s="176" t="s">
        <v>212</v>
      </c>
      <c r="U215" t="s">
        <v>568</v>
      </c>
      <c r="V215" t="s">
        <v>569</v>
      </c>
    </row>
    <row r="216" spans="2:35" x14ac:dyDescent="0.2">
      <c r="B216" t="str">
        <f>B39</f>
        <v>SPONSOR - EQUITY CAPITAL</v>
      </c>
      <c r="C216" s="12"/>
      <c r="D216" s="12"/>
      <c r="E216" s="177">
        <f t="shared" ref="E216:R216" si="124">E39</f>
        <v>400000</v>
      </c>
      <c r="F216" s="177">
        <f t="shared" si="124"/>
        <v>0</v>
      </c>
      <c r="G216" s="177">
        <f t="shared" si="124"/>
        <v>0</v>
      </c>
      <c r="H216" s="177">
        <f t="shared" si="124"/>
        <v>0</v>
      </c>
      <c r="I216" s="177">
        <f t="shared" si="124"/>
        <v>0</v>
      </c>
      <c r="J216" s="177">
        <f t="shared" si="124"/>
        <v>0</v>
      </c>
      <c r="K216" s="177">
        <f t="shared" si="124"/>
        <v>0</v>
      </c>
      <c r="L216" s="177">
        <f t="shared" si="124"/>
        <v>0</v>
      </c>
      <c r="M216" s="177">
        <f t="shared" si="124"/>
        <v>0</v>
      </c>
      <c r="N216" s="177">
        <f t="shared" si="124"/>
        <v>0</v>
      </c>
      <c r="O216" s="177">
        <f t="shared" si="124"/>
        <v>0</v>
      </c>
      <c r="P216" s="177">
        <f t="shared" si="124"/>
        <v>0</v>
      </c>
      <c r="Q216" s="177">
        <f t="shared" si="124"/>
        <v>0</v>
      </c>
      <c r="R216" s="177">
        <f t="shared" si="124"/>
        <v>400000</v>
      </c>
      <c r="T216" t="s">
        <v>570</v>
      </c>
      <c r="U216" t="s">
        <v>571</v>
      </c>
    </row>
    <row r="217" spans="2:35" x14ac:dyDescent="0.2">
      <c r="B217" t="str">
        <f>B40</f>
        <v>LP - EQUITY CAPITAL</v>
      </c>
      <c r="C217" s="12"/>
      <c r="D217" s="12"/>
      <c r="E217" s="177">
        <f t="shared" ref="E217:R217" si="125">E40</f>
        <v>15000000</v>
      </c>
      <c r="F217" s="177">
        <f t="shared" si="125"/>
        <v>0</v>
      </c>
      <c r="G217" s="177">
        <f t="shared" si="125"/>
        <v>0</v>
      </c>
      <c r="H217" s="177">
        <f t="shared" si="125"/>
        <v>0</v>
      </c>
      <c r="I217" s="177">
        <f t="shared" si="125"/>
        <v>0</v>
      </c>
      <c r="J217" s="177">
        <f t="shared" si="125"/>
        <v>0</v>
      </c>
      <c r="K217" s="177">
        <f t="shared" si="125"/>
        <v>0</v>
      </c>
      <c r="L217" s="177">
        <f t="shared" si="125"/>
        <v>0</v>
      </c>
      <c r="M217" s="177">
        <f t="shared" si="125"/>
        <v>0</v>
      </c>
      <c r="N217" s="177">
        <f t="shared" si="125"/>
        <v>0</v>
      </c>
      <c r="O217" s="177">
        <f t="shared" si="125"/>
        <v>0</v>
      </c>
      <c r="P217" s="177">
        <f t="shared" si="125"/>
        <v>0</v>
      </c>
      <c r="Q217" s="177">
        <f t="shared" si="125"/>
        <v>0</v>
      </c>
      <c r="R217" s="177">
        <f t="shared" si="125"/>
        <v>15000000</v>
      </c>
      <c r="T217" t="s">
        <v>570</v>
      </c>
      <c r="U217" t="s">
        <v>571</v>
      </c>
    </row>
    <row r="218" spans="2:35" x14ac:dyDescent="0.2">
      <c r="B218" t="str">
        <f>B44</f>
        <v>SELLER CARRYBACK</v>
      </c>
      <c r="C218" s="12"/>
      <c r="D218" s="12"/>
      <c r="E218" s="177">
        <f t="shared" ref="E218:R218" si="126">E44</f>
        <v>0</v>
      </c>
      <c r="F218" s="177">
        <f t="shared" si="126"/>
        <v>0</v>
      </c>
      <c r="G218" s="177">
        <f t="shared" si="126"/>
        <v>0</v>
      </c>
      <c r="H218" s="177">
        <f t="shared" si="126"/>
        <v>0</v>
      </c>
      <c r="I218" s="177">
        <f t="shared" si="126"/>
        <v>0</v>
      </c>
      <c r="J218" s="177">
        <f t="shared" si="126"/>
        <v>0</v>
      </c>
      <c r="K218" s="177">
        <f t="shared" si="126"/>
        <v>0</v>
      </c>
      <c r="L218" s="177">
        <f t="shared" si="126"/>
        <v>0</v>
      </c>
      <c r="M218" s="177">
        <f t="shared" si="126"/>
        <v>0</v>
      </c>
      <c r="N218" s="177">
        <f t="shared" si="126"/>
        <v>0</v>
      </c>
      <c r="O218" s="177">
        <f t="shared" si="126"/>
        <v>0</v>
      </c>
      <c r="P218" s="177">
        <f t="shared" si="126"/>
        <v>0</v>
      </c>
      <c r="Q218" s="177">
        <f t="shared" si="126"/>
        <v>0</v>
      </c>
      <c r="R218" s="177">
        <f t="shared" si="126"/>
        <v>0</v>
      </c>
      <c r="T218" t="s">
        <v>529</v>
      </c>
      <c r="U218" s="131" t="s">
        <v>572</v>
      </c>
      <c r="V218" s="131" t="s">
        <v>573</v>
      </c>
    </row>
    <row r="219" spans="2:35" x14ac:dyDescent="0.2">
      <c r="B219" t="str">
        <f>B45</f>
        <v>EB5 - MEZZ DEBT</v>
      </c>
      <c r="C219" s="12"/>
      <c r="D219" s="12"/>
      <c r="E219" s="177">
        <f t="shared" ref="E219:R219" si="127">E45</f>
        <v>0</v>
      </c>
      <c r="F219" s="177">
        <f t="shared" si="127"/>
        <v>0</v>
      </c>
      <c r="G219" s="177">
        <f t="shared" si="127"/>
        <v>0</v>
      </c>
      <c r="H219" s="177">
        <f t="shared" si="127"/>
        <v>0</v>
      </c>
      <c r="I219" s="177">
        <f t="shared" si="127"/>
        <v>0</v>
      </c>
      <c r="J219" s="177">
        <f t="shared" si="127"/>
        <v>0</v>
      </c>
      <c r="K219" s="177">
        <f t="shared" si="127"/>
        <v>0</v>
      </c>
      <c r="L219" s="177">
        <f t="shared" si="127"/>
        <v>0</v>
      </c>
      <c r="M219" s="177">
        <f t="shared" si="127"/>
        <v>0</v>
      </c>
      <c r="N219" s="177">
        <f t="shared" si="127"/>
        <v>0</v>
      </c>
      <c r="O219" s="177">
        <f t="shared" si="127"/>
        <v>0</v>
      </c>
      <c r="P219" s="177">
        <f t="shared" si="127"/>
        <v>0</v>
      </c>
      <c r="Q219" s="177">
        <f t="shared" si="127"/>
        <v>0</v>
      </c>
      <c r="R219" s="177">
        <f t="shared" si="127"/>
        <v>0</v>
      </c>
      <c r="U219" s="131"/>
      <c r="V219" s="131"/>
    </row>
    <row r="220" spans="2:35" x14ac:dyDescent="0.2">
      <c r="B220" t="s">
        <v>574</v>
      </c>
      <c r="C220" s="12"/>
      <c r="D220" s="12"/>
      <c r="E220" s="177">
        <f t="shared" ref="E220:R220" si="128">E46+E47</f>
        <v>34117883.548745811</v>
      </c>
      <c r="F220" s="177">
        <f t="shared" si="128"/>
        <v>15998045.13489918</v>
      </c>
      <c r="G220" s="177">
        <f t="shared" si="128"/>
        <v>7558873.3451169915</v>
      </c>
      <c r="H220" s="177">
        <f t="shared" si="128"/>
        <v>7755405.8349299133</v>
      </c>
      <c r="I220" s="177">
        <f t="shared" si="128"/>
        <v>2236552.6857848773</v>
      </c>
      <c r="J220" s="177">
        <f t="shared" si="128"/>
        <v>0</v>
      </c>
      <c r="K220" s="177">
        <f t="shared" si="128"/>
        <v>0</v>
      </c>
      <c r="L220" s="177">
        <f t="shared" si="128"/>
        <v>0</v>
      </c>
      <c r="M220" s="177">
        <f t="shared" si="128"/>
        <v>0</v>
      </c>
      <c r="N220" s="177">
        <f t="shared" si="128"/>
        <v>0</v>
      </c>
      <c r="O220" s="177">
        <f t="shared" si="128"/>
        <v>0</v>
      </c>
      <c r="P220" s="177">
        <f t="shared" si="128"/>
        <v>0</v>
      </c>
      <c r="Q220" s="177">
        <f t="shared" si="128"/>
        <v>0</v>
      </c>
      <c r="R220" s="177">
        <f t="shared" si="128"/>
        <v>67666760.549476773</v>
      </c>
      <c r="U220" s="131"/>
      <c r="V220" s="131"/>
    </row>
    <row r="221" spans="2:35" x14ac:dyDescent="0.2">
      <c r="B221" t="str">
        <f>B51</f>
        <v>LAND SALE TO AMENITY</v>
      </c>
      <c r="C221" s="12"/>
      <c r="D221" s="12"/>
      <c r="E221" s="177">
        <f t="shared" ref="E221:R221" si="129">E51+E50</f>
        <v>0</v>
      </c>
      <c r="F221" s="177">
        <f t="shared" si="129"/>
        <v>0</v>
      </c>
      <c r="G221" s="177" t="e">
        <f t="shared" si="129"/>
        <v>#VALUE!</v>
      </c>
      <c r="H221" s="177">
        <f t="shared" si="129"/>
        <v>0</v>
      </c>
      <c r="I221" s="177">
        <f t="shared" si="129"/>
        <v>0</v>
      </c>
      <c r="J221" s="177">
        <f t="shared" si="129"/>
        <v>0</v>
      </c>
      <c r="K221" s="177">
        <f t="shared" si="129"/>
        <v>0</v>
      </c>
      <c r="L221" s="177">
        <f t="shared" si="129"/>
        <v>0</v>
      </c>
      <c r="M221" s="177">
        <f t="shared" si="129"/>
        <v>0</v>
      </c>
      <c r="N221" s="177">
        <f t="shared" si="129"/>
        <v>0</v>
      </c>
      <c r="O221" s="177">
        <f t="shared" si="129"/>
        <v>0</v>
      </c>
      <c r="P221" s="177">
        <f t="shared" si="129"/>
        <v>0</v>
      </c>
      <c r="Q221" s="177">
        <f t="shared" si="129"/>
        <v>0</v>
      </c>
      <c r="R221" s="177">
        <f t="shared" si="129"/>
        <v>0</v>
      </c>
      <c r="U221" s="131"/>
      <c r="V221" s="131"/>
    </row>
    <row r="222" spans="2:35" x14ac:dyDescent="0.2">
      <c r="B222" t="str">
        <f>B56</f>
        <v>PRESALE REVENUES</v>
      </c>
      <c r="C222" s="12"/>
      <c r="D222" s="12"/>
      <c r="E222" s="177">
        <f t="shared" ref="E222:R222" si="130">E56</f>
        <v>0</v>
      </c>
      <c r="F222" s="177">
        <f t="shared" si="130"/>
        <v>0</v>
      </c>
      <c r="G222" s="177">
        <f t="shared" si="130"/>
        <v>15378343.750000004</v>
      </c>
      <c r="H222" s="177">
        <f t="shared" si="130"/>
        <v>24933562.500000007</v>
      </c>
      <c r="I222" s="177">
        <f t="shared" si="130"/>
        <v>12905500.781250004</v>
      </c>
      <c r="J222" s="177">
        <f t="shared" si="130"/>
        <v>10793162.187500004</v>
      </c>
      <c r="K222" s="177">
        <f t="shared" si="130"/>
        <v>3699140.1562500014</v>
      </c>
      <c r="L222" s="177">
        <f t="shared" si="130"/>
        <v>0</v>
      </c>
      <c r="M222" s="177">
        <f t="shared" si="130"/>
        <v>0</v>
      </c>
      <c r="N222" s="177">
        <f t="shared" si="130"/>
        <v>0</v>
      </c>
      <c r="O222" s="177">
        <f t="shared" si="130"/>
        <v>0</v>
      </c>
      <c r="P222" s="177">
        <f t="shared" si="130"/>
        <v>0</v>
      </c>
      <c r="Q222" s="177">
        <f t="shared" si="130"/>
        <v>0</v>
      </c>
      <c r="R222" s="177">
        <f t="shared" si="130"/>
        <v>67709709.375000015</v>
      </c>
      <c r="T222" t="s">
        <v>575</v>
      </c>
      <c r="U222" s="131">
        <v>1950</v>
      </c>
      <c r="V222" s="131">
        <v>2000</v>
      </c>
    </row>
    <row r="223" spans="2:35" x14ac:dyDescent="0.2">
      <c r="B223" t="str">
        <f>B57</f>
        <v>UNIT SALES</v>
      </c>
      <c r="C223" s="12"/>
      <c r="D223" s="12"/>
      <c r="E223" s="177">
        <f t="shared" ref="E223:R223" si="131">E57</f>
        <v>0</v>
      </c>
      <c r="F223" s="177">
        <f t="shared" si="131"/>
        <v>24500000</v>
      </c>
      <c r="G223" s="177">
        <f t="shared" si="131"/>
        <v>50050000.000000007</v>
      </c>
      <c r="H223" s="177">
        <f t="shared" si="131"/>
        <v>72497906.250000015</v>
      </c>
      <c r="I223" s="177">
        <f t="shared" si="131"/>
        <v>79882687.50000003</v>
      </c>
      <c r="J223" s="177">
        <f t="shared" si="131"/>
        <v>15918967.968750007</v>
      </c>
      <c r="K223" s="177">
        <f t="shared" si="131"/>
        <v>41347099.062500015</v>
      </c>
      <c r="L223" s="177">
        <f t="shared" si="131"/>
        <v>0</v>
      </c>
      <c r="M223" s="177">
        <f t="shared" si="131"/>
        <v>0</v>
      </c>
      <c r="N223" s="177">
        <f t="shared" si="131"/>
        <v>0</v>
      </c>
      <c r="O223" s="177">
        <f t="shared" si="131"/>
        <v>0</v>
      </c>
      <c r="P223" s="177">
        <f t="shared" si="131"/>
        <v>0</v>
      </c>
      <c r="Q223" s="177">
        <f t="shared" si="131"/>
        <v>0</v>
      </c>
      <c r="R223" s="177">
        <f t="shared" si="131"/>
        <v>284196660.78125006</v>
      </c>
      <c r="T223" t="s">
        <v>576</v>
      </c>
      <c r="U223" t="s">
        <v>571</v>
      </c>
      <c r="V223" t="s">
        <v>577</v>
      </c>
    </row>
    <row r="224" spans="2:35" x14ac:dyDescent="0.2">
      <c r="B224" s="49" t="str">
        <f>B58</f>
        <v>TOTAL SOURCES</v>
      </c>
      <c r="C224" s="52"/>
      <c r="D224" s="52"/>
      <c r="E224" s="233">
        <f t="shared" ref="E224:R224" si="132">E58</f>
        <v>49517883.548745811</v>
      </c>
      <c r="F224" s="233">
        <f t="shared" si="132"/>
        <v>40498045.134899184</v>
      </c>
      <c r="G224" s="233">
        <f t="shared" si="132"/>
        <v>72987217.095117003</v>
      </c>
      <c r="H224" s="233">
        <f t="shared" si="132"/>
        <v>105186874.58492994</v>
      </c>
      <c r="I224" s="233">
        <f t="shared" si="132"/>
        <v>95024740.967034906</v>
      </c>
      <c r="J224" s="233">
        <f t="shared" si="132"/>
        <v>26712130.156250011</v>
      </c>
      <c r="K224" s="233">
        <f t="shared" si="132"/>
        <v>45046239.218750015</v>
      </c>
      <c r="L224" s="233">
        <f t="shared" si="132"/>
        <v>0</v>
      </c>
      <c r="M224" s="233">
        <f t="shared" si="132"/>
        <v>0</v>
      </c>
      <c r="N224" s="233">
        <f t="shared" si="132"/>
        <v>0</v>
      </c>
      <c r="O224" s="233">
        <f t="shared" si="132"/>
        <v>0</v>
      </c>
      <c r="P224" s="233">
        <f t="shared" si="132"/>
        <v>0</v>
      </c>
      <c r="Q224" s="233">
        <f t="shared" si="132"/>
        <v>0</v>
      </c>
      <c r="R224" s="233">
        <f t="shared" si="132"/>
        <v>434973130.70572686</v>
      </c>
      <c r="T224" t="s">
        <v>578</v>
      </c>
      <c r="U224" t="s">
        <v>579</v>
      </c>
      <c r="V224" t="s">
        <v>580</v>
      </c>
    </row>
    <row r="225" spans="2:18" x14ac:dyDescent="0.2">
      <c r="C225" s="12"/>
      <c r="D225" s="12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</row>
    <row r="226" spans="2:18" x14ac:dyDescent="0.2">
      <c r="B226" s="124" t="str">
        <f>B60</f>
        <v>USES</v>
      </c>
      <c r="C226" s="36"/>
      <c r="D226" s="36"/>
      <c r="E226" s="183">
        <f t="shared" ref="E226:Q226" si="133">E5</f>
        <v>45658</v>
      </c>
      <c r="F226" s="183">
        <f t="shared" si="133"/>
        <v>46023</v>
      </c>
      <c r="G226" s="183">
        <f t="shared" si="133"/>
        <v>46388</v>
      </c>
      <c r="H226" s="183">
        <f t="shared" si="133"/>
        <v>46753</v>
      </c>
      <c r="I226" s="183">
        <f t="shared" si="133"/>
        <v>47119</v>
      </c>
      <c r="J226" s="183">
        <f t="shared" si="133"/>
        <v>47484</v>
      </c>
      <c r="K226" s="183">
        <f t="shared" si="133"/>
        <v>47849</v>
      </c>
      <c r="L226" s="183">
        <f t="shared" si="133"/>
        <v>48214</v>
      </c>
      <c r="M226" s="183">
        <f t="shared" si="133"/>
        <v>48579</v>
      </c>
      <c r="N226" s="183">
        <f t="shared" si="133"/>
        <v>48944</v>
      </c>
      <c r="O226" s="183">
        <f t="shared" si="133"/>
        <v>49309</v>
      </c>
      <c r="P226" s="183">
        <f t="shared" si="133"/>
        <v>49675</v>
      </c>
      <c r="Q226" s="183">
        <f t="shared" si="133"/>
        <v>50040</v>
      </c>
      <c r="R226" s="183" t="s">
        <v>212</v>
      </c>
    </row>
    <row r="227" spans="2:18" x14ac:dyDescent="0.2">
      <c r="B227" t="str">
        <f>B65</f>
        <v>LAND &amp; PROJECT ACQUISITION</v>
      </c>
      <c r="C227" s="12"/>
      <c r="D227" s="12"/>
      <c r="E227" s="177">
        <f t="shared" ref="E227:R227" si="134">E65</f>
        <v>18977750</v>
      </c>
      <c r="F227" s="177">
        <f t="shared" si="134"/>
        <v>0</v>
      </c>
      <c r="G227" s="177">
        <f t="shared" si="134"/>
        <v>0</v>
      </c>
      <c r="H227" s="177">
        <f t="shared" si="134"/>
        <v>0</v>
      </c>
      <c r="I227" s="177">
        <f t="shared" si="134"/>
        <v>0</v>
      </c>
      <c r="J227" s="177">
        <f t="shared" si="134"/>
        <v>0</v>
      </c>
      <c r="K227" s="177">
        <f t="shared" si="134"/>
        <v>0</v>
      </c>
      <c r="L227" s="177">
        <f t="shared" si="134"/>
        <v>0</v>
      </c>
      <c r="M227" s="177">
        <f t="shared" si="134"/>
        <v>0</v>
      </c>
      <c r="N227" s="177">
        <f t="shared" si="134"/>
        <v>0</v>
      </c>
      <c r="O227" s="177">
        <f t="shared" si="134"/>
        <v>0</v>
      </c>
      <c r="P227" s="177">
        <f t="shared" si="134"/>
        <v>0</v>
      </c>
      <c r="Q227" s="177">
        <f t="shared" si="134"/>
        <v>0</v>
      </c>
      <c r="R227" s="177">
        <f t="shared" si="134"/>
        <v>18977750</v>
      </c>
    </row>
    <row r="228" spans="2:18" x14ac:dyDescent="0.2">
      <c r="B228" t="str">
        <f>B85</f>
        <v>HARD COSTS - SITE, RESTORATION &amp; INFRASTRUCTURE</v>
      </c>
      <c r="C228" s="12"/>
      <c r="D228" s="12"/>
      <c r="E228" s="177">
        <f t="shared" ref="E228:R228" si="135">E85</f>
        <v>3259552.083333334</v>
      </c>
      <c r="F228" s="177">
        <f t="shared" si="135"/>
        <v>2639043.4895833335</v>
      </c>
      <c r="G228" s="177">
        <f t="shared" si="135"/>
        <v>1796332.3828125002</v>
      </c>
      <c r="H228" s="177">
        <f t="shared" si="135"/>
        <v>1007925.8248697917</v>
      </c>
      <c r="I228" s="177">
        <f t="shared" si="135"/>
        <v>0</v>
      </c>
      <c r="J228" s="177">
        <f t="shared" si="135"/>
        <v>0</v>
      </c>
      <c r="K228" s="177">
        <f t="shared" si="135"/>
        <v>0</v>
      </c>
      <c r="L228" s="177">
        <f t="shared" si="135"/>
        <v>0</v>
      </c>
      <c r="M228" s="177">
        <f t="shared" si="135"/>
        <v>0</v>
      </c>
      <c r="N228" s="177">
        <f t="shared" si="135"/>
        <v>0</v>
      </c>
      <c r="O228" s="177">
        <f t="shared" si="135"/>
        <v>0</v>
      </c>
      <c r="P228" s="177">
        <f t="shared" si="135"/>
        <v>0</v>
      </c>
      <c r="Q228" s="177">
        <f t="shared" si="135"/>
        <v>0</v>
      </c>
      <c r="R228" s="177">
        <f t="shared" si="135"/>
        <v>8702853.780598959</v>
      </c>
    </row>
    <row r="229" spans="2:18" x14ac:dyDescent="0.2">
      <c r="B229" t="str">
        <f>B94</f>
        <v>HARD COSTS - HOMES</v>
      </c>
      <c r="C229" s="12"/>
      <c r="D229" s="12"/>
      <c r="E229" s="177">
        <f t="shared" ref="E229:R229" si="136">E94</f>
        <v>17472000</v>
      </c>
      <c r="F229" s="177">
        <f t="shared" si="136"/>
        <v>26863000</v>
      </c>
      <c r="G229" s="177">
        <f t="shared" si="136"/>
        <v>42296825</v>
      </c>
      <c r="H229" s="177">
        <f t="shared" si="136"/>
        <v>45644053.75</v>
      </c>
      <c r="I229" s="177">
        <f t="shared" si="136"/>
        <v>13541493.9375</v>
      </c>
      <c r="J229" s="177">
        <f t="shared" si="136"/>
        <v>17660599.884374999</v>
      </c>
      <c r="K229" s="177">
        <f t="shared" si="136"/>
        <v>1253054.8785937501</v>
      </c>
      <c r="L229" s="177">
        <f t="shared" si="136"/>
        <v>0</v>
      </c>
      <c r="M229" s="177">
        <f t="shared" si="136"/>
        <v>0</v>
      </c>
      <c r="N229" s="177">
        <f t="shared" si="136"/>
        <v>0</v>
      </c>
      <c r="O229" s="177">
        <f t="shared" si="136"/>
        <v>0</v>
      </c>
      <c r="P229" s="177">
        <f t="shared" si="136"/>
        <v>0</v>
      </c>
      <c r="Q229" s="177">
        <f t="shared" si="136"/>
        <v>0</v>
      </c>
      <c r="R229" s="177">
        <f t="shared" si="136"/>
        <v>164731027.45046875</v>
      </c>
    </row>
    <row r="230" spans="2:18" x14ac:dyDescent="0.2">
      <c r="B230" t="str">
        <f>B104</f>
        <v>SOFT COSTS PROFESSIONALS - FINAL ENTITLEMENTS &amp; SITE INFRA.</v>
      </c>
      <c r="C230" s="12"/>
      <c r="D230" s="12"/>
      <c r="E230" s="177">
        <f t="shared" ref="E230:R230" si="137">E104</f>
        <v>1665598.59375</v>
      </c>
      <c r="F230" s="177">
        <f t="shared" si="137"/>
        <v>819669.375</v>
      </c>
      <c r="G230" s="177">
        <f t="shared" si="137"/>
        <v>685138.125</v>
      </c>
      <c r="H230" s="177">
        <f t="shared" si="137"/>
        <v>572909.53125</v>
      </c>
      <c r="I230" s="177">
        <f t="shared" si="137"/>
        <v>10000</v>
      </c>
      <c r="J230" s="177">
        <f t="shared" si="137"/>
        <v>10000</v>
      </c>
      <c r="K230" s="177">
        <f t="shared" si="137"/>
        <v>10000</v>
      </c>
      <c r="L230" s="177">
        <f t="shared" si="137"/>
        <v>0</v>
      </c>
      <c r="M230" s="177">
        <f t="shared" si="137"/>
        <v>0</v>
      </c>
      <c r="N230" s="177">
        <f t="shared" si="137"/>
        <v>0</v>
      </c>
      <c r="O230" s="177">
        <f t="shared" si="137"/>
        <v>0</v>
      </c>
      <c r="P230" s="177">
        <f t="shared" si="137"/>
        <v>0</v>
      </c>
      <c r="Q230" s="177">
        <f t="shared" si="137"/>
        <v>0</v>
      </c>
      <c r="R230" s="177">
        <f t="shared" si="137"/>
        <v>3773315.625</v>
      </c>
    </row>
    <row r="231" spans="2:18" x14ac:dyDescent="0.2">
      <c r="B231" t="str">
        <f>B118</f>
        <v>SOFT COSTS PROFESSIONALS - HOMES</v>
      </c>
      <c r="C231" s="12"/>
      <c r="D231" s="12"/>
      <c r="E231" s="177">
        <f t="shared" ref="E231:R231" si="138">E118</f>
        <v>1134790.625</v>
      </c>
      <c r="F231" s="177">
        <f t="shared" si="138"/>
        <v>956917.5</v>
      </c>
      <c r="G231" s="177">
        <f t="shared" si="138"/>
        <v>1481248.125</v>
      </c>
      <c r="H231" s="177">
        <f t="shared" si="138"/>
        <v>1543106.25</v>
      </c>
      <c r="I231" s="177">
        <f t="shared" si="138"/>
        <v>402510.9375</v>
      </c>
      <c r="J231" s="177">
        <f t="shared" si="138"/>
        <v>603290.625</v>
      </c>
      <c r="K231" s="177">
        <f t="shared" si="138"/>
        <v>0</v>
      </c>
      <c r="L231" s="177">
        <f t="shared" si="138"/>
        <v>0</v>
      </c>
      <c r="M231" s="177">
        <f t="shared" si="138"/>
        <v>0</v>
      </c>
      <c r="N231" s="177">
        <f t="shared" si="138"/>
        <v>0</v>
      </c>
      <c r="O231" s="177">
        <f t="shared" si="138"/>
        <v>0</v>
      </c>
      <c r="P231" s="177">
        <f t="shared" si="138"/>
        <v>0</v>
      </c>
      <c r="Q231" s="177">
        <f t="shared" si="138"/>
        <v>0</v>
      </c>
      <c r="R231" s="177">
        <f t="shared" si="138"/>
        <v>6121864.0625</v>
      </c>
    </row>
    <row r="232" spans="2:18" x14ac:dyDescent="0.2">
      <c r="B232" t="str">
        <f>B124</f>
        <v>SOFT COSTS - SALES</v>
      </c>
      <c r="C232" s="12"/>
      <c r="D232" s="12"/>
      <c r="E232" s="177">
        <f t="shared" ref="E232:R232" si="139">E124</f>
        <v>150000</v>
      </c>
      <c r="F232" s="177">
        <f t="shared" si="139"/>
        <v>1327500</v>
      </c>
      <c r="G232" s="177">
        <f t="shared" si="139"/>
        <v>2402250.0000000005</v>
      </c>
      <c r="H232" s="177">
        <f t="shared" si="139"/>
        <v>3337405.7812500005</v>
      </c>
      <c r="I232" s="177">
        <f t="shared" si="139"/>
        <v>3669720.9375000014</v>
      </c>
      <c r="J232" s="177">
        <f t="shared" si="139"/>
        <v>791353.55859375035</v>
      </c>
      <c r="K232" s="177">
        <f t="shared" si="139"/>
        <v>1935619.4578125007</v>
      </c>
      <c r="L232" s="177">
        <f t="shared" si="139"/>
        <v>0</v>
      </c>
      <c r="M232" s="177">
        <f t="shared" si="139"/>
        <v>0</v>
      </c>
      <c r="N232" s="177">
        <f t="shared" si="139"/>
        <v>0</v>
      </c>
      <c r="O232" s="177">
        <f t="shared" si="139"/>
        <v>0</v>
      </c>
      <c r="P232" s="177">
        <f t="shared" si="139"/>
        <v>0</v>
      </c>
      <c r="Q232" s="177">
        <f t="shared" si="139"/>
        <v>0</v>
      </c>
      <c r="R232" s="177">
        <f t="shared" si="139"/>
        <v>13613849.735156253</v>
      </c>
    </row>
    <row r="233" spans="2:18" x14ac:dyDescent="0.2">
      <c r="B233" t="str">
        <f>B129</f>
        <v>SOFT COSTS - TAXES AND INSURANCE</v>
      </c>
      <c r="C233" s="12"/>
      <c r="D233" s="12"/>
      <c r="E233" s="177">
        <f t="shared" ref="E233:R233" si="140">E129</f>
        <v>125561.99799679487</v>
      </c>
      <c r="F233" s="177">
        <f t="shared" si="140"/>
        <v>172517.64944911856</v>
      </c>
      <c r="G233" s="177">
        <f t="shared" si="140"/>
        <v>250717.49381059696</v>
      </c>
      <c r="H233" s="177">
        <f t="shared" si="140"/>
        <v>261714.09278998896</v>
      </c>
      <c r="I233" s="177">
        <f t="shared" si="140"/>
        <v>76529.498707532039</v>
      </c>
      <c r="J233" s="177">
        <f t="shared" si="140"/>
        <v>98415.350646113773</v>
      </c>
      <c r="K233" s="177">
        <f t="shared" si="140"/>
        <v>8173.8531143169075</v>
      </c>
      <c r="L233" s="177">
        <f t="shared" si="140"/>
        <v>0</v>
      </c>
      <c r="M233" s="177">
        <f t="shared" si="140"/>
        <v>0</v>
      </c>
      <c r="N233" s="177">
        <f t="shared" si="140"/>
        <v>0</v>
      </c>
      <c r="O233" s="177">
        <f t="shared" si="140"/>
        <v>0</v>
      </c>
      <c r="P233" s="177">
        <f t="shared" si="140"/>
        <v>0</v>
      </c>
      <c r="Q233" s="177">
        <f t="shared" si="140"/>
        <v>0</v>
      </c>
      <c r="R233" s="177">
        <f t="shared" si="140"/>
        <v>993629.93651446211</v>
      </c>
    </row>
    <row r="234" spans="2:18" x14ac:dyDescent="0.2">
      <c r="B234" t="str">
        <f>B135</f>
        <v>SOFT COSTS - MUNICIPALITY FEES</v>
      </c>
      <c r="C234" s="12"/>
      <c r="D234" s="12"/>
      <c r="E234" s="177">
        <f t="shared" ref="E234:R234" si="141">E135</f>
        <v>265745.83333333331</v>
      </c>
      <c r="F234" s="177">
        <f t="shared" si="141"/>
        <v>359833.33333333331</v>
      </c>
      <c r="G234" s="177">
        <f t="shared" si="141"/>
        <v>539750</v>
      </c>
      <c r="H234" s="177">
        <f t="shared" si="141"/>
        <v>539750</v>
      </c>
      <c r="I234" s="177">
        <f t="shared" si="141"/>
        <v>134937.5</v>
      </c>
      <c r="J234" s="177">
        <f t="shared" si="141"/>
        <v>224895.83333333331</v>
      </c>
      <c r="K234" s="177">
        <f t="shared" si="141"/>
        <v>0</v>
      </c>
      <c r="L234" s="177">
        <f t="shared" si="141"/>
        <v>0</v>
      </c>
      <c r="M234" s="177">
        <f t="shared" si="141"/>
        <v>0</v>
      </c>
      <c r="N234" s="177">
        <f t="shared" si="141"/>
        <v>0</v>
      </c>
      <c r="O234" s="177">
        <f t="shared" si="141"/>
        <v>0</v>
      </c>
      <c r="P234" s="177">
        <f t="shared" si="141"/>
        <v>0</v>
      </c>
      <c r="Q234" s="177">
        <f t="shared" si="141"/>
        <v>0</v>
      </c>
      <c r="R234" s="177">
        <f t="shared" si="141"/>
        <v>2064912.4999999998</v>
      </c>
    </row>
    <row r="235" spans="2:18" x14ac:dyDescent="0.2">
      <c r="B235" t="str">
        <f>B141</f>
        <v xml:space="preserve">DEVELOPMENT FEES </v>
      </c>
      <c r="C235" s="12"/>
      <c r="D235" s="12"/>
      <c r="E235" s="177">
        <f t="shared" ref="E235:R235" si="142">E141</f>
        <v>500000</v>
      </c>
      <c r="F235" s="177">
        <f t="shared" si="142"/>
        <v>1990000</v>
      </c>
      <c r="G235" s="177">
        <f t="shared" si="142"/>
        <v>2501000</v>
      </c>
      <c r="H235" s="177">
        <f t="shared" si="142"/>
        <v>2949958.125</v>
      </c>
      <c r="I235" s="177">
        <f t="shared" si="142"/>
        <v>3097653.7500000009</v>
      </c>
      <c r="J235" s="177">
        <f t="shared" si="142"/>
        <v>1818379.3593750002</v>
      </c>
      <c r="K235" s="177">
        <f t="shared" si="142"/>
        <v>2326941.9812500002</v>
      </c>
      <c r="L235" s="177">
        <f t="shared" si="142"/>
        <v>0</v>
      </c>
      <c r="M235" s="177">
        <f t="shared" si="142"/>
        <v>0</v>
      </c>
      <c r="N235" s="177">
        <f t="shared" si="142"/>
        <v>0</v>
      </c>
      <c r="O235" s="177">
        <f t="shared" si="142"/>
        <v>0</v>
      </c>
      <c r="P235" s="177">
        <f t="shared" si="142"/>
        <v>0</v>
      </c>
      <c r="Q235" s="177">
        <f t="shared" si="142"/>
        <v>0</v>
      </c>
      <c r="R235" s="177">
        <f t="shared" si="142"/>
        <v>15183933.215624999</v>
      </c>
    </row>
    <row r="236" spans="2:18" x14ac:dyDescent="0.2">
      <c r="B236" t="str">
        <f>B167</f>
        <v>FINANCING COSTS &amp; REPAYMENT</v>
      </c>
      <c r="C236" s="12"/>
      <c r="D236" s="12"/>
      <c r="E236" s="177">
        <f t="shared" ref="E236:R236" si="143">E167</f>
        <v>5966884.415332349</v>
      </c>
      <c r="F236" s="177">
        <f t="shared" si="143"/>
        <v>5369563.787533395</v>
      </c>
      <c r="G236" s="177">
        <f t="shared" si="143"/>
        <v>19012693.574987371</v>
      </c>
      <c r="H236" s="177">
        <f t="shared" si="143"/>
        <v>43093854.420544125</v>
      </c>
      <c r="I236" s="177">
        <f t="shared" si="143"/>
        <v>23111044.419777066</v>
      </c>
      <c r="J236" s="177">
        <f t="shared" si="143"/>
        <v>0</v>
      </c>
      <c r="K236" s="177">
        <f t="shared" si="143"/>
        <v>0</v>
      </c>
      <c r="L236" s="177">
        <f t="shared" si="143"/>
        <v>0</v>
      </c>
      <c r="M236" s="177">
        <f t="shared" si="143"/>
        <v>0</v>
      </c>
      <c r="N236" s="177">
        <f t="shared" si="143"/>
        <v>0</v>
      </c>
      <c r="O236" s="177">
        <f t="shared" si="143"/>
        <v>0</v>
      </c>
      <c r="P236" s="177">
        <f t="shared" si="143"/>
        <v>0</v>
      </c>
      <c r="Q236" s="177">
        <f t="shared" si="143"/>
        <v>0</v>
      </c>
      <c r="R236" s="177">
        <f t="shared" si="143"/>
        <v>96554040.618174314</v>
      </c>
    </row>
    <row r="237" spans="2:18" x14ac:dyDescent="0.2">
      <c r="B237" t="str">
        <f>B204</f>
        <v>DISTRIBUTIONS</v>
      </c>
      <c r="C237" s="12"/>
      <c r="D237" s="12"/>
      <c r="E237" s="177">
        <f t="shared" ref="E237:K237" si="144">E204</f>
        <v>0</v>
      </c>
      <c r="F237" s="177">
        <f>-F40</f>
        <v>0</v>
      </c>
      <c r="G237" s="177">
        <f t="shared" si="144"/>
        <v>2021262.3935065381</v>
      </c>
      <c r="H237" s="177">
        <f t="shared" si="144"/>
        <v>6236196.8092260361</v>
      </c>
      <c r="I237" s="177">
        <f t="shared" si="144"/>
        <v>50980849.986050308</v>
      </c>
      <c r="J237" s="177">
        <f t="shared" si="144"/>
        <v>5505195.5449268147</v>
      </c>
      <c r="K237" s="177">
        <f t="shared" si="144"/>
        <v>39512449.047979444</v>
      </c>
      <c r="L237" s="177">
        <f t="shared" ref="L237:R237" si="145">L204</f>
        <v>0</v>
      </c>
      <c r="M237" s="177">
        <f t="shared" si="145"/>
        <v>0</v>
      </c>
      <c r="N237" s="177">
        <f t="shared" si="145"/>
        <v>0</v>
      </c>
      <c r="O237" s="177">
        <f t="shared" si="145"/>
        <v>0</v>
      </c>
      <c r="P237" s="177">
        <f t="shared" si="145"/>
        <v>0</v>
      </c>
      <c r="Q237" s="177">
        <f t="shared" si="145"/>
        <v>0</v>
      </c>
      <c r="R237" s="177">
        <f t="shared" si="145"/>
        <v>104255953.78168914</v>
      </c>
    </row>
    <row r="238" spans="2:18" x14ac:dyDescent="0.2">
      <c r="B238" s="49" t="str">
        <f>B206</f>
        <v>TOTAL USES</v>
      </c>
      <c r="C238" s="52"/>
      <c r="D238" s="52"/>
      <c r="E238" s="233">
        <f>E206</f>
        <v>49517883.548745811</v>
      </c>
      <c r="F238" s="233">
        <f t="shared" ref="F238:K238" si="146">F206</f>
        <v>40498045.134899184</v>
      </c>
      <c r="G238" s="233">
        <f t="shared" si="146"/>
        <v>72987217.095117003</v>
      </c>
      <c r="H238" s="233">
        <f t="shared" si="146"/>
        <v>105186874.58492994</v>
      </c>
      <c r="I238" s="233">
        <f t="shared" si="146"/>
        <v>95024740.967034906</v>
      </c>
      <c r="J238" s="233">
        <f t="shared" si="146"/>
        <v>26712130.156250011</v>
      </c>
      <c r="K238" s="233">
        <f t="shared" si="146"/>
        <v>45046239.218750015</v>
      </c>
      <c r="L238" s="233">
        <f t="shared" ref="L238:R238" si="147">L206</f>
        <v>0</v>
      </c>
      <c r="M238" s="233">
        <f t="shared" si="147"/>
        <v>0</v>
      </c>
      <c r="N238" s="233">
        <f t="shared" si="147"/>
        <v>0</v>
      </c>
      <c r="O238" s="233">
        <f t="shared" si="147"/>
        <v>0</v>
      </c>
      <c r="P238" s="233">
        <f t="shared" si="147"/>
        <v>0</v>
      </c>
      <c r="Q238" s="233">
        <f t="shared" si="147"/>
        <v>0</v>
      </c>
      <c r="R238" s="233">
        <f t="shared" si="147"/>
        <v>434973130.70572686</v>
      </c>
    </row>
    <row r="239" spans="2:18" x14ac:dyDescent="0.2">
      <c r="B239" s="3"/>
      <c r="C239" s="23"/>
      <c r="D239" s="23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</row>
  </sheetData>
  <mergeCells count="4">
    <mergeCell ref="AD209:AI209"/>
    <mergeCell ref="S5:S6"/>
    <mergeCell ref="W144:X144"/>
    <mergeCell ref="T144:U144"/>
  </mergeCells>
  <pageMargins left="0.7" right="0.7" top="0.5" bottom="0.5" header="0.3" footer="0.3"/>
  <pageSetup scale="48" fitToHeight="4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2" manualBreakCount="2">
    <brk id="86" max="18" man="1"/>
    <brk id="168" max="1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51" r:id="rId4" name="Button 3">
              <controlPr defaultSize="0" print="0" autoFill="0" autoPict="0" macro="[0]!AMU">
                <anchor moveWithCells="1" sizeWithCells="1">
                  <from>
                    <xdr:col>22</xdr:col>
                    <xdr:colOff>342900</xdr:colOff>
                    <xdr:row>137</xdr:row>
                    <xdr:rowOff>25400</xdr:rowOff>
                  </from>
                  <to>
                    <xdr:col>23</xdr:col>
                    <xdr:colOff>850900</xdr:colOff>
                    <xdr:row>140</xdr:row>
                    <xdr:rowOff>88900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8FED-B5AB-42C7-A5E7-B9EB4AC61210}">
  <sheetPr>
    <tabColor theme="9" tint="0.59999389629810485"/>
  </sheetPr>
  <dimension ref="A1:AK103"/>
  <sheetViews>
    <sheetView showGridLines="0" zoomScale="120" zoomScaleNormal="120" zoomScaleSheetLayoutView="85" workbookViewId="0">
      <selection activeCell="C45" sqref="C45"/>
    </sheetView>
  </sheetViews>
  <sheetFormatPr baseColWidth="10" defaultColWidth="11" defaultRowHeight="16" outlineLevelCol="1" x14ac:dyDescent="0.2"/>
  <cols>
    <col min="1" max="1" width="3.1640625" style="497" customWidth="1"/>
    <col min="2" max="2" width="35.5" customWidth="1"/>
    <col min="3" max="3" width="11.1640625" bestFit="1" customWidth="1"/>
    <col min="4" max="4" width="13.5" bestFit="1" customWidth="1"/>
    <col min="5" max="5" width="11.1640625" customWidth="1"/>
    <col min="6" max="13" width="14.1640625" customWidth="1"/>
    <col min="14" max="18" width="12.1640625" customWidth="1" outlineLevel="1"/>
    <col min="19" max="19" width="3.6640625" customWidth="1"/>
    <col min="20" max="20" width="14" style="497" bestFit="1" customWidth="1"/>
    <col min="21" max="21" width="13.1640625" style="497" bestFit="1" customWidth="1"/>
    <col min="22" max="22" width="14" style="497" bestFit="1" customWidth="1"/>
    <col min="23" max="23" width="13" style="497" customWidth="1"/>
    <col min="24" max="34" width="13.1640625" style="497" bestFit="1" customWidth="1"/>
    <col min="35" max="36" width="11" style="497"/>
    <col min="37" max="37" width="12.5" style="497" bestFit="1" customWidth="1"/>
    <col min="38" max="16384" width="11" style="497"/>
  </cols>
  <sheetData>
    <row r="1" spans="1:19" ht="21" x14ac:dyDescent="0.25">
      <c r="A1" s="75"/>
      <c r="B1" s="493" t="str">
        <f>'Proforma Land+Home'!B1</f>
        <v>CLARENDON - LAND &amp; HOME DEVELOPMENT</v>
      </c>
      <c r="C1" s="565"/>
      <c r="D1" s="565"/>
      <c r="E1" s="565"/>
    </row>
    <row r="2" spans="1:19" ht="21" x14ac:dyDescent="0.25">
      <c r="A2" s="75"/>
      <c r="B2" s="563" t="s">
        <v>141</v>
      </c>
      <c r="C2" s="563"/>
      <c r="D2" s="563"/>
      <c r="E2" s="56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</row>
    <row r="3" spans="1:19" x14ac:dyDescent="0.2">
      <c r="A3" s="261"/>
      <c r="H3" s="138"/>
    </row>
    <row r="4" spans="1:19" x14ac:dyDescent="0.2">
      <c r="A4" s="261"/>
      <c r="B4" s="194" t="s">
        <v>142</v>
      </c>
      <c r="C4" s="194"/>
      <c r="D4" s="194"/>
      <c r="E4" s="3"/>
      <c r="F4" s="609" t="s">
        <v>143</v>
      </c>
      <c r="G4" s="194"/>
      <c r="H4" s="194"/>
    </row>
    <row r="5" spans="1:19" x14ac:dyDescent="0.2">
      <c r="A5" s="261"/>
      <c r="B5" s="242" t="s">
        <v>144</v>
      </c>
      <c r="D5" s="572">
        <f>'Proforma Land+Home'!R41+'Proforma Land+Home'!R48</f>
        <v>83066760.549476773</v>
      </c>
      <c r="F5" s="242" t="s">
        <v>145</v>
      </c>
      <c r="H5" s="572">
        <f>('Proforma Land+Home'!R51+'Proforma Land+Home'!R57+'Proforma Land+Home'!R56)-'Proforma Land+Home'!R121</f>
        <v>339117520.42109382</v>
      </c>
    </row>
    <row r="6" spans="1:19" x14ac:dyDescent="0.2">
      <c r="A6" s="261"/>
      <c r="B6" s="242" t="s">
        <v>146</v>
      </c>
      <c r="D6" s="572">
        <f>'Proforma Land+Home'!T17</f>
        <v>279912500</v>
      </c>
      <c r="F6" s="295" t="s">
        <v>147</v>
      </c>
      <c r="H6" s="572">
        <f>'Proforma Land+Home'!R143-'Proforma Land+Home'!R121+'Proforma Land+Home'!R148+'Proforma Land+Home'!R149+'Proforma Land+Home'!R159+'Proforma Land+Home'!R160+'Proforma Land+Home'!R165</f>
        <v>250786566.63940471</v>
      </c>
    </row>
    <row r="7" spans="1:19" x14ac:dyDescent="0.2">
      <c r="A7" s="261"/>
      <c r="B7" s="608" t="s">
        <v>148</v>
      </c>
      <c r="D7" s="612">
        <f>'Proforma Land+Home'!T38</f>
        <v>30975000</v>
      </c>
      <c r="F7" s="611" t="s">
        <v>149</v>
      </c>
      <c r="H7" s="572">
        <f>H5-H6</f>
        <v>88330953.781689107</v>
      </c>
    </row>
    <row r="8" spans="1:19" x14ac:dyDescent="0.2">
      <c r="A8" s="261"/>
      <c r="B8" s="608" t="s">
        <v>150</v>
      </c>
      <c r="D8" s="610">
        <f>'Proforma Land+Home'!T41</f>
        <v>0.49717514124293788</v>
      </c>
      <c r="F8" s="242" t="s">
        <v>151</v>
      </c>
      <c r="H8" s="607">
        <f>H7/H5</f>
        <v>0.26047298786569784</v>
      </c>
    </row>
    <row r="9" spans="1:19" x14ac:dyDescent="0.2">
      <c r="A9" s="261"/>
      <c r="B9" s="608" t="s">
        <v>152</v>
      </c>
      <c r="D9" s="607">
        <f>'Proforma Land+Home'!T46</f>
        <v>0.81460695110618464</v>
      </c>
      <c r="F9" s="242" t="s">
        <v>153</v>
      </c>
      <c r="H9" s="599">
        <f>H7/'Proforma Land+Home'!E41</f>
        <v>5.7357762195902016</v>
      </c>
      <c r="L9" s="2"/>
      <c r="M9" s="2"/>
      <c r="N9" s="2"/>
      <c r="O9" s="2"/>
      <c r="P9" s="2"/>
      <c r="Q9" s="2"/>
      <c r="R9" s="2"/>
      <c r="S9" s="2"/>
    </row>
    <row r="10" spans="1:19" x14ac:dyDescent="0.2">
      <c r="A10" s="261"/>
      <c r="B10" s="242" t="s">
        <v>154</v>
      </c>
      <c r="D10" s="471">
        <f>'Proforma Land+Home'!T48</f>
        <v>0.11019829070886317</v>
      </c>
      <c r="F10" s="11"/>
      <c r="I10" s="138"/>
      <c r="K10" s="599"/>
      <c r="L10" s="11"/>
      <c r="M10" s="11"/>
      <c r="N10" s="11"/>
    </row>
    <row r="11" spans="1:19" x14ac:dyDescent="0.2">
      <c r="A11" s="261"/>
      <c r="B11" s="608"/>
      <c r="L11" s="11"/>
      <c r="M11" s="11"/>
      <c r="N11" s="11"/>
    </row>
    <row r="12" spans="1:19" x14ac:dyDescent="0.2">
      <c r="A12" s="261"/>
      <c r="B12" s="609" t="s">
        <v>155</v>
      </c>
      <c r="C12" s="275"/>
      <c r="D12" s="275"/>
      <c r="F12" s="11"/>
      <c r="L12" s="11"/>
      <c r="M12" s="11"/>
      <c r="N12" s="11"/>
    </row>
    <row r="13" spans="1:19" x14ac:dyDescent="0.2">
      <c r="A13" s="261"/>
      <c r="B13" s="608" t="s">
        <v>156</v>
      </c>
      <c r="D13" s="572">
        <f>SUM('Proforma Land+Home'!E210:Q210)</f>
        <v>88855953.781689137</v>
      </c>
      <c r="L13" s="11"/>
      <c r="M13" s="11"/>
      <c r="N13" s="11"/>
    </row>
    <row r="14" spans="1:19" x14ac:dyDescent="0.2">
      <c r="A14" s="261"/>
      <c r="B14" s="608" t="s">
        <v>157</v>
      </c>
      <c r="D14" s="599">
        <f>'Proforma Land+Home'!R204/-F48</f>
        <v>6.7698671286811125</v>
      </c>
      <c r="L14" s="11"/>
      <c r="M14" s="11"/>
      <c r="N14" s="11"/>
    </row>
    <row r="15" spans="1:19" x14ac:dyDescent="0.2">
      <c r="A15" s="261"/>
      <c r="B15" s="242" t="s">
        <v>158</v>
      </c>
      <c r="D15" s="607">
        <f>D13/-F48</f>
        <v>5.7698671286811125</v>
      </c>
      <c r="F15" s="11"/>
      <c r="L15" s="11"/>
      <c r="M15" s="11"/>
      <c r="N15" s="11"/>
    </row>
    <row r="16" spans="1:19" x14ac:dyDescent="0.2">
      <c r="A16" s="261"/>
      <c r="B16" s="242" t="s">
        <v>159</v>
      </c>
      <c r="D16" s="607">
        <f>XIRR('Proforma Land+Home'!E210:Q210,'Proforma Land+Home'!E5:Q5)</f>
        <v>0.53538526892662042</v>
      </c>
    </row>
    <row r="17" spans="1:37" x14ac:dyDescent="0.2">
      <c r="A17" s="261"/>
      <c r="B17" s="242"/>
      <c r="D17" s="607"/>
    </row>
    <row r="18" spans="1:37" x14ac:dyDescent="0.2">
      <c r="A18" s="261"/>
      <c r="B18" s="606"/>
      <c r="E18" s="605"/>
      <c r="F18" s="251" t="str">
        <f>'Proforma Land+Home'!E3</f>
        <v>Year 0</v>
      </c>
      <c r="G18" s="251" t="str">
        <f>'Proforma Land+Home'!F3</f>
        <v>Year 1</v>
      </c>
      <c r="H18" s="251" t="str">
        <f>'Proforma Land+Home'!G3</f>
        <v>Year 2</v>
      </c>
      <c r="I18" s="251" t="str">
        <f>'Proforma Land+Home'!H3</f>
        <v>Year 3</v>
      </c>
      <c r="J18" s="251" t="str">
        <f>'Proforma Land+Home'!I3</f>
        <v>Year 4</v>
      </c>
      <c r="K18" s="251" t="str">
        <f>'Proforma Land+Home'!J3</f>
        <v>Year 5</v>
      </c>
      <c r="L18" s="251" t="str">
        <f>'Proforma Land+Home'!K3</f>
        <v>Year 6</v>
      </c>
      <c r="M18" s="251" t="str">
        <f>'Proforma Land+Home'!L3</f>
        <v>Year 7</v>
      </c>
      <c r="N18" s="251" t="str">
        <f>'Proforma Land+Home'!M3</f>
        <v>Year 8</v>
      </c>
      <c r="O18" s="251" t="str">
        <f>'Proforma Land+Home'!N3</f>
        <v>Year 9</v>
      </c>
      <c r="P18" s="251" t="str">
        <f>'Proforma Land+Home'!O3</f>
        <v>Year 10</v>
      </c>
      <c r="Q18" s="251" t="str">
        <f>'Proforma Land+Home'!P3</f>
        <v>Year 11</v>
      </c>
      <c r="R18" s="251" t="str">
        <f>'Proforma Land+Home'!Q3</f>
        <v>Year 12</v>
      </c>
    </row>
    <row r="19" spans="1:37" s="619" customFormat="1" x14ac:dyDescent="0.2">
      <c r="A19" s="261"/>
      <c r="B19" s="3"/>
      <c r="C19" s="3"/>
      <c r="D19" s="3"/>
      <c r="E19" s="3"/>
      <c r="F19" s="6">
        <f>'Proforma Land+Home'!E4</f>
        <v>2025</v>
      </c>
      <c r="G19" s="6">
        <f>'Proforma Land+Home'!F4</f>
        <v>2026</v>
      </c>
      <c r="H19" s="6">
        <f>'Proforma Land+Home'!G4</f>
        <v>2027</v>
      </c>
      <c r="I19" s="6">
        <f>'Proforma Land+Home'!H4</f>
        <v>2028</v>
      </c>
      <c r="J19" s="6">
        <f>'Proforma Land+Home'!I4</f>
        <v>2029</v>
      </c>
      <c r="K19" s="6">
        <f>'Proforma Land+Home'!J4</f>
        <v>2030</v>
      </c>
      <c r="L19" s="6">
        <f>'Proforma Land+Home'!K4</f>
        <v>2031</v>
      </c>
      <c r="M19" s="6">
        <f>'Proforma Land+Home'!L4</f>
        <v>2032</v>
      </c>
      <c r="N19" s="6">
        <f>'Proforma Land+Home'!M4</f>
        <v>2033</v>
      </c>
      <c r="O19" s="6">
        <f>'Proforma Land+Home'!N4</f>
        <v>2034</v>
      </c>
      <c r="P19" s="6">
        <f>'Proforma Land+Home'!O4</f>
        <v>2035</v>
      </c>
      <c r="Q19" s="6">
        <f>'Proforma Land+Home'!P4</f>
        <v>2036</v>
      </c>
      <c r="R19" s="6">
        <f>'Proforma Land+Home'!Q4</f>
        <v>2037</v>
      </c>
      <c r="S19"/>
      <c r="T19" s="497"/>
      <c r="U19" s="497"/>
      <c r="V19" s="497"/>
      <c r="W19" s="497"/>
      <c r="X19" s="497"/>
      <c r="Y19" s="497"/>
      <c r="Z19" s="497"/>
    </row>
    <row r="20" spans="1:37" x14ac:dyDescent="0.2">
      <c r="A20" s="261"/>
      <c r="B20" s="55" t="s">
        <v>160</v>
      </c>
      <c r="C20" s="2"/>
      <c r="D20" s="2"/>
      <c r="E20" s="2"/>
      <c r="F20" s="600">
        <f>'Proforma Land+Home'!E5</f>
        <v>45658</v>
      </c>
      <c r="G20" s="600">
        <f>'Proforma Land+Home'!F5</f>
        <v>46023</v>
      </c>
      <c r="H20" s="600">
        <f>'Proforma Land+Home'!G5</f>
        <v>46388</v>
      </c>
      <c r="I20" s="600">
        <f>'Proforma Land+Home'!H5</f>
        <v>46753</v>
      </c>
      <c r="J20" s="600">
        <f>'Proforma Land+Home'!I5</f>
        <v>47119</v>
      </c>
      <c r="K20" s="600">
        <f>'Proforma Land+Home'!J5</f>
        <v>47484</v>
      </c>
      <c r="L20" s="600">
        <f>'Proforma Land+Home'!K5</f>
        <v>47849</v>
      </c>
      <c r="M20" s="600">
        <f>'Proforma Land+Home'!L5</f>
        <v>48214</v>
      </c>
      <c r="N20" s="600">
        <f>'Proforma Land+Home'!M5</f>
        <v>48579</v>
      </c>
      <c r="O20" s="600">
        <f>'Proforma Land+Home'!N5</f>
        <v>48944</v>
      </c>
      <c r="P20" s="600">
        <f>'Proforma Land+Home'!O5</f>
        <v>49309</v>
      </c>
      <c r="Q20" s="600">
        <f>'Proforma Land+Home'!P5</f>
        <v>49675</v>
      </c>
      <c r="R20" s="600">
        <f>'Proforma Land+Home'!Q5</f>
        <v>50040</v>
      </c>
      <c r="S20" s="2"/>
      <c r="T20" s="603"/>
      <c r="U20" s="603"/>
      <c r="V20" s="603"/>
      <c r="W20" s="603"/>
      <c r="X20" s="603"/>
      <c r="Y20" s="603"/>
      <c r="Z20" s="603"/>
      <c r="AA20" s="603"/>
      <c r="AB20" s="603"/>
      <c r="AC20" s="603"/>
      <c r="AD20" s="603"/>
      <c r="AE20" s="603"/>
      <c r="AF20" s="603"/>
      <c r="AG20" s="603"/>
      <c r="AH20" s="603"/>
      <c r="AI20" s="603"/>
      <c r="AJ20" s="603"/>
      <c r="AK20" s="603"/>
    </row>
    <row r="21" spans="1:37" x14ac:dyDescent="0.2">
      <c r="A21" s="261"/>
      <c r="B21" s="34" t="s">
        <v>581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266"/>
      <c r="T21" s="603"/>
      <c r="U21" s="603"/>
      <c r="V21" s="603"/>
      <c r="W21" s="603"/>
      <c r="X21" s="603"/>
      <c r="Y21" s="603"/>
      <c r="Z21" s="603"/>
      <c r="AA21" s="603"/>
      <c r="AB21" s="603"/>
      <c r="AC21" s="603"/>
      <c r="AD21" s="603"/>
      <c r="AE21" s="603"/>
      <c r="AF21" s="603"/>
      <c r="AG21" s="603"/>
      <c r="AH21" s="603"/>
      <c r="AI21" s="603"/>
      <c r="AJ21" s="603"/>
      <c r="AK21" s="603"/>
    </row>
    <row r="22" spans="1:37" x14ac:dyDescent="0.2">
      <c r="A22" s="261"/>
      <c r="B22" s="173" t="s">
        <v>32</v>
      </c>
      <c r="D22" s="148">
        <f t="shared" ref="D22:D23" si="0">SUM(F22:R22)</f>
        <v>20940638.197832163</v>
      </c>
      <c r="F22" s="92">
        <f>'Proforma Land+Home'!E175</f>
        <v>0</v>
      </c>
      <c r="G22" s="92">
        <f>'Proforma Land+Home'!F175</f>
        <v>0</v>
      </c>
      <c r="H22" s="92">
        <f>'Proforma Land+Home'!G175</f>
        <v>1968762.0715972774</v>
      </c>
      <c r="I22" s="92">
        <f>'Proforma Land+Home'!H175</f>
        <v>6074217.6713240612</v>
      </c>
      <c r="J22" s="92">
        <f>'Proforma Land+Home'!I175</f>
        <v>12897658.454910826</v>
      </c>
      <c r="K22" s="92">
        <f>'Proforma Land+Home'!J175</f>
        <v>0</v>
      </c>
      <c r="L22" s="92">
        <f>'Proforma Land+Home'!K175</f>
        <v>0</v>
      </c>
      <c r="M22" s="92">
        <f>'Proforma Land+Home'!L175</f>
        <v>0</v>
      </c>
      <c r="N22" s="92">
        <f>'Proforma Land+Home'!M175</f>
        <v>0</v>
      </c>
      <c r="O22" s="92">
        <f>'Proforma Land+Home'!N175</f>
        <v>0</v>
      </c>
      <c r="P22" s="92">
        <f>'Proforma Land+Home'!O175</f>
        <v>0</v>
      </c>
      <c r="Q22" s="92">
        <f>'Proforma Land+Home'!P175</f>
        <v>0</v>
      </c>
      <c r="R22" s="92">
        <f>'Proforma Land+Home'!Q175</f>
        <v>0</v>
      </c>
      <c r="S22" s="266"/>
      <c r="T22" s="603"/>
      <c r="U22" s="603"/>
      <c r="V22" s="603"/>
    </row>
    <row r="23" spans="1:37" x14ac:dyDescent="0.2">
      <c r="A23" s="261"/>
      <c r="B23" s="272" t="s">
        <v>162</v>
      </c>
      <c r="C23" s="225"/>
      <c r="D23" s="271">
        <f t="shared" si="0"/>
        <v>44173914.122284919</v>
      </c>
      <c r="E23" s="225"/>
      <c r="F23" s="77">
        <f>'Proforma Land+Home'!E201-F22</f>
        <v>0</v>
      </c>
      <c r="G23" s="77">
        <f>'Proforma Land+Home'!F201-G22</f>
        <v>0</v>
      </c>
      <c r="H23" s="77">
        <f>'Proforma Land+Home'!G201-H22</f>
        <v>0</v>
      </c>
      <c r="I23" s="77">
        <f>'Proforma Land+Home'!H201-I22</f>
        <v>0</v>
      </c>
      <c r="J23" s="77">
        <f>'Proforma Land+Home'!I201-J22</f>
        <v>22249736.560804602</v>
      </c>
      <c r="K23" s="77">
        <f>'Proforma Land+Home'!J201-K22</f>
        <v>2681101.7264253967</v>
      </c>
      <c r="L23" s="77">
        <f>'Proforma Land+Home'!K201-L22</f>
        <v>19243075.835054923</v>
      </c>
      <c r="M23" s="77">
        <f>'Proforma Land+Home'!L201-M22</f>
        <v>0</v>
      </c>
      <c r="N23" s="77">
        <f>'Proforma Land+Home'!M201-N22</f>
        <v>0</v>
      </c>
      <c r="O23" s="77">
        <f>'Proforma Land+Home'!N201-O22</f>
        <v>0</v>
      </c>
      <c r="P23" s="77">
        <f>'Proforma Land+Home'!O201-P22</f>
        <v>0</v>
      </c>
      <c r="Q23" s="77">
        <f>'Proforma Land+Home'!P201-Q22</f>
        <v>0</v>
      </c>
      <c r="R23" s="77">
        <f>'Proforma Land+Home'!Q201-R22</f>
        <v>0</v>
      </c>
      <c r="S23" s="266"/>
      <c r="T23" s="603"/>
      <c r="U23" s="603"/>
      <c r="V23" s="603"/>
    </row>
    <row r="24" spans="1:37" x14ac:dyDescent="0.2">
      <c r="A24" s="261"/>
      <c r="B24" s="133" t="s">
        <v>163</v>
      </c>
      <c r="D24" s="109">
        <f>SUM(F24:R24)</f>
        <v>65114552.320117086</v>
      </c>
      <c r="F24" s="92">
        <f>F22+F23</f>
        <v>0</v>
      </c>
      <c r="G24" s="92">
        <f t="shared" ref="G24:R24" si="1">G22+G23</f>
        <v>0</v>
      </c>
      <c r="H24" s="92">
        <f t="shared" si="1"/>
        <v>1968762.0715972774</v>
      </c>
      <c r="I24" s="92">
        <f t="shared" si="1"/>
        <v>6074217.6713240612</v>
      </c>
      <c r="J24" s="92">
        <f t="shared" si="1"/>
        <v>35147395.015715428</v>
      </c>
      <c r="K24" s="92">
        <f t="shared" si="1"/>
        <v>2681101.7264253967</v>
      </c>
      <c r="L24" s="92">
        <f t="shared" si="1"/>
        <v>19243075.835054923</v>
      </c>
      <c r="M24" s="92">
        <f t="shared" si="1"/>
        <v>0</v>
      </c>
      <c r="N24" s="92">
        <f t="shared" si="1"/>
        <v>0</v>
      </c>
      <c r="O24" s="92">
        <f t="shared" si="1"/>
        <v>0</v>
      </c>
      <c r="P24" s="92">
        <f t="shared" si="1"/>
        <v>0</v>
      </c>
      <c r="Q24" s="92">
        <f t="shared" si="1"/>
        <v>0</v>
      </c>
      <c r="R24" s="92">
        <f t="shared" si="1"/>
        <v>0</v>
      </c>
      <c r="S24" s="266"/>
      <c r="T24" s="603"/>
      <c r="U24" s="603"/>
      <c r="V24" s="603"/>
    </row>
    <row r="25" spans="1:37" x14ac:dyDescent="0.2">
      <c r="A25" s="261"/>
      <c r="B25" s="594" t="s">
        <v>164</v>
      </c>
      <c r="C25" s="2"/>
      <c r="D25" s="601">
        <f>SUM(F25:R25)</f>
        <v>15000000</v>
      </c>
      <c r="E25" s="2"/>
      <c r="F25" s="521">
        <f>-'Proforma Land+Home'!E177</f>
        <v>15000000</v>
      </c>
      <c r="G25" s="521">
        <f>-'Proforma Land+Home'!F177</f>
        <v>0</v>
      </c>
      <c r="H25" s="521"/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266"/>
      <c r="T25" s="603"/>
      <c r="U25" s="603"/>
      <c r="V25" s="603"/>
      <c r="W25" s="603"/>
      <c r="X25" s="603"/>
      <c r="Y25" s="603"/>
      <c r="Z25" s="603"/>
      <c r="AA25" s="603"/>
      <c r="AB25" s="603"/>
      <c r="AC25" s="603"/>
      <c r="AD25" s="603"/>
      <c r="AE25" s="603"/>
      <c r="AF25" s="603"/>
      <c r="AG25" s="603"/>
      <c r="AH25" s="603"/>
      <c r="AI25" s="603"/>
      <c r="AJ25" s="603"/>
      <c r="AK25" s="603"/>
    </row>
    <row r="26" spans="1:37" ht="17" thickBot="1" x14ac:dyDescent="0.25">
      <c r="A26" s="261"/>
      <c r="B26" s="594" t="s">
        <v>165</v>
      </c>
      <c r="C26" s="2"/>
      <c r="D26" s="604">
        <f>SUM(F26:R26)</f>
        <v>50114552.320117086</v>
      </c>
      <c r="E26" s="2"/>
      <c r="F26" s="521">
        <f>F24-F25</f>
        <v>-15000000</v>
      </c>
      <c r="G26" s="521">
        <f t="shared" ref="G26:R26" si="2">G24-G25</f>
        <v>0</v>
      </c>
      <c r="H26" s="521">
        <f t="shared" si="2"/>
        <v>1968762.0715972774</v>
      </c>
      <c r="I26" s="521">
        <f t="shared" si="2"/>
        <v>6074217.6713240612</v>
      </c>
      <c r="J26" s="521">
        <f t="shared" si="2"/>
        <v>35147395.015715428</v>
      </c>
      <c r="K26" s="521">
        <f t="shared" si="2"/>
        <v>2681101.7264253967</v>
      </c>
      <c r="L26" s="521">
        <f t="shared" si="2"/>
        <v>19243075.835054923</v>
      </c>
      <c r="M26" s="521">
        <f t="shared" si="2"/>
        <v>0</v>
      </c>
      <c r="N26" s="521">
        <f t="shared" si="2"/>
        <v>0</v>
      </c>
      <c r="O26" s="521">
        <f t="shared" si="2"/>
        <v>0</v>
      </c>
      <c r="P26" s="521">
        <f t="shared" si="2"/>
        <v>0</v>
      </c>
      <c r="Q26" s="521">
        <f t="shared" si="2"/>
        <v>0</v>
      </c>
      <c r="R26" s="521">
        <f t="shared" si="2"/>
        <v>0</v>
      </c>
      <c r="S26" s="266"/>
      <c r="T26" s="603"/>
      <c r="U26" s="603"/>
      <c r="V26" s="603"/>
      <c r="W26" s="603"/>
      <c r="X26" s="603"/>
      <c r="Y26" s="603"/>
      <c r="Z26" s="603"/>
      <c r="AA26" s="603"/>
      <c r="AB26" s="603"/>
      <c r="AC26" s="603"/>
      <c r="AD26" s="603"/>
      <c r="AE26" s="603"/>
      <c r="AF26" s="603"/>
      <c r="AG26" s="603"/>
      <c r="AH26" s="603"/>
      <c r="AI26" s="603"/>
      <c r="AJ26" s="603"/>
      <c r="AK26" s="603"/>
    </row>
    <row r="27" spans="1:37" ht="17" thickTop="1" x14ac:dyDescent="0.2">
      <c r="A27" s="261"/>
      <c r="B27" s="594" t="s">
        <v>166</v>
      </c>
      <c r="C27" s="2"/>
      <c r="D27" s="2"/>
      <c r="E27" s="2"/>
      <c r="F27" s="593">
        <f>XIRR(F26:R26,F20:R20)</f>
        <v>0.40926963686943063</v>
      </c>
    </row>
    <row r="28" spans="1:37" x14ac:dyDescent="0.2">
      <c r="A28" s="261"/>
      <c r="B28" s="594" t="s">
        <v>167</v>
      </c>
      <c r="C28" s="2"/>
      <c r="D28" s="2"/>
      <c r="E28" s="2"/>
      <c r="F28" s="598">
        <f>SUMIF(F26:R26,"&gt;0")/-SUMIF(F26:R26,"&lt;0")</f>
        <v>4.3409701546744728</v>
      </c>
    </row>
    <row r="29" spans="1:37" x14ac:dyDescent="0.2">
      <c r="A29" s="261"/>
      <c r="B29" s="594" t="s">
        <v>168</v>
      </c>
      <c r="C29" s="2"/>
      <c r="D29" s="2"/>
      <c r="E29" s="2"/>
      <c r="F29" s="521">
        <f t="shared" ref="F29:R29" si="3">F26+E29</f>
        <v>-15000000</v>
      </c>
      <c r="G29" s="521">
        <f t="shared" si="3"/>
        <v>-15000000</v>
      </c>
      <c r="H29" s="521">
        <f t="shared" si="3"/>
        <v>-13031237.928402722</v>
      </c>
      <c r="I29" s="521">
        <f t="shared" si="3"/>
        <v>-6957020.2570786607</v>
      </c>
      <c r="J29" s="521">
        <f t="shared" si="3"/>
        <v>28190374.758636765</v>
      </c>
      <c r="K29" s="521">
        <f t="shared" si="3"/>
        <v>30871476.485062163</v>
      </c>
      <c r="L29" s="521">
        <f t="shared" si="3"/>
        <v>50114552.320117086</v>
      </c>
      <c r="M29" s="521">
        <f t="shared" si="3"/>
        <v>50114552.320117086</v>
      </c>
      <c r="N29" s="521">
        <f t="shared" si="3"/>
        <v>50114552.320117086</v>
      </c>
      <c r="O29" s="521">
        <f t="shared" si="3"/>
        <v>50114552.320117086</v>
      </c>
      <c r="P29" s="521">
        <f t="shared" si="3"/>
        <v>50114552.320117086</v>
      </c>
      <c r="Q29" s="521">
        <f t="shared" si="3"/>
        <v>50114552.320117086</v>
      </c>
      <c r="R29" s="521">
        <f t="shared" si="3"/>
        <v>50114552.320117086</v>
      </c>
    </row>
    <row r="30" spans="1:37" x14ac:dyDescent="0.2">
      <c r="A30" s="261"/>
      <c r="B30" s="594"/>
      <c r="C30" s="2"/>
      <c r="D30" s="2"/>
      <c r="E30" s="2"/>
      <c r="F30" s="521"/>
      <c r="G30" s="521"/>
      <c r="H30" s="521"/>
      <c r="I30" s="521"/>
      <c r="J30" s="521"/>
      <c r="K30" s="521"/>
      <c r="L30" s="521"/>
      <c r="M30" s="521"/>
      <c r="N30" s="521"/>
      <c r="O30" s="521"/>
      <c r="P30" s="521"/>
      <c r="Q30" s="521"/>
      <c r="R30" s="521"/>
    </row>
    <row r="31" spans="1:37" x14ac:dyDescent="0.2">
      <c r="A31" s="261"/>
      <c r="B31" s="34" t="s">
        <v>169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37" x14ac:dyDescent="0.2">
      <c r="A32" s="261"/>
      <c r="B32" s="173" t="s">
        <v>170</v>
      </c>
      <c r="D32" s="148"/>
      <c r="F32" s="92">
        <f>'Proforma Land+Home'!E181</f>
        <v>0</v>
      </c>
      <c r="G32" s="92">
        <f>'Proforma Land+Home'!F181</f>
        <v>0</v>
      </c>
      <c r="H32" s="92">
        <f>'Proforma Land+Home'!G181</f>
        <v>52500.321909260732</v>
      </c>
      <c r="I32" s="92">
        <f>'Proforma Land+Home'!H181</f>
        <v>161979.13790197499</v>
      </c>
      <c r="J32" s="92">
        <f>'Proforma Land+Home'!I181</f>
        <v>343937.55879762204</v>
      </c>
      <c r="K32" s="92">
        <f>'Proforma Land+Home'!J181</f>
        <v>0</v>
      </c>
      <c r="L32" s="92">
        <f>'Proforma Land+Home'!K181</f>
        <v>0</v>
      </c>
      <c r="M32" s="92">
        <f>'Proforma Land+Home'!L181</f>
        <v>0</v>
      </c>
      <c r="N32" s="92">
        <f>'Proforma Land+Home'!M181</f>
        <v>0</v>
      </c>
      <c r="O32" s="92">
        <f>'Proforma Land+Home'!N181</f>
        <v>0</v>
      </c>
      <c r="P32" s="92">
        <f>'Proforma Land+Home'!O181</f>
        <v>0</v>
      </c>
      <c r="Q32" s="92">
        <f>'Proforma Land+Home'!P181</f>
        <v>0</v>
      </c>
      <c r="R32" s="92">
        <f>'Proforma Land+Home'!Q181</f>
        <v>0</v>
      </c>
      <c r="S32" s="266"/>
      <c r="T32" s="603"/>
      <c r="U32" s="603"/>
      <c r="V32" s="603"/>
    </row>
    <row r="33" spans="1:37" x14ac:dyDescent="0.2">
      <c r="A33" s="261"/>
      <c r="B33" s="272" t="s">
        <v>162</v>
      </c>
      <c r="C33" s="225"/>
      <c r="D33" s="271"/>
      <c r="E33" s="225"/>
      <c r="F33" s="77">
        <f>'Proforma Land+Home'!E202-F32</f>
        <v>0</v>
      </c>
      <c r="G33" s="77">
        <f>'Proforma Land+Home'!F202-G32</f>
        <v>0</v>
      </c>
      <c r="H33" s="77">
        <f>'Proforma Land+Home'!G202-H32</f>
        <v>0</v>
      </c>
      <c r="I33" s="77">
        <f>'Proforma Land+Home'!H202-I32</f>
        <v>0</v>
      </c>
      <c r="J33" s="77">
        <f>'Proforma Land+Home'!I202-J32</f>
        <v>593326.30828812276</v>
      </c>
      <c r="K33" s="77">
        <f>'Proforma Land+Home'!J202-K32</f>
        <v>71496.046038010609</v>
      </c>
      <c r="L33" s="77">
        <f>'Proforma Land+Home'!K202-L32</f>
        <v>513148.68893479812</v>
      </c>
      <c r="M33" s="77">
        <f>'Proforma Land+Home'!L202-M32</f>
        <v>0</v>
      </c>
      <c r="N33" s="77">
        <f>'Proforma Land+Home'!M202-N32</f>
        <v>0</v>
      </c>
      <c r="O33" s="77">
        <f>'Proforma Land+Home'!N202-O32</f>
        <v>0</v>
      </c>
      <c r="P33" s="77">
        <f>'Proforma Land+Home'!O202-P32</f>
        <v>0</v>
      </c>
      <c r="Q33" s="77">
        <f>'Proforma Land+Home'!P202-Q32</f>
        <v>0</v>
      </c>
      <c r="R33" s="77">
        <f>'Proforma Land+Home'!Q202-R32</f>
        <v>0</v>
      </c>
      <c r="S33" s="266"/>
      <c r="T33" s="603"/>
      <c r="U33" s="603"/>
      <c r="V33" s="603"/>
    </row>
    <row r="34" spans="1:37" x14ac:dyDescent="0.2">
      <c r="A34" s="261"/>
      <c r="B34" s="594" t="s">
        <v>171</v>
      </c>
      <c r="C34" s="2"/>
      <c r="D34" s="601">
        <f t="shared" ref="D34:D35" si="4">SUM(F34:R34)</f>
        <v>1736388.0618697894</v>
      </c>
      <c r="E34" s="2"/>
      <c r="F34" s="521">
        <f>SUM(F32:F33)</f>
        <v>0</v>
      </c>
      <c r="G34" s="521">
        <f t="shared" ref="G34:R34" si="5">SUM(G32:G33)</f>
        <v>0</v>
      </c>
      <c r="H34" s="521">
        <f t="shared" si="5"/>
        <v>52500.321909260732</v>
      </c>
      <c r="I34" s="521">
        <f t="shared" si="5"/>
        <v>161979.13790197499</v>
      </c>
      <c r="J34" s="521">
        <f t="shared" si="5"/>
        <v>937263.86708574486</v>
      </c>
      <c r="K34" s="521">
        <f t="shared" si="5"/>
        <v>71496.046038010609</v>
      </c>
      <c r="L34" s="521">
        <f t="shared" si="5"/>
        <v>513148.68893479812</v>
      </c>
      <c r="M34" s="521">
        <f t="shared" si="5"/>
        <v>0</v>
      </c>
      <c r="N34" s="521">
        <f t="shared" si="5"/>
        <v>0</v>
      </c>
      <c r="O34" s="521">
        <f t="shared" si="5"/>
        <v>0</v>
      </c>
      <c r="P34" s="521">
        <f t="shared" si="5"/>
        <v>0</v>
      </c>
      <c r="Q34" s="521">
        <f t="shared" si="5"/>
        <v>0</v>
      </c>
      <c r="R34" s="521">
        <f t="shared" si="5"/>
        <v>0</v>
      </c>
    </row>
    <row r="35" spans="1:37" x14ac:dyDescent="0.2">
      <c r="A35" s="261"/>
      <c r="B35" s="594" t="s">
        <v>164</v>
      </c>
      <c r="C35" s="2"/>
      <c r="D35" s="601">
        <f t="shared" si="4"/>
        <v>400000</v>
      </c>
      <c r="E35" s="2"/>
      <c r="F35" s="521">
        <f>-'Proforma Land+Home'!E183</f>
        <v>400000</v>
      </c>
      <c r="G35" s="521"/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266"/>
      <c r="T35" s="603"/>
      <c r="U35" s="603"/>
      <c r="V35" s="603"/>
      <c r="W35" s="603"/>
      <c r="X35" s="603"/>
      <c r="Y35" s="603"/>
      <c r="Z35" s="603"/>
      <c r="AA35" s="603"/>
      <c r="AB35" s="603"/>
      <c r="AC35" s="603"/>
      <c r="AD35" s="603"/>
      <c r="AE35" s="603"/>
      <c r="AF35" s="603"/>
      <c r="AG35" s="603"/>
      <c r="AH35" s="603"/>
      <c r="AI35" s="603"/>
      <c r="AJ35" s="603"/>
      <c r="AK35" s="603"/>
    </row>
    <row r="36" spans="1:37" ht="17" thickBot="1" x14ac:dyDescent="0.25">
      <c r="A36" s="261"/>
      <c r="B36" s="594" t="s">
        <v>172</v>
      </c>
      <c r="C36" s="2"/>
      <c r="D36" s="604">
        <f>SUM(F36:R36)</f>
        <v>1336388.0618697894</v>
      </c>
      <c r="E36" s="2"/>
      <c r="F36" s="521">
        <f>F34-F35</f>
        <v>-400000</v>
      </c>
      <c r="G36" s="521">
        <f t="shared" ref="G36:R36" si="6">G34-G35</f>
        <v>0</v>
      </c>
      <c r="H36" s="521">
        <f t="shared" si="6"/>
        <v>52500.321909260732</v>
      </c>
      <c r="I36" s="521">
        <f t="shared" si="6"/>
        <v>161979.13790197499</v>
      </c>
      <c r="J36" s="521">
        <f t="shared" si="6"/>
        <v>937263.86708574486</v>
      </c>
      <c r="K36" s="521">
        <f t="shared" si="6"/>
        <v>71496.046038010609</v>
      </c>
      <c r="L36" s="521">
        <f t="shared" si="6"/>
        <v>513148.68893479812</v>
      </c>
      <c r="M36" s="521">
        <f t="shared" si="6"/>
        <v>0</v>
      </c>
      <c r="N36" s="521">
        <f t="shared" si="6"/>
        <v>0</v>
      </c>
      <c r="O36" s="521">
        <f t="shared" si="6"/>
        <v>0</v>
      </c>
      <c r="P36" s="521">
        <f t="shared" si="6"/>
        <v>0</v>
      </c>
      <c r="Q36" s="521">
        <f t="shared" si="6"/>
        <v>0</v>
      </c>
      <c r="R36" s="521">
        <f t="shared" si="6"/>
        <v>0</v>
      </c>
      <c r="S36" s="266"/>
      <c r="T36" s="603"/>
      <c r="U36" s="603"/>
      <c r="V36" s="603"/>
      <c r="W36" s="603"/>
      <c r="X36" s="603"/>
      <c r="Y36" s="603"/>
      <c r="Z36" s="603"/>
      <c r="AA36" s="603"/>
      <c r="AB36" s="603"/>
      <c r="AC36" s="603"/>
      <c r="AD36" s="603"/>
      <c r="AE36" s="603"/>
      <c r="AF36" s="603"/>
      <c r="AG36" s="603"/>
      <c r="AH36" s="603"/>
      <c r="AI36" s="603"/>
      <c r="AJ36" s="603"/>
      <c r="AK36" s="603"/>
    </row>
    <row r="37" spans="1:37" ht="17" thickTop="1" x14ac:dyDescent="0.2">
      <c r="A37" s="261"/>
      <c r="B37" s="594" t="s">
        <v>173</v>
      </c>
      <c r="C37" s="2"/>
      <c r="D37" s="2"/>
      <c r="E37" s="2"/>
      <c r="F37" s="593">
        <f>XIRR(F36:R36,F20:R20)</f>
        <v>0.40926963686943063</v>
      </c>
    </row>
    <row r="38" spans="1:37" x14ac:dyDescent="0.2">
      <c r="A38" s="261"/>
      <c r="B38" s="594" t="s">
        <v>174</v>
      </c>
      <c r="C38" s="2"/>
      <c r="D38" s="2"/>
      <c r="E38" s="2"/>
      <c r="F38" s="598">
        <f>SUMIF(F36:R36,"&gt;0")/-SUMIF(F36:R36,"&lt;0")</f>
        <v>4.3409701546744737</v>
      </c>
    </row>
    <row r="39" spans="1:37" x14ac:dyDescent="0.2">
      <c r="A39" s="261"/>
      <c r="B39" s="594" t="s">
        <v>168</v>
      </c>
      <c r="C39" s="2"/>
      <c r="D39" s="2"/>
      <c r="E39" s="2"/>
      <c r="F39" s="521">
        <f t="shared" ref="F39" si="7">F36+E39</f>
        <v>-400000</v>
      </c>
      <c r="G39" s="521">
        <f t="shared" ref="G39" si="8">G36+F39</f>
        <v>-400000</v>
      </c>
      <c r="H39" s="521">
        <f t="shared" ref="H39" si="9">H36+G39</f>
        <v>-347499.6780907393</v>
      </c>
      <c r="I39" s="521">
        <f t="shared" ref="I39" si="10">I36+H39</f>
        <v>-185520.54018876431</v>
      </c>
      <c r="J39" s="521">
        <f t="shared" ref="J39" si="11">J36+I39</f>
        <v>751743.32689698052</v>
      </c>
      <c r="K39" s="521">
        <f t="shared" ref="K39" si="12">K36+J39</f>
        <v>823239.37293499114</v>
      </c>
      <c r="L39" s="521">
        <f t="shared" ref="L39" si="13">L36+K39</f>
        <v>1336388.0618697894</v>
      </c>
      <c r="M39" s="521">
        <f t="shared" ref="M39" si="14">M36+L39</f>
        <v>1336388.0618697894</v>
      </c>
      <c r="N39" s="521">
        <f t="shared" ref="N39" si="15">N36+M39</f>
        <v>1336388.0618697894</v>
      </c>
      <c r="O39" s="521">
        <f t="shared" ref="O39" si="16">O36+N39</f>
        <v>1336388.0618697894</v>
      </c>
      <c r="P39" s="521">
        <f t="shared" ref="P39" si="17">P36+O39</f>
        <v>1336388.0618697894</v>
      </c>
      <c r="Q39" s="521">
        <f t="shared" ref="Q39" si="18">Q36+P39</f>
        <v>1336388.0618697894</v>
      </c>
      <c r="R39" s="521">
        <f t="shared" ref="R39" si="19">R36+Q39</f>
        <v>1336388.0618697894</v>
      </c>
    </row>
    <row r="40" spans="1:37" x14ac:dyDescent="0.2">
      <c r="A40" s="261"/>
      <c r="B40" s="594"/>
      <c r="C40" s="2"/>
      <c r="D40" s="2"/>
      <c r="E40" s="2"/>
      <c r="F40" s="602"/>
      <c r="G40" s="2"/>
      <c r="H40" s="12"/>
      <c r="I40" s="12"/>
      <c r="J40" s="12"/>
      <c r="K40" s="12"/>
      <c r="L40" s="12"/>
      <c r="M40" s="12"/>
      <c r="N40" s="12"/>
    </row>
    <row r="41" spans="1:37" x14ac:dyDescent="0.2">
      <c r="A41" s="261"/>
      <c r="B41" s="34" t="s">
        <v>582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37" x14ac:dyDescent="0.2">
      <c r="A42" s="261"/>
      <c r="B42" s="133" t="s">
        <v>163</v>
      </c>
      <c r="D42" s="601">
        <f t="shared" ref="D42:D45" si="20">SUM(F42:R42)</f>
        <v>37405013.399702266</v>
      </c>
      <c r="F42" s="92">
        <f>'Proforma Land+Home'!E203</f>
        <v>0</v>
      </c>
      <c r="G42" s="92">
        <f>'Proforma Land+Home'!F203</f>
        <v>0</v>
      </c>
      <c r="H42" s="92">
        <f>'Proforma Land+Home'!G203</f>
        <v>0</v>
      </c>
      <c r="I42" s="92">
        <f>'Proforma Land+Home'!H203</f>
        <v>0</v>
      </c>
      <c r="J42" s="92">
        <f>'Proforma Land+Home'!I203</f>
        <v>14896191.103249133</v>
      </c>
      <c r="K42" s="92">
        <f>'Proforma Land+Home'!J203</f>
        <v>2752597.7724634074</v>
      </c>
      <c r="L42" s="92">
        <f>'Proforma Land+Home'!K203</f>
        <v>19756224.523989722</v>
      </c>
      <c r="M42" s="92">
        <f>'Proforma Land+Home'!L203</f>
        <v>0</v>
      </c>
      <c r="N42" s="92">
        <f>'Proforma Land+Home'!M203</f>
        <v>0</v>
      </c>
      <c r="O42" s="92">
        <f>'Proforma Land+Home'!N203</f>
        <v>0</v>
      </c>
      <c r="P42" s="92">
        <f>'Proforma Land+Home'!O203</f>
        <v>0</v>
      </c>
      <c r="Q42" s="92">
        <f>'Proforma Land+Home'!P203</f>
        <v>0</v>
      </c>
      <c r="R42" s="92">
        <f>'Proforma Land+Home'!Q203</f>
        <v>0</v>
      </c>
      <c r="S42" s="266"/>
      <c r="T42" s="603"/>
      <c r="U42" s="603"/>
      <c r="V42" s="603"/>
    </row>
    <row r="43" spans="1:37" x14ac:dyDescent="0.2">
      <c r="A43" s="261"/>
      <c r="B43" s="684" t="s">
        <v>172</v>
      </c>
      <c r="C43" s="685"/>
      <c r="D43" s="686">
        <f t="shared" si="20"/>
        <v>37405013.399702266</v>
      </c>
      <c r="E43" s="685"/>
      <c r="F43" s="687">
        <f t="shared" ref="F43:R43" si="21">SUM(F42:F42)</f>
        <v>0</v>
      </c>
      <c r="G43" s="687">
        <f t="shared" si="21"/>
        <v>0</v>
      </c>
      <c r="H43" s="687">
        <f t="shared" si="21"/>
        <v>0</v>
      </c>
      <c r="I43" s="687">
        <f t="shared" si="21"/>
        <v>0</v>
      </c>
      <c r="J43" s="687">
        <f t="shared" si="21"/>
        <v>14896191.103249133</v>
      </c>
      <c r="K43" s="687">
        <f t="shared" si="21"/>
        <v>2752597.7724634074</v>
      </c>
      <c r="L43" s="687">
        <f t="shared" si="21"/>
        <v>19756224.523989722</v>
      </c>
      <c r="M43" s="687">
        <f t="shared" si="21"/>
        <v>0</v>
      </c>
      <c r="N43" s="687">
        <f t="shared" si="21"/>
        <v>0</v>
      </c>
      <c r="O43" s="687">
        <f t="shared" si="21"/>
        <v>0</v>
      </c>
      <c r="P43" s="687">
        <f t="shared" si="21"/>
        <v>0</v>
      </c>
      <c r="Q43" s="687">
        <f t="shared" si="21"/>
        <v>0</v>
      </c>
      <c r="R43" s="687">
        <f t="shared" si="21"/>
        <v>0</v>
      </c>
      <c r="S43" s="266"/>
      <c r="T43" s="603"/>
      <c r="U43" s="603"/>
      <c r="V43" s="603"/>
      <c r="W43" s="603"/>
      <c r="X43" s="603"/>
      <c r="Y43" s="603"/>
      <c r="Z43" s="603"/>
      <c r="AA43" s="603"/>
      <c r="AB43" s="603"/>
      <c r="AC43" s="603"/>
      <c r="AD43" s="603"/>
      <c r="AE43" s="603"/>
      <c r="AF43" s="603"/>
      <c r="AG43" s="603"/>
      <c r="AH43" s="603"/>
      <c r="AI43" s="603"/>
      <c r="AJ43" s="603"/>
      <c r="AK43" s="603"/>
    </row>
    <row r="44" spans="1:37" x14ac:dyDescent="0.2">
      <c r="A44" s="261"/>
      <c r="B44" s="594" t="s">
        <v>583</v>
      </c>
      <c r="C44" s="683">
        <v>0</v>
      </c>
      <c r="D44" s="601">
        <f t="shared" si="20"/>
        <v>0</v>
      </c>
      <c r="E44" s="2"/>
      <c r="F44" s="521">
        <f>F43*$C$44</f>
        <v>0</v>
      </c>
      <c r="G44" s="521">
        <f t="shared" ref="G44:R44" si="22">G43*$C$44</f>
        <v>0</v>
      </c>
      <c r="H44" s="521">
        <f t="shared" si="22"/>
        <v>0</v>
      </c>
      <c r="I44" s="521">
        <f t="shared" si="22"/>
        <v>0</v>
      </c>
      <c r="J44" s="521">
        <f t="shared" si="22"/>
        <v>0</v>
      </c>
      <c r="K44" s="521">
        <f t="shared" si="22"/>
        <v>0</v>
      </c>
      <c r="L44" s="521">
        <f t="shared" si="22"/>
        <v>0</v>
      </c>
      <c r="M44" s="521">
        <f t="shared" si="22"/>
        <v>0</v>
      </c>
      <c r="N44" s="521">
        <f t="shared" si="22"/>
        <v>0</v>
      </c>
      <c r="O44" s="521">
        <f t="shared" si="22"/>
        <v>0</v>
      </c>
      <c r="P44" s="521">
        <f t="shared" si="22"/>
        <v>0</v>
      </c>
      <c r="Q44" s="521">
        <f t="shared" si="22"/>
        <v>0</v>
      </c>
      <c r="R44" s="521">
        <f t="shared" si="22"/>
        <v>0</v>
      </c>
      <c r="S44" s="266"/>
      <c r="T44" s="603"/>
      <c r="U44" s="603"/>
      <c r="V44" s="603"/>
      <c r="W44" s="603"/>
      <c r="X44" s="603"/>
      <c r="Y44" s="603"/>
      <c r="Z44" s="603"/>
      <c r="AA44" s="603"/>
      <c r="AB44" s="603"/>
      <c r="AC44" s="603"/>
      <c r="AD44" s="603"/>
      <c r="AE44" s="603"/>
      <c r="AF44" s="603"/>
      <c r="AG44" s="603"/>
      <c r="AH44" s="603"/>
      <c r="AI44" s="603"/>
      <c r="AJ44" s="603"/>
      <c r="AK44" s="603"/>
    </row>
    <row r="45" spans="1:37" ht="16.25" customHeight="1" x14ac:dyDescent="0.2">
      <c r="A45" s="261"/>
      <c r="B45" s="594" t="s">
        <v>177</v>
      </c>
      <c r="C45" s="683">
        <f>1-C44</f>
        <v>1</v>
      </c>
      <c r="D45" s="601">
        <f t="shared" si="20"/>
        <v>37405013.399702266</v>
      </c>
      <c r="E45" s="2"/>
      <c r="F45" s="521">
        <f>F43*$C$45</f>
        <v>0</v>
      </c>
      <c r="G45" s="521">
        <f t="shared" ref="G45:R45" si="23">G43*$C$45</f>
        <v>0</v>
      </c>
      <c r="H45" s="521">
        <f t="shared" si="23"/>
        <v>0</v>
      </c>
      <c r="I45" s="521">
        <f t="shared" si="23"/>
        <v>0</v>
      </c>
      <c r="J45" s="521">
        <f t="shared" si="23"/>
        <v>14896191.103249133</v>
      </c>
      <c r="K45" s="521">
        <f t="shared" si="23"/>
        <v>2752597.7724634074</v>
      </c>
      <c r="L45" s="521">
        <f t="shared" si="23"/>
        <v>19756224.523989722</v>
      </c>
      <c r="M45" s="521">
        <f t="shared" si="23"/>
        <v>0</v>
      </c>
      <c r="N45" s="521">
        <f t="shared" si="23"/>
        <v>0</v>
      </c>
      <c r="O45" s="521">
        <f t="shared" si="23"/>
        <v>0</v>
      </c>
      <c r="P45" s="521">
        <f t="shared" si="23"/>
        <v>0</v>
      </c>
      <c r="Q45" s="521">
        <f t="shared" si="23"/>
        <v>0</v>
      </c>
      <c r="R45" s="521">
        <f t="shared" si="23"/>
        <v>0</v>
      </c>
    </row>
    <row r="46" spans="1:37" x14ac:dyDescent="0.2">
      <c r="A46" s="261"/>
      <c r="B46" s="55"/>
      <c r="C46" s="4"/>
      <c r="D46" s="4"/>
      <c r="E46" s="4"/>
      <c r="F46" s="600"/>
      <c r="G46" s="600"/>
      <c r="H46" s="600"/>
      <c r="I46" s="600"/>
      <c r="J46" s="600"/>
      <c r="K46" s="600"/>
      <c r="L46" s="600"/>
      <c r="M46" s="600"/>
      <c r="N46" s="600"/>
      <c r="O46" s="600"/>
      <c r="P46" s="600"/>
      <c r="Q46" s="600"/>
      <c r="R46" s="600"/>
      <c r="S46" s="270"/>
    </row>
    <row r="47" spans="1:37" x14ac:dyDescent="0.2">
      <c r="A47" s="261"/>
      <c r="B47" s="34" t="s">
        <v>178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270"/>
    </row>
    <row r="48" spans="1:37" x14ac:dyDescent="0.2">
      <c r="A48" s="261"/>
      <c r="B48" s="261" t="s">
        <v>179</v>
      </c>
      <c r="D48" s="148">
        <f t="shared" ref="D48" si="24">SUM(F48:R48)</f>
        <v>88855953.781689137</v>
      </c>
      <c r="F48" s="12">
        <f>'Proforma Land+Home'!E210</f>
        <v>-15400000</v>
      </c>
      <c r="G48" s="12">
        <f>'Proforma Land+Home'!F210</f>
        <v>0</v>
      </c>
      <c r="H48" s="12">
        <f>'Proforma Land+Home'!G210</f>
        <v>2021262.3935065381</v>
      </c>
      <c r="I48" s="12">
        <f>'Proforma Land+Home'!H210</f>
        <v>6236196.8092260361</v>
      </c>
      <c r="J48" s="12">
        <f>'Proforma Land+Home'!I210</f>
        <v>50980849.986050308</v>
      </c>
      <c r="K48" s="12">
        <f>'Proforma Land+Home'!J210</f>
        <v>5505195.5449268147</v>
      </c>
      <c r="L48" s="12">
        <f>'Proforma Land+Home'!K210</f>
        <v>39512449.047979444</v>
      </c>
      <c r="M48" s="12">
        <f>'Proforma Land+Home'!L210</f>
        <v>0</v>
      </c>
      <c r="N48" s="12">
        <f>'Proforma Land+Home'!M210</f>
        <v>0</v>
      </c>
      <c r="O48" s="12">
        <f>'Proforma Land+Home'!N210</f>
        <v>0</v>
      </c>
      <c r="P48" s="12">
        <f>'Proforma Land+Home'!O210</f>
        <v>0</v>
      </c>
      <c r="Q48" s="12">
        <f>'Proforma Land+Home'!P210</f>
        <v>0</v>
      </c>
      <c r="R48" s="12">
        <f>'Proforma Land+Home'!Q210</f>
        <v>0</v>
      </c>
    </row>
    <row r="49" spans="1:20" x14ac:dyDescent="0.2">
      <c r="A49" s="261"/>
      <c r="B49" s="594" t="s">
        <v>180</v>
      </c>
      <c r="F49" s="593">
        <f>XIRR(F48:R48,F20:R20)</f>
        <v>0.53538526892662042</v>
      </c>
      <c r="G49" s="12"/>
      <c r="H49" s="12"/>
      <c r="I49" s="12"/>
      <c r="J49" s="12"/>
      <c r="K49" s="12"/>
      <c r="L49" s="12"/>
      <c r="M49" s="12"/>
      <c r="N49" s="12"/>
    </row>
    <row r="50" spans="1:20" x14ac:dyDescent="0.2">
      <c r="A50" s="261"/>
      <c r="B50" s="594" t="s">
        <v>174</v>
      </c>
      <c r="F50" s="599">
        <f>SUMIF(F48:R48,"&gt;0")/-SUMIF(F48:R48,"&lt;0")</f>
        <v>6.7698671286811125</v>
      </c>
      <c r="M50" s="597"/>
    </row>
    <row r="51" spans="1:20" x14ac:dyDescent="0.2">
      <c r="A51" s="261"/>
      <c r="F51" s="12"/>
      <c r="G51" s="12"/>
      <c r="H51" s="12"/>
      <c r="I51" s="12"/>
      <c r="J51" s="12"/>
      <c r="K51" s="12"/>
      <c r="L51" s="12"/>
      <c r="M51" s="12"/>
    </row>
    <row r="52" spans="1:20" hidden="1" x14ac:dyDescent="0.2">
      <c r="A52" s="261"/>
      <c r="B52" s="34" t="s">
        <v>181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</row>
    <row r="53" spans="1:20" hidden="1" x14ac:dyDescent="0.2">
      <c r="A53" s="261"/>
      <c r="B53" s="261" t="s">
        <v>179</v>
      </c>
      <c r="F53" s="61">
        <f t="shared" ref="F53:M53" si="25">F48</f>
        <v>-15400000</v>
      </c>
      <c r="G53" s="61">
        <f t="shared" si="25"/>
        <v>0</v>
      </c>
      <c r="H53" s="61">
        <f t="shared" si="25"/>
        <v>2021262.3935065381</v>
      </c>
      <c r="I53" s="61">
        <f t="shared" si="25"/>
        <v>6236196.8092260361</v>
      </c>
      <c r="J53" s="61">
        <f t="shared" si="25"/>
        <v>50980849.986050308</v>
      </c>
      <c r="K53" s="61">
        <f t="shared" si="25"/>
        <v>5505195.5449268147</v>
      </c>
      <c r="L53" s="61">
        <f t="shared" si="25"/>
        <v>39512449.047979444</v>
      </c>
      <c r="M53" s="61">
        <f t="shared" si="25"/>
        <v>0</v>
      </c>
      <c r="N53" s="12">
        <f>'Proforma Land+Home'!M204</f>
        <v>0</v>
      </c>
      <c r="O53" s="12">
        <f>'Proforma Land+Home'!N204</f>
        <v>0</v>
      </c>
      <c r="P53" s="12">
        <f>'Proforma Land+Home'!O204</f>
        <v>0</v>
      </c>
      <c r="Q53" s="12">
        <f>'Proforma Land+Home'!P204</f>
        <v>0</v>
      </c>
      <c r="R53" s="12">
        <f>'Proforma Land+Home'!Q204</f>
        <v>0</v>
      </c>
    </row>
    <row r="54" spans="1:20" hidden="1" x14ac:dyDescent="0.2">
      <c r="A54" s="261"/>
      <c r="B54" s="133" t="s">
        <v>182</v>
      </c>
      <c r="F54" s="61">
        <f>F53</f>
        <v>-15400000</v>
      </c>
      <c r="G54" s="12">
        <f>G53</f>
        <v>0</v>
      </c>
      <c r="H54" s="12">
        <f>H53</f>
        <v>2021262.3935065381</v>
      </c>
      <c r="I54" s="12">
        <f>I53</f>
        <v>6236196.8092260361</v>
      </c>
      <c r="J54" s="12">
        <f>J53</f>
        <v>50980849.986050308</v>
      </c>
      <c r="K54" s="596"/>
      <c r="L54" s="596">
        <f>L53</f>
        <v>39512449.047979444</v>
      </c>
      <c r="M54" s="12">
        <v>27400000</v>
      </c>
      <c r="N54" s="12">
        <f>N53</f>
        <v>0</v>
      </c>
      <c r="O54" s="12">
        <f>O53</f>
        <v>0</v>
      </c>
      <c r="P54" s="12">
        <f>P53</f>
        <v>0</v>
      </c>
      <c r="Q54" s="12">
        <f>Q53</f>
        <v>0</v>
      </c>
      <c r="R54" s="12">
        <f>R53</f>
        <v>0</v>
      </c>
      <c r="T54" s="501">
        <f>SUM(F54:S54)</f>
        <v>110750758.23676233</v>
      </c>
    </row>
    <row r="55" spans="1:20" hidden="1" x14ac:dyDescent="0.2">
      <c r="A55" s="261"/>
      <c r="B55" s="594" t="s">
        <v>183</v>
      </c>
      <c r="E55" s="138"/>
      <c r="F55" s="593" t="e">
        <f>XIRR(F54:R54,F46:R46)</f>
        <v>#NUM!</v>
      </c>
      <c r="T55" s="592">
        <f>U77</f>
        <v>0</v>
      </c>
    </row>
    <row r="56" spans="1:20" hidden="1" x14ac:dyDescent="0.2">
      <c r="A56" s="261"/>
      <c r="B56" t="s">
        <v>184</v>
      </c>
      <c r="F56" s="12">
        <f t="shared" ref="F56:R56" si="26">F53-F54</f>
        <v>0</v>
      </c>
      <c r="G56" s="12">
        <f t="shared" si="26"/>
        <v>0</v>
      </c>
      <c r="H56" s="12">
        <f t="shared" si="26"/>
        <v>0</v>
      </c>
      <c r="I56" s="12">
        <f t="shared" si="26"/>
        <v>0</v>
      </c>
      <c r="J56" s="12">
        <f t="shared" si="26"/>
        <v>0</v>
      </c>
      <c r="K56" s="12">
        <f t="shared" si="26"/>
        <v>5505195.5449268147</v>
      </c>
      <c r="L56" s="12">
        <f t="shared" si="26"/>
        <v>0</v>
      </c>
      <c r="M56" s="12">
        <f t="shared" si="26"/>
        <v>-27400000</v>
      </c>
      <c r="N56" s="12">
        <f t="shared" si="26"/>
        <v>0</v>
      </c>
      <c r="O56" s="12">
        <f t="shared" si="26"/>
        <v>0</v>
      </c>
      <c r="P56" s="12">
        <f t="shared" si="26"/>
        <v>0</v>
      </c>
      <c r="Q56" s="12">
        <f t="shared" si="26"/>
        <v>0</v>
      </c>
      <c r="R56" s="12">
        <f t="shared" si="26"/>
        <v>0</v>
      </c>
    </row>
    <row r="57" spans="1:20" hidden="1" x14ac:dyDescent="0.2">
      <c r="A57" s="261"/>
      <c r="B57" s="591">
        <f>T80</f>
        <v>0</v>
      </c>
      <c r="C57" s="590">
        <f>U80</f>
        <v>0</v>
      </c>
      <c r="D57" s="590"/>
      <c r="E57" s="590"/>
      <c r="F57" s="57">
        <f t="shared" ref="F57:R58" si="27">F$56*$C57</f>
        <v>0</v>
      </c>
      <c r="G57" s="57">
        <f t="shared" si="27"/>
        <v>0</v>
      </c>
      <c r="H57" s="57">
        <f t="shared" si="27"/>
        <v>0</v>
      </c>
      <c r="I57" s="57">
        <f t="shared" si="27"/>
        <v>0</v>
      </c>
      <c r="J57" s="57">
        <f t="shared" si="27"/>
        <v>0</v>
      </c>
      <c r="K57" s="57">
        <f t="shared" si="27"/>
        <v>0</v>
      </c>
      <c r="L57" s="57">
        <f t="shared" si="27"/>
        <v>0</v>
      </c>
      <c r="M57" s="57">
        <f t="shared" si="27"/>
        <v>0</v>
      </c>
      <c r="N57" s="57">
        <f t="shared" si="27"/>
        <v>0</v>
      </c>
      <c r="O57" s="57">
        <f t="shared" si="27"/>
        <v>0</v>
      </c>
      <c r="P57" s="57">
        <f t="shared" si="27"/>
        <v>0</v>
      </c>
      <c r="Q57" s="57">
        <f t="shared" si="27"/>
        <v>0</v>
      </c>
      <c r="R57" s="57">
        <f t="shared" si="27"/>
        <v>0</v>
      </c>
      <c r="T57" s="501">
        <f>SUM(F57:S57)</f>
        <v>0</v>
      </c>
    </row>
    <row r="58" spans="1:20" hidden="1" x14ac:dyDescent="0.2">
      <c r="A58" s="261"/>
      <c r="B58" s="261">
        <f>T81</f>
        <v>0</v>
      </c>
      <c r="C58" s="415">
        <f>U81</f>
        <v>0</v>
      </c>
      <c r="D58" s="415"/>
      <c r="E58" s="415"/>
      <c r="F58" s="12">
        <f t="shared" si="27"/>
        <v>0</v>
      </c>
      <c r="G58" s="12">
        <f t="shared" si="27"/>
        <v>0</v>
      </c>
      <c r="H58" s="12">
        <f t="shared" si="27"/>
        <v>0</v>
      </c>
      <c r="I58" s="12">
        <f t="shared" si="27"/>
        <v>0</v>
      </c>
      <c r="J58" s="12">
        <f t="shared" si="27"/>
        <v>0</v>
      </c>
      <c r="K58" s="12">
        <f t="shared" si="27"/>
        <v>0</v>
      </c>
      <c r="L58" s="12">
        <f t="shared" si="27"/>
        <v>0</v>
      </c>
      <c r="M58" s="12">
        <f t="shared" si="27"/>
        <v>0</v>
      </c>
      <c r="N58" s="12">
        <f t="shared" si="27"/>
        <v>0</v>
      </c>
      <c r="O58" s="12">
        <f t="shared" si="27"/>
        <v>0</v>
      </c>
      <c r="P58" s="12">
        <f t="shared" si="27"/>
        <v>0</v>
      </c>
      <c r="Q58" s="12">
        <f t="shared" si="27"/>
        <v>0</v>
      </c>
      <c r="R58" s="12">
        <f t="shared" si="27"/>
        <v>0</v>
      </c>
      <c r="T58" s="501">
        <f>SUM(F58:S58)</f>
        <v>0</v>
      </c>
    </row>
    <row r="59" spans="1:20" hidden="1" x14ac:dyDescent="0.2">
      <c r="A59" s="261"/>
      <c r="B59" s="261"/>
      <c r="C59" s="415"/>
      <c r="D59" s="415"/>
      <c r="E59" s="415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 spans="1:20" hidden="1" x14ac:dyDescent="0.2">
      <c r="B60" s="34" t="s">
        <v>185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</row>
    <row r="61" spans="1:20" hidden="1" x14ac:dyDescent="0.2">
      <c r="B61" s="261" t="s">
        <v>179</v>
      </c>
      <c r="F61" s="12" t="e">
        <f>-#REF!</f>
        <v>#REF!</v>
      </c>
      <c r="G61" s="12" t="e">
        <f>-#REF!</f>
        <v>#REF!</v>
      </c>
      <c r="H61" s="12" t="e">
        <f>-#REF!</f>
        <v>#REF!</v>
      </c>
      <c r="I61" s="12">
        <f t="shared" ref="I61:R61" si="28">I58</f>
        <v>0</v>
      </c>
      <c r="J61" s="12">
        <f t="shared" si="28"/>
        <v>0</v>
      </c>
      <c r="K61" s="12">
        <f t="shared" si="28"/>
        <v>0</v>
      </c>
      <c r="L61" s="12">
        <f t="shared" si="28"/>
        <v>0</v>
      </c>
      <c r="M61" s="12">
        <f t="shared" si="28"/>
        <v>0</v>
      </c>
      <c r="N61" s="12">
        <f t="shared" si="28"/>
        <v>0</v>
      </c>
      <c r="O61" s="12">
        <f t="shared" si="28"/>
        <v>0</v>
      </c>
      <c r="P61" s="12">
        <f t="shared" si="28"/>
        <v>0</v>
      </c>
      <c r="Q61" s="12">
        <f t="shared" si="28"/>
        <v>0</v>
      </c>
      <c r="R61" s="12">
        <f t="shared" si="28"/>
        <v>0</v>
      </c>
    </row>
    <row r="62" spans="1:20" hidden="1" x14ac:dyDescent="0.2">
      <c r="B62" s="133" t="s">
        <v>182</v>
      </c>
      <c r="F62" s="12" t="e">
        <f>F61</f>
        <v>#REF!</v>
      </c>
      <c r="G62" s="12" t="e">
        <f>G61</f>
        <v>#REF!</v>
      </c>
      <c r="H62" s="12"/>
      <c r="I62" s="12"/>
      <c r="J62" s="12"/>
      <c r="K62" s="595"/>
      <c r="L62" s="12"/>
      <c r="M62" s="12"/>
      <c r="N62" s="12"/>
      <c r="O62" s="12"/>
      <c r="P62" s="12"/>
      <c r="Q62" s="12"/>
      <c r="R62" s="12"/>
    </row>
    <row r="63" spans="1:20" hidden="1" x14ac:dyDescent="0.2">
      <c r="B63" s="594" t="s">
        <v>183</v>
      </c>
      <c r="F63" s="593" t="e">
        <f>XIRR(F62:R62,F46:R46)</f>
        <v>#REF!</v>
      </c>
      <c r="T63" s="592">
        <v>0.1</v>
      </c>
    </row>
    <row r="64" spans="1:20" hidden="1" x14ac:dyDescent="0.2">
      <c r="B64" t="s">
        <v>184</v>
      </c>
      <c r="F64" s="12" t="e">
        <f t="shared" ref="F64:R64" si="29">F61-F62</f>
        <v>#REF!</v>
      </c>
      <c r="G64" s="12" t="e">
        <f t="shared" si="29"/>
        <v>#REF!</v>
      </c>
      <c r="H64" s="12" t="e">
        <f t="shared" si="29"/>
        <v>#REF!</v>
      </c>
      <c r="I64" s="12">
        <f t="shared" si="29"/>
        <v>0</v>
      </c>
      <c r="J64" s="12">
        <f t="shared" si="29"/>
        <v>0</v>
      </c>
      <c r="K64" s="12">
        <f t="shared" si="29"/>
        <v>0</v>
      </c>
      <c r="L64" s="12">
        <f t="shared" si="29"/>
        <v>0</v>
      </c>
      <c r="M64" s="12">
        <f t="shared" si="29"/>
        <v>0</v>
      </c>
      <c r="N64" s="12">
        <f t="shared" si="29"/>
        <v>0</v>
      </c>
      <c r="O64" s="12">
        <f t="shared" si="29"/>
        <v>0</v>
      </c>
      <c r="P64" s="12">
        <f t="shared" si="29"/>
        <v>0</v>
      </c>
      <c r="Q64" s="12">
        <f t="shared" si="29"/>
        <v>0</v>
      </c>
      <c r="R64" s="12">
        <f t="shared" si="29"/>
        <v>0</v>
      </c>
    </row>
    <row r="65" spans="2:30" hidden="1" x14ac:dyDescent="0.2">
      <c r="B65" s="591" t="s">
        <v>186</v>
      </c>
      <c r="C65" s="590">
        <v>0</v>
      </c>
      <c r="D65" s="590"/>
      <c r="E65" s="590"/>
      <c r="F65" s="57" t="e">
        <f t="shared" ref="F65:R66" si="30">F$64*$C65</f>
        <v>#REF!</v>
      </c>
      <c r="G65" s="57" t="e">
        <f t="shared" si="30"/>
        <v>#REF!</v>
      </c>
      <c r="H65" s="57" t="e">
        <f t="shared" si="30"/>
        <v>#REF!</v>
      </c>
      <c r="I65" s="57">
        <f t="shared" si="30"/>
        <v>0</v>
      </c>
      <c r="J65" s="57">
        <f t="shared" si="30"/>
        <v>0</v>
      </c>
      <c r="K65" s="57">
        <f t="shared" si="30"/>
        <v>0</v>
      </c>
      <c r="L65" s="57">
        <f t="shared" si="30"/>
        <v>0</v>
      </c>
      <c r="M65" s="57">
        <f t="shared" si="30"/>
        <v>0</v>
      </c>
      <c r="N65" s="57">
        <f t="shared" si="30"/>
        <v>0</v>
      </c>
      <c r="O65" s="57">
        <f t="shared" si="30"/>
        <v>0</v>
      </c>
      <c r="P65" s="57">
        <f t="shared" si="30"/>
        <v>0</v>
      </c>
      <c r="Q65" s="57">
        <f t="shared" si="30"/>
        <v>0</v>
      </c>
      <c r="R65" s="57">
        <f t="shared" si="30"/>
        <v>0</v>
      </c>
    </row>
    <row r="66" spans="2:30" hidden="1" x14ac:dyDescent="0.2">
      <c r="B66" s="261" t="s">
        <v>187</v>
      </c>
      <c r="C66" s="415">
        <f>1-C65</f>
        <v>1</v>
      </c>
      <c r="D66" s="415"/>
      <c r="E66" s="415"/>
      <c r="F66" s="12" t="e">
        <f t="shared" si="30"/>
        <v>#REF!</v>
      </c>
      <c r="G66" s="12" t="e">
        <f t="shared" si="30"/>
        <v>#REF!</v>
      </c>
      <c r="H66" s="12" t="e">
        <f t="shared" si="30"/>
        <v>#REF!</v>
      </c>
      <c r="I66" s="12">
        <f t="shared" si="30"/>
        <v>0</v>
      </c>
      <c r="J66" s="12">
        <f t="shared" si="30"/>
        <v>0</v>
      </c>
      <c r="K66" s="12">
        <f t="shared" si="30"/>
        <v>0</v>
      </c>
      <c r="L66" s="12">
        <f t="shared" si="30"/>
        <v>0</v>
      </c>
      <c r="M66" s="12">
        <f t="shared" si="30"/>
        <v>0</v>
      </c>
      <c r="N66" s="12">
        <f t="shared" si="30"/>
        <v>0</v>
      </c>
      <c r="O66" s="12">
        <f t="shared" si="30"/>
        <v>0</v>
      </c>
      <c r="P66" s="12">
        <f t="shared" si="30"/>
        <v>0</v>
      </c>
      <c r="Q66" s="12">
        <f t="shared" si="30"/>
        <v>0</v>
      </c>
      <c r="R66" s="12">
        <f t="shared" si="30"/>
        <v>0</v>
      </c>
      <c r="T66" s="501" t="e">
        <f>SUM(D66:S66)</f>
        <v>#REF!</v>
      </c>
    </row>
    <row r="67" spans="2:30" hidden="1" x14ac:dyDescent="0.2">
      <c r="B67" s="497"/>
      <c r="C67" s="497"/>
      <c r="D67" s="497"/>
      <c r="E67" s="497"/>
      <c r="F67" s="497"/>
      <c r="G67" s="497"/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V67" s="587" t="s">
        <v>188</v>
      </c>
      <c r="W67" s="589" t="s">
        <v>189</v>
      </c>
      <c r="AA67" s="583" t="s">
        <v>190</v>
      </c>
      <c r="AB67" s="583" t="s">
        <v>191</v>
      </c>
      <c r="AC67" s="583" t="s">
        <v>192</v>
      </c>
      <c r="AD67" s="583" t="s">
        <v>193</v>
      </c>
    </row>
    <row r="68" spans="2:30" hidden="1" x14ac:dyDescent="0.2">
      <c r="B68" s="588" t="s">
        <v>194</v>
      </c>
      <c r="O68" s="497"/>
      <c r="P68" s="497"/>
      <c r="Q68" s="497"/>
      <c r="R68" s="497"/>
    </row>
    <row r="69" spans="2:30" hidden="1" x14ac:dyDescent="0.2">
      <c r="B69" s="265" t="s">
        <v>195</v>
      </c>
      <c r="O69" s="497"/>
      <c r="P69" s="497"/>
      <c r="Q69" s="497"/>
      <c r="R69" s="497"/>
    </row>
    <row r="70" spans="2:30" hidden="1" x14ac:dyDescent="0.2">
      <c r="B70" s="265" t="s">
        <v>196</v>
      </c>
      <c r="O70" s="497"/>
      <c r="P70" s="497"/>
      <c r="Q70" s="497"/>
      <c r="R70" s="497"/>
    </row>
    <row r="71" spans="2:30" hidden="1" x14ac:dyDescent="0.2">
      <c r="B71" s="265" t="s">
        <v>197</v>
      </c>
      <c r="O71" s="497"/>
      <c r="P71" s="497"/>
      <c r="Q71" s="497"/>
      <c r="R71" s="497"/>
    </row>
    <row r="72" spans="2:30" hidden="1" x14ac:dyDescent="0.2">
      <c r="B72" s="497"/>
      <c r="C72" s="497"/>
      <c r="D72" s="497"/>
      <c r="E72" s="497"/>
      <c r="F72" s="497"/>
      <c r="G72" s="497"/>
      <c r="H72" s="497"/>
      <c r="I72" s="497"/>
      <c r="J72" s="497"/>
      <c r="K72" s="497"/>
      <c r="L72" s="497"/>
      <c r="M72" s="497"/>
      <c r="N72" s="497"/>
      <c r="O72" s="497"/>
      <c r="P72" s="497"/>
      <c r="Q72" s="497"/>
      <c r="R72" s="497"/>
      <c r="S72" s="497"/>
      <c r="T72" s="587" t="s">
        <v>198</v>
      </c>
      <c r="U72" s="586">
        <f>AA76</f>
        <v>0</v>
      </c>
      <c r="V72" s="501">
        <f>$T$58*U72</f>
        <v>0</v>
      </c>
      <c r="W72" s="501">
        <f>(5000000/$D$25)*$T$57+5000000</f>
        <v>5000000</v>
      </c>
      <c r="Y72" s="497" t="s">
        <v>199</v>
      </c>
      <c r="Z72" s="585">
        <v>0.33333000000000002</v>
      </c>
      <c r="AA72" s="585">
        <f>1/3</f>
        <v>0.33333333333333331</v>
      </c>
      <c r="AB72" s="585">
        <f>1/3</f>
        <v>0.33333333333333331</v>
      </c>
      <c r="AC72" s="585">
        <f>1/3</f>
        <v>0.33333333333333331</v>
      </c>
      <c r="AD72" s="585">
        <f>SUM(AA72:AC72)</f>
        <v>1</v>
      </c>
    </row>
    <row r="73" spans="2:30" x14ac:dyDescent="0.2">
      <c r="B73" s="497"/>
      <c r="C73" s="497"/>
      <c r="D73" s="497"/>
      <c r="E73" s="497"/>
      <c r="F73" s="497"/>
      <c r="G73" s="497"/>
      <c r="H73" s="497"/>
      <c r="I73" s="497"/>
      <c r="J73" s="497"/>
      <c r="K73" s="497"/>
      <c r="L73" s="497"/>
      <c r="M73" s="497"/>
      <c r="N73" s="497"/>
      <c r="O73" s="497"/>
      <c r="P73" s="497"/>
      <c r="Q73" s="497"/>
      <c r="R73" s="497"/>
      <c r="S73" s="497"/>
      <c r="T73" s="587"/>
      <c r="U73" s="677"/>
      <c r="V73" s="501"/>
      <c r="W73" s="501"/>
      <c r="Z73" s="678"/>
      <c r="AA73" s="678"/>
      <c r="AB73" s="678"/>
      <c r="AC73" s="678"/>
      <c r="AD73" s="678"/>
    </row>
    <row r="74" spans="2:30" x14ac:dyDescent="0.2">
      <c r="B74" s="497"/>
      <c r="C74" s="497"/>
      <c r="D74" s="497"/>
      <c r="E74" s="497"/>
      <c r="F74" s="497"/>
      <c r="G74" s="497"/>
      <c r="H74" s="497"/>
      <c r="I74" s="497"/>
      <c r="J74" s="497"/>
      <c r="K74" s="497"/>
      <c r="L74" s="497"/>
      <c r="M74" s="497"/>
      <c r="N74" s="497"/>
      <c r="O74" s="497"/>
      <c r="P74" s="497"/>
      <c r="Q74" s="497"/>
      <c r="R74" s="497"/>
      <c r="S74" s="497"/>
      <c r="T74" s="587"/>
      <c r="U74" s="677"/>
      <c r="V74" s="501"/>
      <c r="W74" s="501"/>
      <c r="Z74" s="678"/>
      <c r="AA74" s="678"/>
      <c r="AB74" s="678"/>
      <c r="AC74" s="678"/>
      <c r="AD74" s="678"/>
    </row>
    <row r="75" spans="2:30" x14ac:dyDescent="0.2">
      <c r="B75" s="497"/>
      <c r="C75" s="497"/>
      <c r="D75" s="497"/>
      <c r="E75" s="497"/>
      <c r="F75" s="497"/>
      <c r="G75" s="497"/>
      <c r="H75" s="497"/>
      <c r="I75" s="497"/>
      <c r="J75" s="497"/>
      <c r="K75" s="497"/>
      <c r="L75" s="497"/>
      <c r="M75" s="497"/>
      <c r="N75" s="497"/>
      <c r="O75" s="497"/>
      <c r="P75" s="497"/>
      <c r="Q75" s="497"/>
      <c r="R75" s="497"/>
      <c r="S75" s="497"/>
      <c r="Z75" s="678"/>
      <c r="AA75" s="678"/>
      <c r="AB75" s="678"/>
      <c r="AC75" s="677"/>
      <c r="AD75" s="678"/>
    </row>
    <row r="76" spans="2:30" x14ac:dyDescent="0.2">
      <c r="B76" s="497"/>
      <c r="C76" s="497"/>
      <c r="D76" s="497"/>
      <c r="E76" s="497"/>
      <c r="F76" s="497"/>
      <c r="G76" s="497"/>
      <c r="H76" s="497"/>
      <c r="I76" s="497"/>
      <c r="J76" s="497"/>
      <c r="K76" s="497"/>
      <c r="L76" s="497"/>
      <c r="M76" s="497"/>
      <c r="N76" s="497"/>
      <c r="O76" s="497"/>
      <c r="P76" s="497"/>
      <c r="Q76" s="497"/>
      <c r="R76" s="497"/>
      <c r="S76" s="497"/>
      <c r="T76" s="619"/>
      <c r="AA76" s="679"/>
      <c r="AB76" s="679"/>
      <c r="AC76" s="679"/>
      <c r="AD76" s="679"/>
    </row>
    <row r="77" spans="2:30" x14ac:dyDescent="0.2">
      <c r="B77" s="497"/>
      <c r="C77" s="497"/>
      <c r="D77" s="497"/>
      <c r="E77" s="497"/>
      <c r="F77" s="497"/>
      <c r="G77" s="497"/>
      <c r="H77" s="497"/>
      <c r="I77" s="497"/>
      <c r="J77" s="497"/>
      <c r="K77" s="497"/>
      <c r="L77" s="497"/>
      <c r="M77" s="497"/>
      <c r="N77" s="497"/>
      <c r="O77" s="497"/>
      <c r="P77" s="497"/>
      <c r="Q77" s="497"/>
      <c r="R77" s="497"/>
      <c r="S77" s="497"/>
    </row>
    <row r="78" spans="2:30" x14ac:dyDescent="0.2">
      <c r="B78" s="497"/>
      <c r="C78" s="497"/>
      <c r="D78" s="497"/>
      <c r="E78" s="497"/>
      <c r="F78" s="497"/>
      <c r="G78" s="497"/>
      <c r="H78" s="497"/>
      <c r="I78" s="497"/>
      <c r="J78" s="497"/>
      <c r="K78" s="497"/>
      <c r="L78" s="497"/>
      <c r="M78" s="497"/>
      <c r="N78" s="497"/>
      <c r="O78" s="497"/>
      <c r="P78" s="497"/>
      <c r="Q78" s="497"/>
      <c r="R78" s="497"/>
      <c r="S78" s="497"/>
      <c r="U78" s="677"/>
      <c r="V78" s="501"/>
    </row>
    <row r="79" spans="2:30" x14ac:dyDescent="0.2">
      <c r="B79" s="497"/>
      <c r="C79" s="497"/>
      <c r="D79" s="497"/>
      <c r="E79" s="497"/>
      <c r="F79" s="497"/>
      <c r="G79" s="497"/>
      <c r="H79" s="497"/>
      <c r="I79" s="497"/>
      <c r="J79" s="497"/>
      <c r="K79" s="497"/>
      <c r="L79" s="497"/>
      <c r="M79" s="497"/>
      <c r="N79" s="497"/>
      <c r="O79" s="497"/>
      <c r="P79" s="497"/>
      <c r="Q79" s="497"/>
      <c r="R79" s="497"/>
      <c r="S79" s="497"/>
      <c r="T79" s="619"/>
      <c r="U79" s="677"/>
      <c r="V79" s="501"/>
    </row>
    <row r="80" spans="2:30" x14ac:dyDescent="0.2">
      <c r="B80" s="497"/>
      <c r="C80" s="497"/>
      <c r="D80" s="497"/>
      <c r="E80" s="497"/>
      <c r="F80" s="497"/>
      <c r="G80" s="497"/>
      <c r="H80" s="497"/>
      <c r="I80" s="497"/>
      <c r="J80" s="497"/>
      <c r="K80" s="497"/>
      <c r="L80" s="497"/>
      <c r="M80" s="497"/>
      <c r="N80" s="497"/>
      <c r="O80" s="497"/>
      <c r="P80" s="497"/>
      <c r="Q80" s="497"/>
      <c r="R80" s="497"/>
      <c r="S80" s="497"/>
      <c r="T80" s="681"/>
      <c r="U80" s="682"/>
      <c r="V80" s="501"/>
    </row>
    <row r="81" spans="2:22" x14ac:dyDescent="0.2">
      <c r="B81" s="497"/>
      <c r="C81" s="497"/>
      <c r="D81" s="497"/>
      <c r="E81" s="497"/>
      <c r="F81" s="497"/>
      <c r="G81" s="497"/>
      <c r="H81" s="497"/>
      <c r="I81" s="497"/>
      <c r="J81" s="497"/>
      <c r="K81" s="497"/>
      <c r="L81" s="497"/>
      <c r="M81" s="497"/>
      <c r="N81" s="497"/>
      <c r="O81" s="497"/>
      <c r="P81" s="497"/>
      <c r="Q81" s="497"/>
      <c r="R81" s="497"/>
      <c r="S81" s="497"/>
      <c r="T81" s="681"/>
      <c r="U81" s="682"/>
      <c r="V81" s="501"/>
    </row>
    <row r="82" spans="2:22" x14ac:dyDescent="0.2">
      <c r="B82" s="497"/>
      <c r="C82" s="497"/>
      <c r="D82" s="497"/>
      <c r="E82" s="497"/>
      <c r="F82" s="497"/>
      <c r="G82" s="497"/>
      <c r="H82" s="497"/>
      <c r="I82" s="497"/>
      <c r="J82" s="497"/>
      <c r="K82" s="497"/>
      <c r="L82" s="497"/>
      <c r="M82" s="497"/>
      <c r="N82" s="497"/>
      <c r="O82" s="497"/>
      <c r="P82" s="497"/>
      <c r="Q82" s="497"/>
      <c r="R82" s="497"/>
      <c r="S82" s="497"/>
    </row>
    <row r="83" spans="2:22" x14ac:dyDescent="0.2">
      <c r="B83" s="497"/>
      <c r="C83" s="497"/>
      <c r="D83" s="497"/>
      <c r="E83" s="497"/>
      <c r="F83" s="497"/>
      <c r="G83" s="497"/>
      <c r="H83" s="497"/>
      <c r="I83" s="497"/>
      <c r="J83" s="497"/>
      <c r="K83" s="497"/>
      <c r="L83" s="497"/>
      <c r="M83" s="497"/>
      <c r="N83" s="497"/>
      <c r="O83" s="497"/>
      <c r="P83" s="497"/>
      <c r="Q83" s="497"/>
      <c r="R83" s="497"/>
      <c r="S83" s="497"/>
    </row>
    <row r="84" spans="2:22" x14ac:dyDescent="0.2">
      <c r="B84" s="497"/>
      <c r="C84" s="497"/>
      <c r="D84" s="497"/>
      <c r="E84" s="497"/>
      <c r="F84" s="497"/>
      <c r="G84" s="497"/>
      <c r="H84" s="497"/>
      <c r="I84" s="497"/>
      <c r="J84" s="497"/>
      <c r="K84" s="497"/>
      <c r="L84" s="497"/>
      <c r="M84" s="497"/>
      <c r="N84" s="497"/>
      <c r="O84" s="497"/>
      <c r="P84" s="497"/>
      <c r="Q84" s="497"/>
      <c r="R84" s="497"/>
      <c r="S84" s="497"/>
    </row>
    <row r="85" spans="2:22" x14ac:dyDescent="0.2">
      <c r="B85" s="497"/>
      <c r="C85" s="497"/>
      <c r="D85" s="497"/>
      <c r="E85" s="497"/>
      <c r="F85" s="497"/>
      <c r="G85" s="497"/>
      <c r="H85" s="497"/>
      <c r="I85" s="497"/>
      <c r="J85" s="497"/>
      <c r="K85" s="497"/>
      <c r="L85" s="497"/>
      <c r="M85" s="497"/>
      <c r="N85" s="497"/>
      <c r="O85" s="497"/>
      <c r="P85" s="497"/>
      <c r="Q85" s="497"/>
      <c r="R85" s="497"/>
      <c r="S85" s="497"/>
    </row>
    <row r="86" spans="2:22" x14ac:dyDescent="0.2">
      <c r="B86" s="497"/>
      <c r="C86" s="497"/>
      <c r="D86" s="497"/>
      <c r="E86" s="497"/>
      <c r="F86" s="497"/>
      <c r="G86" s="497"/>
      <c r="H86" s="497"/>
      <c r="I86" s="497"/>
      <c r="J86" s="497"/>
      <c r="K86" s="497"/>
      <c r="L86" s="497"/>
      <c r="M86" s="497"/>
      <c r="N86" s="497"/>
      <c r="O86" s="497"/>
      <c r="P86" s="497"/>
      <c r="Q86" s="497"/>
      <c r="R86" s="497"/>
      <c r="S86" s="497"/>
    </row>
    <row r="87" spans="2:22" x14ac:dyDescent="0.2">
      <c r="B87" s="497"/>
      <c r="C87" s="497"/>
      <c r="D87" s="497"/>
      <c r="E87" s="497"/>
      <c r="F87" s="497"/>
      <c r="G87" s="497"/>
      <c r="H87" s="497"/>
      <c r="I87" s="497"/>
      <c r="J87" s="497"/>
      <c r="K87" s="497"/>
      <c r="L87" s="497"/>
      <c r="M87" s="497"/>
      <c r="N87" s="497"/>
      <c r="O87" s="497"/>
      <c r="P87" s="497"/>
      <c r="Q87" s="497"/>
      <c r="R87" s="497"/>
      <c r="S87" s="497"/>
    </row>
    <row r="88" spans="2:22" x14ac:dyDescent="0.2">
      <c r="B88" s="497"/>
      <c r="C88" s="497"/>
      <c r="D88" s="497"/>
      <c r="E88" s="497"/>
      <c r="F88" s="497"/>
      <c r="G88" s="497"/>
      <c r="H88" s="497"/>
      <c r="I88" s="497"/>
      <c r="J88" s="497"/>
      <c r="K88" s="497"/>
      <c r="L88" s="497"/>
      <c r="M88" s="497"/>
      <c r="N88" s="497"/>
      <c r="O88" s="497"/>
      <c r="P88" s="497"/>
      <c r="Q88" s="497"/>
      <c r="R88" s="497"/>
      <c r="S88" s="497"/>
    </row>
    <row r="89" spans="2:22" x14ac:dyDescent="0.2">
      <c r="B89" s="497"/>
      <c r="C89" s="497"/>
      <c r="D89" s="497"/>
      <c r="E89" s="497"/>
      <c r="F89" s="497"/>
      <c r="G89" s="497"/>
      <c r="H89" s="497"/>
      <c r="I89" s="497"/>
      <c r="J89" s="497"/>
      <c r="K89" s="497"/>
      <c r="L89" s="497"/>
      <c r="M89" s="497"/>
      <c r="N89" s="497"/>
      <c r="O89" s="497"/>
      <c r="P89" s="497"/>
      <c r="Q89" s="497"/>
      <c r="R89" s="497"/>
      <c r="S89" s="497"/>
    </row>
    <row r="90" spans="2:22" x14ac:dyDescent="0.2">
      <c r="B90" s="497"/>
      <c r="C90" s="497"/>
      <c r="D90" s="497"/>
      <c r="E90" s="497"/>
      <c r="F90" s="497"/>
      <c r="G90" s="497"/>
      <c r="H90" s="497"/>
      <c r="I90" s="497"/>
      <c r="J90" s="497"/>
      <c r="K90" s="497"/>
      <c r="L90" s="497"/>
      <c r="M90" s="497"/>
      <c r="N90" s="497"/>
      <c r="O90" s="497"/>
      <c r="P90" s="497"/>
      <c r="Q90" s="497"/>
      <c r="R90" s="497"/>
      <c r="S90" s="497"/>
    </row>
    <row r="91" spans="2:22" x14ac:dyDescent="0.2">
      <c r="B91" s="497"/>
      <c r="C91" s="497"/>
      <c r="D91" s="497"/>
      <c r="E91" s="497"/>
      <c r="F91" s="497"/>
      <c r="G91" s="497"/>
      <c r="H91" s="497"/>
      <c r="I91" s="497"/>
      <c r="J91" s="497"/>
      <c r="K91" s="497"/>
      <c r="L91" s="497"/>
      <c r="M91" s="497"/>
      <c r="N91" s="497"/>
      <c r="O91" s="497"/>
      <c r="P91" s="497"/>
      <c r="Q91" s="497"/>
      <c r="R91" s="497"/>
      <c r="S91" s="497"/>
    </row>
    <row r="92" spans="2:22" x14ac:dyDescent="0.2">
      <c r="B92" s="497"/>
      <c r="C92" s="497"/>
      <c r="D92" s="497"/>
      <c r="E92" s="497"/>
      <c r="F92" s="497"/>
      <c r="G92" s="497"/>
      <c r="H92" s="497"/>
      <c r="I92" s="497"/>
      <c r="J92" s="497"/>
      <c r="K92" s="497"/>
      <c r="L92" s="497"/>
      <c r="M92" s="497"/>
      <c r="N92" s="497"/>
      <c r="O92" s="497"/>
      <c r="P92" s="497"/>
      <c r="Q92" s="497"/>
      <c r="R92" s="497"/>
      <c r="S92" s="497"/>
    </row>
    <row r="93" spans="2:22" x14ac:dyDescent="0.2">
      <c r="B93" s="497"/>
      <c r="C93" s="497"/>
      <c r="D93" s="497"/>
      <c r="E93" s="497"/>
      <c r="F93" s="497"/>
      <c r="G93" s="497"/>
      <c r="H93" s="497"/>
      <c r="I93" s="497"/>
      <c r="J93" s="497"/>
      <c r="K93" s="497"/>
      <c r="L93" s="497"/>
      <c r="M93" s="497"/>
      <c r="N93" s="497"/>
      <c r="O93" s="497"/>
      <c r="P93" s="497"/>
      <c r="Q93" s="497"/>
      <c r="R93" s="497"/>
      <c r="S93" s="497"/>
    </row>
    <row r="94" spans="2:22" x14ac:dyDescent="0.2">
      <c r="B94" s="497"/>
      <c r="C94" s="497"/>
      <c r="D94" s="497"/>
      <c r="E94" s="497"/>
      <c r="F94" s="497"/>
      <c r="G94" s="497"/>
      <c r="H94" s="497"/>
      <c r="I94" s="497"/>
      <c r="J94" s="497"/>
      <c r="K94" s="497"/>
      <c r="L94" s="497"/>
      <c r="M94" s="497"/>
      <c r="N94" s="497"/>
      <c r="O94" s="497"/>
      <c r="P94" s="497"/>
      <c r="Q94" s="497"/>
      <c r="R94" s="497"/>
      <c r="S94" s="497"/>
    </row>
    <row r="95" spans="2:22" x14ac:dyDescent="0.2">
      <c r="B95" s="497"/>
      <c r="C95" s="497"/>
      <c r="D95" s="497"/>
      <c r="E95" s="497"/>
      <c r="F95" s="497"/>
      <c r="G95" s="497"/>
      <c r="H95" s="497"/>
      <c r="I95" s="497"/>
      <c r="J95" s="497"/>
      <c r="K95" s="497"/>
      <c r="L95" s="497"/>
      <c r="M95" s="497"/>
      <c r="N95" s="497"/>
      <c r="O95" s="497"/>
      <c r="P95" s="497"/>
      <c r="Q95" s="497"/>
      <c r="R95" s="497"/>
      <c r="S95" s="497"/>
    </row>
    <row r="96" spans="2:22" x14ac:dyDescent="0.2">
      <c r="B96" s="497"/>
      <c r="C96" s="497"/>
      <c r="D96" s="497"/>
      <c r="E96" s="497"/>
      <c r="F96" s="497"/>
      <c r="G96" s="497"/>
      <c r="H96" s="497"/>
      <c r="I96" s="497"/>
      <c r="J96" s="497"/>
      <c r="K96" s="497"/>
      <c r="L96" s="497"/>
      <c r="M96" s="497"/>
      <c r="N96" s="497"/>
      <c r="O96" s="497"/>
      <c r="P96" s="497"/>
      <c r="Q96" s="497"/>
      <c r="R96" s="497"/>
      <c r="S96" s="497"/>
    </row>
    <row r="97" s="497" customFormat="1" x14ac:dyDescent="0.2"/>
    <row r="98" s="497" customFormat="1" x14ac:dyDescent="0.2"/>
    <row r="99" s="497" customFormat="1" x14ac:dyDescent="0.2"/>
    <row r="100" s="497" customFormat="1" x14ac:dyDescent="0.2"/>
    <row r="101" s="497" customFormat="1" x14ac:dyDescent="0.2"/>
    <row r="102" s="497" customFormat="1" x14ac:dyDescent="0.2"/>
    <row r="103" s="497" customFormat="1" x14ac:dyDescent="0.2"/>
  </sheetData>
  <conditionalFormatting sqref="D5:D6 H5:H7 D13">
    <cfRule type="cellIs" dxfId="3" priority="1" operator="lessThan">
      <formula>$C$203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66" min="1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4" name="Button 1">
              <controlPr defaultSize="0" print="0" autoFill="0" autoPict="0" macro="[0]!IRRY4">
                <anchor moveWithCells="1" sizeWithCells="1">
                  <from>
                    <xdr:col>20</xdr:col>
                    <xdr:colOff>546100</xdr:colOff>
                    <xdr:row>47</xdr:row>
                    <xdr:rowOff>101600</xdr:rowOff>
                  </from>
                  <to>
                    <xdr:col>21</xdr:col>
                    <xdr:colOff>673100</xdr:colOff>
                    <xdr:row>50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5" name="Button 2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47</xdr:row>
                    <xdr:rowOff>114300</xdr:rowOff>
                  </from>
                  <to>
                    <xdr:col>23</xdr:col>
                    <xdr:colOff>304800</xdr:colOff>
                    <xdr:row>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6" name="Button 3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47</xdr:row>
                    <xdr:rowOff>101600</xdr:rowOff>
                  </from>
                  <to>
                    <xdr:col>20</xdr:col>
                    <xdr:colOff>228600</xdr:colOff>
                    <xdr:row>50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7" name="Button 4">
              <controlPr defaultSize="0" print="0" autoFill="0" autoPict="0" macro="[0]!IRRY6">
                <anchor moveWithCells="1" sizeWithCells="1">
                  <from>
                    <xdr:col>23</xdr:col>
                    <xdr:colOff>825500</xdr:colOff>
                    <xdr:row>47</xdr:row>
                    <xdr:rowOff>88900</xdr:rowOff>
                  </from>
                  <to>
                    <xdr:col>24</xdr:col>
                    <xdr:colOff>939800</xdr:colOff>
                    <xdr:row>50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B669-5809-4093-A96E-8ECDDE36EF89}">
  <sheetPr>
    <tabColor theme="9" tint="0.59999389629810485"/>
  </sheetPr>
  <dimension ref="A2:AH159"/>
  <sheetViews>
    <sheetView zoomScale="70" zoomScaleNormal="70" workbookViewId="0">
      <selection activeCell="B2" sqref="B2:L2"/>
    </sheetView>
  </sheetViews>
  <sheetFormatPr baseColWidth="10" defaultColWidth="11" defaultRowHeight="16" outlineLevelRow="1" x14ac:dyDescent="0.2"/>
  <cols>
    <col min="1" max="1" width="75" bestFit="1" customWidth="1"/>
    <col min="2" max="2" width="13.1640625" customWidth="1"/>
    <col min="3" max="3" width="6.5" customWidth="1"/>
    <col min="4" max="4" width="11.1640625" customWidth="1"/>
    <col min="5" max="19" width="12.1640625" customWidth="1"/>
    <col min="20" max="32" width="11.5" customWidth="1"/>
    <col min="33" max="33" width="12.5" bestFit="1" customWidth="1"/>
    <col min="34" max="34" width="13.1640625" bestFit="1" customWidth="1"/>
  </cols>
  <sheetData>
    <row r="2" spans="1:34" ht="21" x14ac:dyDescent="0.25">
      <c r="A2" s="493" t="s">
        <v>433</v>
      </c>
      <c r="B2" s="790" t="s">
        <v>584</v>
      </c>
      <c r="C2" s="790"/>
      <c r="D2" s="790"/>
      <c r="E2" s="790"/>
      <c r="F2" s="790"/>
      <c r="G2" s="790"/>
      <c r="H2" s="790"/>
      <c r="I2" s="790"/>
      <c r="J2" s="790"/>
      <c r="K2" s="790"/>
      <c r="L2" s="790"/>
    </row>
    <row r="3" spans="1:34" ht="21" x14ac:dyDescent="0.25">
      <c r="A3" s="563" t="s">
        <v>585</v>
      </c>
      <c r="B3" s="563"/>
      <c r="C3" s="563"/>
      <c r="D3" s="563"/>
      <c r="E3" s="563"/>
      <c r="F3" s="563"/>
      <c r="G3" s="56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96"/>
      <c r="AG3" s="1"/>
    </row>
    <row r="4" spans="1:34" x14ac:dyDescent="0.2">
      <c r="A4" s="497"/>
      <c r="B4" s="497"/>
      <c r="C4" s="497"/>
      <c r="D4" s="497"/>
      <c r="E4" s="497"/>
      <c r="F4" s="497"/>
      <c r="G4" s="497"/>
      <c r="H4" s="583"/>
      <c r="I4" s="583"/>
      <c r="J4" s="583"/>
      <c r="K4" s="583"/>
      <c r="L4" s="583"/>
      <c r="M4" s="583"/>
      <c r="N4" s="583"/>
      <c r="O4" s="583"/>
      <c r="P4" s="583"/>
      <c r="Q4" s="583"/>
      <c r="R4" s="583"/>
      <c r="S4" s="583"/>
      <c r="T4" s="583"/>
      <c r="U4" s="583"/>
      <c r="V4" s="583"/>
      <c r="W4" s="583"/>
      <c r="X4" s="583"/>
      <c r="Y4" s="583"/>
      <c r="Z4" s="583"/>
      <c r="AA4" s="583"/>
      <c r="AB4" s="583"/>
      <c r="AC4" s="583"/>
      <c r="AD4" s="583"/>
      <c r="AE4" s="583"/>
      <c r="AF4" s="7"/>
      <c r="AG4" s="497"/>
      <c r="AH4" s="7" t="s">
        <v>586</v>
      </c>
    </row>
    <row r="5" spans="1:34" x14ac:dyDescent="0.2">
      <c r="A5" s="3"/>
      <c r="B5" s="6" t="s">
        <v>212</v>
      </c>
      <c r="C5" s="3"/>
      <c r="D5" s="789">
        <v>2024</v>
      </c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>
        <v>2025</v>
      </c>
      <c r="Q5" s="789"/>
      <c r="R5" s="789"/>
      <c r="S5" s="789"/>
      <c r="T5" s="789"/>
      <c r="U5" s="789"/>
      <c r="V5" s="789"/>
      <c r="W5" s="789"/>
      <c r="X5" s="789"/>
      <c r="Y5" s="789"/>
      <c r="Z5" s="789"/>
      <c r="AA5" s="789"/>
      <c r="AB5" s="789">
        <v>2026</v>
      </c>
      <c r="AC5" s="789"/>
      <c r="AD5" s="789"/>
      <c r="AE5" s="789"/>
      <c r="AF5" s="6"/>
      <c r="AG5" s="7" t="s">
        <v>212</v>
      </c>
    </row>
    <row r="6" spans="1:34" x14ac:dyDescent="0.2">
      <c r="A6" s="3"/>
      <c r="B6" s="6"/>
      <c r="C6" s="3"/>
      <c r="D6" s="6" t="s">
        <v>587</v>
      </c>
      <c r="E6" s="6" t="s">
        <v>588</v>
      </c>
      <c r="F6" s="6" t="s">
        <v>589</v>
      </c>
      <c r="G6" s="6" t="s">
        <v>590</v>
      </c>
      <c r="H6" s="6" t="s">
        <v>591</v>
      </c>
      <c r="I6" s="6" t="s">
        <v>592</v>
      </c>
      <c r="J6" s="6" t="s">
        <v>593</v>
      </c>
      <c r="K6" s="6" t="s">
        <v>594</v>
      </c>
      <c r="L6" s="6" t="s">
        <v>595</v>
      </c>
      <c r="M6" s="6" t="s">
        <v>596</v>
      </c>
      <c r="N6" s="6" t="s">
        <v>597</v>
      </c>
      <c r="O6" s="6" t="s">
        <v>598</v>
      </c>
      <c r="P6" s="6" t="s">
        <v>599</v>
      </c>
      <c r="Q6" s="6" t="s">
        <v>600</v>
      </c>
      <c r="R6" s="6" t="s">
        <v>601</v>
      </c>
      <c r="S6" s="6" t="s">
        <v>602</v>
      </c>
      <c r="T6" s="6" t="s">
        <v>603</v>
      </c>
      <c r="U6" s="6" t="s">
        <v>604</v>
      </c>
      <c r="V6" s="6" t="s">
        <v>605</v>
      </c>
      <c r="W6" s="6" t="s">
        <v>606</v>
      </c>
      <c r="X6" s="6" t="s">
        <v>607</v>
      </c>
      <c r="Y6" s="6" t="s">
        <v>608</v>
      </c>
      <c r="Z6" s="6" t="s">
        <v>609</v>
      </c>
      <c r="AA6" s="6" t="s">
        <v>610</v>
      </c>
      <c r="AB6" s="6" t="s">
        <v>611</v>
      </c>
      <c r="AC6" s="6" t="s">
        <v>612</v>
      </c>
      <c r="AD6" s="6" t="s">
        <v>613</v>
      </c>
      <c r="AE6" s="6" t="s">
        <v>614</v>
      </c>
      <c r="AF6" s="6"/>
      <c r="AG6" s="7"/>
    </row>
    <row r="7" spans="1:34" x14ac:dyDescent="0.2">
      <c r="D7" s="582">
        <v>45292</v>
      </c>
      <c r="E7" s="582">
        <v>45323</v>
      </c>
      <c r="F7" s="582">
        <v>45352</v>
      </c>
      <c r="G7" s="582">
        <v>45383</v>
      </c>
      <c r="H7" s="582">
        <v>45413</v>
      </c>
      <c r="I7" s="582">
        <v>45444</v>
      </c>
      <c r="J7" s="582">
        <v>45474</v>
      </c>
      <c r="K7" s="582">
        <v>45505</v>
      </c>
      <c r="L7" s="582">
        <v>45536</v>
      </c>
      <c r="M7" s="582">
        <v>45566</v>
      </c>
      <c r="N7" s="582">
        <v>45597</v>
      </c>
      <c r="O7" s="582">
        <v>45627</v>
      </c>
      <c r="P7" s="582">
        <v>45658</v>
      </c>
      <c r="Q7" s="582">
        <v>45689</v>
      </c>
      <c r="R7" s="582">
        <v>45717</v>
      </c>
      <c r="S7" s="582">
        <v>45748</v>
      </c>
      <c r="T7" s="582">
        <v>45778</v>
      </c>
      <c r="U7" s="582">
        <v>45809</v>
      </c>
      <c r="V7" s="582">
        <v>45839</v>
      </c>
      <c r="W7" s="582">
        <v>45870</v>
      </c>
      <c r="X7" s="582">
        <v>45901</v>
      </c>
      <c r="Y7" s="582">
        <v>45931</v>
      </c>
      <c r="Z7" s="582">
        <v>45962</v>
      </c>
      <c r="AA7" s="582">
        <v>45992</v>
      </c>
      <c r="AB7" s="582">
        <v>46023</v>
      </c>
      <c r="AC7" s="582">
        <v>46054</v>
      </c>
      <c r="AD7" s="582">
        <v>46082</v>
      </c>
      <c r="AE7" s="582">
        <v>46113</v>
      </c>
      <c r="AF7" s="582"/>
    </row>
    <row r="8" spans="1:34" x14ac:dyDescent="0.2">
      <c r="A8" s="34" t="s">
        <v>127</v>
      </c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G8" s="164"/>
    </row>
    <row r="9" spans="1:34" x14ac:dyDescent="0.2"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68"/>
      <c r="AG9" s="12"/>
      <c r="AH9" s="24"/>
    </row>
    <row r="10" spans="1:34" x14ac:dyDescent="0.2">
      <c r="A10" s="499" t="s">
        <v>467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68"/>
      <c r="AG10" s="12">
        <v>0</v>
      </c>
      <c r="AH10" s="24">
        <f t="shared" ref="AH10:AH41" si="0">B10-AG10</f>
        <v>0</v>
      </c>
    </row>
    <row r="11" spans="1:34" x14ac:dyDescent="0.2">
      <c r="A11" s="578" t="str">
        <f>'Proforma Land+Home'!B45</f>
        <v>EB5 - MEZZ DEBT</v>
      </c>
      <c r="B11" s="11">
        <f>'Proforma Land+Home'!$E45</f>
        <v>0</v>
      </c>
      <c r="C11" s="580"/>
      <c r="D11" s="11"/>
      <c r="E11" s="11"/>
      <c r="F11" s="11"/>
      <c r="G11" s="11">
        <f>B11</f>
        <v>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>
        <f>SUM(C11:AE11)</f>
        <v>0</v>
      </c>
      <c r="AH11" s="24">
        <f t="shared" si="0"/>
        <v>0</v>
      </c>
    </row>
    <row r="12" spans="1:34" hidden="1" x14ac:dyDescent="0.2">
      <c r="A12" s="578" t="str">
        <f>'Proforma Land+Home'!B39</f>
        <v>SPONSOR - EQUITY CAPITAL</v>
      </c>
      <c r="B12" s="11">
        <f>'Proforma Land+Home'!$E39</f>
        <v>400000</v>
      </c>
      <c r="D12" s="11">
        <f>'Proforma Land+Home'!R39</f>
        <v>400000</v>
      </c>
      <c r="E12" s="11"/>
      <c r="F12" s="11"/>
      <c r="G12" s="11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68"/>
      <c r="AG12" s="12">
        <f>SUM(C12:AE12)</f>
        <v>400000</v>
      </c>
      <c r="AH12" s="24">
        <f>B12-AG12</f>
        <v>0</v>
      </c>
    </row>
    <row r="13" spans="1:34" hidden="1" x14ac:dyDescent="0.2">
      <c r="A13" s="578" t="s">
        <v>615</v>
      </c>
      <c r="B13" s="11" t="e">
        <f>'Proforma Land+Home'!#REF!</f>
        <v>#REF!</v>
      </c>
      <c r="C13" s="58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>
        <v>0</v>
      </c>
      <c r="AH13" s="24" t="e">
        <f t="shared" si="0"/>
        <v>#REF!</v>
      </c>
    </row>
    <row r="14" spans="1:34" hidden="1" x14ac:dyDescent="0.2">
      <c r="A14" s="578" t="s">
        <v>616</v>
      </c>
      <c r="B14" s="11" t="e">
        <f>'Proforma Land+Home'!#REF!</f>
        <v>#REF!</v>
      </c>
      <c r="C14" s="58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>
        <v>0</v>
      </c>
      <c r="AH14" s="24" t="e">
        <f t="shared" si="0"/>
        <v>#REF!</v>
      </c>
    </row>
    <row r="15" spans="1:34" hidden="1" x14ac:dyDescent="0.2">
      <c r="A15" s="578" t="s">
        <v>617</v>
      </c>
      <c r="B15" s="11" t="e">
        <f>'Proforma Land+Home'!#REF!</f>
        <v>#REF!</v>
      </c>
      <c r="C15" s="58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>
        <v>0</v>
      </c>
      <c r="AH15" s="24" t="e">
        <f t="shared" si="0"/>
        <v>#REF!</v>
      </c>
    </row>
    <row r="16" spans="1:34" hidden="1" x14ac:dyDescent="0.2">
      <c r="A16" s="578" t="s">
        <v>618</v>
      </c>
      <c r="B16" s="11" t="e">
        <f>'Proforma Land+Home'!#REF!</f>
        <v>#REF!</v>
      </c>
      <c r="C16" s="58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2">
        <v>0</v>
      </c>
      <c r="AH16" s="24" t="e">
        <f t="shared" si="0"/>
        <v>#REF!</v>
      </c>
    </row>
    <row r="17" spans="1:34" s="3" customFormat="1" x14ac:dyDescent="0.2">
      <c r="A17" s="49" t="s">
        <v>467</v>
      </c>
      <c r="B17" s="51" t="e">
        <f>SUM(B10:B16)</f>
        <v>#REF!</v>
      </c>
      <c r="C17" s="51"/>
      <c r="D17" s="51">
        <f t="shared" ref="D17:AE17" si="1">SUM(D10:D16)</f>
        <v>400000</v>
      </c>
      <c r="E17" s="51">
        <f t="shared" si="1"/>
        <v>0</v>
      </c>
      <c r="F17" s="51">
        <f t="shared" si="1"/>
        <v>0</v>
      </c>
      <c r="G17" s="51">
        <f t="shared" si="1"/>
        <v>0</v>
      </c>
      <c r="H17" s="51">
        <f t="shared" si="1"/>
        <v>0</v>
      </c>
      <c r="I17" s="51">
        <f t="shared" si="1"/>
        <v>0</v>
      </c>
      <c r="J17" s="51">
        <f t="shared" si="1"/>
        <v>0</v>
      </c>
      <c r="K17" s="51">
        <f t="shared" si="1"/>
        <v>0</v>
      </c>
      <c r="L17" s="51">
        <f t="shared" si="1"/>
        <v>0</v>
      </c>
      <c r="M17" s="51">
        <f t="shared" si="1"/>
        <v>0</v>
      </c>
      <c r="N17" s="51">
        <f t="shared" si="1"/>
        <v>0</v>
      </c>
      <c r="O17" s="51">
        <f t="shared" si="1"/>
        <v>0</v>
      </c>
      <c r="P17" s="51">
        <f t="shared" si="1"/>
        <v>0</v>
      </c>
      <c r="Q17" s="51">
        <f t="shared" si="1"/>
        <v>0</v>
      </c>
      <c r="R17" s="51">
        <f t="shared" si="1"/>
        <v>0</v>
      </c>
      <c r="S17" s="51">
        <f t="shared" si="1"/>
        <v>0</v>
      </c>
      <c r="T17" s="51">
        <f t="shared" si="1"/>
        <v>0</v>
      </c>
      <c r="U17" s="51">
        <f t="shared" si="1"/>
        <v>0</v>
      </c>
      <c r="V17" s="51">
        <f t="shared" si="1"/>
        <v>0</v>
      </c>
      <c r="W17" s="51">
        <f t="shared" si="1"/>
        <v>0</v>
      </c>
      <c r="X17" s="51">
        <f t="shared" si="1"/>
        <v>0</v>
      </c>
      <c r="Y17" s="51">
        <f t="shared" si="1"/>
        <v>0</v>
      </c>
      <c r="Z17" s="51">
        <f t="shared" si="1"/>
        <v>0</v>
      </c>
      <c r="AA17" s="51">
        <f t="shared" si="1"/>
        <v>0</v>
      </c>
      <c r="AB17" s="51">
        <f t="shared" si="1"/>
        <v>0</v>
      </c>
      <c r="AC17" s="51">
        <f t="shared" si="1"/>
        <v>0</v>
      </c>
      <c r="AD17" s="51">
        <f t="shared" si="1"/>
        <v>0</v>
      </c>
      <c r="AE17" s="51">
        <f t="shared" si="1"/>
        <v>0</v>
      </c>
      <c r="AF17" s="24"/>
      <c r="AG17" s="52">
        <f>SUM(AG10:AG16)</f>
        <v>400000</v>
      </c>
      <c r="AH17" s="24" t="e">
        <f t="shared" si="0"/>
        <v>#REF!</v>
      </c>
    </row>
    <row r="18" spans="1:34" x14ac:dyDescent="0.2">
      <c r="A18" s="578"/>
      <c r="C18" s="580"/>
      <c r="D18" s="58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581"/>
      <c r="AH18" s="24">
        <f t="shared" si="0"/>
        <v>0</v>
      </c>
    </row>
    <row r="19" spans="1:34" x14ac:dyDescent="0.2">
      <c r="A19" s="499" t="s">
        <v>251</v>
      </c>
      <c r="C19" s="580"/>
      <c r="D19" s="580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581"/>
      <c r="AH19" s="24">
        <f t="shared" si="0"/>
        <v>0</v>
      </c>
    </row>
    <row r="20" spans="1:34" hidden="1" x14ac:dyDescent="0.2">
      <c r="A20" s="578" t="e">
        <f>'Proforma Land+Home'!#REF!</f>
        <v>#REF!</v>
      </c>
      <c r="B20" s="11" t="e">
        <f>'Proforma Land+Home'!#REF!</f>
        <v>#REF!</v>
      </c>
      <c r="C20" s="580"/>
      <c r="D20" s="580"/>
      <c r="E20" s="11"/>
      <c r="F20" s="11"/>
      <c r="G20" s="11" t="e">
        <f>'Proforma Land+Home'!#REF!</f>
        <v>#REF!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2" t="e">
        <f>SUM(C20:AE20)</f>
        <v>#REF!</v>
      </c>
      <c r="AH20" s="24" t="e">
        <f t="shared" si="0"/>
        <v>#REF!</v>
      </c>
    </row>
    <row r="21" spans="1:34" x14ac:dyDescent="0.2">
      <c r="A21" s="578" t="str">
        <f>'Proforma Land+Home'!B46</f>
        <v>DEV LOAN - DEV COSTS</v>
      </c>
      <c r="B21" s="11">
        <f>'Proforma Land+Home'!E46+'Proforma Land+Home'!F46</f>
        <v>38779480.480779253</v>
      </c>
      <c r="C21" s="580"/>
      <c r="D21" s="580"/>
      <c r="E21" s="11"/>
      <c r="F21" s="11"/>
      <c r="G21" s="11">
        <f>'Proforma Land+Home'!$E$46*0.43</f>
        <v>12104929.627367789</v>
      </c>
      <c r="H21" s="11"/>
      <c r="I21" s="11"/>
      <c r="J21" s="11">
        <f>'Proforma Land+Home'!$E$46*0.19</f>
        <v>5348689.8353485586</v>
      </c>
      <c r="K21" s="11"/>
      <c r="L21" s="11"/>
      <c r="M21" s="11">
        <f>'Proforma Land+Home'!$E$46*0.19</f>
        <v>5348689.8353485586</v>
      </c>
      <c r="N21" s="11"/>
      <c r="O21" s="11"/>
      <c r="P21" s="11">
        <f>'Proforma Land+Home'!$E$46*0.19</f>
        <v>5348689.8353485586</v>
      </c>
      <c r="Q21" s="11"/>
      <c r="R21" s="11"/>
      <c r="S21" s="11">
        <f>'Proforma Land+Home'!$F$46</f>
        <v>10628481.347365789</v>
      </c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2">
        <f>SUM(C21:AE21)</f>
        <v>38779480.480779253</v>
      </c>
      <c r="AH21" s="24">
        <f t="shared" si="0"/>
        <v>0</v>
      </c>
    </row>
    <row r="22" spans="1:34" s="3" customFormat="1" x14ac:dyDescent="0.2">
      <c r="A22" s="49" t="s">
        <v>251</v>
      </c>
      <c r="B22" s="51" t="e">
        <f>SUM(B19:B21)</f>
        <v>#REF!</v>
      </c>
      <c r="C22" s="51"/>
      <c r="D22" s="51">
        <f>SUM(D19:D21)</f>
        <v>0</v>
      </c>
      <c r="E22" s="51">
        <f>SUM(E19:E21)</f>
        <v>0</v>
      </c>
      <c r="F22" s="51">
        <f>SUM(F19:F21)</f>
        <v>0</v>
      </c>
      <c r="G22" s="51" t="e">
        <f>SUM(G19:G21)</f>
        <v>#REF!</v>
      </c>
      <c r="H22" s="51"/>
      <c r="I22" s="51">
        <f t="shared" ref="I22:AE22" si="2">SUM(I19:I21)</f>
        <v>0</v>
      </c>
      <c r="J22" s="51">
        <f t="shared" si="2"/>
        <v>5348689.8353485586</v>
      </c>
      <c r="K22" s="51">
        <f t="shared" si="2"/>
        <v>0</v>
      </c>
      <c r="L22" s="51">
        <f t="shared" si="2"/>
        <v>0</v>
      </c>
      <c r="M22" s="51">
        <f t="shared" si="2"/>
        <v>5348689.8353485586</v>
      </c>
      <c r="N22" s="51">
        <f t="shared" si="2"/>
        <v>0</v>
      </c>
      <c r="O22" s="51">
        <f t="shared" si="2"/>
        <v>0</v>
      </c>
      <c r="P22" s="51">
        <f t="shared" si="2"/>
        <v>5348689.8353485586</v>
      </c>
      <c r="Q22" s="51">
        <f t="shared" si="2"/>
        <v>0</v>
      </c>
      <c r="R22" s="51">
        <f t="shared" si="2"/>
        <v>0</v>
      </c>
      <c r="S22" s="51">
        <f t="shared" si="2"/>
        <v>10628481.347365789</v>
      </c>
      <c r="T22" s="51">
        <f t="shared" si="2"/>
        <v>0</v>
      </c>
      <c r="U22" s="51">
        <f t="shared" si="2"/>
        <v>0</v>
      </c>
      <c r="V22" s="51">
        <f t="shared" si="2"/>
        <v>0</v>
      </c>
      <c r="W22" s="51">
        <f t="shared" si="2"/>
        <v>0</v>
      </c>
      <c r="X22" s="51">
        <f t="shared" si="2"/>
        <v>0</v>
      </c>
      <c r="Y22" s="51">
        <f t="shared" si="2"/>
        <v>0</v>
      </c>
      <c r="Z22" s="51">
        <f t="shared" si="2"/>
        <v>0</v>
      </c>
      <c r="AA22" s="51">
        <f t="shared" si="2"/>
        <v>0</v>
      </c>
      <c r="AB22" s="51">
        <f t="shared" si="2"/>
        <v>0</v>
      </c>
      <c r="AC22" s="51">
        <f t="shared" si="2"/>
        <v>0</v>
      </c>
      <c r="AD22" s="51">
        <f t="shared" si="2"/>
        <v>0</v>
      </c>
      <c r="AE22" s="51">
        <f t="shared" si="2"/>
        <v>0</v>
      </c>
      <c r="AF22" s="24"/>
      <c r="AG22" s="52" t="e">
        <f>SUM(AG19:AG21)</f>
        <v>#REF!</v>
      </c>
      <c r="AH22" s="24" t="e">
        <f t="shared" si="0"/>
        <v>#REF!</v>
      </c>
    </row>
    <row r="23" spans="1:34" x14ac:dyDescent="0.2">
      <c r="A23" s="578"/>
      <c r="B23" s="15"/>
      <c r="C23" s="580"/>
      <c r="D23" s="580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2"/>
      <c r="AH23" s="24">
        <f t="shared" si="0"/>
        <v>0</v>
      </c>
    </row>
    <row r="24" spans="1:34" hidden="1" x14ac:dyDescent="0.2">
      <c r="A24" s="578" t="s">
        <v>619</v>
      </c>
      <c r="B24" s="15"/>
      <c r="C24" s="580"/>
      <c r="D24" s="580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47"/>
      <c r="AH24" s="24">
        <f t="shared" si="0"/>
        <v>0</v>
      </c>
    </row>
    <row r="25" spans="1:34" hidden="1" x14ac:dyDescent="0.2">
      <c r="A25" s="578" t="s">
        <v>620</v>
      </c>
      <c r="B25" s="10">
        <v>0</v>
      </c>
      <c r="C25" s="580"/>
      <c r="D25" s="580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47">
        <v>0</v>
      </c>
      <c r="AH25" s="24">
        <f t="shared" si="0"/>
        <v>0</v>
      </c>
    </row>
    <row r="26" spans="1:34" hidden="1" x14ac:dyDescent="0.2">
      <c r="A26" s="578" t="s">
        <v>621</v>
      </c>
      <c r="B26" s="15"/>
      <c r="C26" s="579"/>
      <c r="D26" s="579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47"/>
      <c r="AH26" s="24">
        <f t="shared" si="0"/>
        <v>0</v>
      </c>
    </row>
    <row r="27" spans="1:34" s="3" customFormat="1" hidden="1" x14ac:dyDescent="0.2">
      <c r="A27" s="49" t="s">
        <v>622</v>
      </c>
      <c r="B27" s="324"/>
      <c r="C27" s="324"/>
      <c r="D27" s="324"/>
      <c r="E27" s="51"/>
      <c r="F27" s="51"/>
      <c r="G27" s="51"/>
      <c r="H27" s="51"/>
      <c r="I27" s="51"/>
      <c r="J27" s="51"/>
      <c r="K27" s="51"/>
      <c r="L27" s="51"/>
      <c r="M27" s="51"/>
      <c r="N27" s="51">
        <f>SUM(N23:N26)</f>
        <v>0</v>
      </c>
      <c r="O27" s="51"/>
      <c r="P27" s="51"/>
      <c r="Q27" s="51">
        <f>SUM(Q23:Q26)</f>
        <v>0</v>
      </c>
      <c r="R27" s="51"/>
      <c r="S27" s="51"/>
      <c r="T27" s="51">
        <f>SUM(T23:T26)</f>
        <v>0</v>
      </c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24"/>
      <c r="AG27" s="51"/>
      <c r="AH27" s="24">
        <f t="shared" si="0"/>
        <v>0</v>
      </c>
    </row>
    <row r="28" spans="1:34" hidden="1" x14ac:dyDescent="0.2">
      <c r="B28" s="15"/>
      <c r="C28" s="15"/>
      <c r="D28" s="15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2"/>
      <c r="AH28" s="24">
        <f t="shared" si="0"/>
        <v>0</v>
      </c>
    </row>
    <row r="29" spans="1:34" hidden="1" x14ac:dyDescent="0.2">
      <c r="A29" s="578" t="s">
        <v>478</v>
      </c>
      <c r="B29" s="575">
        <v>0</v>
      </c>
      <c r="C29" s="575"/>
      <c r="D29" s="575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2"/>
      <c r="AH29" s="24">
        <f t="shared" si="0"/>
        <v>0</v>
      </c>
    </row>
    <row r="30" spans="1:34" hidden="1" x14ac:dyDescent="0.2">
      <c r="A30" s="578" t="s">
        <v>254</v>
      </c>
      <c r="B30" s="575">
        <v>0</v>
      </c>
      <c r="C30" s="575"/>
      <c r="D30" s="575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2"/>
      <c r="AH30" s="24">
        <f t="shared" si="0"/>
        <v>0</v>
      </c>
    </row>
    <row r="31" spans="1:34" hidden="1" x14ac:dyDescent="0.2">
      <c r="A31" s="578" t="s">
        <v>479</v>
      </c>
      <c r="B31" s="575">
        <v>0</v>
      </c>
      <c r="C31" s="575"/>
      <c r="D31" s="575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2"/>
      <c r="AH31" s="24">
        <f t="shared" si="0"/>
        <v>0</v>
      </c>
    </row>
    <row r="32" spans="1:34" hidden="1" x14ac:dyDescent="0.2">
      <c r="A32" s="577" t="s">
        <v>480</v>
      </c>
      <c r="B32" s="576">
        <v>0</v>
      </c>
      <c r="C32" s="575"/>
      <c r="D32" s="575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21"/>
      <c r="AH32" s="24">
        <f t="shared" si="0"/>
        <v>0</v>
      </c>
    </row>
    <row r="33" spans="1:34" hidden="1" x14ac:dyDescent="0.2">
      <c r="A33" t="s">
        <v>257</v>
      </c>
      <c r="B33" s="436">
        <v>0</v>
      </c>
      <c r="C33" s="15"/>
      <c r="D33" s="15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>
        <v>0</v>
      </c>
      <c r="AH33" s="24">
        <f t="shared" si="0"/>
        <v>0</v>
      </c>
    </row>
    <row r="34" spans="1:34" hidden="1" x14ac:dyDescent="0.2">
      <c r="A34" s="225" t="s">
        <v>260</v>
      </c>
      <c r="B34" s="44"/>
      <c r="C34" s="44"/>
      <c r="D34" s="44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21"/>
      <c r="AH34" s="24">
        <f t="shared" si="0"/>
        <v>0</v>
      </c>
    </row>
    <row r="35" spans="1:34" s="3" customFormat="1" x14ac:dyDescent="0.2">
      <c r="A35" s="574" t="s">
        <v>132</v>
      </c>
      <c r="B35" s="51" t="e">
        <f>B17+B22</f>
        <v>#REF!</v>
      </c>
      <c r="C35" s="51"/>
      <c r="D35" s="51">
        <f t="shared" ref="D35:AE35" si="3">D17+D22+D27+D33+D34</f>
        <v>400000</v>
      </c>
      <c r="E35" s="51">
        <f t="shared" si="3"/>
        <v>0</v>
      </c>
      <c r="F35" s="51">
        <f t="shared" si="3"/>
        <v>0</v>
      </c>
      <c r="G35" s="51" t="e">
        <f t="shared" si="3"/>
        <v>#REF!</v>
      </c>
      <c r="H35" s="51">
        <f t="shared" si="3"/>
        <v>0</v>
      </c>
      <c r="I35" s="51">
        <f t="shared" si="3"/>
        <v>0</v>
      </c>
      <c r="J35" s="51">
        <f t="shared" si="3"/>
        <v>5348689.8353485586</v>
      </c>
      <c r="K35" s="51">
        <f t="shared" si="3"/>
        <v>0</v>
      </c>
      <c r="L35" s="51">
        <f t="shared" si="3"/>
        <v>0</v>
      </c>
      <c r="M35" s="51">
        <f t="shared" si="3"/>
        <v>5348689.8353485586</v>
      </c>
      <c r="N35" s="51">
        <f t="shared" si="3"/>
        <v>0</v>
      </c>
      <c r="O35" s="51">
        <f t="shared" si="3"/>
        <v>0</v>
      </c>
      <c r="P35" s="51">
        <f t="shared" si="3"/>
        <v>5348689.8353485586</v>
      </c>
      <c r="Q35" s="51">
        <f t="shared" si="3"/>
        <v>0</v>
      </c>
      <c r="R35" s="51">
        <f t="shared" si="3"/>
        <v>0</v>
      </c>
      <c r="S35" s="51">
        <f t="shared" si="3"/>
        <v>10628481.347365789</v>
      </c>
      <c r="T35" s="51">
        <f t="shared" si="3"/>
        <v>0</v>
      </c>
      <c r="U35" s="51">
        <f t="shared" si="3"/>
        <v>0</v>
      </c>
      <c r="V35" s="51">
        <f t="shared" si="3"/>
        <v>0</v>
      </c>
      <c r="W35" s="51">
        <f t="shared" si="3"/>
        <v>0</v>
      </c>
      <c r="X35" s="51">
        <f t="shared" si="3"/>
        <v>0</v>
      </c>
      <c r="Y35" s="51">
        <f t="shared" si="3"/>
        <v>0</v>
      </c>
      <c r="Z35" s="51">
        <f t="shared" si="3"/>
        <v>0</v>
      </c>
      <c r="AA35" s="51">
        <f t="shared" si="3"/>
        <v>0</v>
      </c>
      <c r="AB35" s="51">
        <f t="shared" si="3"/>
        <v>0</v>
      </c>
      <c r="AC35" s="51">
        <f t="shared" si="3"/>
        <v>0</v>
      </c>
      <c r="AD35" s="51">
        <f t="shared" si="3"/>
        <v>0</v>
      </c>
      <c r="AE35" s="51">
        <f t="shared" si="3"/>
        <v>0</v>
      </c>
      <c r="AF35" s="24"/>
      <c r="AG35" s="51" t="e">
        <f>AG17+AG22+AG27+AG33+AG34</f>
        <v>#REF!</v>
      </c>
      <c r="AH35" s="24" t="e">
        <f t="shared" si="0"/>
        <v>#REF!</v>
      </c>
    </row>
    <row r="36" spans="1:34" x14ac:dyDescent="0.2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2"/>
      <c r="AH36" s="24">
        <f t="shared" si="0"/>
        <v>0</v>
      </c>
    </row>
    <row r="37" spans="1:34" x14ac:dyDescent="0.2">
      <c r="A37" s="34" t="s">
        <v>133</v>
      </c>
      <c r="B37" s="164"/>
      <c r="C37" s="164"/>
      <c r="D37" s="16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4"/>
      <c r="AG37" s="34"/>
      <c r="AH37" s="24">
        <f t="shared" si="0"/>
        <v>0</v>
      </c>
    </row>
    <row r="38" spans="1:34" hidden="1" outlineLevel="1" x14ac:dyDescent="0.2">
      <c r="A38" s="87" t="s">
        <v>265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2"/>
      <c r="AH38" s="24">
        <f t="shared" si="0"/>
        <v>0</v>
      </c>
    </row>
    <row r="39" spans="1:34" hidden="1" outlineLevel="1" x14ac:dyDescent="0.2">
      <c r="A39" s="569" t="s">
        <v>482</v>
      </c>
      <c r="B39" s="11">
        <f>'Proforma Land+Home'!$E62</f>
        <v>18500000</v>
      </c>
      <c r="C39" s="25"/>
      <c r="D39" s="25"/>
      <c r="E39" s="11"/>
      <c r="F39" s="11"/>
      <c r="G39" s="11">
        <f>'Proforma Land+Home'!$E$62</f>
        <v>18500000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2">
        <f>SUM(C39:AE39)</f>
        <v>18500000</v>
      </c>
      <c r="AH39" s="24">
        <f t="shared" si="0"/>
        <v>0</v>
      </c>
    </row>
    <row r="40" spans="1:34" hidden="1" outlineLevel="1" x14ac:dyDescent="0.2">
      <c r="A40" s="569" t="s">
        <v>623</v>
      </c>
      <c r="B40" s="11">
        <f>'Proforma Land+Home'!$E63</f>
        <v>450000</v>
      </c>
      <c r="C40" s="25"/>
      <c r="D40" s="25"/>
      <c r="E40" s="11"/>
      <c r="F40" s="11"/>
      <c r="G40" s="11">
        <f>B40</f>
        <v>450000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2">
        <f>SUM(C40:AE40)</f>
        <v>450000</v>
      </c>
      <c r="AH40" s="24">
        <f t="shared" si="0"/>
        <v>0</v>
      </c>
    </row>
    <row r="41" spans="1:34" hidden="1" outlineLevel="1" x14ac:dyDescent="0.2">
      <c r="A41" s="569" t="s">
        <v>484</v>
      </c>
      <c r="B41" s="11">
        <f>'Proforma Land+Home'!$E64</f>
        <v>27750</v>
      </c>
      <c r="C41" s="93"/>
      <c r="D41" s="93"/>
      <c r="E41" s="11"/>
      <c r="F41" s="11"/>
      <c r="G41" s="11">
        <f>'Proforma Land+Home'!$E$64</f>
        <v>27750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2">
        <f>SUM(C41:AE41)</f>
        <v>27750</v>
      </c>
      <c r="AH41" s="24">
        <f t="shared" si="0"/>
        <v>0</v>
      </c>
    </row>
    <row r="42" spans="1:34" s="3" customFormat="1" collapsed="1" x14ac:dyDescent="0.2">
      <c r="A42" s="85" t="s">
        <v>265</v>
      </c>
      <c r="B42" s="51">
        <f>SUM(B38:B41)</f>
        <v>18977750</v>
      </c>
      <c r="C42" s="94"/>
      <c r="D42" s="51">
        <f t="shared" ref="D42:AE42" si="4">SUM(D38:D41)</f>
        <v>0</v>
      </c>
      <c r="E42" s="51">
        <f t="shared" si="4"/>
        <v>0</v>
      </c>
      <c r="F42" s="51">
        <f t="shared" si="4"/>
        <v>0</v>
      </c>
      <c r="G42" s="51">
        <f t="shared" si="4"/>
        <v>18977750</v>
      </c>
      <c r="H42" s="51">
        <f t="shared" si="4"/>
        <v>0</v>
      </c>
      <c r="I42" s="51">
        <f t="shared" si="4"/>
        <v>0</v>
      </c>
      <c r="J42" s="51">
        <f t="shared" si="4"/>
        <v>0</v>
      </c>
      <c r="K42" s="51">
        <f t="shared" si="4"/>
        <v>0</v>
      </c>
      <c r="L42" s="51">
        <f t="shared" si="4"/>
        <v>0</v>
      </c>
      <c r="M42" s="51">
        <f t="shared" si="4"/>
        <v>0</v>
      </c>
      <c r="N42" s="51">
        <f t="shared" si="4"/>
        <v>0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>
        <f t="shared" si="4"/>
        <v>0</v>
      </c>
      <c r="T42" s="51">
        <f t="shared" si="4"/>
        <v>0</v>
      </c>
      <c r="U42" s="51">
        <f t="shared" si="4"/>
        <v>0</v>
      </c>
      <c r="V42" s="51">
        <f t="shared" si="4"/>
        <v>0</v>
      </c>
      <c r="W42" s="51">
        <f t="shared" si="4"/>
        <v>0</v>
      </c>
      <c r="X42" s="51">
        <f t="shared" si="4"/>
        <v>0</v>
      </c>
      <c r="Y42" s="51">
        <f t="shared" si="4"/>
        <v>0</v>
      </c>
      <c r="Z42" s="51">
        <f t="shared" si="4"/>
        <v>0</v>
      </c>
      <c r="AA42" s="51">
        <f t="shared" si="4"/>
        <v>0</v>
      </c>
      <c r="AB42" s="51">
        <f t="shared" si="4"/>
        <v>0</v>
      </c>
      <c r="AC42" s="51">
        <f t="shared" si="4"/>
        <v>0</v>
      </c>
      <c r="AD42" s="51">
        <f t="shared" si="4"/>
        <v>0</v>
      </c>
      <c r="AE42" s="51">
        <f t="shared" si="4"/>
        <v>0</v>
      </c>
      <c r="AF42" s="24"/>
      <c r="AG42" s="52">
        <f>SUM(AG39:AG41)</f>
        <v>18977750</v>
      </c>
      <c r="AH42" s="24">
        <f t="shared" ref="AH42:AH73" si="5">B42-AG42</f>
        <v>0</v>
      </c>
    </row>
    <row r="43" spans="1:34" hidden="1" outlineLevel="1" x14ac:dyDescent="0.2">
      <c r="A43" s="26"/>
      <c r="B43" s="573"/>
      <c r="C43" s="573"/>
      <c r="D43" s="573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66"/>
      <c r="AH43" s="24">
        <f t="shared" si="5"/>
        <v>0</v>
      </c>
    </row>
    <row r="44" spans="1:34" hidden="1" outlineLevel="1" x14ac:dyDescent="0.2">
      <c r="A44" s="87" t="e">
        <f>'Proforma Land+Home'!#REF!</f>
        <v>#REF!</v>
      </c>
      <c r="B44" s="573"/>
      <c r="C44" s="573"/>
      <c r="D44" s="573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66"/>
      <c r="AH44" s="24">
        <f t="shared" si="5"/>
        <v>0</v>
      </c>
    </row>
    <row r="45" spans="1:34" hidden="1" outlineLevel="1" x14ac:dyDescent="0.2">
      <c r="A45" s="569" t="s">
        <v>624</v>
      </c>
      <c r="B45" s="11" t="e">
        <f>'Proforma Land+Home'!#REF!</f>
        <v>#REF!</v>
      </c>
      <c r="C45" s="573"/>
      <c r="D45" s="573"/>
      <c r="E45" s="11"/>
      <c r="F45" s="11"/>
      <c r="G45" s="11"/>
      <c r="H45" s="11"/>
      <c r="I45" s="11"/>
      <c r="J45" s="11" t="e">
        <f t="shared" ref="J45:S46" si="6">$B45/18</f>
        <v>#REF!</v>
      </c>
      <c r="K45" s="11" t="e">
        <f t="shared" si="6"/>
        <v>#REF!</v>
      </c>
      <c r="L45" s="11" t="e">
        <f t="shared" si="6"/>
        <v>#REF!</v>
      </c>
      <c r="M45" s="11" t="e">
        <f t="shared" si="6"/>
        <v>#REF!</v>
      </c>
      <c r="N45" s="11" t="e">
        <f t="shared" si="6"/>
        <v>#REF!</v>
      </c>
      <c r="O45" s="11" t="e">
        <f t="shared" si="6"/>
        <v>#REF!</v>
      </c>
      <c r="P45" s="11" t="e">
        <f t="shared" si="6"/>
        <v>#REF!</v>
      </c>
      <c r="Q45" s="11" t="e">
        <f t="shared" si="6"/>
        <v>#REF!</v>
      </c>
      <c r="R45" s="11" t="e">
        <f t="shared" si="6"/>
        <v>#REF!</v>
      </c>
      <c r="S45" s="11" t="e">
        <f t="shared" si="6"/>
        <v>#REF!</v>
      </c>
      <c r="T45" s="11" t="e">
        <f t="shared" ref="T45:AA46" si="7">$B45/18</f>
        <v>#REF!</v>
      </c>
      <c r="U45" s="11" t="e">
        <f t="shared" si="7"/>
        <v>#REF!</v>
      </c>
      <c r="V45" s="11" t="e">
        <f t="shared" si="7"/>
        <v>#REF!</v>
      </c>
      <c r="W45" s="11" t="e">
        <f t="shared" si="7"/>
        <v>#REF!</v>
      </c>
      <c r="X45" s="11" t="e">
        <f t="shared" si="7"/>
        <v>#REF!</v>
      </c>
      <c r="Y45" s="11" t="e">
        <f t="shared" si="7"/>
        <v>#REF!</v>
      </c>
      <c r="Z45" s="11" t="e">
        <f t="shared" si="7"/>
        <v>#REF!</v>
      </c>
      <c r="AA45" s="11" t="e">
        <f t="shared" si="7"/>
        <v>#REF!</v>
      </c>
      <c r="AB45" s="11"/>
      <c r="AC45" s="11"/>
      <c r="AD45" s="11"/>
      <c r="AE45" s="11"/>
      <c r="AF45" s="11"/>
      <c r="AG45" s="12" t="e">
        <f>SUM(C45:AE45)</f>
        <v>#REF!</v>
      </c>
      <c r="AH45" s="24" t="e">
        <f t="shared" si="5"/>
        <v>#REF!</v>
      </c>
    </row>
    <row r="46" spans="1:34" hidden="1" outlineLevel="1" x14ac:dyDescent="0.2">
      <c r="A46" s="569" t="s">
        <v>625</v>
      </c>
      <c r="B46" s="11" t="e">
        <f>'Proforma Land+Home'!#REF!</f>
        <v>#REF!</v>
      </c>
      <c r="C46" s="573"/>
      <c r="D46" s="573"/>
      <c r="E46" s="11"/>
      <c r="F46" s="11"/>
      <c r="G46" s="11"/>
      <c r="H46" s="11"/>
      <c r="I46" s="11"/>
      <c r="J46" s="11" t="e">
        <f t="shared" si="6"/>
        <v>#REF!</v>
      </c>
      <c r="K46" s="11" t="e">
        <f t="shared" si="6"/>
        <v>#REF!</v>
      </c>
      <c r="L46" s="11" t="e">
        <f t="shared" si="6"/>
        <v>#REF!</v>
      </c>
      <c r="M46" s="11" t="e">
        <f t="shared" si="6"/>
        <v>#REF!</v>
      </c>
      <c r="N46" s="11" t="e">
        <f t="shared" si="6"/>
        <v>#REF!</v>
      </c>
      <c r="O46" s="11" t="e">
        <f t="shared" si="6"/>
        <v>#REF!</v>
      </c>
      <c r="P46" s="11" t="e">
        <f t="shared" si="6"/>
        <v>#REF!</v>
      </c>
      <c r="Q46" s="11" t="e">
        <f t="shared" si="6"/>
        <v>#REF!</v>
      </c>
      <c r="R46" s="11" t="e">
        <f t="shared" si="6"/>
        <v>#REF!</v>
      </c>
      <c r="S46" s="11" t="e">
        <f t="shared" si="6"/>
        <v>#REF!</v>
      </c>
      <c r="T46" s="11" t="e">
        <f t="shared" si="7"/>
        <v>#REF!</v>
      </c>
      <c r="U46" s="11" t="e">
        <f t="shared" si="7"/>
        <v>#REF!</v>
      </c>
      <c r="V46" s="11" t="e">
        <f t="shared" si="7"/>
        <v>#REF!</v>
      </c>
      <c r="W46" s="11" t="e">
        <f t="shared" si="7"/>
        <v>#REF!</v>
      </c>
      <c r="X46" s="11" t="e">
        <f t="shared" si="7"/>
        <v>#REF!</v>
      </c>
      <c r="Y46" s="11" t="e">
        <f t="shared" si="7"/>
        <v>#REF!</v>
      </c>
      <c r="Z46" s="11" t="e">
        <f t="shared" si="7"/>
        <v>#REF!</v>
      </c>
      <c r="AA46" s="11" t="e">
        <f t="shared" si="7"/>
        <v>#REF!</v>
      </c>
      <c r="AB46" s="11"/>
      <c r="AC46" s="11"/>
      <c r="AD46" s="11"/>
      <c r="AE46" s="11"/>
      <c r="AF46" s="11"/>
      <c r="AG46" s="12" t="e">
        <f>SUM(C46:AE46)</f>
        <v>#REF!</v>
      </c>
      <c r="AH46" s="24" t="e">
        <f t="shared" si="5"/>
        <v>#REF!</v>
      </c>
    </row>
    <row r="47" spans="1:34" s="3" customFormat="1" collapsed="1" x14ac:dyDescent="0.2">
      <c r="A47" s="85" t="s">
        <v>626</v>
      </c>
      <c r="B47" s="51" t="e">
        <f>SUM(B44:B46)</f>
        <v>#REF!</v>
      </c>
      <c r="C47" s="318"/>
      <c r="D47" s="51">
        <f t="shared" ref="D47:AE47" si="8">SUM(D44:D46)</f>
        <v>0</v>
      </c>
      <c r="E47" s="51">
        <f t="shared" si="8"/>
        <v>0</v>
      </c>
      <c r="F47" s="51">
        <f t="shared" si="8"/>
        <v>0</v>
      </c>
      <c r="G47" s="51">
        <f t="shared" si="8"/>
        <v>0</v>
      </c>
      <c r="H47" s="51">
        <f t="shared" si="8"/>
        <v>0</v>
      </c>
      <c r="I47" s="51">
        <f t="shared" si="8"/>
        <v>0</v>
      </c>
      <c r="J47" s="51" t="e">
        <f t="shared" si="8"/>
        <v>#REF!</v>
      </c>
      <c r="K47" s="51" t="e">
        <f t="shared" si="8"/>
        <v>#REF!</v>
      </c>
      <c r="L47" s="51" t="e">
        <f t="shared" si="8"/>
        <v>#REF!</v>
      </c>
      <c r="M47" s="51" t="e">
        <f t="shared" si="8"/>
        <v>#REF!</v>
      </c>
      <c r="N47" s="51" t="e">
        <f t="shared" si="8"/>
        <v>#REF!</v>
      </c>
      <c r="O47" s="51" t="e">
        <f t="shared" si="8"/>
        <v>#REF!</v>
      </c>
      <c r="P47" s="51" t="e">
        <f t="shared" si="8"/>
        <v>#REF!</v>
      </c>
      <c r="Q47" s="51" t="e">
        <f t="shared" si="8"/>
        <v>#REF!</v>
      </c>
      <c r="R47" s="51" t="e">
        <f t="shared" si="8"/>
        <v>#REF!</v>
      </c>
      <c r="S47" s="51" t="e">
        <f t="shared" si="8"/>
        <v>#REF!</v>
      </c>
      <c r="T47" s="51" t="e">
        <f t="shared" si="8"/>
        <v>#REF!</v>
      </c>
      <c r="U47" s="51" t="e">
        <f t="shared" si="8"/>
        <v>#REF!</v>
      </c>
      <c r="V47" s="51" t="e">
        <f t="shared" si="8"/>
        <v>#REF!</v>
      </c>
      <c r="W47" s="51" t="e">
        <f t="shared" si="8"/>
        <v>#REF!</v>
      </c>
      <c r="X47" s="51" t="e">
        <f t="shared" si="8"/>
        <v>#REF!</v>
      </c>
      <c r="Y47" s="51" t="e">
        <f t="shared" si="8"/>
        <v>#REF!</v>
      </c>
      <c r="Z47" s="51" t="e">
        <f t="shared" si="8"/>
        <v>#REF!</v>
      </c>
      <c r="AA47" s="51" t="e">
        <f t="shared" si="8"/>
        <v>#REF!</v>
      </c>
      <c r="AB47" s="51">
        <f t="shared" si="8"/>
        <v>0</v>
      </c>
      <c r="AC47" s="51">
        <f t="shared" si="8"/>
        <v>0</v>
      </c>
      <c r="AD47" s="51">
        <f t="shared" si="8"/>
        <v>0</v>
      </c>
      <c r="AE47" s="51">
        <f t="shared" si="8"/>
        <v>0</v>
      </c>
      <c r="AF47" s="24"/>
      <c r="AG47" s="52" t="e">
        <f>SUM(AG44:AG46)</f>
        <v>#REF!</v>
      </c>
      <c r="AH47" s="24" t="e">
        <f t="shared" si="5"/>
        <v>#REF!</v>
      </c>
    </row>
    <row r="48" spans="1:34" hidden="1" outlineLevel="1" x14ac:dyDescent="0.2">
      <c r="A48" s="571"/>
      <c r="B48" s="19"/>
      <c r="C48" s="19"/>
      <c r="D48" s="19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2"/>
      <c r="AH48" s="24">
        <f t="shared" si="5"/>
        <v>0</v>
      </c>
    </row>
    <row r="49" spans="1:34" hidden="1" outlineLevel="1" x14ac:dyDescent="0.2">
      <c r="A49" s="87" t="s">
        <v>485</v>
      </c>
      <c r="B49" s="19"/>
      <c r="C49" s="19"/>
      <c r="D49" s="19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2"/>
      <c r="AH49" s="24">
        <f t="shared" si="5"/>
        <v>0</v>
      </c>
    </row>
    <row r="50" spans="1:34" hidden="1" outlineLevel="1" x14ac:dyDescent="0.2">
      <c r="A50" s="569" t="s">
        <v>627</v>
      </c>
      <c r="B50" s="13"/>
      <c r="C50" s="13"/>
      <c r="D50" s="13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2">
        <f t="shared" ref="AG50:AG79" si="9">SUM(C50:AE50)</f>
        <v>0</v>
      </c>
      <c r="AH50" s="24">
        <f t="shared" si="5"/>
        <v>0</v>
      </c>
    </row>
    <row r="51" spans="1:34" hidden="1" outlineLevel="1" x14ac:dyDescent="0.2">
      <c r="A51" s="569" t="s">
        <v>486</v>
      </c>
      <c r="B51" s="11">
        <f>'Proforma Land+Home'!$E68</f>
        <v>146875</v>
      </c>
      <c r="C51" s="71"/>
      <c r="D51" s="71"/>
      <c r="E51" s="11"/>
      <c r="F51" s="11"/>
      <c r="G51" s="11"/>
      <c r="H51" s="11"/>
      <c r="I51" s="11"/>
      <c r="J51" s="11">
        <f t="shared" ref="J51:M56" si="10">$B51/8</f>
        <v>18359.375</v>
      </c>
      <c r="K51" s="11">
        <f t="shared" si="10"/>
        <v>18359.375</v>
      </c>
      <c r="L51" s="11">
        <f t="shared" si="10"/>
        <v>18359.375</v>
      </c>
      <c r="M51" s="11">
        <f t="shared" si="10"/>
        <v>18359.375</v>
      </c>
      <c r="N51" s="11"/>
      <c r="O51" s="11"/>
      <c r="P51" s="11"/>
      <c r="Q51" s="11"/>
      <c r="R51" s="11"/>
      <c r="S51" s="11"/>
      <c r="T51" s="11"/>
      <c r="U51" s="11"/>
      <c r="V51" s="11">
        <f t="shared" ref="V51:Y54" si="11">$B51/8</f>
        <v>18359.375</v>
      </c>
      <c r="W51" s="11">
        <f t="shared" si="11"/>
        <v>18359.375</v>
      </c>
      <c r="X51" s="11">
        <f t="shared" si="11"/>
        <v>18359.375</v>
      </c>
      <c r="Y51" s="11">
        <f t="shared" si="11"/>
        <v>18359.375</v>
      </c>
      <c r="Z51" s="11"/>
      <c r="AA51" s="11"/>
      <c r="AB51" s="11"/>
      <c r="AC51" s="11"/>
      <c r="AD51" s="11"/>
      <c r="AE51" s="11"/>
      <c r="AF51" s="11"/>
      <c r="AG51" s="12">
        <f t="shared" si="9"/>
        <v>146875</v>
      </c>
      <c r="AH51" s="24">
        <f t="shared" si="5"/>
        <v>0</v>
      </c>
    </row>
    <row r="52" spans="1:34" hidden="1" outlineLevel="1" x14ac:dyDescent="0.2">
      <c r="A52" s="569" t="s">
        <v>628</v>
      </c>
      <c r="B52" s="11">
        <f>'Proforma A+H'!$E134</f>
        <v>0</v>
      </c>
      <c r="C52" s="71"/>
      <c r="D52" s="71"/>
      <c r="E52" s="11"/>
      <c r="F52" s="11"/>
      <c r="G52" s="11"/>
      <c r="H52" s="11"/>
      <c r="I52" s="11"/>
      <c r="J52" s="11">
        <f t="shared" si="10"/>
        <v>0</v>
      </c>
      <c r="K52" s="11">
        <f t="shared" si="10"/>
        <v>0</v>
      </c>
      <c r="L52" s="11">
        <f t="shared" si="10"/>
        <v>0</v>
      </c>
      <c r="M52" s="11">
        <f t="shared" si="10"/>
        <v>0</v>
      </c>
      <c r="N52" s="11"/>
      <c r="O52" s="11"/>
      <c r="P52" s="11"/>
      <c r="Q52" s="11"/>
      <c r="R52" s="11"/>
      <c r="S52" s="11"/>
      <c r="T52" s="11"/>
      <c r="U52" s="11"/>
      <c r="V52" s="11">
        <f t="shared" si="11"/>
        <v>0</v>
      </c>
      <c r="W52" s="11">
        <f t="shared" si="11"/>
        <v>0</v>
      </c>
      <c r="X52" s="11">
        <f t="shared" si="11"/>
        <v>0</v>
      </c>
      <c r="Y52" s="11">
        <f t="shared" si="11"/>
        <v>0</v>
      </c>
      <c r="Z52" s="11"/>
      <c r="AA52" s="11"/>
      <c r="AB52" s="11"/>
      <c r="AC52" s="11"/>
      <c r="AD52" s="11"/>
      <c r="AE52" s="11"/>
      <c r="AF52" s="11"/>
      <c r="AG52" s="12">
        <f t="shared" si="9"/>
        <v>0</v>
      </c>
      <c r="AH52" s="24">
        <f t="shared" si="5"/>
        <v>0</v>
      </c>
    </row>
    <row r="53" spans="1:34" hidden="1" outlineLevel="1" x14ac:dyDescent="0.2">
      <c r="A53" s="569" t="s">
        <v>487</v>
      </c>
      <c r="B53" s="11">
        <f>'Proforma Land+Home'!$E69</f>
        <v>0</v>
      </c>
      <c r="C53" s="71"/>
      <c r="D53" s="71"/>
      <c r="E53" s="11"/>
      <c r="F53" s="11"/>
      <c r="G53" s="11"/>
      <c r="H53" s="11"/>
      <c r="I53" s="11"/>
      <c r="J53" s="11">
        <f t="shared" si="10"/>
        <v>0</v>
      </c>
      <c r="K53" s="11">
        <f t="shared" si="10"/>
        <v>0</v>
      </c>
      <c r="L53" s="11">
        <f t="shared" si="10"/>
        <v>0</v>
      </c>
      <c r="M53" s="11">
        <f t="shared" si="10"/>
        <v>0</v>
      </c>
      <c r="N53" s="11"/>
      <c r="O53" s="11"/>
      <c r="P53" s="11"/>
      <c r="Q53" s="11"/>
      <c r="R53" s="11"/>
      <c r="S53" s="11"/>
      <c r="T53" s="11"/>
      <c r="U53" s="11"/>
      <c r="V53" s="11">
        <f t="shared" si="11"/>
        <v>0</v>
      </c>
      <c r="W53" s="11">
        <f t="shared" si="11"/>
        <v>0</v>
      </c>
      <c r="X53" s="11">
        <f t="shared" si="11"/>
        <v>0</v>
      </c>
      <c r="Y53" s="11">
        <f t="shared" si="11"/>
        <v>0</v>
      </c>
      <c r="Z53" s="11"/>
      <c r="AA53" s="11"/>
      <c r="AB53" s="11"/>
      <c r="AC53" s="11"/>
      <c r="AD53" s="11"/>
      <c r="AE53" s="11"/>
      <c r="AF53" s="11"/>
      <c r="AG53" s="12">
        <f t="shared" si="9"/>
        <v>0</v>
      </c>
      <c r="AH53" s="24">
        <f t="shared" si="5"/>
        <v>0</v>
      </c>
    </row>
    <row r="54" spans="1:34" hidden="1" outlineLevel="1" x14ac:dyDescent="0.2">
      <c r="A54" s="569" t="s">
        <v>488</v>
      </c>
      <c r="B54" s="11">
        <f>'Proforma Land+Home'!$E70</f>
        <v>0</v>
      </c>
      <c r="C54" s="71"/>
      <c r="D54" s="71"/>
      <c r="E54" s="11"/>
      <c r="F54" s="11"/>
      <c r="G54" s="11"/>
      <c r="H54" s="11"/>
      <c r="I54" s="11"/>
      <c r="J54" s="11">
        <f t="shared" si="10"/>
        <v>0</v>
      </c>
      <c r="K54" s="11">
        <f t="shared" si="10"/>
        <v>0</v>
      </c>
      <c r="L54" s="11">
        <f t="shared" si="10"/>
        <v>0</v>
      </c>
      <c r="M54" s="11">
        <f t="shared" si="10"/>
        <v>0</v>
      </c>
      <c r="N54" s="11"/>
      <c r="O54" s="11"/>
      <c r="P54" s="11"/>
      <c r="Q54" s="11"/>
      <c r="R54" s="11"/>
      <c r="S54" s="11"/>
      <c r="T54" s="11"/>
      <c r="U54" s="11"/>
      <c r="V54" s="11">
        <f t="shared" si="11"/>
        <v>0</v>
      </c>
      <c r="W54" s="11">
        <f t="shared" si="11"/>
        <v>0</v>
      </c>
      <c r="X54" s="11">
        <f t="shared" si="11"/>
        <v>0</v>
      </c>
      <c r="Y54" s="11">
        <f t="shared" si="11"/>
        <v>0</v>
      </c>
      <c r="Z54" s="11"/>
      <c r="AA54" s="11"/>
      <c r="AB54" s="11"/>
      <c r="AC54" s="11"/>
      <c r="AD54" s="11"/>
      <c r="AE54" s="11"/>
      <c r="AF54" s="11"/>
      <c r="AG54" s="12">
        <f t="shared" si="9"/>
        <v>0</v>
      </c>
      <c r="AH54" s="24">
        <f t="shared" si="5"/>
        <v>0</v>
      </c>
    </row>
    <row r="55" spans="1:34" hidden="1" outlineLevel="1" x14ac:dyDescent="0.2">
      <c r="A55" s="569" t="s">
        <v>489</v>
      </c>
      <c r="B55" s="11">
        <f>'Proforma Land+Home'!$E71</f>
        <v>312500</v>
      </c>
      <c r="C55" s="528"/>
      <c r="D55" s="528"/>
      <c r="E55" s="11"/>
      <c r="F55" s="11"/>
      <c r="G55" s="11"/>
      <c r="H55" s="11">
        <f>$B55/8</f>
        <v>39062.5</v>
      </c>
      <c r="I55" s="11">
        <f>$B55/8</f>
        <v>39062.5</v>
      </c>
      <c r="J55" s="11">
        <f t="shared" si="10"/>
        <v>39062.5</v>
      </c>
      <c r="K55" s="11">
        <f t="shared" si="10"/>
        <v>39062.5</v>
      </c>
      <c r="L55" s="11">
        <f t="shared" si="10"/>
        <v>39062.5</v>
      </c>
      <c r="M55" s="11">
        <f t="shared" si="10"/>
        <v>39062.5</v>
      </c>
      <c r="N55" s="11">
        <f>$B55/8</f>
        <v>39062.5</v>
      </c>
      <c r="O55" s="11">
        <f>$B55/8</f>
        <v>39062.5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2">
        <f t="shared" si="9"/>
        <v>312500</v>
      </c>
      <c r="AH55" s="24">
        <f t="shared" si="5"/>
        <v>0</v>
      </c>
    </row>
    <row r="56" spans="1:34" hidden="1" outlineLevel="1" x14ac:dyDescent="0.2">
      <c r="A56" s="569" t="s">
        <v>490</v>
      </c>
      <c r="B56" s="11">
        <f>'Proforma Land+Home'!$E72</f>
        <v>0</v>
      </c>
      <c r="C56" s="528"/>
      <c r="D56" s="528"/>
      <c r="E56" s="11"/>
      <c r="F56" s="11"/>
      <c r="G56" s="11"/>
      <c r="H56" s="11">
        <f>$B56/8</f>
        <v>0</v>
      </c>
      <c r="I56" s="11">
        <f>$B56/8</f>
        <v>0</v>
      </c>
      <c r="J56" s="11">
        <f t="shared" si="10"/>
        <v>0</v>
      </c>
      <c r="K56" s="11">
        <f t="shared" si="10"/>
        <v>0</v>
      </c>
      <c r="L56" s="11">
        <f t="shared" si="10"/>
        <v>0</v>
      </c>
      <c r="M56" s="11">
        <f t="shared" si="10"/>
        <v>0</v>
      </c>
      <c r="N56" s="11">
        <f>$B56/8</f>
        <v>0</v>
      </c>
      <c r="O56" s="11">
        <f>$B56/8</f>
        <v>0</v>
      </c>
      <c r="P56" s="11">
        <f>'Proforma Land+Home'!$E72/8</f>
        <v>0</v>
      </c>
      <c r="Q56" s="11">
        <f>'Proforma Land+Home'!$E72/8</f>
        <v>0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2">
        <f t="shared" si="9"/>
        <v>0</v>
      </c>
      <c r="AH56" s="24">
        <f t="shared" si="5"/>
        <v>0</v>
      </c>
    </row>
    <row r="57" spans="1:34" hidden="1" outlineLevel="1" x14ac:dyDescent="0.2">
      <c r="A57" s="569" t="s">
        <v>491</v>
      </c>
      <c r="B57" s="11">
        <f>'Proforma Land+Home'!$E73</f>
        <v>150000</v>
      </c>
      <c r="C57" s="71"/>
      <c r="D57" s="71"/>
      <c r="E57" s="11"/>
      <c r="F57" s="11"/>
      <c r="G57" s="11"/>
      <c r="H57" s="11"/>
      <c r="I57" s="11"/>
      <c r="J57" s="11">
        <f>'Proforma Land+Home'!$E73/4</f>
        <v>37500</v>
      </c>
      <c r="K57" s="11">
        <f>'Proforma Land+Home'!$E73/4</f>
        <v>37500</v>
      </c>
      <c r="L57" s="11">
        <f>'Proforma Land+Home'!$E73/4</f>
        <v>37500</v>
      </c>
      <c r="M57" s="11">
        <f>'Proforma Land+Home'!$E73/4</f>
        <v>37500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2">
        <f t="shared" si="9"/>
        <v>150000</v>
      </c>
      <c r="AH57" s="24">
        <f t="shared" si="5"/>
        <v>0</v>
      </c>
    </row>
    <row r="58" spans="1:34" hidden="1" outlineLevel="1" x14ac:dyDescent="0.2">
      <c r="A58" s="569" t="s">
        <v>492</v>
      </c>
      <c r="B58" s="11">
        <f>'Proforma Land+Home'!$E74</f>
        <v>812500</v>
      </c>
      <c r="C58" s="528"/>
      <c r="D58" s="528"/>
      <c r="E58" s="11"/>
      <c r="F58" s="11"/>
      <c r="G58" s="11"/>
      <c r="H58" s="11"/>
      <c r="I58" s="11"/>
      <c r="J58" s="11">
        <f>'Proforma Land+Home'!$E74/2</f>
        <v>406250</v>
      </c>
      <c r="K58" s="11">
        <f>'Proforma Land+Home'!$E74/2</f>
        <v>406250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2">
        <f t="shared" si="9"/>
        <v>812500</v>
      </c>
      <c r="AH58" s="24">
        <f t="shared" si="5"/>
        <v>0</v>
      </c>
    </row>
    <row r="59" spans="1:34" hidden="1" outlineLevel="1" x14ac:dyDescent="0.2">
      <c r="A59" s="569" t="s">
        <v>629</v>
      </c>
      <c r="B59" s="11">
        <f>'Proforma A+H'!$E135</f>
        <v>0</v>
      </c>
      <c r="C59" s="71"/>
      <c r="D59" s="71"/>
      <c r="E59" s="11"/>
      <c r="F59" s="11"/>
      <c r="G59" s="11"/>
      <c r="H59" s="11"/>
      <c r="I59" s="11"/>
      <c r="J59" s="11"/>
      <c r="K59" s="11">
        <f>'Proforma A+H'!$E135/6</f>
        <v>0</v>
      </c>
      <c r="L59" s="11">
        <f>'Proforma A+H'!$E135/6</f>
        <v>0</v>
      </c>
      <c r="M59" s="11">
        <f>'Proforma A+H'!$E135/6</f>
        <v>0</v>
      </c>
      <c r="N59" s="11">
        <f>'Proforma A+H'!$E135/6</f>
        <v>0</v>
      </c>
      <c r="O59" s="11">
        <f>'Proforma A+H'!$E135/6</f>
        <v>0</v>
      </c>
      <c r="P59" s="11">
        <f>'Proforma A+H'!$E135/6</f>
        <v>0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2">
        <f t="shared" si="9"/>
        <v>0</v>
      </c>
      <c r="AH59" s="24">
        <f t="shared" si="5"/>
        <v>0</v>
      </c>
    </row>
    <row r="60" spans="1:34" hidden="1" outlineLevel="1" x14ac:dyDescent="0.2">
      <c r="A60" s="569" t="s">
        <v>493</v>
      </c>
      <c r="B60" s="11">
        <f>'Proforma Land+Home'!$E75</f>
        <v>63750</v>
      </c>
      <c r="C60" s="71"/>
      <c r="D60" s="71"/>
      <c r="E60" s="11"/>
      <c r="F60" s="11"/>
      <c r="G60" s="11"/>
      <c r="H60" s="11"/>
      <c r="I60" s="11"/>
      <c r="J60" s="11"/>
      <c r="K60" s="11">
        <f>('Proforma Land+Home'!$E75)/6</f>
        <v>10625</v>
      </c>
      <c r="L60" s="11">
        <f>('Proforma Land+Home'!$E75)/6</f>
        <v>10625</v>
      </c>
      <c r="M60" s="11">
        <f>('Proforma Land+Home'!$E75)/6</f>
        <v>10625</v>
      </c>
      <c r="N60" s="11">
        <f>('Proforma Land+Home'!$E75)/6</f>
        <v>10625</v>
      </c>
      <c r="O60" s="11">
        <f>('Proforma Land+Home'!$E75)/6</f>
        <v>10625</v>
      </c>
      <c r="P60" s="11">
        <f>('Proforma Land+Home'!$E75)/6</f>
        <v>10625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2">
        <f t="shared" si="9"/>
        <v>63750</v>
      </c>
      <c r="AH60" s="24">
        <f t="shared" si="5"/>
        <v>0</v>
      </c>
    </row>
    <row r="61" spans="1:34" hidden="1" outlineLevel="1" x14ac:dyDescent="0.2">
      <c r="A61" s="569" t="s">
        <v>630</v>
      </c>
      <c r="B61" s="11">
        <f>'Proforma A+H'!$E136</f>
        <v>0</v>
      </c>
      <c r="C61" s="71"/>
      <c r="D61" s="71"/>
      <c r="E61" s="11"/>
      <c r="F61" s="11"/>
      <c r="G61" s="11"/>
      <c r="H61" s="11"/>
      <c r="I61" s="11"/>
      <c r="J61" s="11"/>
      <c r="K61" s="11">
        <f>('Proforma A+H'!$E136)/6</f>
        <v>0</v>
      </c>
      <c r="L61" s="11">
        <f>('Proforma A+H'!$E136)/6</f>
        <v>0</v>
      </c>
      <c r="M61" s="11">
        <f>('Proforma A+H'!$E136)/6</f>
        <v>0</v>
      </c>
      <c r="N61" s="11">
        <f>('Proforma A+H'!$E136)/6</f>
        <v>0</v>
      </c>
      <c r="O61" s="11">
        <f>('Proforma A+H'!$E136)/6</f>
        <v>0</v>
      </c>
      <c r="P61" s="11">
        <f>('Proforma A+H'!$E136)/6</f>
        <v>0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2">
        <f t="shared" si="9"/>
        <v>0</v>
      </c>
      <c r="AH61" s="24">
        <f t="shared" si="5"/>
        <v>0</v>
      </c>
    </row>
    <row r="62" spans="1:34" hidden="1" outlineLevel="1" x14ac:dyDescent="0.2">
      <c r="A62" s="569" t="s">
        <v>494</v>
      </c>
      <c r="B62" s="11">
        <f>'Proforma Land+Home'!$E76</f>
        <v>53125</v>
      </c>
      <c r="C62" s="71"/>
      <c r="D62" s="71"/>
      <c r="E62" s="11"/>
      <c r="F62" s="11"/>
      <c r="G62" s="11"/>
      <c r="H62" s="11"/>
      <c r="I62" s="11"/>
      <c r="J62" s="11"/>
      <c r="K62" s="11">
        <f>('Proforma Land+Home'!$E76)/6</f>
        <v>8854.1666666666661</v>
      </c>
      <c r="L62" s="11">
        <f>('Proforma Land+Home'!$E76)/6</f>
        <v>8854.1666666666661</v>
      </c>
      <c r="M62" s="11">
        <f>('Proforma Land+Home'!$E76)/6</f>
        <v>8854.1666666666661</v>
      </c>
      <c r="N62" s="11">
        <f>('Proforma Land+Home'!$E76)/6</f>
        <v>8854.1666666666661</v>
      </c>
      <c r="O62" s="11">
        <f>('Proforma Land+Home'!$E76)/6</f>
        <v>8854.1666666666661</v>
      </c>
      <c r="P62" s="11">
        <f>('Proforma Land+Home'!$E76)/6</f>
        <v>8854.1666666666661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2">
        <f t="shared" si="9"/>
        <v>53124.999999999993</v>
      </c>
      <c r="AH62" s="24">
        <f t="shared" si="5"/>
        <v>0</v>
      </c>
    </row>
    <row r="63" spans="1:34" hidden="1" outlineLevel="1" x14ac:dyDescent="0.2">
      <c r="A63" s="569" t="s">
        <v>631</v>
      </c>
      <c r="B63" s="11">
        <f>'Proforma A+H'!$E137</f>
        <v>0</v>
      </c>
      <c r="C63" s="71"/>
      <c r="D63" s="71"/>
      <c r="E63" s="11"/>
      <c r="F63" s="11"/>
      <c r="G63" s="11"/>
      <c r="H63" s="11"/>
      <c r="I63" s="11"/>
      <c r="J63" s="11"/>
      <c r="K63" s="11">
        <f>('Proforma A+H'!$E137)/6</f>
        <v>0</v>
      </c>
      <c r="L63" s="11">
        <f>('Proforma A+H'!$E137)/6</f>
        <v>0</v>
      </c>
      <c r="M63" s="11">
        <f>('Proforma A+H'!$E137)/6</f>
        <v>0</v>
      </c>
      <c r="N63" s="11">
        <f>('Proforma A+H'!$E137)/6</f>
        <v>0</v>
      </c>
      <c r="O63" s="11">
        <f>('Proforma A+H'!$E137)/6</f>
        <v>0</v>
      </c>
      <c r="P63" s="11">
        <f>('Proforma A+H'!$E137)/6</f>
        <v>0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2">
        <f t="shared" si="9"/>
        <v>0</v>
      </c>
      <c r="AH63" s="24">
        <f t="shared" si="5"/>
        <v>0</v>
      </c>
    </row>
    <row r="64" spans="1:34" hidden="1" outlineLevel="1" x14ac:dyDescent="0.2">
      <c r="A64" s="569" t="s">
        <v>495</v>
      </c>
      <c r="B64" s="11">
        <f>'Proforma Land+Home'!$E77</f>
        <v>229166.66666666666</v>
      </c>
      <c r="C64" s="71"/>
      <c r="D64" s="71"/>
      <c r="E64" s="11"/>
      <c r="F64" s="11"/>
      <c r="G64" s="11"/>
      <c r="H64" s="11"/>
      <c r="I64" s="11"/>
      <c r="J64" s="11"/>
      <c r="K64" s="11">
        <f>('Proforma Land+Home'!$E77)/6</f>
        <v>38194.444444444445</v>
      </c>
      <c r="L64" s="11">
        <f>('Proforma Land+Home'!$E77)/6</f>
        <v>38194.444444444445</v>
      </c>
      <c r="M64" s="11">
        <f>('Proforma Land+Home'!$E77)/6</f>
        <v>38194.444444444445</v>
      </c>
      <c r="N64" s="11">
        <f>('Proforma Land+Home'!$E77)/6</f>
        <v>38194.444444444445</v>
      </c>
      <c r="O64" s="11">
        <f>('Proforma Land+Home'!$E77)/6</f>
        <v>38194.444444444445</v>
      </c>
      <c r="P64" s="11">
        <f>('Proforma Land+Home'!$E77)/6</f>
        <v>38194.444444444445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2">
        <f t="shared" si="9"/>
        <v>229166.66666666666</v>
      </c>
      <c r="AH64" s="24">
        <f t="shared" si="5"/>
        <v>0</v>
      </c>
    </row>
    <row r="65" spans="1:34" hidden="1" outlineLevel="1" x14ac:dyDescent="0.2">
      <c r="A65" s="569" t="s">
        <v>632</v>
      </c>
      <c r="B65" s="11">
        <f>'Proforma Land+Home'!$E78</f>
        <v>625000</v>
      </c>
      <c r="C65" s="71"/>
      <c r="D65" s="71"/>
      <c r="E65" s="11"/>
      <c r="F65" s="11"/>
      <c r="G65" s="11"/>
      <c r="H65" s="11"/>
      <c r="I65" s="11"/>
      <c r="J65" s="11"/>
      <c r="K65" s="11">
        <f>('Proforma Land+Home'!$E78)/6</f>
        <v>104166.66666666667</v>
      </c>
      <c r="L65" s="11">
        <f>('Proforma Land+Home'!$E78)/6</f>
        <v>104166.66666666667</v>
      </c>
      <c r="M65" s="11">
        <f>('Proforma Land+Home'!$E78)/6</f>
        <v>104166.66666666667</v>
      </c>
      <c r="N65" s="11">
        <f>('Proforma Land+Home'!$E78)/6</f>
        <v>104166.66666666667</v>
      </c>
      <c r="O65" s="11">
        <f>('Proforma Land+Home'!$E78)/6</f>
        <v>104166.66666666667</v>
      </c>
      <c r="P65" s="11">
        <f>('Proforma Land+Home'!$E78)/6</f>
        <v>104166.66666666667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2">
        <f t="shared" si="9"/>
        <v>625000</v>
      </c>
      <c r="AH65" s="24">
        <f t="shared" si="5"/>
        <v>0</v>
      </c>
    </row>
    <row r="66" spans="1:34" hidden="1" outlineLevel="1" x14ac:dyDescent="0.2">
      <c r="A66" s="569" t="s">
        <v>633</v>
      </c>
      <c r="B66" s="11">
        <f>'Proforma A+H'!$E138</f>
        <v>0</v>
      </c>
      <c r="C66" s="71"/>
      <c r="D66" s="71"/>
      <c r="E66" s="11"/>
      <c r="F66" s="11"/>
      <c r="G66" s="11"/>
      <c r="H66" s="11"/>
      <c r="I66" s="11"/>
      <c r="J66" s="11"/>
      <c r="K66" s="11">
        <f>('Proforma A+H'!$E138)/6</f>
        <v>0</v>
      </c>
      <c r="L66" s="11">
        <f>('Proforma A+H'!$E138)/6</f>
        <v>0</v>
      </c>
      <c r="M66" s="11">
        <f>('Proforma A+H'!$E138)/6</f>
        <v>0</v>
      </c>
      <c r="N66" s="11">
        <f>('Proforma A+H'!$E138)/6</f>
        <v>0</v>
      </c>
      <c r="O66" s="11">
        <f>('Proforma A+H'!$E138)/6</f>
        <v>0</v>
      </c>
      <c r="P66" s="11">
        <f>('Proforma A+H'!$E138)/6</f>
        <v>0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2">
        <f t="shared" si="9"/>
        <v>0</v>
      </c>
      <c r="AH66" s="24">
        <f t="shared" si="5"/>
        <v>0</v>
      </c>
    </row>
    <row r="67" spans="1:34" hidden="1" outlineLevel="1" x14ac:dyDescent="0.2">
      <c r="A67" s="569" t="s">
        <v>634</v>
      </c>
      <c r="B67" s="11">
        <f>'Proforma A+H'!$E139</f>
        <v>0</v>
      </c>
      <c r="C67" s="71"/>
      <c r="D67" s="71"/>
      <c r="E67" s="11"/>
      <c r="F67" s="11"/>
      <c r="G67" s="11"/>
      <c r="H67" s="11"/>
      <c r="I67" s="11"/>
      <c r="J67" s="11"/>
      <c r="K67" s="11">
        <f>('Proforma A+H'!$E139)/6</f>
        <v>0</v>
      </c>
      <c r="L67" s="11">
        <f>('Proforma A+H'!$E139)/6</f>
        <v>0</v>
      </c>
      <c r="M67" s="11">
        <f>('Proforma A+H'!$E139)/6</f>
        <v>0</v>
      </c>
      <c r="N67" s="11">
        <f>('Proforma A+H'!$E139)/6</f>
        <v>0</v>
      </c>
      <c r="O67" s="11">
        <f>('Proforma A+H'!$E139)/6</f>
        <v>0</v>
      </c>
      <c r="P67" s="11">
        <f>('Proforma A+H'!$E139)/6</f>
        <v>0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2">
        <f t="shared" si="9"/>
        <v>0</v>
      </c>
      <c r="AH67" s="24">
        <f t="shared" si="5"/>
        <v>0</v>
      </c>
    </row>
    <row r="68" spans="1:34" hidden="1" outlineLevel="1" x14ac:dyDescent="0.2">
      <c r="A68" s="569" t="s">
        <v>497</v>
      </c>
      <c r="B68" s="11">
        <f>'Proforma Land+Home'!$E79</f>
        <v>52083.333333333336</v>
      </c>
      <c r="C68" s="71"/>
      <c r="D68" s="71"/>
      <c r="E68" s="11"/>
      <c r="F68" s="11"/>
      <c r="G68" s="11"/>
      <c r="H68" s="11"/>
      <c r="I68" s="11"/>
      <c r="J68" s="11"/>
      <c r="K68" s="11">
        <f>('Proforma Land+Home'!$E79)/6</f>
        <v>8680.5555555555566</v>
      </c>
      <c r="L68" s="11">
        <f>('Proforma Land+Home'!$E79)/6</f>
        <v>8680.5555555555566</v>
      </c>
      <c r="M68" s="11">
        <f>('Proforma Land+Home'!$E79)/6</f>
        <v>8680.5555555555566</v>
      </c>
      <c r="N68" s="11">
        <f>('Proforma Land+Home'!$E79)/6</f>
        <v>8680.5555555555566</v>
      </c>
      <c r="O68" s="11">
        <f>('Proforma Land+Home'!$E79)/6</f>
        <v>8680.5555555555566</v>
      </c>
      <c r="P68" s="11">
        <f>('Proforma Land+Home'!$E79)/6</f>
        <v>8680.5555555555566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2">
        <f t="shared" si="9"/>
        <v>52083.333333333336</v>
      </c>
      <c r="AH68" s="24">
        <f t="shared" si="5"/>
        <v>0</v>
      </c>
    </row>
    <row r="69" spans="1:34" hidden="1" outlineLevel="1" x14ac:dyDescent="0.2">
      <c r="A69" s="569" t="s">
        <v>635</v>
      </c>
      <c r="B69" s="11">
        <f>'Proforma A+H'!$E140</f>
        <v>0</v>
      </c>
      <c r="C69" s="71"/>
      <c r="D69" s="71"/>
      <c r="E69" s="11"/>
      <c r="F69" s="11"/>
      <c r="G69" s="11"/>
      <c r="H69" s="11"/>
      <c r="I69" s="11"/>
      <c r="J69" s="11"/>
      <c r="K69" s="11">
        <f>('Proforma A+H'!$E140)/6</f>
        <v>0</v>
      </c>
      <c r="L69" s="11">
        <f>('Proforma A+H'!$E140)/6</f>
        <v>0</v>
      </c>
      <c r="M69" s="11">
        <f>('Proforma A+H'!$E140)/6</f>
        <v>0</v>
      </c>
      <c r="N69" s="11">
        <f>('Proforma A+H'!$E140)/6</f>
        <v>0</v>
      </c>
      <c r="O69" s="11">
        <f>('Proforma A+H'!$E140)/6</f>
        <v>0</v>
      </c>
      <c r="P69" s="11">
        <f>('Proforma A+H'!$E140)/6</f>
        <v>0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2">
        <f t="shared" si="9"/>
        <v>0</v>
      </c>
      <c r="AH69" s="24">
        <f t="shared" si="5"/>
        <v>0</v>
      </c>
    </row>
    <row r="70" spans="1:34" hidden="1" outlineLevel="1" x14ac:dyDescent="0.2">
      <c r="A70" s="569" t="s">
        <v>498</v>
      </c>
      <c r="B70" s="11">
        <f>'Proforma Land+Home'!$E80</f>
        <v>195312.5</v>
      </c>
      <c r="C70" s="71"/>
      <c r="D70" s="71"/>
      <c r="E70" s="11"/>
      <c r="F70" s="11"/>
      <c r="G70" s="11"/>
      <c r="H70" s="11"/>
      <c r="I70" s="11"/>
      <c r="J70" s="11"/>
      <c r="K70" s="11">
        <f>('Proforma Land+Home'!$E80)/6</f>
        <v>32552.083333333332</v>
      </c>
      <c r="L70" s="11">
        <f>('Proforma Land+Home'!$E80)/6</f>
        <v>32552.083333333332</v>
      </c>
      <c r="M70" s="11">
        <f>('Proforma Land+Home'!$E80)/6</f>
        <v>32552.083333333332</v>
      </c>
      <c r="N70" s="11">
        <f>('Proforma Land+Home'!$E80)/6</f>
        <v>32552.083333333332</v>
      </c>
      <c r="O70" s="11">
        <f>('Proforma Land+Home'!$E80)/6</f>
        <v>32552.083333333332</v>
      </c>
      <c r="P70" s="11">
        <f>('Proforma Land+Home'!$E80)/6</f>
        <v>32552.083333333332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2">
        <f t="shared" si="9"/>
        <v>195312.5</v>
      </c>
      <c r="AH70" s="24">
        <f t="shared" si="5"/>
        <v>0</v>
      </c>
    </row>
    <row r="71" spans="1:34" hidden="1" outlineLevel="1" x14ac:dyDescent="0.2">
      <c r="A71" s="569" t="s">
        <v>636</v>
      </c>
      <c r="B71" s="11">
        <f>'Proforma A+H'!$E141</f>
        <v>0</v>
      </c>
      <c r="C71" s="71"/>
      <c r="D71" s="71"/>
      <c r="E71" s="11"/>
      <c r="F71" s="11"/>
      <c r="G71" s="11"/>
      <c r="H71" s="11"/>
      <c r="I71" s="11"/>
      <c r="J71" s="11"/>
      <c r="K71" s="11">
        <f>('Proforma A+H'!$E141)/6</f>
        <v>0</v>
      </c>
      <c r="L71" s="11">
        <f>('Proforma A+H'!$E141)/6</f>
        <v>0</v>
      </c>
      <c r="M71" s="11">
        <f>('Proforma A+H'!$E141)/6</f>
        <v>0</v>
      </c>
      <c r="N71" s="11">
        <f>('Proforma A+H'!$E141)/6</f>
        <v>0</v>
      </c>
      <c r="O71" s="11">
        <f>('Proforma A+H'!$E141)/6</f>
        <v>0</v>
      </c>
      <c r="P71" s="11">
        <f>('Proforma A+H'!$E141)/6</f>
        <v>0</v>
      </c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2">
        <f t="shared" si="9"/>
        <v>0</v>
      </c>
      <c r="AH71" s="24">
        <f t="shared" si="5"/>
        <v>0</v>
      </c>
    </row>
    <row r="72" spans="1:34" hidden="1" outlineLevel="1" x14ac:dyDescent="0.2">
      <c r="A72" s="569" t="s">
        <v>499</v>
      </c>
      <c r="B72" s="11">
        <f>'Proforma Land+Home'!$E81</f>
        <v>72916.666666666672</v>
      </c>
      <c r="C72" s="71"/>
      <c r="D72" s="71"/>
      <c r="E72" s="11"/>
      <c r="F72" s="11"/>
      <c r="G72" s="11"/>
      <c r="H72" s="11"/>
      <c r="I72" s="11"/>
      <c r="J72" s="11"/>
      <c r="K72" s="11">
        <f>('Proforma Land+Home'!$E81)/6</f>
        <v>12152.777777777779</v>
      </c>
      <c r="L72" s="11">
        <f>('Proforma Land+Home'!$E81)/6</f>
        <v>12152.777777777779</v>
      </c>
      <c r="M72" s="11">
        <f>('Proforma Land+Home'!$E81)/6</f>
        <v>12152.777777777779</v>
      </c>
      <c r="N72" s="11">
        <f>('Proforma Land+Home'!$E81)/6</f>
        <v>12152.777777777779</v>
      </c>
      <c r="O72" s="11">
        <f>('Proforma Land+Home'!$E81)/6</f>
        <v>12152.777777777779</v>
      </c>
      <c r="P72" s="11">
        <f>('Proforma Land+Home'!$E81)/6</f>
        <v>12152.777777777779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2">
        <f t="shared" si="9"/>
        <v>72916.666666666672</v>
      </c>
      <c r="AH72" s="24">
        <f t="shared" si="5"/>
        <v>0</v>
      </c>
    </row>
    <row r="73" spans="1:34" hidden="1" outlineLevel="1" x14ac:dyDescent="0.2">
      <c r="A73" s="569" t="s">
        <v>637</v>
      </c>
      <c r="B73" s="11">
        <f>'Proforma A+H'!$E142</f>
        <v>0</v>
      </c>
      <c r="C73" s="71"/>
      <c r="D73" s="71"/>
      <c r="E73" s="11"/>
      <c r="F73" s="11"/>
      <c r="G73" s="11"/>
      <c r="H73" s="11"/>
      <c r="I73" s="11"/>
      <c r="J73" s="11"/>
      <c r="K73" s="11"/>
      <c r="L73" s="11"/>
      <c r="M73" s="11">
        <f>'Proforma A+H'!$E142/4</f>
        <v>0</v>
      </c>
      <c r="N73" s="11">
        <f>'Proforma A+H'!$E142/4</f>
        <v>0</v>
      </c>
      <c r="O73" s="11">
        <f>'Proforma A+H'!$E142/4</f>
        <v>0</v>
      </c>
      <c r="P73" s="11">
        <f>'Proforma A+H'!$E142/4</f>
        <v>0</v>
      </c>
      <c r="S73" s="11"/>
      <c r="T73" s="11"/>
      <c r="U73" s="11"/>
      <c r="V73" s="11"/>
      <c r="W73" s="11"/>
      <c r="X73" s="11"/>
      <c r="Y73" s="11"/>
      <c r="Z73" s="11"/>
      <c r="AC73" s="11"/>
      <c r="AD73" s="11"/>
      <c r="AE73" s="11"/>
      <c r="AF73" s="11"/>
      <c r="AG73" s="12">
        <f t="shared" si="9"/>
        <v>0</v>
      </c>
      <c r="AH73" s="24">
        <f t="shared" si="5"/>
        <v>0</v>
      </c>
    </row>
    <row r="74" spans="1:34" hidden="1" outlineLevel="1" x14ac:dyDescent="0.2">
      <c r="A74" s="569" t="s">
        <v>638</v>
      </c>
      <c r="B74" s="11">
        <f>'Proforma A+H'!$E143</f>
        <v>0</v>
      </c>
      <c r="C74" s="71"/>
      <c r="D74" s="71"/>
      <c r="E74" s="11"/>
      <c r="F74" s="11"/>
      <c r="G74" s="11"/>
      <c r="H74" s="11"/>
      <c r="I74" s="11"/>
      <c r="J74" s="11"/>
      <c r="K74" s="11"/>
      <c r="L74" s="11"/>
      <c r="M74" s="11">
        <f>'Proforma A+H'!$E143/4</f>
        <v>0</v>
      </c>
      <c r="N74" s="11">
        <f>'Proforma A+H'!$E143/4</f>
        <v>0</v>
      </c>
      <c r="O74" s="11">
        <f>'Proforma A+H'!$E143/4</f>
        <v>0</v>
      </c>
      <c r="P74" s="11">
        <f>'Proforma A+H'!$E143/4</f>
        <v>0</v>
      </c>
      <c r="S74" s="11"/>
      <c r="T74" s="11"/>
      <c r="U74" s="11"/>
      <c r="V74" s="11"/>
      <c r="W74" s="11"/>
      <c r="X74" s="11"/>
      <c r="Y74" s="11"/>
      <c r="Z74" s="11"/>
      <c r="AC74" s="11"/>
      <c r="AD74" s="11"/>
      <c r="AE74" s="11"/>
      <c r="AF74" s="11"/>
      <c r="AG74" s="12">
        <f t="shared" si="9"/>
        <v>0</v>
      </c>
      <c r="AH74" s="24">
        <f t="shared" ref="AH74:AH105" si="12">B74-AG74</f>
        <v>0</v>
      </c>
    </row>
    <row r="75" spans="1:34" hidden="1" outlineLevel="1" x14ac:dyDescent="0.2">
      <c r="A75" s="569" t="s">
        <v>639</v>
      </c>
      <c r="B75" s="11">
        <f>'Proforma A+H'!$E144</f>
        <v>0</v>
      </c>
      <c r="C75" s="71"/>
      <c r="D75" s="71"/>
      <c r="E75" s="11"/>
      <c r="F75" s="11"/>
      <c r="G75" s="11"/>
      <c r="H75" s="11"/>
      <c r="I75" s="11"/>
      <c r="J75" s="11"/>
      <c r="K75" s="11"/>
      <c r="L75" s="11"/>
      <c r="M75" s="11">
        <f>'Proforma A+H'!$E144/4</f>
        <v>0</v>
      </c>
      <c r="N75" s="11">
        <f>'Proforma A+H'!$E144/4</f>
        <v>0</v>
      </c>
      <c r="O75" s="11">
        <f>'Proforma A+H'!$E144/4</f>
        <v>0</v>
      </c>
      <c r="P75" s="11">
        <f>'Proforma A+H'!$E144/4</f>
        <v>0</v>
      </c>
      <c r="S75" s="11"/>
      <c r="T75" s="11"/>
      <c r="U75" s="11"/>
      <c r="V75" s="11"/>
      <c r="W75" s="11"/>
      <c r="X75" s="11"/>
      <c r="Y75" s="11"/>
      <c r="Z75" s="11"/>
      <c r="AC75" s="11"/>
      <c r="AD75" s="11"/>
      <c r="AE75" s="11"/>
      <c r="AF75" s="11"/>
      <c r="AG75" s="12">
        <f t="shared" si="9"/>
        <v>0</v>
      </c>
      <c r="AH75" s="24">
        <f t="shared" si="12"/>
        <v>0</v>
      </c>
    </row>
    <row r="76" spans="1:34" hidden="1" outlineLevel="1" x14ac:dyDescent="0.2">
      <c r="A76" s="569" t="s">
        <v>640</v>
      </c>
      <c r="B76" s="11">
        <f>'Proforma Land+Home'!$E82</f>
        <v>250000</v>
      </c>
      <c r="C76" s="71"/>
      <c r="D76" s="71"/>
      <c r="E76" s="11"/>
      <c r="F76" s="11"/>
      <c r="G76" s="11"/>
      <c r="H76" s="11"/>
      <c r="I76" s="11"/>
      <c r="J76" s="11"/>
      <c r="K76" s="11"/>
      <c r="L76" s="11"/>
      <c r="M76" s="11">
        <f>'Proforma Land+Home'!$E82/4</f>
        <v>62500</v>
      </c>
      <c r="N76" s="11">
        <f>'Proforma Land+Home'!$E82/4</f>
        <v>62500</v>
      </c>
      <c r="O76" s="11">
        <f>'Proforma Land+Home'!$E82/4</f>
        <v>62500</v>
      </c>
      <c r="P76" s="11">
        <f>'Proforma Land+Home'!$E82/4</f>
        <v>62500</v>
      </c>
      <c r="S76" s="11"/>
      <c r="T76" s="11"/>
      <c r="U76" s="11"/>
      <c r="V76" s="11"/>
      <c r="W76" s="11"/>
      <c r="X76" s="11"/>
      <c r="Y76" s="11"/>
      <c r="Z76" s="11"/>
      <c r="AC76" s="11"/>
      <c r="AD76" s="11"/>
      <c r="AE76" s="11"/>
      <c r="AF76" s="11"/>
      <c r="AG76" s="12">
        <f t="shared" si="9"/>
        <v>250000</v>
      </c>
      <c r="AH76" s="24">
        <f t="shared" si="12"/>
        <v>0</v>
      </c>
    </row>
    <row r="77" spans="1:34" hidden="1" outlineLevel="1" x14ac:dyDescent="0.2">
      <c r="A77" s="569" t="s">
        <v>641</v>
      </c>
      <c r="B77" s="11" t="e">
        <f>'Proforma Land+Home'!#REF!</f>
        <v>#REF!</v>
      </c>
      <c r="C77" s="71"/>
      <c r="D77" s="7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 t="e">
        <f>'Proforma Land+Home'!#REF!/4</f>
        <v>#REF!</v>
      </c>
      <c r="P77" s="11" t="e">
        <f>'Proforma Land+Home'!#REF!/4</f>
        <v>#REF!</v>
      </c>
      <c r="Q77" s="11" t="e">
        <f>'Proforma Land+Home'!#REF!/4</f>
        <v>#REF!</v>
      </c>
      <c r="R77" s="11" t="e">
        <f>'Proforma Land+Home'!#REF!/4</f>
        <v>#REF!</v>
      </c>
      <c r="S77" s="11"/>
      <c r="T77" s="11"/>
      <c r="U77" s="11"/>
      <c r="V77" s="11"/>
      <c r="W77" s="11"/>
      <c r="X77" s="11"/>
      <c r="Y77" s="11"/>
      <c r="Z77" s="11"/>
      <c r="AC77" s="11"/>
      <c r="AD77" s="11"/>
      <c r="AE77" s="11"/>
      <c r="AF77" s="11"/>
      <c r="AG77" s="12" t="e">
        <f t="shared" si="9"/>
        <v>#REF!</v>
      </c>
      <c r="AH77" s="24" t="e">
        <f t="shared" si="12"/>
        <v>#REF!</v>
      </c>
    </row>
    <row r="78" spans="1:34" hidden="1" outlineLevel="1" x14ac:dyDescent="0.2">
      <c r="A78" s="569" t="s">
        <v>297</v>
      </c>
      <c r="B78" s="11">
        <f>'Proforma Land+Home'!$E83</f>
        <v>148161.45833333334</v>
      </c>
      <c r="C78" s="71"/>
      <c r="D78" s="71"/>
      <c r="E78" s="11"/>
      <c r="F78" s="11"/>
      <c r="G78" s="11"/>
      <c r="H78" s="11">
        <f>SUM(H$50:H$77)*'Proforma Land+Home'!$C$83</f>
        <v>1953.125</v>
      </c>
      <c r="I78" s="11">
        <f>SUM(I$50:I$77)*'Proforma Land+Home'!$C$83</f>
        <v>1953.125</v>
      </c>
      <c r="J78" s="11">
        <f>SUM(J$50:J$77)*'Proforma Land+Home'!$C$83</f>
        <v>25058.59375</v>
      </c>
      <c r="K78" s="11">
        <f>SUM(K$50:K$77)*'Proforma Land+Home'!$C$83</f>
        <v>35819.878472222219</v>
      </c>
      <c r="L78" s="11">
        <f>SUM(L$50:L$77)*'Proforma Land+Home'!$C$83</f>
        <v>15507.378472222223</v>
      </c>
      <c r="M78" s="11">
        <f>SUM(M$50:M$77)*'Proforma Land+Home'!$C$83</f>
        <v>18632.378472222223</v>
      </c>
      <c r="N78" s="11">
        <f>SUM(N$50:N$77)*'Proforma Land+Home'!$C$83</f>
        <v>15839.409722222226</v>
      </c>
      <c r="O78" s="11" t="e">
        <f>SUM(O$50:O$77)*'Proforma Land+Home'!$C$83</f>
        <v>#REF!</v>
      </c>
      <c r="P78" s="11" t="e">
        <f>SUM(P$50:P$77)*'Proforma Land+Home'!$C$83</f>
        <v>#REF!</v>
      </c>
      <c r="Q78" s="11" t="e">
        <f>SUM(Q$50:Q$77)*'Proforma Land+Home'!$C$83</f>
        <v>#REF!</v>
      </c>
      <c r="R78" s="11" t="e">
        <f>SUM(R$50:R$77)*'Proforma Land+Home'!$C$83</f>
        <v>#REF!</v>
      </c>
      <c r="S78" s="11">
        <f>SUM(S$50:S$77)*'Proforma Land+Home'!$C$83</f>
        <v>0</v>
      </c>
      <c r="T78" s="11">
        <f>SUM(T$50:T$77)*'Proforma Land+Home'!$C$83</f>
        <v>0</v>
      </c>
      <c r="U78" s="11">
        <f>SUM(U$50:U$77)*'Proforma Land+Home'!$C$83</f>
        <v>0</v>
      </c>
      <c r="V78" s="11">
        <f>SUM(V$50:V$77)*'Proforma Land+Home'!$C$83</f>
        <v>917.96875</v>
      </c>
      <c r="W78" s="11">
        <f>SUM(W$50:W$77)*'Proforma Land+Home'!$C$83</f>
        <v>917.96875</v>
      </c>
      <c r="X78" s="11">
        <f>SUM(X$50:X$77)*'Proforma Land+Home'!$C$83</f>
        <v>917.96875</v>
      </c>
      <c r="Y78" s="11">
        <f>SUM(Y$50:Y$77)*'Proforma Land+Home'!$C$83</f>
        <v>917.96875</v>
      </c>
      <c r="Z78" s="11"/>
      <c r="AA78" s="11">
        <f>SUM(AA$50:AA$77)*'Proforma Land+Home'!$C$83</f>
        <v>0</v>
      </c>
      <c r="AB78" s="11"/>
      <c r="AC78" s="11">
        <f>SUM(AC$50:AC$77)*'Proforma Land+Home'!$C$83</f>
        <v>0</v>
      </c>
      <c r="AD78" s="11">
        <f>SUM(AD$50:AD$77)*'Proforma Land+Home'!$C$83</f>
        <v>0</v>
      </c>
      <c r="AE78" s="11">
        <f>SUM(AE$50:AE$77)*'Proforma Land+Home'!$C$83</f>
        <v>0</v>
      </c>
      <c r="AF78" s="11"/>
      <c r="AG78" s="12" t="e">
        <f t="shared" si="9"/>
        <v>#REF!</v>
      </c>
      <c r="AH78" s="24" t="e">
        <f t="shared" si="12"/>
        <v>#REF!</v>
      </c>
    </row>
    <row r="79" spans="1:34" hidden="1" outlineLevel="1" x14ac:dyDescent="0.2">
      <c r="A79" s="568" t="s">
        <v>281</v>
      </c>
      <c r="B79" s="11">
        <f>'Proforma Land+Home'!$E84</f>
        <v>148161.45833333334</v>
      </c>
      <c r="C79" s="54"/>
      <c r="D79" s="84"/>
      <c r="E79" s="11"/>
      <c r="F79" s="11"/>
      <c r="G79" s="11"/>
      <c r="H79" s="11">
        <f>SUM(H$50:H$77)*'Proforma Land+Home'!$C$83</f>
        <v>1953.125</v>
      </c>
      <c r="I79" s="11">
        <f>SUM(I$50:I$77)*'Proforma Land+Home'!$C$83</f>
        <v>1953.125</v>
      </c>
      <c r="J79" s="11">
        <f>SUM(J$50:J$77)*'Proforma Land+Home'!$C$83</f>
        <v>25058.59375</v>
      </c>
      <c r="K79" s="11">
        <f>SUM(K$50:K$77)*'Proforma Land+Home'!$C$83</f>
        <v>35819.878472222219</v>
      </c>
      <c r="L79" s="11">
        <f>SUM(L$50:L$77)*'Proforma Land+Home'!$C$83</f>
        <v>15507.378472222223</v>
      </c>
      <c r="M79" s="11">
        <f>SUM(M$50:M$77)*'Proforma Land+Home'!$C$83</f>
        <v>18632.378472222223</v>
      </c>
      <c r="N79" s="11">
        <f>SUM(N$50:N$77)*'Proforma Land+Home'!$C$83</f>
        <v>15839.409722222226</v>
      </c>
      <c r="O79" s="11" t="e">
        <f>SUM(O$50:O$77)*'Proforma Land+Home'!$C$83</f>
        <v>#REF!</v>
      </c>
      <c r="P79" s="11" t="e">
        <f>SUM(P$50:P$77)*'Proforma Land+Home'!$C$83</f>
        <v>#REF!</v>
      </c>
      <c r="Q79" s="11" t="e">
        <f>SUM(Q$50:Q$77)*'Proforma Land+Home'!$C$83</f>
        <v>#REF!</v>
      </c>
      <c r="R79" s="11" t="e">
        <f>SUM(R$50:R$77)*'Proforma Land+Home'!$C$83</f>
        <v>#REF!</v>
      </c>
      <c r="S79" s="11">
        <f>SUM(S$50:S$77)*'Proforma Land+Home'!$C$83</f>
        <v>0</v>
      </c>
      <c r="T79" s="11">
        <f>SUM(T$50:T$77)*'Proforma Land+Home'!$C$83</f>
        <v>0</v>
      </c>
      <c r="U79" s="11">
        <f>SUM(U$50:U$77)*'Proforma Land+Home'!$C$83</f>
        <v>0</v>
      </c>
      <c r="V79" s="11">
        <f>SUM(V$50:V$77)*'Proforma Land+Home'!$C$83</f>
        <v>917.96875</v>
      </c>
      <c r="W79" s="11">
        <f>SUM(W$50:W$77)*'Proforma Land+Home'!$C$83</f>
        <v>917.96875</v>
      </c>
      <c r="X79" s="11">
        <f>SUM(X$50:X$77)*'Proforma Land+Home'!$C$83</f>
        <v>917.96875</v>
      </c>
      <c r="Y79" s="11">
        <f>SUM(Y$50:Y$77)*'Proforma Land+Home'!$C$83</f>
        <v>917.96875</v>
      </c>
      <c r="Z79" s="11">
        <f>SUM(Z$50:Z$77)*'Proforma Land+Home'!$C$83</f>
        <v>0</v>
      </c>
      <c r="AA79" s="11">
        <f>SUM(AA$50:AA$77)*'Proforma Land+Home'!$C$83</f>
        <v>0</v>
      </c>
      <c r="AB79" s="11">
        <f>SUM(AB$50:AB$77)*'Proforma Land+Home'!$C$83</f>
        <v>0</v>
      </c>
      <c r="AC79" s="11">
        <f>SUM(AC$50:AC$77)*'Proforma Land+Home'!$C$83</f>
        <v>0</v>
      </c>
      <c r="AD79" s="11">
        <f>SUM(AD$50:AD$77)*'Proforma Land+Home'!$C$83</f>
        <v>0</v>
      </c>
      <c r="AE79" s="11">
        <f>SUM(AE$50:AE$77)*'Proforma Land+Home'!$C$83</f>
        <v>0</v>
      </c>
      <c r="AF79" s="11"/>
      <c r="AG79" s="12" t="e">
        <f t="shared" si="9"/>
        <v>#REF!</v>
      </c>
      <c r="AH79" s="24" t="e">
        <f t="shared" si="12"/>
        <v>#REF!</v>
      </c>
    </row>
    <row r="80" spans="1:34" s="3" customFormat="1" collapsed="1" x14ac:dyDescent="0.2">
      <c r="A80" s="85" t="s">
        <v>485</v>
      </c>
      <c r="B80" s="51" t="e">
        <f>SUM(B50:B79)</f>
        <v>#REF!</v>
      </c>
      <c r="C80" s="318"/>
      <c r="D80" s="51">
        <f t="shared" ref="D80:AE80" si="13">SUM(D50:D79)</f>
        <v>0</v>
      </c>
      <c r="E80" s="51">
        <f t="shared" si="13"/>
        <v>0</v>
      </c>
      <c r="F80" s="51">
        <f t="shared" si="13"/>
        <v>0</v>
      </c>
      <c r="G80" s="51">
        <f t="shared" si="13"/>
        <v>0</v>
      </c>
      <c r="H80" s="51">
        <f t="shared" si="13"/>
        <v>42968.75</v>
      </c>
      <c r="I80" s="51">
        <f t="shared" si="13"/>
        <v>42968.75</v>
      </c>
      <c r="J80" s="51">
        <f t="shared" si="13"/>
        <v>551289.0625</v>
      </c>
      <c r="K80" s="51">
        <f t="shared" si="13"/>
        <v>788037.32638888888</v>
      </c>
      <c r="L80" s="51">
        <f t="shared" si="13"/>
        <v>341162.32638888893</v>
      </c>
      <c r="M80" s="51">
        <f t="shared" si="13"/>
        <v>409912.32638888893</v>
      </c>
      <c r="N80" s="51">
        <f t="shared" si="13"/>
        <v>348467.01388888899</v>
      </c>
      <c r="O80" s="51" t="e">
        <f t="shared" si="13"/>
        <v>#REF!</v>
      </c>
      <c r="P80" s="51" t="e">
        <f t="shared" si="13"/>
        <v>#REF!</v>
      </c>
      <c r="Q80" s="51" t="e">
        <f t="shared" si="13"/>
        <v>#REF!</v>
      </c>
      <c r="R80" s="51" t="e">
        <f t="shared" si="13"/>
        <v>#REF!</v>
      </c>
      <c r="S80" s="51">
        <f t="shared" si="13"/>
        <v>0</v>
      </c>
      <c r="T80" s="51">
        <f t="shared" si="13"/>
        <v>0</v>
      </c>
      <c r="U80" s="51">
        <f t="shared" si="13"/>
        <v>0</v>
      </c>
      <c r="V80" s="51">
        <f t="shared" si="13"/>
        <v>20195.3125</v>
      </c>
      <c r="W80" s="51">
        <f t="shared" si="13"/>
        <v>20195.3125</v>
      </c>
      <c r="X80" s="51">
        <f t="shared" si="13"/>
        <v>20195.3125</v>
      </c>
      <c r="Y80" s="51">
        <f t="shared" si="13"/>
        <v>20195.3125</v>
      </c>
      <c r="Z80" s="51">
        <f t="shared" si="13"/>
        <v>0</v>
      </c>
      <c r="AA80" s="51">
        <f t="shared" si="13"/>
        <v>0</v>
      </c>
      <c r="AB80" s="51">
        <f t="shared" si="13"/>
        <v>0</v>
      </c>
      <c r="AC80" s="51">
        <f t="shared" si="13"/>
        <v>0</v>
      </c>
      <c r="AD80" s="51">
        <f t="shared" si="13"/>
        <v>0</v>
      </c>
      <c r="AE80" s="51">
        <f t="shared" si="13"/>
        <v>0</v>
      </c>
      <c r="AF80" s="24"/>
      <c r="AG80" s="51" t="e">
        <f>SUM(AG50:AG79)</f>
        <v>#REF!</v>
      </c>
      <c r="AH80" s="24" t="e">
        <f t="shared" si="12"/>
        <v>#REF!</v>
      </c>
    </row>
    <row r="81" spans="1:34" hidden="1" outlineLevel="1" x14ac:dyDescent="0.2">
      <c r="A81" s="571"/>
      <c r="B81" s="19"/>
      <c r="C81" s="19"/>
      <c r="D81" s="19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2"/>
      <c r="AH81" s="24">
        <f t="shared" si="12"/>
        <v>0</v>
      </c>
    </row>
    <row r="82" spans="1:34" hidden="1" outlineLevel="1" x14ac:dyDescent="0.2">
      <c r="A82" s="87" t="s">
        <v>392</v>
      </c>
      <c r="B82" s="11">
        <f>SUM(C82:AE82)</f>
        <v>0</v>
      </c>
      <c r="C82" s="170"/>
      <c r="D82" s="17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2">
        <f t="shared" ref="AG82:AG87" si="14">SUM(C82:AE82)</f>
        <v>0</v>
      </c>
      <c r="AH82" s="24">
        <f t="shared" si="12"/>
        <v>0</v>
      </c>
    </row>
    <row r="83" spans="1:34" hidden="1" outlineLevel="1" x14ac:dyDescent="0.2">
      <c r="A83" s="569" t="s">
        <v>501</v>
      </c>
      <c r="B83" s="11">
        <f>'Proforma Land+Home'!$E88</f>
        <v>725000</v>
      </c>
      <c r="C83" s="12"/>
      <c r="D83" s="12"/>
      <c r="E83" s="11"/>
      <c r="F83" s="11"/>
      <c r="G83" s="11"/>
      <c r="H83" s="11"/>
      <c r="I83" s="11"/>
      <c r="J83" s="11">
        <f>'Proforma Land+Home'!$E88/3</f>
        <v>241666.66666666666</v>
      </c>
      <c r="K83" s="11">
        <f>'Proforma Land+Home'!$E88/3</f>
        <v>241666.66666666666</v>
      </c>
      <c r="L83" s="11">
        <f>'Proforma Land+Home'!$E88/3</f>
        <v>241666.66666666666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2">
        <f t="shared" si="14"/>
        <v>725000</v>
      </c>
      <c r="AH83" s="24">
        <f t="shared" si="12"/>
        <v>0</v>
      </c>
    </row>
    <row r="84" spans="1:34" hidden="1" outlineLevel="1" x14ac:dyDescent="0.2">
      <c r="A84" s="569" t="s">
        <v>503</v>
      </c>
      <c r="B84" s="11">
        <f>'Proforma Land+Home'!$E89</f>
        <v>14875000</v>
      </c>
      <c r="C84" s="12"/>
      <c r="D84" s="12"/>
      <c r="E84" s="11"/>
      <c r="F84" s="11"/>
      <c r="G84" s="11"/>
      <c r="H84" s="11"/>
      <c r="I84" s="11">
        <f>('Proforma Land+Home'!$E$89)/18</f>
        <v>826388.88888888888</v>
      </c>
      <c r="J84" s="11">
        <f>('Proforma Land+Home'!$E$89)/18</f>
        <v>826388.88888888888</v>
      </c>
      <c r="K84" s="11">
        <f>('Proforma Land+Home'!$E$89)/18</f>
        <v>826388.88888888888</v>
      </c>
      <c r="L84" s="11">
        <f>('Proforma Land+Home'!$E$89)/18</f>
        <v>826388.88888888888</v>
      </c>
      <c r="M84" s="11">
        <f>('Proforma Land+Home'!$E$89)/18</f>
        <v>826388.88888888888</v>
      </c>
      <c r="N84" s="11">
        <f>('Proforma Land+Home'!$E$89)/18</f>
        <v>826388.88888888888</v>
      </c>
      <c r="O84" s="11">
        <f>('Proforma Land+Home'!$E$89)/18</f>
        <v>826388.88888888888</v>
      </c>
      <c r="P84" s="11">
        <f>('Proforma Land+Home'!$E$89)/18</f>
        <v>826388.88888888888</v>
      </c>
      <c r="Q84" s="11">
        <f>('Proforma Land+Home'!$E$89)/18</f>
        <v>826388.88888888888</v>
      </c>
      <c r="R84" s="11">
        <f>('Proforma Land+Home'!$E$89)/18</f>
        <v>826388.88888888888</v>
      </c>
      <c r="S84" s="11">
        <f>('Proforma Land+Home'!$E$89)/18</f>
        <v>826388.88888888888</v>
      </c>
      <c r="T84" s="11">
        <f>('Proforma Land+Home'!$E$89)/18</f>
        <v>826388.88888888888</v>
      </c>
      <c r="U84" s="11">
        <f>('Proforma Land+Home'!$E$89)/18</f>
        <v>826388.88888888888</v>
      </c>
      <c r="V84" s="11">
        <f>('Proforma Land+Home'!$E$89)/18</f>
        <v>826388.88888888888</v>
      </c>
      <c r="W84" s="11">
        <f>('Proforma Land+Home'!$E$89)/18</f>
        <v>826388.88888888888</v>
      </c>
      <c r="X84" s="11">
        <f>('Proforma Land+Home'!$E$89)/18</f>
        <v>826388.88888888888</v>
      </c>
      <c r="Y84" s="11">
        <f>('Proforma Land+Home'!$E$89)/18</f>
        <v>826388.88888888888</v>
      </c>
      <c r="Z84" s="11">
        <f>('Proforma Land+Home'!$E$89)/18</f>
        <v>826388.88888888888</v>
      </c>
      <c r="AC84" s="11"/>
      <c r="AD84" s="11"/>
      <c r="AE84" s="11"/>
      <c r="AF84" s="11"/>
      <c r="AG84" s="12">
        <f t="shared" si="14"/>
        <v>14874999.999999994</v>
      </c>
      <c r="AH84" s="24">
        <f t="shared" si="12"/>
        <v>0</v>
      </c>
    </row>
    <row r="85" spans="1:34" hidden="1" outlineLevel="1" x14ac:dyDescent="0.2">
      <c r="A85" s="569" t="s">
        <v>505</v>
      </c>
      <c r="B85" s="11">
        <f>'Proforma Land+Home'!$F90</f>
        <v>750000</v>
      </c>
      <c r="C85" s="12"/>
      <c r="D85" s="12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>
        <f>$B85/4</f>
        <v>187500</v>
      </c>
      <c r="W85" s="11">
        <f>$B85/4</f>
        <v>187500</v>
      </c>
      <c r="X85" s="11">
        <f>$B85/4</f>
        <v>187500</v>
      </c>
      <c r="Y85" s="11">
        <f>$B85/4</f>
        <v>187500</v>
      </c>
      <c r="Z85" s="11"/>
      <c r="AA85" s="11"/>
      <c r="AB85" s="11"/>
      <c r="AC85" s="11"/>
      <c r="AD85" s="11"/>
      <c r="AE85" s="11"/>
      <c r="AF85" s="11"/>
      <c r="AG85" s="12">
        <f t="shared" si="14"/>
        <v>750000</v>
      </c>
      <c r="AH85" s="24">
        <f t="shared" si="12"/>
        <v>0</v>
      </c>
    </row>
    <row r="86" spans="1:34" hidden="1" outlineLevel="1" x14ac:dyDescent="0.2">
      <c r="A86" s="569" t="s">
        <v>297</v>
      </c>
      <c r="B86" s="11">
        <f>'Proforma Land+Home'!$E92</f>
        <v>780000</v>
      </c>
      <c r="C86" s="12"/>
      <c r="D86" s="12"/>
      <c r="E86" s="11"/>
      <c r="F86" s="11"/>
      <c r="G86" s="11"/>
      <c r="H86" s="11"/>
      <c r="I86" s="572">
        <f>SUM(I82:I84)*'Proforma Land+Home'!$C$92</f>
        <v>41319.444444444445</v>
      </c>
      <c r="J86" s="572">
        <f>SUM(J82:J84)*'Proforma Land+Home'!$C$92</f>
        <v>53402.777777777781</v>
      </c>
      <c r="K86" s="572">
        <f>SUM(K82:K84)*'Proforma Land+Home'!$C$92</f>
        <v>53402.777777777781</v>
      </c>
      <c r="L86" s="572">
        <f>SUM(L82:L84)*'Proforma Land+Home'!$C$92</f>
        <v>53402.777777777781</v>
      </c>
      <c r="M86" s="572">
        <f>SUM(M82:M84)*'Proforma Land+Home'!$C$92</f>
        <v>41319.444444444445</v>
      </c>
      <c r="N86" s="572">
        <f>SUM(N82:N84)*'Proforma Land+Home'!$C$92</f>
        <v>41319.444444444445</v>
      </c>
      <c r="O86" s="572">
        <f>SUM(O82:O84)*'Proforma Land+Home'!$C$92</f>
        <v>41319.444444444445</v>
      </c>
      <c r="P86" s="572">
        <f>SUM(P82:P84)*'Proforma Land+Home'!$C$92</f>
        <v>41319.444444444445</v>
      </c>
      <c r="Q86" s="572">
        <f>SUM(Q82:Q84)*'Proforma Land+Home'!$C$92</f>
        <v>41319.444444444445</v>
      </c>
      <c r="R86" s="572">
        <f>SUM(R82:R84)*'Proforma Land+Home'!$C$92</f>
        <v>41319.444444444445</v>
      </c>
      <c r="S86" s="572">
        <f>SUM(S82:S84)*'Proforma Land+Home'!$C$92</f>
        <v>41319.444444444445</v>
      </c>
      <c r="T86" s="572">
        <f>SUM(T82:T84)*'Proforma Land+Home'!$C$92</f>
        <v>41319.444444444445</v>
      </c>
      <c r="U86" s="572">
        <f>SUM(U82:U84)*'Proforma Land+Home'!$C$92</f>
        <v>41319.444444444445</v>
      </c>
      <c r="V86" s="572">
        <f>SUM(V82:V84)*'Proforma Land+Home'!$C$92</f>
        <v>41319.444444444445</v>
      </c>
      <c r="W86" s="572">
        <f>SUM(W82:W84)*'Proforma Land+Home'!$C$92</f>
        <v>41319.444444444445</v>
      </c>
      <c r="X86" s="572">
        <f>SUM(X82:X84)*'Proforma Land+Home'!$C$92</f>
        <v>41319.444444444445</v>
      </c>
      <c r="Y86" s="572">
        <f>SUM(Y82:Y84)*'Proforma Land+Home'!$C$92</f>
        <v>41319.444444444445</v>
      </c>
      <c r="Z86" s="572">
        <f>SUM(Z82:Z84)*'Proforma Land+Home'!$C$92</f>
        <v>41319.444444444445</v>
      </c>
      <c r="AA86" s="572">
        <f>SUM(AA82:AA85)*'Proforma Land+Home'!$C$92</f>
        <v>0</v>
      </c>
      <c r="AB86" s="572">
        <f>SUM(AB82:AB85)*'Proforma Land+Home'!$C$92</f>
        <v>0</v>
      </c>
      <c r="AC86" s="572">
        <f>SUM(AC82:AC85)*'Proforma Land+Home'!$C$92</f>
        <v>0</v>
      </c>
      <c r="AD86" s="572">
        <f>SUM(AD82:AD85)*'Proforma Land+Home'!$C$92</f>
        <v>0</v>
      </c>
      <c r="AE86" s="572">
        <f>SUM(AE82:AE85)*'Proforma Land+Home'!$C$92</f>
        <v>0</v>
      </c>
      <c r="AF86" s="11"/>
      <c r="AG86" s="12">
        <f t="shared" si="14"/>
        <v>780000.00000000035</v>
      </c>
      <c r="AH86" s="24">
        <f t="shared" si="12"/>
        <v>0</v>
      </c>
    </row>
    <row r="87" spans="1:34" hidden="1" outlineLevel="1" x14ac:dyDescent="0.2">
      <c r="A87" s="569" t="s">
        <v>281</v>
      </c>
      <c r="B87" s="11">
        <f>'Proforma Land+Home'!$E93</f>
        <v>546000</v>
      </c>
      <c r="C87" s="11"/>
      <c r="D87" s="11">
        <f>SUM(D82:D84)*'Proforma Land+Home'!$C$93</f>
        <v>0</v>
      </c>
      <c r="E87" s="572">
        <f>SUM(E82:E84)*'Proforma Land+Home'!$C$93</f>
        <v>0</v>
      </c>
      <c r="F87" s="572">
        <f>SUM(F82:F84)*'Proforma Land+Home'!$C$93</f>
        <v>0</v>
      </c>
      <c r="G87" s="572">
        <f>SUM(G82:G84)*'Proforma Land+Home'!$C$93</f>
        <v>0</v>
      </c>
      <c r="H87" s="572">
        <f>SUM(H82:H84)*'Proforma Land+Home'!$C$93</f>
        <v>0</v>
      </c>
      <c r="I87" s="572">
        <f>SUM(I82:I84)*'Proforma Land+Home'!$C$93</f>
        <v>28923.611111111113</v>
      </c>
      <c r="J87" s="572">
        <f>SUM(J82:J84)*'Proforma Land+Home'!$C$93</f>
        <v>37381.944444444445</v>
      </c>
      <c r="K87" s="572">
        <f>SUM(K82:K84)*'Proforma Land+Home'!$C$93</f>
        <v>37381.944444444445</v>
      </c>
      <c r="L87" s="572">
        <f>SUM(L82:L84)*'Proforma Land+Home'!$C$93</f>
        <v>37381.944444444445</v>
      </c>
      <c r="M87" s="572">
        <f>SUM(M82:M84)*'Proforma Land+Home'!$C$93</f>
        <v>28923.611111111113</v>
      </c>
      <c r="N87" s="572">
        <f>SUM(N82:N84)*'Proforma Land+Home'!$C$93</f>
        <v>28923.611111111113</v>
      </c>
      <c r="O87" s="572">
        <f>SUM(O82:O84)*'Proforma Land+Home'!$C$93</f>
        <v>28923.611111111113</v>
      </c>
      <c r="P87" s="572">
        <f>SUM(P82:P84)*'Proforma Land+Home'!$C$93</f>
        <v>28923.611111111113</v>
      </c>
      <c r="Q87" s="572">
        <f>SUM(Q82:Q84)*'Proforma Land+Home'!$C$93</f>
        <v>28923.611111111113</v>
      </c>
      <c r="R87" s="572">
        <f>SUM(R82:R84)*'Proforma Land+Home'!$C$93</f>
        <v>28923.611111111113</v>
      </c>
      <c r="S87" s="572">
        <f>SUM(S82:S84)*'Proforma Land+Home'!$C$93</f>
        <v>28923.611111111113</v>
      </c>
      <c r="T87" s="572">
        <f>SUM(T82:T84)*'Proforma Land+Home'!$C$93</f>
        <v>28923.611111111113</v>
      </c>
      <c r="U87" s="572">
        <f>SUM(U82:U84)*'Proforma Land+Home'!$C$93</f>
        <v>28923.611111111113</v>
      </c>
      <c r="V87" s="572">
        <f>SUM(V82:V84)*'Proforma Land+Home'!$C$93</f>
        <v>28923.611111111113</v>
      </c>
      <c r="W87" s="572">
        <f>SUM(W82:W84)*'Proforma Land+Home'!$C$93</f>
        <v>28923.611111111113</v>
      </c>
      <c r="X87" s="572">
        <f>SUM(X82:X84)*'Proforma Land+Home'!$C$93</f>
        <v>28923.611111111113</v>
      </c>
      <c r="Y87" s="572">
        <f>SUM(Y82:Y84)*'Proforma Land+Home'!$C$93</f>
        <v>28923.611111111113</v>
      </c>
      <c r="Z87" s="572">
        <f>SUM(Z82:Z84)*'Proforma Land+Home'!$C$93</f>
        <v>28923.611111111113</v>
      </c>
      <c r="AA87" s="572">
        <f>SUM(AA82:AA85)*'Proforma Land+Home'!$C$93</f>
        <v>0</v>
      </c>
      <c r="AB87" s="572">
        <f>SUM(AB82:AB85)*'Proforma Land+Home'!$C$93</f>
        <v>0</v>
      </c>
      <c r="AC87" s="572">
        <f>SUM(AC82:AC85)*'Proforma Land+Home'!$C$93</f>
        <v>0</v>
      </c>
      <c r="AD87" s="572">
        <f>SUM(AD82:AD85)*'Proforma Land+Home'!$C$93</f>
        <v>0</v>
      </c>
      <c r="AE87" s="572">
        <f>SUM(AE82:AE85)*'Proforma Land+Home'!$C$93</f>
        <v>0</v>
      </c>
      <c r="AF87" s="11"/>
      <c r="AG87" s="12">
        <f t="shared" si="14"/>
        <v>546000.00000000012</v>
      </c>
      <c r="AH87" s="24">
        <f t="shared" si="12"/>
        <v>0</v>
      </c>
    </row>
    <row r="88" spans="1:34" s="3" customFormat="1" collapsed="1" x14ac:dyDescent="0.2">
      <c r="A88" s="85" t="s">
        <v>392</v>
      </c>
      <c r="B88" s="51">
        <f>SUM(B82:B87)</f>
        <v>17676000</v>
      </c>
      <c r="C88" s="51"/>
      <c r="D88" s="51">
        <f t="shared" ref="D88:AE88" si="15">SUM(D82:D87)</f>
        <v>0</v>
      </c>
      <c r="E88" s="51">
        <f t="shared" si="15"/>
        <v>0</v>
      </c>
      <c r="F88" s="51">
        <f t="shared" si="15"/>
        <v>0</v>
      </c>
      <c r="G88" s="51">
        <f t="shared" si="15"/>
        <v>0</v>
      </c>
      <c r="H88" s="51">
        <f t="shared" si="15"/>
        <v>0</v>
      </c>
      <c r="I88" s="51">
        <f t="shared" si="15"/>
        <v>896631.9444444445</v>
      </c>
      <c r="J88" s="51">
        <f t="shared" si="15"/>
        <v>1158840.2777777778</v>
      </c>
      <c r="K88" s="51">
        <f t="shared" si="15"/>
        <v>1158840.2777777778</v>
      </c>
      <c r="L88" s="51">
        <f t="shared" si="15"/>
        <v>1158840.2777777778</v>
      </c>
      <c r="M88" s="51">
        <f t="shared" si="15"/>
        <v>896631.9444444445</v>
      </c>
      <c r="N88" s="51">
        <f t="shared" si="15"/>
        <v>896631.9444444445</v>
      </c>
      <c r="O88" s="51">
        <f t="shared" si="15"/>
        <v>896631.9444444445</v>
      </c>
      <c r="P88" s="51">
        <f t="shared" si="15"/>
        <v>896631.9444444445</v>
      </c>
      <c r="Q88" s="51">
        <f t="shared" si="15"/>
        <v>896631.9444444445</v>
      </c>
      <c r="R88" s="51">
        <f t="shared" si="15"/>
        <v>896631.9444444445</v>
      </c>
      <c r="S88" s="51">
        <f t="shared" si="15"/>
        <v>896631.9444444445</v>
      </c>
      <c r="T88" s="51">
        <f t="shared" si="15"/>
        <v>896631.9444444445</v>
      </c>
      <c r="U88" s="51">
        <f t="shared" si="15"/>
        <v>896631.9444444445</v>
      </c>
      <c r="V88" s="51">
        <f t="shared" si="15"/>
        <v>1084131.9444444443</v>
      </c>
      <c r="W88" s="51">
        <f t="shared" si="15"/>
        <v>1084131.9444444443</v>
      </c>
      <c r="X88" s="51">
        <f t="shared" si="15"/>
        <v>1084131.9444444443</v>
      </c>
      <c r="Y88" s="51">
        <f t="shared" si="15"/>
        <v>1084131.9444444443</v>
      </c>
      <c r="Z88" s="51">
        <f t="shared" si="15"/>
        <v>896631.9444444445</v>
      </c>
      <c r="AA88" s="51">
        <f t="shared" si="15"/>
        <v>0</v>
      </c>
      <c r="AB88" s="51">
        <f t="shared" si="15"/>
        <v>0</v>
      </c>
      <c r="AC88" s="51">
        <f t="shared" si="15"/>
        <v>0</v>
      </c>
      <c r="AD88" s="51">
        <f t="shared" si="15"/>
        <v>0</v>
      </c>
      <c r="AE88" s="51">
        <f t="shared" si="15"/>
        <v>0</v>
      </c>
      <c r="AF88" s="24"/>
      <c r="AG88" s="52">
        <f>SUM(AG82:AG87)</f>
        <v>17675999.999999996</v>
      </c>
      <c r="AH88" s="24">
        <f t="shared" si="12"/>
        <v>0</v>
      </c>
    </row>
    <row r="89" spans="1:34" hidden="1" outlineLevel="1" x14ac:dyDescent="0.2">
      <c r="A89" s="571"/>
      <c r="B89" s="19"/>
      <c r="C89" s="170"/>
      <c r="D89" s="170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H89" s="24">
        <f t="shared" si="12"/>
        <v>0</v>
      </c>
    </row>
    <row r="90" spans="1:34" hidden="1" outlineLevel="1" x14ac:dyDescent="0.2">
      <c r="A90" s="81" t="s">
        <v>507</v>
      </c>
      <c r="B90" s="11">
        <f>'Proforma Land+Home'!$F96</f>
        <v>0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2">
        <f t="shared" ref="AG90:AG96" si="16">SUM(C90:AE90)</f>
        <v>0</v>
      </c>
      <c r="AH90" s="24">
        <f t="shared" si="12"/>
        <v>0</v>
      </c>
    </row>
    <row r="91" spans="1:34" hidden="1" outlineLevel="1" x14ac:dyDescent="0.2">
      <c r="A91" s="569" t="s">
        <v>508</v>
      </c>
      <c r="B91" s="11">
        <f>'Proforma Land+Home'!$E97</f>
        <v>84375</v>
      </c>
      <c r="C91" s="10"/>
      <c r="D91" s="10"/>
      <c r="E91" s="11"/>
      <c r="F91" s="11"/>
      <c r="G91" s="11"/>
      <c r="H91" s="11">
        <f>'Proforma Land+Home'!$E97/18</f>
        <v>4687.5</v>
      </c>
      <c r="I91" s="11">
        <f>'Proforma Land+Home'!$E97/18</f>
        <v>4687.5</v>
      </c>
      <c r="J91" s="11">
        <f>'Proforma Land+Home'!$E97/18</f>
        <v>4687.5</v>
      </c>
      <c r="K91" s="11">
        <f>'Proforma Land+Home'!$E97/18</f>
        <v>4687.5</v>
      </c>
      <c r="L91" s="11">
        <f>'Proforma Land+Home'!$E97/18</f>
        <v>4687.5</v>
      </c>
      <c r="M91" s="11">
        <f>'Proforma Land+Home'!$E97/18</f>
        <v>4687.5</v>
      </c>
      <c r="N91" s="11">
        <f>'Proforma Land+Home'!$E97/18</f>
        <v>4687.5</v>
      </c>
      <c r="O91" s="11">
        <f>'Proforma Land+Home'!$E97/18</f>
        <v>4687.5</v>
      </c>
      <c r="P91" s="11">
        <f>'Proforma Land+Home'!$E97/18</f>
        <v>4687.5</v>
      </c>
      <c r="Q91" s="11">
        <f>'Proforma Land+Home'!$E97/18</f>
        <v>4687.5</v>
      </c>
      <c r="R91" s="11">
        <f>'Proforma Land+Home'!$E97/18</f>
        <v>4687.5</v>
      </c>
      <c r="S91" s="11">
        <f>'Proforma Land+Home'!$E97/18</f>
        <v>4687.5</v>
      </c>
      <c r="T91" s="11">
        <f>'Proforma Land+Home'!$E97/18</f>
        <v>4687.5</v>
      </c>
      <c r="U91" s="11">
        <f>'Proforma Land+Home'!$E97/18</f>
        <v>4687.5</v>
      </c>
      <c r="V91" s="11">
        <f>'Proforma Land+Home'!$E97/18</f>
        <v>4687.5</v>
      </c>
      <c r="W91" s="11">
        <f>'Proforma Land+Home'!$E97/18</f>
        <v>4687.5</v>
      </c>
      <c r="X91" s="11">
        <f>'Proforma Land+Home'!$E97/18</f>
        <v>4687.5</v>
      </c>
      <c r="Y91" s="11">
        <f>'Proforma Land+Home'!$E97/18</f>
        <v>4687.5</v>
      </c>
      <c r="Z91" s="11"/>
      <c r="AA91" s="11"/>
      <c r="AB91" s="11"/>
      <c r="AC91" s="11"/>
      <c r="AD91" s="11"/>
      <c r="AE91" s="11"/>
      <c r="AF91" s="11"/>
      <c r="AG91" s="12">
        <f t="shared" si="16"/>
        <v>84375</v>
      </c>
      <c r="AH91" s="24">
        <f t="shared" si="12"/>
        <v>0</v>
      </c>
    </row>
    <row r="92" spans="1:34" hidden="1" outlineLevel="1" x14ac:dyDescent="0.2">
      <c r="A92" s="569" t="s">
        <v>510</v>
      </c>
      <c r="B92" s="11">
        <f>'Proforma Land+Home'!$E99</f>
        <v>391909.37500000006</v>
      </c>
      <c r="C92" s="10"/>
      <c r="D92" s="10"/>
      <c r="E92" s="11"/>
      <c r="F92" s="11"/>
      <c r="G92" s="11"/>
      <c r="H92" s="11">
        <f>'Proforma Land+Home'!$E99/18</f>
        <v>21772.743055555558</v>
      </c>
      <c r="I92" s="11">
        <f>'Proforma Land+Home'!$E99/18</f>
        <v>21772.743055555558</v>
      </c>
      <c r="J92" s="11">
        <f>'Proforma Land+Home'!$E99/18</f>
        <v>21772.743055555558</v>
      </c>
      <c r="K92" s="11">
        <f>'Proforma Land+Home'!$E99/18</f>
        <v>21772.743055555558</v>
      </c>
      <c r="L92" s="11">
        <f>'Proforma Land+Home'!$E99/18</f>
        <v>21772.743055555558</v>
      </c>
      <c r="M92" s="11">
        <f>'Proforma Land+Home'!$E99/18</f>
        <v>21772.743055555558</v>
      </c>
      <c r="N92" s="11">
        <f>'Proforma Land+Home'!$E99/18</f>
        <v>21772.743055555558</v>
      </c>
      <c r="O92" s="11">
        <f>'Proforma Land+Home'!$E99/18</f>
        <v>21772.743055555558</v>
      </c>
      <c r="P92" s="11">
        <f>'Proforma Land+Home'!$E99/18</f>
        <v>21772.743055555558</v>
      </c>
      <c r="Q92" s="11">
        <f>'Proforma Land+Home'!$E99/18</f>
        <v>21772.743055555558</v>
      </c>
      <c r="R92" s="11">
        <f>'Proforma Land+Home'!$E99/18</f>
        <v>21772.743055555558</v>
      </c>
      <c r="S92" s="11">
        <f>'Proforma Land+Home'!$E99/18</f>
        <v>21772.743055555558</v>
      </c>
      <c r="T92" s="11">
        <f>'Proforma Land+Home'!$E99/18</f>
        <v>21772.743055555558</v>
      </c>
      <c r="U92" s="11">
        <f>'Proforma Land+Home'!$E99/18</f>
        <v>21772.743055555558</v>
      </c>
      <c r="V92" s="11">
        <f>'Proforma Land+Home'!$E99/18</f>
        <v>21772.743055555558</v>
      </c>
      <c r="W92" s="11">
        <f>'Proforma Land+Home'!$E99/18</f>
        <v>21772.743055555558</v>
      </c>
      <c r="X92" s="11">
        <f>'Proforma Land+Home'!$E99/18</f>
        <v>21772.743055555558</v>
      </c>
      <c r="Y92" s="11">
        <f>'Proforma Land+Home'!$E99/18</f>
        <v>21772.743055555558</v>
      </c>
      <c r="Z92" s="11"/>
      <c r="AA92" s="11"/>
      <c r="AB92" s="11"/>
      <c r="AC92" s="11"/>
      <c r="AD92" s="11"/>
      <c r="AE92" s="11"/>
      <c r="AF92" s="11"/>
      <c r="AG92" s="12">
        <f t="shared" si="16"/>
        <v>391909.37500000006</v>
      </c>
      <c r="AH92" s="24">
        <f t="shared" si="12"/>
        <v>0</v>
      </c>
    </row>
    <row r="93" spans="1:34" hidden="1" outlineLevel="1" x14ac:dyDescent="0.2">
      <c r="A93" s="569" t="s">
        <v>511</v>
      </c>
      <c r="B93" s="11">
        <f>'Proforma Land+Home'!$E100</f>
        <v>300000</v>
      </c>
      <c r="C93" s="80"/>
      <c r="D93" s="80"/>
      <c r="E93" s="11"/>
      <c r="F93" s="11"/>
      <c r="G93" s="11"/>
      <c r="H93" s="11">
        <f>'Proforma Land+Home'!$E100/18</f>
        <v>16666.666666666668</v>
      </c>
      <c r="I93" s="11">
        <f>'Proforma Land+Home'!$E100/18</f>
        <v>16666.666666666668</v>
      </c>
      <c r="J93" s="11">
        <f>'Proforma Land+Home'!$E100/18</f>
        <v>16666.666666666668</v>
      </c>
      <c r="K93" s="11">
        <f>'Proforma Land+Home'!$E100/18</f>
        <v>16666.666666666668</v>
      </c>
      <c r="L93" s="11">
        <f>'Proforma Land+Home'!$E100/18</f>
        <v>16666.666666666668</v>
      </c>
      <c r="M93" s="11">
        <f>'Proforma Land+Home'!$E100/18</f>
        <v>16666.666666666668</v>
      </c>
      <c r="N93" s="11">
        <f>'Proforma Land+Home'!$E100/18</f>
        <v>16666.666666666668</v>
      </c>
      <c r="O93" s="11">
        <f>'Proforma Land+Home'!$E100/18</f>
        <v>16666.666666666668</v>
      </c>
      <c r="P93" s="11">
        <f>'Proforma Land+Home'!$E100/18</f>
        <v>16666.666666666668</v>
      </c>
      <c r="Q93" s="11">
        <f>'Proforma Land+Home'!$E100/18</f>
        <v>16666.666666666668</v>
      </c>
      <c r="R93" s="11">
        <f>'Proforma Land+Home'!$E100/18</f>
        <v>16666.666666666668</v>
      </c>
      <c r="S93" s="11">
        <f>'Proforma Land+Home'!$E100/18</f>
        <v>16666.666666666668</v>
      </c>
      <c r="T93" s="11">
        <f>'Proforma Land+Home'!$E100/18</f>
        <v>16666.666666666668</v>
      </c>
      <c r="U93" s="11">
        <f>'Proforma Land+Home'!$E100/18</f>
        <v>16666.666666666668</v>
      </c>
      <c r="V93" s="11">
        <f>'Proforma Land+Home'!$E100/18</f>
        <v>16666.666666666668</v>
      </c>
      <c r="W93" s="11">
        <f>'Proforma Land+Home'!$E100/18</f>
        <v>16666.666666666668</v>
      </c>
      <c r="X93" s="11">
        <f>'Proforma Land+Home'!$E100/18</f>
        <v>16666.666666666668</v>
      </c>
      <c r="Y93" s="11">
        <f>'Proforma Land+Home'!$E100/18</f>
        <v>16666.666666666668</v>
      </c>
      <c r="Z93" s="11"/>
      <c r="AA93" s="11"/>
      <c r="AB93" s="11"/>
      <c r="AC93" s="11"/>
      <c r="AD93" s="11"/>
      <c r="AE93" s="11"/>
      <c r="AF93" s="11"/>
      <c r="AG93" s="12">
        <f t="shared" si="16"/>
        <v>300000</v>
      </c>
      <c r="AH93" s="24">
        <f t="shared" si="12"/>
        <v>0</v>
      </c>
    </row>
    <row r="94" spans="1:34" hidden="1" outlineLevel="1" x14ac:dyDescent="0.2">
      <c r="A94" s="569" t="s">
        <v>315</v>
      </c>
      <c r="B94" s="11">
        <f>'Proforma Land+Home'!$E101</f>
        <v>300000</v>
      </c>
      <c r="C94" s="10"/>
      <c r="D94" s="10"/>
      <c r="E94" s="11"/>
      <c r="F94" s="11"/>
      <c r="G94" s="11"/>
      <c r="H94" s="11">
        <f>'Proforma Land+Home'!$E101/18</f>
        <v>16666.666666666668</v>
      </c>
      <c r="I94" s="11">
        <f>'Proforma Land+Home'!$E101/18</f>
        <v>16666.666666666668</v>
      </c>
      <c r="J94" s="11">
        <f>'Proforma Land+Home'!$E101/18</f>
        <v>16666.666666666668</v>
      </c>
      <c r="K94" s="11">
        <f>'Proforma Land+Home'!$E101/18</f>
        <v>16666.666666666668</v>
      </c>
      <c r="L94" s="11">
        <f>'Proforma Land+Home'!$E101/18</f>
        <v>16666.666666666668</v>
      </c>
      <c r="M94" s="11">
        <f>'Proforma Land+Home'!$E101/18</f>
        <v>16666.666666666668</v>
      </c>
      <c r="N94" s="11">
        <f>'Proforma Land+Home'!$E101/18</f>
        <v>16666.666666666668</v>
      </c>
      <c r="O94" s="11">
        <f>'Proforma Land+Home'!$E101/18</f>
        <v>16666.666666666668</v>
      </c>
      <c r="P94" s="11">
        <f>'Proforma Land+Home'!$E101/18</f>
        <v>16666.666666666668</v>
      </c>
      <c r="Q94" s="11">
        <f>'Proforma Land+Home'!$E101/18</f>
        <v>16666.666666666668</v>
      </c>
      <c r="R94" s="11">
        <f>'Proforma Land+Home'!$E101/18</f>
        <v>16666.666666666668</v>
      </c>
      <c r="S94" s="11">
        <f>'Proforma Land+Home'!$E101/18</f>
        <v>16666.666666666668</v>
      </c>
      <c r="T94" s="11">
        <f>'Proforma Land+Home'!$E101/18</f>
        <v>16666.666666666668</v>
      </c>
      <c r="U94" s="11">
        <f>'Proforma Land+Home'!$E101/18</f>
        <v>16666.666666666668</v>
      </c>
      <c r="V94" s="11">
        <f>'Proforma Land+Home'!$E101/18</f>
        <v>16666.666666666668</v>
      </c>
      <c r="W94" s="11">
        <f>'Proforma Land+Home'!$E101/18</f>
        <v>16666.666666666668</v>
      </c>
      <c r="X94" s="11">
        <f>'Proforma Land+Home'!$E101/18</f>
        <v>16666.666666666668</v>
      </c>
      <c r="Y94" s="11">
        <f>'Proforma Land+Home'!$E101/18</f>
        <v>16666.666666666668</v>
      </c>
      <c r="Z94" s="11"/>
      <c r="AA94" s="11"/>
      <c r="AB94" s="11"/>
      <c r="AC94" s="11"/>
      <c r="AD94" s="11"/>
      <c r="AE94" s="11"/>
      <c r="AF94" s="11"/>
      <c r="AG94" s="12">
        <f t="shared" si="16"/>
        <v>300000</v>
      </c>
      <c r="AH94" s="24">
        <f t="shared" si="12"/>
        <v>0</v>
      </c>
    </row>
    <row r="95" spans="1:34" hidden="1" outlineLevel="1" x14ac:dyDescent="0.2">
      <c r="A95" s="569" t="s">
        <v>316</v>
      </c>
      <c r="B95" s="11">
        <f>'Proforma Land+Home'!$E102</f>
        <v>10000</v>
      </c>
      <c r="C95" s="10"/>
      <c r="D95" s="10"/>
      <c r="E95" s="11"/>
      <c r="F95" s="11"/>
      <c r="G95" s="11"/>
      <c r="H95" s="11">
        <f>'Proforma Land+Home'!$E102/18</f>
        <v>555.55555555555554</v>
      </c>
      <c r="I95" s="11">
        <f>'Proforma Land+Home'!$E102/18</f>
        <v>555.55555555555554</v>
      </c>
      <c r="J95" s="11">
        <f>'Proforma Land+Home'!$E102/18</f>
        <v>555.55555555555554</v>
      </c>
      <c r="K95" s="11">
        <f>'Proforma Land+Home'!$E102/18</f>
        <v>555.55555555555554</v>
      </c>
      <c r="L95" s="11">
        <f>'Proforma Land+Home'!$E102/18</f>
        <v>555.55555555555554</v>
      </c>
      <c r="M95" s="11">
        <f>'Proforma Land+Home'!$E102/18</f>
        <v>555.55555555555554</v>
      </c>
      <c r="N95" s="11">
        <f>'Proforma Land+Home'!$E102/18</f>
        <v>555.55555555555554</v>
      </c>
      <c r="O95" s="11">
        <f>'Proforma Land+Home'!$E102/18</f>
        <v>555.55555555555554</v>
      </c>
      <c r="P95" s="11">
        <f>'Proforma Land+Home'!$E102/18</f>
        <v>555.55555555555554</v>
      </c>
      <c r="Q95" s="11">
        <f>'Proforma Land+Home'!$E102/18</f>
        <v>555.55555555555554</v>
      </c>
      <c r="R95" s="11">
        <f>'Proforma Land+Home'!$E102/18</f>
        <v>555.55555555555554</v>
      </c>
      <c r="S95" s="11">
        <f>'Proforma Land+Home'!$E102/18</f>
        <v>555.55555555555554</v>
      </c>
      <c r="T95" s="11">
        <f>'Proforma Land+Home'!$E102/18</f>
        <v>555.55555555555554</v>
      </c>
      <c r="U95" s="11">
        <f>'Proforma Land+Home'!$E102/18</f>
        <v>555.55555555555554</v>
      </c>
      <c r="V95" s="11">
        <f>'Proforma Land+Home'!$E102/18</f>
        <v>555.55555555555554</v>
      </c>
      <c r="W95" s="11">
        <f>'Proforma Land+Home'!$E102/18</f>
        <v>555.55555555555554</v>
      </c>
      <c r="X95" s="11">
        <f>'Proforma Land+Home'!$E102/18</f>
        <v>555.55555555555554</v>
      </c>
      <c r="Y95" s="11">
        <f>'Proforma Land+Home'!$E102/18</f>
        <v>555.55555555555554</v>
      </c>
      <c r="Z95" s="11"/>
      <c r="AA95" s="11"/>
      <c r="AB95" s="11"/>
      <c r="AC95" s="11"/>
      <c r="AD95" s="11"/>
      <c r="AE95" s="11"/>
      <c r="AF95" s="11"/>
      <c r="AG95" s="12">
        <f t="shared" si="16"/>
        <v>9999.9999999999982</v>
      </c>
      <c r="AH95" s="24">
        <f t="shared" si="12"/>
        <v>0</v>
      </c>
    </row>
    <row r="96" spans="1:34" hidden="1" outlineLevel="1" x14ac:dyDescent="0.2">
      <c r="A96" s="568" t="s">
        <v>317</v>
      </c>
      <c r="B96" s="11">
        <f>'Proforma Land+Home'!$E103</f>
        <v>79314.21875</v>
      </c>
      <c r="C96" s="526"/>
      <c r="D96" s="472"/>
      <c r="E96" s="11"/>
      <c r="F96" s="11"/>
      <c r="G96" s="11"/>
      <c r="H96" s="11">
        <f>'Proforma Land+Home'!$E103/18</f>
        <v>4406.3454861111113</v>
      </c>
      <c r="I96" s="11">
        <f>'Proforma Land+Home'!$E103/18</f>
        <v>4406.3454861111113</v>
      </c>
      <c r="J96" s="11">
        <f>'Proforma Land+Home'!$E103/18</f>
        <v>4406.3454861111113</v>
      </c>
      <c r="K96" s="11">
        <f>'Proforma Land+Home'!$E103/18</f>
        <v>4406.3454861111113</v>
      </c>
      <c r="L96" s="11">
        <f>'Proforma Land+Home'!$E103/18</f>
        <v>4406.3454861111113</v>
      </c>
      <c r="M96" s="11">
        <f>'Proforma Land+Home'!$E103/18</f>
        <v>4406.3454861111113</v>
      </c>
      <c r="N96" s="11">
        <f>'Proforma Land+Home'!$E103/18</f>
        <v>4406.3454861111113</v>
      </c>
      <c r="O96" s="11">
        <f>'Proforma Land+Home'!$E103/18</f>
        <v>4406.3454861111113</v>
      </c>
      <c r="P96" s="11">
        <f>'Proforma Land+Home'!$E103/18</f>
        <v>4406.3454861111113</v>
      </c>
      <c r="Q96" s="11">
        <f>'Proforma Land+Home'!$E103/18</f>
        <v>4406.3454861111113</v>
      </c>
      <c r="R96" s="11">
        <f>'Proforma Land+Home'!$E103/18</f>
        <v>4406.3454861111113</v>
      </c>
      <c r="S96" s="11">
        <f>'Proforma Land+Home'!$E103/18</f>
        <v>4406.3454861111113</v>
      </c>
      <c r="T96" s="11">
        <f>'Proforma Land+Home'!$E103/18</f>
        <v>4406.3454861111113</v>
      </c>
      <c r="U96" s="11">
        <f>'Proforma Land+Home'!$E103/18</f>
        <v>4406.3454861111113</v>
      </c>
      <c r="V96" s="11">
        <f>'Proforma Land+Home'!$E103/18</f>
        <v>4406.3454861111113</v>
      </c>
      <c r="W96" s="11">
        <f>'Proforma Land+Home'!$E103/18</f>
        <v>4406.3454861111113</v>
      </c>
      <c r="X96" s="11">
        <f>'Proforma Land+Home'!$E103/18</f>
        <v>4406.3454861111113</v>
      </c>
      <c r="Y96" s="11">
        <f>'Proforma Land+Home'!$E103/18</f>
        <v>4406.3454861111113</v>
      </c>
      <c r="Z96" s="11"/>
      <c r="AA96" s="11"/>
      <c r="AB96" s="11"/>
      <c r="AC96" s="11"/>
      <c r="AD96" s="11"/>
      <c r="AE96" s="11"/>
      <c r="AF96" s="11"/>
      <c r="AG96" s="12">
        <f t="shared" si="16"/>
        <v>79314.218749999985</v>
      </c>
      <c r="AH96" s="24">
        <f t="shared" si="12"/>
        <v>0</v>
      </c>
    </row>
    <row r="97" spans="1:34" s="3" customFormat="1" collapsed="1" x14ac:dyDescent="0.2">
      <c r="A97" s="49" t="s">
        <v>507</v>
      </c>
      <c r="B97" s="51">
        <f>SUM(B90:B96)</f>
        <v>1165598.59375</v>
      </c>
      <c r="C97" s="49"/>
      <c r="D97" s="51">
        <f t="shared" ref="D97:AE97" si="17">SUM(D90:D96)</f>
        <v>0</v>
      </c>
      <c r="E97" s="51">
        <f t="shared" si="17"/>
        <v>0</v>
      </c>
      <c r="F97" s="51">
        <f t="shared" si="17"/>
        <v>0</v>
      </c>
      <c r="G97" s="51">
        <f t="shared" si="17"/>
        <v>0</v>
      </c>
      <c r="H97" s="51">
        <f t="shared" si="17"/>
        <v>64755.477430555555</v>
      </c>
      <c r="I97" s="51">
        <f t="shared" si="17"/>
        <v>64755.477430555555</v>
      </c>
      <c r="J97" s="51">
        <f t="shared" si="17"/>
        <v>64755.477430555555</v>
      </c>
      <c r="K97" s="51">
        <f t="shared" si="17"/>
        <v>64755.477430555555</v>
      </c>
      <c r="L97" s="51">
        <f t="shared" si="17"/>
        <v>64755.477430555555</v>
      </c>
      <c r="M97" s="51">
        <f t="shared" si="17"/>
        <v>64755.477430555555</v>
      </c>
      <c r="N97" s="51">
        <f t="shared" si="17"/>
        <v>64755.477430555555</v>
      </c>
      <c r="O97" s="51">
        <f t="shared" si="17"/>
        <v>64755.477430555555</v>
      </c>
      <c r="P97" s="51">
        <f t="shared" si="17"/>
        <v>64755.477430555555</v>
      </c>
      <c r="Q97" s="51">
        <f t="shared" si="17"/>
        <v>64755.477430555555</v>
      </c>
      <c r="R97" s="51">
        <f t="shared" si="17"/>
        <v>64755.477430555555</v>
      </c>
      <c r="S97" s="51">
        <f t="shared" si="17"/>
        <v>64755.477430555555</v>
      </c>
      <c r="T97" s="51">
        <f t="shared" si="17"/>
        <v>64755.477430555555</v>
      </c>
      <c r="U97" s="51">
        <f t="shared" si="17"/>
        <v>64755.477430555555</v>
      </c>
      <c r="V97" s="51">
        <f t="shared" si="17"/>
        <v>64755.477430555555</v>
      </c>
      <c r="W97" s="51">
        <f t="shared" si="17"/>
        <v>64755.477430555555</v>
      </c>
      <c r="X97" s="51">
        <f t="shared" si="17"/>
        <v>64755.477430555555</v>
      </c>
      <c r="Y97" s="51">
        <f t="shared" si="17"/>
        <v>64755.477430555555</v>
      </c>
      <c r="Z97" s="51">
        <f t="shared" si="17"/>
        <v>0</v>
      </c>
      <c r="AA97" s="51">
        <f t="shared" si="17"/>
        <v>0</v>
      </c>
      <c r="AB97" s="51">
        <f t="shared" si="17"/>
        <v>0</v>
      </c>
      <c r="AC97" s="51">
        <f t="shared" si="17"/>
        <v>0</v>
      </c>
      <c r="AD97" s="51">
        <f t="shared" si="17"/>
        <v>0</v>
      </c>
      <c r="AE97" s="51">
        <f t="shared" si="17"/>
        <v>0</v>
      </c>
      <c r="AF97" s="24"/>
      <c r="AG97" s="52">
        <f>SUM(AG90:AG96)</f>
        <v>1165598.59375</v>
      </c>
      <c r="AH97" s="24">
        <f t="shared" si="12"/>
        <v>0</v>
      </c>
    </row>
    <row r="98" spans="1:34" hidden="1" outlineLevel="1" x14ac:dyDescent="0.2">
      <c r="A98" s="571"/>
      <c r="B98" s="19"/>
      <c r="C98" s="170"/>
      <c r="D98" s="170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H98" s="24">
        <f t="shared" si="12"/>
        <v>0</v>
      </c>
    </row>
    <row r="99" spans="1:34" hidden="1" outlineLevel="1" x14ac:dyDescent="0.2">
      <c r="A99" s="81" t="s">
        <v>512</v>
      </c>
      <c r="B99" s="11">
        <f>'Proforma Land+Home'!$F106</f>
        <v>0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2">
        <f t="shared" ref="AG99:AG110" si="18">SUM(C99:AE99)</f>
        <v>0</v>
      </c>
      <c r="AH99" s="24">
        <f t="shared" si="12"/>
        <v>0</v>
      </c>
    </row>
    <row r="100" spans="1:34" hidden="1" outlineLevel="1" x14ac:dyDescent="0.2">
      <c r="A100" s="569" t="s">
        <v>514</v>
      </c>
      <c r="B100" s="11">
        <f>'Proforma Land+Home'!$E107</f>
        <v>500000</v>
      </c>
      <c r="C100" s="32"/>
      <c r="D100" s="32"/>
      <c r="E100" s="11"/>
      <c r="F100" s="11"/>
      <c r="G100" s="11"/>
      <c r="H100" s="11">
        <f>'Proforma Land+Home'!$E107/18</f>
        <v>27777.777777777777</v>
      </c>
      <c r="I100" s="11">
        <f>'Proforma Land+Home'!$E107/18</f>
        <v>27777.777777777777</v>
      </c>
      <c r="J100" s="11">
        <f>'Proforma Land+Home'!$E107/18</f>
        <v>27777.777777777777</v>
      </c>
      <c r="K100" s="11">
        <f>'Proforma Land+Home'!$E107/18</f>
        <v>27777.777777777777</v>
      </c>
      <c r="L100" s="11">
        <f>'Proforma Land+Home'!$E107/18</f>
        <v>27777.777777777777</v>
      </c>
      <c r="M100" s="11">
        <f>'Proforma Land+Home'!$E107/18</f>
        <v>27777.777777777777</v>
      </c>
      <c r="N100" s="11">
        <f>'Proforma Land+Home'!$E107/18</f>
        <v>27777.777777777777</v>
      </c>
      <c r="O100" s="11">
        <f>'Proforma Land+Home'!$E107/18</f>
        <v>27777.777777777777</v>
      </c>
      <c r="P100" s="11">
        <f>'Proforma Land+Home'!$E107/18</f>
        <v>27777.777777777777</v>
      </c>
      <c r="Q100" s="11">
        <f>'Proforma Land+Home'!$E107/18</f>
        <v>27777.777777777777</v>
      </c>
      <c r="R100" s="11">
        <f>'Proforma Land+Home'!$E107/18</f>
        <v>27777.777777777777</v>
      </c>
      <c r="S100" s="11">
        <f>'Proforma Land+Home'!$E107/18</f>
        <v>27777.777777777777</v>
      </c>
      <c r="T100" s="11">
        <f>'Proforma Land+Home'!$E107/18</f>
        <v>27777.777777777777</v>
      </c>
      <c r="U100" s="11">
        <f>'Proforma Land+Home'!$E107/18</f>
        <v>27777.777777777777</v>
      </c>
      <c r="V100" s="11">
        <f>'Proforma Land+Home'!$E107/18</f>
        <v>27777.777777777777</v>
      </c>
      <c r="W100" s="11">
        <f>'Proforma Land+Home'!$E107/18</f>
        <v>27777.777777777777</v>
      </c>
      <c r="X100" s="11">
        <f>'Proforma Land+Home'!$E107/18</f>
        <v>27777.777777777777</v>
      </c>
      <c r="Y100" s="11">
        <f>'Proforma Land+Home'!$E107/18</f>
        <v>27777.777777777777</v>
      </c>
      <c r="Z100" s="11"/>
      <c r="AA100" s="11"/>
      <c r="AB100" s="11"/>
      <c r="AC100" s="11"/>
      <c r="AD100" s="11"/>
      <c r="AE100" s="11"/>
      <c r="AF100" s="11"/>
      <c r="AG100" s="12">
        <f t="shared" si="18"/>
        <v>499999.99999999977</v>
      </c>
      <c r="AH100" s="24">
        <f t="shared" si="12"/>
        <v>0</v>
      </c>
    </row>
    <row r="101" spans="1:34" hidden="1" outlineLevel="1" x14ac:dyDescent="0.2">
      <c r="A101" s="569" t="s">
        <v>322</v>
      </c>
      <c r="B101" s="11">
        <f>'Proforma Land+Home'!$E108</f>
        <v>36250</v>
      </c>
      <c r="C101" s="32"/>
      <c r="D101" s="32"/>
      <c r="E101" s="11"/>
      <c r="F101" s="11"/>
      <c r="G101" s="11"/>
      <c r="H101" s="11">
        <f>'Proforma Land+Home'!$E108/18</f>
        <v>2013.8888888888889</v>
      </c>
      <c r="I101" s="11">
        <f>'Proforma Land+Home'!$E108/18</f>
        <v>2013.8888888888889</v>
      </c>
      <c r="J101" s="11">
        <f>'Proforma Land+Home'!$E108/18</f>
        <v>2013.8888888888889</v>
      </c>
      <c r="K101" s="11">
        <f>'Proforma Land+Home'!$E108/18</f>
        <v>2013.8888888888889</v>
      </c>
      <c r="L101" s="11">
        <f>'Proforma Land+Home'!$E108/18</f>
        <v>2013.8888888888889</v>
      </c>
      <c r="M101" s="11">
        <f>'Proforma Land+Home'!$E108/18</f>
        <v>2013.8888888888889</v>
      </c>
      <c r="N101" s="11">
        <f>'Proforma Land+Home'!$E108/18</f>
        <v>2013.8888888888889</v>
      </c>
      <c r="O101" s="11">
        <f>'Proforma Land+Home'!$E108/18</f>
        <v>2013.8888888888889</v>
      </c>
      <c r="P101" s="11">
        <f>'Proforma Land+Home'!$E108/18</f>
        <v>2013.8888888888889</v>
      </c>
      <c r="Q101" s="11">
        <f>'Proforma Land+Home'!$E108/18</f>
        <v>2013.8888888888889</v>
      </c>
      <c r="R101" s="11">
        <f>'Proforma Land+Home'!$E108/18</f>
        <v>2013.8888888888889</v>
      </c>
      <c r="S101" s="11">
        <f>'Proforma Land+Home'!$E108/18</f>
        <v>2013.8888888888889</v>
      </c>
      <c r="T101" s="11">
        <f>'Proforma Land+Home'!$E108/18</f>
        <v>2013.8888888888889</v>
      </c>
      <c r="U101" s="11">
        <f>'Proforma Land+Home'!$E108/18</f>
        <v>2013.8888888888889</v>
      </c>
      <c r="V101" s="11">
        <f>'Proforma Land+Home'!$E108/18</f>
        <v>2013.8888888888889</v>
      </c>
      <c r="W101" s="11">
        <f>'Proforma Land+Home'!$E108/18</f>
        <v>2013.8888888888889</v>
      </c>
      <c r="X101" s="11">
        <f>'Proforma Land+Home'!$E108/18</f>
        <v>2013.8888888888889</v>
      </c>
      <c r="Y101" s="11">
        <f>'Proforma Land+Home'!$E108/18</f>
        <v>2013.8888888888889</v>
      </c>
      <c r="Z101" s="11"/>
      <c r="AA101" s="11"/>
      <c r="AB101" s="11"/>
      <c r="AC101" s="11"/>
      <c r="AD101" s="11"/>
      <c r="AE101" s="11"/>
      <c r="AF101" s="11"/>
      <c r="AG101" s="12">
        <f t="shared" si="18"/>
        <v>36250.000000000015</v>
      </c>
      <c r="AH101" s="24">
        <f t="shared" si="12"/>
        <v>0</v>
      </c>
    </row>
    <row r="102" spans="1:34" hidden="1" outlineLevel="1" x14ac:dyDescent="0.2">
      <c r="A102" s="569" t="s">
        <v>324</v>
      </c>
      <c r="B102" s="11">
        <f>'Proforma Land+Home'!$E109</f>
        <v>297500</v>
      </c>
      <c r="C102" s="32"/>
      <c r="D102" s="32"/>
      <c r="E102" s="11"/>
      <c r="F102" s="11"/>
      <c r="G102" s="11"/>
      <c r="H102" s="11">
        <f>'Proforma Land+Home'!$E109/18</f>
        <v>16527.777777777777</v>
      </c>
      <c r="I102" s="11">
        <f>'Proforma Land+Home'!$E109/18</f>
        <v>16527.777777777777</v>
      </c>
      <c r="J102" s="11">
        <f>'Proforma Land+Home'!$E109/18</f>
        <v>16527.777777777777</v>
      </c>
      <c r="K102" s="11">
        <f>'Proforma Land+Home'!$E109/18</f>
        <v>16527.777777777777</v>
      </c>
      <c r="L102" s="11">
        <f>'Proforma Land+Home'!$E109/18</f>
        <v>16527.777777777777</v>
      </c>
      <c r="M102" s="11">
        <f>'Proforma Land+Home'!$E109/18</f>
        <v>16527.777777777777</v>
      </c>
      <c r="N102" s="11">
        <f>'Proforma Land+Home'!$E109/18</f>
        <v>16527.777777777777</v>
      </c>
      <c r="O102" s="11">
        <f>'Proforma Land+Home'!$E109/18</f>
        <v>16527.777777777777</v>
      </c>
      <c r="P102" s="11">
        <f>'Proforma Land+Home'!$E109/18</f>
        <v>16527.777777777777</v>
      </c>
      <c r="Q102" s="11">
        <f>'Proforma Land+Home'!$E109/18</f>
        <v>16527.777777777777</v>
      </c>
      <c r="R102" s="11">
        <f>'Proforma Land+Home'!$E109/18</f>
        <v>16527.777777777777</v>
      </c>
      <c r="S102" s="11">
        <f>'Proforma Land+Home'!$E109/18</f>
        <v>16527.777777777777</v>
      </c>
      <c r="T102" s="11">
        <f>'Proforma Land+Home'!$E109/18</f>
        <v>16527.777777777777</v>
      </c>
      <c r="U102" s="11">
        <f>'Proforma Land+Home'!$E109/18</f>
        <v>16527.777777777777</v>
      </c>
      <c r="V102" s="11">
        <f>'Proforma Land+Home'!$E109/18</f>
        <v>16527.777777777777</v>
      </c>
      <c r="W102" s="11">
        <f>'Proforma Land+Home'!$E109/18</f>
        <v>16527.777777777777</v>
      </c>
      <c r="X102" s="11">
        <f>'Proforma Land+Home'!$E109/18</f>
        <v>16527.777777777777</v>
      </c>
      <c r="Y102" s="11">
        <f>'Proforma Land+Home'!$E109/18</f>
        <v>16527.777777777777</v>
      </c>
      <c r="Z102" s="11"/>
      <c r="AA102" s="11"/>
      <c r="AB102" s="11"/>
      <c r="AC102" s="11"/>
      <c r="AD102" s="11"/>
      <c r="AE102" s="11"/>
      <c r="AF102" s="11"/>
      <c r="AG102" s="12">
        <f t="shared" si="18"/>
        <v>297499.99999999994</v>
      </c>
      <c r="AH102" s="24">
        <f t="shared" si="12"/>
        <v>0</v>
      </c>
    </row>
    <row r="103" spans="1:34" hidden="1" outlineLevel="1" x14ac:dyDescent="0.2">
      <c r="A103" s="569" t="s">
        <v>326</v>
      </c>
      <c r="B103" s="11">
        <f>'Proforma Land+Home'!$E110</f>
        <v>50000</v>
      </c>
      <c r="C103" s="10"/>
      <c r="D103" s="10"/>
      <c r="E103" s="11"/>
      <c r="F103" s="11"/>
      <c r="G103" s="11"/>
      <c r="H103" s="11">
        <f>'Proforma Land+Home'!$E110/18</f>
        <v>2777.7777777777778</v>
      </c>
      <c r="I103" s="11">
        <f>'Proforma Land+Home'!$E110/18</f>
        <v>2777.7777777777778</v>
      </c>
      <c r="J103" s="11">
        <f>'Proforma Land+Home'!$E110/18</f>
        <v>2777.7777777777778</v>
      </c>
      <c r="K103" s="11">
        <f>'Proforma Land+Home'!$E110/18</f>
        <v>2777.7777777777778</v>
      </c>
      <c r="L103" s="11">
        <f>'Proforma Land+Home'!$E110/18</f>
        <v>2777.7777777777778</v>
      </c>
      <c r="M103" s="11">
        <f>'Proforma Land+Home'!$E110/18</f>
        <v>2777.7777777777778</v>
      </c>
      <c r="N103" s="11">
        <f>'Proforma Land+Home'!$E110/18</f>
        <v>2777.7777777777778</v>
      </c>
      <c r="O103" s="11">
        <f>'Proforma Land+Home'!$E110/18</f>
        <v>2777.7777777777778</v>
      </c>
      <c r="P103" s="11">
        <f>'Proforma Land+Home'!$E110/18</f>
        <v>2777.7777777777778</v>
      </c>
      <c r="Q103" s="11">
        <f>'Proforma Land+Home'!$E110/18</f>
        <v>2777.7777777777778</v>
      </c>
      <c r="R103" s="11">
        <f>'Proforma Land+Home'!$E110/18</f>
        <v>2777.7777777777778</v>
      </c>
      <c r="S103" s="11">
        <f>'Proforma Land+Home'!$E110/18</f>
        <v>2777.7777777777778</v>
      </c>
      <c r="T103" s="11">
        <f>'Proforma Land+Home'!$E110/18</f>
        <v>2777.7777777777778</v>
      </c>
      <c r="U103" s="11">
        <f>'Proforma Land+Home'!$E110/18</f>
        <v>2777.7777777777778</v>
      </c>
      <c r="V103" s="11">
        <f>'Proforma Land+Home'!$E110/18</f>
        <v>2777.7777777777778</v>
      </c>
      <c r="W103" s="11">
        <f>'Proforma Land+Home'!$E110/18</f>
        <v>2777.7777777777778</v>
      </c>
      <c r="X103" s="11">
        <f>'Proforma Land+Home'!$E110/18</f>
        <v>2777.7777777777778</v>
      </c>
      <c r="Y103" s="11">
        <f>'Proforma Land+Home'!$E110/18</f>
        <v>2777.7777777777778</v>
      </c>
      <c r="Z103" s="11"/>
      <c r="AA103" s="11"/>
      <c r="AB103" s="11"/>
      <c r="AC103" s="11"/>
      <c r="AD103" s="11"/>
      <c r="AE103" s="11"/>
      <c r="AF103" s="11"/>
      <c r="AG103" s="12">
        <f t="shared" si="18"/>
        <v>50000.000000000022</v>
      </c>
      <c r="AH103" s="24">
        <f t="shared" si="12"/>
        <v>0</v>
      </c>
    </row>
    <row r="104" spans="1:34" hidden="1" outlineLevel="1" x14ac:dyDescent="0.2">
      <c r="A104" s="569" t="s">
        <v>327</v>
      </c>
      <c r="B104" s="11">
        <f>'Proforma Land+Home'!$E111</f>
        <v>37500</v>
      </c>
      <c r="C104" s="32"/>
      <c r="D104" s="32"/>
      <c r="E104" s="11"/>
      <c r="F104" s="11"/>
      <c r="G104" s="11"/>
      <c r="H104" s="11">
        <f>'Proforma Land+Home'!$E111/18</f>
        <v>2083.3333333333335</v>
      </c>
      <c r="I104" s="11">
        <f>'Proforma Land+Home'!$E111/18</f>
        <v>2083.3333333333335</v>
      </c>
      <c r="J104" s="11">
        <f>'Proforma Land+Home'!$E111/18</f>
        <v>2083.3333333333335</v>
      </c>
      <c r="K104" s="11">
        <f>'Proforma Land+Home'!$E111/18</f>
        <v>2083.3333333333335</v>
      </c>
      <c r="L104" s="11">
        <f>'Proforma Land+Home'!$E111/18</f>
        <v>2083.3333333333335</v>
      </c>
      <c r="M104" s="11">
        <f>'Proforma Land+Home'!$E111/18</f>
        <v>2083.3333333333335</v>
      </c>
      <c r="N104" s="11">
        <f>'Proforma Land+Home'!$E111/18</f>
        <v>2083.3333333333335</v>
      </c>
      <c r="O104" s="11">
        <f>'Proforma Land+Home'!$E111/18</f>
        <v>2083.3333333333335</v>
      </c>
      <c r="P104" s="11">
        <f>'Proforma Land+Home'!$E111/18</f>
        <v>2083.3333333333335</v>
      </c>
      <c r="Q104" s="11">
        <f>'Proforma Land+Home'!$E111/18</f>
        <v>2083.3333333333335</v>
      </c>
      <c r="R104" s="11">
        <f>'Proforma Land+Home'!$E111/18</f>
        <v>2083.3333333333335</v>
      </c>
      <c r="S104" s="11">
        <f>'Proforma Land+Home'!$E111/18</f>
        <v>2083.3333333333335</v>
      </c>
      <c r="T104" s="11">
        <f>'Proforma Land+Home'!$E111/18</f>
        <v>2083.3333333333335</v>
      </c>
      <c r="U104" s="11">
        <f>'Proforma Land+Home'!$E111/18</f>
        <v>2083.3333333333335</v>
      </c>
      <c r="V104" s="11">
        <f>'Proforma Land+Home'!$E111/18</f>
        <v>2083.3333333333335</v>
      </c>
      <c r="W104" s="11">
        <f>'Proforma Land+Home'!$E111/18</f>
        <v>2083.3333333333335</v>
      </c>
      <c r="X104" s="11">
        <f>'Proforma Land+Home'!$E111/18</f>
        <v>2083.3333333333335</v>
      </c>
      <c r="Y104" s="11">
        <f>'Proforma Land+Home'!$E111/18</f>
        <v>2083.3333333333335</v>
      </c>
      <c r="Z104" s="11"/>
      <c r="AA104" s="11"/>
      <c r="AB104" s="11"/>
      <c r="AC104" s="11"/>
      <c r="AD104" s="11"/>
      <c r="AE104" s="11"/>
      <c r="AF104" s="11"/>
      <c r="AG104" s="12">
        <f t="shared" si="18"/>
        <v>37500</v>
      </c>
      <c r="AH104" s="24">
        <f t="shared" si="12"/>
        <v>0</v>
      </c>
    </row>
    <row r="105" spans="1:34" hidden="1" outlineLevel="1" x14ac:dyDescent="0.2">
      <c r="A105" s="569" t="s">
        <v>328</v>
      </c>
      <c r="B105" s="11">
        <f>'Proforma Land+Home'!$E112</f>
        <v>17500</v>
      </c>
      <c r="C105" s="32"/>
      <c r="D105" s="32"/>
      <c r="E105" s="11"/>
      <c r="F105" s="11"/>
      <c r="G105" s="11"/>
      <c r="H105" s="11">
        <f>'Proforma Land+Home'!$E112/18</f>
        <v>972.22222222222217</v>
      </c>
      <c r="I105" s="11">
        <f>'Proforma Land+Home'!$E112/18</f>
        <v>972.22222222222217</v>
      </c>
      <c r="J105" s="11">
        <f>'Proforma Land+Home'!$E112/18</f>
        <v>972.22222222222217</v>
      </c>
      <c r="K105" s="11">
        <f>'Proforma Land+Home'!$E112/18</f>
        <v>972.22222222222217</v>
      </c>
      <c r="L105" s="11">
        <f>'Proforma Land+Home'!$E112/18</f>
        <v>972.22222222222217</v>
      </c>
      <c r="M105" s="11">
        <f>'Proforma Land+Home'!$E112/18</f>
        <v>972.22222222222217</v>
      </c>
      <c r="N105" s="11">
        <f>'Proforma Land+Home'!$E112/18</f>
        <v>972.22222222222217</v>
      </c>
      <c r="O105" s="11">
        <f>'Proforma Land+Home'!$E112/18</f>
        <v>972.22222222222217</v>
      </c>
      <c r="P105" s="11">
        <f>'Proforma Land+Home'!$E112/18</f>
        <v>972.22222222222217</v>
      </c>
      <c r="Q105" s="11">
        <f>'Proforma Land+Home'!$E112/18</f>
        <v>972.22222222222217</v>
      </c>
      <c r="R105" s="11">
        <f>'Proforma Land+Home'!$E112/18</f>
        <v>972.22222222222217</v>
      </c>
      <c r="S105" s="11">
        <f>'Proforma Land+Home'!$E112/18</f>
        <v>972.22222222222217</v>
      </c>
      <c r="T105" s="11">
        <f>'Proforma Land+Home'!$E112/18</f>
        <v>972.22222222222217</v>
      </c>
      <c r="U105" s="11">
        <f>'Proforma Land+Home'!$E112/18</f>
        <v>972.22222222222217</v>
      </c>
      <c r="V105" s="11">
        <f>'Proforma Land+Home'!$E112/18</f>
        <v>972.22222222222217</v>
      </c>
      <c r="W105" s="11">
        <f>'Proforma Land+Home'!$E112/18</f>
        <v>972.22222222222217</v>
      </c>
      <c r="X105" s="11">
        <f>'Proforma Land+Home'!$E112/18</f>
        <v>972.22222222222217</v>
      </c>
      <c r="Y105" s="11">
        <f>'Proforma Land+Home'!$E112/18</f>
        <v>972.22222222222217</v>
      </c>
      <c r="Z105" s="11"/>
      <c r="AA105" s="11"/>
      <c r="AB105" s="11"/>
      <c r="AC105" s="11"/>
      <c r="AD105" s="11"/>
      <c r="AE105" s="11"/>
      <c r="AF105" s="11"/>
      <c r="AG105" s="12">
        <f t="shared" si="18"/>
        <v>17500.000000000004</v>
      </c>
      <c r="AH105" s="24">
        <f t="shared" si="12"/>
        <v>0</v>
      </c>
    </row>
    <row r="106" spans="1:34" hidden="1" outlineLevel="1" x14ac:dyDescent="0.2">
      <c r="A106" s="569" t="s">
        <v>329</v>
      </c>
      <c r="B106" s="11">
        <f>'Proforma Land+Home'!$E113</f>
        <v>39375</v>
      </c>
      <c r="C106" s="10"/>
      <c r="D106" s="10"/>
      <c r="E106" s="11"/>
      <c r="F106" s="11"/>
      <c r="G106" s="11"/>
      <c r="H106" s="11">
        <f>'Proforma Land+Home'!$E113/18</f>
        <v>2187.5</v>
      </c>
      <c r="I106" s="11">
        <f>'Proforma Land+Home'!$E113/18</f>
        <v>2187.5</v>
      </c>
      <c r="J106" s="11">
        <f>'Proforma Land+Home'!$E113/18</f>
        <v>2187.5</v>
      </c>
      <c r="K106" s="11">
        <f>'Proforma Land+Home'!$E113/18</f>
        <v>2187.5</v>
      </c>
      <c r="L106" s="11">
        <f>'Proforma Land+Home'!$E113/18</f>
        <v>2187.5</v>
      </c>
      <c r="M106" s="11">
        <f>'Proforma Land+Home'!$E113/18</f>
        <v>2187.5</v>
      </c>
      <c r="N106" s="11">
        <f>'Proforma Land+Home'!$E113/18</f>
        <v>2187.5</v>
      </c>
      <c r="O106" s="11">
        <f>'Proforma Land+Home'!$E113/18</f>
        <v>2187.5</v>
      </c>
      <c r="P106" s="11">
        <f>'Proforma Land+Home'!$E113/18</f>
        <v>2187.5</v>
      </c>
      <c r="Q106" s="11">
        <f>'Proforma Land+Home'!$E113/18</f>
        <v>2187.5</v>
      </c>
      <c r="R106" s="11">
        <f>'Proforma Land+Home'!$E113/18</f>
        <v>2187.5</v>
      </c>
      <c r="S106" s="11">
        <f>'Proforma Land+Home'!$E113/18</f>
        <v>2187.5</v>
      </c>
      <c r="T106" s="11">
        <f>'Proforma Land+Home'!$E113/18</f>
        <v>2187.5</v>
      </c>
      <c r="U106" s="11">
        <f>'Proforma Land+Home'!$E113/18</f>
        <v>2187.5</v>
      </c>
      <c r="V106" s="11">
        <f>'Proforma Land+Home'!$E113/18</f>
        <v>2187.5</v>
      </c>
      <c r="W106" s="11">
        <f>'Proforma Land+Home'!$E113/18</f>
        <v>2187.5</v>
      </c>
      <c r="X106" s="11">
        <f>'Proforma Land+Home'!$E113/18</f>
        <v>2187.5</v>
      </c>
      <c r="Y106" s="11">
        <f>'Proforma Land+Home'!$E113/18</f>
        <v>2187.5</v>
      </c>
      <c r="Z106" s="11"/>
      <c r="AA106" s="11"/>
      <c r="AB106" s="11"/>
      <c r="AC106" s="11"/>
      <c r="AD106" s="11"/>
      <c r="AE106" s="11"/>
      <c r="AF106" s="11"/>
      <c r="AG106" s="12">
        <f t="shared" si="18"/>
        <v>39375</v>
      </c>
      <c r="AH106" s="24">
        <f t="shared" ref="AH106:AH136" si="19">B106-AG106</f>
        <v>0</v>
      </c>
    </row>
    <row r="107" spans="1:34" hidden="1" outlineLevel="1" x14ac:dyDescent="0.2">
      <c r="A107" s="569" t="s">
        <v>330</v>
      </c>
      <c r="B107" s="11">
        <f>'Proforma Land+Home'!$E114</f>
        <v>52062.5</v>
      </c>
      <c r="C107" s="10"/>
      <c r="D107" s="10"/>
      <c r="E107" s="11"/>
      <c r="F107" s="11"/>
      <c r="G107" s="11"/>
      <c r="H107" s="11">
        <f>'Proforma Land+Home'!$E114/18</f>
        <v>2892.3611111111113</v>
      </c>
      <c r="I107" s="11">
        <f>'Proforma Land+Home'!$E114/18</f>
        <v>2892.3611111111113</v>
      </c>
      <c r="J107" s="11">
        <f>'Proforma Land+Home'!$E114/18</f>
        <v>2892.3611111111113</v>
      </c>
      <c r="K107" s="11">
        <f>'Proforma Land+Home'!$E114/18</f>
        <v>2892.3611111111113</v>
      </c>
      <c r="L107" s="11">
        <f>'Proforma Land+Home'!$E114/18</f>
        <v>2892.3611111111113</v>
      </c>
      <c r="M107" s="11">
        <f>'Proforma Land+Home'!$E114/18</f>
        <v>2892.3611111111113</v>
      </c>
      <c r="N107" s="11">
        <f>'Proforma Land+Home'!$E114/18</f>
        <v>2892.3611111111113</v>
      </c>
      <c r="O107" s="11">
        <f>'Proforma Land+Home'!$E114/18</f>
        <v>2892.3611111111113</v>
      </c>
      <c r="P107" s="11">
        <f>'Proforma Land+Home'!$E114/18</f>
        <v>2892.3611111111113</v>
      </c>
      <c r="Q107" s="11">
        <f>'Proforma Land+Home'!$E114/18</f>
        <v>2892.3611111111113</v>
      </c>
      <c r="R107" s="11">
        <f>'Proforma Land+Home'!$E114/18</f>
        <v>2892.3611111111113</v>
      </c>
      <c r="S107" s="11">
        <f>'Proforma Land+Home'!$E114/18</f>
        <v>2892.3611111111113</v>
      </c>
      <c r="T107" s="11">
        <f>'Proforma Land+Home'!$E114/18</f>
        <v>2892.3611111111113</v>
      </c>
      <c r="U107" s="11">
        <f>'Proforma Land+Home'!$E114/18</f>
        <v>2892.3611111111113</v>
      </c>
      <c r="V107" s="11">
        <f>'Proforma Land+Home'!$E114/18</f>
        <v>2892.3611111111113</v>
      </c>
      <c r="W107" s="11">
        <f>'Proforma Land+Home'!$E114/18</f>
        <v>2892.3611111111113</v>
      </c>
      <c r="X107" s="11">
        <f>'Proforma Land+Home'!$E114/18</f>
        <v>2892.3611111111113</v>
      </c>
      <c r="Y107" s="11">
        <f>'Proforma Land+Home'!$E114/18</f>
        <v>2892.3611111111113</v>
      </c>
      <c r="Z107" s="11"/>
      <c r="AA107" s="11"/>
      <c r="AB107" s="11"/>
      <c r="AC107" s="11"/>
      <c r="AD107" s="11"/>
      <c r="AE107" s="11"/>
      <c r="AF107" s="11"/>
      <c r="AG107" s="12">
        <f t="shared" si="18"/>
        <v>52062.499999999985</v>
      </c>
      <c r="AH107" s="24">
        <f t="shared" si="19"/>
        <v>0</v>
      </c>
    </row>
    <row r="108" spans="1:34" hidden="1" outlineLevel="1" x14ac:dyDescent="0.2">
      <c r="A108" s="569" t="s">
        <v>331</v>
      </c>
      <c r="B108" s="11">
        <f>'Proforma Land+Home'!$E115</f>
        <v>37187.5</v>
      </c>
      <c r="C108" s="10"/>
      <c r="D108" s="10"/>
      <c r="E108" s="11"/>
      <c r="F108" s="11"/>
      <c r="G108" s="11"/>
      <c r="H108" s="11">
        <f>'Proforma Land+Home'!$E115/18</f>
        <v>2065.9722222222222</v>
      </c>
      <c r="I108" s="11">
        <f>'Proforma Land+Home'!$E115/18</f>
        <v>2065.9722222222222</v>
      </c>
      <c r="J108" s="11">
        <f>'Proforma Land+Home'!$E115/18</f>
        <v>2065.9722222222222</v>
      </c>
      <c r="K108" s="11">
        <f>'Proforma Land+Home'!$E115/18</f>
        <v>2065.9722222222222</v>
      </c>
      <c r="L108" s="11">
        <f>'Proforma Land+Home'!$E115/18</f>
        <v>2065.9722222222222</v>
      </c>
      <c r="M108" s="11">
        <f>'Proforma Land+Home'!$E115/18</f>
        <v>2065.9722222222222</v>
      </c>
      <c r="N108" s="11">
        <f>'Proforma Land+Home'!$E115/18</f>
        <v>2065.9722222222222</v>
      </c>
      <c r="O108" s="11">
        <f>'Proforma Land+Home'!$E115/18</f>
        <v>2065.9722222222222</v>
      </c>
      <c r="P108" s="11">
        <f>'Proforma Land+Home'!$E115/18</f>
        <v>2065.9722222222222</v>
      </c>
      <c r="Q108" s="11">
        <f>'Proforma Land+Home'!$E115/18</f>
        <v>2065.9722222222222</v>
      </c>
      <c r="R108" s="11">
        <f>'Proforma Land+Home'!$E115/18</f>
        <v>2065.9722222222222</v>
      </c>
      <c r="S108" s="11">
        <f>'Proforma Land+Home'!$E115/18</f>
        <v>2065.9722222222222</v>
      </c>
      <c r="T108" s="11">
        <f>'Proforma Land+Home'!$E115/18</f>
        <v>2065.9722222222222</v>
      </c>
      <c r="U108" s="11">
        <f>'Proforma Land+Home'!$E115/18</f>
        <v>2065.9722222222222</v>
      </c>
      <c r="V108" s="11">
        <f>'Proforma Land+Home'!$E115/18</f>
        <v>2065.9722222222222</v>
      </c>
      <c r="W108" s="11">
        <f>'Proforma Land+Home'!$E115/18</f>
        <v>2065.9722222222222</v>
      </c>
      <c r="X108" s="11">
        <f>'Proforma Land+Home'!$E115/18</f>
        <v>2065.9722222222222</v>
      </c>
      <c r="Y108" s="11">
        <f>'Proforma Land+Home'!$E115/18</f>
        <v>2065.9722222222222</v>
      </c>
      <c r="Z108" s="11"/>
      <c r="AA108" s="11"/>
      <c r="AB108" s="11"/>
      <c r="AC108" s="11"/>
      <c r="AD108" s="11"/>
      <c r="AE108" s="11"/>
      <c r="AF108" s="11"/>
      <c r="AG108" s="12">
        <f t="shared" si="18"/>
        <v>37187.499999999993</v>
      </c>
      <c r="AH108" s="24">
        <f t="shared" si="19"/>
        <v>0</v>
      </c>
    </row>
    <row r="109" spans="1:34" hidden="1" outlineLevel="1" x14ac:dyDescent="0.2">
      <c r="A109" s="569" t="s">
        <v>332</v>
      </c>
      <c r="B109" s="11">
        <f>'Proforma Land+Home'!$E116</f>
        <v>37187.5</v>
      </c>
      <c r="C109" s="10"/>
      <c r="D109" s="10"/>
      <c r="E109" s="11"/>
      <c r="F109" s="11"/>
      <c r="G109" s="11"/>
      <c r="H109" s="11">
        <f>'Proforma Land+Home'!$E116/18</f>
        <v>2065.9722222222222</v>
      </c>
      <c r="I109" s="11">
        <f>'Proforma Land+Home'!$E116/18</f>
        <v>2065.9722222222222</v>
      </c>
      <c r="J109" s="11">
        <f>'Proforma Land+Home'!$E116/18</f>
        <v>2065.9722222222222</v>
      </c>
      <c r="K109" s="11">
        <f>'Proforma Land+Home'!$E116/18</f>
        <v>2065.9722222222222</v>
      </c>
      <c r="L109" s="11">
        <f>'Proforma Land+Home'!$E116/18</f>
        <v>2065.9722222222222</v>
      </c>
      <c r="M109" s="11">
        <f>'Proforma Land+Home'!$E116/18</f>
        <v>2065.9722222222222</v>
      </c>
      <c r="N109" s="11">
        <f>'Proforma Land+Home'!$E116/18</f>
        <v>2065.9722222222222</v>
      </c>
      <c r="O109" s="11">
        <f>'Proforma Land+Home'!$E116/18</f>
        <v>2065.9722222222222</v>
      </c>
      <c r="P109" s="11">
        <f>'Proforma Land+Home'!$E116/18</f>
        <v>2065.9722222222222</v>
      </c>
      <c r="Q109" s="11">
        <f>'Proforma Land+Home'!$E116/18</f>
        <v>2065.9722222222222</v>
      </c>
      <c r="R109" s="11">
        <f>'Proforma Land+Home'!$E116/18</f>
        <v>2065.9722222222222</v>
      </c>
      <c r="S109" s="11">
        <f>'Proforma Land+Home'!$E116/18</f>
        <v>2065.9722222222222</v>
      </c>
      <c r="T109" s="11">
        <f>'Proforma Land+Home'!$E116/18</f>
        <v>2065.9722222222222</v>
      </c>
      <c r="U109" s="11">
        <f>'Proforma Land+Home'!$E116/18</f>
        <v>2065.9722222222222</v>
      </c>
      <c r="V109" s="11">
        <f>'Proforma Land+Home'!$E116/18</f>
        <v>2065.9722222222222</v>
      </c>
      <c r="W109" s="11">
        <f>'Proforma Land+Home'!$E116/18</f>
        <v>2065.9722222222222</v>
      </c>
      <c r="X109" s="11">
        <f>'Proforma Land+Home'!$E116/18</f>
        <v>2065.9722222222222</v>
      </c>
      <c r="Y109" s="11">
        <f>'Proforma Land+Home'!$E116/18</f>
        <v>2065.9722222222222</v>
      </c>
      <c r="Z109" s="11"/>
      <c r="AA109" s="11"/>
      <c r="AB109" s="11"/>
      <c r="AC109" s="11"/>
      <c r="AD109" s="11"/>
      <c r="AE109" s="11"/>
      <c r="AF109" s="11"/>
      <c r="AG109" s="12">
        <f t="shared" si="18"/>
        <v>37187.499999999993</v>
      </c>
      <c r="AH109" s="24">
        <f t="shared" si="19"/>
        <v>0</v>
      </c>
    </row>
    <row r="110" spans="1:34" hidden="1" outlineLevel="1" x14ac:dyDescent="0.2">
      <c r="A110" s="568" t="s">
        <v>317</v>
      </c>
      <c r="B110" s="11">
        <f>'Proforma Land+Home'!$E117</f>
        <v>30228.125</v>
      </c>
      <c r="C110" s="22"/>
      <c r="D110" s="11"/>
      <c r="E110" s="11"/>
      <c r="F110" s="11"/>
      <c r="G110" s="11"/>
      <c r="H110" s="11">
        <f>'Proforma Land+Home'!$E117/18</f>
        <v>1679.3402777777778</v>
      </c>
      <c r="I110" s="11">
        <f>'Proforma Land+Home'!$E117/18</f>
        <v>1679.3402777777778</v>
      </c>
      <c r="J110" s="11">
        <f>'Proforma Land+Home'!$E117/18</f>
        <v>1679.3402777777778</v>
      </c>
      <c r="K110" s="11">
        <f>'Proforma Land+Home'!$E117/18</f>
        <v>1679.3402777777778</v>
      </c>
      <c r="L110" s="11">
        <f>'Proforma Land+Home'!$E117/18</f>
        <v>1679.3402777777778</v>
      </c>
      <c r="M110" s="11">
        <f>'Proforma Land+Home'!$E117/18</f>
        <v>1679.3402777777778</v>
      </c>
      <c r="N110" s="11">
        <f>'Proforma Land+Home'!$E117/18</f>
        <v>1679.3402777777778</v>
      </c>
      <c r="O110" s="11">
        <f>'Proforma Land+Home'!$E117/18</f>
        <v>1679.3402777777778</v>
      </c>
      <c r="P110" s="11">
        <f>'Proforma Land+Home'!$E117/18</f>
        <v>1679.3402777777778</v>
      </c>
      <c r="Q110" s="11">
        <f>'Proforma Land+Home'!$E117/18</f>
        <v>1679.3402777777778</v>
      </c>
      <c r="R110" s="11">
        <f>'Proforma Land+Home'!$E117/18</f>
        <v>1679.3402777777778</v>
      </c>
      <c r="S110" s="11">
        <f>'Proforma Land+Home'!$E117/18</f>
        <v>1679.3402777777778</v>
      </c>
      <c r="T110" s="11">
        <f>'Proforma Land+Home'!$E117/18</f>
        <v>1679.3402777777778</v>
      </c>
      <c r="U110" s="11">
        <f>'Proforma Land+Home'!$E117/18</f>
        <v>1679.3402777777778</v>
      </c>
      <c r="V110" s="11">
        <f>'Proforma Land+Home'!$E117/18</f>
        <v>1679.3402777777778</v>
      </c>
      <c r="W110" s="11">
        <f>'Proforma Land+Home'!$E117/18</f>
        <v>1679.3402777777778</v>
      </c>
      <c r="X110" s="11">
        <f>'Proforma Land+Home'!$E117/18</f>
        <v>1679.3402777777778</v>
      </c>
      <c r="Y110" s="11">
        <f>'Proforma Land+Home'!$E117/18</f>
        <v>1679.3402777777778</v>
      </c>
      <c r="Z110" s="11"/>
      <c r="AA110" s="11"/>
      <c r="AB110" s="11"/>
      <c r="AC110" s="11"/>
      <c r="AD110" s="11"/>
      <c r="AE110" s="11"/>
      <c r="AF110" s="11"/>
      <c r="AG110" s="12">
        <f t="shared" si="18"/>
        <v>30228.124999999996</v>
      </c>
      <c r="AH110" s="24">
        <f t="shared" si="19"/>
        <v>0</v>
      </c>
    </row>
    <row r="111" spans="1:34" s="3" customFormat="1" collapsed="1" x14ac:dyDescent="0.2">
      <c r="A111" s="49" t="s">
        <v>512</v>
      </c>
      <c r="B111" s="51">
        <f>SUM(B99:B110)</f>
        <v>1134790.625</v>
      </c>
      <c r="C111" s="51"/>
      <c r="D111" s="51">
        <f t="shared" ref="D111:AE111" si="20">SUM(D99:D110)</f>
        <v>0</v>
      </c>
      <c r="E111" s="51">
        <f t="shared" si="20"/>
        <v>0</v>
      </c>
      <c r="F111" s="51">
        <f t="shared" si="20"/>
        <v>0</v>
      </c>
      <c r="G111" s="51">
        <f t="shared" si="20"/>
        <v>0</v>
      </c>
      <c r="H111" s="51">
        <f t="shared" si="20"/>
        <v>63043.923611111109</v>
      </c>
      <c r="I111" s="51">
        <f t="shared" si="20"/>
        <v>63043.923611111109</v>
      </c>
      <c r="J111" s="51">
        <f t="shared" si="20"/>
        <v>63043.923611111109</v>
      </c>
      <c r="K111" s="51">
        <f t="shared" si="20"/>
        <v>63043.923611111109</v>
      </c>
      <c r="L111" s="51">
        <f t="shared" si="20"/>
        <v>63043.923611111109</v>
      </c>
      <c r="M111" s="51">
        <f t="shared" si="20"/>
        <v>63043.923611111109</v>
      </c>
      <c r="N111" s="51">
        <f t="shared" si="20"/>
        <v>63043.923611111109</v>
      </c>
      <c r="O111" s="51">
        <f t="shared" si="20"/>
        <v>63043.923611111109</v>
      </c>
      <c r="P111" s="51">
        <f t="shared" si="20"/>
        <v>63043.923611111109</v>
      </c>
      <c r="Q111" s="51">
        <f t="shared" si="20"/>
        <v>63043.923611111109</v>
      </c>
      <c r="R111" s="51">
        <f t="shared" si="20"/>
        <v>63043.923611111109</v>
      </c>
      <c r="S111" s="51">
        <f t="shared" si="20"/>
        <v>63043.923611111109</v>
      </c>
      <c r="T111" s="51">
        <f t="shared" si="20"/>
        <v>63043.923611111109</v>
      </c>
      <c r="U111" s="51">
        <f t="shared" si="20"/>
        <v>63043.923611111109</v>
      </c>
      <c r="V111" s="51">
        <f t="shared" si="20"/>
        <v>63043.923611111109</v>
      </c>
      <c r="W111" s="51">
        <f t="shared" si="20"/>
        <v>63043.923611111109</v>
      </c>
      <c r="X111" s="51">
        <f t="shared" si="20"/>
        <v>63043.923611111109</v>
      </c>
      <c r="Y111" s="51">
        <f t="shared" si="20"/>
        <v>63043.923611111109</v>
      </c>
      <c r="Z111" s="51">
        <f t="shared" si="20"/>
        <v>0</v>
      </c>
      <c r="AA111" s="51">
        <f t="shared" si="20"/>
        <v>0</v>
      </c>
      <c r="AB111" s="51">
        <f t="shared" si="20"/>
        <v>0</v>
      </c>
      <c r="AC111" s="51">
        <f t="shared" si="20"/>
        <v>0</v>
      </c>
      <c r="AD111" s="51">
        <f t="shared" si="20"/>
        <v>0</v>
      </c>
      <c r="AE111" s="51">
        <f t="shared" si="20"/>
        <v>0</v>
      </c>
      <c r="AF111" s="24"/>
      <c r="AG111" s="52">
        <f>SUM(AG99:AG110)</f>
        <v>1134790.6249999998</v>
      </c>
      <c r="AH111" s="24">
        <f t="shared" si="19"/>
        <v>0</v>
      </c>
    </row>
    <row r="112" spans="1:34" hidden="1" outlineLevel="1" x14ac:dyDescent="0.2"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H112" s="24">
        <f t="shared" si="19"/>
        <v>0</v>
      </c>
    </row>
    <row r="113" spans="1:34" hidden="1" outlineLevel="1" x14ac:dyDescent="0.2">
      <c r="A113" s="81" t="s">
        <v>337</v>
      </c>
      <c r="B113" s="11">
        <f>'Proforma Land+Home'!$F120</f>
        <v>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2">
        <f>SUM(C113:AE113)</f>
        <v>0</v>
      </c>
      <c r="AH113" s="24">
        <f t="shared" si="19"/>
        <v>0</v>
      </c>
    </row>
    <row r="114" spans="1:34" hidden="1" outlineLevel="1" x14ac:dyDescent="0.2">
      <c r="A114" s="569" t="s">
        <v>47</v>
      </c>
      <c r="B114" s="11">
        <f>'Proforma Land+Home'!$E121</f>
        <v>0</v>
      </c>
      <c r="C114" s="43"/>
      <c r="D114" s="43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2">
        <f>SUM(C114:AE114)</f>
        <v>0</v>
      </c>
      <c r="AH114" s="24">
        <f t="shared" si="19"/>
        <v>0</v>
      </c>
    </row>
    <row r="115" spans="1:34" hidden="1" outlineLevel="1" x14ac:dyDescent="0.2">
      <c r="A115" s="569" t="s">
        <v>339</v>
      </c>
      <c r="B115" s="11">
        <f>'Proforma Land+Home'!$E122</f>
        <v>150000</v>
      </c>
      <c r="C115" s="88"/>
      <c r="D115" s="88"/>
      <c r="E115" s="11"/>
      <c r="F115" s="11"/>
      <c r="G115" s="11"/>
      <c r="H115" s="11">
        <f>'Proforma Land+Home'!$E$122/18</f>
        <v>8333.3333333333339</v>
      </c>
      <c r="I115" s="11">
        <f>'Proforma Land+Home'!$E$122/18</f>
        <v>8333.3333333333339</v>
      </c>
      <c r="J115" s="11">
        <f>'Proforma Land+Home'!$E$122/18</f>
        <v>8333.3333333333339</v>
      </c>
      <c r="K115" s="11">
        <f>'Proforma Land+Home'!$E$122/18</f>
        <v>8333.3333333333339</v>
      </c>
      <c r="L115" s="11">
        <f>'Proforma Land+Home'!$E$122/18</f>
        <v>8333.3333333333339</v>
      </c>
      <c r="M115" s="11">
        <f>'Proforma Land+Home'!$E$122/18</f>
        <v>8333.3333333333339</v>
      </c>
      <c r="N115" s="11">
        <f>'Proforma Land+Home'!$E$122/18</f>
        <v>8333.3333333333339</v>
      </c>
      <c r="O115" s="11">
        <f>'Proforma Land+Home'!$E$122/18</f>
        <v>8333.3333333333339</v>
      </c>
      <c r="P115" s="11">
        <f>'Proforma Land+Home'!$E$122/18</f>
        <v>8333.3333333333339</v>
      </c>
      <c r="Q115" s="11">
        <f>'Proforma Land+Home'!$E$122/18</f>
        <v>8333.3333333333339</v>
      </c>
      <c r="R115" s="11">
        <f>'Proforma Land+Home'!$E$122/18</f>
        <v>8333.3333333333339</v>
      </c>
      <c r="S115" s="11">
        <f>'Proforma Land+Home'!$E$122/18</f>
        <v>8333.3333333333339</v>
      </c>
      <c r="T115" s="11">
        <f>'Proforma Land+Home'!$E$122/18</f>
        <v>8333.3333333333339</v>
      </c>
      <c r="U115" s="11">
        <f>'Proforma Land+Home'!$E$122/18</f>
        <v>8333.3333333333339</v>
      </c>
      <c r="V115" s="11">
        <f>'Proforma Land+Home'!$E$122/18</f>
        <v>8333.3333333333339</v>
      </c>
      <c r="W115" s="11">
        <f>'Proforma Land+Home'!$E$122/18</f>
        <v>8333.3333333333339</v>
      </c>
      <c r="X115" s="11">
        <f>'Proforma Land+Home'!$E$122/18</f>
        <v>8333.3333333333339</v>
      </c>
      <c r="Y115" s="11">
        <f>'Proforma Land+Home'!$E$122/18</f>
        <v>8333.3333333333339</v>
      </c>
      <c r="Z115" s="11"/>
      <c r="AA115" s="11"/>
      <c r="AB115" s="11"/>
      <c r="AC115" s="11"/>
      <c r="AD115" s="11"/>
      <c r="AE115" s="11"/>
      <c r="AF115" s="11"/>
      <c r="AG115" s="12">
        <f>SUM(C115:AE115)</f>
        <v>150000</v>
      </c>
      <c r="AH115" s="24">
        <f t="shared" si="19"/>
        <v>0</v>
      </c>
    </row>
    <row r="116" spans="1:34" hidden="1" collapsed="1" x14ac:dyDescent="0.2">
      <c r="A116" s="568" t="s">
        <v>341</v>
      </c>
      <c r="B116" s="11">
        <f>SUM(C116:AE116)</f>
        <v>0</v>
      </c>
      <c r="C116" s="225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2">
        <f>SUM(C116:AE116)</f>
        <v>0</v>
      </c>
      <c r="AH116" s="24">
        <f t="shared" si="19"/>
        <v>0</v>
      </c>
    </row>
    <row r="117" spans="1:34" s="3" customFormat="1" x14ac:dyDescent="0.2">
      <c r="A117" s="49" t="s">
        <v>337</v>
      </c>
      <c r="B117" s="51">
        <f>SUM(B113:B116)</f>
        <v>150000</v>
      </c>
      <c r="C117" s="49"/>
      <c r="D117" s="51">
        <f t="shared" ref="D117:AE117" si="21">SUM(D113:D116)</f>
        <v>0</v>
      </c>
      <c r="E117" s="51">
        <f t="shared" si="21"/>
        <v>0</v>
      </c>
      <c r="F117" s="51">
        <f t="shared" si="21"/>
        <v>0</v>
      </c>
      <c r="G117" s="51">
        <f t="shared" si="21"/>
        <v>0</v>
      </c>
      <c r="H117" s="51">
        <f t="shared" si="21"/>
        <v>8333.3333333333339</v>
      </c>
      <c r="I117" s="51">
        <f t="shared" si="21"/>
        <v>8333.3333333333339</v>
      </c>
      <c r="J117" s="51">
        <f t="shared" si="21"/>
        <v>8333.3333333333339</v>
      </c>
      <c r="K117" s="51">
        <f t="shared" si="21"/>
        <v>8333.3333333333339</v>
      </c>
      <c r="L117" s="51">
        <f t="shared" si="21"/>
        <v>8333.3333333333339</v>
      </c>
      <c r="M117" s="51">
        <f t="shared" si="21"/>
        <v>8333.3333333333339</v>
      </c>
      <c r="N117" s="51">
        <f t="shared" si="21"/>
        <v>8333.3333333333339</v>
      </c>
      <c r="O117" s="51">
        <f t="shared" si="21"/>
        <v>8333.3333333333339</v>
      </c>
      <c r="P117" s="51">
        <f t="shared" si="21"/>
        <v>8333.3333333333339</v>
      </c>
      <c r="Q117" s="51">
        <f t="shared" si="21"/>
        <v>8333.3333333333339</v>
      </c>
      <c r="R117" s="51">
        <f t="shared" si="21"/>
        <v>8333.3333333333339</v>
      </c>
      <c r="S117" s="51">
        <f t="shared" si="21"/>
        <v>8333.3333333333339</v>
      </c>
      <c r="T117" s="51">
        <f t="shared" si="21"/>
        <v>8333.3333333333339</v>
      </c>
      <c r="U117" s="51">
        <f t="shared" si="21"/>
        <v>8333.3333333333339</v>
      </c>
      <c r="V117" s="51">
        <f t="shared" si="21"/>
        <v>8333.3333333333339</v>
      </c>
      <c r="W117" s="51">
        <f t="shared" si="21"/>
        <v>8333.3333333333339</v>
      </c>
      <c r="X117" s="51">
        <f t="shared" si="21"/>
        <v>8333.3333333333339</v>
      </c>
      <c r="Y117" s="51">
        <f t="shared" si="21"/>
        <v>8333.3333333333339</v>
      </c>
      <c r="Z117" s="51">
        <f t="shared" si="21"/>
        <v>0</v>
      </c>
      <c r="AA117" s="51">
        <f t="shared" si="21"/>
        <v>0</v>
      </c>
      <c r="AB117" s="51">
        <f t="shared" si="21"/>
        <v>0</v>
      </c>
      <c r="AC117" s="51">
        <f t="shared" si="21"/>
        <v>0</v>
      </c>
      <c r="AD117" s="51">
        <f t="shared" si="21"/>
        <v>0</v>
      </c>
      <c r="AE117" s="51">
        <f t="shared" si="21"/>
        <v>0</v>
      </c>
      <c r="AF117" s="24"/>
      <c r="AG117" s="52">
        <f>SUM(AG113:AG116)</f>
        <v>150000</v>
      </c>
      <c r="AH117" s="24">
        <f t="shared" si="19"/>
        <v>0</v>
      </c>
    </row>
    <row r="118" spans="1:34" hidden="1" outlineLevel="1" x14ac:dyDescent="0.2"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H118" s="24">
        <f t="shared" si="19"/>
        <v>0</v>
      </c>
    </row>
    <row r="119" spans="1:34" hidden="1" outlineLevel="1" x14ac:dyDescent="0.2">
      <c r="A119" s="81" t="s">
        <v>342</v>
      </c>
      <c r="B119" s="11">
        <f>'Proforma Land+Home'!$E126</f>
        <v>0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2">
        <f>SUM(C119:AE119)</f>
        <v>0</v>
      </c>
      <c r="AH119" s="24">
        <f t="shared" si="19"/>
        <v>0</v>
      </c>
    </row>
    <row r="120" spans="1:34" hidden="1" outlineLevel="1" x14ac:dyDescent="0.2">
      <c r="A120" s="569" t="s">
        <v>343</v>
      </c>
      <c r="B120" s="11">
        <f>'Proforma Land+Home'!$E127</f>
        <v>11538.461538461539</v>
      </c>
      <c r="C120" s="68"/>
      <c r="D120" s="68"/>
      <c r="E120" s="11"/>
      <c r="F120" s="11"/>
      <c r="G120" s="11"/>
      <c r="H120" s="11"/>
      <c r="I120" s="11"/>
      <c r="J120" s="11"/>
      <c r="K120" s="11"/>
      <c r="L120" s="11"/>
      <c r="M120" s="11"/>
      <c r="N120" s="11">
        <f>'Proforma Land+Home'!$E127/3</f>
        <v>3846.1538461538462</v>
      </c>
      <c r="O120" s="11"/>
      <c r="P120" s="11"/>
      <c r="Q120" s="11"/>
      <c r="R120" s="11"/>
      <c r="S120" s="11"/>
      <c r="T120" s="11">
        <f>'Proforma Land+Home'!$E127/3</f>
        <v>3846.1538461538462</v>
      </c>
      <c r="U120" s="11"/>
      <c r="V120" s="11"/>
      <c r="W120" s="11"/>
      <c r="X120" s="11"/>
      <c r="Y120" s="11"/>
      <c r="Z120" s="11">
        <f>'Proforma Land+Home'!$E127/3</f>
        <v>3846.1538461538462</v>
      </c>
      <c r="AA120" s="11"/>
      <c r="AB120" s="11"/>
      <c r="AC120" s="11"/>
      <c r="AD120" s="11"/>
      <c r="AE120" s="11"/>
      <c r="AF120" s="11"/>
      <c r="AG120" s="12">
        <f>SUM(C120:AE120)</f>
        <v>11538.461538461539</v>
      </c>
      <c r="AH120" s="24">
        <f t="shared" si="19"/>
        <v>0</v>
      </c>
    </row>
    <row r="121" spans="1:34" hidden="1" outlineLevel="1" x14ac:dyDescent="0.2">
      <c r="A121" s="568" t="s">
        <v>516</v>
      </c>
      <c r="B121" s="11">
        <f>'Proforma Land+Home'!$E128</f>
        <v>114023.53645833334</v>
      </c>
      <c r="C121" s="58"/>
      <c r="D121" s="570"/>
      <c r="E121" s="11"/>
      <c r="F121" s="11"/>
      <c r="G121" s="11"/>
      <c r="H121" s="11">
        <f>'Proforma Land+Home'!$E128/18</f>
        <v>6334.6409143518522</v>
      </c>
      <c r="I121" s="11">
        <f>'Proforma Land+Home'!$E128/18</f>
        <v>6334.6409143518522</v>
      </c>
      <c r="J121" s="11">
        <f>'Proforma Land+Home'!$E128/18</f>
        <v>6334.6409143518522</v>
      </c>
      <c r="K121" s="11">
        <f>'Proforma Land+Home'!$E128/18</f>
        <v>6334.6409143518522</v>
      </c>
      <c r="L121" s="11">
        <f>'Proforma Land+Home'!$E128/18</f>
        <v>6334.6409143518522</v>
      </c>
      <c r="M121" s="11">
        <f>'Proforma Land+Home'!$E128/18</f>
        <v>6334.6409143518522</v>
      </c>
      <c r="N121" s="11">
        <f>'Proforma Land+Home'!$E128/18</f>
        <v>6334.6409143518522</v>
      </c>
      <c r="O121" s="11">
        <f>'Proforma Land+Home'!$E128/18</f>
        <v>6334.6409143518522</v>
      </c>
      <c r="P121" s="11">
        <f>'Proforma Land+Home'!$E128/18</f>
        <v>6334.6409143518522</v>
      </c>
      <c r="Q121" s="11">
        <f>'Proforma Land+Home'!$E128/18</f>
        <v>6334.6409143518522</v>
      </c>
      <c r="R121" s="11">
        <f>'Proforma Land+Home'!$E128/18</f>
        <v>6334.6409143518522</v>
      </c>
      <c r="S121" s="11">
        <f>'Proforma Land+Home'!$E128/18</f>
        <v>6334.6409143518522</v>
      </c>
      <c r="T121" s="11">
        <f>'Proforma Land+Home'!$E128/18</f>
        <v>6334.6409143518522</v>
      </c>
      <c r="U121" s="11">
        <f>'Proforma Land+Home'!$E128/18</f>
        <v>6334.6409143518522</v>
      </c>
      <c r="V121" s="11">
        <f>'Proforma Land+Home'!$E128/18</f>
        <v>6334.6409143518522</v>
      </c>
      <c r="W121" s="11">
        <f>'Proforma Land+Home'!$E128/18</f>
        <v>6334.6409143518522</v>
      </c>
      <c r="X121" s="11">
        <f>'Proforma Land+Home'!$E128/18</f>
        <v>6334.6409143518522</v>
      </c>
      <c r="Y121" s="11">
        <f>'Proforma Land+Home'!$E128/18</f>
        <v>6334.6409143518522</v>
      </c>
      <c r="Z121" s="11"/>
      <c r="AA121" s="11"/>
      <c r="AB121" s="11"/>
      <c r="AC121" s="11"/>
      <c r="AD121" s="11"/>
      <c r="AE121" s="11"/>
      <c r="AF121" s="11"/>
      <c r="AG121" s="12">
        <f>SUM(C121:AE121)</f>
        <v>114023.53645833336</v>
      </c>
      <c r="AH121" s="24">
        <f t="shared" si="19"/>
        <v>0</v>
      </c>
    </row>
    <row r="122" spans="1:34" collapsed="1" x14ac:dyDescent="0.2">
      <c r="A122" s="49" t="s">
        <v>342</v>
      </c>
      <c r="B122" s="51">
        <f>SUM(B119:B121)</f>
        <v>125561.99799679487</v>
      </c>
      <c r="C122" s="167"/>
      <c r="D122" s="51">
        <f t="shared" ref="D122:AE122" si="22">SUM(D119:D121)</f>
        <v>0</v>
      </c>
      <c r="E122" s="51">
        <f t="shared" si="22"/>
        <v>0</v>
      </c>
      <c r="F122" s="51">
        <f t="shared" si="22"/>
        <v>0</v>
      </c>
      <c r="G122" s="51">
        <f t="shared" si="22"/>
        <v>0</v>
      </c>
      <c r="H122" s="51">
        <f t="shared" si="22"/>
        <v>6334.6409143518522</v>
      </c>
      <c r="I122" s="51">
        <f t="shared" si="22"/>
        <v>6334.6409143518522</v>
      </c>
      <c r="J122" s="51">
        <f t="shared" si="22"/>
        <v>6334.6409143518522</v>
      </c>
      <c r="K122" s="51">
        <f t="shared" si="22"/>
        <v>6334.6409143518522</v>
      </c>
      <c r="L122" s="51">
        <f t="shared" si="22"/>
        <v>6334.6409143518522</v>
      </c>
      <c r="M122" s="51">
        <f t="shared" si="22"/>
        <v>6334.6409143518522</v>
      </c>
      <c r="N122" s="51">
        <f t="shared" si="22"/>
        <v>10180.794760505698</v>
      </c>
      <c r="O122" s="51">
        <f t="shared" si="22"/>
        <v>6334.6409143518522</v>
      </c>
      <c r="P122" s="51">
        <f t="shared" si="22"/>
        <v>6334.6409143518522</v>
      </c>
      <c r="Q122" s="51">
        <f t="shared" si="22"/>
        <v>6334.6409143518522</v>
      </c>
      <c r="R122" s="51">
        <f t="shared" si="22"/>
        <v>6334.6409143518522</v>
      </c>
      <c r="S122" s="51">
        <f t="shared" si="22"/>
        <v>6334.6409143518522</v>
      </c>
      <c r="T122" s="51">
        <f t="shared" si="22"/>
        <v>10180.794760505698</v>
      </c>
      <c r="U122" s="51">
        <f t="shared" si="22"/>
        <v>6334.6409143518522</v>
      </c>
      <c r="V122" s="51">
        <f t="shared" si="22"/>
        <v>6334.6409143518522</v>
      </c>
      <c r="W122" s="51">
        <f t="shared" si="22"/>
        <v>6334.6409143518522</v>
      </c>
      <c r="X122" s="51">
        <f t="shared" si="22"/>
        <v>6334.6409143518522</v>
      </c>
      <c r="Y122" s="51">
        <f t="shared" si="22"/>
        <v>6334.6409143518522</v>
      </c>
      <c r="Z122" s="51">
        <f t="shared" si="22"/>
        <v>3846.1538461538462</v>
      </c>
      <c r="AA122" s="51">
        <f t="shared" si="22"/>
        <v>0</v>
      </c>
      <c r="AB122" s="51">
        <f t="shared" si="22"/>
        <v>0</v>
      </c>
      <c r="AC122" s="51">
        <f t="shared" si="22"/>
        <v>0</v>
      </c>
      <c r="AD122" s="51">
        <f t="shared" si="22"/>
        <v>0</v>
      </c>
      <c r="AE122" s="51">
        <f t="shared" si="22"/>
        <v>0</v>
      </c>
      <c r="AF122" s="24"/>
      <c r="AG122" s="52">
        <f>SUM(AG119:AG121)</f>
        <v>125561.9979967949</v>
      </c>
      <c r="AH122" s="24">
        <f t="shared" si="19"/>
        <v>0</v>
      </c>
    </row>
    <row r="123" spans="1:34" hidden="1" outlineLevel="1" x14ac:dyDescent="0.2"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H123" s="24">
        <f t="shared" si="19"/>
        <v>0</v>
      </c>
    </row>
    <row r="124" spans="1:34" hidden="1" outlineLevel="1" x14ac:dyDescent="0.2">
      <c r="A124" s="81" t="s">
        <v>347</v>
      </c>
      <c r="B124" s="11">
        <f>'Proforma Land+Home'!$E131</f>
        <v>0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2">
        <f>SUM(C124:AE124)</f>
        <v>0</v>
      </c>
      <c r="AH124" s="24">
        <f t="shared" si="19"/>
        <v>0</v>
      </c>
    </row>
    <row r="125" spans="1:34" hidden="1" outlineLevel="1" x14ac:dyDescent="0.2">
      <c r="A125" s="569" t="s">
        <v>349</v>
      </c>
      <c r="B125" s="11">
        <f>'Proforma Land+Home'!$E132</f>
        <v>15850</v>
      </c>
      <c r="C125" s="68"/>
      <c r="D125" s="68"/>
      <c r="E125" s="11"/>
      <c r="F125" s="11"/>
      <c r="G125" s="11"/>
      <c r="H125" s="11">
        <f>'Proforma Land+Home'!$E132</f>
        <v>15850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2">
        <f>SUM(C125:AE125)</f>
        <v>15850</v>
      </c>
      <c r="AH125" s="24">
        <f t="shared" si="19"/>
        <v>0</v>
      </c>
    </row>
    <row r="126" spans="1:34" hidden="1" outlineLevel="1" x14ac:dyDescent="0.2">
      <c r="A126" s="569" t="s">
        <v>350</v>
      </c>
      <c r="B126" s="11">
        <f>'Proforma Land+Home'!$E133</f>
        <v>224895.83333333331</v>
      </c>
      <c r="C126" s="68"/>
      <c r="D126" s="68"/>
      <c r="E126" s="11"/>
      <c r="F126" s="11"/>
      <c r="G126" s="11"/>
      <c r="H126" s="11">
        <f>'Proforma Land+Home'!$E133</f>
        <v>224895.83333333331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2">
        <f>SUM(C126:AE126)</f>
        <v>224895.83333333331</v>
      </c>
      <c r="AH126" s="24">
        <f t="shared" si="19"/>
        <v>0</v>
      </c>
    </row>
    <row r="127" spans="1:34" hidden="1" outlineLevel="1" x14ac:dyDescent="0.2">
      <c r="A127" s="568" t="s">
        <v>351</v>
      </c>
      <c r="B127" s="11">
        <f>'Proforma Land+Home'!$E134</f>
        <v>25000</v>
      </c>
      <c r="C127" s="27"/>
      <c r="D127" s="46"/>
      <c r="E127" s="11"/>
      <c r="F127" s="11"/>
      <c r="G127" s="11"/>
      <c r="H127" s="11">
        <f>'Proforma Land+Home'!$E134</f>
        <v>25000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2">
        <f>SUM(C127:AE127)</f>
        <v>25000</v>
      </c>
      <c r="AH127" s="24">
        <f t="shared" si="19"/>
        <v>0</v>
      </c>
    </row>
    <row r="128" spans="1:34" collapsed="1" x14ac:dyDescent="0.2">
      <c r="A128" s="49" t="s">
        <v>347</v>
      </c>
      <c r="B128" s="51">
        <f>SUM(B124:B127)</f>
        <v>265745.83333333331</v>
      </c>
      <c r="C128" s="57"/>
      <c r="D128" s="51">
        <f t="shared" ref="D128:AE128" si="23">SUM(D124:D127)</f>
        <v>0</v>
      </c>
      <c r="E128" s="51">
        <f t="shared" si="23"/>
        <v>0</v>
      </c>
      <c r="F128" s="51">
        <f t="shared" si="23"/>
        <v>0</v>
      </c>
      <c r="G128" s="51">
        <f t="shared" si="23"/>
        <v>0</v>
      </c>
      <c r="H128" s="51">
        <f t="shared" si="23"/>
        <v>265745.83333333331</v>
      </c>
      <c r="I128" s="51">
        <f t="shared" si="23"/>
        <v>0</v>
      </c>
      <c r="J128" s="51">
        <f t="shared" si="23"/>
        <v>0</v>
      </c>
      <c r="K128" s="51">
        <f t="shared" si="23"/>
        <v>0</v>
      </c>
      <c r="L128" s="51">
        <f t="shared" si="23"/>
        <v>0</v>
      </c>
      <c r="M128" s="51">
        <f t="shared" si="23"/>
        <v>0</v>
      </c>
      <c r="N128" s="51">
        <f t="shared" si="23"/>
        <v>0</v>
      </c>
      <c r="O128" s="51">
        <f t="shared" si="23"/>
        <v>0</v>
      </c>
      <c r="P128" s="51">
        <f t="shared" si="23"/>
        <v>0</v>
      </c>
      <c r="Q128" s="51">
        <f t="shared" si="23"/>
        <v>0</v>
      </c>
      <c r="R128" s="51">
        <f t="shared" si="23"/>
        <v>0</v>
      </c>
      <c r="S128" s="51">
        <f t="shared" si="23"/>
        <v>0</v>
      </c>
      <c r="T128" s="51">
        <f t="shared" si="23"/>
        <v>0</v>
      </c>
      <c r="U128" s="51">
        <f t="shared" si="23"/>
        <v>0</v>
      </c>
      <c r="V128" s="51">
        <f t="shared" si="23"/>
        <v>0</v>
      </c>
      <c r="W128" s="51">
        <f t="shared" si="23"/>
        <v>0</v>
      </c>
      <c r="X128" s="51">
        <f t="shared" si="23"/>
        <v>0</v>
      </c>
      <c r="Y128" s="51">
        <f t="shared" si="23"/>
        <v>0</v>
      </c>
      <c r="Z128" s="51">
        <f t="shared" si="23"/>
        <v>0</v>
      </c>
      <c r="AA128" s="51">
        <f t="shared" si="23"/>
        <v>0</v>
      </c>
      <c r="AB128" s="51">
        <f t="shared" si="23"/>
        <v>0</v>
      </c>
      <c r="AC128" s="51">
        <f t="shared" si="23"/>
        <v>0</v>
      </c>
      <c r="AD128" s="51">
        <f t="shared" si="23"/>
        <v>0</v>
      </c>
      <c r="AE128" s="51">
        <f t="shared" si="23"/>
        <v>0</v>
      </c>
      <c r="AF128" s="24"/>
      <c r="AG128" s="52">
        <f>SUM(AG124:AG127)</f>
        <v>265745.83333333331</v>
      </c>
      <c r="AH128" s="24">
        <f t="shared" si="19"/>
        <v>0</v>
      </c>
    </row>
    <row r="129" spans="1:34" hidden="1" outlineLevel="1" x14ac:dyDescent="0.2"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H129" s="24">
        <f t="shared" si="19"/>
        <v>0</v>
      </c>
    </row>
    <row r="130" spans="1:34" hidden="1" outlineLevel="1" x14ac:dyDescent="0.2">
      <c r="A130" s="81" t="s">
        <v>354</v>
      </c>
      <c r="B130" s="11">
        <f>'Proforma Land+Home'!$F137</f>
        <v>0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2">
        <f>SUM(C130:AE130)</f>
        <v>0</v>
      </c>
      <c r="AH130" s="24">
        <f t="shared" si="19"/>
        <v>0</v>
      </c>
    </row>
    <row r="131" spans="1:34" hidden="1" outlineLevel="1" x14ac:dyDescent="0.2">
      <c r="A131" s="569" t="s">
        <v>517</v>
      </c>
      <c r="B131" s="11">
        <f>'Proforma Land+Home'!$E138</f>
        <v>500000</v>
      </c>
      <c r="C131" s="79"/>
      <c r="D131" s="79"/>
      <c r="E131" s="11"/>
      <c r="F131" s="11"/>
      <c r="G131" s="11"/>
      <c r="H131" s="11">
        <f>'Proforma Land+Home'!$E138/12</f>
        <v>41666.666666666664</v>
      </c>
      <c r="I131" s="11">
        <f>'Proforma Land+Home'!$E138/12</f>
        <v>41666.666666666664</v>
      </c>
      <c r="J131" s="11">
        <f>'Proforma Land+Home'!$E138/12</f>
        <v>41666.666666666664</v>
      </c>
      <c r="K131" s="11">
        <f>'Proforma Land+Home'!$E138/12</f>
        <v>41666.666666666664</v>
      </c>
      <c r="L131" s="11">
        <f>'Proforma Land+Home'!$E138/12</f>
        <v>41666.666666666664</v>
      </c>
      <c r="M131" s="11">
        <f>'Proforma Land+Home'!$E138/12</f>
        <v>41666.666666666664</v>
      </c>
      <c r="N131" s="11">
        <f>'Proforma Land+Home'!$E138/12</f>
        <v>41666.666666666664</v>
      </c>
      <c r="O131" s="11">
        <f>'Proforma Land+Home'!$E138/12</f>
        <v>41666.666666666664</v>
      </c>
      <c r="P131" s="11">
        <f>'Proforma Land+Home'!$E138/12</f>
        <v>41666.666666666664</v>
      </c>
      <c r="Q131" s="11">
        <f>'Proforma Land+Home'!$E138/12</f>
        <v>41666.666666666664</v>
      </c>
      <c r="R131" s="11">
        <f>'Proforma Land+Home'!$E138/12</f>
        <v>41666.666666666664</v>
      </c>
      <c r="S131" s="11">
        <f>'Proforma Land+Home'!$E138/12</f>
        <v>41666.666666666664</v>
      </c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2">
        <f>SUM(C131:AE131)</f>
        <v>500000.00000000006</v>
      </c>
      <c r="AH131" s="24">
        <f t="shared" si="19"/>
        <v>0</v>
      </c>
    </row>
    <row r="132" spans="1:34" hidden="1" outlineLevel="1" x14ac:dyDescent="0.2">
      <c r="A132" s="569" t="s">
        <v>356</v>
      </c>
      <c r="B132" s="11">
        <f>'Proforma Land+Home'!$E139</f>
        <v>0</v>
      </c>
      <c r="C132" s="53"/>
      <c r="D132" s="53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2">
        <f>SUM(C132:AE132)</f>
        <v>0</v>
      </c>
      <c r="AH132" s="24">
        <f t="shared" si="19"/>
        <v>0</v>
      </c>
    </row>
    <row r="133" spans="1:34" hidden="1" outlineLevel="1" x14ac:dyDescent="0.2">
      <c r="A133" s="569" t="s">
        <v>357</v>
      </c>
      <c r="B133" s="11">
        <f>'Proforma Land+Home'!$E140</f>
        <v>0</v>
      </c>
      <c r="C133" s="98"/>
      <c r="D133" s="98"/>
      <c r="E133" s="11"/>
      <c r="F133" s="11"/>
      <c r="G133" s="11"/>
      <c r="H133" s="11">
        <f>'Proforma Land+Home'!$E140/12</f>
        <v>0</v>
      </c>
      <c r="I133" s="11">
        <f>'Proforma Land+Home'!$E140/12</f>
        <v>0</v>
      </c>
      <c r="J133" s="11">
        <f>'Proforma Land+Home'!$E140/12</f>
        <v>0</v>
      </c>
      <c r="K133" s="11">
        <f>'Proforma Land+Home'!$E140/12</f>
        <v>0</v>
      </c>
      <c r="L133" s="11">
        <f>'Proforma Land+Home'!$E140/12</f>
        <v>0</v>
      </c>
      <c r="M133" s="11">
        <f>'Proforma Land+Home'!$E140/12</f>
        <v>0</v>
      </c>
      <c r="N133" s="11">
        <f>'Proforma Land+Home'!$E140/12</f>
        <v>0</v>
      </c>
      <c r="O133" s="11">
        <f>'Proforma Land+Home'!$E140/12</f>
        <v>0</v>
      </c>
      <c r="P133" s="11">
        <f>'Proforma Land+Home'!$E140/12</f>
        <v>0</v>
      </c>
      <c r="Q133" s="11">
        <f>'Proforma Land+Home'!$E140/12</f>
        <v>0</v>
      </c>
      <c r="R133" s="11">
        <f>'Proforma Land+Home'!$E140/12</f>
        <v>0</v>
      </c>
      <c r="S133" s="11">
        <f>'Proforma Land+Home'!$E140/12</f>
        <v>0</v>
      </c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2">
        <f>SUM(C133:AE133)</f>
        <v>0</v>
      </c>
      <c r="AH133" s="24">
        <f t="shared" si="19"/>
        <v>0</v>
      </c>
    </row>
    <row r="134" spans="1:34" s="3" customFormat="1" collapsed="1" x14ac:dyDescent="0.2">
      <c r="A134" s="49" t="s">
        <v>359</v>
      </c>
      <c r="B134" s="51">
        <f>SUM(B130:B133)</f>
        <v>500000</v>
      </c>
      <c r="C134" s="50"/>
      <c r="D134" s="51">
        <f t="shared" ref="D134:AE134" si="24">SUM(D130:D133)</f>
        <v>0</v>
      </c>
      <c r="E134" s="51">
        <f t="shared" si="24"/>
        <v>0</v>
      </c>
      <c r="F134" s="51">
        <f t="shared" si="24"/>
        <v>0</v>
      </c>
      <c r="G134" s="51">
        <f t="shared" si="24"/>
        <v>0</v>
      </c>
      <c r="H134" s="51">
        <f t="shared" si="24"/>
        <v>41666.666666666664</v>
      </c>
      <c r="I134" s="51">
        <f t="shared" si="24"/>
        <v>41666.666666666664</v>
      </c>
      <c r="J134" s="51">
        <f t="shared" si="24"/>
        <v>41666.666666666664</v>
      </c>
      <c r="K134" s="51">
        <f t="shared" si="24"/>
        <v>41666.666666666664</v>
      </c>
      <c r="L134" s="51">
        <f t="shared" si="24"/>
        <v>41666.666666666664</v>
      </c>
      <c r="M134" s="51">
        <f t="shared" si="24"/>
        <v>41666.666666666664</v>
      </c>
      <c r="N134" s="51">
        <f t="shared" si="24"/>
        <v>41666.666666666664</v>
      </c>
      <c r="O134" s="51">
        <f t="shared" si="24"/>
        <v>41666.666666666664</v>
      </c>
      <c r="P134" s="51">
        <f t="shared" si="24"/>
        <v>41666.666666666664</v>
      </c>
      <c r="Q134" s="51">
        <f t="shared" si="24"/>
        <v>41666.666666666664</v>
      </c>
      <c r="R134" s="51">
        <f t="shared" si="24"/>
        <v>41666.666666666664</v>
      </c>
      <c r="S134" s="51">
        <f t="shared" si="24"/>
        <v>41666.666666666664</v>
      </c>
      <c r="T134" s="51">
        <f t="shared" si="24"/>
        <v>0</v>
      </c>
      <c r="U134" s="51">
        <f t="shared" si="24"/>
        <v>0</v>
      </c>
      <c r="V134" s="51">
        <f t="shared" si="24"/>
        <v>0</v>
      </c>
      <c r="W134" s="51">
        <f t="shared" si="24"/>
        <v>0</v>
      </c>
      <c r="X134" s="51">
        <f t="shared" si="24"/>
        <v>0</v>
      </c>
      <c r="Y134" s="51">
        <f t="shared" si="24"/>
        <v>0</v>
      </c>
      <c r="Z134" s="51">
        <f t="shared" si="24"/>
        <v>0</v>
      </c>
      <c r="AA134" s="51">
        <f t="shared" si="24"/>
        <v>0</v>
      </c>
      <c r="AB134" s="51">
        <f t="shared" si="24"/>
        <v>0</v>
      </c>
      <c r="AC134" s="51">
        <f t="shared" si="24"/>
        <v>0</v>
      </c>
      <c r="AD134" s="51">
        <f t="shared" si="24"/>
        <v>0</v>
      </c>
      <c r="AE134" s="51">
        <f t="shared" si="24"/>
        <v>0</v>
      </c>
      <c r="AF134" s="24"/>
      <c r="AG134" s="52">
        <f>SUM(AG130:AG133)</f>
        <v>500000.00000000006</v>
      </c>
      <c r="AH134" s="24">
        <f t="shared" si="19"/>
        <v>0</v>
      </c>
    </row>
    <row r="135" spans="1:34" hidden="1" outlineLevel="1" x14ac:dyDescent="0.2">
      <c r="A135" s="3"/>
      <c r="B135" s="31"/>
      <c r="C135" s="31"/>
      <c r="D135" s="3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23"/>
      <c r="AH135" s="24">
        <f t="shared" si="19"/>
        <v>0</v>
      </c>
    </row>
    <row r="136" spans="1:34" hidden="1" outlineLevel="1" x14ac:dyDescent="0.2">
      <c r="A136" s="81" t="s">
        <v>362</v>
      </c>
      <c r="B136" s="11">
        <f>SUM(C136:AE136)</f>
        <v>0</v>
      </c>
      <c r="C136" s="31"/>
      <c r="D136" s="3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2">
        <f>SUM(C136:AE136)</f>
        <v>0</v>
      </c>
      <c r="AH136" s="24">
        <f t="shared" si="19"/>
        <v>0</v>
      </c>
    </row>
    <row r="137" spans="1:34" hidden="1" outlineLevel="1" x14ac:dyDescent="0.2">
      <c r="A137" s="626" t="s">
        <v>642</v>
      </c>
      <c r="B137" s="11" t="e">
        <f>'Proforma Land+Home'!#REF!</f>
        <v>#REF!</v>
      </c>
      <c r="C137" s="31"/>
      <c r="D137" s="31"/>
      <c r="E137" s="11"/>
      <c r="F137" s="11"/>
      <c r="G137" s="11" t="e">
        <f>G20</f>
        <v>#REF!</v>
      </c>
      <c r="H137" s="11" t="e">
        <f t="shared" ref="H137:AE137" si="25">G137+H20-H140</f>
        <v>#REF!</v>
      </c>
      <c r="I137" s="11" t="e">
        <f t="shared" si="25"/>
        <v>#REF!</v>
      </c>
      <c r="J137" s="11" t="e">
        <f t="shared" si="25"/>
        <v>#REF!</v>
      </c>
      <c r="K137" s="11" t="e">
        <f t="shared" si="25"/>
        <v>#REF!</v>
      </c>
      <c r="L137" s="11" t="e">
        <f t="shared" si="25"/>
        <v>#REF!</v>
      </c>
      <c r="M137" s="11" t="e">
        <f t="shared" si="25"/>
        <v>#REF!</v>
      </c>
      <c r="N137" s="11" t="e">
        <f t="shared" si="25"/>
        <v>#REF!</v>
      </c>
      <c r="O137" s="11" t="e">
        <f t="shared" si="25"/>
        <v>#REF!</v>
      </c>
      <c r="P137" s="11" t="e">
        <f t="shared" si="25"/>
        <v>#REF!</v>
      </c>
      <c r="Q137" s="11" t="e">
        <f t="shared" si="25"/>
        <v>#REF!</v>
      </c>
      <c r="R137" s="11" t="e">
        <f t="shared" si="25"/>
        <v>#REF!</v>
      </c>
      <c r="S137" s="11" t="e">
        <f t="shared" si="25"/>
        <v>#REF!</v>
      </c>
      <c r="T137" s="11" t="e">
        <f t="shared" si="25"/>
        <v>#REF!</v>
      </c>
      <c r="U137" s="11" t="e">
        <f t="shared" si="25"/>
        <v>#REF!</v>
      </c>
      <c r="V137" s="11" t="e">
        <f t="shared" si="25"/>
        <v>#REF!</v>
      </c>
      <c r="W137" s="11" t="e">
        <f t="shared" si="25"/>
        <v>#REF!</v>
      </c>
      <c r="X137" s="11" t="e">
        <f t="shared" si="25"/>
        <v>#REF!</v>
      </c>
      <c r="Y137" s="11" t="e">
        <f t="shared" si="25"/>
        <v>#REF!</v>
      </c>
      <c r="Z137" s="11" t="e">
        <f t="shared" si="25"/>
        <v>#REF!</v>
      </c>
      <c r="AA137" s="11" t="e">
        <f t="shared" si="25"/>
        <v>#REF!</v>
      </c>
      <c r="AB137" s="11" t="e">
        <f t="shared" si="25"/>
        <v>#REF!</v>
      </c>
      <c r="AC137" s="11" t="e">
        <f t="shared" si="25"/>
        <v>#REF!</v>
      </c>
      <c r="AD137" s="11" t="e">
        <f t="shared" si="25"/>
        <v>#REF!</v>
      </c>
      <c r="AE137" s="11" t="e">
        <f t="shared" si="25"/>
        <v>#REF!</v>
      </c>
      <c r="AF137" s="11"/>
      <c r="AG137" s="12"/>
      <c r="AH137" s="24"/>
    </row>
    <row r="138" spans="1:34" hidden="1" outlineLevel="1" x14ac:dyDescent="0.2">
      <c r="A138" s="569" t="s">
        <v>643</v>
      </c>
      <c r="B138" s="11" t="e">
        <f>'Proforma Land+Home'!#REF!</f>
        <v>#REF!</v>
      </c>
      <c r="C138" s="31"/>
      <c r="D138" s="3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 t="e">
        <f>'Proforma Land+Home'!#REF!</f>
        <v>#REF!</v>
      </c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2" t="e">
        <f>SUM(C138:AE138)</f>
        <v>#REF!</v>
      </c>
      <c r="AH138" s="24" t="e">
        <f>B138-AG138</f>
        <v>#REF!</v>
      </c>
    </row>
    <row r="139" spans="1:34" hidden="1" outlineLevel="1" x14ac:dyDescent="0.2">
      <c r="A139" s="569" t="s">
        <v>644</v>
      </c>
      <c r="B139" s="11" t="e">
        <f>'Proforma Land+Home'!#REF!</f>
        <v>#REF!</v>
      </c>
      <c r="C139" s="31"/>
      <c r="D139" s="3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2">
        <f>SUM(C139:AE139)</f>
        <v>0</v>
      </c>
      <c r="AH139" s="24" t="e">
        <f>B139-AG139</f>
        <v>#REF!</v>
      </c>
    </row>
    <row r="140" spans="1:34" hidden="1" outlineLevel="1" x14ac:dyDescent="0.2">
      <c r="A140" s="569" t="s">
        <v>645</v>
      </c>
      <c r="B140" s="11" t="e">
        <f>'Proforma Land+Home'!#REF!</f>
        <v>#REF!</v>
      </c>
      <c r="C140" s="31"/>
      <c r="D140" s="3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 t="e">
        <f>'Proforma Land+Home'!#REF!</f>
        <v>#REF!</v>
      </c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2" t="e">
        <f>SUM(C140:AE140)</f>
        <v>#REF!</v>
      </c>
      <c r="AH140" s="24" t="e">
        <f>B140-AG140</f>
        <v>#REF!</v>
      </c>
    </row>
    <row r="141" spans="1:34" hidden="1" outlineLevel="1" x14ac:dyDescent="0.2">
      <c r="A141" s="81"/>
      <c r="B141" s="11"/>
      <c r="C141" s="31"/>
      <c r="D141" s="3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2">
        <f>SUM(C141:AE141)</f>
        <v>0</v>
      </c>
      <c r="AH141" s="24">
        <f>B141-AG141</f>
        <v>0</v>
      </c>
    </row>
    <row r="142" spans="1:34" hidden="1" outlineLevel="1" x14ac:dyDescent="0.2">
      <c r="A142" s="626" t="s">
        <v>646</v>
      </c>
      <c r="B142" s="11">
        <f>'Proforma Land+Home'!$E147</f>
        <v>28150999.133413464</v>
      </c>
      <c r="C142" s="31"/>
      <c r="D142" s="31"/>
      <c r="E142" s="11"/>
      <c r="F142" s="11"/>
      <c r="G142" s="11">
        <f>G21</f>
        <v>12104929.627367789</v>
      </c>
      <c r="H142" s="11">
        <f t="shared" ref="H142:AE142" si="26">G142+H21-H149</f>
        <v>12104929.627367789</v>
      </c>
      <c r="I142" s="11">
        <f t="shared" si="26"/>
        <v>12104929.627367789</v>
      </c>
      <c r="J142" s="11">
        <f t="shared" si="26"/>
        <v>17453619.462716348</v>
      </c>
      <c r="K142" s="11">
        <f t="shared" si="26"/>
        <v>17453619.462716348</v>
      </c>
      <c r="L142" s="11">
        <f t="shared" si="26"/>
        <v>17453619.462716348</v>
      </c>
      <c r="M142" s="11">
        <f t="shared" si="26"/>
        <v>22802309.298064906</v>
      </c>
      <c r="N142" s="11">
        <f t="shared" si="26"/>
        <v>22802309.298064906</v>
      </c>
      <c r="O142" s="11">
        <f t="shared" si="26"/>
        <v>22802309.298064906</v>
      </c>
      <c r="P142" s="11">
        <f t="shared" si="26"/>
        <v>28150999.133413464</v>
      </c>
      <c r="Q142" s="11">
        <f t="shared" si="26"/>
        <v>28150999.133413464</v>
      </c>
      <c r="R142" s="11">
        <f t="shared" si="26"/>
        <v>28150999.133413464</v>
      </c>
      <c r="S142" s="11">
        <f t="shared" si="26"/>
        <v>38779480.480779253</v>
      </c>
      <c r="T142" s="11">
        <f t="shared" si="26"/>
        <v>38779480.480779253</v>
      </c>
      <c r="U142" s="11">
        <f t="shared" si="26"/>
        <v>38779480.480779253</v>
      </c>
      <c r="V142" s="11">
        <f t="shared" si="26"/>
        <v>38779480.480779253</v>
      </c>
      <c r="W142" s="11">
        <f t="shared" si="26"/>
        <v>38779480.480779253</v>
      </c>
      <c r="X142" s="11">
        <f t="shared" si="26"/>
        <v>38779480.480779253</v>
      </c>
      <c r="Y142" s="11">
        <f t="shared" si="26"/>
        <v>38779480.480779253</v>
      </c>
      <c r="Z142" s="11">
        <f t="shared" si="26"/>
        <v>38779480.480779253</v>
      </c>
      <c r="AA142" s="11">
        <f t="shared" si="26"/>
        <v>38779480.480779253</v>
      </c>
      <c r="AB142" s="11">
        <f t="shared" si="26"/>
        <v>38779480.480779253</v>
      </c>
      <c r="AC142" s="11">
        <f t="shared" si="26"/>
        <v>38779480.480779253</v>
      </c>
      <c r="AD142" s="11">
        <f t="shared" si="26"/>
        <v>38779480.480779253</v>
      </c>
      <c r="AE142" s="11">
        <f t="shared" si="26"/>
        <v>38779480.480779253</v>
      </c>
      <c r="AF142" s="11"/>
      <c r="AG142" s="12"/>
      <c r="AH142" s="24"/>
    </row>
    <row r="143" spans="1:34" hidden="1" outlineLevel="1" x14ac:dyDescent="0.2">
      <c r="A143" s="569" t="s">
        <v>364</v>
      </c>
      <c r="B143" s="11">
        <f>'Proforma Land+Home'!$E148+'Proforma Land+Home'!F148</f>
        <v>8747683.6835430078</v>
      </c>
      <c r="C143" s="14"/>
      <c r="D143" s="14"/>
      <c r="E143" s="11"/>
      <c r="F143" s="11"/>
      <c r="G143" s="11"/>
      <c r="H143" s="11">
        <f t="shared" ref="H143:AE143" si="27">$B143/24</f>
        <v>364486.82014762535</v>
      </c>
      <c r="I143" s="11">
        <f t="shared" si="27"/>
        <v>364486.82014762535</v>
      </c>
      <c r="J143" s="11">
        <f t="shared" si="27"/>
        <v>364486.82014762535</v>
      </c>
      <c r="K143" s="11">
        <f t="shared" si="27"/>
        <v>364486.82014762535</v>
      </c>
      <c r="L143" s="11">
        <f t="shared" si="27"/>
        <v>364486.82014762535</v>
      </c>
      <c r="M143" s="11">
        <f t="shared" si="27"/>
        <v>364486.82014762535</v>
      </c>
      <c r="N143" s="11">
        <f t="shared" si="27"/>
        <v>364486.82014762535</v>
      </c>
      <c r="O143" s="11">
        <f t="shared" si="27"/>
        <v>364486.82014762535</v>
      </c>
      <c r="P143" s="11">
        <f t="shared" si="27"/>
        <v>364486.82014762535</v>
      </c>
      <c r="Q143" s="11">
        <f t="shared" si="27"/>
        <v>364486.82014762535</v>
      </c>
      <c r="R143" s="11">
        <f t="shared" si="27"/>
        <v>364486.82014762535</v>
      </c>
      <c r="S143" s="11">
        <f t="shared" si="27"/>
        <v>364486.82014762535</v>
      </c>
      <c r="T143" s="11">
        <f t="shared" si="27"/>
        <v>364486.82014762535</v>
      </c>
      <c r="U143" s="11">
        <f t="shared" si="27"/>
        <v>364486.82014762535</v>
      </c>
      <c r="V143" s="11">
        <f t="shared" si="27"/>
        <v>364486.82014762535</v>
      </c>
      <c r="W143" s="11">
        <f t="shared" si="27"/>
        <v>364486.82014762535</v>
      </c>
      <c r="X143" s="11">
        <f t="shared" si="27"/>
        <v>364486.82014762535</v>
      </c>
      <c r="Y143" s="11">
        <f t="shared" si="27"/>
        <v>364486.82014762535</v>
      </c>
      <c r="Z143" s="11">
        <f t="shared" si="27"/>
        <v>364486.82014762535</v>
      </c>
      <c r="AA143" s="11">
        <f t="shared" si="27"/>
        <v>364486.82014762535</v>
      </c>
      <c r="AB143" s="11">
        <f t="shared" si="27"/>
        <v>364486.82014762535</v>
      </c>
      <c r="AC143" s="11">
        <f t="shared" si="27"/>
        <v>364486.82014762535</v>
      </c>
      <c r="AD143" s="11">
        <f t="shared" si="27"/>
        <v>364486.82014762535</v>
      </c>
      <c r="AE143" s="11">
        <f t="shared" si="27"/>
        <v>364486.82014762535</v>
      </c>
      <c r="AF143" s="11"/>
      <c r="AG143" s="12">
        <f t="shared" ref="AG143:AG149" si="28">SUM(C143:AE143)</f>
        <v>8747683.683543006</v>
      </c>
      <c r="AH143" s="24">
        <f t="shared" ref="AH143:AH152" si="29">B143-AG143</f>
        <v>0</v>
      </c>
    </row>
    <row r="144" spans="1:34" hidden="1" outlineLevel="1" x14ac:dyDescent="0.2">
      <c r="A144" s="569" t="s">
        <v>647</v>
      </c>
      <c r="B144" s="11" t="e">
        <f>'Proforma Land+Home'!#REF!</f>
        <v>#REF!</v>
      </c>
      <c r="C144" s="14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2">
        <f t="shared" si="28"/>
        <v>0</v>
      </c>
      <c r="AH144" s="24" t="e">
        <f t="shared" si="29"/>
        <v>#REF!</v>
      </c>
    </row>
    <row r="145" spans="1:34" hidden="1" outlineLevel="1" x14ac:dyDescent="0.2">
      <c r="A145" s="569" t="s">
        <v>648</v>
      </c>
      <c r="B145" s="11">
        <f>'Proforma Land+Home'!$E149</f>
        <v>2588764.5193227339</v>
      </c>
      <c r="C145" s="14"/>
      <c r="D145" s="14"/>
      <c r="E145" s="11"/>
      <c r="F145" s="11"/>
      <c r="G145" s="11"/>
      <c r="H145" s="11">
        <f>'Proforma Land+Home'!E149</f>
        <v>2588764.5193227339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2">
        <f t="shared" si="28"/>
        <v>2588764.5193227339</v>
      </c>
      <c r="AH145" s="24">
        <f t="shared" si="29"/>
        <v>0</v>
      </c>
    </row>
    <row r="146" spans="1:34" hidden="1" outlineLevel="1" x14ac:dyDescent="0.2">
      <c r="A146" s="569" t="s">
        <v>649</v>
      </c>
      <c r="B146" s="11" t="e">
        <f>'Proforma Land+Home'!#REF!</f>
        <v>#REF!</v>
      </c>
      <c r="C146" s="14"/>
      <c r="D146" s="14"/>
      <c r="E146" s="11"/>
      <c r="F146" s="11"/>
      <c r="G146" s="11"/>
      <c r="H146" s="11" t="e">
        <f>'Proforma Land+Home'!#REF!</f>
        <v>#REF!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2" t="e">
        <f t="shared" si="28"/>
        <v>#REF!</v>
      </c>
      <c r="AH146" s="24" t="e">
        <f t="shared" si="29"/>
        <v>#REF!</v>
      </c>
    </row>
    <row r="147" spans="1:34" hidden="1" outlineLevel="1" x14ac:dyDescent="0.2">
      <c r="A147" s="569" t="s">
        <v>650</v>
      </c>
      <c r="B147" s="11" t="e">
        <f>'Proforma Land+Home'!#REF!</f>
        <v>#REF!</v>
      </c>
      <c r="C147" s="14"/>
      <c r="D147" s="14"/>
      <c r="E147" s="11"/>
      <c r="F147" s="11"/>
      <c r="G147" s="11" t="e">
        <f>$B147</f>
        <v>#REF!</v>
      </c>
      <c r="I147" s="11"/>
      <c r="J147" s="11" t="e">
        <f>'Proforma Land+Home'!#REF!</f>
        <v>#REF!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2" t="e">
        <f t="shared" si="28"/>
        <v>#REF!</v>
      </c>
      <c r="AH147" s="24" t="e">
        <f t="shared" si="29"/>
        <v>#REF!</v>
      </c>
    </row>
    <row r="148" spans="1:34" hidden="1" outlineLevel="1" x14ac:dyDescent="0.2">
      <c r="A148" s="569" t="s">
        <v>651</v>
      </c>
      <c r="B148" s="11" t="e">
        <f>'Proforma Land+Home'!#REF!</f>
        <v>#REF!</v>
      </c>
      <c r="C148" s="14"/>
      <c r="D148" s="14"/>
      <c r="E148" s="11"/>
      <c r="F148" s="11"/>
      <c r="G148" s="11" t="e">
        <f>$B148</f>
        <v>#REF!</v>
      </c>
      <c r="I148" s="11"/>
      <c r="J148" s="11" t="e">
        <f>'Proforma Land+Home'!#REF!</f>
        <v>#REF!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2" t="e">
        <f t="shared" si="28"/>
        <v>#REF!</v>
      </c>
      <c r="AH148" s="24" t="e">
        <f t="shared" si="29"/>
        <v>#REF!</v>
      </c>
    </row>
    <row r="149" spans="1:34" hidden="1" outlineLevel="1" x14ac:dyDescent="0.2">
      <c r="A149" s="568" t="s">
        <v>366</v>
      </c>
      <c r="B149" s="11"/>
      <c r="C149" s="315"/>
      <c r="D149" s="14"/>
      <c r="E149" s="11"/>
      <c r="F149" s="11"/>
      <c r="G149" s="11">
        <v>0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2">
        <f t="shared" si="28"/>
        <v>0</v>
      </c>
      <c r="AH149" s="24">
        <f t="shared" si="29"/>
        <v>0</v>
      </c>
    </row>
    <row r="150" spans="1:34" collapsed="1" x14ac:dyDescent="0.2">
      <c r="A150" s="49" t="s">
        <v>368</v>
      </c>
      <c r="B150" s="51" t="e">
        <f>SUM(B138:B140)+SUM(B143:B148)</f>
        <v>#REF!</v>
      </c>
      <c r="C150" s="50"/>
      <c r="D150" s="51">
        <f t="shared" ref="D150:AE150" si="30">SUM(D138:D140)+SUM(D143:D148)</f>
        <v>0</v>
      </c>
      <c r="E150" s="51">
        <f t="shared" si="30"/>
        <v>0</v>
      </c>
      <c r="F150" s="51">
        <f t="shared" si="30"/>
        <v>0</v>
      </c>
      <c r="G150" s="51" t="e">
        <f t="shared" si="30"/>
        <v>#REF!</v>
      </c>
      <c r="H150" s="51" t="e">
        <f t="shared" si="30"/>
        <v>#REF!</v>
      </c>
      <c r="I150" s="51">
        <f t="shared" si="30"/>
        <v>364486.82014762535</v>
      </c>
      <c r="J150" s="51" t="e">
        <f t="shared" si="30"/>
        <v>#REF!</v>
      </c>
      <c r="K150" s="51">
        <f t="shared" si="30"/>
        <v>364486.82014762535</v>
      </c>
      <c r="L150" s="51">
        <f t="shared" si="30"/>
        <v>364486.82014762535</v>
      </c>
      <c r="M150" s="51">
        <f t="shared" si="30"/>
        <v>364486.82014762535</v>
      </c>
      <c r="N150" s="51">
        <f t="shared" si="30"/>
        <v>364486.82014762535</v>
      </c>
      <c r="O150" s="51">
        <f t="shared" si="30"/>
        <v>364486.82014762535</v>
      </c>
      <c r="P150" s="51">
        <f t="shared" si="30"/>
        <v>364486.82014762535</v>
      </c>
      <c r="Q150" s="51">
        <f t="shared" si="30"/>
        <v>364486.82014762535</v>
      </c>
      <c r="R150" s="51">
        <f t="shared" si="30"/>
        <v>364486.82014762535</v>
      </c>
      <c r="S150" s="51" t="e">
        <f t="shared" si="30"/>
        <v>#REF!</v>
      </c>
      <c r="T150" s="51">
        <f t="shared" si="30"/>
        <v>364486.82014762535</v>
      </c>
      <c r="U150" s="51">
        <f t="shared" si="30"/>
        <v>364486.82014762535</v>
      </c>
      <c r="V150" s="51">
        <f t="shared" si="30"/>
        <v>364486.82014762535</v>
      </c>
      <c r="W150" s="51">
        <f t="shared" si="30"/>
        <v>364486.82014762535</v>
      </c>
      <c r="X150" s="51">
        <f t="shared" si="30"/>
        <v>364486.82014762535</v>
      </c>
      <c r="Y150" s="51">
        <f t="shared" si="30"/>
        <v>364486.82014762535</v>
      </c>
      <c r="Z150" s="51">
        <f t="shared" si="30"/>
        <v>364486.82014762535</v>
      </c>
      <c r="AA150" s="51">
        <f t="shared" si="30"/>
        <v>364486.82014762535</v>
      </c>
      <c r="AB150" s="51">
        <f t="shared" si="30"/>
        <v>364486.82014762535</v>
      </c>
      <c r="AC150" s="51">
        <f t="shared" si="30"/>
        <v>364486.82014762535</v>
      </c>
      <c r="AD150" s="51">
        <f t="shared" si="30"/>
        <v>364486.82014762535</v>
      </c>
      <c r="AE150" s="51">
        <f t="shared" si="30"/>
        <v>364486.82014762535</v>
      </c>
      <c r="AF150" s="24"/>
      <c r="AG150" s="52" t="e">
        <f>SUM(AG136:AG149)</f>
        <v>#REF!</v>
      </c>
      <c r="AH150" s="24" t="e">
        <f t="shared" si="29"/>
        <v>#REF!</v>
      </c>
    </row>
    <row r="151" spans="1:34" hidden="1" x14ac:dyDescent="0.2">
      <c r="A151" s="3"/>
      <c r="B151" s="31"/>
      <c r="C151" s="31"/>
      <c r="D151" s="3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23"/>
      <c r="AH151" s="24">
        <f t="shared" si="29"/>
        <v>0</v>
      </c>
    </row>
    <row r="152" spans="1:34" s="3" customFormat="1" hidden="1" x14ac:dyDescent="0.2">
      <c r="A152" s="49" t="s">
        <v>384</v>
      </c>
      <c r="B152" s="49"/>
      <c r="C152" s="49"/>
      <c r="D152" s="49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24"/>
      <c r="AG152" s="51"/>
      <c r="AH152" s="24">
        <f t="shared" si="29"/>
        <v>0</v>
      </c>
    </row>
    <row r="153" spans="1:34" s="3" customFormat="1" x14ac:dyDescent="0.2"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</row>
    <row r="154" spans="1:34" s="3" customFormat="1" x14ac:dyDescent="0.2">
      <c r="A154" s="3" t="s">
        <v>134</v>
      </c>
      <c r="B154" s="24">
        <v>0</v>
      </c>
      <c r="E154" s="24"/>
      <c r="F154" s="24"/>
      <c r="G154" s="24"/>
      <c r="H154" s="11"/>
      <c r="I154" s="11"/>
      <c r="J154" s="11">
        <f t="shared" ref="J154:AE154" si="31">$B$154/22</f>
        <v>0</v>
      </c>
      <c r="K154" s="11">
        <f t="shared" si="31"/>
        <v>0</v>
      </c>
      <c r="L154" s="11">
        <f t="shared" si="31"/>
        <v>0</v>
      </c>
      <c r="M154" s="11">
        <f t="shared" si="31"/>
        <v>0</v>
      </c>
      <c r="N154" s="11">
        <f t="shared" si="31"/>
        <v>0</v>
      </c>
      <c r="O154" s="11">
        <f t="shared" si="31"/>
        <v>0</v>
      </c>
      <c r="P154" s="11">
        <f t="shared" si="31"/>
        <v>0</v>
      </c>
      <c r="Q154" s="11">
        <f t="shared" si="31"/>
        <v>0</v>
      </c>
      <c r="R154" s="11">
        <f t="shared" si="31"/>
        <v>0</v>
      </c>
      <c r="S154" s="11">
        <f t="shared" si="31"/>
        <v>0</v>
      </c>
      <c r="T154" s="11">
        <f t="shared" si="31"/>
        <v>0</v>
      </c>
      <c r="U154" s="11">
        <f t="shared" si="31"/>
        <v>0</v>
      </c>
      <c r="V154" s="11">
        <f t="shared" si="31"/>
        <v>0</v>
      </c>
      <c r="W154" s="11">
        <f t="shared" si="31"/>
        <v>0</v>
      </c>
      <c r="X154" s="11">
        <f t="shared" si="31"/>
        <v>0</v>
      </c>
      <c r="Y154" s="11">
        <f t="shared" si="31"/>
        <v>0</v>
      </c>
      <c r="Z154" s="11">
        <f t="shared" si="31"/>
        <v>0</v>
      </c>
      <c r="AA154" s="11">
        <f t="shared" si="31"/>
        <v>0</v>
      </c>
      <c r="AB154" s="11">
        <f t="shared" si="31"/>
        <v>0</v>
      </c>
      <c r="AC154" s="11">
        <f t="shared" si="31"/>
        <v>0</v>
      </c>
      <c r="AD154" s="11">
        <f t="shared" si="31"/>
        <v>0</v>
      </c>
      <c r="AE154" s="11">
        <f t="shared" si="31"/>
        <v>0</v>
      </c>
      <c r="AF154" s="11"/>
      <c r="AG154" s="12">
        <f>SUM(C154:AE154)</f>
        <v>0</v>
      </c>
      <c r="AH154" s="24"/>
    </row>
    <row r="155" spans="1:34" ht="17" thickBot="1" x14ac:dyDescent="0.25">
      <c r="A155" s="567"/>
      <c r="B155" s="28"/>
      <c r="C155" s="28"/>
      <c r="D155" s="28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29"/>
      <c r="AH155" s="24">
        <f>B155-AG155</f>
        <v>0</v>
      </c>
    </row>
    <row r="156" spans="1:34" s="3" customFormat="1" ht="17" thickTop="1" x14ac:dyDescent="0.2">
      <c r="A156" s="30" t="s">
        <v>135</v>
      </c>
      <c r="B156" s="566" t="e">
        <f>B42+B47+B80+B88+B97+B111+B117+B122+B128+B134+B150+B152+B154</f>
        <v>#REF!</v>
      </c>
      <c r="D156" s="566">
        <f t="shared" ref="D156:AE156" si="32">D42+D47+D80+D88+D97+D111+D117+D122+D128+D134+D150+D152+D154</f>
        <v>0</v>
      </c>
      <c r="E156" s="566">
        <f t="shared" si="32"/>
        <v>0</v>
      </c>
      <c r="F156" s="566">
        <f t="shared" si="32"/>
        <v>0</v>
      </c>
      <c r="G156" s="566" t="e">
        <f t="shared" si="32"/>
        <v>#REF!</v>
      </c>
      <c r="H156" s="566" t="e">
        <f t="shared" si="32"/>
        <v>#REF!</v>
      </c>
      <c r="I156" s="566">
        <f t="shared" si="32"/>
        <v>1488221.5565480883</v>
      </c>
      <c r="J156" s="566" t="e">
        <f t="shared" si="32"/>
        <v>#REF!</v>
      </c>
      <c r="K156" s="566" t="e">
        <f t="shared" si="32"/>
        <v>#REF!</v>
      </c>
      <c r="L156" s="566" t="e">
        <f t="shared" si="32"/>
        <v>#REF!</v>
      </c>
      <c r="M156" s="566" t="e">
        <f t="shared" si="32"/>
        <v>#REF!</v>
      </c>
      <c r="N156" s="566" t="e">
        <f t="shared" si="32"/>
        <v>#REF!</v>
      </c>
      <c r="O156" s="566" t="e">
        <f t="shared" si="32"/>
        <v>#REF!</v>
      </c>
      <c r="P156" s="566" t="e">
        <f t="shared" si="32"/>
        <v>#REF!</v>
      </c>
      <c r="Q156" s="566" t="e">
        <f t="shared" si="32"/>
        <v>#REF!</v>
      </c>
      <c r="R156" s="566" t="e">
        <f t="shared" si="32"/>
        <v>#REF!</v>
      </c>
      <c r="S156" s="566" t="e">
        <f t="shared" si="32"/>
        <v>#REF!</v>
      </c>
      <c r="T156" s="566" t="e">
        <f t="shared" si="32"/>
        <v>#REF!</v>
      </c>
      <c r="U156" s="566" t="e">
        <f t="shared" si="32"/>
        <v>#REF!</v>
      </c>
      <c r="V156" s="566" t="e">
        <f t="shared" si="32"/>
        <v>#REF!</v>
      </c>
      <c r="W156" s="566" t="e">
        <f t="shared" si="32"/>
        <v>#REF!</v>
      </c>
      <c r="X156" s="566" t="e">
        <f t="shared" si="32"/>
        <v>#REF!</v>
      </c>
      <c r="Y156" s="566" t="e">
        <f t="shared" si="32"/>
        <v>#REF!</v>
      </c>
      <c r="Z156" s="566" t="e">
        <f t="shared" si="32"/>
        <v>#REF!</v>
      </c>
      <c r="AA156" s="566" t="e">
        <f t="shared" si="32"/>
        <v>#REF!</v>
      </c>
      <c r="AB156" s="566">
        <f t="shared" si="32"/>
        <v>364486.82014762535</v>
      </c>
      <c r="AC156" s="566">
        <f t="shared" si="32"/>
        <v>364486.82014762535</v>
      </c>
      <c r="AD156" s="566">
        <f t="shared" si="32"/>
        <v>364486.82014762535</v>
      </c>
      <c r="AE156" s="566">
        <f t="shared" si="32"/>
        <v>364486.82014762535</v>
      </c>
      <c r="AF156" s="24"/>
      <c r="AG156" s="566" t="e">
        <f>AG42+AG47+AG80+AG88+AG97+AG111+AG117+AG122+AG128+AG134+AG150+AG152+AG154</f>
        <v>#REF!</v>
      </c>
      <c r="AH156" s="24" t="e">
        <f>B156-AG156</f>
        <v>#REF!</v>
      </c>
    </row>
    <row r="157" spans="1:34" x14ac:dyDescent="0.2"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H157" s="24">
        <f>B157-AG157</f>
        <v>0</v>
      </c>
    </row>
    <row r="158" spans="1:34" s="3" customFormat="1" x14ac:dyDescent="0.2">
      <c r="A158" s="4" t="s">
        <v>652</v>
      </c>
      <c r="B158" s="109"/>
      <c r="C158" s="109"/>
      <c r="D158" s="24">
        <f t="shared" ref="D158:AE158" si="33">D35-D156+C158</f>
        <v>400000</v>
      </c>
      <c r="E158" s="24">
        <f t="shared" si="33"/>
        <v>400000</v>
      </c>
      <c r="F158" s="24">
        <f t="shared" si="33"/>
        <v>400000</v>
      </c>
      <c r="G158" s="24" t="e">
        <f t="shared" si="33"/>
        <v>#REF!</v>
      </c>
      <c r="H158" s="24" t="e">
        <f t="shared" si="33"/>
        <v>#REF!</v>
      </c>
      <c r="I158" s="24" t="e">
        <f t="shared" si="33"/>
        <v>#REF!</v>
      </c>
      <c r="J158" s="24" t="e">
        <f t="shared" si="33"/>
        <v>#REF!</v>
      </c>
      <c r="K158" s="24" t="e">
        <f t="shared" si="33"/>
        <v>#REF!</v>
      </c>
      <c r="L158" s="24" t="e">
        <f t="shared" si="33"/>
        <v>#REF!</v>
      </c>
      <c r="M158" s="24" t="e">
        <f t="shared" si="33"/>
        <v>#REF!</v>
      </c>
      <c r="N158" s="24" t="e">
        <f t="shared" si="33"/>
        <v>#REF!</v>
      </c>
      <c r="O158" s="24" t="e">
        <f t="shared" si="33"/>
        <v>#REF!</v>
      </c>
      <c r="P158" s="24" t="e">
        <f t="shared" si="33"/>
        <v>#REF!</v>
      </c>
      <c r="Q158" s="24" t="e">
        <f t="shared" si="33"/>
        <v>#REF!</v>
      </c>
      <c r="R158" s="24" t="e">
        <f t="shared" si="33"/>
        <v>#REF!</v>
      </c>
      <c r="S158" s="24" t="e">
        <f t="shared" si="33"/>
        <v>#REF!</v>
      </c>
      <c r="T158" s="24" t="e">
        <f t="shared" si="33"/>
        <v>#REF!</v>
      </c>
      <c r="U158" s="24" t="e">
        <f t="shared" si="33"/>
        <v>#REF!</v>
      </c>
      <c r="V158" s="24" t="e">
        <f t="shared" si="33"/>
        <v>#REF!</v>
      </c>
      <c r="W158" s="24" t="e">
        <f t="shared" si="33"/>
        <v>#REF!</v>
      </c>
      <c r="X158" s="24" t="e">
        <f t="shared" si="33"/>
        <v>#REF!</v>
      </c>
      <c r="Y158" s="24" t="e">
        <f t="shared" si="33"/>
        <v>#REF!</v>
      </c>
      <c r="Z158" s="24" t="e">
        <f t="shared" si="33"/>
        <v>#REF!</v>
      </c>
      <c r="AA158" s="24" t="e">
        <f t="shared" si="33"/>
        <v>#REF!</v>
      </c>
      <c r="AB158" s="24" t="e">
        <f t="shared" si="33"/>
        <v>#REF!</v>
      </c>
      <c r="AC158" s="24" t="e">
        <f t="shared" si="33"/>
        <v>#REF!</v>
      </c>
      <c r="AD158" s="24" t="e">
        <f t="shared" si="33"/>
        <v>#REF!</v>
      </c>
      <c r="AE158" s="24" t="e">
        <f t="shared" si="33"/>
        <v>#REF!</v>
      </c>
      <c r="AF158" s="24"/>
      <c r="AG158" s="24"/>
      <c r="AH158" s="24">
        <f>B158-AG158</f>
        <v>0</v>
      </c>
    </row>
    <row r="159" spans="1:34" x14ac:dyDescent="0.2">
      <c r="A159" s="4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</sheetData>
  <mergeCells count="4">
    <mergeCell ref="D5:O5"/>
    <mergeCell ref="P5:AA5"/>
    <mergeCell ref="AB5:AE5"/>
    <mergeCell ref="B2:L2"/>
  </mergeCells>
  <pageMargins left="0.7" right="0.7" top="0.75" bottom="0.75" header="0.3" footer="0.3"/>
  <pageSetup orientation="portrait" horizontalDpi="0" verticalDpi="0"/>
  <headerFooter>
    <oddHeader>&amp;L&amp;"Calibri"&amp;11&amp;K000000 PERSONAL/NONWORK // EXTERNAL&amp;1#_x000D_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897B-A835-4667-BC78-289CFE9CA685}">
  <sheetPr codeName="Sheet9">
    <tabColor theme="5" tint="0.59999389629810485"/>
    <pageSetUpPr fitToPage="1"/>
  </sheetPr>
  <dimension ref="A1:AT281"/>
  <sheetViews>
    <sheetView topLeftCell="A2" zoomScale="61" zoomScaleNormal="120" workbookViewId="0">
      <pane xSplit="2" ySplit="3" topLeftCell="C146" activePane="bottomRight" state="frozen"/>
      <selection pane="topRight" activeCell="B62" sqref="B62"/>
      <selection pane="bottomLeft" activeCell="B62" sqref="B62"/>
      <selection pane="bottomRight" activeCell="B62" sqref="B62"/>
    </sheetView>
  </sheetViews>
  <sheetFormatPr baseColWidth="10" defaultColWidth="11" defaultRowHeight="16" outlineLevelRow="1" x14ac:dyDescent="0.2"/>
  <cols>
    <col min="1" max="1" width="1.6640625" style="2" customWidth="1"/>
    <col min="2" max="2" width="53.6640625" customWidth="1"/>
    <col min="3" max="3" width="12.1640625" bestFit="1" customWidth="1"/>
    <col min="4" max="4" width="13.5" customWidth="1"/>
    <col min="5" max="5" width="11.1640625" bestFit="1" customWidth="1"/>
    <col min="6" max="6" width="1.6640625" customWidth="1"/>
    <col min="7" max="7" width="11.6640625" bestFit="1" customWidth="1"/>
    <col min="8" max="8" width="12.6640625" bestFit="1" customWidth="1"/>
    <col min="9" max="10" width="13.1640625" bestFit="1" customWidth="1"/>
    <col min="11" max="17" width="12.6640625" bestFit="1" customWidth="1"/>
    <col min="18" max="18" width="13.1640625" bestFit="1" customWidth="1"/>
    <col min="19" max="19" width="12.6640625" customWidth="1"/>
    <col min="20" max="20" width="13.1640625" bestFit="1" customWidth="1"/>
    <col min="21" max="21" width="12.5" customWidth="1"/>
    <col min="22" max="22" width="25.1640625" customWidth="1"/>
    <col min="23" max="23" width="19.6640625" customWidth="1"/>
    <col min="24" max="24" width="13.1640625" customWidth="1"/>
    <col min="25" max="28" width="11.1640625" bestFit="1" customWidth="1"/>
    <col min="29" max="29" width="13.6640625" bestFit="1" customWidth="1"/>
    <col min="30" max="33" width="11.1640625" bestFit="1" customWidth="1"/>
  </cols>
  <sheetData>
    <row r="1" spans="1:35" ht="21" x14ac:dyDescent="0.25">
      <c r="B1" s="301" t="s">
        <v>653</v>
      </c>
      <c r="C1" s="30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35" x14ac:dyDescent="0.2">
      <c r="B2" s="124" t="s">
        <v>654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</row>
    <row r="3" spans="1:35" x14ac:dyDescent="0.2">
      <c r="B3" s="383"/>
      <c r="C3" s="275"/>
      <c r="D3" s="275"/>
      <c r="E3" s="251"/>
      <c r="F3" s="251"/>
      <c r="G3" s="289">
        <v>0</v>
      </c>
      <c r="H3" s="289">
        <f>G3+1</f>
        <v>1</v>
      </c>
      <c r="I3" s="289">
        <f t="shared" ref="I3:R3" si="0">H3+1</f>
        <v>2</v>
      </c>
      <c r="J3" s="289">
        <f t="shared" si="0"/>
        <v>3</v>
      </c>
      <c r="K3" s="289">
        <f t="shared" si="0"/>
        <v>4</v>
      </c>
      <c r="L3" s="289">
        <f t="shared" si="0"/>
        <v>5</v>
      </c>
      <c r="M3" s="289">
        <f t="shared" si="0"/>
        <v>6</v>
      </c>
      <c r="N3" s="289">
        <f t="shared" si="0"/>
        <v>7</v>
      </c>
      <c r="O3" s="289">
        <f t="shared" si="0"/>
        <v>8</v>
      </c>
      <c r="P3" s="289">
        <f t="shared" si="0"/>
        <v>9</v>
      </c>
      <c r="Q3" s="289">
        <f t="shared" si="0"/>
        <v>10</v>
      </c>
      <c r="R3" s="289">
        <f t="shared" si="0"/>
        <v>11</v>
      </c>
      <c r="S3" s="289">
        <v>12</v>
      </c>
      <c r="T3" s="275"/>
    </row>
    <row r="4" spans="1:35" s="3" customFormat="1" x14ac:dyDescent="0.2">
      <c r="A4" s="55"/>
      <c r="B4" t="s">
        <v>17</v>
      </c>
      <c r="C4"/>
      <c r="D4" s="123"/>
      <c r="E4" s="6"/>
      <c r="F4" s="6"/>
      <c r="G4" s="6">
        <v>2024</v>
      </c>
      <c r="H4" s="6">
        <f>G4+1</f>
        <v>2025</v>
      </c>
      <c r="I4" s="6">
        <f t="shared" ref="I4:S4" si="1">H4+1</f>
        <v>2026</v>
      </c>
      <c r="J4" s="6">
        <f t="shared" si="1"/>
        <v>2027</v>
      </c>
      <c r="K4" s="6">
        <f t="shared" si="1"/>
        <v>2028</v>
      </c>
      <c r="L4" s="6">
        <f t="shared" si="1"/>
        <v>2029</v>
      </c>
      <c r="M4" s="6">
        <f t="shared" si="1"/>
        <v>2030</v>
      </c>
      <c r="N4" s="6">
        <f t="shared" si="1"/>
        <v>2031</v>
      </c>
      <c r="O4" s="6">
        <f t="shared" si="1"/>
        <v>2032</v>
      </c>
      <c r="P4" s="6">
        <f t="shared" si="1"/>
        <v>2033</v>
      </c>
      <c r="Q4" s="6">
        <f t="shared" si="1"/>
        <v>2034</v>
      </c>
      <c r="R4" s="6">
        <f t="shared" si="1"/>
        <v>2035</v>
      </c>
      <c r="S4" s="6">
        <f t="shared" si="1"/>
        <v>2036</v>
      </c>
      <c r="T4" s="6" t="s">
        <v>212</v>
      </c>
    </row>
    <row r="5" spans="1:35" s="129" customFormat="1" ht="19" outlineLevel="1" x14ac:dyDescent="0.25">
      <c r="A5" s="328"/>
      <c r="B5" s="329" t="s">
        <v>217</v>
      </c>
      <c r="C5" s="330" t="s">
        <v>63</v>
      </c>
      <c r="E5" s="331"/>
      <c r="F5" s="331"/>
      <c r="U5" s="129" t="s">
        <v>655</v>
      </c>
    </row>
    <row r="6" spans="1:35" s="129" customFormat="1" outlineLevel="1" x14ac:dyDescent="0.2">
      <c r="A6" s="343"/>
      <c r="B6" s="344" t="str">
        <f>Assumptions!F26</f>
        <v>Lodge Rooms</v>
      </c>
      <c r="C6" s="345">
        <f>Assumptions!F28</f>
        <v>500</v>
      </c>
      <c r="D6" s="346"/>
      <c r="E6" s="347"/>
      <c r="F6" s="347"/>
      <c r="G6" s="348"/>
      <c r="H6" s="349"/>
      <c r="I6" s="349">
        <f>Assumptions!$F27*0.5</f>
        <v>10</v>
      </c>
      <c r="J6" s="349">
        <f>Assumptions!$F27*0.5</f>
        <v>10</v>
      </c>
      <c r="K6" s="349"/>
      <c r="L6" s="349"/>
      <c r="M6" s="349"/>
      <c r="N6" s="349"/>
      <c r="O6" s="349"/>
      <c r="P6" s="349"/>
      <c r="Q6" s="349"/>
      <c r="R6" s="349"/>
      <c r="S6" s="349"/>
      <c r="T6" s="346">
        <f t="shared" ref="T6:T11" si="2">SUM(H6:S6)</f>
        <v>20</v>
      </c>
      <c r="U6" s="114"/>
      <c r="V6" s="114"/>
      <c r="X6" s="114"/>
      <c r="Z6" s="189"/>
    </row>
    <row r="7" spans="1:35" s="129" customFormat="1" outlineLevel="1" x14ac:dyDescent="0.2">
      <c r="A7" s="328"/>
      <c r="B7" s="332" t="str">
        <f>Assumptions!G26</f>
        <v>Villa/Cabin</v>
      </c>
      <c r="C7" s="333">
        <f>Assumptions!G28</f>
        <v>750</v>
      </c>
      <c r="E7" s="92"/>
      <c r="F7" s="92"/>
      <c r="G7" s="104"/>
      <c r="H7" s="334"/>
      <c r="I7" s="334">
        <f>Assumptions!$G27/4</f>
        <v>6</v>
      </c>
      <c r="J7" s="334">
        <f>Assumptions!$G27/4</f>
        <v>6</v>
      </c>
      <c r="K7" s="334">
        <f>Assumptions!$G27/4</f>
        <v>6</v>
      </c>
      <c r="L7" s="334">
        <f>Assumptions!$G27/4</f>
        <v>6</v>
      </c>
      <c r="M7" s="334"/>
      <c r="N7" s="334"/>
      <c r="O7" s="334"/>
      <c r="P7" s="334"/>
      <c r="Q7" s="334"/>
      <c r="R7" s="334"/>
      <c r="S7" s="334"/>
      <c r="T7" s="129">
        <f t="shared" si="2"/>
        <v>24</v>
      </c>
      <c r="U7" s="114"/>
      <c r="V7" s="114"/>
      <c r="X7" s="114"/>
      <c r="Z7" s="189"/>
    </row>
    <row r="8" spans="1:35" s="129" customFormat="1" outlineLevel="1" x14ac:dyDescent="0.2">
      <c r="A8" s="343"/>
      <c r="B8" s="344" t="str">
        <f>Assumptions!H26</f>
        <v>Cottages</v>
      </c>
      <c r="C8" s="350">
        <f>Assumptions!H28</f>
        <v>1250</v>
      </c>
      <c r="D8" s="346"/>
      <c r="E8" s="351"/>
      <c r="F8" s="351"/>
      <c r="G8" s="348"/>
      <c r="H8" s="349"/>
      <c r="I8" s="638"/>
      <c r="J8" s="638">
        <f>Assumptions!$H27/4</f>
        <v>6</v>
      </c>
      <c r="K8" s="638">
        <f>Assumptions!$H27/4</f>
        <v>6</v>
      </c>
      <c r="L8" s="638">
        <f>Assumptions!$H27/4</f>
        <v>6</v>
      </c>
      <c r="M8" s="638">
        <f>Assumptions!$H27/4</f>
        <v>6</v>
      </c>
      <c r="N8" s="349"/>
      <c r="O8" s="349"/>
      <c r="P8" s="349"/>
      <c r="Q8" s="349"/>
      <c r="R8" s="349"/>
      <c r="S8" s="349"/>
      <c r="T8" s="346">
        <f t="shared" si="2"/>
        <v>24</v>
      </c>
      <c r="U8" s="114"/>
      <c r="V8" s="114"/>
      <c r="X8" s="114"/>
      <c r="Z8" s="189"/>
    </row>
    <row r="9" spans="1:35" s="129" customFormat="1" outlineLevel="1" x14ac:dyDescent="0.2">
      <c r="A9" s="328"/>
      <c r="B9" s="332" t="str">
        <f>Assumptions!I26</f>
        <v>Auton. Tents</v>
      </c>
      <c r="C9" s="114">
        <f>Assumptions!I28</f>
        <v>625</v>
      </c>
      <c r="E9" s="114"/>
      <c r="F9" s="114"/>
      <c r="G9" s="104"/>
      <c r="H9" s="437">
        <f>Assumptions!I27</f>
        <v>12</v>
      </c>
      <c r="I9" s="334"/>
      <c r="J9" s="334"/>
      <c r="K9" s="334"/>
      <c r="L9" s="334"/>
      <c r="M9" s="334"/>
      <c r="N9" s="334"/>
      <c r="O9" s="334"/>
      <c r="P9" s="334"/>
      <c r="Q9" s="334"/>
      <c r="R9" s="334"/>
      <c r="S9" s="334"/>
      <c r="T9" s="129">
        <f t="shared" si="2"/>
        <v>12</v>
      </c>
      <c r="U9" s="114"/>
      <c r="V9" s="114"/>
      <c r="X9" s="114"/>
      <c r="Z9" s="189"/>
    </row>
    <row r="10" spans="1:35" s="129" customFormat="1" hidden="1" outlineLevel="1" x14ac:dyDescent="0.2">
      <c r="A10" s="343"/>
      <c r="B10" s="344"/>
      <c r="C10" s="350"/>
      <c r="D10" s="346"/>
      <c r="E10" s="351"/>
      <c r="F10" s="351"/>
      <c r="G10" s="348"/>
      <c r="H10" s="349"/>
      <c r="I10" s="349"/>
      <c r="J10" s="349"/>
      <c r="K10" s="349"/>
      <c r="L10" s="349"/>
      <c r="M10" s="349"/>
      <c r="N10" s="349"/>
      <c r="O10" s="349"/>
      <c r="P10" s="349"/>
      <c r="Q10" s="349"/>
      <c r="R10" s="349"/>
      <c r="S10" s="349"/>
      <c r="T10" s="346">
        <f t="shared" si="2"/>
        <v>0</v>
      </c>
      <c r="U10" s="114"/>
      <c r="V10" s="114"/>
      <c r="X10" s="114"/>
      <c r="Z10" s="189"/>
    </row>
    <row r="11" spans="1:35" s="129" customFormat="1" hidden="1" outlineLevel="1" x14ac:dyDescent="0.2">
      <c r="A11" s="328"/>
      <c r="B11" s="332"/>
      <c r="C11" s="114"/>
      <c r="E11" s="114"/>
      <c r="F11" s="114"/>
      <c r="G11" s="104"/>
      <c r="H11" s="334"/>
      <c r="I11" s="334"/>
      <c r="J11" s="334"/>
      <c r="K11" s="334"/>
      <c r="L11" s="334"/>
      <c r="M11" s="334"/>
      <c r="N11" s="334"/>
      <c r="O11" s="334"/>
      <c r="P11" s="334"/>
      <c r="Q11" s="334"/>
      <c r="R11" s="334"/>
      <c r="S11" s="334"/>
      <c r="T11" s="129">
        <f t="shared" si="2"/>
        <v>0</v>
      </c>
      <c r="U11" s="114"/>
      <c r="V11" s="114"/>
      <c r="X11" s="114"/>
      <c r="Z11" s="189"/>
    </row>
    <row r="12" spans="1:35" s="129" customFormat="1" outlineLevel="1" x14ac:dyDescent="0.2">
      <c r="A12" s="187"/>
      <c r="B12" s="235" t="s">
        <v>219</v>
      </c>
      <c r="C12" s="236"/>
      <c r="D12" s="189"/>
      <c r="E12" s="189"/>
      <c r="F12" s="189"/>
      <c r="G12" s="334"/>
      <c r="H12" s="56">
        <f t="shared" ref="H12:T12" si="3">SUM(H6:H11)</f>
        <v>12</v>
      </c>
      <c r="I12" s="56">
        <f t="shared" si="3"/>
        <v>16</v>
      </c>
      <c r="J12" s="56">
        <f t="shared" si="3"/>
        <v>22</v>
      </c>
      <c r="K12" s="56">
        <f t="shared" si="3"/>
        <v>12</v>
      </c>
      <c r="L12" s="56">
        <f t="shared" si="3"/>
        <v>12</v>
      </c>
      <c r="M12" s="56">
        <f t="shared" si="3"/>
        <v>6</v>
      </c>
      <c r="N12" s="56">
        <f t="shared" si="3"/>
        <v>0</v>
      </c>
      <c r="O12" s="56">
        <f t="shared" si="3"/>
        <v>0</v>
      </c>
      <c r="P12" s="56">
        <f t="shared" si="3"/>
        <v>0</v>
      </c>
      <c r="Q12" s="56">
        <f t="shared" si="3"/>
        <v>0</v>
      </c>
      <c r="R12" s="56">
        <f t="shared" si="3"/>
        <v>0</v>
      </c>
      <c r="S12" s="56">
        <f t="shared" si="3"/>
        <v>0</v>
      </c>
      <c r="T12" s="235">
        <f t="shared" si="3"/>
        <v>80</v>
      </c>
      <c r="U12" s="56"/>
      <c r="V12" s="399"/>
      <c r="W12" s="331"/>
      <c r="X12" s="67"/>
      <c r="Y12" s="400"/>
    </row>
    <row r="13" spans="1:35" s="129" customFormat="1" outlineLevel="1" x14ac:dyDescent="0.2">
      <c r="A13" s="187"/>
      <c r="B13" s="129" t="s">
        <v>656</v>
      </c>
      <c r="C13" s="32">
        <f>SUMPRODUCT(C6:C11,T6:T11)</f>
        <v>65500</v>
      </c>
      <c r="D13" s="335"/>
      <c r="E13" s="335"/>
      <c r="F13" s="335"/>
      <c r="G13" s="692"/>
      <c r="H13" s="693"/>
      <c r="I13" s="693"/>
      <c r="J13" s="693"/>
      <c r="K13" s="693"/>
      <c r="L13" s="693"/>
      <c r="M13" s="693"/>
      <c r="N13" s="693"/>
      <c r="O13" s="693"/>
      <c r="P13" s="693"/>
      <c r="Q13" s="693"/>
      <c r="R13" s="693"/>
      <c r="S13" s="693"/>
      <c r="U13" s="334"/>
      <c r="V13" s="401"/>
      <c r="W13" s="402"/>
    </row>
    <row r="14" spans="1:35" s="129" customFormat="1" ht="8" customHeight="1" outlineLevel="1" x14ac:dyDescent="0.2">
      <c r="A14" s="187"/>
      <c r="C14" s="336"/>
      <c r="D14" s="336"/>
      <c r="E14" s="336"/>
      <c r="F14" s="336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</row>
    <row r="15" spans="1:35" s="129" customFormat="1" ht="19" outlineLevel="1" x14ac:dyDescent="0.25">
      <c r="A15" s="187"/>
      <c r="B15" s="329" t="s">
        <v>225</v>
      </c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4"/>
      <c r="S15" s="334"/>
      <c r="W15" s="403"/>
      <c r="X15" s="403"/>
      <c r="Y15" s="403"/>
      <c r="Z15" s="403"/>
      <c r="AA15" s="403"/>
      <c r="AB15" s="403"/>
    </row>
    <row r="16" spans="1:35" s="129" customFormat="1" outlineLevel="1" x14ac:dyDescent="0.2">
      <c r="A16" s="346"/>
      <c r="B16" s="344" t="str">
        <f>B6</f>
        <v>Lodge Rooms</v>
      </c>
      <c r="C16" s="352">
        <f>T16</f>
        <v>0</v>
      </c>
      <c r="D16" s="353"/>
      <c r="E16" s="353"/>
      <c r="F16" s="353"/>
      <c r="G16" s="349"/>
      <c r="H16" s="349">
        <f>ROUND(G6*Assumptions!$F33,0)</f>
        <v>0</v>
      </c>
      <c r="I16" s="349">
        <f>ROUND(H6*Assumptions!$F33,0)</f>
        <v>0</v>
      </c>
      <c r="J16" s="349">
        <f>ROUND(I6*Assumptions!$F33,0)</f>
        <v>0</v>
      </c>
      <c r="K16" s="349">
        <f>ROUND(J6*Assumptions!$F33,0)</f>
        <v>0</v>
      </c>
      <c r="L16" s="349">
        <f>ROUND(K6*Assumptions!$F33,0)</f>
        <v>0</v>
      </c>
      <c r="M16" s="349">
        <f>ROUND(L6*Assumptions!$F33,0)</f>
        <v>0</v>
      </c>
      <c r="N16" s="349">
        <f>ROUND(M6*Assumptions!$F33,0)</f>
        <v>0</v>
      </c>
      <c r="O16" s="349">
        <f>ROUND(N6*Assumptions!$F33,0)</f>
        <v>0</v>
      </c>
      <c r="P16" s="349">
        <f>ROUND(O6*Assumptions!$F33,0)</f>
        <v>0</v>
      </c>
      <c r="Q16" s="349">
        <f>ROUND(P6*Assumptions!$F33,0)</f>
        <v>0</v>
      </c>
      <c r="R16" s="349">
        <f>ROUND(Q6*Assumptions!$F33,0)</f>
        <v>0</v>
      </c>
      <c r="S16" s="349">
        <f>ROUND(R6*Assumptions!$F33,0)</f>
        <v>0</v>
      </c>
      <c r="T16" s="346">
        <f t="shared" ref="T16:T21" si="4">SUM(H16:S16)</f>
        <v>0</v>
      </c>
      <c r="W16" s="404"/>
      <c r="X16" s="404"/>
      <c r="Y16" s="404"/>
      <c r="Z16" s="404"/>
      <c r="AA16" s="404"/>
      <c r="AB16" s="404"/>
      <c r="AC16" s="404"/>
      <c r="AD16" s="404"/>
      <c r="AE16" s="404"/>
      <c r="AF16" s="404"/>
      <c r="AG16" s="404"/>
      <c r="AH16" s="404"/>
      <c r="AI16" s="404"/>
    </row>
    <row r="17" spans="1:46" s="129" customFormat="1" outlineLevel="1" x14ac:dyDescent="0.2">
      <c r="A17" s="187"/>
      <c r="B17" s="332" t="str">
        <f>B7</f>
        <v>Villa/Cabin</v>
      </c>
      <c r="C17" s="337">
        <f t="shared" ref="C17:C19" si="5">T17</f>
        <v>12</v>
      </c>
      <c r="D17" s="15"/>
      <c r="E17" s="15"/>
      <c r="F17" s="15"/>
      <c r="G17" s="334"/>
      <c r="H17" s="334">
        <f>ROUNDDOWN(G7*Assumptions!$G$33,0)</f>
        <v>0</v>
      </c>
      <c r="I17" s="334">
        <f>ROUNDDOWN(H7*Assumptions!$G$33,0)</f>
        <v>0</v>
      </c>
      <c r="J17" s="334">
        <f>ROUND(I7*Assumptions!$G33,0)</f>
        <v>3</v>
      </c>
      <c r="K17" s="334">
        <f>ROUND(J7*Assumptions!$G33,0)</f>
        <v>3</v>
      </c>
      <c r="L17" s="334">
        <f>ROUND(K7*Assumptions!$G33,0)</f>
        <v>3</v>
      </c>
      <c r="M17" s="334">
        <f>ROUND(L7*Assumptions!$G33,0)</f>
        <v>3</v>
      </c>
      <c r="N17" s="334">
        <f>ROUND(M7*Assumptions!$G33,0)</f>
        <v>0</v>
      </c>
      <c r="O17" s="334">
        <f>ROUND(N7*Assumptions!$G33,0)</f>
        <v>0</v>
      </c>
      <c r="P17" s="334">
        <f>ROUND(O7*Assumptions!$G33,0)</f>
        <v>0</v>
      </c>
      <c r="Q17" s="334">
        <f>ROUND(P7*Assumptions!$G33,0)</f>
        <v>0</v>
      </c>
      <c r="R17" s="334">
        <f>ROUND(Q7*Assumptions!$G33,0)</f>
        <v>0</v>
      </c>
      <c r="S17" s="334">
        <f>ROUND(R7*Assumptions!$G33,0)</f>
        <v>0</v>
      </c>
      <c r="T17" s="129">
        <f t="shared" si="4"/>
        <v>12</v>
      </c>
      <c r="W17" s="404"/>
      <c r="X17" s="404"/>
      <c r="Y17" s="404"/>
      <c r="Z17" s="404"/>
      <c r="AA17" s="404"/>
      <c r="AB17" s="404"/>
      <c r="AC17" s="404"/>
      <c r="AD17" s="404"/>
      <c r="AE17" s="404"/>
      <c r="AF17" s="404"/>
      <c r="AG17" s="404"/>
      <c r="AH17" s="404"/>
      <c r="AI17" s="404"/>
    </row>
    <row r="18" spans="1:46" s="129" customFormat="1" outlineLevel="1" x14ac:dyDescent="0.2">
      <c r="A18" s="346"/>
      <c r="B18" s="344" t="str">
        <f>B8</f>
        <v>Cottages</v>
      </c>
      <c r="C18" s="352">
        <f t="shared" si="5"/>
        <v>24</v>
      </c>
      <c r="D18" s="353"/>
      <c r="E18" s="353"/>
      <c r="F18" s="353"/>
      <c r="G18" s="349"/>
      <c r="H18" s="349">
        <f>ROUND(G8*Assumptions!$H33,0)</f>
        <v>0</v>
      </c>
      <c r="I18" s="349">
        <f>ROUND(H8*Assumptions!$H33,0)</f>
        <v>0</v>
      </c>
      <c r="J18" s="349">
        <f>ROUND(I8*Assumptions!$H33,0)</f>
        <v>0</v>
      </c>
      <c r="K18" s="349">
        <f>ROUND(J8*Assumptions!$H33,0)</f>
        <v>6</v>
      </c>
      <c r="L18" s="349">
        <f>ROUND(K8*Assumptions!$H33,0)</f>
        <v>6</v>
      </c>
      <c r="M18" s="349">
        <f>ROUND(L8*Assumptions!$H33,0)</f>
        <v>6</v>
      </c>
      <c r="N18" s="349">
        <f>ROUND(M8*Assumptions!$H33,0)</f>
        <v>6</v>
      </c>
      <c r="O18" s="349">
        <f>ROUND(N8*Assumptions!$H33,0)</f>
        <v>0</v>
      </c>
      <c r="P18" s="349">
        <f>ROUND(O8*Assumptions!$H33,0)</f>
        <v>0</v>
      </c>
      <c r="Q18" s="349">
        <f>ROUND(P8*Assumptions!$H33,0)</f>
        <v>0</v>
      </c>
      <c r="R18" s="349">
        <f>ROUND(Q8*Assumptions!$H33,0)</f>
        <v>0</v>
      </c>
      <c r="S18" s="349">
        <f>ROUND(R8*Assumptions!$H33,0)</f>
        <v>0</v>
      </c>
      <c r="T18" s="346">
        <f t="shared" si="4"/>
        <v>24</v>
      </c>
      <c r="W18" s="404"/>
      <c r="X18" s="404"/>
      <c r="Y18" s="404"/>
      <c r="Z18" s="404"/>
      <c r="AA18" s="404"/>
      <c r="AB18" s="404"/>
      <c r="AC18" s="404"/>
      <c r="AD18" s="404"/>
      <c r="AE18" s="404"/>
      <c r="AF18" s="404"/>
      <c r="AG18" s="404"/>
    </row>
    <row r="19" spans="1:46" s="129" customFormat="1" outlineLevel="1" x14ac:dyDescent="0.2">
      <c r="A19" s="187"/>
      <c r="B19" s="332" t="str">
        <f>B9</f>
        <v>Auton. Tents</v>
      </c>
      <c r="C19" s="337">
        <f t="shared" si="5"/>
        <v>0</v>
      </c>
      <c r="D19" s="15"/>
      <c r="E19" s="15"/>
      <c r="F19" s="15"/>
      <c r="G19" s="334"/>
      <c r="H19" s="334">
        <f>ROUND(G9*Assumptions!$I35,0)</f>
        <v>0</v>
      </c>
      <c r="I19" s="334">
        <f>ROUND(H9*Assumptions!$I35,0)</f>
        <v>0</v>
      </c>
      <c r="J19" s="334">
        <f>ROUND(I9*Assumptions!$I35,0)</f>
        <v>0</v>
      </c>
      <c r="K19" s="334">
        <f>ROUND(J9*Assumptions!$I35,0)</f>
        <v>0</v>
      </c>
      <c r="L19" s="334">
        <f>ROUND(K9*Assumptions!$I35,0)</f>
        <v>0</v>
      </c>
      <c r="M19" s="334">
        <f>ROUND(L9*Assumptions!$I35,0)</f>
        <v>0</v>
      </c>
      <c r="N19" s="334">
        <f>ROUND(M9*Assumptions!$I35,0)</f>
        <v>0</v>
      </c>
      <c r="O19" s="334">
        <f>ROUND(N9*Assumptions!$I35,0)</f>
        <v>0</v>
      </c>
      <c r="P19" s="334">
        <f>ROUND(O9*Assumptions!$I35,0)</f>
        <v>0</v>
      </c>
      <c r="Q19" s="334">
        <f>ROUND(P9*Assumptions!$I35,0)</f>
        <v>0</v>
      </c>
      <c r="R19" s="334">
        <f>ROUND(Q9*Assumptions!$I35,0)</f>
        <v>0</v>
      </c>
      <c r="S19" s="334">
        <f>ROUND(R9*Assumptions!$I35,0)</f>
        <v>0</v>
      </c>
      <c r="T19" s="129">
        <f t="shared" si="4"/>
        <v>0</v>
      </c>
      <c r="W19" s="404"/>
      <c r="X19" s="404"/>
      <c r="Y19" s="404"/>
      <c r="Z19" s="404"/>
      <c r="AA19" s="404"/>
      <c r="AB19" s="404"/>
      <c r="AC19" s="404"/>
      <c r="AD19" s="404"/>
      <c r="AE19" s="404"/>
      <c r="AF19" s="404"/>
      <c r="AG19" s="404"/>
    </row>
    <row r="20" spans="1:46" s="129" customFormat="1" hidden="1" outlineLevel="1" x14ac:dyDescent="0.2">
      <c r="A20" s="346"/>
      <c r="B20" s="344"/>
      <c r="C20" s="352"/>
      <c r="D20" s="353"/>
      <c r="E20" s="353"/>
      <c r="F20" s="353"/>
      <c r="G20" s="349"/>
      <c r="H20" s="349">
        <f>ROUNDDOWN(G10*Assumptions!$F$33,0)</f>
        <v>0</v>
      </c>
      <c r="I20" s="349">
        <f>ROUNDDOWN(H10*Assumptions!$F$33,0)</f>
        <v>0</v>
      </c>
      <c r="J20" s="349">
        <f>ROUNDDOWN(I10*Assumptions!$F$33,0)</f>
        <v>0</v>
      </c>
      <c r="K20" s="349">
        <f>ROUNDDOWN(J10*Assumptions!$F$33,0)</f>
        <v>0</v>
      </c>
      <c r="L20" s="349">
        <f>ROUNDDOWN(K10*Assumptions!$F$33,0)</f>
        <v>0</v>
      </c>
      <c r="M20" s="349">
        <f>ROUNDDOWN(L10*Assumptions!$F$33,0)</f>
        <v>0</v>
      </c>
      <c r="N20" s="349">
        <f>ROUNDDOWN(M10*Assumptions!$F$33,0)</f>
        <v>0</v>
      </c>
      <c r="O20" s="349">
        <f>ROUNDDOWN(N10*Assumptions!$F$33,0)</f>
        <v>0</v>
      </c>
      <c r="P20" s="349">
        <f>ROUNDDOWN(O10*Assumptions!$F$33,0)</f>
        <v>0</v>
      </c>
      <c r="Q20" s="349">
        <f>ROUNDDOWN(P10*Assumptions!$F$33,0)</f>
        <v>0</v>
      </c>
      <c r="R20" s="349">
        <f>ROUNDDOWN(Q10*Assumptions!$F$33,0)</f>
        <v>0</v>
      </c>
      <c r="S20" s="349">
        <f>R8</f>
        <v>0</v>
      </c>
      <c r="T20" s="346">
        <f t="shared" si="4"/>
        <v>0</v>
      </c>
      <c r="W20" s="404"/>
      <c r="X20" s="404"/>
      <c r="Y20" s="404"/>
      <c r="Z20" s="404"/>
      <c r="AA20" s="404"/>
      <c r="AB20" s="404"/>
      <c r="AC20" s="404"/>
      <c r="AD20" s="404"/>
      <c r="AE20" s="404"/>
      <c r="AF20" s="404"/>
      <c r="AG20" s="404"/>
    </row>
    <row r="21" spans="1:46" s="129" customFormat="1" hidden="1" outlineLevel="1" x14ac:dyDescent="0.2">
      <c r="A21" s="187"/>
      <c r="B21" s="332"/>
      <c r="C21" s="337"/>
      <c r="D21" s="15"/>
      <c r="E21" s="15"/>
      <c r="F21" s="15"/>
      <c r="G21" s="334"/>
      <c r="H21" s="334">
        <f>ROUNDDOWN(G11*Assumptions!$G$33,0)</f>
        <v>0</v>
      </c>
      <c r="I21" s="334">
        <f>ROUNDDOWN(H11*Assumptions!$G$33,0)</f>
        <v>0</v>
      </c>
      <c r="J21" s="334">
        <f>ROUNDDOWN(I11*Assumptions!$G$33,0)</f>
        <v>0</v>
      </c>
      <c r="K21" s="334">
        <f>ROUNDDOWN(J11*Assumptions!$G$33,0)</f>
        <v>0</v>
      </c>
      <c r="L21" s="334">
        <f>ROUNDDOWN(K11*Assumptions!$G$33,0)</f>
        <v>0</v>
      </c>
      <c r="M21" s="334">
        <f>ROUNDDOWN(L11*Assumptions!$G$33,0)</f>
        <v>0</v>
      </c>
      <c r="N21" s="334">
        <f>ROUNDDOWN(M11*Assumptions!$G$33,0)</f>
        <v>0</v>
      </c>
      <c r="O21" s="334">
        <f>ROUNDDOWN(N11*Assumptions!$G$33,0)</f>
        <v>0</v>
      </c>
      <c r="P21" s="334">
        <f>ROUNDDOWN(O11*Assumptions!$G$33,0)</f>
        <v>0</v>
      </c>
      <c r="Q21" s="334">
        <f>ROUNDDOWN(P11*Assumptions!$G$33,0)</f>
        <v>0</v>
      </c>
      <c r="R21" s="334">
        <f>ROUNDDOWN(Q11*Assumptions!$G$33,0)</f>
        <v>0</v>
      </c>
      <c r="S21" s="334">
        <f>R9</f>
        <v>0</v>
      </c>
      <c r="T21" s="129">
        <f t="shared" si="4"/>
        <v>0</v>
      </c>
      <c r="W21" s="404"/>
      <c r="X21" s="404"/>
      <c r="Y21" s="404"/>
      <c r="Z21" s="404"/>
      <c r="AA21" s="404"/>
      <c r="AB21" s="404"/>
      <c r="AC21" s="404"/>
      <c r="AD21" s="404"/>
      <c r="AE21" s="404"/>
      <c r="AF21" s="404"/>
      <c r="AG21" s="404"/>
    </row>
    <row r="22" spans="1:46" s="129" customFormat="1" x14ac:dyDescent="0.2">
      <c r="A22" s="187"/>
      <c r="B22" s="235" t="s">
        <v>226</v>
      </c>
      <c r="C22" s="235">
        <f>SUM(C16:C21)</f>
        <v>36</v>
      </c>
      <c r="D22" s="189"/>
      <c r="E22" s="189"/>
      <c r="F22" s="189"/>
      <c r="H22" s="56">
        <f>SUM(H16:H21)</f>
        <v>0</v>
      </c>
      <c r="I22" s="56">
        <f>SUM(I16:I21)</f>
        <v>0</v>
      </c>
      <c r="J22" s="56">
        <f>SUM(J16:J21)</f>
        <v>3</v>
      </c>
      <c r="K22" s="56">
        <f>SUM(K16:K21)</f>
        <v>9</v>
      </c>
      <c r="L22" s="56">
        <f>SUM(L16:L21)</f>
        <v>9</v>
      </c>
      <c r="M22" s="56">
        <f t="shared" ref="M22:R22" si="6">SUM(M16:M21)</f>
        <v>9</v>
      </c>
      <c r="N22" s="56">
        <f t="shared" si="6"/>
        <v>6</v>
      </c>
      <c r="O22" s="56">
        <f t="shared" si="6"/>
        <v>0</v>
      </c>
      <c r="P22" s="56">
        <f t="shared" si="6"/>
        <v>0</v>
      </c>
      <c r="Q22" s="56">
        <f t="shared" si="6"/>
        <v>0</v>
      </c>
      <c r="R22" s="56">
        <f t="shared" si="6"/>
        <v>0</v>
      </c>
      <c r="S22" s="56">
        <f>SUM(S16:S21)</f>
        <v>0</v>
      </c>
      <c r="T22" s="235">
        <f>SUM(T16:T21)</f>
        <v>36</v>
      </c>
      <c r="U22" s="420">
        <f>T22/T12</f>
        <v>0.45</v>
      </c>
      <c r="Y22" s="338"/>
    </row>
    <row r="23" spans="1:46" s="129" customFormat="1" ht="15.5" hidden="1" customHeight="1" x14ac:dyDescent="0.2">
      <c r="A23" s="187"/>
      <c r="B23" s="339" t="s">
        <v>657</v>
      </c>
      <c r="C23" s="15"/>
      <c r="D23" s="15"/>
      <c r="E23" s="15"/>
      <c r="F23" s="15"/>
      <c r="G23" s="327"/>
      <c r="H23" s="340">
        <f>G23</f>
        <v>0</v>
      </c>
      <c r="I23" s="340">
        <f>G23</f>
        <v>0</v>
      </c>
      <c r="J23" s="340">
        <f t="shared" ref="J23:P23" si="7">I23*(1+$C$24)</f>
        <v>0</v>
      </c>
      <c r="K23" s="340">
        <f t="shared" si="7"/>
        <v>0</v>
      </c>
      <c r="L23" s="340">
        <f t="shared" si="7"/>
        <v>0</v>
      </c>
      <c r="M23" s="340">
        <f t="shared" si="7"/>
        <v>0</v>
      </c>
      <c r="N23" s="340">
        <f t="shared" si="7"/>
        <v>0</v>
      </c>
      <c r="O23" s="340">
        <f t="shared" si="7"/>
        <v>0</v>
      </c>
      <c r="P23" s="340">
        <f t="shared" si="7"/>
        <v>0</v>
      </c>
      <c r="Q23" s="340">
        <f t="shared" ref="Q23:S23" si="8">P23*(1+$C$25)</f>
        <v>0</v>
      </c>
      <c r="R23" s="340">
        <f t="shared" si="8"/>
        <v>0</v>
      </c>
      <c r="S23" s="327">
        <f t="shared" si="8"/>
        <v>0</v>
      </c>
      <c r="W23" s="342"/>
    </row>
    <row r="24" spans="1:46" s="129" customFormat="1" x14ac:dyDescent="0.2">
      <c r="B24" s="129" t="s">
        <v>658</v>
      </c>
      <c r="C24" s="436">
        <f>Assumptions!F32</f>
        <v>0.05</v>
      </c>
      <c r="D24" s="15" t="s">
        <v>57</v>
      </c>
      <c r="E24" s="15"/>
      <c r="F24" s="15"/>
      <c r="G24" s="327">
        <f>Assumptions!F29</f>
        <v>0</v>
      </c>
      <c r="H24" s="327"/>
      <c r="I24" s="327"/>
      <c r="J24" s="327">
        <f>$G24</f>
        <v>0</v>
      </c>
      <c r="K24" s="327">
        <f>J24*(1+$C$24)</f>
        <v>0</v>
      </c>
      <c r="L24" s="327">
        <f>K24*(1+$C$24)</f>
        <v>0</v>
      </c>
      <c r="M24" s="327"/>
      <c r="N24" s="327"/>
      <c r="O24" s="327"/>
      <c r="P24" s="327"/>
      <c r="Q24" s="327"/>
      <c r="R24" s="327"/>
      <c r="S24" s="327"/>
      <c r="V24" s="341"/>
      <c r="W24" s="342"/>
    </row>
    <row r="25" spans="1:46" s="129" customFormat="1" x14ac:dyDescent="0.2">
      <c r="B25" s="129" t="s">
        <v>659</v>
      </c>
      <c r="C25" s="436">
        <f>Assumptions!G32</f>
        <v>0.05</v>
      </c>
      <c r="D25" s="15" t="s">
        <v>660</v>
      </c>
      <c r="E25" s="15"/>
      <c r="F25" s="15"/>
      <c r="G25" s="327">
        <f>Assumptions!G29</f>
        <v>2250</v>
      </c>
      <c r="H25" s="327"/>
      <c r="I25" s="327"/>
      <c r="J25" s="327">
        <f>$G25</f>
        <v>2250</v>
      </c>
      <c r="K25" s="327">
        <f>J25*(1+$C$25)</f>
        <v>2362.5</v>
      </c>
      <c r="L25" s="327">
        <f>K25*(1+$C$25)</f>
        <v>2480.625</v>
      </c>
      <c r="M25" s="327">
        <f t="shared" ref="M25:R25" si="9">L25*(1+$C$25)</f>
        <v>2604.65625</v>
      </c>
      <c r="N25" s="327">
        <f t="shared" si="9"/>
        <v>2734.8890624999999</v>
      </c>
      <c r="O25" s="327">
        <f t="shared" si="9"/>
        <v>2871.6335156250002</v>
      </c>
      <c r="P25" s="327">
        <f t="shared" si="9"/>
        <v>3015.2151914062501</v>
      </c>
      <c r="Q25" s="327">
        <f t="shared" si="9"/>
        <v>3165.9759509765627</v>
      </c>
      <c r="R25" s="327">
        <f t="shared" si="9"/>
        <v>3324.2747485253908</v>
      </c>
      <c r="S25" s="327"/>
      <c r="T25" s="327"/>
      <c r="W25" s="342"/>
      <c r="AC25" s="408"/>
    </row>
    <row r="26" spans="1:46" s="129" customFormat="1" x14ac:dyDescent="0.2">
      <c r="B26" s="129" t="s">
        <v>661</v>
      </c>
      <c r="C26" s="436">
        <f>C25</f>
        <v>0.05</v>
      </c>
      <c r="D26" s="15" t="s">
        <v>51</v>
      </c>
      <c r="E26" s="15"/>
      <c r="F26" s="15"/>
      <c r="G26" s="327">
        <f>Assumptions!H29</f>
        <v>2000</v>
      </c>
      <c r="H26" s="327"/>
      <c r="I26" s="327"/>
      <c r="J26" s="327">
        <f>$G26</f>
        <v>2000</v>
      </c>
      <c r="K26" s="327">
        <f>J26*(1+$C26)</f>
        <v>2100</v>
      </c>
      <c r="L26" s="327">
        <f>K26*(1+$C26)</f>
        <v>2205</v>
      </c>
      <c r="M26" s="327">
        <f t="shared" ref="M26:R27" si="10">L26*(1+$C26)</f>
        <v>2315.25</v>
      </c>
      <c r="N26" s="327">
        <f t="shared" si="10"/>
        <v>2431.0125000000003</v>
      </c>
      <c r="O26" s="327">
        <f t="shared" si="10"/>
        <v>2552.5631250000006</v>
      </c>
      <c r="P26" s="327">
        <f t="shared" si="10"/>
        <v>2680.1912812500009</v>
      </c>
      <c r="Q26" s="327">
        <f t="shared" si="10"/>
        <v>2814.2008453125009</v>
      </c>
      <c r="R26" s="327">
        <f t="shared" si="10"/>
        <v>2954.9108875781262</v>
      </c>
      <c r="S26" s="327"/>
      <c r="T26" s="327"/>
      <c r="W26" s="342"/>
      <c r="AC26" s="408"/>
    </row>
    <row r="27" spans="1:46" s="129" customFormat="1" x14ac:dyDescent="0.2">
      <c r="B27" s="129" t="s">
        <v>662</v>
      </c>
      <c r="C27" s="436">
        <f>C26</f>
        <v>0.05</v>
      </c>
      <c r="D27" s="15" t="s">
        <v>59</v>
      </c>
      <c r="E27" s="15"/>
      <c r="F27" s="15"/>
      <c r="G27" s="327">
        <f>Assumptions!I29</f>
        <v>0</v>
      </c>
      <c r="H27" s="327">
        <f t="shared" ref="H27:I27" si="11">$G27</f>
        <v>0</v>
      </c>
      <c r="I27" s="327">
        <f t="shared" si="11"/>
        <v>0</v>
      </c>
      <c r="J27" s="327">
        <f>$G27</f>
        <v>0</v>
      </c>
      <c r="K27" s="327">
        <f>J27*(1+$C27)</f>
        <v>0</v>
      </c>
      <c r="L27" s="327">
        <f>K27*(1+$C27)</f>
        <v>0</v>
      </c>
      <c r="M27" s="327">
        <f t="shared" si="10"/>
        <v>0</v>
      </c>
      <c r="N27" s="327">
        <f t="shared" si="10"/>
        <v>0</v>
      </c>
      <c r="O27" s="327">
        <f t="shared" si="10"/>
        <v>0</v>
      </c>
      <c r="P27" s="327">
        <f t="shared" si="10"/>
        <v>0</v>
      </c>
      <c r="Q27" s="327">
        <f t="shared" si="10"/>
        <v>0</v>
      </c>
      <c r="R27" s="327">
        <f t="shared" si="10"/>
        <v>0</v>
      </c>
      <c r="S27" s="327"/>
      <c r="T27" s="327"/>
      <c r="W27" s="342"/>
      <c r="AC27" s="408"/>
    </row>
    <row r="28" spans="1:46" s="129" customFormat="1" x14ac:dyDescent="0.2">
      <c r="C28" s="436"/>
      <c r="D28" s="15"/>
      <c r="E28" s="15"/>
      <c r="F28" s="15"/>
      <c r="G28" s="327"/>
      <c r="H28" s="340"/>
      <c r="I28" s="327"/>
      <c r="J28" s="327"/>
      <c r="K28" s="327"/>
      <c r="L28" s="327"/>
      <c r="M28" s="327"/>
      <c r="N28" s="327"/>
      <c r="O28" s="327"/>
      <c r="P28" s="327"/>
      <c r="Q28" s="327"/>
      <c r="R28" s="327"/>
      <c r="S28" s="327"/>
      <c r="T28" s="327"/>
      <c r="W28" s="342"/>
      <c r="AC28" s="408"/>
    </row>
    <row r="29" spans="1:46" s="458" customFormat="1" x14ac:dyDescent="0.2">
      <c r="B29" s="459" t="s">
        <v>231</v>
      </c>
      <c r="C29" s="460"/>
      <c r="D29" s="460"/>
      <c r="E29" s="460"/>
      <c r="F29" s="460"/>
      <c r="G29" s="461"/>
      <c r="H29" s="462"/>
      <c r="I29" s="462"/>
      <c r="J29" s="463">
        <f>J60/J22</f>
        <v>1687500</v>
      </c>
      <c r="K29" s="463">
        <f>K60/K22</f>
        <v>2340625</v>
      </c>
      <c r="L29" s="463"/>
      <c r="M29" s="462"/>
      <c r="N29" s="462"/>
      <c r="O29" s="462"/>
      <c r="P29" s="462"/>
      <c r="Q29" s="461" t="str">
        <f>IFERROR(SUM(P52+Q53)/Q22,"")</f>
        <v/>
      </c>
      <c r="R29" s="461" t="str">
        <f>IFERROR(SUM(Q52+R53)/R22,"")</f>
        <v/>
      </c>
      <c r="S29" s="461" t="str">
        <f>IFERROR(SUM(R52+S53)/S22,"")</f>
        <v/>
      </c>
      <c r="W29" s="464"/>
    </row>
    <row r="30" spans="1:46" s="3" customFormat="1" x14ac:dyDescent="0.2">
      <c r="A30" s="55"/>
      <c r="E30" s="6"/>
      <c r="F30" s="6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46" x14ac:dyDescent="0.2">
      <c r="B31" s="34" t="s">
        <v>127</v>
      </c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</row>
    <row r="32" spans="1:46" x14ac:dyDescent="0.2">
      <c r="B32" s="4"/>
    </row>
    <row r="33" spans="2:20" x14ac:dyDescent="0.2">
      <c r="B33" s="81" t="s">
        <v>663</v>
      </c>
      <c r="T33" s="61"/>
    </row>
    <row r="34" spans="2:20" x14ac:dyDescent="0.2">
      <c r="B34" s="81"/>
      <c r="T34" s="61"/>
    </row>
    <row r="35" spans="2:20" x14ac:dyDescent="0.2">
      <c r="B35" s="499" t="s">
        <v>467</v>
      </c>
      <c r="T35" s="61">
        <f t="shared" ref="T35:T38" si="12">SUM(G35:R35)</f>
        <v>0</v>
      </c>
    </row>
    <row r="36" spans="2:20" x14ac:dyDescent="0.2">
      <c r="B36" s="133" t="s">
        <v>664</v>
      </c>
      <c r="I36" s="92" t="str">
        <f>'Proforma Land+Home'!G50</f>
        <v>Before, we've put $15M into the Land+Home proforma to "pay ourselves" for the value created for the Resort Lot</v>
      </c>
      <c r="T36" s="61">
        <f t="shared" si="12"/>
        <v>0</v>
      </c>
    </row>
    <row r="37" spans="2:20" x14ac:dyDescent="0.2">
      <c r="B37" s="133" t="s">
        <v>665</v>
      </c>
      <c r="H37" s="68"/>
      <c r="T37" s="61">
        <f t="shared" si="12"/>
        <v>0</v>
      </c>
    </row>
    <row r="38" spans="2:20" x14ac:dyDescent="0.2">
      <c r="B38" s="688" t="s">
        <v>469</v>
      </c>
      <c r="C38" s="225"/>
      <c r="D38" s="225"/>
      <c r="E38" s="225"/>
      <c r="F38" s="225"/>
      <c r="G38" s="225"/>
      <c r="H38" s="309"/>
      <c r="I38" s="22">
        <f>-H38-I213</f>
        <v>0</v>
      </c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690">
        <f t="shared" si="12"/>
        <v>0</v>
      </c>
    </row>
    <row r="39" spans="2:20" x14ac:dyDescent="0.2">
      <c r="B39" t="s">
        <v>467</v>
      </c>
      <c r="G39" s="92">
        <f t="shared" ref="G39:H39" si="13">G36+G37+G38</f>
        <v>0</v>
      </c>
      <c r="H39" s="92">
        <f t="shared" si="13"/>
        <v>0</v>
      </c>
      <c r="I39" s="92" t="e">
        <f>I36+I37+I38</f>
        <v>#VALUE!</v>
      </c>
      <c r="J39" s="92">
        <f t="shared" ref="J39:S39" si="14">J36+J37+J38</f>
        <v>0</v>
      </c>
      <c r="K39" s="92">
        <f t="shared" si="14"/>
        <v>0</v>
      </c>
      <c r="L39" s="92">
        <f t="shared" si="14"/>
        <v>0</v>
      </c>
      <c r="M39" s="92">
        <f t="shared" si="14"/>
        <v>0</v>
      </c>
      <c r="N39" s="92">
        <f t="shared" si="14"/>
        <v>0</v>
      </c>
      <c r="O39" s="92">
        <f t="shared" si="14"/>
        <v>0</v>
      </c>
      <c r="P39" s="92">
        <f t="shared" si="14"/>
        <v>0</v>
      </c>
      <c r="Q39" s="92">
        <f t="shared" si="14"/>
        <v>0</v>
      </c>
      <c r="R39" s="92">
        <f t="shared" si="14"/>
        <v>0</v>
      </c>
      <c r="S39" s="92">
        <f t="shared" si="14"/>
        <v>0</v>
      </c>
      <c r="T39" s="92" t="e">
        <f>SUM(G39:R39)</f>
        <v>#VALUE!</v>
      </c>
    </row>
    <row r="40" spans="2:20" x14ac:dyDescent="0.2">
      <c r="B40" s="81"/>
      <c r="T40" s="61"/>
    </row>
    <row r="41" spans="2:20" x14ac:dyDescent="0.2">
      <c r="B41" s="499" t="s">
        <v>251</v>
      </c>
      <c r="T41" s="61"/>
    </row>
    <row r="42" spans="2:20" x14ac:dyDescent="0.2">
      <c r="B42" s="133" t="s">
        <v>473</v>
      </c>
      <c r="E42" s="92"/>
      <c r="F42" s="92"/>
      <c r="G42" s="92"/>
      <c r="H42" s="92">
        <f>SUM(G183:H183)*(1+C200+C201)*0.955-H39</f>
        <v>15103341.594137302</v>
      </c>
      <c r="I42" s="92" t="e">
        <f ca="1">W191-H42</f>
        <v>#VALUE!</v>
      </c>
      <c r="J42" s="92"/>
      <c r="K42" s="92"/>
      <c r="L42" s="92"/>
      <c r="M42" s="92"/>
      <c r="N42" s="92"/>
      <c r="O42" s="92"/>
      <c r="P42" s="92"/>
      <c r="Q42" s="92"/>
      <c r="R42" s="92"/>
      <c r="S42" s="91"/>
      <c r="T42" s="67" t="e">
        <f ca="1">SUM(G42:R42)</f>
        <v>#VALUE!</v>
      </c>
    </row>
    <row r="43" spans="2:20" x14ac:dyDescent="0.2">
      <c r="B43" s="133" t="s">
        <v>474</v>
      </c>
      <c r="C43" s="68" t="e">
        <f ca="1">W190</f>
        <v>#VALUE!</v>
      </c>
      <c r="D43" s="10"/>
      <c r="E43" s="67"/>
      <c r="F43" s="92"/>
      <c r="G43" s="67"/>
      <c r="H43" s="67">
        <f t="shared" ref="H43:M43" si="15">MAX(H183+H200+H201-H39-H42-H53-H60-G248,0)</f>
        <v>0</v>
      </c>
      <c r="I43" s="67" t="e">
        <f t="shared" ca="1" si="15"/>
        <v>#VALUE!</v>
      </c>
      <c r="J43" s="67" t="e">
        <f t="shared" ca="1" si="15"/>
        <v>#VALUE!</v>
      </c>
      <c r="K43" s="67" t="e">
        <f t="shared" ca="1" si="15"/>
        <v>#VALUE!</v>
      </c>
      <c r="L43" s="67" t="e">
        <f t="shared" ca="1" si="15"/>
        <v>#VALUE!</v>
      </c>
      <c r="M43" s="67" t="e">
        <f t="shared" ca="1" si="15"/>
        <v>#VALUE!</v>
      </c>
      <c r="N43" s="67"/>
      <c r="O43" s="67"/>
      <c r="P43" s="67"/>
      <c r="Q43" s="67"/>
      <c r="R43" s="67"/>
      <c r="S43" s="67"/>
      <c r="T43" s="67" t="e">
        <f ca="1">SUM(G43:R43)</f>
        <v>#VALUE!</v>
      </c>
    </row>
    <row r="44" spans="2:20" x14ac:dyDescent="0.2">
      <c r="B44" s="688" t="s">
        <v>476</v>
      </c>
      <c r="C44" s="309"/>
      <c r="D44" s="27"/>
      <c r="E44" s="77"/>
      <c r="F44" s="77"/>
      <c r="G44" s="77"/>
      <c r="H44" s="77" t="e">
        <f ca="1">IF(SUM($G44:G44)+$T43&lt;$C$43,MIN(H187+H188,$C$43-$T$43-SUM($G44:G44)),0)</f>
        <v>#VALUE!</v>
      </c>
      <c r="I44" s="77" t="e">
        <f ca="1">IF(SUM($G44:H44)+$T43&lt;$C$43,MIN(I187+I188,$C$43-$T$43-SUM($G44:H44)),0)</f>
        <v>#VALUE!</v>
      </c>
      <c r="J44" s="77" t="e">
        <f ca="1">IF(SUM($G44:I44)+$T43&lt;$C$43,MIN(J187+J188,$C$43-$T$43-SUM($G44:I44)),0)</f>
        <v>#VALUE!</v>
      </c>
      <c r="K44" s="77" t="e">
        <f ca="1">IF(SUM($G44:J44)+$T43&lt;$C$43,MIN(K187+K188,$C$43-$T$43-SUM($G44:J44)),0)</f>
        <v>#VALUE!</v>
      </c>
      <c r="L44" s="77" t="e">
        <f ca="1">IF(SUM($G44:K44)+$T43&lt;$C$43,MIN(L187+L188,$C$43-$T$43-SUM($G44:K44)),0)</f>
        <v>#VALUE!</v>
      </c>
      <c r="M44" s="77" t="e">
        <f ca="1">IF(SUM($G44:L44)+$T43&lt;$C$43,MIN(M187+M188,$C$43-$T$43-SUM($G44:L44)),0)</f>
        <v>#VALUE!</v>
      </c>
      <c r="N44" s="77" t="e">
        <f ca="1">IF(SUM($G44:M44)+$T43&lt;$C$43,MIN(N187+N188,$C$43-$T$43-SUM($G44:M44)),0)</f>
        <v>#VALUE!</v>
      </c>
      <c r="O44" s="77" t="e">
        <f ca="1">IF(SUM($G44:N44)+$T43&lt;$C$43,MIN(O187+O188,$C$43-$T$43-SUM($G44:N44)),0)</f>
        <v>#VALUE!</v>
      </c>
      <c r="P44" s="77" t="e">
        <f ca="1">IF(SUM($G44:O44)+$T43&lt;$C$43,MIN(P187+P188,$C$43-$T$43-SUM($G44:O44)),0)</f>
        <v>#VALUE!</v>
      </c>
      <c r="Q44" s="77" t="e">
        <f ca="1">IF(SUM($G44:P44)+$T43&lt;$C$43,MIN(Q187+Q188,$C$43-$T$43-SUM($G44:P44)),0)</f>
        <v>#VALUE!</v>
      </c>
      <c r="R44" s="77" t="e">
        <f ca="1">IF(SUM($G44:Q44)+$T43&lt;$C$43,MIN(R187+R188,$C$43-$T$43-SUM($G44:Q44)),0)</f>
        <v>#VALUE!</v>
      </c>
      <c r="S44" s="77"/>
      <c r="T44" s="77" t="e">
        <f ca="1">SUM(G44:R44)</f>
        <v>#VALUE!</v>
      </c>
    </row>
    <row r="45" spans="2:20" x14ac:dyDescent="0.2">
      <c r="B45" t="s">
        <v>251</v>
      </c>
      <c r="C45" s="68"/>
      <c r="D45" s="10"/>
      <c r="E45" s="67"/>
      <c r="F45" s="92"/>
      <c r="G45" s="67">
        <f t="shared" ref="G45:T45" si="16">SUM(G42:G44)</f>
        <v>0</v>
      </c>
      <c r="H45" s="67" t="e">
        <f t="shared" ca="1" si="16"/>
        <v>#VALUE!</v>
      </c>
      <c r="I45" s="67" t="e">
        <f t="shared" ca="1" si="16"/>
        <v>#VALUE!</v>
      </c>
      <c r="J45" s="67" t="e">
        <f t="shared" ca="1" si="16"/>
        <v>#VALUE!</v>
      </c>
      <c r="K45" s="67" t="e">
        <f t="shared" ca="1" si="16"/>
        <v>#VALUE!</v>
      </c>
      <c r="L45" s="67" t="e">
        <f t="shared" ca="1" si="16"/>
        <v>#VALUE!</v>
      </c>
      <c r="M45" s="67" t="e">
        <f t="shared" ca="1" si="16"/>
        <v>#VALUE!</v>
      </c>
      <c r="N45" s="67" t="e">
        <f t="shared" ca="1" si="16"/>
        <v>#VALUE!</v>
      </c>
      <c r="O45" s="67" t="e">
        <f t="shared" ca="1" si="16"/>
        <v>#VALUE!</v>
      </c>
      <c r="P45" s="67" t="e">
        <f t="shared" ca="1" si="16"/>
        <v>#VALUE!</v>
      </c>
      <c r="Q45" s="67" t="e">
        <f t="shared" ca="1" si="16"/>
        <v>#VALUE!</v>
      </c>
      <c r="R45" s="67" t="e">
        <f t="shared" ca="1" si="16"/>
        <v>#VALUE!</v>
      </c>
      <c r="S45" s="67">
        <f t="shared" si="16"/>
        <v>0</v>
      </c>
      <c r="T45" s="67" t="e">
        <f t="shared" ca="1" si="16"/>
        <v>#VALUE!</v>
      </c>
    </row>
    <row r="46" spans="2:20" x14ac:dyDescent="0.2">
      <c r="B46" s="133"/>
      <c r="C46" s="15"/>
      <c r="D46" s="10"/>
      <c r="E46" s="67"/>
      <c r="F46" s="92"/>
      <c r="G46" s="67"/>
      <c r="H46" s="71"/>
      <c r="I46" s="71"/>
      <c r="J46" s="71"/>
      <c r="K46" s="71"/>
      <c r="L46" s="71"/>
      <c r="M46" s="71"/>
      <c r="N46" s="71"/>
      <c r="O46" s="67"/>
      <c r="P46" s="67"/>
      <c r="Q46" s="67"/>
      <c r="R46" s="67"/>
      <c r="S46" s="67"/>
      <c r="T46" s="23"/>
    </row>
    <row r="47" spans="2:20" outlineLevel="1" x14ac:dyDescent="0.2">
      <c r="B47" s="81" t="s">
        <v>666</v>
      </c>
      <c r="G47" s="706"/>
      <c r="H47" s="706"/>
      <c r="I47" s="706"/>
      <c r="J47" s="706"/>
      <c r="K47" s="706"/>
      <c r="L47" s="706"/>
      <c r="M47" s="706"/>
      <c r="N47" s="706"/>
      <c r="T47" s="61"/>
    </row>
    <row r="48" spans="2:20" outlineLevel="1" x14ac:dyDescent="0.2">
      <c r="B48" s="133" t="str">
        <f>'A+H Monthly CF'!B98</f>
        <v>Gross Operating Profit</v>
      </c>
      <c r="C48" s="172"/>
      <c r="D48" s="16"/>
      <c r="E48" s="32"/>
      <c r="F48" s="91"/>
      <c r="G48" s="67"/>
      <c r="H48" s="67"/>
      <c r="I48" s="67" cm="1">
        <f t="array" aca="1" ref="I48" ca="1">INDEX('A+H Annual CF'!$C$63:$Y$63,0,MATCH(I4,'A+H Annual CF'!$C$6:$Y$6,0))</f>
        <v>0</v>
      </c>
      <c r="J48" s="67" cm="1">
        <f t="array" aca="1" ref="J48" ca="1">INDEX('A+H Annual CF'!$C$63:$Y$63,0,MATCH(J4,'A+H Annual CF'!$C$6:$Y$6,0))</f>
        <v>604064.36574000015</v>
      </c>
      <c r="K48" s="67" cm="1">
        <f t="array" aca="1" ref="K48" ca="1">INDEX('A+H Annual CF'!$C$63:$Y$63,0,MATCH(K4,'A+H Annual CF'!$C$6:$Y$6,0))</f>
        <v>2802414.856360544</v>
      </c>
      <c r="L48" s="67" cm="1">
        <f t="array" aca="1" ref="L48" ca="1">INDEX('A+H Annual CF'!$C$63:$Y$63,0,MATCH(L4,'A+H Annual CF'!$C$6:$Y$6,0))</f>
        <v>5638595.358415883</v>
      </c>
      <c r="M48" s="67" cm="1">
        <f t="array" aca="1" ref="M48" ca="1">INDEX('A+H Annual CF'!$C$63:$Y$63,0,MATCH(M4,'A+H Annual CF'!$C$6:$Y$6,0))</f>
        <v>6632922.3040888496</v>
      </c>
      <c r="N48" s="67" cm="1">
        <f t="array" aca="1" ref="N48" ca="1">INDEX('A+H Annual CF'!$C$63:$Y$63,0,MATCH(N4,'A+H Annual CF'!$C$6:$Y$6,0))</f>
        <v>7681803.8906796286</v>
      </c>
      <c r="O48" s="67"/>
      <c r="P48" s="67"/>
      <c r="Q48" s="67"/>
      <c r="R48" s="67"/>
      <c r="S48" s="67"/>
      <c r="T48" s="12">
        <f ca="1">SUM(G48:R48)</f>
        <v>23359800.775284905</v>
      </c>
    </row>
    <row r="49" spans="1:20" outlineLevel="1" x14ac:dyDescent="0.2">
      <c r="B49" s="173" t="s">
        <v>667</v>
      </c>
      <c r="C49" s="172"/>
      <c r="D49" s="16"/>
      <c r="E49" s="16"/>
      <c r="F49" s="16"/>
      <c r="G49" s="174">
        <v>0</v>
      </c>
      <c r="H49" s="174">
        <v>0</v>
      </c>
      <c r="I49" s="174">
        <v>0</v>
      </c>
      <c r="J49" s="174">
        <v>-0.5</v>
      </c>
      <c r="K49" s="174">
        <v>-0.25</v>
      </c>
      <c r="L49" s="174">
        <v>0</v>
      </c>
      <c r="M49" s="174">
        <v>0</v>
      </c>
      <c r="N49" s="174">
        <v>0</v>
      </c>
      <c r="O49" s="175"/>
      <c r="P49" s="175"/>
      <c r="Q49" s="175"/>
      <c r="R49" s="175"/>
      <c r="S49" s="175"/>
      <c r="T49" s="12"/>
    </row>
    <row r="50" spans="1:20" outlineLevel="1" x14ac:dyDescent="0.2">
      <c r="B50" s="133" t="s">
        <v>668</v>
      </c>
      <c r="C50" s="15"/>
      <c r="D50" s="16"/>
      <c r="E50" s="32"/>
      <c r="F50" s="91"/>
      <c r="G50" s="67">
        <f t="shared" ref="G50:N50" si="17">G48*(1+G49)</f>
        <v>0</v>
      </c>
      <c r="H50" s="67">
        <f t="shared" si="17"/>
        <v>0</v>
      </c>
      <c r="I50" s="67">
        <f t="shared" ca="1" si="17"/>
        <v>0</v>
      </c>
      <c r="J50" s="67">
        <f t="shared" ca="1" si="17"/>
        <v>302032.18287000008</v>
      </c>
      <c r="K50" s="67">
        <f t="shared" ca="1" si="17"/>
        <v>2101811.1422704081</v>
      </c>
      <c r="L50" s="67">
        <f t="shared" ca="1" si="17"/>
        <v>5638595.358415883</v>
      </c>
      <c r="M50" s="67">
        <f t="shared" ca="1" si="17"/>
        <v>6632922.3040888496</v>
      </c>
      <c r="N50" s="67">
        <f t="shared" ca="1" si="17"/>
        <v>7681803.8906796286</v>
      </c>
      <c r="O50" s="67"/>
      <c r="P50" s="67"/>
      <c r="Q50" s="67"/>
      <c r="R50" s="67"/>
      <c r="S50" s="32"/>
      <c r="T50" s="12">
        <f ca="1">SUM(G50:R50)</f>
        <v>22357164.878324769</v>
      </c>
    </row>
    <row r="51" spans="1:20" outlineLevel="1" x14ac:dyDescent="0.2">
      <c r="B51" s="166" t="s">
        <v>669</v>
      </c>
      <c r="C51" s="48"/>
      <c r="D51" s="11"/>
      <c r="E51" s="11"/>
      <c r="F51" s="11"/>
      <c r="G51" s="16"/>
      <c r="H51" s="16">
        <v>0</v>
      </c>
      <c r="I51" s="16">
        <v>0</v>
      </c>
      <c r="J51" s="16">
        <v>2</v>
      </c>
      <c r="K51" s="16">
        <v>9.5</v>
      </c>
      <c r="L51" s="16">
        <v>52</v>
      </c>
      <c r="M51" s="16">
        <v>57.5</v>
      </c>
      <c r="N51" s="16">
        <v>57.5</v>
      </c>
      <c r="O51" s="16"/>
      <c r="P51" s="16"/>
      <c r="Q51" s="16"/>
      <c r="R51" s="16"/>
      <c r="S51" s="11"/>
      <c r="T51" s="11"/>
    </row>
    <row r="52" spans="1:20" outlineLevel="1" x14ac:dyDescent="0.2">
      <c r="B52" s="171" t="s">
        <v>670</v>
      </c>
      <c r="C52" s="309">
        <v>35000</v>
      </c>
      <c r="D52" s="310" t="s">
        <v>671</v>
      </c>
      <c r="E52" s="22"/>
      <c r="F52" s="22"/>
      <c r="G52" s="22"/>
      <c r="H52" s="22">
        <f>IF(H3&lt;=Assumptions!$C$30,$C$52*H51,0)</f>
        <v>0</v>
      </c>
      <c r="I52" s="22">
        <f>IF(I3&lt;=Assumptions!$C$30,$C$52*I51,0)</f>
        <v>0</v>
      </c>
      <c r="J52" s="22">
        <f>IF(J3&lt;=Assumptions!$C$30,$C$52*J51,0)</f>
        <v>70000</v>
      </c>
      <c r="K52" s="22">
        <f>IF(K3&lt;=Assumptions!$C$30,$C$52*K51,0)</f>
        <v>332500</v>
      </c>
      <c r="L52" s="22">
        <f>IF(L3&lt;=Assumptions!$C$30,$C$52*L51,0)</f>
        <v>1820000</v>
      </c>
      <c r="M52" s="22">
        <f>IF(M3&lt;=Assumptions!$C$30,$C$52*M51,0)</f>
        <v>2012500</v>
      </c>
      <c r="N52" s="22">
        <f>IF(N3&lt;=Assumptions!$C$30,$C$52*N51,0)</f>
        <v>2012500</v>
      </c>
      <c r="O52" s="22"/>
      <c r="P52" s="22"/>
      <c r="Q52" s="22"/>
      <c r="R52" s="22"/>
      <c r="S52" s="22"/>
      <c r="T52" s="21">
        <f>SUM(G52:R52)</f>
        <v>6247500</v>
      </c>
    </row>
    <row r="53" spans="1:20" s="3" customFormat="1" x14ac:dyDescent="0.2">
      <c r="A53" s="55"/>
      <c r="B53" s="3" t="s">
        <v>672</v>
      </c>
      <c r="C53" s="31"/>
      <c r="D53" s="24"/>
      <c r="E53" s="24"/>
      <c r="F53" s="24"/>
      <c r="G53" s="24">
        <f t="shared" ref="G53:R53" si="18">G50+G52</f>
        <v>0</v>
      </c>
      <c r="H53" s="24">
        <f t="shared" si="18"/>
        <v>0</v>
      </c>
      <c r="I53" s="24">
        <f t="shared" ca="1" si="18"/>
        <v>0</v>
      </c>
      <c r="J53" s="24">
        <f t="shared" ca="1" si="18"/>
        <v>372032.18287000008</v>
      </c>
      <c r="K53" s="24">
        <f t="shared" ca="1" si="18"/>
        <v>2434311.1422704081</v>
      </c>
      <c r="L53" s="24">
        <f t="shared" ca="1" si="18"/>
        <v>7458595.358415883</v>
      </c>
      <c r="M53" s="24">
        <f t="shared" ca="1" si="18"/>
        <v>8645422.3040888496</v>
      </c>
      <c r="N53" s="24">
        <f t="shared" ca="1" si="18"/>
        <v>9694303.8906796277</v>
      </c>
      <c r="O53" s="24">
        <f t="shared" si="18"/>
        <v>0</v>
      </c>
      <c r="P53" s="24">
        <f t="shared" si="18"/>
        <v>0</v>
      </c>
      <c r="Q53" s="24">
        <f t="shared" si="18"/>
        <v>0</v>
      </c>
      <c r="R53" s="24">
        <f t="shared" si="18"/>
        <v>0</v>
      </c>
      <c r="S53" s="24"/>
      <c r="T53" s="66">
        <f ca="1">SUM(G53:R53)</f>
        <v>28604664.878324769</v>
      </c>
    </row>
    <row r="54" spans="1:20" x14ac:dyDescent="0.2">
      <c r="C54" s="14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47"/>
    </row>
    <row r="55" spans="1:20" outlineLevel="1" x14ac:dyDescent="0.2">
      <c r="B55" s="81" t="s">
        <v>260</v>
      </c>
      <c r="C55" s="14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33"/>
      <c r="O55" s="11"/>
      <c r="P55" s="11"/>
      <c r="Q55" s="11"/>
      <c r="R55" s="11"/>
      <c r="S55" s="11"/>
      <c r="T55" s="47"/>
    </row>
    <row r="56" spans="1:20" outlineLevel="1" x14ac:dyDescent="0.2">
      <c r="B56" s="173" t="s">
        <v>673</v>
      </c>
      <c r="C56" s="14"/>
      <c r="D56" s="11"/>
      <c r="E56" s="11"/>
      <c r="F56" s="11"/>
      <c r="G56" s="11">
        <f t="shared" ref="G56:R56" si="19">$C6*G24*G16</f>
        <v>0</v>
      </c>
      <c r="H56" s="11">
        <f t="shared" si="19"/>
        <v>0</v>
      </c>
      <c r="I56" s="11">
        <f t="shared" si="19"/>
        <v>0</v>
      </c>
      <c r="J56" s="11">
        <f t="shared" si="19"/>
        <v>0</v>
      </c>
      <c r="K56" s="11">
        <f t="shared" si="19"/>
        <v>0</v>
      </c>
      <c r="L56" s="11">
        <f t="shared" si="19"/>
        <v>0</v>
      </c>
      <c r="M56" s="11">
        <f t="shared" si="19"/>
        <v>0</v>
      </c>
      <c r="N56" s="11">
        <f t="shared" si="19"/>
        <v>0</v>
      </c>
      <c r="O56" s="11">
        <f t="shared" si="19"/>
        <v>0</v>
      </c>
      <c r="P56" s="11">
        <f t="shared" si="19"/>
        <v>0</v>
      </c>
      <c r="Q56" s="11">
        <f t="shared" si="19"/>
        <v>0</v>
      </c>
      <c r="R56" s="11">
        <f t="shared" si="19"/>
        <v>0</v>
      </c>
      <c r="S56" s="11"/>
      <c r="T56" s="12">
        <f>SUM(G56:R56)</f>
        <v>0</v>
      </c>
    </row>
    <row r="57" spans="1:20" outlineLevel="1" x14ac:dyDescent="0.2">
      <c r="B57" s="173" t="s">
        <v>674</v>
      </c>
      <c r="C57" s="14"/>
      <c r="D57" s="11"/>
      <c r="E57" s="11"/>
      <c r="F57" s="11"/>
      <c r="G57" s="11">
        <f t="shared" ref="G57:R57" si="20">$C7*G25*G17</f>
        <v>0</v>
      </c>
      <c r="H57" s="11">
        <f t="shared" si="20"/>
        <v>0</v>
      </c>
      <c r="I57" s="11">
        <f t="shared" si="20"/>
        <v>0</v>
      </c>
      <c r="J57" s="11">
        <f t="shared" si="20"/>
        <v>5062500</v>
      </c>
      <c r="K57" s="11">
        <f t="shared" si="20"/>
        <v>5315625</v>
      </c>
      <c r="L57" s="11">
        <f t="shared" si="20"/>
        <v>5581406.25</v>
      </c>
      <c r="M57" s="11">
        <f t="shared" si="20"/>
        <v>5860476.5625</v>
      </c>
      <c r="N57" s="11">
        <f t="shared" si="20"/>
        <v>0</v>
      </c>
      <c r="O57" s="11">
        <f t="shared" si="20"/>
        <v>0</v>
      </c>
      <c r="P57" s="11">
        <f t="shared" si="20"/>
        <v>0</v>
      </c>
      <c r="Q57" s="11">
        <f t="shared" si="20"/>
        <v>0</v>
      </c>
      <c r="R57" s="11">
        <f t="shared" si="20"/>
        <v>0</v>
      </c>
      <c r="S57" s="11"/>
      <c r="T57" s="12">
        <f>SUM(G57:R57)</f>
        <v>21820007.8125</v>
      </c>
    </row>
    <row r="58" spans="1:20" outlineLevel="1" x14ac:dyDescent="0.2">
      <c r="B58" s="173" t="s">
        <v>675</v>
      </c>
      <c r="C58" s="14"/>
      <c r="D58" s="11"/>
      <c r="E58" s="11"/>
      <c r="F58" s="11"/>
      <c r="G58" s="11">
        <f t="shared" ref="G58:R58" si="21">$C8*G26*G18</f>
        <v>0</v>
      </c>
      <c r="H58" s="11">
        <f t="shared" si="21"/>
        <v>0</v>
      </c>
      <c r="I58" s="11">
        <f t="shared" si="21"/>
        <v>0</v>
      </c>
      <c r="J58" s="11">
        <f t="shared" si="21"/>
        <v>0</v>
      </c>
      <c r="K58" s="11">
        <f t="shared" si="21"/>
        <v>15750000</v>
      </c>
      <c r="L58" s="11">
        <f t="shared" si="21"/>
        <v>16537500</v>
      </c>
      <c r="M58" s="11">
        <f t="shared" si="21"/>
        <v>17364375</v>
      </c>
      <c r="N58" s="11">
        <f t="shared" si="21"/>
        <v>18232593.750000004</v>
      </c>
      <c r="O58" s="11">
        <f t="shared" si="21"/>
        <v>0</v>
      </c>
      <c r="P58" s="11">
        <f t="shared" si="21"/>
        <v>0</v>
      </c>
      <c r="Q58" s="11">
        <f t="shared" si="21"/>
        <v>0</v>
      </c>
      <c r="R58" s="11">
        <f t="shared" si="21"/>
        <v>0</v>
      </c>
      <c r="S58" s="11"/>
      <c r="T58" s="47">
        <f>SUM(G58:R58)</f>
        <v>67884468.75</v>
      </c>
    </row>
    <row r="59" spans="1:20" outlineLevel="1" x14ac:dyDescent="0.2">
      <c r="B59" s="272" t="s">
        <v>676</v>
      </c>
      <c r="C59" s="315"/>
      <c r="D59" s="22"/>
      <c r="E59" s="22"/>
      <c r="F59" s="22"/>
      <c r="G59" s="22">
        <f t="shared" ref="G59:R59" si="22">$C9*G27*G19</f>
        <v>0</v>
      </c>
      <c r="H59" s="22">
        <f t="shared" si="22"/>
        <v>0</v>
      </c>
      <c r="I59" s="22">
        <f t="shared" si="22"/>
        <v>0</v>
      </c>
      <c r="J59" s="22">
        <f t="shared" si="22"/>
        <v>0</v>
      </c>
      <c r="K59" s="22">
        <f t="shared" si="22"/>
        <v>0</v>
      </c>
      <c r="L59" s="22">
        <f t="shared" si="22"/>
        <v>0</v>
      </c>
      <c r="M59" s="22">
        <f t="shared" si="22"/>
        <v>0</v>
      </c>
      <c r="N59" s="22">
        <f t="shared" si="22"/>
        <v>0</v>
      </c>
      <c r="O59" s="22">
        <f t="shared" si="22"/>
        <v>0</v>
      </c>
      <c r="P59" s="22">
        <f t="shared" si="22"/>
        <v>0</v>
      </c>
      <c r="Q59" s="22">
        <f t="shared" si="22"/>
        <v>0</v>
      </c>
      <c r="R59" s="22">
        <f t="shared" si="22"/>
        <v>0</v>
      </c>
      <c r="S59" s="22"/>
      <c r="T59" s="21">
        <f>SUM(G59:R59)</f>
        <v>0</v>
      </c>
    </row>
    <row r="60" spans="1:20" s="3" customFormat="1" x14ac:dyDescent="0.2">
      <c r="A60" s="55"/>
      <c r="B60" s="322" t="s">
        <v>677</v>
      </c>
      <c r="C60" s="31"/>
      <c r="D60" s="24"/>
      <c r="E60" s="24"/>
      <c r="F60" s="24"/>
      <c r="G60" s="24">
        <f>SUM(G56:G59)</f>
        <v>0</v>
      </c>
      <c r="H60" s="24">
        <f t="shared" ref="H60:R60" si="23">SUM(H56:H59)</f>
        <v>0</v>
      </c>
      <c r="I60" s="24">
        <f t="shared" si="23"/>
        <v>0</v>
      </c>
      <c r="J60" s="24">
        <f t="shared" si="23"/>
        <v>5062500</v>
      </c>
      <c r="K60" s="24">
        <f t="shared" si="23"/>
        <v>21065625</v>
      </c>
      <c r="L60" s="24">
        <f t="shared" si="23"/>
        <v>22118906.25</v>
      </c>
      <c r="M60" s="24">
        <f t="shared" si="23"/>
        <v>23224851.5625</v>
      </c>
      <c r="N60" s="24">
        <f t="shared" si="23"/>
        <v>18232593.750000004</v>
      </c>
      <c r="O60" s="24">
        <f t="shared" si="23"/>
        <v>0</v>
      </c>
      <c r="P60" s="24">
        <f t="shared" si="23"/>
        <v>0</v>
      </c>
      <c r="Q60" s="24">
        <f t="shared" si="23"/>
        <v>0</v>
      </c>
      <c r="R60" s="24">
        <f t="shared" si="23"/>
        <v>0</v>
      </c>
      <c r="S60" s="24"/>
      <c r="T60" s="66">
        <f>SUM(G60:R60)</f>
        <v>89704476.5625</v>
      </c>
    </row>
    <row r="61" spans="1:20" x14ac:dyDescent="0.2">
      <c r="B61" s="3"/>
      <c r="C61" s="31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66"/>
    </row>
    <row r="62" spans="1:20" outlineLevel="1" x14ac:dyDescent="0.2">
      <c r="B62" s="81" t="s">
        <v>678</v>
      </c>
      <c r="S62" s="108"/>
    </row>
    <row r="63" spans="1:20" outlineLevel="1" x14ac:dyDescent="0.2">
      <c r="B63" s="165" t="s">
        <v>679</v>
      </c>
      <c r="C63" s="40">
        <f>Assumptions!C31</f>
        <v>6.5000000000000002E-2</v>
      </c>
      <c r="D63" t="s">
        <v>68</v>
      </c>
      <c r="G63" s="11"/>
      <c r="H63" s="11">
        <f t="shared" ref="H63:Q63" si="24">H53/$C$63</f>
        <v>0</v>
      </c>
      <c r="I63" s="11">
        <f t="shared" ca="1" si="24"/>
        <v>0</v>
      </c>
      <c r="J63" s="11">
        <f t="shared" ca="1" si="24"/>
        <v>5723572.0441538468</v>
      </c>
      <c r="K63" s="11">
        <f t="shared" ca="1" si="24"/>
        <v>37450940.650313966</v>
      </c>
      <c r="L63" s="11">
        <f t="shared" ca="1" si="24"/>
        <v>114747620.89870588</v>
      </c>
      <c r="M63" s="11">
        <f t="shared" ca="1" si="24"/>
        <v>133006496.9859823</v>
      </c>
      <c r="N63" s="11">
        <f t="shared" ca="1" si="24"/>
        <v>149143136.77968657</v>
      </c>
      <c r="O63" s="11">
        <f t="shared" si="24"/>
        <v>0</v>
      </c>
      <c r="P63" s="11">
        <f t="shared" si="24"/>
        <v>0</v>
      </c>
      <c r="Q63" s="11">
        <f t="shared" si="24"/>
        <v>0</v>
      </c>
      <c r="R63" s="11">
        <f>R53/$C$63</f>
        <v>0</v>
      </c>
    </row>
    <row r="64" spans="1:20" outlineLevel="1" x14ac:dyDescent="0.2">
      <c r="B64" s="311"/>
      <c r="C64" s="491"/>
      <c r="D64" s="225"/>
      <c r="E64" s="225"/>
      <c r="F64" s="225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5"/>
      <c r="T64" s="225"/>
    </row>
    <row r="65" spans="1:23" s="3" customFormat="1" x14ac:dyDescent="0.2">
      <c r="A65" s="55"/>
      <c r="B65" s="26" t="s">
        <v>680</v>
      </c>
      <c r="G65" s="24"/>
      <c r="H65" s="24">
        <f>IF(H3=Assumptions!$C$30,H63-H64,0)</f>
        <v>0</v>
      </c>
      <c r="I65" s="24">
        <f>IF(I3=Assumptions!$C$30,I63-I64,0)</f>
        <v>0</v>
      </c>
      <c r="J65" s="24">
        <f>IF(J3=Assumptions!$C$30,J63-J64,0)</f>
        <v>0</v>
      </c>
      <c r="K65" s="24">
        <f>IF(K3=Assumptions!$C$30,K63-K64,0)</f>
        <v>0</v>
      </c>
      <c r="L65" s="24">
        <f>IF(L3=Assumptions!$C$30,L63-L64,0)</f>
        <v>0</v>
      </c>
      <c r="M65" s="24">
        <f>IF(M3=Assumptions!$C$30,M63-M64,0)</f>
        <v>0</v>
      </c>
      <c r="N65" s="24">
        <f ca="1">IF(N3=Assumptions!$C$30,N63-N64,0)</f>
        <v>149143136.77968657</v>
      </c>
      <c r="O65" s="24">
        <f>IF(O3=Assumptions!$C$30,O63-O64,0)</f>
        <v>0</v>
      </c>
      <c r="P65" s="24">
        <f>IF(P3=Assumptions!$C$30,P63-P64,0)</f>
        <v>0</v>
      </c>
      <c r="Q65" s="24">
        <f>IF(Q3=Assumptions!$C$30,Q63-Q64,0)</f>
        <v>0</v>
      </c>
      <c r="R65" s="24">
        <f>IF(R3=Assumptions!$C$30,R63-R64,0)</f>
        <v>0</v>
      </c>
      <c r="T65" s="66">
        <f ca="1">SUM(G65:R65)</f>
        <v>149143136.77968657</v>
      </c>
      <c r="V65" s="24">
        <f ca="1">T65+T60</f>
        <v>238847613.34218657</v>
      </c>
    </row>
    <row r="66" spans="1:23" x14ac:dyDescent="0.2">
      <c r="B66" s="165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23" x14ac:dyDescent="0.2">
      <c r="B67" s="26" t="s">
        <v>132</v>
      </c>
      <c r="C67" s="3"/>
      <c r="D67" s="3"/>
      <c r="E67" s="3"/>
      <c r="F67" s="3"/>
      <c r="G67" s="24">
        <f t="shared" ref="G67:R67" si="25">G39+G45+G53+G60+G65</f>
        <v>0</v>
      </c>
      <c r="H67" s="24" t="e">
        <f t="shared" ca="1" si="25"/>
        <v>#VALUE!</v>
      </c>
      <c r="I67" s="24" t="e">
        <f t="shared" ca="1" si="25"/>
        <v>#VALUE!</v>
      </c>
      <c r="J67" s="24" t="e">
        <f t="shared" ca="1" si="25"/>
        <v>#VALUE!</v>
      </c>
      <c r="K67" s="24" t="e">
        <f t="shared" ca="1" si="25"/>
        <v>#VALUE!</v>
      </c>
      <c r="L67" s="24" t="e">
        <f t="shared" ca="1" si="25"/>
        <v>#VALUE!</v>
      </c>
      <c r="M67" s="24" t="e">
        <f t="shared" ca="1" si="25"/>
        <v>#VALUE!</v>
      </c>
      <c r="N67" s="24" t="e">
        <f t="shared" ca="1" si="25"/>
        <v>#VALUE!</v>
      </c>
      <c r="O67" s="24" t="e">
        <f t="shared" ca="1" si="25"/>
        <v>#VALUE!</v>
      </c>
      <c r="P67" s="24" t="e">
        <f t="shared" ca="1" si="25"/>
        <v>#VALUE!</v>
      </c>
      <c r="Q67" s="24" t="e">
        <f t="shared" ca="1" si="25"/>
        <v>#VALUE!</v>
      </c>
      <c r="R67" s="24" t="e">
        <f t="shared" ca="1" si="25"/>
        <v>#VALUE!</v>
      </c>
      <c r="S67" s="3"/>
      <c r="T67" s="24" t="e">
        <f ca="1">SUM(G67:R67)</f>
        <v>#VALUE!</v>
      </c>
      <c r="V67" s="111" t="e">
        <f ca="1">T43/(T43+T39)</f>
        <v>#VALUE!</v>
      </c>
      <c r="W67" t="s">
        <v>246</v>
      </c>
    </row>
    <row r="68" spans="1:23" x14ac:dyDescent="0.2">
      <c r="B68" s="4"/>
    </row>
    <row r="69" spans="1:23" x14ac:dyDescent="0.2">
      <c r="B69" s="34" t="s">
        <v>133</v>
      </c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</row>
    <row r="70" spans="1:23" x14ac:dyDescent="0.2">
      <c r="B70" s="81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354"/>
    </row>
    <row r="71" spans="1:23" outlineLevel="1" x14ac:dyDescent="0.2">
      <c r="B71" s="165" t="s">
        <v>681</v>
      </c>
      <c r="C71" s="13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354"/>
    </row>
    <row r="72" spans="1:23" outlineLevel="1" x14ac:dyDescent="0.2">
      <c r="B72" s="569" t="s">
        <v>482</v>
      </c>
      <c r="C72" s="90"/>
      <c r="D72" s="25"/>
      <c r="E72" s="61"/>
      <c r="G72" s="10" t="s">
        <v>682</v>
      </c>
      <c r="H72" s="12"/>
      <c r="I72" s="12" t="str">
        <f>'Proforma Land+Home'!G50</f>
        <v>Before, we've put $15M into the Land+Home proforma to "pay ourselves" for the value created for the Resort Lot</v>
      </c>
      <c r="J72" s="12"/>
      <c r="K72" s="12"/>
      <c r="L72" s="12"/>
      <c r="M72" s="12"/>
      <c r="N72" s="12"/>
      <c r="O72" s="12"/>
      <c r="P72" s="12"/>
      <c r="Q72" s="12"/>
      <c r="R72" s="12"/>
      <c r="T72" s="356">
        <f>SUM(G72:R72)</f>
        <v>0</v>
      </c>
      <c r="V72" s="18">
        <f ca="1">T72/V65</f>
        <v>0</v>
      </c>
      <c r="W72" s="140"/>
    </row>
    <row r="73" spans="1:23" outlineLevel="1" x14ac:dyDescent="0.2">
      <c r="A73" s="227"/>
      <c r="B73" s="569" t="s">
        <v>483</v>
      </c>
      <c r="C73" s="90"/>
      <c r="E73" s="90">
        <v>0.02</v>
      </c>
      <c r="G73" s="10" t="s">
        <v>682</v>
      </c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12"/>
      <c r="T73" s="356">
        <f t="shared" ref="T73:T74" si="26">SUM(G73:R73)</f>
        <v>0</v>
      </c>
      <c r="V73" s="70"/>
      <c r="W73" s="140"/>
    </row>
    <row r="74" spans="1:23" outlineLevel="1" x14ac:dyDescent="0.2">
      <c r="A74" s="227"/>
      <c r="B74" s="569" t="s">
        <v>484</v>
      </c>
      <c r="C74" s="90"/>
      <c r="E74" s="102">
        <v>1.5E-3</v>
      </c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12"/>
      <c r="T74" s="356">
        <f t="shared" si="26"/>
        <v>0</v>
      </c>
      <c r="V74" s="70"/>
      <c r="W74" s="140"/>
    </row>
    <row r="75" spans="1:23" s="3" customFormat="1" x14ac:dyDescent="0.2">
      <c r="A75" s="55"/>
      <c r="B75" s="85" t="s">
        <v>683</v>
      </c>
      <c r="C75" s="49"/>
      <c r="D75" s="49"/>
      <c r="E75" s="49"/>
      <c r="G75" s="357"/>
      <c r="H75" s="357">
        <f>H72+H73</f>
        <v>0</v>
      </c>
      <c r="I75" s="357" t="e">
        <f>I72+I73</f>
        <v>#VALUE!</v>
      </c>
      <c r="J75" s="357">
        <f t="shared" ref="J75:R75" si="27">J72+J73</f>
        <v>0</v>
      </c>
      <c r="K75" s="357">
        <f t="shared" si="27"/>
        <v>0</v>
      </c>
      <c r="L75" s="357">
        <f t="shared" si="27"/>
        <v>0</v>
      </c>
      <c r="M75" s="357">
        <f t="shared" si="27"/>
        <v>0</v>
      </c>
      <c r="N75" s="357">
        <f t="shared" si="27"/>
        <v>0</v>
      </c>
      <c r="O75" s="357">
        <f t="shared" si="27"/>
        <v>0</v>
      </c>
      <c r="P75" s="357">
        <f t="shared" si="27"/>
        <v>0</v>
      </c>
      <c r="Q75" s="357">
        <f t="shared" si="27"/>
        <v>0</v>
      </c>
      <c r="R75" s="357">
        <f t="shared" si="27"/>
        <v>0</v>
      </c>
      <c r="S75" s="357"/>
      <c r="T75" s="357" t="e">
        <f>SUM(G75:R75)</f>
        <v>#VALUE!</v>
      </c>
      <c r="V75" s="63" t="e">
        <f ca="1">T75/V65</f>
        <v>#VALUE!</v>
      </c>
      <c r="W75" s="219" t="s">
        <v>684</v>
      </c>
    </row>
    <row r="76" spans="1:23" x14ac:dyDescent="0.2">
      <c r="B76" s="4"/>
      <c r="E76" s="73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354"/>
    </row>
    <row r="77" spans="1:23" ht="16.25" customHeight="1" outlineLevel="1" x14ac:dyDescent="0.2">
      <c r="B77" s="375" t="s">
        <v>685</v>
      </c>
      <c r="C77" s="376" t="s">
        <v>395</v>
      </c>
      <c r="D77" s="376" t="s">
        <v>686</v>
      </c>
      <c r="E77" s="376" t="s">
        <v>129</v>
      </c>
      <c r="F77" s="112"/>
      <c r="G77" s="35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354"/>
    </row>
    <row r="78" spans="1:23" outlineLevel="1" x14ac:dyDescent="0.2">
      <c r="B78" s="375" t="s">
        <v>687</v>
      </c>
      <c r="C78" s="78"/>
      <c r="D78" s="78"/>
      <c r="E78" s="120"/>
      <c r="F78" s="119"/>
      <c r="G78" s="359"/>
      <c r="H78" s="356"/>
      <c r="I78" s="356"/>
      <c r="J78" s="356"/>
      <c r="K78" s="356"/>
      <c r="L78" s="356"/>
      <c r="M78" s="356"/>
      <c r="N78" s="356"/>
      <c r="O78" s="356"/>
      <c r="P78" s="356"/>
      <c r="Q78" s="356"/>
      <c r="R78" s="356"/>
      <c r="S78" s="356"/>
      <c r="T78" s="356"/>
    </row>
    <row r="79" spans="1:23" outlineLevel="1" x14ac:dyDescent="0.2">
      <c r="B79" s="166" t="s">
        <v>688</v>
      </c>
      <c r="C79" s="78">
        <v>1</v>
      </c>
      <c r="D79" s="78">
        <v>5000</v>
      </c>
      <c r="E79" s="120">
        <v>1000</v>
      </c>
      <c r="F79" s="119"/>
      <c r="H79" s="356">
        <f t="shared" ref="H79:I79" si="28">$E79*$D79/2</f>
        <v>2500000</v>
      </c>
      <c r="I79" s="356">
        <f t="shared" si="28"/>
        <v>2500000</v>
      </c>
      <c r="J79" s="356"/>
      <c r="M79" s="356"/>
      <c r="N79" s="356"/>
      <c r="O79" s="356"/>
      <c r="P79" s="356"/>
      <c r="Q79" s="356"/>
      <c r="R79" s="356"/>
      <c r="S79" s="356"/>
      <c r="T79" s="356">
        <f>SUM(I79:R79)</f>
        <v>2500000</v>
      </c>
    </row>
    <row r="80" spans="1:23" outlineLevel="1" x14ac:dyDescent="0.2">
      <c r="B80" s="630" t="s">
        <v>689</v>
      </c>
      <c r="C80" s="78">
        <v>1</v>
      </c>
      <c r="D80" s="78">
        <v>3000</v>
      </c>
      <c r="E80" s="120">
        <v>250</v>
      </c>
      <c r="F80" s="119"/>
      <c r="H80" s="356">
        <f>$E80*$D80/2</f>
        <v>375000</v>
      </c>
      <c r="I80" s="356">
        <f>H80</f>
        <v>375000</v>
      </c>
      <c r="M80" s="356"/>
      <c r="N80" s="356"/>
      <c r="O80" s="356"/>
      <c r="P80" s="356"/>
      <c r="Q80" s="356"/>
      <c r="R80" s="356"/>
      <c r="S80" s="356"/>
      <c r="T80" s="356">
        <f>SUM(J80:R80)</f>
        <v>0</v>
      </c>
    </row>
    <row r="81" spans="1:22" outlineLevel="1" x14ac:dyDescent="0.2">
      <c r="B81" s="166" t="s">
        <v>690</v>
      </c>
      <c r="C81" s="78">
        <v>6</v>
      </c>
      <c r="D81" s="78">
        <f>C81*350</f>
        <v>2100</v>
      </c>
      <c r="E81" s="120">
        <v>500</v>
      </c>
      <c r="F81" s="119"/>
      <c r="H81" s="356">
        <f>$E81*$D81/2</f>
        <v>525000</v>
      </c>
      <c r="I81" s="356">
        <f>$E81*$D81/2</f>
        <v>525000</v>
      </c>
      <c r="J81" s="356"/>
      <c r="K81" s="356"/>
      <c r="M81" s="356"/>
      <c r="N81" s="356"/>
      <c r="O81" s="356"/>
      <c r="P81" s="356"/>
      <c r="Q81" s="356"/>
      <c r="R81" s="356"/>
      <c r="S81" s="356"/>
      <c r="T81" s="356">
        <f>SUM(I81:R81)</f>
        <v>525000</v>
      </c>
    </row>
    <row r="82" spans="1:22" outlineLevel="1" x14ac:dyDescent="0.2">
      <c r="B82" s="166" t="s">
        <v>691</v>
      </c>
      <c r="C82" s="78">
        <f>C81</f>
        <v>6</v>
      </c>
      <c r="D82" s="78">
        <f>C82*300</f>
        <v>1800</v>
      </c>
      <c r="E82" s="120">
        <v>500</v>
      </c>
      <c r="F82" s="119"/>
      <c r="H82" s="356">
        <f>$E82*$D82/2</f>
        <v>450000</v>
      </c>
      <c r="I82" s="356">
        <f>$E82*$D82/2</f>
        <v>450000</v>
      </c>
      <c r="J82" s="356"/>
      <c r="K82" s="356"/>
      <c r="M82" s="356"/>
      <c r="N82" s="356"/>
      <c r="O82" s="356"/>
      <c r="P82" s="356"/>
      <c r="Q82" s="356"/>
      <c r="R82" s="356"/>
      <c r="S82" s="356"/>
      <c r="T82" s="356">
        <f>SUM(I82:R82)</f>
        <v>450000</v>
      </c>
    </row>
    <row r="83" spans="1:22" outlineLevel="1" x14ac:dyDescent="0.2">
      <c r="B83" s="166" t="s">
        <v>692</v>
      </c>
      <c r="C83" s="78">
        <v>3</v>
      </c>
      <c r="D83" s="78">
        <f>C83*1450</f>
        <v>4350</v>
      </c>
      <c r="E83" s="120">
        <v>250</v>
      </c>
      <c r="F83" s="119"/>
      <c r="H83" s="356">
        <f>$E83*$D83/2</f>
        <v>543750</v>
      </c>
      <c r="I83" s="356">
        <f>$E83*$D83/2</f>
        <v>543750</v>
      </c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>
        <f>SUM(I83:R83)</f>
        <v>543750</v>
      </c>
    </row>
    <row r="84" spans="1:22" outlineLevel="1" x14ac:dyDescent="0.2">
      <c r="B84" s="166" t="s">
        <v>693</v>
      </c>
      <c r="C84" s="78">
        <v>1</v>
      </c>
      <c r="D84" s="78">
        <v>2000</v>
      </c>
      <c r="E84" s="412">
        <v>250</v>
      </c>
      <c r="F84" s="119"/>
      <c r="H84" s="356">
        <f>$E84*$D84/2</f>
        <v>250000</v>
      </c>
      <c r="I84" s="356">
        <f>H84</f>
        <v>250000</v>
      </c>
      <c r="J84" s="356"/>
      <c r="M84" s="356"/>
      <c r="N84" s="356"/>
      <c r="O84" s="356"/>
      <c r="P84" s="356"/>
      <c r="Q84" s="356"/>
      <c r="R84" s="356"/>
      <c r="S84" s="356"/>
      <c r="T84" s="356">
        <f>SUM(I84:R84)</f>
        <v>250000</v>
      </c>
    </row>
    <row r="85" spans="1:22" outlineLevel="1" x14ac:dyDescent="0.2">
      <c r="B85" s="166" t="s">
        <v>694</v>
      </c>
      <c r="C85" s="108"/>
      <c r="D85" s="108">
        <f>D79+D80+D81+D82+D83+D84</f>
        <v>18250</v>
      </c>
      <c r="E85" s="465">
        <v>50</v>
      </c>
      <c r="F85" s="119"/>
      <c r="H85" s="356"/>
      <c r="I85" s="356">
        <f>($D85*$E85)*0.5</f>
        <v>456250</v>
      </c>
      <c r="J85" s="356">
        <f>($D85*$E85)*0.5</f>
        <v>456250</v>
      </c>
      <c r="K85" s="356"/>
      <c r="M85" s="356"/>
      <c r="N85" s="356"/>
      <c r="O85" s="356"/>
      <c r="P85" s="356"/>
      <c r="Q85" s="356"/>
      <c r="R85" s="356"/>
      <c r="S85" s="356"/>
      <c r="T85" s="356">
        <f>SUM(I85:R85)</f>
        <v>912500</v>
      </c>
    </row>
    <row r="86" spans="1:22" s="3" customFormat="1" outlineLevel="1" x14ac:dyDescent="0.2">
      <c r="A86" s="55"/>
      <c r="B86" s="377" t="str">
        <f>B78</f>
        <v>Phase 1 - Amenity Build Out</v>
      </c>
      <c r="C86" s="107"/>
      <c r="D86" s="381">
        <f>SUM(D79:D84)</f>
        <v>18250</v>
      </c>
      <c r="E86" s="379"/>
      <c r="F86" s="380"/>
      <c r="G86" s="357">
        <f>SUM(G79:G85)</f>
        <v>0</v>
      </c>
      <c r="H86" s="357">
        <f>SUM(H79:H85)</f>
        <v>4643750</v>
      </c>
      <c r="I86" s="357">
        <f>SUM(I79:I85)</f>
        <v>5100000</v>
      </c>
      <c r="J86" s="357">
        <f>SUM(J79:J85)</f>
        <v>456250</v>
      </c>
      <c r="K86" s="357">
        <f t="shared" ref="K86" si="29">SUM(K79:K85)</f>
        <v>0</v>
      </c>
      <c r="L86" s="357">
        <f t="shared" ref="L86" si="30">SUM(L79:L85)</f>
        <v>0</v>
      </c>
      <c r="M86" s="357">
        <f t="shared" ref="M86" si="31">SUM(M79:M85)</f>
        <v>0</v>
      </c>
      <c r="N86" s="357">
        <f t="shared" ref="N86" si="32">SUM(N79:N85)</f>
        <v>0</v>
      </c>
      <c r="O86" s="357">
        <f t="shared" ref="O86" si="33">SUM(O79:O85)</f>
        <v>0</v>
      </c>
      <c r="P86" s="357">
        <f t="shared" ref="P86" si="34">SUM(P79:P85)</f>
        <v>0</v>
      </c>
      <c r="Q86" s="357">
        <f t="shared" ref="Q86" si="35">SUM(Q79:Q85)</f>
        <v>0</v>
      </c>
      <c r="R86" s="357">
        <f t="shared" ref="R86" si="36">SUM(R79:R85)</f>
        <v>0</v>
      </c>
      <c r="S86" s="361"/>
      <c r="T86" s="361">
        <f>SUM(G86:R86)</f>
        <v>10200000</v>
      </c>
      <c r="U86" s="413">
        <f>T86/D86</f>
        <v>558.90410958904113</v>
      </c>
      <c r="V86" s="414" t="s">
        <v>221</v>
      </c>
    </row>
    <row r="87" spans="1:22" outlineLevel="1" x14ac:dyDescent="0.2">
      <c r="B87" s="166"/>
      <c r="C87" s="108"/>
      <c r="D87" s="467"/>
      <c r="E87" s="465"/>
      <c r="F87" s="118"/>
      <c r="G87" s="360"/>
      <c r="H87" s="356"/>
      <c r="I87" s="356"/>
      <c r="J87" s="356"/>
      <c r="M87" s="356"/>
      <c r="N87" s="356"/>
      <c r="O87" s="356"/>
      <c r="P87" s="356"/>
      <c r="Q87" s="356"/>
      <c r="R87" s="356"/>
      <c r="S87" s="356"/>
      <c r="T87" s="356"/>
    </row>
    <row r="88" spans="1:22" outlineLevel="1" x14ac:dyDescent="0.2">
      <c r="B88" s="375" t="s">
        <v>695</v>
      </c>
      <c r="C88" s="78"/>
      <c r="D88" s="78"/>
      <c r="E88" s="120"/>
      <c r="F88" s="119"/>
      <c r="G88" s="359"/>
      <c r="H88" s="356"/>
      <c r="I88" s="356"/>
      <c r="J88" s="356"/>
      <c r="K88" s="356"/>
      <c r="L88" s="356"/>
      <c r="M88" s="356"/>
      <c r="N88" s="356"/>
      <c r="O88" s="356"/>
      <c r="P88" s="356"/>
      <c r="Q88" s="356"/>
      <c r="R88" s="356"/>
      <c r="S88" s="356"/>
      <c r="T88" s="356"/>
    </row>
    <row r="89" spans="1:22" outlineLevel="1" x14ac:dyDescent="0.2">
      <c r="B89" s="166" t="s">
        <v>696</v>
      </c>
      <c r="C89" s="78">
        <v>1</v>
      </c>
      <c r="D89" s="78">
        <v>8000</v>
      </c>
      <c r="E89" s="120">
        <v>350</v>
      </c>
      <c r="F89" s="119"/>
      <c r="G89" s="359"/>
      <c r="H89" s="356"/>
      <c r="I89" s="356">
        <f>$E89*$D89/2</f>
        <v>1400000</v>
      </c>
      <c r="J89" s="356">
        <f>I89</f>
        <v>1400000</v>
      </c>
      <c r="M89" s="356"/>
      <c r="N89" s="356"/>
      <c r="O89" s="356"/>
      <c r="P89" s="356"/>
      <c r="Q89" s="356"/>
      <c r="R89" s="356"/>
      <c r="S89" s="356"/>
      <c r="T89" s="356">
        <f>SUM(H89:R89)</f>
        <v>2800000</v>
      </c>
    </row>
    <row r="90" spans="1:22" outlineLevel="1" x14ac:dyDescent="0.2">
      <c r="B90" s="630" t="s">
        <v>697</v>
      </c>
      <c r="C90" s="78">
        <v>1</v>
      </c>
      <c r="D90" s="78">
        <v>3000</v>
      </c>
      <c r="E90" s="120">
        <v>200</v>
      </c>
      <c r="F90" s="119"/>
      <c r="G90" s="359"/>
      <c r="H90" s="356"/>
      <c r="I90" s="356">
        <f>$E90*$D90/2</f>
        <v>300000</v>
      </c>
      <c r="J90" s="356">
        <f>I90</f>
        <v>300000</v>
      </c>
      <c r="M90" s="356"/>
      <c r="N90" s="356"/>
      <c r="O90" s="356"/>
      <c r="P90" s="356"/>
      <c r="Q90" s="356"/>
      <c r="R90" s="356"/>
      <c r="S90" s="356"/>
      <c r="T90" s="356">
        <f>SUM(H90:R90)</f>
        <v>600000</v>
      </c>
    </row>
    <row r="91" spans="1:22" outlineLevel="1" x14ac:dyDescent="0.2">
      <c r="B91" s="166" t="s">
        <v>690</v>
      </c>
      <c r="C91" s="78">
        <v>12</v>
      </c>
      <c r="D91" s="78">
        <f>C91*350</f>
        <v>4200</v>
      </c>
      <c r="E91" s="120">
        <v>500</v>
      </c>
      <c r="F91" s="119"/>
      <c r="G91" s="359"/>
      <c r="I91" s="356">
        <f t="shared" ref="I91:L92" si="37">$E91*$D91/4</f>
        <v>525000</v>
      </c>
      <c r="J91" s="356">
        <f t="shared" si="37"/>
        <v>525000</v>
      </c>
      <c r="K91" s="356">
        <f t="shared" si="37"/>
        <v>525000</v>
      </c>
      <c r="L91" s="356">
        <f t="shared" si="37"/>
        <v>525000</v>
      </c>
      <c r="M91" s="356"/>
      <c r="N91" s="356"/>
      <c r="O91" s="356"/>
      <c r="P91" s="356"/>
      <c r="Q91" s="356"/>
      <c r="R91" s="356"/>
      <c r="S91" s="356"/>
      <c r="T91" s="356">
        <f>SUM(I91:R91)</f>
        <v>2100000</v>
      </c>
    </row>
    <row r="92" spans="1:22" outlineLevel="1" x14ac:dyDescent="0.2">
      <c r="B92" s="166" t="s">
        <v>691</v>
      </c>
      <c r="C92" s="78">
        <f>C91</f>
        <v>12</v>
      </c>
      <c r="D92" s="78">
        <f>C92*300</f>
        <v>3600</v>
      </c>
      <c r="E92" s="120">
        <v>500</v>
      </c>
      <c r="F92" s="119"/>
      <c r="G92" s="359"/>
      <c r="I92" s="356">
        <f t="shared" si="37"/>
        <v>450000</v>
      </c>
      <c r="J92" s="356">
        <f t="shared" si="37"/>
        <v>450000</v>
      </c>
      <c r="K92" s="356">
        <f t="shared" si="37"/>
        <v>450000</v>
      </c>
      <c r="L92" s="356">
        <f t="shared" si="37"/>
        <v>450000</v>
      </c>
      <c r="M92" s="356"/>
      <c r="N92" s="356"/>
      <c r="O92" s="356"/>
      <c r="P92" s="356"/>
      <c r="Q92" s="356"/>
      <c r="R92" s="356"/>
      <c r="S92" s="356"/>
      <c r="T92" s="356">
        <f>SUM(I92:R92)</f>
        <v>1800000</v>
      </c>
    </row>
    <row r="93" spans="1:22" outlineLevel="1" x14ac:dyDescent="0.2">
      <c r="B93" s="166" t="s">
        <v>698</v>
      </c>
      <c r="C93" s="78">
        <v>3</v>
      </c>
      <c r="D93" s="78">
        <f>C93*1450</f>
        <v>4350</v>
      </c>
      <c r="E93" s="120">
        <v>250</v>
      </c>
      <c r="F93" s="119"/>
      <c r="G93" s="359"/>
      <c r="J93" s="356">
        <f>$E93*$D93/3</f>
        <v>362500</v>
      </c>
      <c r="K93" s="356">
        <f>$E93*$D93/3</f>
        <v>362500</v>
      </c>
      <c r="L93" s="356">
        <f>$E93*$D93/3</f>
        <v>362500</v>
      </c>
      <c r="M93" s="356"/>
      <c r="N93" s="356"/>
      <c r="O93" s="356"/>
      <c r="P93" s="356"/>
      <c r="Q93" s="356"/>
      <c r="R93" s="356"/>
      <c r="S93" s="356"/>
      <c r="T93" s="356">
        <f>SUM(J93:R93)</f>
        <v>1087500</v>
      </c>
    </row>
    <row r="94" spans="1:22" outlineLevel="1" x14ac:dyDescent="0.2">
      <c r="B94" s="166" t="s">
        <v>693</v>
      </c>
      <c r="C94" s="78">
        <v>1</v>
      </c>
      <c r="D94" s="78">
        <v>2000</v>
      </c>
      <c r="E94" s="412">
        <v>250</v>
      </c>
      <c r="F94" s="119"/>
      <c r="G94" s="359"/>
      <c r="H94" s="356"/>
      <c r="I94" s="356">
        <f>$E94*$D94/2</f>
        <v>250000</v>
      </c>
      <c r="J94" s="356">
        <f>I94</f>
        <v>250000</v>
      </c>
      <c r="M94" s="356"/>
      <c r="N94" s="356"/>
      <c r="O94" s="356"/>
      <c r="P94" s="356"/>
      <c r="Q94" s="356"/>
      <c r="R94" s="356"/>
      <c r="S94" s="356"/>
      <c r="T94" s="356">
        <f t="shared" ref="T94:T95" si="38">SUM(H94:R94)</f>
        <v>500000</v>
      </c>
    </row>
    <row r="95" spans="1:22" outlineLevel="1" x14ac:dyDescent="0.2">
      <c r="B95" s="166" t="s">
        <v>694</v>
      </c>
      <c r="C95" s="108"/>
      <c r="D95" s="108">
        <f>D89+D90+D91+D92+D93+D94</f>
        <v>25150</v>
      </c>
      <c r="E95" s="465">
        <v>50</v>
      </c>
      <c r="F95" s="119"/>
      <c r="G95" s="359"/>
      <c r="H95" s="356"/>
      <c r="I95" s="356"/>
      <c r="J95" s="356">
        <f>($D95*$E95)*0.35</f>
        <v>440125</v>
      </c>
      <c r="K95" s="356">
        <f>($D95*$E95)*0.35</f>
        <v>440125</v>
      </c>
      <c r="L95" s="356">
        <f>($D95*$E95)*0.3</f>
        <v>377250</v>
      </c>
      <c r="M95" s="356"/>
      <c r="N95" s="356"/>
      <c r="O95" s="356"/>
      <c r="P95" s="356"/>
      <c r="Q95" s="356"/>
      <c r="R95" s="356"/>
      <c r="S95" s="356"/>
      <c r="T95" s="356">
        <f t="shared" si="38"/>
        <v>1257500</v>
      </c>
    </row>
    <row r="96" spans="1:22" s="3" customFormat="1" outlineLevel="1" x14ac:dyDescent="0.2">
      <c r="A96" s="55"/>
      <c r="B96" s="377" t="str">
        <f>B88</f>
        <v>Phase 2 - Amenity Build Out</v>
      </c>
      <c r="C96" s="107"/>
      <c r="D96" s="381">
        <f>SUM(D89:D94)</f>
        <v>25150</v>
      </c>
      <c r="E96" s="379"/>
      <c r="F96" s="380"/>
      <c r="G96" s="357">
        <f t="shared" ref="G96:R96" si="39">SUM(G89:G95)</f>
        <v>0</v>
      </c>
      <c r="H96" s="357">
        <f t="shared" si="39"/>
        <v>0</v>
      </c>
      <c r="I96" s="357">
        <f t="shared" si="39"/>
        <v>2925000</v>
      </c>
      <c r="J96" s="357">
        <f t="shared" si="39"/>
        <v>3727625</v>
      </c>
      <c r="K96" s="357">
        <f t="shared" si="39"/>
        <v>1777625</v>
      </c>
      <c r="L96" s="357">
        <f t="shared" si="39"/>
        <v>1714750</v>
      </c>
      <c r="M96" s="357">
        <f t="shared" si="39"/>
        <v>0</v>
      </c>
      <c r="N96" s="357">
        <f t="shared" si="39"/>
        <v>0</v>
      </c>
      <c r="O96" s="357">
        <f t="shared" si="39"/>
        <v>0</v>
      </c>
      <c r="P96" s="357">
        <f t="shared" si="39"/>
        <v>0</v>
      </c>
      <c r="Q96" s="357">
        <f t="shared" si="39"/>
        <v>0</v>
      </c>
      <c r="R96" s="357">
        <f t="shared" si="39"/>
        <v>0</v>
      </c>
      <c r="S96" s="361"/>
      <c r="T96" s="361">
        <f>SUM(H96:R96)</f>
        <v>10145000</v>
      </c>
      <c r="U96" s="413">
        <f>T96/D96</f>
        <v>403.37972166998014</v>
      </c>
      <c r="V96" s="414" t="s">
        <v>221</v>
      </c>
    </row>
    <row r="97" spans="1:22" outlineLevel="1" x14ac:dyDescent="0.2">
      <c r="B97" s="166"/>
      <c r="C97" s="108"/>
      <c r="D97" s="467"/>
      <c r="E97" s="465"/>
      <c r="F97" s="118"/>
      <c r="G97" s="360"/>
      <c r="H97" s="356"/>
      <c r="I97" s="356"/>
      <c r="J97" s="356"/>
      <c r="M97" s="356"/>
      <c r="N97" s="356"/>
      <c r="O97" s="356"/>
      <c r="P97" s="356"/>
      <c r="Q97" s="356"/>
      <c r="R97" s="356"/>
      <c r="S97" s="356"/>
      <c r="T97" s="356"/>
    </row>
    <row r="98" spans="1:22" ht="16.25" customHeight="1" outlineLevel="1" x14ac:dyDescent="0.2">
      <c r="B98" s="375" t="s">
        <v>699</v>
      </c>
      <c r="C98" s="112"/>
      <c r="D98" s="112"/>
      <c r="E98" s="112"/>
      <c r="F98" s="112"/>
      <c r="G98" s="35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354"/>
    </row>
    <row r="99" spans="1:22" ht="16.25" customHeight="1" outlineLevel="1" x14ac:dyDescent="0.2">
      <c r="B99" s="166" t="str">
        <f>B6</f>
        <v>Lodge Rooms</v>
      </c>
      <c r="C99" s="72">
        <f>Assumptions!F27</f>
        <v>20</v>
      </c>
      <c r="D99" s="122">
        <f>C99*Assumptions!F28</f>
        <v>10000</v>
      </c>
      <c r="E99" s="121">
        <v>750</v>
      </c>
      <c r="F99" s="119"/>
      <c r="G99" s="359"/>
      <c r="H99" s="356"/>
      <c r="I99" s="228">
        <f>$C6*I6*$E99</f>
        <v>3750000</v>
      </c>
      <c r="J99" s="228">
        <f>$C6*J6*$E99</f>
        <v>3750000</v>
      </c>
      <c r="K99" s="228">
        <f>$C6*K6*$E99</f>
        <v>0</v>
      </c>
      <c r="L99" s="356"/>
      <c r="M99" s="356"/>
      <c r="N99" s="356"/>
      <c r="O99" s="356"/>
      <c r="P99" s="356"/>
      <c r="Q99" s="356"/>
      <c r="R99" s="356"/>
      <c r="S99" s="356"/>
      <c r="T99" s="356">
        <f t="shared" ref="T99:T106" si="40">SUM(H99:R99)</f>
        <v>7500000</v>
      </c>
    </row>
    <row r="100" spans="1:22" outlineLevel="1" x14ac:dyDescent="0.2">
      <c r="B100" s="630" t="s">
        <v>700</v>
      </c>
      <c r="C100" s="631">
        <f>C99</f>
        <v>20</v>
      </c>
      <c r="D100" s="122">
        <f>C100*250</f>
        <v>5000</v>
      </c>
      <c r="E100" s="411">
        <v>350</v>
      </c>
      <c r="F100" s="119"/>
      <c r="G100" s="359"/>
      <c r="H100" s="356"/>
      <c r="I100" s="632">
        <f>D100*E100/2</f>
        <v>875000</v>
      </c>
      <c r="J100" s="632">
        <f>I100</f>
        <v>875000</v>
      </c>
      <c r="K100" s="632"/>
      <c r="L100" s="356"/>
      <c r="M100" s="356"/>
      <c r="N100" s="356"/>
      <c r="O100" s="356"/>
      <c r="P100" s="356"/>
      <c r="Q100" s="356"/>
      <c r="R100" s="356"/>
      <c r="S100" s="356"/>
      <c r="T100" s="356">
        <f t="shared" si="40"/>
        <v>1750000</v>
      </c>
    </row>
    <row r="101" spans="1:22" ht="16.25" customHeight="1" outlineLevel="1" x14ac:dyDescent="0.2">
      <c r="B101" s="166" t="str">
        <f>B7</f>
        <v>Villa/Cabin</v>
      </c>
      <c r="C101" s="72">
        <f>Assumptions!G27</f>
        <v>24</v>
      </c>
      <c r="D101" s="122">
        <f>C101*Assumptions!G28</f>
        <v>18000</v>
      </c>
      <c r="E101" s="121">
        <v>950</v>
      </c>
      <c r="F101" s="119"/>
      <c r="G101" s="359"/>
      <c r="H101" s="356"/>
      <c r="I101" s="228">
        <f t="shared" ref="I101:K103" si="41">$C7*I7*$E101</f>
        <v>4275000</v>
      </c>
      <c r="J101" s="228">
        <f t="shared" si="41"/>
        <v>4275000</v>
      </c>
      <c r="K101" s="228">
        <f t="shared" si="41"/>
        <v>4275000</v>
      </c>
      <c r="L101" s="356"/>
      <c r="M101" s="356"/>
      <c r="N101" s="356"/>
      <c r="O101" s="356"/>
      <c r="P101" s="356"/>
      <c r="Q101" s="356"/>
      <c r="R101" s="356"/>
      <c r="S101" s="356"/>
      <c r="T101" s="356">
        <f t="shared" si="40"/>
        <v>12825000</v>
      </c>
    </row>
    <row r="102" spans="1:22" outlineLevel="1" x14ac:dyDescent="0.2">
      <c r="B102" s="166" t="str">
        <f>B8</f>
        <v>Cottages</v>
      </c>
      <c r="C102" s="72">
        <f>Assumptions!H27</f>
        <v>24</v>
      </c>
      <c r="D102" s="122">
        <f>C102*Assumptions!H28</f>
        <v>30000</v>
      </c>
      <c r="E102" s="411">
        <v>850</v>
      </c>
      <c r="F102" s="119"/>
      <c r="G102" s="359"/>
      <c r="H102" s="228">
        <f>$C8*H8*$E102</f>
        <v>0</v>
      </c>
      <c r="I102" s="228">
        <f t="shared" si="41"/>
        <v>0</v>
      </c>
      <c r="J102" s="228">
        <f t="shared" si="41"/>
        <v>6375000</v>
      </c>
      <c r="K102" s="228">
        <f t="shared" si="41"/>
        <v>6375000</v>
      </c>
      <c r="L102" s="356"/>
      <c r="M102" s="356"/>
      <c r="N102" s="356"/>
      <c r="O102" s="356"/>
      <c r="P102" s="356"/>
      <c r="Q102" s="356"/>
      <c r="R102" s="356"/>
      <c r="S102" s="356"/>
      <c r="T102" s="356">
        <f t="shared" si="40"/>
        <v>12750000</v>
      </c>
    </row>
    <row r="103" spans="1:22" outlineLevel="1" x14ac:dyDescent="0.2">
      <c r="B103" s="166" t="str">
        <f>B9</f>
        <v>Auton. Tents</v>
      </c>
      <c r="C103" s="72">
        <f>Assumptions!I27</f>
        <v>12</v>
      </c>
      <c r="D103" s="122">
        <f>C103*Assumptions!I28</f>
        <v>7500</v>
      </c>
      <c r="E103" s="411">
        <v>400</v>
      </c>
      <c r="F103" s="119"/>
      <c r="G103" s="359"/>
      <c r="H103" s="228">
        <f>$C9*H9*$E103</f>
        <v>3000000</v>
      </c>
      <c r="I103" s="228">
        <f t="shared" si="41"/>
        <v>0</v>
      </c>
      <c r="J103" s="228">
        <f t="shared" si="41"/>
        <v>0</v>
      </c>
      <c r="K103" s="228">
        <f t="shared" si="41"/>
        <v>0</v>
      </c>
      <c r="L103" s="356"/>
      <c r="M103" s="356"/>
      <c r="N103" s="356"/>
      <c r="O103" s="356"/>
      <c r="P103" s="356"/>
      <c r="Q103" s="356"/>
      <c r="R103" s="356"/>
      <c r="S103" s="356"/>
      <c r="T103" s="356">
        <f t="shared" si="40"/>
        <v>3000000</v>
      </c>
    </row>
    <row r="104" spans="1:22" outlineLevel="1" x14ac:dyDescent="0.2">
      <c r="B104" s="630" t="s">
        <v>701</v>
      </c>
      <c r="C104" s="631">
        <f>C101+C102+C103</f>
        <v>60</v>
      </c>
      <c r="D104" s="122">
        <f>C104*150</f>
        <v>9000</v>
      </c>
      <c r="E104" s="411">
        <v>250</v>
      </c>
      <c r="F104" s="119"/>
      <c r="G104" s="359"/>
      <c r="H104" s="356"/>
      <c r="I104" s="632">
        <f>D104*E104/2</f>
        <v>1125000</v>
      </c>
      <c r="J104" s="632">
        <f>I104</f>
        <v>1125000</v>
      </c>
      <c r="K104" s="632"/>
      <c r="L104" s="356"/>
      <c r="M104" s="356"/>
      <c r="N104" s="356"/>
      <c r="O104" s="356"/>
      <c r="P104" s="356"/>
      <c r="Q104" s="356"/>
      <c r="R104" s="356"/>
      <c r="S104" s="356"/>
      <c r="T104" s="356">
        <f t="shared" si="40"/>
        <v>2250000</v>
      </c>
    </row>
    <row r="105" spans="1:22" outlineLevel="1" x14ac:dyDescent="0.2">
      <c r="B105" s="166" t="s">
        <v>694</v>
      </c>
      <c r="C105" s="108"/>
      <c r="D105" s="108">
        <f>D99+D100+D101+D102+D103+D104</f>
        <v>79500</v>
      </c>
      <c r="E105" s="465">
        <v>75</v>
      </c>
      <c r="F105" s="119"/>
      <c r="G105" s="359"/>
      <c r="H105" s="356">
        <f>D103*E105</f>
        <v>562500</v>
      </c>
      <c r="I105" s="356">
        <f>(($D105-$D103)*$E105)/2</f>
        <v>2700000</v>
      </c>
      <c r="J105" s="356">
        <f>(($D105-$D103)*$E105)/2</f>
        <v>2700000</v>
      </c>
      <c r="K105" s="356"/>
      <c r="M105" s="356"/>
      <c r="N105" s="356"/>
      <c r="O105" s="356"/>
      <c r="P105" s="356"/>
      <c r="Q105" s="356"/>
      <c r="R105" s="356"/>
      <c r="S105" s="356"/>
      <c r="T105" s="356">
        <f t="shared" si="40"/>
        <v>5962500</v>
      </c>
    </row>
    <row r="106" spans="1:22" s="3" customFormat="1" outlineLevel="1" x14ac:dyDescent="0.2">
      <c r="A106" s="55"/>
      <c r="B106" s="378" t="s">
        <v>702</v>
      </c>
      <c r="C106" s="107"/>
      <c r="D106" s="381">
        <f>D99+SUM(D101:D103)</f>
        <v>65500</v>
      </c>
      <c r="E106" s="379"/>
      <c r="F106" s="380"/>
      <c r="G106" s="492">
        <f t="shared" ref="G106:I106" si="42">SUM(G99:G105)</f>
        <v>0</v>
      </c>
      <c r="H106" s="492">
        <f t="shared" si="42"/>
        <v>3562500</v>
      </c>
      <c r="I106" s="492">
        <f t="shared" si="42"/>
        <v>12725000</v>
      </c>
      <c r="J106" s="492">
        <f>SUM(J99:J105)</f>
        <v>19100000</v>
      </c>
      <c r="K106" s="357">
        <f t="shared" ref="K106:R106" si="43">SUM(K99:K105)</f>
        <v>10650000</v>
      </c>
      <c r="L106" s="357">
        <f t="shared" si="43"/>
        <v>0</v>
      </c>
      <c r="M106" s="357">
        <f t="shared" si="43"/>
        <v>0</v>
      </c>
      <c r="N106" s="357">
        <f t="shared" si="43"/>
        <v>0</v>
      </c>
      <c r="O106" s="357">
        <f t="shared" si="43"/>
        <v>0</v>
      </c>
      <c r="P106" s="357">
        <f t="shared" si="43"/>
        <v>0</v>
      </c>
      <c r="Q106" s="357">
        <f t="shared" si="43"/>
        <v>0</v>
      </c>
      <c r="R106" s="357">
        <f t="shared" si="43"/>
        <v>0</v>
      </c>
      <c r="S106" s="361"/>
      <c r="T106" s="361">
        <f t="shared" si="40"/>
        <v>46037500</v>
      </c>
      <c r="U106" s="413">
        <f>T106/D106</f>
        <v>702.86259541984737</v>
      </c>
      <c r="V106" s="414" t="s">
        <v>221</v>
      </c>
    </row>
    <row r="107" spans="1:22" outlineLevel="1" x14ac:dyDescent="0.2">
      <c r="B107" s="166"/>
      <c r="C107" s="108"/>
      <c r="D107" s="108"/>
      <c r="E107" s="119"/>
      <c r="F107" s="119"/>
      <c r="G107" s="368"/>
      <c r="H107" s="368"/>
      <c r="I107" s="368"/>
      <c r="J107" s="368"/>
      <c r="K107" s="368"/>
      <c r="L107" s="368"/>
      <c r="M107" s="368"/>
      <c r="N107" s="368"/>
      <c r="O107" s="368"/>
      <c r="P107" s="368"/>
      <c r="Q107" s="368"/>
      <c r="R107" s="368"/>
      <c r="S107" s="368"/>
      <c r="T107" s="368"/>
    </row>
    <row r="108" spans="1:22" outlineLevel="1" x14ac:dyDescent="0.2">
      <c r="B108" s="375" t="s">
        <v>703</v>
      </c>
      <c r="C108" s="78"/>
      <c r="D108" s="78"/>
      <c r="E108" s="120"/>
      <c r="F108" s="119"/>
      <c r="G108" s="359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</row>
    <row r="109" spans="1:22" outlineLevel="1" x14ac:dyDescent="0.2">
      <c r="B109" s="166" t="s">
        <v>704</v>
      </c>
      <c r="C109" s="72"/>
      <c r="D109" s="72">
        <f>(400+100+100+200+200)*1.2</f>
        <v>1200</v>
      </c>
      <c r="E109" s="411">
        <v>450</v>
      </c>
      <c r="F109" s="119"/>
      <c r="G109" s="359"/>
      <c r="H109" s="356"/>
      <c r="I109" s="356">
        <f t="shared" ref="I109:I112" si="44">D109*E109/2</f>
        <v>270000</v>
      </c>
      <c r="J109" s="356">
        <f t="shared" ref="J109:J112" si="45">I109</f>
        <v>270000</v>
      </c>
      <c r="M109" s="356"/>
      <c r="N109" s="356"/>
      <c r="O109" s="356"/>
      <c r="P109" s="356"/>
      <c r="Q109" s="356"/>
      <c r="R109" s="356"/>
      <c r="S109" s="356"/>
      <c r="T109" s="356">
        <f t="shared" ref="T109:T113" si="46">SUM(H109:R109)</f>
        <v>540000</v>
      </c>
    </row>
    <row r="110" spans="1:22" outlineLevel="1" x14ac:dyDescent="0.2">
      <c r="B110" s="166" t="s">
        <v>705</v>
      </c>
      <c r="C110" s="72"/>
      <c r="D110" s="72">
        <f>(2000+1200)*1.2</f>
        <v>3840</v>
      </c>
      <c r="E110" s="411">
        <v>450</v>
      </c>
      <c r="F110" s="119"/>
      <c r="G110" s="359"/>
      <c r="H110" s="356"/>
      <c r="I110" s="356">
        <f>D110*E110/2</f>
        <v>864000</v>
      </c>
      <c r="J110" s="356">
        <f>I110</f>
        <v>864000</v>
      </c>
      <c r="M110" s="356"/>
      <c r="N110" s="356"/>
      <c r="O110" s="356"/>
      <c r="P110" s="356"/>
      <c r="Q110" s="356"/>
      <c r="R110" s="356"/>
      <c r="S110" s="356"/>
      <c r="T110" s="356">
        <f>SUM(H110:R110)</f>
        <v>1728000</v>
      </c>
    </row>
    <row r="111" spans="1:22" outlineLevel="1" x14ac:dyDescent="0.2">
      <c r="B111" s="166" t="s">
        <v>706</v>
      </c>
      <c r="C111" s="72"/>
      <c r="D111" s="72">
        <f>(1000+600+200+600+200+200+400)*1.2</f>
        <v>3840</v>
      </c>
      <c r="E111" s="411">
        <v>450</v>
      </c>
      <c r="F111" s="119"/>
      <c r="G111" s="359"/>
      <c r="H111" s="356"/>
      <c r="I111" s="356">
        <f t="shared" ref="I111" si="47">D111*E111/2</f>
        <v>864000</v>
      </c>
      <c r="J111" s="356">
        <f t="shared" ref="J111" si="48">I111</f>
        <v>864000</v>
      </c>
      <c r="M111" s="356"/>
      <c r="N111" s="356"/>
      <c r="O111" s="356"/>
      <c r="P111" s="356"/>
      <c r="Q111" s="356"/>
      <c r="R111" s="356"/>
      <c r="S111" s="356"/>
      <c r="T111" s="356">
        <f t="shared" ref="T111" si="49">SUM(H111:R111)</f>
        <v>1728000</v>
      </c>
    </row>
    <row r="112" spans="1:22" outlineLevel="1" x14ac:dyDescent="0.2">
      <c r="B112" s="166" t="s">
        <v>707</v>
      </c>
      <c r="C112" s="72"/>
      <c r="D112" s="72">
        <f>800+500</f>
        <v>1300</v>
      </c>
      <c r="E112" s="411">
        <v>250</v>
      </c>
      <c r="F112" s="119"/>
      <c r="G112" s="359"/>
      <c r="H112" s="356"/>
      <c r="I112" s="356">
        <f t="shared" si="44"/>
        <v>162500</v>
      </c>
      <c r="J112" s="356">
        <f t="shared" si="45"/>
        <v>162500</v>
      </c>
      <c r="M112" s="356"/>
      <c r="N112" s="356"/>
      <c r="O112" s="356"/>
      <c r="P112" s="356"/>
      <c r="Q112" s="356"/>
      <c r="R112" s="356"/>
      <c r="S112" s="356"/>
      <c r="T112" s="356">
        <f t="shared" si="46"/>
        <v>325000</v>
      </c>
    </row>
    <row r="113" spans="1:22" outlineLevel="1" x14ac:dyDescent="0.2">
      <c r="B113" s="166" t="s">
        <v>694</v>
      </c>
      <c r="C113" s="108"/>
      <c r="D113" s="108">
        <f>D110+D109+D111+D112</f>
        <v>10180</v>
      </c>
      <c r="E113" s="465">
        <v>65</v>
      </c>
      <c r="F113" s="119"/>
      <c r="G113" s="359"/>
      <c r="H113" s="356"/>
      <c r="I113" s="356"/>
      <c r="J113" s="356">
        <f>D113*E113</f>
        <v>661700</v>
      </c>
      <c r="M113" s="356"/>
      <c r="N113" s="356"/>
      <c r="O113" s="356"/>
      <c r="P113" s="356"/>
      <c r="Q113" s="356"/>
      <c r="R113" s="356"/>
      <c r="S113" s="356"/>
      <c r="T113" s="356">
        <f t="shared" si="46"/>
        <v>661700</v>
      </c>
    </row>
    <row r="114" spans="1:22" s="3" customFormat="1" outlineLevel="1" x14ac:dyDescent="0.2">
      <c r="A114" s="55"/>
      <c r="B114" s="378" t="s">
        <v>708</v>
      </c>
      <c r="C114" s="107"/>
      <c r="D114" s="381">
        <f>SUM(D109:D111)</f>
        <v>8880</v>
      </c>
      <c r="E114" s="52"/>
      <c r="F114" s="66"/>
      <c r="G114" s="361">
        <f t="shared" ref="G114:R114" si="50">SUM(G109:G113)</f>
        <v>0</v>
      </c>
      <c r="H114" s="361">
        <f t="shared" si="50"/>
        <v>0</v>
      </c>
      <c r="I114" s="361">
        <f t="shared" si="50"/>
        <v>2160500</v>
      </c>
      <c r="J114" s="361">
        <f t="shared" si="50"/>
        <v>2822200</v>
      </c>
      <c r="K114" s="361">
        <f t="shared" si="50"/>
        <v>0</v>
      </c>
      <c r="L114" s="361">
        <f t="shared" si="50"/>
        <v>0</v>
      </c>
      <c r="M114" s="361">
        <f t="shared" si="50"/>
        <v>0</v>
      </c>
      <c r="N114" s="361">
        <f t="shared" si="50"/>
        <v>0</v>
      </c>
      <c r="O114" s="361">
        <f t="shared" si="50"/>
        <v>0</v>
      </c>
      <c r="P114" s="361">
        <f t="shared" si="50"/>
        <v>0</v>
      </c>
      <c r="Q114" s="361">
        <f t="shared" si="50"/>
        <v>0</v>
      </c>
      <c r="R114" s="361">
        <f t="shared" si="50"/>
        <v>0</v>
      </c>
      <c r="S114" s="361"/>
      <c r="T114" s="361">
        <f>SUM(H114:R114)</f>
        <v>4982700</v>
      </c>
      <c r="U114" s="413">
        <f>T114/D114</f>
        <v>561.1148648648649</v>
      </c>
      <c r="V114" s="414" t="s">
        <v>221</v>
      </c>
    </row>
    <row r="115" spans="1:22" s="3" customFormat="1" outlineLevel="1" x14ac:dyDescent="0.2">
      <c r="A115" s="55"/>
      <c r="B115" s="378"/>
      <c r="C115" s="106"/>
      <c r="D115" s="316"/>
      <c r="E115" s="380"/>
      <c r="F115" s="380"/>
      <c r="G115" s="421"/>
      <c r="H115" s="421"/>
      <c r="I115" s="421"/>
      <c r="J115" s="421"/>
      <c r="K115" s="421"/>
      <c r="L115" s="421"/>
      <c r="M115" s="369"/>
      <c r="N115" s="369"/>
      <c r="O115" s="369"/>
      <c r="P115" s="369"/>
      <c r="Q115" s="369"/>
      <c r="R115" s="369"/>
      <c r="S115" s="369"/>
      <c r="T115" s="369"/>
      <c r="U115" s="413"/>
      <c r="V115" s="414"/>
    </row>
    <row r="116" spans="1:22" ht="16.25" customHeight="1" outlineLevel="1" x14ac:dyDescent="0.2">
      <c r="B116" s="375" t="s">
        <v>709</v>
      </c>
      <c r="C116" s="466"/>
      <c r="D116" s="466"/>
      <c r="E116" s="466"/>
      <c r="F116" s="112"/>
      <c r="G116" s="35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354"/>
    </row>
    <row r="117" spans="1:22" ht="16.25" customHeight="1" outlineLevel="1" x14ac:dyDescent="0.2">
      <c r="B117" s="166" t="s">
        <v>710</v>
      </c>
      <c r="C117" s="72"/>
      <c r="D117" s="122">
        <f>(250+250)</f>
        <v>500</v>
      </c>
      <c r="E117" s="122">
        <v>350</v>
      </c>
      <c r="F117" s="112"/>
      <c r="G117" s="358"/>
      <c r="H117" s="356"/>
      <c r="I117" s="228">
        <f t="shared" ref="I117:I122" si="51">D117*E117/2</f>
        <v>87500</v>
      </c>
      <c r="J117" s="228">
        <f t="shared" ref="J117:J122" si="52">I117</f>
        <v>87500</v>
      </c>
      <c r="K117" s="228"/>
      <c r="L117" s="228"/>
      <c r="M117" s="228"/>
      <c r="N117" s="228"/>
      <c r="O117" s="228"/>
      <c r="P117" s="228"/>
      <c r="Q117" s="228"/>
      <c r="R117" s="228"/>
      <c r="S117" s="228"/>
      <c r="T117" s="356">
        <f t="shared" ref="T117:T123" si="53">SUM(H117:R117)</f>
        <v>175000</v>
      </c>
    </row>
    <row r="118" spans="1:22" outlineLevel="1" x14ac:dyDescent="0.2">
      <c r="B118" s="173" t="s">
        <v>711</v>
      </c>
      <c r="C118" s="72"/>
      <c r="D118" s="72">
        <f>480+1500</f>
        <v>1980</v>
      </c>
      <c r="E118" s="121">
        <v>400</v>
      </c>
      <c r="F118" s="119"/>
      <c r="G118" s="359"/>
      <c r="H118" s="354"/>
      <c r="I118" s="228">
        <f t="shared" ref="I118" si="54">D118*E118/2</f>
        <v>396000</v>
      </c>
      <c r="J118" s="228">
        <f t="shared" ref="J118" si="55">I118</f>
        <v>396000</v>
      </c>
      <c r="K118" s="356"/>
      <c r="L118" s="356"/>
      <c r="M118" s="356"/>
      <c r="N118" s="356"/>
      <c r="O118" s="356"/>
      <c r="P118" s="356"/>
      <c r="Q118" s="356"/>
      <c r="R118" s="356"/>
      <c r="S118" s="356"/>
      <c r="T118" s="356">
        <f t="shared" ref="T118" si="56">SUM(H118:R118)</f>
        <v>792000</v>
      </c>
    </row>
    <row r="119" spans="1:22" outlineLevel="1" x14ac:dyDescent="0.2">
      <c r="B119" s="173" t="s">
        <v>712</v>
      </c>
      <c r="C119" s="72"/>
      <c r="D119" s="72">
        <v>2000</v>
      </c>
      <c r="E119" s="121">
        <v>400</v>
      </c>
      <c r="F119" s="119"/>
      <c r="G119" s="359"/>
      <c r="H119" s="354"/>
      <c r="I119" s="228">
        <f t="shared" si="51"/>
        <v>400000</v>
      </c>
      <c r="J119" s="228">
        <f t="shared" si="52"/>
        <v>400000</v>
      </c>
      <c r="K119" s="356"/>
      <c r="L119" s="356"/>
      <c r="M119" s="356"/>
      <c r="N119" s="356"/>
      <c r="O119" s="356"/>
      <c r="P119" s="356"/>
      <c r="Q119" s="356"/>
      <c r="R119" s="356"/>
      <c r="S119" s="356"/>
      <c r="T119" s="356">
        <f t="shared" si="53"/>
        <v>800000</v>
      </c>
    </row>
    <row r="120" spans="1:22" outlineLevel="1" x14ac:dyDescent="0.2">
      <c r="B120" s="173" t="s">
        <v>709</v>
      </c>
      <c r="C120" s="72"/>
      <c r="D120" s="72">
        <v>4000</v>
      </c>
      <c r="E120" s="411">
        <v>450</v>
      </c>
      <c r="F120" s="118"/>
      <c r="G120" s="360"/>
      <c r="H120" s="356"/>
      <c r="I120" s="356">
        <f>D120*E120/2</f>
        <v>900000</v>
      </c>
      <c r="J120" s="356">
        <f>I120</f>
        <v>900000</v>
      </c>
      <c r="L120" s="356"/>
      <c r="M120" s="356"/>
      <c r="N120" s="356"/>
      <c r="O120" s="356"/>
      <c r="P120" s="356"/>
      <c r="Q120" s="356"/>
      <c r="R120" s="356"/>
      <c r="S120" s="356"/>
      <c r="T120" s="356">
        <f>SUM(H120:R120)</f>
        <v>1800000</v>
      </c>
    </row>
    <row r="121" spans="1:22" outlineLevel="1" x14ac:dyDescent="0.2">
      <c r="B121" s="173" t="s">
        <v>713</v>
      </c>
      <c r="C121" s="72"/>
      <c r="D121" s="72">
        <v>2000</v>
      </c>
      <c r="E121" s="121">
        <v>250</v>
      </c>
      <c r="F121" s="119"/>
      <c r="G121" s="359"/>
      <c r="H121" s="354"/>
      <c r="I121" s="228">
        <f>D121*E121/2</f>
        <v>250000</v>
      </c>
      <c r="J121" s="356">
        <f>I121</f>
        <v>250000</v>
      </c>
      <c r="K121" s="356"/>
      <c r="L121" s="356"/>
      <c r="M121" s="356"/>
      <c r="N121" s="356"/>
      <c r="O121" s="356"/>
      <c r="P121" s="356"/>
      <c r="Q121" s="356"/>
      <c r="R121" s="356"/>
      <c r="S121" s="356"/>
      <c r="T121" s="356">
        <f>SUM(H121:R121)</f>
        <v>500000</v>
      </c>
    </row>
    <row r="122" spans="1:22" outlineLevel="1" x14ac:dyDescent="0.2">
      <c r="B122" s="173" t="s">
        <v>714</v>
      </c>
      <c r="C122" s="72"/>
      <c r="D122" s="72">
        <v>10000</v>
      </c>
      <c r="E122" s="121">
        <v>200</v>
      </c>
      <c r="F122" s="119"/>
      <c r="G122" s="359"/>
      <c r="H122" s="354"/>
      <c r="I122" s="228">
        <f t="shared" si="51"/>
        <v>1000000</v>
      </c>
      <c r="J122" s="228">
        <f t="shared" si="52"/>
        <v>1000000</v>
      </c>
      <c r="K122" s="356"/>
      <c r="L122" s="356"/>
      <c r="M122" s="356"/>
      <c r="N122" s="356"/>
      <c r="O122" s="356"/>
      <c r="P122" s="356"/>
      <c r="Q122" s="356"/>
      <c r="R122" s="356"/>
      <c r="S122" s="356"/>
      <c r="T122" s="356">
        <f t="shared" si="53"/>
        <v>2000000</v>
      </c>
    </row>
    <row r="123" spans="1:22" outlineLevel="1" x14ac:dyDescent="0.2">
      <c r="B123" s="166" t="s">
        <v>694</v>
      </c>
      <c r="C123" s="108"/>
      <c r="D123" s="108">
        <f>SUM(D117:D122)</f>
        <v>20480</v>
      </c>
      <c r="E123" s="465">
        <v>85</v>
      </c>
      <c r="F123" s="119"/>
      <c r="G123" s="359"/>
      <c r="H123" s="356"/>
      <c r="I123" s="356"/>
      <c r="J123" s="356">
        <f>D123*E123</f>
        <v>1740800</v>
      </c>
      <c r="M123" s="356"/>
      <c r="N123" s="356"/>
      <c r="O123" s="356"/>
      <c r="P123" s="356"/>
      <c r="Q123" s="356"/>
      <c r="R123" s="356"/>
      <c r="S123" s="356"/>
      <c r="T123" s="356">
        <f t="shared" si="53"/>
        <v>1740800</v>
      </c>
    </row>
    <row r="124" spans="1:22" s="3" customFormat="1" outlineLevel="1" x14ac:dyDescent="0.2">
      <c r="A124" s="55"/>
      <c r="B124" s="378" t="s">
        <v>715</v>
      </c>
      <c r="C124" s="107"/>
      <c r="D124" s="381">
        <f>SUM(D117:D121)</f>
        <v>10480</v>
      </c>
      <c r="E124" s="379"/>
      <c r="F124" s="380"/>
      <c r="G124" s="357">
        <f t="shared" ref="G124:I124" si="57">SUM(G117:G123)</f>
        <v>0</v>
      </c>
      <c r="H124" s="357">
        <f t="shared" si="57"/>
        <v>0</v>
      </c>
      <c r="I124" s="357">
        <f t="shared" si="57"/>
        <v>3033500</v>
      </c>
      <c r="J124" s="357">
        <f>SUM(J117:J123)</f>
        <v>4774300</v>
      </c>
      <c r="K124" s="357">
        <f t="shared" ref="K124:R124" si="58">SUM(K117:K123)</f>
        <v>0</v>
      </c>
      <c r="L124" s="357">
        <f t="shared" si="58"/>
        <v>0</v>
      </c>
      <c r="M124" s="357">
        <f t="shared" si="58"/>
        <v>0</v>
      </c>
      <c r="N124" s="357">
        <f t="shared" si="58"/>
        <v>0</v>
      </c>
      <c r="O124" s="357">
        <f t="shared" si="58"/>
        <v>0</v>
      </c>
      <c r="P124" s="357">
        <f t="shared" si="58"/>
        <v>0</v>
      </c>
      <c r="Q124" s="357">
        <f t="shared" si="58"/>
        <v>0</v>
      </c>
      <c r="R124" s="357">
        <f t="shared" si="58"/>
        <v>0</v>
      </c>
      <c r="S124" s="357"/>
      <c r="T124" s="361">
        <f>SUM(H124:R124)</f>
        <v>7807800</v>
      </c>
      <c r="U124" s="413">
        <f>T124/D124</f>
        <v>745.01908396946567</v>
      </c>
      <c r="V124" s="414" t="s">
        <v>221</v>
      </c>
    </row>
    <row r="125" spans="1:22" s="3" customFormat="1" outlineLevel="1" x14ac:dyDescent="0.2">
      <c r="A125" s="55"/>
      <c r="B125" s="377"/>
      <c r="C125" s="106"/>
      <c r="D125" s="316"/>
      <c r="E125" s="66"/>
      <c r="F125" s="66"/>
      <c r="G125" s="369"/>
      <c r="H125" s="369"/>
      <c r="I125" s="369"/>
      <c r="J125" s="369"/>
      <c r="K125" s="369"/>
      <c r="L125" s="369"/>
      <c r="M125" s="369"/>
      <c r="N125" s="369"/>
      <c r="O125" s="369"/>
      <c r="P125" s="369"/>
      <c r="Q125" s="369"/>
      <c r="R125" s="369"/>
      <c r="S125" s="369"/>
      <c r="T125" s="369"/>
      <c r="U125" s="413"/>
      <c r="V125" s="414"/>
    </row>
    <row r="126" spans="1:22" outlineLevel="1" x14ac:dyDescent="0.2">
      <c r="B126" s="165" t="s">
        <v>506</v>
      </c>
      <c r="C126" s="90">
        <v>3.5000000000000003E-2</v>
      </c>
      <c r="D126" s="316"/>
      <c r="E126" s="12"/>
      <c r="F126" s="47"/>
      <c r="G126" s="356">
        <f>(G96+G106+G124+G114)*$C$126</f>
        <v>0</v>
      </c>
      <c r="H126" s="356">
        <f t="shared" ref="H126:P126" si="59">(H96+H106+H124+H114)*$C$126</f>
        <v>124687.50000000001</v>
      </c>
      <c r="I126" s="356">
        <f t="shared" si="59"/>
        <v>729540.00000000012</v>
      </c>
      <c r="J126" s="356">
        <f t="shared" si="59"/>
        <v>1064844.375</v>
      </c>
      <c r="K126" s="356">
        <f t="shared" si="59"/>
        <v>434966.87500000006</v>
      </c>
      <c r="L126" s="356">
        <f t="shared" si="59"/>
        <v>60016.250000000007</v>
      </c>
      <c r="M126" s="356">
        <f t="shared" si="59"/>
        <v>0</v>
      </c>
      <c r="N126" s="356">
        <f t="shared" si="59"/>
        <v>0</v>
      </c>
      <c r="O126" s="356">
        <f t="shared" si="59"/>
        <v>0</v>
      </c>
      <c r="P126" s="356">
        <f t="shared" si="59"/>
        <v>0</v>
      </c>
      <c r="Q126" s="356"/>
      <c r="R126" s="356"/>
      <c r="S126" s="356"/>
      <c r="T126" s="356">
        <f t="shared" ref="T126" si="60">SUM(H126:R126)</f>
        <v>2414055</v>
      </c>
    </row>
    <row r="127" spans="1:22" outlineLevel="1" x14ac:dyDescent="0.2">
      <c r="B127" s="165" t="s">
        <v>716</v>
      </c>
      <c r="C127" s="90">
        <v>0.1</v>
      </c>
      <c r="D127" s="316">
        <f>D86+D114+D124+D106+D96</f>
        <v>128260</v>
      </c>
      <c r="E127" s="12"/>
      <c r="F127" s="47"/>
      <c r="G127" s="356">
        <f t="shared" ref="G127:P127" si="61">(G96+G106+G124+G114)*$C$127</f>
        <v>0</v>
      </c>
      <c r="H127" s="356">
        <f t="shared" si="61"/>
        <v>356250</v>
      </c>
      <c r="I127" s="356">
        <f t="shared" si="61"/>
        <v>2084400</v>
      </c>
      <c r="J127" s="356">
        <f t="shared" si="61"/>
        <v>3042412.5</v>
      </c>
      <c r="K127" s="356">
        <f t="shared" si="61"/>
        <v>1242762.5</v>
      </c>
      <c r="L127" s="356">
        <f t="shared" si="61"/>
        <v>171475</v>
      </c>
      <c r="M127" s="356">
        <f t="shared" si="61"/>
        <v>0</v>
      </c>
      <c r="N127" s="356">
        <f t="shared" si="61"/>
        <v>0</v>
      </c>
      <c r="O127" s="356">
        <f t="shared" si="61"/>
        <v>0</v>
      </c>
      <c r="P127" s="356">
        <f t="shared" si="61"/>
        <v>0</v>
      </c>
      <c r="Q127" s="356"/>
      <c r="R127" s="356"/>
      <c r="S127" s="356"/>
      <c r="T127" s="356">
        <f t="shared" ref="T127" si="62">SUM(H127:R127)</f>
        <v>6897300</v>
      </c>
    </row>
    <row r="128" spans="1:22" outlineLevel="1" x14ac:dyDescent="0.2">
      <c r="B128" s="168"/>
      <c r="C128" s="108"/>
      <c r="D128" s="316"/>
      <c r="E128" s="12"/>
      <c r="F128" s="47"/>
      <c r="G128" s="356"/>
      <c r="H128" s="356"/>
      <c r="I128" s="356"/>
      <c r="J128" s="356"/>
      <c r="K128" s="356"/>
      <c r="L128" s="356"/>
      <c r="M128" s="356"/>
      <c r="N128" s="356"/>
      <c r="O128" s="356"/>
      <c r="P128" s="356"/>
      <c r="Q128" s="356"/>
      <c r="R128" s="356"/>
      <c r="S128" s="356"/>
      <c r="T128" s="356"/>
    </row>
    <row r="129" spans="1:24" s="3" customFormat="1" x14ac:dyDescent="0.2">
      <c r="A129" s="55"/>
      <c r="B129" s="85" t="s">
        <v>717</v>
      </c>
      <c r="C129" s="94"/>
      <c r="D129" s="468"/>
      <c r="E129" s="52"/>
      <c r="F129" s="66"/>
      <c r="G129" s="361">
        <f>G86+G96+G106+G124+G114+G126+G127</f>
        <v>0</v>
      </c>
      <c r="H129" s="361">
        <f t="shared" ref="H129:R129" si="63">H86+H96+H106+H124+H114+H126+H127</f>
        <v>8687187.5</v>
      </c>
      <c r="I129" s="361">
        <f t="shared" si="63"/>
        <v>28757940</v>
      </c>
      <c r="J129" s="361">
        <f t="shared" si="63"/>
        <v>34987631.875</v>
      </c>
      <c r="K129" s="361">
        <f t="shared" si="63"/>
        <v>14105354.375</v>
      </c>
      <c r="L129" s="361">
        <f t="shared" si="63"/>
        <v>1946241.25</v>
      </c>
      <c r="M129" s="361">
        <f t="shared" si="63"/>
        <v>0</v>
      </c>
      <c r="N129" s="361">
        <f t="shared" si="63"/>
        <v>0</v>
      </c>
      <c r="O129" s="361">
        <f t="shared" si="63"/>
        <v>0</v>
      </c>
      <c r="P129" s="361">
        <f t="shared" si="63"/>
        <v>0</v>
      </c>
      <c r="Q129" s="361">
        <f t="shared" si="63"/>
        <v>0</v>
      </c>
      <c r="R129" s="361">
        <f t="shared" si="63"/>
        <v>0</v>
      </c>
      <c r="S129" s="361"/>
      <c r="T129" s="361">
        <f>SUM(G129:R129)</f>
        <v>88484355</v>
      </c>
      <c r="U129" s="413">
        <f>T129/D127</f>
        <v>689.88269920474033</v>
      </c>
      <c r="V129" s="414" t="s">
        <v>221</v>
      </c>
      <c r="W129" s="367">
        <f>J95+J105+J123+J113</f>
        <v>5542625</v>
      </c>
      <c r="X129" s="3" t="s">
        <v>694</v>
      </c>
    </row>
    <row r="130" spans="1:24" s="3" customFormat="1" x14ac:dyDescent="0.2">
      <c r="A130" s="55"/>
      <c r="B130" s="636" t="s">
        <v>718</v>
      </c>
      <c r="C130" s="573"/>
      <c r="D130" s="522"/>
      <c r="E130" s="66"/>
      <c r="F130" s="66"/>
      <c r="G130" s="369"/>
      <c r="H130" s="637">
        <v>4</v>
      </c>
      <c r="I130" s="637"/>
      <c r="J130" s="637">
        <f>5+4+1+1+(SUM(I7:I8)/2)</f>
        <v>14</v>
      </c>
      <c r="K130" s="637">
        <f t="shared" ref="K130:P130" si="64">(SUM(J7:J8)/2)</f>
        <v>6</v>
      </c>
      <c r="L130" s="637">
        <f t="shared" si="64"/>
        <v>6</v>
      </c>
      <c r="M130" s="637">
        <f t="shared" si="64"/>
        <v>6</v>
      </c>
      <c r="N130" s="637">
        <f t="shared" si="64"/>
        <v>3</v>
      </c>
      <c r="O130" s="637">
        <f t="shared" si="64"/>
        <v>0</v>
      </c>
      <c r="P130" s="637">
        <f t="shared" si="64"/>
        <v>0</v>
      </c>
      <c r="Q130" s="637"/>
      <c r="R130" s="637"/>
      <c r="S130" s="369"/>
      <c r="T130" s="369"/>
      <c r="U130" s="413"/>
      <c r="V130" s="414"/>
      <c r="W130" s="367"/>
    </row>
    <row r="131" spans="1:24" x14ac:dyDescent="0.2">
      <c r="B131" s="165"/>
      <c r="C131" s="117"/>
      <c r="D131" s="12"/>
      <c r="E131" s="12"/>
      <c r="F131" s="47"/>
      <c r="G131" s="356"/>
      <c r="H131" s="356"/>
      <c r="I131" s="356"/>
      <c r="J131" s="356"/>
      <c r="K131" s="356"/>
      <c r="L131" s="356"/>
      <c r="M131" s="356"/>
      <c r="N131" s="356"/>
      <c r="O131" s="356"/>
      <c r="P131" s="356"/>
      <c r="Q131" s="356"/>
      <c r="R131" s="356"/>
      <c r="S131" s="356"/>
      <c r="T131" s="362"/>
      <c r="V131" s="132"/>
    </row>
    <row r="132" spans="1:24" outlineLevel="1" x14ac:dyDescent="0.2">
      <c r="B132" s="169" t="s">
        <v>719</v>
      </c>
      <c r="C132" s="317"/>
      <c r="D132" s="170"/>
      <c r="E132" s="170"/>
      <c r="F132" s="170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356"/>
    </row>
    <row r="133" spans="1:24" outlineLevel="1" x14ac:dyDescent="0.2">
      <c r="B133" s="166" t="s">
        <v>720</v>
      </c>
      <c r="C133" s="71">
        <v>50000</v>
      </c>
      <c r="D133" s="61"/>
      <c r="G133" s="228"/>
      <c r="H133" s="354">
        <f>$C133*H130</f>
        <v>200000</v>
      </c>
      <c r="I133" s="354">
        <f t="shared" ref="I133:O133" si="65">$C133*J130</f>
        <v>700000</v>
      </c>
      <c r="J133" s="354">
        <f t="shared" si="65"/>
        <v>300000</v>
      </c>
      <c r="K133" s="354">
        <f t="shared" si="65"/>
        <v>300000</v>
      </c>
      <c r="L133" s="354">
        <f t="shared" si="65"/>
        <v>300000</v>
      </c>
      <c r="M133" s="354">
        <f t="shared" si="65"/>
        <v>150000</v>
      </c>
      <c r="N133" s="354">
        <f t="shared" si="65"/>
        <v>0</v>
      </c>
      <c r="O133" s="354">
        <f t="shared" si="65"/>
        <v>0</v>
      </c>
      <c r="P133" s="354"/>
      <c r="Q133" s="354"/>
      <c r="R133" s="354"/>
      <c r="S133" s="354"/>
      <c r="T133" s="354">
        <f>SUM(G133:R133)</f>
        <v>1950000</v>
      </c>
    </row>
    <row r="134" spans="1:24" outlineLevel="1" x14ac:dyDescent="0.2">
      <c r="B134" s="166" t="s">
        <v>628</v>
      </c>
      <c r="C134" s="71">
        <f>135000*1.25</f>
        <v>168750</v>
      </c>
      <c r="D134" s="71"/>
      <c r="E134" s="12"/>
      <c r="F134" s="12"/>
      <c r="G134" s="12"/>
      <c r="H134" s="12"/>
      <c r="I134" s="12"/>
      <c r="J134" s="12">
        <f>$C$134</f>
        <v>168750</v>
      </c>
      <c r="K134" s="12"/>
      <c r="L134" s="12"/>
      <c r="M134" s="12"/>
      <c r="N134" s="12"/>
      <c r="O134" s="12"/>
      <c r="P134" s="12"/>
      <c r="Q134" s="12"/>
      <c r="R134" s="12"/>
      <c r="T134" s="11">
        <f t="shared" ref="T134:T144" si="66">C134-R134</f>
        <v>168750</v>
      </c>
    </row>
    <row r="135" spans="1:24" outlineLevel="1" x14ac:dyDescent="0.2">
      <c r="B135" s="166" t="s">
        <v>629</v>
      </c>
      <c r="C135" s="71">
        <f>(40000*1.25)+20*4000</f>
        <v>130000</v>
      </c>
      <c r="D135" s="71"/>
      <c r="E135" s="12"/>
      <c r="F135" s="12">
        <v>0</v>
      </c>
      <c r="G135" s="12"/>
      <c r="H135" s="12">
        <f>$C$135/2</f>
        <v>65000</v>
      </c>
      <c r="I135" s="12">
        <f>$C$135/2</f>
        <v>65000</v>
      </c>
      <c r="J135" s="12"/>
      <c r="K135" s="12"/>
      <c r="L135" s="12"/>
      <c r="M135" s="12"/>
      <c r="N135" s="12"/>
      <c r="O135" s="12"/>
      <c r="P135" s="12"/>
      <c r="Q135" s="12"/>
      <c r="R135" s="12"/>
      <c r="T135" s="11">
        <f t="shared" si="66"/>
        <v>130000</v>
      </c>
    </row>
    <row r="136" spans="1:24" outlineLevel="1" x14ac:dyDescent="0.2">
      <c r="B136" s="166" t="s">
        <v>630</v>
      </c>
      <c r="C136" s="71">
        <f>(4000*15)*1.25</f>
        <v>75000</v>
      </c>
      <c r="D136" s="71"/>
      <c r="E136" s="12"/>
      <c r="F136" s="12"/>
      <c r="G136" s="12"/>
      <c r="H136" s="12">
        <f>$C$136/2</f>
        <v>37500</v>
      </c>
      <c r="I136" s="12">
        <f>$C$136/2</f>
        <v>37500</v>
      </c>
      <c r="J136" s="12"/>
      <c r="K136" s="12"/>
      <c r="L136" s="12"/>
      <c r="M136" s="12"/>
      <c r="N136" s="12"/>
      <c r="O136" s="12"/>
      <c r="P136" s="12"/>
      <c r="Q136" s="12"/>
      <c r="R136" s="12"/>
      <c r="T136" s="11">
        <f t="shared" si="66"/>
        <v>75000</v>
      </c>
    </row>
    <row r="137" spans="1:24" outlineLevel="1" x14ac:dyDescent="0.2">
      <c r="B137" s="166" t="s">
        <v>631</v>
      </c>
      <c r="C137" s="71">
        <f>225000*1.25</f>
        <v>281250</v>
      </c>
      <c r="D137" s="71"/>
      <c r="E137" s="12"/>
      <c r="F137" s="12"/>
      <c r="G137" s="12"/>
      <c r="H137" s="12">
        <f>$C$137/2</f>
        <v>140625</v>
      </c>
      <c r="I137" s="12">
        <f>$C$137/2</f>
        <v>140625</v>
      </c>
      <c r="J137" s="12"/>
      <c r="K137" s="12"/>
      <c r="L137" s="12"/>
      <c r="M137" s="12"/>
      <c r="N137" s="12"/>
      <c r="O137" s="12"/>
      <c r="P137" s="12"/>
      <c r="Q137" s="12"/>
      <c r="R137" s="12"/>
      <c r="T137" s="11">
        <f t="shared" si="66"/>
        <v>281250</v>
      </c>
    </row>
    <row r="138" spans="1:24" outlineLevel="1" x14ac:dyDescent="0.2">
      <c r="B138" s="166" t="s">
        <v>633</v>
      </c>
      <c r="C138" s="71">
        <f>130000*1.25</f>
        <v>162500</v>
      </c>
      <c r="D138" s="71"/>
      <c r="E138" s="12"/>
      <c r="F138" s="12"/>
      <c r="G138" s="12"/>
      <c r="H138" s="12">
        <f>$C$138/2</f>
        <v>81250</v>
      </c>
      <c r="I138" s="12">
        <f>$C$138/2</f>
        <v>81250</v>
      </c>
      <c r="J138" s="12"/>
      <c r="K138" s="12"/>
      <c r="L138" s="12"/>
      <c r="M138" s="12"/>
      <c r="N138" s="12"/>
      <c r="O138" s="12"/>
      <c r="P138" s="12"/>
      <c r="Q138" s="12"/>
      <c r="R138" s="12"/>
      <c r="T138" s="11">
        <f t="shared" si="66"/>
        <v>162500</v>
      </c>
    </row>
    <row r="139" spans="1:24" outlineLevel="1" x14ac:dyDescent="0.2">
      <c r="B139" s="166" t="s">
        <v>634</v>
      </c>
      <c r="C139" s="71">
        <f>250000*1.25</f>
        <v>312500</v>
      </c>
      <c r="D139" s="71"/>
      <c r="E139" s="12"/>
      <c r="F139" s="12"/>
      <c r="G139" s="12"/>
      <c r="H139" s="12">
        <f>$C$139/2</f>
        <v>156250</v>
      </c>
      <c r="I139" s="12">
        <f>$C$139/2</f>
        <v>156250</v>
      </c>
      <c r="J139" s="12"/>
      <c r="K139" s="12"/>
      <c r="L139" s="12"/>
      <c r="M139" s="12"/>
      <c r="N139" s="12"/>
      <c r="O139" s="12"/>
      <c r="P139" s="12"/>
      <c r="Q139" s="12"/>
      <c r="R139" s="12"/>
      <c r="T139" s="11">
        <f t="shared" si="66"/>
        <v>312500</v>
      </c>
    </row>
    <row r="140" spans="1:24" outlineLevel="1" x14ac:dyDescent="0.2">
      <c r="B140" s="166" t="s">
        <v>635</v>
      </c>
      <c r="C140" s="71">
        <f>225000*1.25</f>
        <v>281250</v>
      </c>
      <c r="D140" s="71"/>
      <c r="E140" s="12"/>
      <c r="F140" s="12"/>
      <c r="G140" s="12"/>
      <c r="H140" s="12">
        <f>$C$140/4</f>
        <v>70312.5</v>
      </c>
      <c r="I140" s="12">
        <f>$C$140/4</f>
        <v>70312.5</v>
      </c>
      <c r="J140" s="12">
        <f>$C$140/4</f>
        <v>70312.5</v>
      </c>
      <c r="K140" s="12">
        <f>$C$140/4</f>
        <v>70312.5</v>
      </c>
      <c r="L140" s="12"/>
      <c r="M140" s="12"/>
      <c r="N140" s="12"/>
      <c r="O140" s="12"/>
      <c r="P140" s="12"/>
      <c r="Q140" s="12"/>
      <c r="R140" s="12"/>
      <c r="T140" s="11">
        <f t="shared" si="66"/>
        <v>281250</v>
      </c>
    </row>
    <row r="141" spans="1:24" outlineLevel="1" x14ac:dyDescent="0.2">
      <c r="B141" s="166" t="s">
        <v>636</v>
      </c>
      <c r="C141" s="71">
        <f>90000*1.25</f>
        <v>112500</v>
      </c>
      <c r="D141" s="71"/>
      <c r="E141" s="12"/>
      <c r="F141" s="12"/>
      <c r="G141" s="12"/>
      <c r="H141" s="12">
        <f>$C$141/2</f>
        <v>56250</v>
      </c>
      <c r="I141" s="12">
        <f>$C$141/2</f>
        <v>56250</v>
      </c>
      <c r="J141" s="12"/>
      <c r="K141" s="12"/>
      <c r="L141" s="12"/>
      <c r="M141" s="12"/>
      <c r="N141" s="12"/>
      <c r="O141" s="12"/>
      <c r="P141" s="12"/>
      <c r="Q141" s="12"/>
      <c r="R141" s="12"/>
      <c r="T141" s="11">
        <f t="shared" si="66"/>
        <v>112500</v>
      </c>
    </row>
    <row r="142" spans="1:24" outlineLevel="1" x14ac:dyDescent="0.2">
      <c r="B142" s="166" t="s">
        <v>637</v>
      </c>
      <c r="C142" s="71">
        <f>465000*1.25</f>
        <v>581250</v>
      </c>
      <c r="D142" s="71"/>
      <c r="E142" s="12"/>
      <c r="F142" s="12"/>
      <c r="G142" s="12"/>
      <c r="H142" s="12">
        <f>$C$142/2</f>
        <v>290625</v>
      </c>
      <c r="I142" s="12">
        <f>$C$142/2</f>
        <v>290625</v>
      </c>
      <c r="J142" s="12"/>
      <c r="K142" s="12"/>
      <c r="L142" s="12"/>
      <c r="M142" s="12"/>
      <c r="N142" s="12"/>
      <c r="O142" s="12"/>
      <c r="P142" s="12"/>
      <c r="Q142" s="12"/>
      <c r="R142" s="12"/>
      <c r="T142" s="11">
        <f t="shared" si="66"/>
        <v>581250</v>
      </c>
    </row>
    <row r="143" spans="1:24" outlineLevel="1" x14ac:dyDescent="0.2">
      <c r="B143" s="166" t="s">
        <v>638</v>
      </c>
      <c r="C143" s="71">
        <f>505000*1.25</f>
        <v>631250</v>
      </c>
      <c r="D143" s="71"/>
      <c r="E143" s="12"/>
      <c r="F143" s="12"/>
      <c r="G143" s="12"/>
      <c r="H143" s="12">
        <f>$C$143/2</f>
        <v>315625</v>
      </c>
      <c r="I143" s="12">
        <f>$C$143/2</f>
        <v>315625</v>
      </c>
      <c r="J143" s="12"/>
      <c r="K143" s="12"/>
      <c r="L143" s="12"/>
      <c r="M143" s="12"/>
      <c r="N143" s="12"/>
      <c r="O143" s="12"/>
      <c r="P143" s="12"/>
      <c r="Q143" s="12"/>
      <c r="R143" s="12"/>
      <c r="T143" s="11">
        <f t="shared" si="66"/>
        <v>631250</v>
      </c>
    </row>
    <row r="144" spans="1:24" outlineLevel="1" x14ac:dyDescent="0.2">
      <c r="B144" s="166" t="s">
        <v>639</v>
      </c>
      <c r="C144" s="71">
        <f>750000</f>
        <v>750000</v>
      </c>
      <c r="D144" s="71"/>
      <c r="E144" s="12"/>
      <c r="F144" s="12"/>
      <c r="G144" s="12"/>
      <c r="H144" s="12">
        <f>$C$144/2</f>
        <v>375000</v>
      </c>
      <c r="I144" s="12">
        <f>$C$144/2</f>
        <v>375000</v>
      </c>
      <c r="J144" s="12"/>
      <c r="K144" s="12"/>
      <c r="L144" s="12"/>
      <c r="M144" s="12"/>
      <c r="N144" s="12"/>
      <c r="O144" s="12"/>
      <c r="P144" s="12"/>
      <c r="Q144" s="12"/>
      <c r="R144" s="12"/>
      <c r="T144" s="11">
        <f t="shared" si="66"/>
        <v>750000</v>
      </c>
    </row>
    <row r="145" spans="1:22" outlineLevel="1" x14ac:dyDescent="0.2">
      <c r="B145" s="166" t="s">
        <v>721</v>
      </c>
      <c r="C145" s="71">
        <v>750000</v>
      </c>
      <c r="D145" s="71"/>
      <c r="E145" s="12"/>
      <c r="F145" s="12">
        <f>$C$103/3</f>
        <v>4</v>
      </c>
      <c r="G145" s="12"/>
      <c r="H145" s="12">
        <f>$C145*I$76</f>
        <v>0</v>
      </c>
      <c r="I145" s="12">
        <f>$C145/2</f>
        <v>375000</v>
      </c>
      <c r="J145" s="12">
        <f>$C145/2</f>
        <v>375000</v>
      </c>
      <c r="K145" s="12"/>
      <c r="L145" s="12"/>
      <c r="M145" s="12"/>
      <c r="N145" s="12"/>
      <c r="O145" s="12"/>
      <c r="P145" s="12"/>
      <c r="Q145" s="12"/>
      <c r="R145" s="12"/>
      <c r="T145" s="11">
        <f t="shared" ref="T145" si="67">C145-R145</f>
        <v>750000</v>
      </c>
    </row>
    <row r="146" spans="1:22" outlineLevel="1" x14ac:dyDescent="0.2">
      <c r="B146" s="166" t="s">
        <v>722</v>
      </c>
      <c r="C146" s="71">
        <v>150000</v>
      </c>
      <c r="D146" s="61"/>
      <c r="E146" s="61"/>
      <c r="F146" s="108"/>
      <c r="G146" s="354"/>
      <c r="H146" s="354">
        <f t="shared" ref="H146:N146" si="68">$C146*H130</f>
        <v>600000</v>
      </c>
      <c r="I146" s="354">
        <f t="shared" si="68"/>
        <v>0</v>
      </c>
      <c r="J146" s="354">
        <f t="shared" si="68"/>
        <v>2100000</v>
      </c>
      <c r="K146" s="354">
        <f t="shared" si="68"/>
        <v>900000</v>
      </c>
      <c r="L146" s="354">
        <f t="shared" si="68"/>
        <v>900000</v>
      </c>
      <c r="M146" s="354">
        <f t="shared" si="68"/>
        <v>900000</v>
      </c>
      <c r="N146" s="354">
        <f t="shared" si="68"/>
        <v>450000</v>
      </c>
      <c r="O146" s="354">
        <f t="shared" ref="O146:P146" si="69">$C146*O130</f>
        <v>0</v>
      </c>
      <c r="P146" s="354">
        <f t="shared" si="69"/>
        <v>0</v>
      </c>
      <c r="Q146" s="354"/>
      <c r="R146" s="354"/>
      <c r="S146" s="354"/>
      <c r="T146" s="354">
        <f>SUM(G146:R146)</f>
        <v>5850000</v>
      </c>
    </row>
    <row r="147" spans="1:22" s="3" customFormat="1" x14ac:dyDescent="0.2">
      <c r="A147" s="55"/>
      <c r="B147" s="85" t="str">
        <f>B132</f>
        <v xml:space="preserve">HARD COSTS - SITE </v>
      </c>
      <c r="C147" s="318"/>
      <c r="D147" s="51"/>
      <c r="E147" s="51"/>
      <c r="F147" s="24"/>
      <c r="G147" s="363">
        <f t="shared" ref="G147:R147" si="70">SUM(G132:G146)</f>
        <v>0</v>
      </c>
      <c r="H147" s="363">
        <f t="shared" si="70"/>
        <v>2388437.5</v>
      </c>
      <c r="I147" s="363">
        <f t="shared" si="70"/>
        <v>2663437.5</v>
      </c>
      <c r="J147" s="363">
        <f t="shared" si="70"/>
        <v>3014062.5</v>
      </c>
      <c r="K147" s="363">
        <f t="shared" si="70"/>
        <v>1270312.5</v>
      </c>
      <c r="L147" s="363">
        <f t="shared" si="70"/>
        <v>1200000</v>
      </c>
      <c r="M147" s="363">
        <f t="shared" si="70"/>
        <v>1050000</v>
      </c>
      <c r="N147" s="363">
        <f t="shared" si="70"/>
        <v>450000</v>
      </c>
      <c r="O147" s="363">
        <f t="shared" si="70"/>
        <v>0</v>
      </c>
      <c r="P147" s="363">
        <f t="shared" si="70"/>
        <v>0</v>
      </c>
      <c r="Q147" s="363">
        <f t="shared" si="70"/>
        <v>0</v>
      </c>
      <c r="R147" s="363">
        <f t="shared" si="70"/>
        <v>0</v>
      </c>
      <c r="S147" s="363"/>
      <c r="T147" s="361">
        <f>SUM(G147:R147)</f>
        <v>12036250</v>
      </c>
      <c r="V147" s="319"/>
    </row>
    <row r="148" spans="1:22" x14ac:dyDescent="0.2">
      <c r="B148" s="165"/>
      <c r="C148" s="117"/>
      <c r="D148" s="61"/>
      <c r="E148" s="12"/>
      <c r="F148" s="47"/>
      <c r="G148" s="356"/>
      <c r="H148" s="356"/>
      <c r="I148" s="356"/>
      <c r="J148" s="356"/>
      <c r="K148" s="356"/>
      <c r="L148" s="356"/>
      <c r="M148" s="356"/>
      <c r="N148" s="356"/>
      <c r="O148" s="356"/>
      <c r="P148" s="356"/>
      <c r="Q148" s="356"/>
      <c r="R148" s="356"/>
      <c r="S148" s="356"/>
      <c r="T148" s="362"/>
      <c r="V148" s="132"/>
    </row>
    <row r="149" spans="1:22" outlineLevel="1" x14ac:dyDescent="0.2">
      <c r="B149" t="s">
        <v>723</v>
      </c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356">
        <f t="shared" ref="T149:T160" si="71">SUM(G149:R149)</f>
        <v>0</v>
      </c>
    </row>
    <row r="150" spans="1:22" outlineLevel="1" x14ac:dyDescent="0.2">
      <c r="B150" s="166" t="s">
        <v>724</v>
      </c>
      <c r="C150" s="65">
        <v>7.4999999999999997E-2</v>
      </c>
      <c r="D150" s="32"/>
      <c r="E150" s="12"/>
      <c r="F150" s="91"/>
      <c r="G150" s="364">
        <f>$C150*H$133</f>
        <v>15000</v>
      </c>
      <c r="H150" s="364">
        <f>$C150*I$133</f>
        <v>52500</v>
      </c>
      <c r="I150" s="364">
        <f>$C150*J$133</f>
        <v>22500</v>
      </c>
      <c r="J150" s="364">
        <f>$C150*K$133</f>
        <v>22500</v>
      </c>
      <c r="K150" s="364">
        <f>$C150*L$133</f>
        <v>22500</v>
      </c>
      <c r="L150" s="364"/>
      <c r="M150" s="364"/>
      <c r="N150" s="364"/>
      <c r="O150" s="364"/>
      <c r="P150" s="364"/>
      <c r="Q150" s="364"/>
      <c r="R150" s="364"/>
      <c r="S150" s="364"/>
      <c r="T150" s="356">
        <f t="shared" si="71"/>
        <v>135000</v>
      </c>
    </row>
    <row r="151" spans="1:22" outlineLevel="1" x14ac:dyDescent="0.2">
      <c r="B151" s="166" t="s">
        <v>725</v>
      </c>
      <c r="C151" s="65">
        <v>0.05</v>
      </c>
      <c r="D151" s="32"/>
      <c r="E151" s="12"/>
      <c r="F151" s="91"/>
      <c r="G151" s="364">
        <f>$C151*H$129</f>
        <v>434359.375</v>
      </c>
      <c r="H151" s="364">
        <f>$C151*I$129</f>
        <v>1437897</v>
      </c>
      <c r="I151" s="364">
        <f>$C151*J$129</f>
        <v>1749381.59375</v>
      </c>
      <c r="J151" s="364">
        <f t="shared" ref="J151:L151" si="72">$C151*K$129</f>
        <v>705267.71875</v>
      </c>
      <c r="K151" s="364">
        <f t="shared" si="72"/>
        <v>97312.0625</v>
      </c>
      <c r="L151" s="364">
        <f t="shared" si="72"/>
        <v>0</v>
      </c>
      <c r="M151" s="364"/>
      <c r="N151" s="364"/>
      <c r="O151" s="364"/>
      <c r="P151" s="364"/>
      <c r="Q151" s="364"/>
      <c r="R151" s="364"/>
      <c r="S151" s="364"/>
      <c r="T151" s="356">
        <f t="shared" si="71"/>
        <v>4424217.75</v>
      </c>
    </row>
    <row r="152" spans="1:22" outlineLevel="1" x14ac:dyDescent="0.2">
      <c r="B152" s="166" t="s">
        <v>726</v>
      </c>
      <c r="C152" s="65">
        <v>0.02</v>
      </c>
      <c r="D152" s="32"/>
      <c r="E152" s="32"/>
      <c r="F152" s="91"/>
      <c r="G152" s="364">
        <f>$C152*G$129</f>
        <v>0</v>
      </c>
      <c r="H152" s="364">
        <f t="shared" ref="H152:N152" si="73">$C152*H$129</f>
        <v>173743.75</v>
      </c>
      <c r="I152" s="364">
        <f t="shared" si="73"/>
        <v>575158.80000000005</v>
      </c>
      <c r="J152" s="364">
        <f t="shared" si="73"/>
        <v>699752.63750000007</v>
      </c>
      <c r="K152" s="364">
        <f t="shared" si="73"/>
        <v>282107.08750000002</v>
      </c>
      <c r="L152" s="364">
        <f t="shared" si="73"/>
        <v>38924.825000000004</v>
      </c>
      <c r="M152" s="364">
        <f t="shared" si="73"/>
        <v>0</v>
      </c>
      <c r="N152" s="364">
        <f t="shared" si="73"/>
        <v>0</v>
      </c>
      <c r="O152" s="364"/>
      <c r="P152" s="364"/>
      <c r="Q152" s="364"/>
      <c r="R152" s="364"/>
      <c r="S152" s="364"/>
      <c r="T152" s="356">
        <f t="shared" si="71"/>
        <v>1769687.0999999999</v>
      </c>
    </row>
    <row r="153" spans="1:22" outlineLevel="1" x14ac:dyDescent="0.2">
      <c r="B153" s="166" t="s">
        <v>727</v>
      </c>
      <c r="C153" s="65">
        <v>0.1</v>
      </c>
      <c r="D153" s="32"/>
      <c r="E153" s="32"/>
      <c r="F153" s="91"/>
      <c r="G153" s="364">
        <f t="shared" ref="G153:H153" si="74">$C$153*H146</f>
        <v>60000</v>
      </c>
      <c r="H153" s="364">
        <f t="shared" si="74"/>
        <v>0</v>
      </c>
      <c r="I153" s="364">
        <f>$C$153*J146</f>
        <v>210000</v>
      </c>
      <c r="J153" s="364">
        <f t="shared" ref="J153:O153" si="75">$C$153*K146</f>
        <v>90000</v>
      </c>
      <c r="K153" s="364">
        <f t="shared" si="75"/>
        <v>90000</v>
      </c>
      <c r="L153" s="364">
        <f t="shared" si="75"/>
        <v>90000</v>
      </c>
      <c r="M153" s="364">
        <f t="shared" si="75"/>
        <v>45000</v>
      </c>
      <c r="N153" s="364">
        <f t="shared" si="75"/>
        <v>0</v>
      </c>
      <c r="O153" s="364">
        <f t="shared" si="75"/>
        <v>0</v>
      </c>
      <c r="P153" s="364"/>
      <c r="Q153" s="364"/>
      <c r="R153" s="364"/>
      <c r="S153" s="364"/>
      <c r="T153" s="356">
        <f t="shared" si="71"/>
        <v>585000</v>
      </c>
    </row>
    <row r="154" spans="1:22" outlineLevel="1" x14ac:dyDescent="0.2">
      <c r="B154" s="166" t="s">
        <v>728</v>
      </c>
      <c r="C154" s="65">
        <v>3.5000000000000003E-2</v>
      </c>
      <c r="D154" s="32"/>
      <c r="E154" s="32"/>
      <c r="F154" s="91"/>
      <c r="G154" s="364">
        <f>$C$154*G146</f>
        <v>0</v>
      </c>
      <c r="H154" s="364">
        <f>$C$154*H146</f>
        <v>21000.000000000004</v>
      </c>
      <c r="I154" s="364">
        <f t="shared" ref="I154:O154" si="76">$C$154*I146</f>
        <v>0</v>
      </c>
      <c r="J154" s="364">
        <f t="shared" si="76"/>
        <v>73500</v>
      </c>
      <c r="K154" s="364">
        <f t="shared" si="76"/>
        <v>31500.000000000004</v>
      </c>
      <c r="L154" s="364">
        <f t="shared" si="76"/>
        <v>31500.000000000004</v>
      </c>
      <c r="M154" s="364">
        <f t="shared" si="76"/>
        <v>31500.000000000004</v>
      </c>
      <c r="N154" s="364">
        <f t="shared" si="76"/>
        <v>15750.000000000002</v>
      </c>
      <c r="O154" s="364">
        <f t="shared" si="76"/>
        <v>0</v>
      </c>
      <c r="P154" s="364"/>
      <c r="Q154" s="364"/>
      <c r="R154" s="364"/>
      <c r="S154" s="364"/>
      <c r="T154" s="356">
        <f t="shared" si="71"/>
        <v>204750</v>
      </c>
    </row>
    <row r="155" spans="1:22" outlineLevel="1" x14ac:dyDescent="0.2">
      <c r="B155" s="166" t="s">
        <v>729</v>
      </c>
      <c r="C155" s="64">
        <v>4</v>
      </c>
      <c r="D155" s="32"/>
      <c r="E155" s="32"/>
      <c r="F155" s="91"/>
      <c r="G155" s="434">
        <v>25000</v>
      </c>
      <c r="H155" s="364">
        <f>($C155*$D$127)/4</f>
        <v>128260</v>
      </c>
      <c r="I155" s="364">
        <f>($C155*$D$127)/4</f>
        <v>128260</v>
      </c>
      <c r="J155" s="364">
        <f>($C155*$D$127)/4</f>
        <v>128260</v>
      </c>
      <c r="K155" s="364">
        <f>($C155*$D$127)/4</f>
        <v>128260</v>
      </c>
      <c r="L155" s="364"/>
      <c r="M155" s="364"/>
      <c r="N155" s="364"/>
      <c r="O155" s="364"/>
      <c r="P155" s="364"/>
      <c r="Q155" s="228"/>
      <c r="R155" s="228"/>
      <c r="S155" s="228"/>
      <c r="T155" s="356">
        <f t="shared" si="71"/>
        <v>538040</v>
      </c>
    </row>
    <row r="156" spans="1:22" outlineLevel="1" x14ac:dyDescent="0.2">
      <c r="B156" s="166" t="s">
        <v>730</v>
      </c>
      <c r="C156" s="64">
        <v>1.5</v>
      </c>
      <c r="D156" s="32"/>
      <c r="E156" s="32"/>
      <c r="F156" s="91"/>
      <c r="G156" s="364"/>
      <c r="I156" s="364">
        <f>($C$156*$D$127)/4</f>
        <v>48097.5</v>
      </c>
      <c r="J156" s="364">
        <f>($C$156*$D$127)/4</f>
        <v>48097.5</v>
      </c>
      <c r="K156" s="364">
        <f>($C$156*$D$127)/4</f>
        <v>48097.5</v>
      </c>
      <c r="L156" s="364">
        <f>($C$156*$D$127)/4</f>
        <v>48097.5</v>
      </c>
      <c r="M156" s="364"/>
      <c r="N156" s="364"/>
      <c r="O156" s="364"/>
      <c r="P156" s="364"/>
      <c r="Q156" s="228"/>
      <c r="R156" s="228"/>
      <c r="S156" s="228"/>
      <c r="T156" s="356">
        <f t="shared" si="71"/>
        <v>192390</v>
      </c>
    </row>
    <row r="157" spans="1:22" outlineLevel="1" x14ac:dyDescent="0.2">
      <c r="B157" s="166" t="s">
        <v>315</v>
      </c>
      <c r="C157" s="10">
        <f>250000</f>
        <v>250000</v>
      </c>
      <c r="D157" s="32"/>
      <c r="E157" s="32"/>
      <c r="F157" s="91"/>
      <c r="H157" s="364">
        <f>$C$157/4</f>
        <v>62500</v>
      </c>
      <c r="I157" s="364">
        <f>$C$157/4</f>
        <v>62500</v>
      </c>
      <c r="J157" s="364">
        <f>$C$157/4</f>
        <v>62500</v>
      </c>
      <c r="K157" s="364">
        <f>$C$157/4</f>
        <v>62500</v>
      </c>
      <c r="L157" s="364"/>
      <c r="M157" s="364"/>
      <c r="N157" s="364"/>
      <c r="O157" s="364"/>
      <c r="P157" s="364"/>
      <c r="Q157" s="228"/>
      <c r="R157" s="228"/>
      <c r="S157" s="228"/>
      <c r="T157" s="356">
        <f>SUM(H157:R157)</f>
        <v>250000</v>
      </c>
    </row>
    <row r="158" spans="1:22" outlineLevel="1" x14ac:dyDescent="0.2">
      <c r="B158" s="166" t="s">
        <v>731</v>
      </c>
      <c r="C158" s="10">
        <f>3500*3</f>
        <v>10500</v>
      </c>
      <c r="D158" s="12"/>
      <c r="E158" s="12"/>
      <c r="F158" s="47"/>
      <c r="H158" s="356">
        <f t="shared" ref="H158:N158" si="77">$C$158</f>
        <v>10500</v>
      </c>
      <c r="I158" s="356">
        <f t="shared" si="77"/>
        <v>10500</v>
      </c>
      <c r="J158" s="356">
        <f t="shared" si="77"/>
        <v>10500</v>
      </c>
      <c r="K158" s="356">
        <f t="shared" si="77"/>
        <v>10500</v>
      </c>
      <c r="L158" s="356">
        <f t="shared" si="77"/>
        <v>10500</v>
      </c>
      <c r="M158" s="356">
        <f t="shared" si="77"/>
        <v>10500</v>
      </c>
      <c r="N158" s="356">
        <f t="shared" si="77"/>
        <v>10500</v>
      </c>
      <c r="O158" s="356"/>
      <c r="P158" s="356"/>
      <c r="Q158" s="356"/>
      <c r="R158" s="356"/>
      <c r="S158" s="356"/>
      <c r="T158" s="356">
        <f>SUM(H158:R158)</f>
        <v>73500</v>
      </c>
    </row>
    <row r="159" spans="1:22" outlineLevel="1" x14ac:dyDescent="0.2">
      <c r="B159" s="171" t="s">
        <v>317</v>
      </c>
      <c r="C159" s="409">
        <v>0.05</v>
      </c>
      <c r="D159" s="22"/>
      <c r="E159" s="22"/>
      <c r="F159" s="11"/>
      <c r="G159" s="365">
        <f>SUM(G149:G158)*$C$159</f>
        <v>26717.96875</v>
      </c>
      <c r="H159" s="365">
        <f>SUM(H149:H158)*$C$159</f>
        <v>94320.037500000006</v>
      </c>
      <c r="I159" s="365">
        <f t="shared" ref="I159:R159" si="78">SUM(I149:I158)*$C$159</f>
        <v>140319.8946875</v>
      </c>
      <c r="J159" s="365">
        <f t="shared" si="78"/>
        <v>92018.892812500009</v>
      </c>
      <c r="K159" s="365">
        <f t="shared" si="78"/>
        <v>38638.832500000004</v>
      </c>
      <c r="L159" s="365">
        <f t="shared" si="78"/>
        <v>10951.116250000001</v>
      </c>
      <c r="M159" s="365">
        <f t="shared" si="78"/>
        <v>4350</v>
      </c>
      <c r="N159" s="365">
        <f t="shared" si="78"/>
        <v>1312.5</v>
      </c>
      <c r="O159" s="365">
        <f t="shared" si="78"/>
        <v>0</v>
      </c>
      <c r="P159" s="365">
        <f t="shared" si="78"/>
        <v>0</v>
      </c>
      <c r="Q159" s="365">
        <f t="shared" si="78"/>
        <v>0</v>
      </c>
      <c r="R159" s="365">
        <f t="shared" si="78"/>
        <v>0</v>
      </c>
      <c r="S159" s="365"/>
      <c r="T159" s="366">
        <f t="shared" si="71"/>
        <v>408629.24250000005</v>
      </c>
    </row>
    <row r="160" spans="1:22" s="3" customFormat="1" x14ac:dyDescent="0.2">
      <c r="A160" s="55"/>
      <c r="B160" s="115" t="str">
        <f>B149</f>
        <v>SOFT COSTS - PROFESSIONALS</v>
      </c>
      <c r="C160" s="410"/>
      <c r="D160" s="51"/>
      <c r="E160" s="51"/>
      <c r="F160" s="24"/>
      <c r="G160" s="363">
        <f t="shared" ref="G160:R160" si="79">SUM(G149:G159)</f>
        <v>561077.34375</v>
      </c>
      <c r="H160" s="363">
        <f t="shared" si="79"/>
        <v>1980720.7875000001</v>
      </c>
      <c r="I160" s="363">
        <f t="shared" si="79"/>
        <v>2946717.7884374997</v>
      </c>
      <c r="J160" s="363">
        <f t="shared" si="79"/>
        <v>1932396.7490625002</v>
      </c>
      <c r="K160" s="363">
        <f t="shared" si="79"/>
        <v>811415.48250000004</v>
      </c>
      <c r="L160" s="363">
        <f t="shared" si="79"/>
        <v>229973.44125</v>
      </c>
      <c r="M160" s="363">
        <f t="shared" si="79"/>
        <v>91350</v>
      </c>
      <c r="N160" s="363">
        <f t="shared" si="79"/>
        <v>27562.5</v>
      </c>
      <c r="O160" s="363">
        <f t="shared" si="79"/>
        <v>0</v>
      </c>
      <c r="P160" s="363">
        <f t="shared" si="79"/>
        <v>0</v>
      </c>
      <c r="Q160" s="363">
        <f t="shared" si="79"/>
        <v>0</v>
      </c>
      <c r="R160" s="363">
        <f t="shared" si="79"/>
        <v>0</v>
      </c>
      <c r="S160" s="363"/>
      <c r="T160" s="361">
        <f t="shared" si="71"/>
        <v>8581214.0924999993</v>
      </c>
    </row>
    <row r="161" spans="1:20" x14ac:dyDescent="0.2"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356"/>
    </row>
    <row r="162" spans="1:20" outlineLevel="1" x14ac:dyDescent="0.2">
      <c r="B162" s="81" t="s">
        <v>337</v>
      </c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356"/>
    </row>
    <row r="163" spans="1:20" outlineLevel="1" x14ac:dyDescent="0.2">
      <c r="B163" s="166"/>
      <c r="C163" s="90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354"/>
    </row>
    <row r="164" spans="1:20" outlineLevel="1" x14ac:dyDescent="0.2">
      <c r="B164" s="166" t="s">
        <v>338</v>
      </c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356"/>
    </row>
    <row r="165" spans="1:20" outlineLevel="1" x14ac:dyDescent="0.2">
      <c r="B165" s="166" t="s">
        <v>339</v>
      </c>
      <c r="C165" s="10">
        <v>100000</v>
      </c>
      <c r="D165" s="88" t="s">
        <v>340</v>
      </c>
      <c r="G165" s="356">
        <f t="shared" ref="G165:R165" si="80">IF(G60&gt;0,$C$165,0)</f>
        <v>0</v>
      </c>
      <c r="H165" s="356">
        <f t="shared" si="80"/>
        <v>0</v>
      </c>
      <c r="I165" s="356">
        <f t="shared" si="80"/>
        <v>0</v>
      </c>
      <c r="J165" s="356">
        <f t="shared" si="80"/>
        <v>100000</v>
      </c>
      <c r="K165" s="356">
        <f t="shared" si="80"/>
        <v>100000</v>
      </c>
      <c r="L165" s="356">
        <f t="shared" si="80"/>
        <v>100000</v>
      </c>
      <c r="M165" s="356">
        <f t="shared" si="80"/>
        <v>100000</v>
      </c>
      <c r="N165" s="356">
        <f t="shared" si="80"/>
        <v>100000</v>
      </c>
      <c r="O165" s="356">
        <f t="shared" si="80"/>
        <v>0</v>
      </c>
      <c r="P165" s="356">
        <f t="shared" si="80"/>
        <v>0</v>
      </c>
      <c r="Q165" s="356">
        <f t="shared" si="80"/>
        <v>0</v>
      </c>
      <c r="R165" s="356">
        <f t="shared" si="80"/>
        <v>0</v>
      </c>
      <c r="S165" s="228"/>
      <c r="T165" s="354">
        <f>SUM(G165:R165)</f>
        <v>500000</v>
      </c>
    </row>
    <row r="166" spans="1:20" outlineLevel="1" x14ac:dyDescent="0.2">
      <c r="B166" s="171" t="s">
        <v>341</v>
      </c>
      <c r="C166" s="225"/>
      <c r="D166" s="225"/>
      <c r="E166" s="225"/>
      <c r="F166" s="225"/>
      <c r="G166" s="365"/>
      <c r="H166" s="365"/>
      <c r="I166" s="365"/>
      <c r="J166" s="365"/>
      <c r="K166" s="365"/>
      <c r="L166" s="365"/>
      <c r="M166" s="365"/>
      <c r="N166" s="365"/>
      <c r="O166" s="365"/>
      <c r="P166" s="365"/>
      <c r="Q166" s="365"/>
      <c r="R166" s="365"/>
      <c r="S166" s="365"/>
      <c r="T166" s="366"/>
    </row>
    <row r="167" spans="1:20" s="3" customFormat="1" x14ac:dyDescent="0.2">
      <c r="A167" s="55"/>
      <c r="B167" s="49" t="str">
        <f>B162</f>
        <v>SOFT COSTS - SALES</v>
      </c>
      <c r="C167" s="49"/>
      <c r="D167" s="49"/>
      <c r="E167" s="49"/>
      <c r="G167" s="361">
        <f>SUM(G163:G166)</f>
        <v>0</v>
      </c>
      <c r="H167" s="361">
        <f t="shared" ref="H167:R167" si="81">SUM(H163:H166)</f>
        <v>0</v>
      </c>
      <c r="I167" s="361">
        <f t="shared" si="81"/>
        <v>0</v>
      </c>
      <c r="J167" s="361">
        <f t="shared" si="81"/>
        <v>100000</v>
      </c>
      <c r="K167" s="361">
        <f t="shared" si="81"/>
        <v>100000</v>
      </c>
      <c r="L167" s="361">
        <f t="shared" si="81"/>
        <v>100000</v>
      </c>
      <c r="M167" s="361">
        <f t="shared" si="81"/>
        <v>100000</v>
      </c>
      <c r="N167" s="361">
        <f t="shared" si="81"/>
        <v>100000</v>
      </c>
      <c r="O167" s="361">
        <f t="shared" si="81"/>
        <v>0</v>
      </c>
      <c r="P167" s="361">
        <f t="shared" si="81"/>
        <v>0</v>
      </c>
      <c r="Q167" s="361">
        <f t="shared" si="81"/>
        <v>0</v>
      </c>
      <c r="R167" s="361">
        <f t="shared" si="81"/>
        <v>0</v>
      </c>
      <c r="S167" s="363"/>
      <c r="T167" s="361">
        <f>SUM(G167:R167)</f>
        <v>500000</v>
      </c>
    </row>
    <row r="168" spans="1:20" x14ac:dyDescent="0.2">
      <c r="B168" s="3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356"/>
    </row>
    <row r="169" spans="1:20" outlineLevel="1" x14ac:dyDescent="0.2">
      <c r="B169" t="s">
        <v>342</v>
      </c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356">
        <f t="shared" ref="T169:T172" si="82">SUM(G169:R169)</f>
        <v>0</v>
      </c>
    </row>
    <row r="170" spans="1:20" outlineLevel="1" x14ac:dyDescent="0.2">
      <c r="B170" s="166" t="s">
        <v>343</v>
      </c>
      <c r="C170" s="68">
        <f>Assumptions!N27</f>
        <v>256</v>
      </c>
      <c r="D170" s="68" t="s">
        <v>344</v>
      </c>
      <c r="E170" s="12"/>
      <c r="F170" s="47"/>
      <c r="G170" s="356"/>
      <c r="H170" s="356">
        <f>IF(H3&lt;=Assumptions!$C$30,$C$170*($C$22-SUM($G22:H22)),0)</f>
        <v>9216</v>
      </c>
      <c r="I170" s="356">
        <f>IF(I3&lt;=Assumptions!$C$30,$C$170*($C$22-SUM($G22:I22)),0)</f>
        <v>9216</v>
      </c>
      <c r="J170" s="356">
        <f>IF(J3&lt;=Assumptions!$C$30,$C$170*($C$22-SUM($G22:J22)),0)</f>
        <v>8448</v>
      </c>
      <c r="K170" s="356">
        <f>IF(K3&lt;=Assumptions!$C$30,$C$170*($C$22-SUM($G22:K22)),0)</f>
        <v>6144</v>
      </c>
      <c r="L170" s="356">
        <f>IF(L3&lt;=Assumptions!$C$30,$C$170*($C$22-SUM($G22:L22)),0)</f>
        <v>3840</v>
      </c>
      <c r="M170" s="356">
        <f>IF(M3&lt;=Assumptions!$C$30,$C$170*($C$22-SUM($G22:M22)),0)</f>
        <v>1536</v>
      </c>
      <c r="N170" s="356">
        <f>IF(N3&lt;=Assumptions!$C$30,$C$170*($C$22-SUM($G22:N22)),0)</f>
        <v>0</v>
      </c>
      <c r="O170" s="356">
        <f>IF(O3&lt;=Assumptions!$C$30,$C$170*($C$22-SUM($G22:O22)),0)</f>
        <v>0</v>
      </c>
      <c r="P170" s="356">
        <f>IF(P3&lt;=Assumptions!$C$30,$C$170*($C$22-SUM($G22:P22)),0)</f>
        <v>0</v>
      </c>
      <c r="Q170" s="356">
        <f>IF(Q3&lt;=Assumptions!$C$30,$C$170*($C$22-SUM($G22:Q22)),0)</f>
        <v>0</v>
      </c>
      <c r="R170" s="356">
        <f>IF(R3&lt;=Assumptions!$C$30,$C$170*($C$22-SUM($G22:R22)),0)</f>
        <v>0</v>
      </c>
      <c r="S170" s="356"/>
      <c r="T170" s="356">
        <f t="shared" si="82"/>
        <v>38400</v>
      </c>
    </row>
    <row r="171" spans="1:20" outlineLevel="1" x14ac:dyDescent="0.2">
      <c r="B171" s="171" t="s">
        <v>345</v>
      </c>
      <c r="C171" s="58">
        <v>5.4999999999999997E-3</v>
      </c>
      <c r="D171" s="21"/>
      <c r="E171" s="21"/>
      <c r="F171" s="47"/>
      <c r="G171" s="366">
        <f t="shared" ref="G171:R171" si="83">$C$171*(G129+G147)</f>
        <v>0</v>
      </c>
      <c r="H171" s="366">
        <f t="shared" si="83"/>
        <v>60915.9375</v>
      </c>
      <c r="I171" s="366">
        <f t="shared" si="83"/>
        <v>172817.57624999998</v>
      </c>
      <c r="J171" s="366">
        <f t="shared" si="83"/>
        <v>209009.3190625</v>
      </c>
      <c r="K171" s="366">
        <f t="shared" si="83"/>
        <v>84566.167812499989</v>
      </c>
      <c r="L171" s="366">
        <f t="shared" si="83"/>
        <v>17304.326874999999</v>
      </c>
      <c r="M171" s="366">
        <f t="shared" si="83"/>
        <v>5775</v>
      </c>
      <c r="N171" s="366">
        <f t="shared" si="83"/>
        <v>2475</v>
      </c>
      <c r="O171" s="366">
        <f t="shared" si="83"/>
        <v>0</v>
      </c>
      <c r="P171" s="366">
        <f t="shared" si="83"/>
        <v>0</v>
      </c>
      <c r="Q171" s="366">
        <f t="shared" si="83"/>
        <v>0</v>
      </c>
      <c r="R171" s="366">
        <f t="shared" si="83"/>
        <v>0</v>
      </c>
      <c r="S171" s="366"/>
      <c r="T171" s="366">
        <f t="shared" si="82"/>
        <v>552863.32750000001</v>
      </c>
    </row>
    <row r="172" spans="1:20" s="3" customFormat="1" x14ac:dyDescent="0.2">
      <c r="A172" s="55"/>
      <c r="B172" s="115" t="str">
        <f>B169</f>
        <v>SOFT COSTS - TAXES AND INSURANCE</v>
      </c>
      <c r="C172" s="410"/>
      <c r="D172" s="52"/>
      <c r="E172" s="52"/>
      <c r="F172" s="66"/>
      <c r="G172" s="361">
        <f t="shared" ref="G172:R172" si="84">SUM(G170:G171)</f>
        <v>0</v>
      </c>
      <c r="H172" s="361">
        <f t="shared" si="84"/>
        <v>70131.9375</v>
      </c>
      <c r="I172" s="361">
        <f t="shared" si="84"/>
        <v>182033.57624999998</v>
      </c>
      <c r="J172" s="361">
        <f t="shared" si="84"/>
        <v>217457.3190625</v>
      </c>
      <c r="K172" s="361">
        <f t="shared" si="84"/>
        <v>90710.167812499989</v>
      </c>
      <c r="L172" s="361">
        <f t="shared" si="84"/>
        <v>21144.326874999999</v>
      </c>
      <c r="M172" s="361">
        <f t="shared" si="84"/>
        <v>7311</v>
      </c>
      <c r="N172" s="361">
        <f t="shared" si="84"/>
        <v>2475</v>
      </c>
      <c r="O172" s="361">
        <f t="shared" si="84"/>
        <v>0</v>
      </c>
      <c r="P172" s="361">
        <f t="shared" si="84"/>
        <v>0</v>
      </c>
      <c r="Q172" s="361">
        <f t="shared" si="84"/>
        <v>0</v>
      </c>
      <c r="R172" s="361">
        <f t="shared" si="84"/>
        <v>0</v>
      </c>
      <c r="S172" s="361"/>
      <c r="T172" s="361">
        <f t="shared" si="82"/>
        <v>591263.32750000001</v>
      </c>
    </row>
    <row r="173" spans="1:20" x14ac:dyDescent="0.2">
      <c r="C173" s="9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356"/>
    </row>
    <row r="174" spans="1:20" outlineLevel="1" x14ac:dyDescent="0.2">
      <c r="B174" t="s">
        <v>347</v>
      </c>
      <c r="C174" s="9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356">
        <f t="shared" ref="T174:T181" si="85">SUM(G174:R174)</f>
        <v>0</v>
      </c>
    </row>
    <row r="175" spans="1:20" outlineLevel="1" x14ac:dyDescent="0.2">
      <c r="B175" s="166" t="s">
        <v>732</v>
      </c>
      <c r="C175" s="93">
        <v>2.5000000000000001E-3</v>
      </c>
      <c r="D175" s="47"/>
      <c r="E175" s="47"/>
      <c r="F175" s="47"/>
      <c r="G175" s="368">
        <f t="shared" ref="G175:R175" si="86">$C$175*G129</f>
        <v>0</v>
      </c>
      <c r="H175" s="368">
        <f t="shared" si="86"/>
        <v>21717.96875</v>
      </c>
      <c r="I175" s="368">
        <f t="shared" si="86"/>
        <v>71894.850000000006</v>
      </c>
      <c r="J175" s="368">
        <f t="shared" si="86"/>
        <v>87469.079687500009</v>
      </c>
      <c r="K175" s="368">
        <f t="shared" si="86"/>
        <v>35263.385937500003</v>
      </c>
      <c r="L175" s="368">
        <f t="shared" si="86"/>
        <v>4865.6031250000005</v>
      </c>
      <c r="M175" s="368">
        <f t="shared" si="86"/>
        <v>0</v>
      </c>
      <c r="N175" s="368">
        <f t="shared" si="86"/>
        <v>0</v>
      </c>
      <c r="O175" s="368">
        <f t="shared" si="86"/>
        <v>0</v>
      </c>
      <c r="P175" s="368">
        <f t="shared" si="86"/>
        <v>0</v>
      </c>
      <c r="Q175" s="368">
        <f t="shared" si="86"/>
        <v>0</v>
      </c>
      <c r="R175" s="368">
        <f t="shared" si="86"/>
        <v>0</v>
      </c>
      <c r="S175" s="368"/>
      <c r="T175" s="356">
        <f t="shared" si="85"/>
        <v>221210.88749999998</v>
      </c>
    </row>
    <row r="176" spans="1:20" outlineLevel="1" x14ac:dyDescent="0.2">
      <c r="B176" s="171" t="s">
        <v>733</v>
      </c>
      <c r="C176" s="27">
        <v>0</v>
      </c>
      <c r="D176" s="21"/>
      <c r="E176" s="21"/>
      <c r="F176" s="47"/>
      <c r="G176" s="366"/>
      <c r="H176" s="366"/>
      <c r="I176" s="366"/>
      <c r="J176" s="366"/>
      <c r="K176" s="366"/>
      <c r="L176" s="366"/>
      <c r="M176" s="366"/>
      <c r="N176" s="366"/>
      <c r="O176" s="366"/>
      <c r="P176" s="366"/>
      <c r="Q176" s="366"/>
      <c r="R176" s="366"/>
      <c r="S176" s="366"/>
      <c r="T176" s="366">
        <f t="shared" si="85"/>
        <v>0</v>
      </c>
    </row>
    <row r="177" spans="1:24" s="3" customFormat="1" x14ac:dyDescent="0.2">
      <c r="A177" s="55"/>
      <c r="B177" s="115" t="str">
        <f>B174</f>
        <v>SOFT COSTS - MUNICIPALITY FEES</v>
      </c>
      <c r="C177" s="52"/>
      <c r="D177" s="52"/>
      <c r="E177" s="52"/>
      <c r="F177" s="66"/>
      <c r="G177" s="361">
        <f t="shared" ref="G177:R177" si="87">SUM(G175:G176)</f>
        <v>0</v>
      </c>
      <c r="H177" s="361">
        <f t="shared" si="87"/>
        <v>21717.96875</v>
      </c>
      <c r="I177" s="361">
        <f t="shared" si="87"/>
        <v>71894.850000000006</v>
      </c>
      <c r="J177" s="361">
        <f t="shared" si="87"/>
        <v>87469.079687500009</v>
      </c>
      <c r="K177" s="361">
        <f t="shared" si="87"/>
        <v>35263.385937500003</v>
      </c>
      <c r="L177" s="361">
        <f t="shared" si="87"/>
        <v>4865.6031250000005</v>
      </c>
      <c r="M177" s="361">
        <f t="shared" si="87"/>
        <v>0</v>
      </c>
      <c r="N177" s="361">
        <f t="shared" si="87"/>
        <v>0</v>
      </c>
      <c r="O177" s="361">
        <f t="shared" si="87"/>
        <v>0</v>
      </c>
      <c r="P177" s="361">
        <f t="shared" si="87"/>
        <v>0</v>
      </c>
      <c r="Q177" s="361">
        <f t="shared" si="87"/>
        <v>0</v>
      </c>
      <c r="R177" s="361">
        <f t="shared" si="87"/>
        <v>0</v>
      </c>
      <c r="S177" s="361"/>
      <c r="T177" s="361">
        <f t="shared" si="85"/>
        <v>221210.88749999998</v>
      </c>
    </row>
    <row r="178" spans="1:24" x14ac:dyDescent="0.2"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356">
        <f t="shared" si="85"/>
        <v>0</v>
      </c>
    </row>
    <row r="179" spans="1:24" outlineLevel="1" x14ac:dyDescent="0.2">
      <c r="B179" t="s">
        <v>354</v>
      </c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356">
        <f t="shared" si="85"/>
        <v>0</v>
      </c>
    </row>
    <row r="180" spans="1:24" outlineLevel="1" x14ac:dyDescent="0.2">
      <c r="B180" s="171" t="s">
        <v>734</v>
      </c>
      <c r="C180" s="116">
        <v>0.03</v>
      </c>
      <c r="D180" s="22"/>
      <c r="E180" s="22"/>
      <c r="F180" s="11"/>
      <c r="G180" s="365">
        <f>(G129+G147+G160+G167+G172+G177)*$C$180</f>
        <v>16832.3203125</v>
      </c>
      <c r="H180" s="365">
        <f>(H129+H147+H160+H167+H172+H177)*$C$180</f>
        <v>394445.87081249995</v>
      </c>
      <c r="I180" s="365">
        <f t="shared" ref="I180:R180" si="88">(I129+I147+I160+I167+I172+I177)*$C$180</f>
        <v>1038660.7114406251</v>
      </c>
      <c r="J180" s="365">
        <f t="shared" si="88"/>
        <v>1210170.5256843751</v>
      </c>
      <c r="K180" s="365">
        <f t="shared" si="88"/>
        <v>492391.67733750003</v>
      </c>
      <c r="L180" s="365">
        <f t="shared" si="88"/>
        <v>105066.73863749999</v>
      </c>
      <c r="M180" s="365">
        <f t="shared" si="88"/>
        <v>37459.83</v>
      </c>
      <c r="N180" s="365">
        <f t="shared" si="88"/>
        <v>17401.125</v>
      </c>
      <c r="O180" s="365">
        <f t="shared" si="88"/>
        <v>0</v>
      </c>
      <c r="P180" s="365">
        <f t="shared" si="88"/>
        <v>0</v>
      </c>
      <c r="Q180" s="365">
        <f t="shared" si="88"/>
        <v>0</v>
      </c>
      <c r="R180" s="365">
        <f t="shared" si="88"/>
        <v>0</v>
      </c>
      <c r="S180" s="365"/>
      <c r="T180" s="366">
        <f t="shared" si="85"/>
        <v>3312428.7992250002</v>
      </c>
      <c r="V180" s="228"/>
    </row>
    <row r="181" spans="1:24" s="3" customFormat="1" x14ac:dyDescent="0.2">
      <c r="A181" s="55"/>
      <c r="B181" s="115" t="str">
        <f>B179</f>
        <v>DEVELOPMENT FEES</v>
      </c>
      <c r="C181" s="50"/>
      <c r="D181" s="51"/>
      <c r="E181" s="51"/>
      <c r="F181" s="24"/>
      <c r="G181" s="363">
        <f t="shared" ref="G181:R181" si="89">SUM(G180:G180)</f>
        <v>16832.3203125</v>
      </c>
      <c r="H181" s="363">
        <f t="shared" si="89"/>
        <v>394445.87081249995</v>
      </c>
      <c r="I181" s="363">
        <f t="shared" si="89"/>
        <v>1038660.7114406251</v>
      </c>
      <c r="J181" s="363">
        <f t="shared" si="89"/>
        <v>1210170.5256843751</v>
      </c>
      <c r="K181" s="363">
        <f t="shared" si="89"/>
        <v>492391.67733750003</v>
      </c>
      <c r="L181" s="363">
        <f t="shared" si="89"/>
        <v>105066.73863749999</v>
      </c>
      <c r="M181" s="363">
        <f t="shared" si="89"/>
        <v>37459.83</v>
      </c>
      <c r="N181" s="363">
        <f t="shared" si="89"/>
        <v>17401.125</v>
      </c>
      <c r="O181" s="363">
        <f t="shared" si="89"/>
        <v>0</v>
      </c>
      <c r="P181" s="363">
        <f t="shared" si="89"/>
        <v>0</v>
      </c>
      <c r="Q181" s="363">
        <f t="shared" si="89"/>
        <v>0</v>
      </c>
      <c r="R181" s="363">
        <f t="shared" si="89"/>
        <v>0</v>
      </c>
      <c r="S181" s="363"/>
      <c r="T181" s="361">
        <f t="shared" si="85"/>
        <v>3312428.7992250002</v>
      </c>
    </row>
    <row r="182" spans="1:24" x14ac:dyDescent="0.2">
      <c r="B182" s="133"/>
      <c r="C182" s="31"/>
      <c r="D182" s="11"/>
      <c r="E182" s="11"/>
      <c r="F182" s="11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369"/>
    </row>
    <row r="183" spans="1:24" x14ac:dyDescent="0.2">
      <c r="B183" s="115" t="s">
        <v>360</v>
      </c>
      <c r="C183" s="50"/>
      <c r="D183" s="51"/>
      <c r="E183" s="51">
        <f>E129+E172+E177+E181</f>
        <v>0</v>
      </c>
      <c r="F183" s="24"/>
      <c r="G183" s="363">
        <f>G75+G129+G147+G167+G172+G177+G181+G160</f>
        <v>577909.6640625</v>
      </c>
      <c r="H183" s="363">
        <f t="shared" ref="H183:S183" si="90">H75+H129+H147+H167+H172+H177+H181+H160</f>
        <v>13542641.5645625</v>
      </c>
      <c r="I183" s="363" t="e">
        <f t="shared" si="90"/>
        <v>#VALUE!</v>
      </c>
      <c r="J183" s="363">
        <f t="shared" si="90"/>
        <v>41549188.048496872</v>
      </c>
      <c r="K183" s="363">
        <f t="shared" si="90"/>
        <v>16905447.5885875</v>
      </c>
      <c r="L183" s="363">
        <f t="shared" si="90"/>
        <v>3607291.3598874998</v>
      </c>
      <c r="M183" s="363">
        <f t="shared" si="90"/>
        <v>1286120.83</v>
      </c>
      <c r="N183" s="363">
        <f t="shared" si="90"/>
        <v>597438.625</v>
      </c>
      <c r="O183" s="363">
        <f t="shared" si="90"/>
        <v>0</v>
      </c>
      <c r="P183" s="363">
        <f t="shared" si="90"/>
        <v>0</v>
      </c>
      <c r="Q183" s="363">
        <f t="shared" si="90"/>
        <v>0</v>
      </c>
      <c r="R183" s="363">
        <f t="shared" si="90"/>
        <v>0</v>
      </c>
      <c r="S183" s="363">
        <f t="shared" si="90"/>
        <v>0</v>
      </c>
      <c r="T183" s="363" t="e">
        <f>T75+T129+T147+T167+T172+T177+T181+T160</f>
        <v>#VALUE!</v>
      </c>
      <c r="U183" s="24"/>
      <c r="V183" s="294" t="e">
        <f ca="1">(T183-T75)/V65</f>
        <v>#VALUE!</v>
      </c>
      <c r="W183" s="219" t="s">
        <v>684</v>
      </c>
      <c r="X183" s="135"/>
    </row>
    <row r="184" spans="1:24" x14ac:dyDescent="0.2"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V184" s="781" t="s">
        <v>518</v>
      </c>
      <c r="W184" s="781"/>
      <c r="X184" s="664" t="s">
        <v>735</v>
      </c>
    </row>
    <row r="185" spans="1:24" outlineLevel="1" x14ac:dyDescent="0.2">
      <c r="B185" s="81" t="s">
        <v>368</v>
      </c>
      <c r="C185" s="31"/>
      <c r="D185" s="24"/>
      <c r="E185" s="24"/>
      <c r="F185" s="24"/>
      <c r="G185" s="367"/>
      <c r="H185" s="367"/>
      <c r="I185" s="367"/>
      <c r="J185" s="367"/>
      <c r="K185" s="367"/>
      <c r="L185" s="367"/>
      <c r="M185" s="367"/>
      <c r="N185" s="367"/>
      <c r="O185" s="367"/>
      <c r="P185" s="367"/>
      <c r="Q185" s="367"/>
      <c r="R185" s="367"/>
      <c r="S185" s="367"/>
      <c r="T185" s="362"/>
      <c r="V185" t="s">
        <v>736</v>
      </c>
      <c r="W185" s="148" t="e">
        <f ca="1">SUM(G183:J183)+X185</f>
        <v>#VALUE!</v>
      </c>
      <c r="X185" s="308" t="e">
        <f ca="1">SUM(H200:J201)*0.75</f>
        <v>#VALUE!</v>
      </c>
    </row>
    <row r="186" spans="1:24" outlineLevel="1" x14ac:dyDescent="0.2">
      <c r="B186" s="173" t="s">
        <v>363</v>
      </c>
      <c r="C186" s="239" t="e">
        <f ca="1">W190</f>
        <v>#VALUE!</v>
      </c>
      <c r="D186" s="428">
        <v>5</v>
      </c>
      <c r="E186" s="24"/>
      <c r="F186" s="24"/>
      <c r="G186" s="355">
        <f t="shared" ref="G186:R186" si="91">F190+G43</f>
        <v>0</v>
      </c>
      <c r="H186" s="355">
        <f t="shared" si="91"/>
        <v>0</v>
      </c>
      <c r="I186" s="355" t="e">
        <f t="shared" ca="1" si="91"/>
        <v>#VALUE!</v>
      </c>
      <c r="J186" s="355" t="e">
        <f t="shared" ca="1" si="91"/>
        <v>#VALUE!</v>
      </c>
      <c r="K186" s="355" t="e">
        <f t="shared" ca="1" si="91"/>
        <v>#VALUE!</v>
      </c>
      <c r="L186" s="355" t="e">
        <f t="shared" ca="1" si="91"/>
        <v>#VALUE!</v>
      </c>
      <c r="M186" s="355" t="e">
        <f t="shared" ca="1" si="91"/>
        <v>#VALUE!</v>
      </c>
      <c r="N186" s="355" t="e">
        <f t="shared" ca="1" si="91"/>
        <v>#VALUE!</v>
      </c>
      <c r="O186" s="355" t="e">
        <f t="shared" ca="1" si="91"/>
        <v>#VALUE!</v>
      </c>
      <c r="P186" s="355" t="e">
        <f t="shared" ca="1" si="91"/>
        <v>#VALUE!</v>
      </c>
      <c r="Q186" s="355" t="e">
        <f t="shared" ca="1" si="91"/>
        <v>#VALUE!</v>
      </c>
      <c r="R186" s="355" t="e">
        <f t="shared" ca="1" si="91"/>
        <v>#VALUE!</v>
      </c>
      <c r="S186" s="367"/>
      <c r="T186" s="362"/>
      <c r="V186" s="430" t="s">
        <v>737</v>
      </c>
      <c r="W186" s="147">
        <f ca="1">SUM(I53:J53)+J60+T36</f>
        <v>5434532.1828699997</v>
      </c>
    </row>
    <row r="187" spans="1:24" outlineLevel="1" x14ac:dyDescent="0.2">
      <c r="B187" s="166" t="s">
        <v>364</v>
      </c>
      <c r="C187" s="418">
        <f>Assumptions!G8</f>
        <v>0.12</v>
      </c>
      <c r="D187" s="427">
        <f>C187-2.5%</f>
        <v>9.5000000000000001E-2</v>
      </c>
      <c r="E187" s="24"/>
      <c r="F187" s="24"/>
      <c r="G187" s="355">
        <f t="shared" ref="G187:R187" si="92">G186*IF(G3&lt;$D$186,$C$187,$D$187)</f>
        <v>0</v>
      </c>
      <c r="H187" s="355">
        <f t="shared" si="92"/>
        <v>0</v>
      </c>
      <c r="I187" s="355" t="e">
        <f t="shared" ca="1" si="92"/>
        <v>#VALUE!</v>
      </c>
      <c r="J187" s="355" t="e">
        <f t="shared" ca="1" si="92"/>
        <v>#VALUE!</v>
      </c>
      <c r="K187" s="355" t="e">
        <f t="shared" ca="1" si="92"/>
        <v>#VALUE!</v>
      </c>
      <c r="L187" s="355" t="e">
        <f t="shared" ca="1" si="92"/>
        <v>#VALUE!</v>
      </c>
      <c r="M187" s="355" t="e">
        <f t="shared" ca="1" si="92"/>
        <v>#VALUE!</v>
      </c>
      <c r="N187" s="355" t="e">
        <f t="shared" ca="1" si="92"/>
        <v>#VALUE!</v>
      </c>
      <c r="O187" s="355" t="e">
        <f t="shared" ca="1" si="92"/>
        <v>#VALUE!</v>
      </c>
      <c r="P187" s="355" t="e">
        <f t="shared" ca="1" si="92"/>
        <v>#VALUE!</v>
      </c>
      <c r="Q187" s="355" t="e">
        <f t="shared" ca="1" si="92"/>
        <v>#VALUE!</v>
      </c>
      <c r="R187" s="355" t="e">
        <f t="shared" ca="1" si="92"/>
        <v>#VALUE!</v>
      </c>
      <c r="S187" s="355"/>
      <c r="T187" s="370" t="e">
        <f ca="1">SUM(D187:R187)</f>
        <v>#VALUE!</v>
      </c>
      <c r="V187" t="s">
        <v>738</v>
      </c>
      <c r="W187" s="148" t="e">
        <f ca="1">W185-W186</f>
        <v>#VALUE!</v>
      </c>
      <c r="X187" s="307" t="s">
        <v>236</v>
      </c>
    </row>
    <row r="188" spans="1:24" outlineLevel="1" x14ac:dyDescent="0.2">
      <c r="B188" s="166" t="s">
        <v>365</v>
      </c>
      <c r="C188" s="418">
        <f>Assumptions!G9</f>
        <v>0.04</v>
      </c>
      <c r="D188" s="24"/>
      <c r="E188" s="24"/>
      <c r="F188" s="24"/>
      <c r="G188" s="355"/>
      <c r="H188" s="364">
        <f>IF(AND(H186&gt;0,SUM($G188:G188)=0),$C$186*$C$188,0)</f>
        <v>0</v>
      </c>
      <c r="I188" s="364" t="e">
        <f ca="1">IF(AND(I186&gt;0,SUM($G188:H188)=0),$C$186*$C$188,0)</f>
        <v>#VALUE!</v>
      </c>
      <c r="J188" s="364" t="e">
        <f ca="1">IF(AND(J186&gt;0,SUM($G188:I188)=0),$C$186*$C$188,0)</f>
        <v>#VALUE!</v>
      </c>
      <c r="K188" s="364" t="e">
        <f ca="1">IF(AND(K186&gt;0,SUM($G188:J188)=0),$C$186*$C$188,0)</f>
        <v>#VALUE!</v>
      </c>
      <c r="L188" s="364" t="e">
        <f ca="1">IF(AND(L186&gt;0,SUM($G188:K188)=0),$C$186*$C$188,0)</f>
        <v>#VALUE!</v>
      </c>
      <c r="M188" s="364" t="e">
        <f ca="1">IF(AND(M186&gt;0,SUM($G188:L188)=0),$C$186*$C$188,0)</f>
        <v>#VALUE!</v>
      </c>
      <c r="N188" s="669" t="e">
        <f ca="1">IF(AND(N186&gt;0,SUM($G188:M188)=0),$C$186*$C$188,0)</f>
        <v>#VALUE!</v>
      </c>
      <c r="O188" s="364" t="e">
        <f ca="1">IF(AND(O186&gt;0,SUM($G188:N188)=0),$C$186*$C$188,0)</f>
        <v>#VALUE!</v>
      </c>
      <c r="P188" s="364" t="e">
        <f ca="1">IF(AND(P186&gt;0,SUM($G188:O188)=0),$C$186*$C$188,0)</f>
        <v>#VALUE!</v>
      </c>
      <c r="Q188" s="364" t="e">
        <f ca="1">IF(AND(Q186&gt;0,SUM($G188:P188)=0),$C$186*$C$188,0)</f>
        <v>#VALUE!</v>
      </c>
      <c r="R188" s="364" t="e">
        <f ca="1">IF(AND(R186&gt;0,SUM($G188:Q188)=0),$C$186*$C$188,0)</f>
        <v>#VALUE!</v>
      </c>
      <c r="S188" s="367"/>
      <c r="T188" s="370" t="e">
        <f ca="1">SUM(D188:R188)</f>
        <v>#VALUE!</v>
      </c>
      <c r="V188" t="s">
        <v>240</v>
      </c>
      <c r="W188" s="148" t="e">
        <f ca="1">W187*(1+Assumptions!G11)</f>
        <v>#VALUE!</v>
      </c>
      <c r="X188" s="308" t="e">
        <f ca="1">W187+SUM(G187:K187)+T188</f>
        <v>#VALUE!</v>
      </c>
    </row>
    <row r="189" spans="1:24" outlineLevel="1" x14ac:dyDescent="0.2">
      <c r="B189" s="166" t="s">
        <v>366</v>
      </c>
      <c r="C189" s="14"/>
      <c r="D189" s="24"/>
      <c r="E189" s="24"/>
      <c r="F189" s="24"/>
      <c r="G189" s="371"/>
      <c r="H189" s="672"/>
      <c r="I189" s="672"/>
      <c r="J189" s="672"/>
      <c r="K189" s="371" t="e">
        <f t="shared" ref="K189:R189" ca="1" si="93">MAX(MIN(K67+J248-K183-SUM(K187:K188)-SUM(K200:K201),SUM(K186:K188)),0)</f>
        <v>#VALUE!</v>
      </c>
      <c r="L189" s="371" t="e">
        <f t="shared" ca="1" si="93"/>
        <v>#VALUE!</v>
      </c>
      <c r="M189" s="371" t="e">
        <f t="shared" ca="1" si="93"/>
        <v>#VALUE!</v>
      </c>
      <c r="N189" s="371" t="e">
        <f t="shared" ca="1" si="93"/>
        <v>#VALUE!</v>
      </c>
      <c r="O189" s="371" t="e">
        <f t="shared" ca="1" si="93"/>
        <v>#VALUE!</v>
      </c>
      <c r="P189" s="371" t="e">
        <f t="shared" ca="1" si="93"/>
        <v>#VALUE!</v>
      </c>
      <c r="Q189" s="371" t="e">
        <f t="shared" ca="1" si="93"/>
        <v>#VALUE!</v>
      </c>
      <c r="R189" s="371" t="e">
        <f t="shared" ca="1" si="93"/>
        <v>#VALUE!</v>
      </c>
      <c r="S189" s="367"/>
      <c r="T189" s="370" t="e">
        <f ca="1">SUM(D189:R189)</f>
        <v>#VALUE!</v>
      </c>
      <c r="V189" s="430" t="s">
        <v>246</v>
      </c>
      <c r="W189" s="130">
        <v>0.77</v>
      </c>
    </row>
    <row r="190" spans="1:24" outlineLevel="1" x14ac:dyDescent="0.2">
      <c r="B190" s="173" t="s">
        <v>367</v>
      </c>
      <c r="C190" s="14"/>
      <c r="D190" s="24"/>
      <c r="E190" s="24"/>
      <c r="F190" s="24"/>
      <c r="G190" s="371">
        <f>SUM(G186:G188)-G189</f>
        <v>0</v>
      </c>
      <c r="H190" s="371">
        <f t="shared" ref="H190:R190" si="94">SUM(H186:H188)-H189</f>
        <v>0</v>
      </c>
      <c r="I190" s="371" t="e">
        <f t="shared" ca="1" si="94"/>
        <v>#VALUE!</v>
      </c>
      <c r="J190" s="371" t="e">
        <f t="shared" ca="1" si="94"/>
        <v>#VALUE!</v>
      </c>
      <c r="K190" s="371" t="e">
        <f t="shared" ca="1" si="94"/>
        <v>#VALUE!</v>
      </c>
      <c r="L190" s="371" t="e">
        <f t="shared" ca="1" si="94"/>
        <v>#VALUE!</v>
      </c>
      <c r="M190" s="371" t="e">
        <f t="shared" ca="1" si="94"/>
        <v>#VALUE!</v>
      </c>
      <c r="N190" s="371" t="e">
        <f t="shared" ca="1" si="94"/>
        <v>#VALUE!</v>
      </c>
      <c r="O190" s="371" t="e">
        <f t="shared" ca="1" si="94"/>
        <v>#VALUE!</v>
      </c>
      <c r="P190" s="371" t="e">
        <f t="shared" ca="1" si="94"/>
        <v>#VALUE!</v>
      </c>
      <c r="Q190" s="371" t="e">
        <f t="shared" ca="1" si="94"/>
        <v>#VALUE!</v>
      </c>
      <c r="R190" s="371" t="e">
        <f t="shared" ca="1" si="94"/>
        <v>#VALUE!</v>
      </c>
      <c r="S190" s="367"/>
      <c r="T190" s="370"/>
      <c r="V190" s="430" t="s">
        <v>248</v>
      </c>
      <c r="W190" s="148" t="e">
        <f ca="1">W188*W189</f>
        <v>#VALUE!</v>
      </c>
    </row>
    <row r="191" spans="1:24" x14ac:dyDescent="0.2">
      <c r="B191" s="3"/>
      <c r="C191" s="31"/>
      <c r="D191" s="24"/>
      <c r="E191" s="24"/>
      <c r="F191" s="24"/>
      <c r="G191" s="367"/>
      <c r="H191" s="367"/>
      <c r="I191" s="367"/>
      <c r="J191" s="367"/>
      <c r="K191" s="367"/>
      <c r="L191" s="367"/>
      <c r="M191" s="367"/>
      <c r="N191" s="367"/>
      <c r="O191" s="367"/>
      <c r="P191" s="367"/>
      <c r="Q191" s="367"/>
      <c r="R191" s="367"/>
      <c r="S191" s="367"/>
      <c r="T191" s="421"/>
      <c r="V191" s="430" t="s">
        <v>739</v>
      </c>
      <c r="W191" s="148" t="e">
        <f ca="1">W188-W190</f>
        <v>#VALUE!</v>
      </c>
      <c r="X191" s="652"/>
    </row>
    <row r="192" spans="1:24" s="652" customFormat="1" hidden="1" outlineLevel="1" x14ac:dyDescent="0.2">
      <c r="A192" s="644"/>
      <c r="B192" s="645" t="s">
        <v>740</v>
      </c>
      <c r="C192" s="646"/>
      <c r="D192" s="647"/>
      <c r="E192" s="648"/>
      <c r="F192" s="648"/>
      <c r="G192" s="649"/>
      <c r="H192" s="649"/>
      <c r="I192" s="649"/>
      <c r="J192" s="649"/>
      <c r="K192" s="649"/>
      <c r="L192" s="649"/>
      <c r="M192" s="649"/>
      <c r="N192" s="649"/>
      <c r="O192" s="649"/>
      <c r="P192" s="649"/>
      <c r="Q192" s="649"/>
      <c r="R192" s="649"/>
      <c r="S192" s="650"/>
      <c r="T192" s="651"/>
      <c r="V192" s="663" t="s">
        <v>741</v>
      </c>
      <c r="W192" s="663"/>
    </row>
    <row r="193" spans="1:23" s="652" customFormat="1" hidden="1" outlineLevel="1" x14ac:dyDescent="0.2">
      <c r="A193" s="644"/>
      <c r="B193" s="645" t="s">
        <v>742</v>
      </c>
      <c r="C193" s="653"/>
      <c r="D193" s="654"/>
      <c r="E193" s="648"/>
      <c r="F193" s="648"/>
      <c r="G193" s="649"/>
      <c r="H193" s="649"/>
      <c r="I193" s="649"/>
      <c r="J193" s="649"/>
      <c r="K193" s="649"/>
      <c r="L193" s="649">
        <f>W198</f>
        <v>0</v>
      </c>
      <c r="M193" s="649"/>
      <c r="N193" s="649"/>
      <c r="O193" s="649"/>
      <c r="P193" s="649"/>
      <c r="Q193" s="649"/>
      <c r="R193" s="649"/>
      <c r="S193" s="649"/>
      <c r="T193" s="655"/>
      <c r="V193" s="129" t="s">
        <v>743</v>
      </c>
      <c r="W193" s="147">
        <f ca="1">L53</f>
        <v>7458595.358415883</v>
      </c>
    </row>
    <row r="194" spans="1:23" s="652" customFormat="1" hidden="1" outlineLevel="1" x14ac:dyDescent="0.2">
      <c r="A194" s="644"/>
      <c r="B194" s="645" t="s">
        <v>744</v>
      </c>
      <c r="C194" s="653"/>
      <c r="D194" s="648"/>
      <c r="E194" s="648"/>
      <c r="F194" s="648"/>
      <c r="G194" s="649"/>
      <c r="H194" s="655"/>
      <c r="I194" s="655"/>
      <c r="J194" s="655"/>
      <c r="K194" s="655"/>
      <c r="L194" s="655"/>
      <c r="M194" s="655">
        <f>W201*12</f>
        <v>0</v>
      </c>
      <c r="N194" s="670">
        <f>M194</f>
        <v>0</v>
      </c>
      <c r="O194" s="655">
        <f>N194</f>
        <v>0</v>
      </c>
      <c r="P194" s="655">
        <f t="shared" ref="P194:R194" si="95">O194</f>
        <v>0</v>
      </c>
      <c r="Q194" s="655">
        <f t="shared" si="95"/>
        <v>0</v>
      </c>
      <c r="R194" s="655">
        <f t="shared" si="95"/>
        <v>0</v>
      </c>
      <c r="S194" s="650"/>
      <c r="T194" s="655"/>
      <c r="V194" s="129" t="s">
        <v>745</v>
      </c>
      <c r="W194" s="429">
        <f>C63</f>
        <v>6.5000000000000002E-2</v>
      </c>
    </row>
    <row r="195" spans="1:23" s="652" customFormat="1" hidden="1" outlineLevel="1" x14ac:dyDescent="0.2">
      <c r="A195" s="644"/>
      <c r="B195" s="645" t="s">
        <v>746</v>
      </c>
      <c r="C195" s="653"/>
      <c r="D195" s="648"/>
      <c r="E195" s="648"/>
      <c r="F195" s="648"/>
      <c r="G195" s="656"/>
      <c r="H195" s="656"/>
      <c r="I195" s="656"/>
      <c r="J195" s="656"/>
      <c r="K195" s="656"/>
      <c r="L195" s="656">
        <f>W207*W198</f>
        <v>0</v>
      </c>
      <c r="M195" s="656"/>
      <c r="N195" s="656"/>
      <c r="O195" s="656"/>
      <c r="P195" s="656"/>
      <c r="Q195" s="656"/>
      <c r="R195" s="656">
        <f>W205*W208</f>
        <v>0</v>
      </c>
      <c r="S195" s="650"/>
      <c r="T195" s="655"/>
      <c r="V195" s="430" t="s">
        <v>747</v>
      </c>
      <c r="W195" s="147">
        <f ca="1">W193/W194</f>
        <v>114747620.89870588</v>
      </c>
    </row>
    <row r="196" spans="1:23" s="652" customFormat="1" hidden="1" outlineLevel="1" x14ac:dyDescent="0.2">
      <c r="A196" s="644"/>
      <c r="B196" s="645" t="s">
        <v>748</v>
      </c>
      <c r="C196" s="653"/>
      <c r="D196" s="657"/>
      <c r="E196" s="657"/>
      <c r="F196" s="648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>
        <f>W205</f>
        <v>0</v>
      </c>
      <c r="S196" s="650"/>
      <c r="T196" s="655"/>
      <c r="V196" s="129" t="s">
        <v>244</v>
      </c>
      <c r="W196" s="130">
        <v>0.65</v>
      </c>
    </row>
    <row r="197" spans="1:23" s="652" customFormat="1" hidden="1" collapsed="1" x14ac:dyDescent="0.2">
      <c r="A197" s="644"/>
      <c r="B197" s="658" t="s">
        <v>749</v>
      </c>
      <c r="C197" s="659"/>
      <c r="D197" s="660"/>
      <c r="E197" s="660"/>
      <c r="F197" s="661"/>
      <c r="G197" s="662"/>
      <c r="H197" s="662"/>
      <c r="I197" s="662"/>
      <c r="J197" s="662"/>
      <c r="K197" s="662"/>
      <c r="L197" s="662" t="e">
        <f ca="1">L193-L190-L194-L195-L196</f>
        <v>#VALUE!</v>
      </c>
      <c r="M197" s="662" t="e">
        <f t="shared" ref="M197:R197" ca="1" si="96">M206+M193-M194-M195-M196</f>
        <v>#VALUE!</v>
      </c>
      <c r="N197" s="662" t="e">
        <f t="shared" ca="1" si="96"/>
        <v>#VALUE!</v>
      </c>
      <c r="O197" s="662" t="e">
        <f t="shared" ca="1" si="96"/>
        <v>#VALUE!</v>
      </c>
      <c r="P197" s="662" t="e">
        <f t="shared" ca="1" si="96"/>
        <v>#VALUE!</v>
      </c>
      <c r="Q197" s="662" t="e">
        <f t="shared" ca="1" si="96"/>
        <v>#VALUE!</v>
      </c>
      <c r="R197" s="662" t="e">
        <f t="shared" ca="1" si="96"/>
        <v>#VALUE!</v>
      </c>
      <c r="S197" s="662"/>
      <c r="T197" s="662" t="e">
        <f ca="1">SUM(L197:R197)</f>
        <v>#VALUE!</v>
      </c>
    </row>
    <row r="198" spans="1:23" hidden="1" x14ac:dyDescent="0.2">
      <c r="A198"/>
      <c r="C198" s="14"/>
      <c r="D198" s="11"/>
      <c r="E198" s="11"/>
      <c r="F198" s="11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641"/>
      <c r="W198" s="642"/>
    </row>
    <row r="199" spans="1:23" outlineLevel="1" x14ac:dyDescent="0.2">
      <c r="A199"/>
      <c r="B199" s="166" t="s">
        <v>535</v>
      </c>
      <c r="C199" s="14"/>
      <c r="D199" s="24"/>
      <c r="E199" s="24"/>
      <c r="F199" s="24"/>
      <c r="G199" s="228"/>
      <c r="H199" s="228">
        <f t="shared" ref="H199:R199" si="97">G204+H42</f>
        <v>15103341.594137302</v>
      </c>
      <c r="I199" s="228" t="e">
        <f t="shared" ca="1" si="97"/>
        <v>#VALUE!</v>
      </c>
      <c r="J199" s="228" t="e">
        <f t="shared" ca="1" si="97"/>
        <v>#VALUE!</v>
      </c>
      <c r="K199" s="228" t="e">
        <f t="shared" ca="1" si="97"/>
        <v>#VALUE!</v>
      </c>
      <c r="L199" s="228" t="e">
        <f t="shared" ca="1" si="97"/>
        <v>#VALUE!</v>
      </c>
      <c r="M199" s="228" t="e">
        <f t="shared" ca="1" si="97"/>
        <v>#VALUE!</v>
      </c>
      <c r="N199" s="228" t="e">
        <f t="shared" ca="1" si="97"/>
        <v>#VALUE!</v>
      </c>
      <c r="O199" s="228" t="e">
        <f t="shared" ca="1" si="97"/>
        <v>#VALUE!</v>
      </c>
      <c r="P199" s="228" t="e">
        <f t="shared" ca="1" si="97"/>
        <v>#VALUE!</v>
      </c>
      <c r="Q199" s="228" t="e">
        <f t="shared" ca="1" si="97"/>
        <v>#VALUE!</v>
      </c>
      <c r="R199" s="228" t="e">
        <f t="shared" ca="1" si="97"/>
        <v>#VALUE!</v>
      </c>
      <c r="S199" s="228"/>
      <c r="T199" s="370" t="e">
        <f t="shared" ref="T199:T204" ca="1" si="98">SUM(D199:R199)</f>
        <v>#VALUE!</v>
      </c>
      <c r="V199" s="430"/>
      <c r="W199" s="148"/>
    </row>
    <row r="200" spans="1:23" outlineLevel="1" x14ac:dyDescent="0.2">
      <c r="A200"/>
      <c r="B200" s="166" t="s">
        <v>536</v>
      </c>
      <c r="C200" s="14">
        <f>Assumptions!L6</f>
        <v>0.11</v>
      </c>
      <c r="D200" s="24"/>
      <c r="E200" s="24"/>
      <c r="F200" s="24"/>
      <c r="G200" s="228"/>
      <c r="H200" s="228">
        <f>H199*$C$200*0.5</f>
        <v>830683.78767755162</v>
      </c>
      <c r="I200" s="228" t="e">
        <f t="shared" ref="I200:O200" ca="1" si="99">I199*$C$200</f>
        <v>#VALUE!</v>
      </c>
      <c r="J200" s="228" t="e">
        <f t="shared" ca="1" si="99"/>
        <v>#VALUE!</v>
      </c>
      <c r="K200" s="228" t="e">
        <f t="shared" ca="1" si="99"/>
        <v>#VALUE!</v>
      </c>
      <c r="L200" s="228" t="e">
        <f t="shared" ca="1" si="99"/>
        <v>#VALUE!</v>
      </c>
      <c r="M200" s="228" t="e">
        <f t="shared" ca="1" si="99"/>
        <v>#VALUE!</v>
      </c>
      <c r="N200" s="228" t="e">
        <f t="shared" ca="1" si="99"/>
        <v>#VALUE!</v>
      </c>
      <c r="O200" s="228" t="e">
        <f t="shared" ca="1" si="99"/>
        <v>#VALUE!</v>
      </c>
      <c r="P200" s="228" t="e">
        <f t="shared" ref="P200" ca="1" si="100">P199*$C$200</f>
        <v>#VALUE!</v>
      </c>
      <c r="Q200" s="228" t="e">
        <f t="shared" ref="Q200" ca="1" si="101">Q199*$C$200</f>
        <v>#VALUE!</v>
      </c>
      <c r="R200" s="228" t="e">
        <f t="shared" ref="R200" ca="1" si="102">R199*$C$200</f>
        <v>#VALUE!</v>
      </c>
      <c r="S200" s="228"/>
      <c r="T200" s="370" t="e">
        <f t="shared" ca="1" si="98"/>
        <v>#VALUE!</v>
      </c>
      <c r="V200" s="430"/>
      <c r="W200" s="105"/>
    </row>
    <row r="201" spans="1:23" outlineLevel="1" x14ac:dyDescent="0.2">
      <c r="A201"/>
      <c r="B201" s="166" t="s">
        <v>537</v>
      </c>
      <c r="C201" s="14">
        <f>Assumptions!L7</f>
        <v>0.01</v>
      </c>
      <c r="D201" s="24"/>
      <c r="E201" s="24"/>
      <c r="F201" s="24"/>
      <c r="G201" s="228"/>
      <c r="H201" s="228">
        <f>H42*$C$201</f>
        <v>151033.41594137301</v>
      </c>
      <c r="I201" s="228" t="e">
        <f ca="1">I42*$C$201</f>
        <v>#VALUE!</v>
      </c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370" t="e">
        <f t="shared" ca="1" si="98"/>
        <v>#VALUE!</v>
      </c>
      <c r="V201" s="430"/>
      <c r="W201" s="643"/>
    </row>
    <row r="202" spans="1:23" outlineLevel="1" x14ac:dyDescent="0.2">
      <c r="A202"/>
      <c r="B202" s="166" t="s">
        <v>538</v>
      </c>
      <c r="C202" s="14"/>
      <c r="D202" s="24"/>
      <c r="E202" s="24"/>
      <c r="F202" s="24"/>
      <c r="G202" s="228"/>
      <c r="H202" s="671"/>
      <c r="I202" s="671"/>
      <c r="J202" s="671"/>
      <c r="K202" s="228" t="e">
        <f t="shared" ref="K202:R202" ca="1" si="103">MAX(MIN(K67-K183-SUM(K187:K189)-SUM(K200:K201),K199),0)</f>
        <v>#VALUE!</v>
      </c>
      <c r="L202" s="228" t="e">
        <f t="shared" ca="1" si="103"/>
        <v>#VALUE!</v>
      </c>
      <c r="M202" s="228" t="e">
        <f t="shared" ca="1" si="103"/>
        <v>#VALUE!</v>
      </c>
      <c r="N202" s="228" t="e">
        <f t="shared" ca="1" si="103"/>
        <v>#VALUE!</v>
      </c>
      <c r="O202" s="228" t="e">
        <f t="shared" ca="1" si="103"/>
        <v>#VALUE!</v>
      </c>
      <c r="P202" s="228" t="e">
        <f t="shared" ca="1" si="103"/>
        <v>#VALUE!</v>
      </c>
      <c r="Q202" s="228" t="e">
        <f t="shared" ca="1" si="103"/>
        <v>#VALUE!</v>
      </c>
      <c r="R202" s="228" t="e">
        <f t="shared" ca="1" si="103"/>
        <v>#VALUE!</v>
      </c>
      <c r="S202" s="228"/>
      <c r="T202" s="370" t="e">
        <f t="shared" ca="1" si="98"/>
        <v>#VALUE!</v>
      </c>
      <c r="V202" s="430"/>
      <c r="W202" s="643"/>
    </row>
    <row r="203" spans="1:23" outlineLevel="1" x14ac:dyDescent="0.2">
      <c r="A203"/>
      <c r="B203" s="166" t="s">
        <v>539</v>
      </c>
      <c r="C203" s="14">
        <f>Assumptions!L8</f>
        <v>0.01</v>
      </c>
      <c r="D203" s="24"/>
      <c r="E203" s="24"/>
      <c r="F203" s="24"/>
      <c r="G203" s="228"/>
      <c r="H203" s="228"/>
      <c r="I203" s="228"/>
      <c r="J203" s="228"/>
      <c r="K203" s="228"/>
      <c r="L203" s="228"/>
      <c r="M203" s="228"/>
      <c r="N203" s="228" t="e">
        <f ca="1">C203*I199</f>
        <v>#VALUE!</v>
      </c>
      <c r="O203" s="228"/>
      <c r="P203" s="228"/>
      <c r="Q203" s="228"/>
      <c r="R203" s="228"/>
      <c r="S203" s="228"/>
      <c r="T203" s="370"/>
      <c r="V203" s="430"/>
      <c r="W203" s="643"/>
    </row>
    <row r="204" spans="1:23" outlineLevel="1" x14ac:dyDescent="0.2">
      <c r="A204"/>
      <c r="B204" s="166" t="s">
        <v>540</v>
      </c>
      <c r="C204" s="14"/>
      <c r="D204" s="24"/>
      <c r="E204" s="24"/>
      <c r="F204" s="24"/>
      <c r="G204" s="228"/>
      <c r="H204" s="228">
        <f>H199-H202</f>
        <v>15103341.594137302</v>
      </c>
      <c r="I204" s="228" t="e">
        <f t="shared" ref="I204:R204" ca="1" si="104">I199-I202</f>
        <v>#VALUE!</v>
      </c>
      <c r="J204" s="228" t="e">
        <f t="shared" ca="1" si="104"/>
        <v>#VALUE!</v>
      </c>
      <c r="K204" s="228" t="e">
        <f t="shared" ca="1" si="104"/>
        <v>#VALUE!</v>
      </c>
      <c r="L204" s="228" t="e">
        <f t="shared" ca="1" si="104"/>
        <v>#VALUE!</v>
      </c>
      <c r="M204" s="228" t="e">
        <f t="shared" ca="1" si="104"/>
        <v>#VALUE!</v>
      </c>
      <c r="N204" s="228" t="e">
        <f t="shared" ca="1" si="104"/>
        <v>#VALUE!</v>
      </c>
      <c r="O204" s="228" t="e">
        <f t="shared" ca="1" si="104"/>
        <v>#VALUE!</v>
      </c>
      <c r="P204" s="228" t="e">
        <f t="shared" ca="1" si="104"/>
        <v>#VALUE!</v>
      </c>
      <c r="Q204" s="228" t="e">
        <f t="shared" ca="1" si="104"/>
        <v>#VALUE!</v>
      </c>
      <c r="R204" s="228" t="e">
        <f t="shared" ca="1" si="104"/>
        <v>#VALUE!</v>
      </c>
      <c r="S204" s="228"/>
      <c r="T204" s="370" t="e">
        <f t="shared" ca="1" si="98"/>
        <v>#VALUE!</v>
      </c>
      <c r="V204" s="430"/>
      <c r="W204" s="643"/>
    </row>
    <row r="205" spans="1:23" outlineLevel="1" x14ac:dyDescent="0.2">
      <c r="A205"/>
      <c r="B205" s="230"/>
      <c r="C205" s="149"/>
      <c r="D205" s="24"/>
      <c r="E205" s="24"/>
      <c r="F205" s="24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641"/>
      <c r="V205" s="430"/>
      <c r="W205" s="643"/>
    </row>
    <row r="206" spans="1:23" x14ac:dyDescent="0.2">
      <c r="B206" s="49" t="s">
        <v>368</v>
      </c>
      <c r="C206" s="50"/>
      <c r="D206" s="51"/>
      <c r="E206" s="51"/>
      <c r="F206" s="24"/>
      <c r="G206" s="363">
        <f t="shared" ref="G206:R206" si="105">SUM(G187:G189)+SUM(G200:G203)</f>
        <v>0</v>
      </c>
      <c r="H206" s="363">
        <f t="shared" si="105"/>
        <v>981717.2036189246</v>
      </c>
      <c r="I206" s="363" t="e">
        <f t="shared" ca="1" si="105"/>
        <v>#VALUE!</v>
      </c>
      <c r="J206" s="363" t="e">
        <f t="shared" ca="1" si="105"/>
        <v>#VALUE!</v>
      </c>
      <c r="K206" s="363" t="e">
        <f t="shared" ca="1" si="105"/>
        <v>#VALUE!</v>
      </c>
      <c r="L206" s="363" t="e">
        <f t="shared" ca="1" si="105"/>
        <v>#VALUE!</v>
      </c>
      <c r="M206" s="363" t="e">
        <f t="shared" ca="1" si="105"/>
        <v>#VALUE!</v>
      </c>
      <c r="N206" s="363" t="e">
        <f t="shared" ca="1" si="105"/>
        <v>#VALUE!</v>
      </c>
      <c r="O206" s="363" t="e">
        <f t="shared" ca="1" si="105"/>
        <v>#VALUE!</v>
      </c>
      <c r="P206" s="363" t="e">
        <f t="shared" ca="1" si="105"/>
        <v>#VALUE!</v>
      </c>
      <c r="Q206" s="363" t="e">
        <f t="shared" ca="1" si="105"/>
        <v>#VALUE!</v>
      </c>
      <c r="R206" s="363" t="e">
        <f t="shared" ca="1" si="105"/>
        <v>#VALUE!</v>
      </c>
      <c r="S206" s="363"/>
      <c r="T206" s="363" t="e">
        <f ca="1">SUM(G206:R206)</f>
        <v>#VALUE!</v>
      </c>
    </row>
    <row r="207" spans="1:23" outlineLevel="1" x14ac:dyDescent="0.2">
      <c r="A207"/>
      <c r="B207" s="230"/>
      <c r="C207" s="149"/>
      <c r="D207" s="24"/>
      <c r="E207" s="24"/>
      <c r="F207" s="24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641"/>
      <c r="V207" s="430"/>
      <c r="W207" s="415"/>
    </row>
    <row r="208" spans="1:23" outlineLevel="1" x14ac:dyDescent="0.2">
      <c r="A208"/>
      <c r="B208" s="81" t="s">
        <v>542</v>
      </c>
      <c r="C208" s="149"/>
      <c r="D208" s="24"/>
      <c r="E208" s="24"/>
      <c r="F208" s="24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641"/>
      <c r="V208" s="430"/>
      <c r="W208" s="415"/>
    </row>
    <row r="209" spans="2:24" x14ac:dyDescent="0.2">
      <c r="B209" s="81"/>
      <c r="G209" s="68"/>
      <c r="H209" s="68"/>
      <c r="I209" s="68"/>
      <c r="J209" s="68"/>
      <c r="K209" s="519"/>
      <c r="L209" s="519"/>
      <c r="M209" s="519"/>
      <c r="N209" s="519"/>
      <c r="O209" s="46"/>
      <c r="P209" s="46"/>
      <c r="Q209" s="46"/>
      <c r="R209" s="46"/>
      <c r="S209" s="46"/>
      <c r="T209" s="11"/>
    </row>
    <row r="210" spans="2:24" x14ac:dyDescent="0.2">
      <c r="B210" s="430" t="s">
        <v>371</v>
      </c>
      <c r="C210" s="129"/>
      <c r="D210" s="129"/>
      <c r="E210" s="129"/>
      <c r="F210" s="129"/>
      <c r="G210" s="92"/>
      <c r="H210" s="92"/>
      <c r="I210" s="92" t="e">
        <f t="shared" ref="I210:S210" ca="1" si="106">MAX(I67-I183-I206,0)</f>
        <v>#VALUE!</v>
      </c>
      <c r="J210" s="92" t="e">
        <f t="shared" ca="1" si="106"/>
        <v>#VALUE!</v>
      </c>
      <c r="K210" s="92" t="e">
        <f t="shared" ca="1" si="106"/>
        <v>#VALUE!</v>
      </c>
      <c r="L210" s="92" t="e">
        <f t="shared" ca="1" si="106"/>
        <v>#VALUE!</v>
      </c>
      <c r="M210" s="92" t="e">
        <f t="shared" ca="1" si="106"/>
        <v>#VALUE!</v>
      </c>
      <c r="N210" s="92" t="e">
        <f t="shared" ca="1" si="106"/>
        <v>#VALUE!</v>
      </c>
      <c r="O210" s="92" t="e">
        <f t="shared" ca="1" si="106"/>
        <v>#VALUE!</v>
      </c>
      <c r="P210" s="92" t="e">
        <f t="shared" ca="1" si="106"/>
        <v>#VALUE!</v>
      </c>
      <c r="Q210" s="92" t="e">
        <f t="shared" ca="1" si="106"/>
        <v>#VALUE!</v>
      </c>
      <c r="R210" s="92" t="e">
        <f t="shared" ca="1" si="106"/>
        <v>#VALUE!</v>
      </c>
      <c r="S210" s="92">
        <f t="shared" si="106"/>
        <v>0</v>
      </c>
      <c r="T210" s="32" t="e">
        <f ca="1">SUM(G210:S210)</f>
        <v>#VALUE!</v>
      </c>
    </row>
    <row r="211" spans="2:24" x14ac:dyDescent="0.2">
      <c r="B211" s="3"/>
      <c r="F211" s="129"/>
      <c r="G211" s="92"/>
      <c r="H211" s="92"/>
      <c r="I211" s="92"/>
      <c r="J211" s="92"/>
      <c r="K211" s="514"/>
      <c r="L211" s="514"/>
      <c r="M211" s="514"/>
      <c r="N211" s="514"/>
      <c r="O211" s="91"/>
      <c r="P211" s="91"/>
      <c r="Q211" s="91"/>
      <c r="R211" s="91"/>
      <c r="S211" s="91"/>
      <c r="T211" s="114"/>
    </row>
    <row r="212" spans="2:24" x14ac:dyDescent="0.2">
      <c r="B212" t="s">
        <v>543</v>
      </c>
      <c r="F212" s="129"/>
      <c r="G212" s="92"/>
      <c r="H212" s="92"/>
      <c r="I212" s="92"/>
      <c r="J212" s="92"/>
      <c r="K212" s="514"/>
      <c r="L212" s="514"/>
      <c r="M212" s="514"/>
      <c r="N212" s="514"/>
      <c r="O212" s="91"/>
      <c r="P212" s="91"/>
      <c r="Q212" s="91"/>
      <c r="R212" s="91"/>
      <c r="S212" s="91"/>
      <c r="T212" s="114"/>
    </row>
    <row r="213" spans="2:24" x14ac:dyDescent="0.2">
      <c r="B213" s="173" t="s">
        <v>544</v>
      </c>
      <c r="C213" s="62">
        <f>Assumptions!K5</f>
        <v>0.1</v>
      </c>
      <c r="D213" s="62"/>
      <c r="E213" s="62"/>
      <c r="F213" s="129"/>
      <c r="G213" s="129"/>
      <c r="H213" s="92">
        <f>G215*$C$213</f>
        <v>0</v>
      </c>
      <c r="I213" s="92">
        <f>H215*$C$213</f>
        <v>0</v>
      </c>
      <c r="J213" s="92"/>
      <c r="K213" s="92"/>
      <c r="L213" s="92"/>
      <c r="M213" s="92"/>
      <c r="N213" s="92"/>
      <c r="O213" s="92"/>
      <c r="P213" s="91"/>
      <c r="Q213" s="91"/>
      <c r="R213" s="91"/>
      <c r="S213" s="91"/>
      <c r="T213" s="11">
        <f>SUM(H213:S213)</f>
        <v>0</v>
      </c>
    </row>
    <row r="214" spans="2:24" x14ac:dyDescent="0.2">
      <c r="B214" s="173" t="s">
        <v>32</v>
      </c>
      <c r="C214" s="62">
        <f>'Proforma Land+Home'!C175</f>
        <v>0.97402597402597402</v>
      </c>
      <c r="D214" s="62"/>
      <c r="E214" s="62"/>
      <c r="F214" s="129"/>
      <c r="G214" s="129"/>
      <c r="H214" s="92"/>
      <c r="I214" s="92">
        <f>-I38</f>
        <v>0</v>
      </c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11">
        <f>SUM(H214:S214)</f>
        <v>0</v>
      </c>
    </row>
    <row r="215" spans="2:24" x14ac:dyDescent="0.2">
      <c r="B215" s="230" t="s">
        <v>545</v>
      </c>
      <c r="C215" s="239"/>
      <c r="D215" s="239"/>
      <c r="E215" s="239"/>
      <c r="G215" s="147"/>
      <c r="H215" s="92">
        <f>H38</f>
        <v>0</v>
      </c>
      <c r="I215" s="92">
        <v>0</v>
      </c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114"/>
      <c r="X215" s="308"/>
    </row>
    <row r="216" spans="2:24" x14ac:dyDescent="0.2">
      <c r="B216" s="230" t="s">
        <v>546</v>
      </c>
      <c r="C216" s="239"/>
      <c r="D216" s="239"/>
      <c r="E216" s="239"/>
      <c r="F216" s="147"/>
      <c r="G216" s="147"/>
      <c r="H216" s="92">
        <f>-H215</f>
        <v>0</v>
      </c>
      <c r="I216" s="92">
        <f t="shared" ref="I216:O216" si="107">I214</f>
        <v>0</v>
      </c>
      <c r="J216" s="92">
        <f t="shared" si="107"/>
        <v>0</v>
      </c>
      <c r="K216" s="92">
        <f t="shared" si="107"/>
        <v>0</v>
      </c>
      <c r="L216" s="92">
        <f t="shared" si="107"/>
        <v>0</v>
      </c>
      <c r="M216" s="92">
        <f t="shared" si="107"/>
        <v>0</v>
      </c>
      <c r="N216" s="92">
        <f t="shared" si="107"/>
        <v>0</v>
      </c>
      <c r="O216" s="92">
        <f t="shared" si="107"/>
        <v>0</v>
      </c>
      <c r="P216" s="92"/>
      <c r="Q216" s="92"/>
      <c r="R216" s="92"/>
      <c r="S216" s="92"/>
      <c r="T216" s="11">
        <f>SUM(H216:S216)</f>
        <v>0</v>
      </c>
      <c r="X216" s="308"/>
    </row>
    <row r="217" spans="2:24" x14ac:dyDescent="0.2">
      <c r="C217" s="516"/>
      <c r="D217" s="516"/>
      <c r="E217" s="516"/>
      <c r="F217" s="129"/>
      <c r="G217" s="129"/>
      <c r="H217" s="92"/>
      <c r="I217" s="92"/>
      <c r="J217" s="92"/>
      <c r="K217" s="92"/>
      <c r="L217" s="514"/>
      <c r="M217" s="514"/>
      <c r="N217" s="514"/>
      <c r="O217" s="514"/>
      <c r="P217" s="91"/>
      <c r="Q217" s="91"/>
      <c r="R217" s="91"/>
      <c r="S217" s="91"/>
      <c r="T217" s="114"/>
      <c r="V217" s="146"/>
      <c r="W217" s="147"/>
    </row>
    <row r="218" spans="2:24" x14ac:dyDescent="0.2">
      <c r="B218" t="s">
        <v>547</v>
      </c>
      <c r="F218" s="129"/>
      <c r="G218" s="129"/>
      <c r="H218" s="92"/>
      <c r="I218" s="92"/>
      <c r="J218" s="92"/>
      <c r="K218" s="92"/>
      <c r="L218" s="514"/>
      <c r="M218" s="514"/>
      <c r="N218" s="514"/>
      <c r="O218" s="514"/>
      <c r="P218" s="91"/>
      <c r="Q218" s="91"/>
      <c r="R218" s="91"/>
      <c r="S218" s="91"/>
      <c r="T218" s="114"/>
    </row>
    <row r="219" spans="2:24" x14ac:dyDescent="0.2">
      <c r="B219" s="173" t="s">
        <v>544</v>
      </c>
      <c r="C219" s="62">
        <f>Assumptions!K5</f>
        <v>0.1</v>
      </c>
      <c r="D219" s="62"/>
      <c r="E219" s="62"/>
      <c r="F219" s="129"/>
      <c r="G219" s="129"/>
      <c r="I219" s="92">
        <f>H221*$C$213</f>
        <v>0</v>
      </c>
      <c r="J219" s="92">
        <f t="shared" ref="J219:N219" si="108">I221*$C$213</f>
        <v>0</v>
      </c>
      <c r="K219" s="92">
        <f t="shared" si="108"/>
        <v>0</v>
      </c>
      <c r="L219" s="92" t="e">
        <f t="shared" ca="1" si="108"/>
        <v>#VALUE!</v>
      </c>
      <c r="M219" s="92" t="e">
        <f t="shared" ca="1" si="108"/>
        <v>#VALUE!</v>
      </c>
      <c r="N219" s="92" t="e">
        <f t="shared" ca="1" si="108"/>
        <v>#VALUE!</v>
      </c>
      <c r="O219" s="92"/>
      <c r="P219" s="91"/>
      <c r="Q219" s="91"/>
      <c r="R219" s="91"/>
      <c r="S219" s="91"/>
      <c r="T219" s="11" t="e">
        <f ca="1">SUM(I219:S219)</f>
        <v>#VALUE!</v>
      </c>
    </row>
    <row r="220" spans="2:24" x14ac:dyDescent="0.2">
      <c r="B220" s="173" t="s">
        <v>32</v>
      </c>
      <c r="C220" s="62">
        <f>'Proforma Land+Home'!C181</f>
        <v>2.5974025974025976E-2</v>
      </c>
      <c r="D220" s="62"/>
      <c r="E220" s="62"/>
      <c r="F220" s="129"/>
      <c r="G220" s="129"/>
      <c r="H220" s="92"/>
      <c r="I220" s="92"/>
      <c r="J220" s="92"/>
      <c r="K220" s="92" t="e">
        <f t="shared" ref="K220:M220" ca="1" si="109">MIN(K210*$C$220,J221+K219)</f>
        <v>#VALUE!</v>
      </c>
      <c r="L220" s="92" t="e">
        <f t="shared" ca="1" si="109"/>
        <v>#VALUE!</v>
      </c>
      <c r="M220" s="92" t="e">
        <f t="shared" ca="1" si="109"/>
        <v>#VALUE!</v>
      </c>
      <c r="N220" s="92" t="e">
        <f ca="1">MIN(N210*$C$220,M221+N219)</f>
        <v>#VALUE!</v>
      </c>
      <c r="O220" s="92"/>
      <c r="P220" s="91"/>
      <c r="Q220" s="91"/>
      <c r="R220" s="91"/>
      <c r="S220" s="91"/>
      <c r="T220" s="11" t="e">
        <f ca="1">SUM(H220:S220)</f>
        <v>#VALUE!</v>
      </c>
    </row>
    <row r="221" spans="2:24" x14ac:dyDescent="0.2">
      <c r="B221" s="230" t="s">
        <v>545</v>
      </c>
      <c r="F221" s="129"/>
      <c r="G221" s="129"/>
      <c r="H221" s="92">
        <f>H37</f>
        <v>0</v>
      </c>
      <c r="I221" s="92">
        <f>H221+I219-I220</f>
        <v>0</v>
      </c>
      <c r="J221" s="92">
        <f t="shared" ref="J221:R221" si="110">I221+J219-J220</f>
        <v>0</v>
      </c>
      <c r="K221" s="92" t="e">
        <f t="shared" ca="1" si="110"/>
        <v>#VALUE!</v>
      </c>
      <c r="L221" s="92" t="e">
        <f t="shared" ca="1" si="110"/>
        <v>#VALUE!</v>
      </c>
      <c r="M221" s="92" t="e">
        <f t="shared" ca="1" si="110"/>
        <v>#VALUE!</v>
      </c>
      <c r="N221" s="92" t="e">
        <f t="shared" ca="1" si="110"/>
        <v>#VALUE!</v>
      </c>
      <c r="O221" s="92" t="e">
        <f t="shared" ca="1" si="110"/>
        <v>#VALUE!</v>
      </c>
      <c r="P221" s="92" t="e">
        <f t="shared" ca="1" si="110"/>
        <v>#VALUE!</v>
      </c>
      <c r="Q221" s="92" t="e">
        <f t="shared" ca="1" si="110"/>
        <v>#VALUE!</v>
      </c>
      <c r="R221" s="92" t="e">
        <f t="shared" ca="1" si="110"/>
        <v>#VALUE!</v>
      </c>
      <c r="S221" s="92"/>
      <c r="T221" s="114"/>
    </row>
    <row r="222" spans="2:24" x14ac:dyDescent="0.2">
      <c r="B222" s="230" t="s">
        <v>546</v>
      </c>
      <c r="C222" s="668" t="e">
        <f ca="1">IRR(E222:Q222)</f>
        <v>#VALUE!</v>
      </c>
      <c r="F222" s="129"/>
      <c r="G222" s="129"/>
      <c r="H222" s="92">
        <f>-H221</f>
        <v>0</v>
      </c>
      <c r="I222" s="92">
        <f t="shared" ref="I222:O222" si="111">I220</f>
        <v>0</v>
      </c>
      <c r="J222" s="92">
        <f t="shared" si="111"/>
        <v>0</v>
      </c>
      <c r="K222" s="92" t="e">
        <f t="shared" ca="1" si="111"/>
        <v>#VALUE!</v>
      </c>
      <c r="L222" s="92" t="e">
        <f t="shared" ca="1" si="111"/>
        <v>#VALUE!</v>
      </c>
      <c r="M222" s="92" t="e">
        <f t="shared" ca="1" si="111"/>
        <v>#VALUE!</v>
      </c>
      <c r="N222" s="92" t="e">
        <f t="shared" ca="1" si="111"/>
        <v>#VALUE!</v>
      </c>
      <c r="O222" s="92">
        <f t="shared" si="111"/>
        <v>0</v>
      </c>
      <c r="P222" s="92"/>
      <c r="Q222" s="92"/>
      <c r="R222" s="92"/>
      <c r="S222" s="92"/>
      <c r="T222" s="11" t="e">
        <f ca="1">SUM(H222:S222)</f>
        <v>#VALUE!</v>
      </c>
    </row>
    <row r="223" spans="2:24" x14ac:dyDescent="0.2">
      <c r="B223" s="173"/>
      <c r="F223" s="129"/>
      <c r="G223" s="92"/>
      <c r="H223" s="92"/>
      <c r="I223" s="92"/>
      <c r="J223" s="92"/>
      <c r="K223" s="514"/>
      <c r="L223" s="514"/>
      <c r="M223" s="514"/>
      <c r="N223" s="514"/>
      <c r="O223" s="91"/>
      <c r="P223" s="91"/>
      <c r="Q223" s="91"/>
      <c r="R223" s="91"/>
      <c r="S223" s="91"/>
      <c r="T223" s="114"/>
    </row>
    <row r="224" spans="2:24" x14ac:dyDescent="0.2">
      <c r="B224" s="614" t="s">
        <v>549</v>
      </c>
      <c r="C224" s="615"/>
      <c r="D224" s="615"/>
      <c r="E224" s="615"/>
      <c r="F224" s="616"/>
      <c r="G224" s="77">
        <f>G210-G214-G220</f>
        <v>0</v>
      </c>
      <c r="H224" s="77">
        <f t="shared" ref="H224:N224" si="112">H210-H214-H220</f>
        <v>0</v>
      </c>
      <c r="I224" s="77" t="e">
        <f ca="1">I210-I220</f>
        <v>#VALUE!</v>
      </c>
      <c r="J224" s="77" t="e">
        <f t="shared" ca="1" si="112"/>
        <v>#VALUE!</v>
      </c>
      <c r="K224" s="77" t="e">
        <f t="shared" ca="1" si="112"/>
        <v>#VALUE!</v>
      </c>
      <c r="L224" s="77" t="e">
        <f t="shared" ca="1" si="112"/>
        <v>#VALUE!</v>
      </c>
      <c r="M224" s="77" t="e">
        <f t="shared" ca="1" si="112"/>
        <v>#VALUE!</v>
      </c>
      <c r="N224" s="77" t="e">
        <f t="shared" ca="1" si="112"/>
        <v>#VALUE!</v>
      </c>
      <c r="O224" s="77"/>
      <c r="P224" s="77"/>
      <c r="Q224" s="77"/>
      <c r="R224" s="77"/>
      <c r="S224" s="77"/>
      <c r="T224" s="22"/>
      <c r="V224" s="146"/>
      <c r="W224" s="147"/>
    </row>
    <row r="225" spans="1:23" x14ac:dyDescent="0.2">
      <c r="C225" s="516"/>
      <c r="D225" s="516"/>
      <c r="E225" s="516"/>
      <c r="F225" s="129"/>
      <c r="G225" s="92"/>
      <c r="H225" s="92"/>
      <c r="I225" s="92"/>
      <c r="J225" s="92"/>
      <c r="K225" s="514"/>
      <c r="L225" s="514"/>
      <c r="M225" s="514"/>
      <c r="N225" s="514"/>
      <c r="O225" s="91"/>
      <c r="P225" s="91"/>
      <c r="Q225" s="91"/>
      <c r="R225" s="91"/>
      <c r="S225" s="91"/>
      <c r="T225" s="114"/>
      <c r="V225" s="146"/>
      <c r="W225" s="147"/>
    </row>
    <row r="226" spans="1:23" x14ac:dyDescent="0.2">
      <c r="B226" s="242" t="s">
        <v>750</v>
      </c>
      <c r="F226" s="129"/>
      <c r="G226" s="92"/>
      <c r="H226" s="92"/>
      <c r="I226" s="92"/>
      <c r="J226" s="515"/>
      <c r="K226" s="515"/>
      <c r="L226" s="515"/>
      <c r="M226" s="514"/>
      <c r="N226" s="514">
        <v>0</v>
      </c>
      <c r="O226" s="91"/>
      <c r="P226" s="91"/>
      <c r="Q226" s="91"/>
      <c r="R226" s="91"/>
      <c r="S226" s="91"/>
      <c r="T226" s="114">
        <f t="shared" ref="T226:T242" si="113">SUM(G226:S226)</f>
        <v>0</v>
      </c>
      <c r="V226" s="146"/>
      <c r="W226" s="147"/>
    </row>
    <row r="227" spans="1:23" x14ac:dyDescent="0.2">
      <c r="B227" s="173" t="s">
        <v>555</v>
      </c>
      <c r="C227" s="668" t="e">
        <f>IRR(G227:S227)</f>
        <v>#NUM!</v>
      </c>
      <c r="D227" s="668"/>
      <c r="E227" s="668"/>
      <c r="F227" s="114"/>
      <c r="G227" s="114">
        <f>G216+G228</f>
        <v>0</v>
      </c>
      <c r="H227" s="114">
        <f t="shared" ref="H227:M227" si="114">H216+H228</f>
        <v>0</v>
      </c>
      <c r="I227" s="114">
        <f t="shared" si="114"/>
        <v>0</v>
      </c>
      <c r="J227" s="114">
        <f t="shared" si="114"/>
        <v>0</v>
      </c>
      <c r="K227" s="114">
        <f t="shared" si="114"/>
        <v>0</v>
      </c>
      <c r="L227" s="114">
        <f t="shared" si="114"/>
        <v>0</v>
      </c>
      <c r="M227" s="114">
        <f t="shared" si="114"/>
        <v>0</v>
      </c>
      <c r="N227" s="114">
        <f>N216+N228</f>
        <v>0</v>
      </c>
      <c r="O227" s="114"/>
      <c r="P227" s="114"/>
      <c r="Q227" s="114"/>
      <c r="R227" s="114"/>
      <c r="S227" s="114"/>
      <c r="T227" s="114">
        <f t="shared" si="113"/>
        <v>0</v>
      </c>
      <c r="V227" s="146"/>
      <c r="W227" s="147"/>
    </row>
    <row r="228" spans="1:23" x14ac:dyDescent="0.2">
      <c r="B228" s="230" t="s">
        <v>552</v>
      </c>
      <c r="C228" s="84">
        <f>C214</f>
        <v>0.97402597402597402</v>
      </c>
      <c r="D228" s="84"/>
      <c r="E228" s="84"/>
      <c r="F228" s="92"/>
      <c r="G228" s="92"/>
      <c r="H228" s="92"/>
      <c r="I228" s="92"/>
      <c r="J228" s="92"/>
      <c r="K228" s="92"/>
      <c r="L228" s="92"/>
      <c r="M228" s="92"/>
      <c r="N228" s="92">
        <f t="shared" ref="N228" si="115">N226*$C$228</f>
        <v>0</v>
      </c>
      <c r="O228" s="92"/>
      <c r="P228" s="92"/>
      <c r="Q228" s="92"/>
      <c r="R228" s="92"/>
      <c r="S228" s="92"/>
      <c r="T228" s="11">
        <f t="shared" si="113"/>
        <v>0</v>
      </c>
      <c r="V228" s="146"/>
      <c r="W228" s="147"/>
    </row>
    <row r="229" spans="1:23" x14ac:dyDescent="0.2">
      <c r="B229" s="667" t="s">
        <v>553</v>
      </c>
      <c r="C229" s="54">
        <f>1-C228</f>
        <v>2.5974025974025983E-2</v>
      </c>
      <c r="D229" s="54"/>
      <c r="E229" s="54"/>
      <c r="F229" s="77"/>
      <c r="G229" s="77"/>
      <c r="H229" s="77"/>
      <c r="I229" s="77"/>
      <c r="J229" s="77"/>
      <c r="K229" s="77"/>
      <c r="L229" s="77"/>
      <c r="M229" s="77"/>
      <c r="N229" s="77">
        <f t="shared" ref="N229" si="116">N226-N228</f>
        <v>0</v>
      </c>
      <c r="O229" s="77"/>
      <c r="P229" s="77"/>
      <c r="Q229" s="77"/>
      <c r="R229" s="77"/>
      <c r="S229" s="77"/>
      <c r="T229" s="45">
        <f t="shared" si="113"/>
        <v>0</v>
      </c>
      <c r="V229" s="146"/>
      <c r="W229" s="147"/>
    </row>
    <row r="230" spans="1:23" x14ac:dyDescent="0.2">
      <c r="B230" s="242" t="s">
        <v>751</v>
      </c>
      <c r="C230" s="84">
        <f>2/3</f>
        <v>0.66666666666666663</v>
      </c>
      <c r="D230" s="84"/>
      <c r="E230" s="84"/>
      <c r="F230" s="129"/>
      <c r="G230" s="92"/>
      <c r="H230" s="92"/>
      <c r="I230" s="92"/>
      <c r="J230" s="515"/>
      <c r="K230" s="515"/>
      <c r="L230" s="515"/>
      <c r="M230" s="514"/>
      <c r="N230" s="519"/>
      <c r="O230" s="91"/>
      <c r="P230" s="91"/>
      <c r="Q230" s="91"/>
      <c r="R230" s="91"/>
      <c r="S230" s="91"/>
      <c r="T230" s="114">
        <f t="shared" si="113"/>
        <v>0</v>
      </c>
      <c r="V230" s="146"/>
      <c r="W230" s="147"/>
    </row>
    <row r="231" spans="1:23" x14ac:dyDescent="0.2">
      <c r="B231" s="173" t="s">
        <v>555</v>
      </c>
      <c r="C231" s="668" t="e">
        <f>IRR(G231:S231)</f>
        <v>#NUM!</v>
      </c>
      <c r="D231" s="668"/>
      <c r="E231" s="668"/>
      <c r="F231" s="114"/>
      <c r="G231" s="114">
        <f>G227+G232</f>
        <v>0</v>
      </c>
      <c r="H231" s="114">
        <f t="shared" ref="H231:N231" si="117">H227+H232</f>
        <v>0</v>
      </c>
      <c r="I231" s="114">
        <f t="shared" si="117"/>
        <v>0</v>
      </c>
      <c r="J231" s="114">
        <f t="shared" si="117"/>
        <v>0</v>
      </c>
      <c r="K231" s="114">
        <f t="shared" si="117"/>
        <v>0</v>
      </c>
      <c r="L231" s="114">
        <f t="shared" si="117"/>
        <v>0</v>
      </c>
      <c r="M231" s="114">
        <f t="shared" si="117"/>
        <v>0</v>
      </c>
      <c r="N231" s="114">
        <f t="shared" si="117"/>
        <v>0</v>
      </c>
      <c r="O231" s="114"/>
      <c r="P231" s="114"/>
      <c r="Q231" s="114"/>
      <c r="R231" s="114"/>
      <c r="S231" s="114"/>
      <c r="T231" s="114">
        <f t="shared" si="113"/>
        <v>0</v>
      </c>
      <c r="V231" s="146"/>
      <c r="W231" s="147"/>
    </row>
    <row r="232" spans="1:23" x14ac:dyDescent="0.2">
      <c r="B232" s="230" t="s">
        <v>552</v>
      </c>
      <c r="C232" s="43">
        <f>C228</f>
        <v>0.97402597402597402</v>
      </c>
      <c r="D232" s="43"/>
      <c r="E232" s="43"/>
      <c r="F232" s="92"/>
      <c r="G232" s="92"/>
      <c r="H232" s="92"/>
      <c r="I232" s="92"/>
      <c r="J232" s="92"/>
      <c r="K232" s="92"/>
      <c r="L232" s="92"/>
      <c r="M232" s="92"/>
      <c r="N232" s="92">
        <f t="shared" ref="N232" si="118">N230*$C$230*$C$232</f>
        <v>0</v>
      </c>
      <c r="O232" s="92"/>
      <c r="P232" s="92"/>
      <c r="Q232" s="92"/>
      <c r="R232" s="92"/>
      <c r="S232" s="92"/>
      <c r="T232" s="11">
        <f t="shared" si="113"/>
        <v>0</v>
      </c>
      <c r="V232" s="146"/>
      <c r="W232" s="147"/>
    </row>
    <row r="233" spans="1:23" x14ac:dyDescent="0.2">
      <c r="B233" s="667" t="s">
        <v>553</v>
      </c>
      <c r="C233" s="43">
        <f>1-C228</f>
        <v>2.5974025974025983E-2</v>
      </c>
      <c r="D233" s="43"/>
      <c r="E233" s="43"/>
      <c r="F233" s="92"/>
      <c r="G233" s="92"/>
      <c r="H233" s="92"/>
      <c r="I233" s="92"/>
      <c r="J233" s="92"/>
      <c r="K233" s="92"/>
      <c r="L233" s="92"/>
      <c r="M233" s="92"/>
      <c r="N233" s="92">
        <f t="shared" ref="N233" si="119">N230*$C$230*$C$233</f>
        <v>0</v>
      </c>
      <c r="O233" s="92"/>
      <c r="P233" s="92"/>
      <c r="Q233" s="92"/>
      <c r="R233" s="92"/>
      <c r="S233" s="92"/>
      <c r="T233" s="11">
        <f t="shared" si="113"/>
        <v>0</v>
      </c>
      <c r="V233" s="146"/>
      <c r="W233" s="147"/>
    </row>
    <row r="234" spans="1:23" x14ac:dyDescent="0.2">
      <c r="B234" s="667" t="s">
        <v>556</v>
      </c>
      <c r="C234" s="409">
        <f>1/3</f>
        <v>0.33333333333333331</v>
      </c>
      <c r="D234" s="409"/>
      <c r="E234" s="409"/>
      <c r="F234" s="77"/>
      <c r="G234" s="77"/>
      <c r="H234" s="77"/>
      <c r="I234" s="77"/>
      <c r="J234" s="77"/>
      <c r="K234" s="77"/>
      <c r="L234" s="77"/>
      <c r="M234" s="77"/>
      <c r="N234" s="77">
        <f t="shared" ref="N234" si="120">N230*$C$234</f>
        <v>0</v>
      </c>
      <c r="O234" s="77"/>
      <c r="P234" s="77"/>
      <c r="Q234" s="77"/>
      <c r="R234" s="77"/>
      <c r="S234" s="77"/>
      <c r="T234" s="45">
        <f t="shared" si="113"/>
        <v>0</v>
      </c>
      <c r="V234" s="146"/>
      <c r="W234" s="147"/>
    </row>
    <row r="235" spans="1:23" x14ac:dyDescent="0.2">
      <c r="B235" s="242" t="s">
        <v>752</v>
      </c>
      <c r="C235" s="84">
        <v>0.3</v>
      </c>
      <c r="D235" s="84"/>
      <c r="E235" s="84"/>
      <c r="F235" s="129"/>
      <c r="G235" s="92"/>
      <c r="H235" s="92"/>
      <c r="I235" s="92"/>
      <c r="J235" s="92"/>
      <c r="K235" s="92"/>
      <c r="L235" s="92"/>
      <c r="M235" s="92"/>
      <c r="N235" s="92" t="e">
        <f ca="1">MAX(N224-N225-N230,0)</f>
        <v>#VALUE!</v>
      </c>
      <c r="O235" s="92"/>
      <c r="P235" s="92"/>
      <c r="Q235" s="92"/>
      <c r="R235" s="92"/>
      <c r="S235" s="92"/>
      <c r="T235" s="114" t="e">
        <f t="shared" ca="1" si="113"/>
        <v>#VALUE!</v>
      </c>
      <c r="V235" s="146"/>
      <c r="W235" s="147"/>
    </row>
    <row r="236" spans="1:23" x14ac:dyDescent="0.2">
      <c r="B236" s="173" t="s">
        <v>555</v>
      </c>
      <c r="C236" s="668" t="e">
        <f ca="1">IRR(G236:S236)</f>
        <v>#VALUE!</v>
      </c>
      <c r="D236" s="668"/>
      <c r="E236" s="668"/>
      <c r="F236" s="114"/>
      <c r="G236" s="114">
        <f>G231+G237</f>
        <v>0</v>
      </c>
      <c r="H236" s="114">
        <f t="shared" ref="H236:N236" si="121">H231+H237</f>
        <v>0</v>
      </c>
      <c r="I236" s="114">
        <f t="shared" si="121"/>
        <v>0</v>
      </c>
      <c r="J236" s="114">
        <f t="shared" si="121"/>
        <v>0</v>
      </c>
      <c r="K236" s="114">
        <f t="shared" si="121"/>
        <v>0</v>
      </c>
      <c r="L236" s="114">
        <f t="shared" si="121"/>
        <v>0</v>
      </c>
      <c r="M236" s="114">
        <f t="shared" si="121"/>
        <v>0</v>
      </c>
      <c r="N236" s="114" t="e">
        <f t="shared" ca="1" si="121"/>
        <v>#VALUE!</v>
      </c>
      <c r="O236" s="114"/>
      <c r="P236" s="114"/>
      <c r="Q236" s="114"/>
      <c r="R236" s="114"/>
      <c r="S236" s="114"/>
      <c r="T236" s="114" t="e">
        <f t="shared" ca="1" si="113"/>
        <v>#VALUE!</v>
      </c>
      <c r="V236" s="146"/>
      <c r="W236" s="147"/>
    </row>
    <row r="237" spans="1:23" x14ac:dyDescent="0.2">
      <c r="B237" s="230" t="s">
        <v>552</v>
      </c>
      <c r="C237" s="43">
        <f>C232</f>
        <v>0.97402597402597402</v>
      </c>
      <c r="D237" s="43"/>
      <c r="E237" s="43"/>
      <c r="F237" s="92"/>
      <c r="G237" s="92"/>
      <c r="H237" s="92"/>
      <c r="I237" s="92"/>
      <c r="J237" s="92"/>
      <c r="K237" s="92"/>
      <c r="L237" s="92"/>
      <c r="M237" s="92"/>
      <c r="N237" s="92" t="e">
        <f t="shared" ref="N237" ca="1" si="122">N235*$C$235*$C$237</f>
        <v>#VALUE!</v>
      </c>
      <c r="O237" s="92"/>
      <c r="P237" s="92"/>
      <c r="Q237" s="92"/>
      <c r="R237" s="92"/>
      <c r="S237" s="92"/>
      <c r="T237" s="11" t="e">
        <f t="shared" ca="1" si="113"/>
        <v>#VALUE!</v>
      </c>
      <c r="V237" s="146"/>
      <c r="W237" s="147"/>
    </row>
    <row r="238" spans="1:23" x14ac:dyDescent="0.2">
      <c r="B238" s="230" t="s">
        <v>753</v>
      </c>
      <c r="C238" s="43">
        <f>C233</f>
        <v>2.5974025974025983E-2</v>
      </c>
      <c r="D238" s="43"/>
      <c r="E238" s="43"/>
      <c r="F238" s="92"/>
      <c r="G238" s="92"/>
      <c r="H238" s="92"/>
      <c r="I238" s="92"/>
      <c r="J238" s="92"/>
      <c r="K238" s="92"/>
      <c r="L238" s="92"/>
      <c r="M238" s="92"/>
      <c r="N238" s="92" t="e">
        <f ca="1">N235*$C$235*$C$238</f>
        <v>#VALUE!</v>
      </c>
      <c r="O238" s="92"/>
      <c r="P238" s="92"/>
      <c r="Q238" s="92"/>
      <c r="R238" s="92"/>
      <c r="S238" s="92"/>
      <c r="T238" s="11" t="e">
        <f t="shared" ca="1" si="113"/>
        <v>#VALUE!</v>
      </c>
      <c r="V238" s="146"/>
      <c r="W238" s="147"/>
    </row>
    <row r="239" spans="1:23" x14ac:dyDescent="0.2">
      <c r="B239" s="614" t="s">
        <v>558</v>
      </c>
      <c r="C239" s="409">
        <f>1-C235</f>
        <v>0.7</v>
      </c>
      <c r="D239" s="409"/>
      <c r="E239" s="409"/>
      <c r="F239" s="77"/>
      <c r="G239" s="77">
        <f t="shared" ref="G239:M239" si="123">G224</f>
        <v>0</v>
      </c>
      <c r="H239" s="77">
        <f t="shared" si="123"/>
        <v>0</v>
      </c>
      <c r="I239" s="77" t="e">
        <f t="shared" ca="1" si="123"/>
        <v>#VALUE!</v>
      </c>
      <c r="J239" s="77" t="e">
        <f t="shared" ca="1" si="123"/>
        <v>#VALUE!</v>
      </c>
      <c r="K239" s="77" t="e">
        <f t="shared" ca="1" si="123"/>
        <v>#VALUE!</v>
      </c>
      <c r="L239" s="77" t="e">
        <f t="shared" ca="1" si="123"/>
        <v>#VALUE!</v>
      </c>
      <c r="M239" s="77" t="e">
        <f t="shared" ca="1" si="123"/>
        <v>#VALUE!</v>
      </c>
      <c r="N239" s="77" t="e">
        <f ca="1">C239*N224</f>
        <v>#VALUE!</v>
      </c>
      <c r="O239" s="77">
        <f t="shared" ref="O239:R239" si="124">O224</f>
        <v>0</v>
      </c>
      <c r="P239" s="77">
        <f t="shared" si="124"/>
        <v>0</v>
      </c>
      <c r="Q239" s="77">
        <f t="shared" si="124"/>
        <v>0</v>
      </c>
      <c r="R239" s="77">
        <f t="shared" si="124"/>
        <v>0</v>
      </c>
      <c r="S239" s="77"/>
      <c r="T239" s="45" t="e">
        <f t="shared" ca="1" si="113"/>
        <v>#VALUE!</v>
      </c>
      <c r="V239" s="146"/>
      <c r="W239" s="147"/>
    </row>
    <row r="240" spans="1:23" s="439" customFormat="1" x14ac:dyDescent="0.2">
      <c r="A240" s="511"/>
      <c r="B240" s="430" t="s">
        <v>559</v>
      </c>
      <c r="C240" s="40"/>
      <c r="D240" s="40"/>
      <c r="E240" s="40"/>
      <c r="F240" s="92"/>
      <c r="G240" s="92">
        <f>G214</f>
        <v>0</v>
      </c>
      <c r="H240" s="92">
        <f t="shared" ref="H240:M240" si="125">H214</f>
        <v>0</v>
      </c>
      <c r="I240" s="92">
        <f t="shared" si="125"/>
        <v>0</v>
      </c>
      <c r="J240" s="92">
        <f t="shared" si="125"/>
        <v>0</v>
      </c>
      <c r="K240" s="92">
        <f t="shared" si="125"/>
        <v>0</v>
      </c>
      <c r="L240" s="92">
        <f t="shared" si="125"/>
        <v>0</v>
      </c>
      <c r="M240" s="92">
        <f t="shared" si="125"/>
        <v>0</v>
      </c>
      <c r="N240" s="92" t="e">
        <f ca="1">N214+N228+N232+N237</f>
        <v>#VALUE!</v>
      </c>
      <c r="O240" s="92"/>
      <c r="P240" s="92"/>
      <c r="Q240" s="92"/>
      <c r="R240" s="92"/>
      <c r="S240" s="92"/>
      <c r="T240" s="11" t="e">
        <f t="shared" ca="1" si="113"/>
        <v>#VALUE!</v>
      </c>
    </row>
    <row r="241" spans="1:20" s="439" customFormat="1" x14ac:dyDescent="0.2">
      <c r="A241" s="511"/>
      <c r="B241" s="430" t="s">
        <v>560</v>
      </c>
      <c r="C241" s="40"/>
      <c r="D241" s="40"/>
      <c r="E241" s="40"/>
      <c r="F241" s="92"/>
      <c r="G241" s="92">
        <f>G220</f>
        <v>0</v>
      </c>
      <c r="H241" s="92">
        <f t="shared" ref="H241:R241" si="126">H220</f>
        <v>0</v>
      </c>
      <c r="I241" s="92">
        <f t="shared" si="126"/>
        <v>0</v>
      </c>
      <c r="J241" s="92">
        <f t="shared" si="126"/>
        <v>0</v>
      </c>
      <c r="K241" s="92" t="e">
        <f t="shared" ca="1" si="126"/>
        <v>#VALUE!</v>
      </c>
      <c r="L241" s="92" t="e">
        <f t="shared" ca="1" si="126"/>
        <v>#VALUE!</v>
      </c>
      <c r="M241" s="92" t="e">
        <f t="shared" ca="1" si="126"/>
        <v>#VALUE!</v>
      </c>
      <c r="N241" s="92" t="e">
        <f t="shared" ca="1" si="126"/>
        <v>#VALUE!</v>
      </c>
      <c r="O241" s="92">
        <f t="shared" si="126"/>
        <v>0</v>
      </c>
      <c r="P241" s="92">
        <f t="shared" si="126"/>
        <v>0</v>
      </c>
      <c r="Q241" s="92">
        <f t="shared" si="126"/>
        <v>0</v>
      </c>
      <c r="R241" s="92">
        <f t="shared" si="126"/>
        <v>0</v>
      </c>
      <c r="S241" s="92"/>
      <c r="T241" s="11" t="e">
        <f t="shared" ca="1" si="113"/>
        <v>#VALUE!</v>
      </c>
    </row>
    <row r="242" spans="1:20" s="439" customFormat="1" x14ac:dyDescent="0.2">
      <c r="A242" s="511"/>
      <c r="B242" s="430" t="s">
        <v>561</v>
      </c>
      <c r="C242" s="40"/>
      <c r="D242" s="40"/>
      <c r="E242" s="40"/>
      <c r="F242" s="92"/>
      <c r="G242" s="92"/>
      <c r="H242" s="92"/>
      <c r="I242" s="92"/>
      <c r="J242" s="92"/>
      <c r="K242" s="92"/>
      <c r="L242" s="92"/>
      <c r="M242" s="92"/>
      <c r="N242" s="92" t="e">
        <f ca="1">N234+N239</f>
        <v>#VALUE!</v>
      </c>
      <c r="O242" s="92"/>
      <c r="P242" s="92"/>
      <c r="Q242" s="92"/>
      <c r="R242" s="92"/>
      <c r="S242" s="92"/>
      <c r="T242" s="11" t="e">
        <f t="shared" ca="1" si="113"/>
        <v>#VALUE!</v>
      </c>
    </row>
    <row r="243" spans="1:20" x14ac:dyDescent="0.2">
      <c r="A243"/>
      <c r="C243" s="516"/>
      <c r="D243" s="129"/>
      <c r="E243" s="92"/>
      <c r="F243" s="24"/>
      <c r="G243" s="92"/>
      <c r="H243" s="371"/>
      <c r="I243" s="371"/>
      <c r="J243" s="371"/>
      <c r="K243" s="371"/>
      <c r="L243" s="371"/>
      <c r="M243" s="371"/>
      <c r="N243" s="371"/>
      <c r="O243" s="371"/>
      <c r="P243" s="371"/>
      <c r="Q243" s="371"/>
      <c r="R243" s="371"/>
      <c r="S243" s="228"/>
      <c r="T243" s="641"/>
    </row>
    <row r="244" spans="1:20" x14ac:dyDescent="0.2">
      <c r="B244" s="235" t="s">
        <v>384</v>
      </c>
      <c r="C244" s="167"/>
      <c r="D244" s="513"/>
      <c r="E244" s="512"/>
      <c r="F244" s="372"/>
      <c r="G244" s="372">
        <f t="shared" ref="G244:J244" si="127">G210</f>
        <v>0</v>
      </c>
      <c r="H244" s="372">
        <f t="shared" si="127"/>
        <v>0</v>
      </c>
      <c r="I244" s="372" t="e">
        <f t="shared" ca="1" si="127"/>
        <v>#VALUE!</v>
      </c>
      <c r="J244" s="372" t="e">
        <f t="shared" ca="1" si="127"/>
        <v>#VALUE!</v>
      </c>
      <c r="K244" s="372" t="e">
        <f ca="1">K210</f>
        <v>#VALUE!</v>
      </c>
      <c r="L244" s="372" t="e">
        <f t="shared" ref="L244:N244" ca="1" si="128">L210</f>
        <v>#VALUE!</v>
      </c>
      <c r="M244" s="372" t="e">
        <f t="shared" ca="1" si="128"/>
        <v>#VALUE!</v>
      </c>
      <c r="N244" s="372" t="e">
        <f t="shared" ca="1" si="128"/>
        <v>#VALUE!</v>
      </c>
      <c r="O244" s="372"/>
      <c r="P244" s="372"/>
      <c r="Q244" s="372"/>
      <c r="R244" s="372"/>
      <c r="S244" s="372"/>
      <c r="T244" s="363" t="e">
        <f ca="1">SUM(G244:R244)</f>
        <v>#VALUE!</v>
      </c>
    </row>
    <row r="245" spans="1:20" ht="17" thickBot="1" x14ac:dyDescent="0.25">
      <c r="B245" s="231"/>
      <c r="C245" s="703"/>
      <c r="D245" s="704" t="s">
        <v>432</v>
      </c>
      <c r="E245" s="705"/>
      <c r="F245" s="231"/>
      <c r="G245" s="373"/>
      <c r="H245" s="373"/>
      <c r="I245" s="373"/>
      <c r="J245" s="373"/>
      <c r="K245" s="373"/>
      <c r="L245" s="373"/>
      <c r="M245" s="373"/>
      <c r="N245" s="691" t="e">
        <f ca="1">SUM(N240:N242)</f>
        <v>#VALUE!</v>
      </c>
      <c r="O245" s="373"/>
      <c r="P245" s="373"/>
      <c r="Q245" s="665"/>
      <c r="R245" s="665"/>
      <c r="S245" s="373"/>
      <c r="T245" s="373"/>
    </row>
    <row r="246" spans="1:20" ht="17" thickTop="1" x14ac:dyDescent="0.2">
      <c r="B246" s="30" t="s">
        <v>135</v>
      </c>
      <c r="C246" s="30"/>
      <c r="D246" s="30"/>
      <c r="E246" s="30"/>
      <c r="F246" s="30"/>
      <c r="G246" s="374">
        <f t="shared" ref="G246:R246" si="129">G183+G206+G244</f>
        <v>577909.6640625</v>
      </c>
      <c r="H246" s="374">
        <f t="shared" si="129"/>
        <v>14524358.768181425</v>
      </c>
      <c r="I246" s="374" t="e">
        <f t="shared" ca="1" si="129"/>
        <v>#VALUE!</v>
      </c>
      <c r="J246" s="374" t="e">
        <f t="shared" ca="1" si="129"/>
        <v>#VALUE!</v>
      </c>
      <c r="K246" s="374" t="e">
        <f t="shared" ca="1" si="129"/>
        <v>#VALUE!</v>
      </c>
      <c r="L246" s="374" t="e">
        <f t="shared" ca="1" si="129"/>
        <v>#VALUE!</v>
      </c>
      <c r="M246" s="374" t="e">
        <f t="shared" ca="1" si="129"/>
        <v>#VALUE!</v>
      </c>
      <c r="N246" s="374" t="e">
        <f t="shared" ca="1" si="129"/>
        <v>#VALUE!</v>
      </c>
      <c r="O246" s="374" t="e">
        <f t="shared" ca="1" si="129"/>
        <v>#VALUE!</v>
      </c>
      <c r="P246" s="374" t="e">
        <f t="shared" ca="1" si="129"/>
        <v>#VALUE!</v>
      </c>
      <c r="Q246" s="374" t="e">
        <f t="shared" ca="1" si="129"/>
        <v>#VALUE!</v>
      </c>
      <c r="R246" s="374" t="e">
        <f t="shared" ca="1" si="129"/>
        <v>#VALUE!</v>
      </c>
      <c r="S246" s="374"/>
      <c r="T246" s="374" t="e">
        <f ca="1">SUM(G246:R246)</f>
        <v>#VALUE!</v>
      </c>
    </row>
    <row r="247" spans="1:20" x14ac:dyDescent="0.2">
      <c r="C247" s="31"/>
      <c r="D247" s="24"/>
      <c r="E247" s="24"/>
      <c r="F247" s="24"/>
      <c r="G247" s="367"/>
      <c r="H247" s="367"/>
      <c r="I247" s="367"/>
      <c r="J247" s="367"/>
      <c r="K247" s="367"/>
      <c r="L247" s="367"/>
      <c r="M247" s="367"/>
      <c r="N247" s="367"/>
      <c r="O247" s="367"/>
      <c r="P247" s="367"/>
      <c r="Q247" s="367"/>
      <c r="R247" s="367"/>
      <c r="S247" s="367"/>
      <c r="T247" s="369"/>
    </row>
    <row r="248" spans="1:20" x14ac:dyDescent="0.2">
      <c r="B248" s="4" t="s">
        <v>385</v>
      </c>
      <c r="C248" s="31"/>
      <c r="D248" s="24"/>
      <c r="E248" s="24"/>
      <c r="F248" s="24"/>
      <c r="G248" s="367">
        <f t="shared" ref="G248:R248" si="130">F248+G67-G246</f>
        <v>-577909.6640625</v>
      </c>
      <c r="H248" s="367" t="e">
        <f t="shared" ca="1" si="130"/>
        <v>#VALUE!</v>
      </c>
      <c r="I248" s="367" t="e">
        <f t="shared" ca="1" si="130"/>
        <v>#VALUE!</v>
      </c>
      <c r="J248" s="367" t="e">
        <f t="shared" ca="1" si="130"/>
        <v>#VALUE!</v>
      </c>
      <c r="K248" s="367" t="e">
        <f t="shared" ca="1" si="130"/>
        <v>#VALUE!</v>
      </c>
      <c r="L248" s="367" t="e">
        <f t="shared" ca="1" si="130"/>
        <v>#VALUE!</v>
      </c>
      <c r="M248" s="367" t="e">
        <f t="shared" ca="1" si="130"/>
        <v>#VALUE!</v>
      </c>
      <c r="N248" s="367" t="e">
        <f t="shared" ca="1" si="130"/>
        <v>#VALUE!</v>
      </c>
      <c r="O248" s="367" t="e">
        <f t="shared" ca="1" si="130"/>
        <v>#VALUE!</v>
      </c>
      <c r="P248" s="367" t="e">
        <f t="shared" ca="1" si="130"/>
        <v>#VALUE!</v>
      </c>
      <c r="Q248" s="367" t="e">
        <f t="shared" ca="1" si="130"/>
        <v>#VALUE!</v>
      </c>
      <c r="R248" s="367" t="e">
        <f t="shared" ca="1" si="130"/>
        <v>#VALUE!</v>
      </c>
      <c r="S248" s="367"/>
      <c r="T248" s="369"/>
    </row>
    <row r="249" spans="1:20" x14ac:dyDescent="0.2">
      <c r="B249" s="4"/>
      <c r="C249" s="31"/>
      <c r="D249" s="24"/>
      <c r="E249" s="24"/>
      <c r="F249" s="24"/>
      <c r="G249" s="367"/>
      <c r="H249" s="367"/>
      <c r="I249" s="367"/>
      <c r="J249" s="367"/>
      <c r="K249" s="367"/>
      <c r="L249" s="367"/>
      <c r="M249" s="367"/>
      <c r="N249" s="367"/>
      <c r="O249" s="367"/>
      <c r="P249" s="367"/>
      <c r="Q249" s="367"/>
      <c r="R249" s="367"/>
      <c r="S249" s="367"/>
      <c r="T249" s="369"/>
    </row>
    <row r="250" spans="1:20" x14ac:dyDescent="0.2">
      <c r="B250" s="4" t="s">
        <v>386</v>
      </c>
      <c r="C250" s="31"/>
      <c r="D250" s="24"/>
      <c r="E250" s="24"/>
      <c r="F250" s="24"/>
      <c r="G250" s="367">
        <f t="shared" ref="G250:R250" si="131">-G39+G244</f>
        <v>0</v>
      </c>
      <c r="H250" s="367">
        <f t="shared" si="131"/>
        <v>0</v>
      </c>
      <c r="I250" s="367" t="e">
        <f t="shared" ca="1" si="131"/>
        <v>#VALUE!</v>
      </c>
      <c r="J250" s="367" t="e">
        <f t="shared" ca="1" si="131"/>
        <v>#VALUE!</v>
      </c>
      <c r="K250" s="367" t="e">
        <f t="shared" ca="1" si="131"/>
        <v>#VALUE!</v>
      </c>
      <c r="L250" s="367" t="e">
        <f t="shared" ca="1" si="131"/>
        <v>#VALUE!</v>
      </c>
      <c r="M250" s="367" t="e">
        <f t="shared" ca="1" si="131"/>
        <v>#VALUE!</v>
      </c>
      <c r="N250" s="367" t="e">
        <f t="shared" ca="1" si="131"/>
        <v>#VALUE!</v>
      </c>
      <c r="O250" s="367">
        <f t="shared" si="131"/>
        <v>0</v>
      </c>
      <c r="P250" s="367">
        <f t="shared" si="131"/>
        <v>0</v>
      </c>
      <c r="Q250" s="367">
        <f t="shared" si="131"/>
        <v>0</v>
      </c>
      <c r="R250" s="367">
        <f t="shared" si="131"/>
        <v>0</v>
      </c>
      <c r="S250" s="367"/>
      <c r="T250" s="369" t="e">
        <f ca="1">SUM(G250:R250)</f>
        <v>#VALUE!</v>
      </c>
    </row>
    <row r="251" spans="1:20" x14ac:dyDescent="0.2">
      <c r="B251" s="3"/>
      <c r="C251" s="31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66"/>
    </row>
    <row r="252" spans="1:20" x14ac:dyDescent="0.2">
      <c r="B252" s="3"/>
      <c r="C252" s="31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66"/>
    </row>
    <row r="254" spans="1:20" outlineLevel="1" x14ac:dyDescent="0.2">
      <c r="B254" s="3" t="str">
        <f>B1</f>
        <v>CLARENDON - AMENITY + HOTEL DEVELOPMENT: PROFORMA</v>
      </c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7"/>
    </row>
    <row r="255" spans="1:20" outlineLevel="1" x14ac:dyDescent="0.2">
      <c r="B255" s="3" t="s">
        <v>389</v>
      </c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7"/>
    </row>
    <row r="256" spans="1:20" outlineLevel="1" x14ac:dyDescent="0.2">
      <c r="B256" s="124" t="str">
        <f>B31</f>
        <v>SOURCES</v>
      </c>
      <c r="C256" s="124"/>
      <c r="D256" s="176"/>
      <c r="E256" s="176"/>
      <c r="F256" s="176"/>
      <c r="G256" s="38">
        <f t="shared" ref="G256:T256" si="132">G4</f>
        <v>2024</v>
      </c>
      <c r="H256" s="38">
        <f t="shared" si="132"/>
        <v>2025</v>
      </c>
      <c r="I256" s="38">
        <f t="shared" si="132"/>
        <v>2026</v>
      </c>
      <c r="J256" s="38">
        <f t="shared" si="132"/>
        <v>2027</v>
      </c>
      <c r="K256" s="38">
        <f t="shared" si="132"/>
        <v>2028</v>
      </c>
      <c r="L256" s="38">
        <f t="shared" si="132"/>
        <v>2029</v>
      </c>
      <c r="M256" s="38">
        <f t="shared" si="132"/>
        <v>2030</v>
      </c>
      <c r="N256" s="38">
        <f t="shared" si="132"/>
        <v>2031</v>
      </c>
      <c r="O256" s="38">
        <f t="shared" si="132"/>
        <v>2032</v>
      </c>
      <c r="P256" s="38">
        <f t="shared" si="132"/>
        <v>2033</v>
      </c>
      <c r="Q256" s="38">
        <f t="shared" si="132"/>
        <v>2034</v>
      </c>
      <c r="R256" s="38">
        <f t="shared" si="132"/>
        <v>2035</v>
      </c>
      <c r="S256" s="38">
        <f t="shared" si="132"/>
        <v>2036</v>
      </c>
      <c r="T256" s="38" t="str">
        <f t="shared" si="132"/>
        <v>TOTALS</v>
      </c>
    </row>
    <row r="257" spans="2:20" outlineLevel="1" x14ac:dyDescent="0.2">
      <c r="B257" t="str">
        <f>B36</f>
        <v>LAND EQUITY IN 80 ACRES</v>
      </c>
      <c r="C257" s="12"/>
      <c r="D257" s="177"/>
      <c r="E257" s="177"/>
      <c r="F257" s="178"/>
      <c r="G257" s="177">
        <f>G36</f>
        <v>0</v>
      </c>
      <c r="H257" s="177">
        <f t="shared" ref="H257:T258" si="133">H36</f>
        <v>0</v>
      </c>
      <c r="I257" s="177" t="str">
        <f t="shared" si="133"/>
        <v>Before, we've put $15M into the Land+Home proforma to "pay ourselves" for the value created for the Resort Lot</v>
      </c>
      <c r="J257" s="177">
        <f t="shared" si="133"/>
        <v>0</v>
      </c>
      <c r="K257" s="177">
        <f t="shared" si="133"/>
        <v>0</v>
      </c>
      <c r="L257" s="177">
        <f t="shared" si="133"/>
        <v>0</v>
      </c>
      <c r="M257" s="177">
        <f t="shared" si="133"/>
        <v>0</v>
      </c>
      <c r="N257" s="177">
        <f t="shared" si="133"/>
        <v>0</v>
      </c>
      <c r="O257" s="177">
        <f t="shared" si="133"/>
        <v>0</v>
      </c>
      <c r="P257" s="177">
        <f t="shared" si="133"/>
        <v>0</v>
      </c>
      <c r="Q257" s="177">
        <f t="shared" si="133"/>
        <v>0</v>
      </c>
      <c r="R257" s="177">
        <f t="shared" si="133"/>
        <v>0</v>
      </c>
      <c r="S257" s="177">
        <f t="shared" si="133"/>
        <v>0</v>
      </c>
      <c r="T257" s="177">
        <f t="shared" si="133"/>
        <v>0</v>
      </c>
    </row>
    <row r="258" spans="2:20" outlineLevel="1" x14ac:dyDescent="0.2">
      <c r="B258" t="str">
        <f>B37</f>
        <v>MTN ORIGINS - PURSUIT CAPITAL</v>
      </c>
      <c r="C258" s="12"/>
      <c r="D258" s="177"/>
      <c r="E258" s="177"/>
      <c r="F258" s="178"/>
      <c r="G258" s="177">
        <f>G37</f>
        <v>0</v>
      </c>
      <c r="H258" s="177">
        <f t="shared" si="133"/>
        <v>0</v>
      </c>
      <c r="I258" s="177">
        <f t="shared" si="133"/>
        <v>0</v>
      </c>
      <c r="J258" s="177">
        <f t="shared" si="133"/>
        <v>0</v>
      </c>
      <c r="K258" s="177">
        <f t="shared" si="133"/>
        <v>0</v>
      </c>
      <c r="L258" s="177">
        <f t="shared" si="133"/>
        <v>0</v>
      </c>
      <c r="M258" s="177">
        <f t="shared" si="133"/>
        <v>0</v>
      </c>
      <c r="N258" s="177">
        <f t="shared" si="133"/>
        <v>0</v>
      </c>
      <c r="O258" s="177">
        <f t="shared" si="133"/>
        <v>0</v>
      </c>
      <c r="P258" s="177">
        <f t="shared" si="133"/>
        <v>0</v>
      </c>
      <c r="Q258" s="177">
        <f t="shared" si="133"/>
        <v>0</v>
      </c>
      <c r="R258" s="177">
        <f t="shared" si="133"/>
        <v>0</v>
      </c>
      <c r="S258" s="177">
        <f t="shared" si="133"/>
        <v>0</v>
      </c>
      <c r="T258" s="177">
        <f t="shared" si="133"/>
        <v>0</v>
      </c>
    </row>
    <row r="259" spans="2:20" outlineLevel="1" x14ac:dyDescent="0.2">
      <c r="B259" t="str">
        <f>B38</f>
        <v>LP - EQUITY CAPITAL</v>
      </c>
      <c r="C259" s="12"/>
      <c r="D259" s="177"/>
      <c r="E259" s="177"/>
      <c r="F259" s="178"/>
      <c r="G259" s="177">
        <f>G38</f>
        <v>0</v>
      </c>
      <c r="H259" s="177">
        <f t="shared" ref="H259:S259" si="134">H38</f>
        <v>0</v>
      </c>
      <c r="I259" s="177">
        <v>0</v>
      </c>
      <c r="J259" s="177">
        <f t="shared" si="134"/>
        <v>0</v>
      </c>
      <c r="K259" s="177">
        <f t="shared" si="134"/>
        <v>0</v>
      </c>
      <c r="L259" s="177">
        <f t="shared" si="134"/>
        <v>0</v>
      </c>
      <c r="M259" s="177">
        <f t="shared" si="134"/>
        <v>0</v>
      </c>
      <c r="N259" s="177">
        <f t="shared" si="134"/>
        <v>0</v>
      </c>
      <c r="O259" s="177">
        <f t="shared" si="134"/>
        <v>0</v>
      </c>
      <c r="P259" s="177">
        <f t="shared" si="134"/>
        <v>0</v>
      </c>
      <c r="Q259" s="177">
        <f t="shared" si="134"/>
        <v>0</v>
      </c>
      <c r="R259" s="177">
        <f t="shared" si="134"/>
        <v>0</v>
      </c>
      <c r="S259" s="177">
        <f t="shared" si="134"/>
        <v>0</v>
      </c>
      <c r="T259" s="177">
        <f>H259</f>
        <v>0</v>
      </c>
    </row>
    <row r="260" spans="2:20" outlineLevel="1" x14ac:dyDescent="0.2">
      <c r="B260" t="str">
        <f>B42</f>
        <v>EB5 - MEZZ DEBT</v>
      </c>
      <c r="C260" s="12"/>
      <c r="D260" s="177"/>
      <c r="E260" s="177"/>
      <c r="F260" s="178"/>
      <c r="G260" s="177">
        <f t="shared" ref="G260:T260" si="135">G42</f>
        <v>0</v>
      </c>
      <c r="H260" s="177">
        <f t="shared" si="135"/>
        <v>15103341.594137302</v>
      </c>
      <c r="I260" s="177" t="e">
        <f t="shared" ca="1" si="135"/>
        <v>#VALUE!</v>
      </c>
      <c r="J260" s="177">
        <f t="shared" si="135"/>
        <v>0</v>
      </c>
      <c r="K260" s="177">
        <f t="shared" si="135"/>
        <v>0</v>
      </c>
      <c r="L260" s="177">
        <f t="shared" si="135"/>
        <v>0</v>
      </c>
      <c r="M260" s="177">
        <f t="shared" si="135"/>
        <v>0</v>
      </c>
      <c r="N260" s="177">
        <f t="shared" si="135"/>
        <v>0</v>
      </c>
      <c r="O260" s="177">
        <f t="shared" si="135"/>
        <v>0</v>
      </c>
      <c r="P260" s="177">
        <f t="shared" si="135"/>
        <v>0</v>
      </c>
      <c r="Q260" s="177">
        <f t="shared" si="135"/>
        <v>0</v>
      </c>
      <c r="R260" s="177">
        <f t="shared" si="135"/>
        <v>0</v>
      </c>
      <c r="S260" s="177">
        <f t="shared" si="135"/>
        <v>0</v>
      </c>
      <c r="T260" s="177" t="e">
        <f t="shared" ca="1" si="135"/>
        <v>#VALUE!</v>
      </c>
    </row>
    <row r="261" spans="2:20" outlineLevel="1" x14ac:dyDescent="0.2">
      <c r="B261" t="s">
        <v>574</v>
      </c>
      <c r="C261" s="12"/>
      <c r="D261" s="177"/>
      <c r="E261" s="177"/>
      <c r="F261" s="178"/>
      <c r="G261" s="177">
        <f t="shared" ref="G261:T261" si="136">G43+G44</f>
        <v>0</v>
      </c>
      <c r="H261" s="177" t="e">
        <f t="shared" ca="1" si="136"/>
        <v>#VALUE!</v>
      </c>
      <c r="I261" s="177" t="e">
        <f t="shared" ca="1" si="136"/>
        <v>#VALUE!</v>
      </c>
      <c r="J261" s="177" t="e">
        <f t="shared" ca="1" si="136"/>
        <v>#VALUE!</v>
      </c>
      <c r="K261" s="177" t="e">
        <f t="shared" ca="1" si="136"/>
        <v>#VALUE!</v>
      </c>
      <c r="L261" s="177" t="e">
        <f t="shared" ca="1" si="136"/>
        <v>#VALUE!</v>
      </c>
      <c r="M261" s="177" t="e">
        <f t="shared" ca="1" si="136"/>
        <v>#VALUE!</v>
      </c>
      <c r="N261" s="177" t="e">
        <f t="shared" ca="1" si="136"/>
        <v>#VALUE!</v>
      </c>
      <c r="O261" s="177" t="e">
        <f t="shared" ca="1" si="136"/>
        <v>#VALUE!</v>
      </c>
      <c r="P261" s="177" t="e">
        <f t="shared" ca="1" si="136"/>
        <v>#VALUE!</v>
      </c>
      <c r="Q261" s="177" t="e">
        <f t="shared" ca="1" si="136"/>
        <v>#VALUE!</v>
      </c>
      <c r="R261" s="177" t="e">
        <f t="shared" ca="1" si="136"/>
        <v>#VALUE!</v>
      </c>
      <c r="S261" s="177">
        <f t="shared" si="136"/>
        <v>0</v>
      </c>
      <c r="T261" s="177" t="e">
        <f t="shared" ca="1" si="136"/>
        <v>#VALUE!</v>
      </c>
    </row>
    <row r="262" spans="2:20" outlineLevel="1" x14ac:dyDescent="0.2">
      <c r="B262" t="str">
        <f>B53</f>
        <v>TOTAL NET OPERATING INCOME (NOI)</v>
      </c>
      <c r="C262" s="12"/>
      <c r="D262" s="177"/>
      <c r="E262" s="177"/>
      <c r="F262" s="178"/>
      <c r="G262" s="177">
        <f t="shared" ref="G262:T262" si="137">G53</f>
        <v>0</v>
      </c>
      <c r="H262" s="177">
        <f t="shared" si="137"/>
        <v>0</v>
      </c>
      <c r="I262" s="177">
        <f t="shared" ca="1" si="137"/>
        <v>0</v>
      </c>
      <c r="J262" s="177">
        <f t="shared" ca="1" si="137"/>
        <v>372032.18287000008</v>
      </c>
      <c r="K262" s="177">
        <f t="shared" ca="1" si="137"/>
        <v>2434311.1422704081</v>
      </c>
      <c r="L262" s="177">
        <f t="shared" ca="1" si="137"/>
        <v>7458595.358415883</v>
      </c>
      <c r="M262" s="177">
        <f t="shared" ca="1" si="137"/>
        <v>8645422.3040888496</v>
      </c>
      <c r="N262" s="177">
        <f t="shared" ca="1" si="137"/>
        <v>9694303.8906796277</v>
      </c>
      <c r="O262" s="177">
        <f t="shared" si="137"/>
        <v>0</v>
      </c>
      <c r="P262" s="177">
        <f t="shared" si="137"/>
        <v>0</v>
      </c>
      <c r="Q262" s="177">
        <f t="shared" si="137"/>
        <v>0</v>
      </c>
      <c r="R262" s="177">
        <f t="shared" si="137"/>
        <v>0</v>
      </c>
      <c r="S262" s="177">
        <f t="shared" si="137"/>
        <v>0</v>
      </c>
      <c r="T262" s="177">
        <f t="shared" ca="1" si="137"/>
        <v>28604664.878324769</v>
      </c>
    </row>
    <row r="263" spans="2:20" outlineLevel="1" x14ac:dyDescent="0.2">
      <c r="B263" t="str">
        <f>B60</f>
        <v>TOTAL UNIT SALES</v>
      </c>
      <c r="C263" s="12"/>
      <c r="D263" s="177"/>
      <c r="E263" s="177"/>
      <c r="F263" s="178"/>
      <c r="G263" s="177">
        <f t="shared" ref="G263:T263" si="138">G60</f>
        <v>0</v>
      </c>
      <c r="H263" s="177">
        <f t="shared" si="138"/>
        <v>0</v>
      </c>
      <c r="I263" s="177">
        <f t="shared" si="138"/>
        <v>0</v>
      </c>
      <c r="J263" s="177">
        <f t="shared" si="138"/>
        <v>5062500</v>
      </c>
      <c r="K263" s="177">
        <f t="shared" si="138"/>
        <v>21065625</v>
      </c>
      <c r="L263" s="177">
        <f t="shared" si="138"/>
        <v>22118906.25</v>
      </c>
      <c r="M263" s="177">
        <f t="shared" si="138"/>
        <v>23224851.5625</v>
      </c>
      <c r="N263" s="177">
        <f t="shared" si="138"/>
        <v>18232593.750000004</v>
      </c>
      <c r="O263" s="177">
        <f t="shared" si="138"/>
        <v>0</v>
      </c>
      <c r="P263" s="177">
        <f t="shared" si="138"/>
        <v>0</v>
      </c>
      <c r="Q263" s="177">
        <f t="shared" si="138"/>
        <v>0</v>
      </c>
      <c r="R263" s="177">
        <f t="shared" si="138"/>
        <v>0</v>
      </c>
      <c r="S263" s="177">
        <f t="shared" si="138"/>
        <v>0</v>
      </c>
      <c r="T263" s="177">
        <f t="shared" si="138"/>
        <v>89704476.5625</v>
      </c>
    </row>
    <row r="264" spans="2:20" outlineLevel="1" x14ac:dyDescent="0.2">
      <c r="B264" t="str">
        <f>B65</f>
        <v>HOTEL SALE PROCEEDS / DISPOSITION</v>
      </c>
      <c r="C264" s="419"/>
      <c r="D264" s="425"/>
      <c r="E264" s="425"/>
      <c r="F264" s="425"/>
      <c r="G264" s="425">
        <f t="shared" ref="G264:T264" si="139">G65</f>
        <v>0</v>
      </c>
      <c r="H264" s="425">
        <f t="shared" si="139"/>
        <v>0</v>
      </c>
      <c r="I264" s="425">
        <f t="shared" si="139"/>
        <v>0</v>
      </c>
      <c r="J264" s="425">
        <f t="shared" si="139"/>
        <v>0</v>
      </c>
      <c r="K264" s="425">
        <f t="shared" si="139"/>
        <v>0</v>
      </c>
      <c r="L264" s="425">
        <f t="shared" si="139"/>
        <v>0</v>
      </c>
      <c r="M264" s="425">
        <f t="shared" si="139"/>
        <v>0</v>
      </c>
      <c r="N264" s="425">
        <f t="shared" ca="1" si="139"/>
        <v>149143136.77968657</v>
      </c>
      <c r="O264" s="425">
        <f t="shared" si="139"/>
        <v>0</v>
      </c>
      <c r="P264" s="425">
        <f t="shared" si="139"/>
        <v>0</v>
      </c>
      <c r="Q264" s="425">
        <f t="shared" si="139"/>
        <v>0</v>
      </c>
      <c r="R264" s="425">
        <f t="shared" si="139"/>
        <v>0</v>
      </c>
      <c r="S264" s="425">
        <f t="shared" si="139"/>
        <v>0</v>
      </c>
      <c r="T264" s="425">
        <f t="shared" ca="1" si="139"/>
        <v>149143136.77968657</v>
      </c>
    </row>
    <row r="265" spans="2:20" outlineLevel="1" x14ac:dyDescent="0.2">
      <c r="B265" s="225" t="s">
        <v>754</v>
      </c>
      <c r="C265" s="423"/>
      <c r="D265" s="424"/>
      <c r="E265" s="424"/>
      <c r="F265" s="424"/>
      <c r="G265" s="424">
        <f t="shared" ref="G265:S265" si="140">MAX(G246-G67,0)</f>
        <v>577909.6640625</v>
      </c>
      <c r="H265" s="424" t="e">
        <f t="shared" ca="1" si="140"/>
        <v>#VALUE!</v>
      </c>
      <c r="I265" s="424" t="e">
        <f t="shared" ca="1" si="140"/>
        <v>#VALUE!</v>
      </c>
      <c r="J265" s="424" t="e">
        <f t="shared" ca="1" si="140"/>
        <v>#VALUE!</v>
      </c>
      <c r="K265" s="424" t="e">
        <f t="shared" ca="1" si="140"/>
        <v>#VALUE!</v>
      </c>
      <c r="L265" s="424" t="e">
        <f t="shared" ca="1" si="140"/>
        <v>#VALUE!</v>
      </c>
      <c r="M265" s="424" t="e">
        <f t="shared" ca="1" si="140"/>
        <v>#VALUE!</v>
      </c>
      <c r="N265" s="424" t="e">
        <f t="shared" ca="1" si="140"/>
        <v>#VALUE!</v>
      </c>
      <c r="O265" s="424" t="e">
        <f t="shared" ca="1" si="140"/>
        <v>#VALUE!</v>
      </c>
      <c r="P265" s="424" t="e">
        <f t="shared" ca="1" si="140"/>
        <v>#VALUE!</v>
      </c>
      <c r="Q265" s="424" t="e">
        <f t="shared" ca="1" si="140"/>
        <v>#VALUE!</v>
      </c>
      <c r="R265" s="424" t="e">
        <f t="shared" ca="1" si="140"/>
        <v>#VALUE!</v>
      </c>
      <c r="S265" s="424">
        <f t="shared" si="140"/>
        <v>0</v>
      </c>
      <c r="T265" s="424" t="e">
        <f ca="1">SUM(G265:S265)</f>
        <v>#VALUE!</v>
      </c>
    </row>
    <row r="266" spans="2:20" outlineLevel="1" x14ac:dyDescent="0.2">
      <c r="B266" s="3" t="str">
        <f>B67</f>
        <v>TOTAL SOURCES</v>
      </c>
      <c r="C266" s="23"/>
      <c r="D266" s="179"/>
      <c r="E266" s="179"/>
      <c r="F266" s="180"/>
      <c r="G266" s="179">
        <f t="shared" ref="G266:M266" si="141">SUM(G257:G265)</f>
        <v>577909.6640625</v>
      </c>
      <c r="H266" s="179" t="e">
        <f t="shared" ca="1" si="141"/>
        <v>#VALUE!</v>
      </c>
      <c r="I266" s="179" t="e">
        <f t="shared" ca="1" si="141"/>
        <v>#VALUE!</v>
      </c>
      <c r="J266" s="179" t="e">
        <f t="shared" ca="1" si="141"/>
        <v>#VALUE!</v>
      </c>
      <c r="K266" s="179" t="e">
        <f t="shared" ca="1" si="141"/>
        <v>#VALUE!</v>
      </c>
      <c r="L266" s="179" t="e">
        <f t="shared" ca="1" si="141"/>
        <v>#VALUE!</v>
      </c>
      <c r="M266" s="179" t="e">
        <f t="shared" ca="1" si="141"/>
        <v>#VALUE!</v>
      </c>
      <c r="N266" s="179" t="e">
        <f ca="1">SUM(N257:N265)</f>
        <v>#VALUE!</v>
      </c>
      <c r="O266" s="179" t="e">
        <f t="shared" ref="O266:S266" ca="1" si="142">SUM(O257:O265)</f>
        <v>#VALUE!</v>
      </c>
      <c r="P266" s="179" t="e">
        <f t="shared" ca="1" si="142"/>
        <v>#VALUE!</v>
      </c>
      <c r="Q266" s="179" t="e">
        <f t="shared" ca="1" si="142"/>
        <v>#VALUE!</v>
      </c>
      <c r="R266" s="179" t="e">
        <f t="shared" ca="1" si="142"/>
        <v>#VALUE!</v>
      </c>
      <c r="S266" s="179">
        <f t="shared" si="142"/>
        <v>0</v>
      </c>
      <c r="T266" s="179" t="e">
        <f ca="1">SUM(T257:T265)</f>
        <v>#VALUE!</v>
      </c>
    </row>
    <row r="267" spans="2:20" outlineLevel="1" x14ac:dyDescent="0.2">
      <c r="C267" s="12"/>
      <c r="D267" s="181"/>
      <c r="E267" s="181"/>
      <c r="F267" s="182"/>
      <c r="G267" s="181">
        <f>G280-G266</f>
        <v>0</v>
      </c>
      <c r="H267" s="181" t="e">
        <f t="shared" ref="H267:R267" ca="1" si="143">H280-H266</f>
        <v>#VALUE!</v>
      </c>
      <c r="I267" s="181" t="e">
        <f t="shared" ca="1" si="143"/>
        <v>#VALUE!</v>
      </c>
      <c r="J267" s="181" t="e">
        <f t="shared" ca="1" si="143"/>
        <v>#VALUE!</v>
      </c>
      <c r="K267" s="181" t="e">
        <f t="shared" ca="1" si="143"/>
        <v>#VALUE!</v>
      </c>
      <c r="L267" s="181" t="e">
        <f t="shared" ca="1" si="143"/>
        <v>#VALUE!</v>
      </c>
      <c r="M267" s="181" t="e">
        <f t="shared" ca="1" si="143"/>
        <v>#VALUE!</v>
      </c>
      <c r="N267" s="181" t="e">
        <f t="shared" ca="1" si="143"/>
        <v>#VALUE!</v>
      </c>
      <c r="O267" s="181" t="e">
        <f t="shared" ca="1" si="143"/>
        <v>#VALUE!</v>
      </c>
      <c r="P267" s="181" t="e">
        <f t="shared" ca="1" si="143"/>
        <v>#VALUE!</v>
      </c>
      <c r="Q267" s="181" t="e">
        <f t="shared" ca="1" si="143"/>
        <v>#VALUE!</v>
      </c>
      <c r="R267" s="181" t="e">
        <f t="shared" ca="1" si="143"/>
        <v>#VALUE!</v>
      </c>
      <c r="S267" s="181"/>
      <c r="T267" s="181"/>
    </row>
    <row r="268" spans="2:20" outlineLevel="1" x14ac:dyDescent="0.2">
      <c r="B268" s="124" t="str">
        <f>B69</f>
        <v>USES</v>
      </c>
      <c r="C268" s="36"/>
      <c r="D268" s="183"/>
      <c r="E268" s="183"/>
      <c r="F268" s="184"/>
      <c r="G268" s="320">
        <f t="shared" ref="G268:T268" si="144">G256</f>
        <v>2024</v>
      </c>
      <c r="H268" s="320">
        <f t="shared" si="144"/>
        <v>2025</v>
      </c>
      <c r="I268" s="320">
        <f t="shared" si="144"/>
        <v>2026</v>
      </c>
      <c r="J268" s="320">
        <f t="shared" si="144"/>
        <v>2027</v>
      </c>
      <c r="K268" s="320">
        <f t="shared" si="144"/>
        <v>2028</v>
      </c>
      <c r="L268" s="320">
        <f t="shared" si="144"/>
        <v>2029</v>
      </c>
      <c r="M268" s="320">
        <f t="shared" si="144"/>
        <v>2030</v>
      </c>
      <c r="N268" s="320">
        <f t="shared" si="144"/>
        <v>2031</v>
      </c>
      <c r="O268" s="320">
        <f t="shared" si="144"/>
        <v>2032</v>
      </c>
      <c r="P268" s="320">
        <f t="shared" si="144"/>
        <v>2033</v>
      </c>
      <c r="Q268" s="320">
        <f t="shared" si="144"/>
        <v>2034</v>
      </c>
      <c r="R268" s="320">
        <f t="shared" si="144"/>
        <v>2035</v>
      </c>
      <c r="S268" s="320">
        <f t="shared" si="144"/>
        <v>2036</v>
      </c>
      <c r="T268" s="320" t="str">
        <f t="shared" si="144"/>
        <v>TOTALS</v>
      </c>
    </row>
    <row r="269" spans="2:20" outlineLevel="1" x14ac:dyDescent="0.2">
      <c r="B269" t="str">
        <f>B75</f>
        <v>LAND ACQUISITION COSTS</v>
      </c>
      <c r="C269" s="12"/>
      <c r="D269" s="177"/>
      <c r="E269" s="177"/>
      <c r="F269" s="178"/>
      <c r="G269" s="177">
        <f t="shared" ref="G269:T269" si="145">G75</f>
        <v>0</v>
      </c>
      <c r="H269" s="177">
        <f t="shared" si="145"/>
        <v>0</v>
      </c>
      <c r="I269" s="177" t="e">
        <f t="shared" si="145"/>
        <v>#VALUE!</v>
      </c>
      <c r="J269" s="177">
        <f t="shared" si="145"/>
        <v>0</v>
      </c>
      <c r="K269" s="177">
        <f t="shared" si="145"/>
        <v>0</v>
      </c>
      <c r="L269" s="177">
        <f t="shared" si="145"/>
        <v>0</v>
      </c>
      <c r="M269" s="177">
        <f t="shared" si="145"/>
        <v>0</v>
      </c>
      <c r="N269" s="177">
        <f t="shared" si="145"/>
        <v>0</v>
      </c>
      <c r="O269" s="177">
        <f t="shared" si="145"/>
        <v>0</v>
      </c>
      <c r="P269" s="177">
        <f t="shared" si="145"/>
        <v>0</v>
      </c>
      <c r="Q269" s="177">
        <f t="shared" si="145"/>
        <v>0</v>
      </c>
      <c r="R269" s="177">
        <f t="shared" si="145"/>
        <v>0</v>
      </c>
      <c r="S269" s="177">
        <f t="shared" si="145"/>
        <v>0</v>
      </c>
      <c r="T269" s="177" t="e">
        <f t="shared" si="145"/>
        <v>#VALUE!</v>
      </c>
    </row>
    <row r="270" spans="2:20" outlineLevel="1" x14ac:dyDescent="0.2">
      <c r="B270" t="str">
        <f>B129</f>
        <v>TOTAL VERTICAL CONSTRUCTION COSTS</v>
      </c>
      <c r="C270" s="12"/>
      <c r="D270" s="177"/>
      <c r="E270" s="177"/>
      <c r="F270" s="178"/>
      <c r="G270" s="177">
        <f t="shared" ref="G270:T270" si="146">G129</f>
        <v>0</v>
      </c>
      <c r="H270" s="177">
        <f t="shared" si="146"/>
        <v>8687187.5</v>
      </c>
      <c r="I270" s="177">
        <f t="shared" si="146"/>
        <v>28757940</v>
      </c>
      <c r="J270" s="177">
        <f t="shared" si="146"/>
        <v>34987631.875</v>
      </c>
      <c r="K270" s="177">
        <f t="shared" si="146"/>
        <v>14105354.375</v>
      </c>
      <c r="L270" s="177">
        <f t="shared" si="146"/>
        <v>1946241.25</v>
      </c>
      <c r="M270" s="177">
        <f t="shared" si="146"/>
        <v>0</v>
      </c>
      <c r="N270" s="177">
        <f t="shared" si="146"/>
        <v>0</v>
      </c>
      <c r="O270" s="177">
        <f t="shared" si="146"/>
        <v>0</v>
      </c>
      <c r="P270" s="177">
        <f t="shared" si="146"/>
        <v>0</v>
      </c>
      <c r="Q270" s="177">
        <f t="shared" si="146"/>
        <v>0</v>
      </c>
      <c r="R270" s="177">
        <f t="shared" si="146"/>
        <v>0</v>
      </c>
      <c r="S270" s="177">
        <f t="shared" si="146"/>
        <v>0</v>
      </c>
      <c r="T270" s="177">
        <f t="shared" si="146"/>
        <v>88484355</v>
      </c>
    </row>
    <row r="271" spans="2:20" outlineLevel="1" x14ac:dyDescent="0.2">
      <c r="B271" t="s">
        <v>755</v>
      </c>
      <c r="C271" s="12"/>
      <c r="D271" s="177"/>
      <c r="E271" s="177"/>
      <c r="F271" s="178"/>
      <c r="G271" s="177">
        <f t="shared" ref="G271:T271" si="147">G147</f>
        <v>0</v>
      </c>
      <c r="H271" s="177">
        <f t="shared" si="147"/>
        <v>2388437.5</v>
      </c>
      <c r="I271" s="177">
        <f t="shared" si="147"/>
        <v>2663437.5</v>
      </c>
      <c r="J271" s="177">
        <f t="shared" si="147"/>
        <v>3014062.5</v>
      </c>
      <c r="K271" s="177">
        <f t="shared" si="147"/>
        <v>1270312.5</v>
      </c>
      <c r="L271" s="177">
        <f t="shared" si="147"/>
        <v>1200000</v>
      </c>
      <c r="M271" s="177">
        <f t="shared" si="147"/>
        <v>1050000</v>
      </c>
      <c r="N271" s="177">
        <f t="shared" si="147"/>
        <v>450000</v>
      </c>
      <c r="O271" s="177">
        <f t="shared" si="147"/>
        <v>0</v>
      </c>
      <c r="P271" s="177">
        <f t="shared" si="147"/>
        <v>0</v>
      </c>
      <c r="Q271" s="177">
        <f t="shared" si="147"/>
        <v>0</v>
      </c>
      <c r="R271" s="177">
        <f t="shared" si="147"/>
        <v>0</v>
      </c>
      <c r="S271" s="177">
        <f t="shared" si="147"/>
        <v>0</v>
      </c>
      <c r="T271" s="177">
        <f t="shared" si="147"/>
        <v>12036250</v>
      </c>
    </row>
    <row r="272" spans="2:20" outlineLevel="1" x14ac:dyDescent="0.2">
      <c r="B272" t="s">
        <v>723</v>
      </c>
      <c r="C272" s="12"/>
      <c r="D272" s="177"/>
      <c r="E272" s="177"/>
      <c r="F272" s="178"/>
      <c r="G272" s="177">
        <f t="shared" ref="G272:T272" si="148">G160</f>
        <v>561077.34375</v>
      </c>
      <c r="H272" s="177">
        <f t="shared" si="148"/>
        <v>1980720.7875000001</v>
      </c>
      <c r="I272" s="177">
        <f t="shared" si="148"/>
        <v>2946717.7884374997</v>
      </c>
      <c r="J272" s="177">
        <f t="shared" si="148"/>
        <v>1932396.7490625002</v>
      </c>
      <c r="K272" s="177">
        <f t="shared" si="148"/>
        <v>811415.48250000004</v>
      </c>
      <c r="L272" s="177">
        <f t="shared" si="148"/>
        <v>229973.44125</v>
      </c>
      <c r="M272" s="177">
        <f t="shared" si="148"/>
        <v>91350</v>
      </c>
      <c r="N272" s="177">
        <f t="shared" si="148"/>
        <v>27562.5</v>
      </c>
      <c r="O272" s="177">
        <f t="shared" si="148"/>
        <v>0</v>
      </c>
      <c r="P272" s="177">
        <f t="shared" si="148"/>
        <v>0</v>
      </c>
      <c r="Q272" s="177">
        <f t="shared" si="148"/>
        <v>0</v>
      </c>
      <c r="R272" s="177">
        <f t="shared" si="148"/>
        <v>0</v>
      </c>
      <c r="S272" s="177">
        <f t="shared" si="148"/>
        <v>0</v>
      </c>
      <c r="T272" s="177">
        <f t="shared" si="148"/>
        <v>8581214.0924999993</v>
      </c>
    </row>
    <row r="273" spans="2:20" outlineLevel="1" x14ac:dyDescent="0.2">
      <c r="B273" t="str">
        <f>B167</f>
        <v>SOFT COSTS - SALES</v>
      </c>
      <c r="C273" s="12"/>
      <c r="D273" s="177"/>
      <c r="E273" s="177"/>
      <c r="F273" s="178"/>
      <c r="G273" s="177">
        <f t="shared" ref="G273:T273" si="149">G167</f>
        <v>0</v>
      </c>
      <c r="H273" s="177">
        <f t="shared" si="149"/>
        <v>0</v>
      </c>
      <c r="I273" s="177">
        <f t="shared" si="149"/>
        <v>0</v>
      </c>
      <c r="J273" s="177">
        <f t="shared" si="149"/>
        <v>100000</v>
      </c>
      <c r="K273" s="177">
        <f t="shared" si="149"/>
        <v>100000</v>
      </c>
      <c r="L273" s="177">
        <f t="shared" si="149"/>
        <v>100000</v>
      </c>
      <c r="M273" s="177">
        <f t="shared" si="149"/>
        <v>100000</v>
      </c>
      <c r="N273" s="177">
        <f t="shared" si="149"/>
        <v>100000</v>
      </c>
      <c r="O273" s="177">
        <f t="shared" si="149"/>
        <v>0</v>
      </c>
      <c r="P273" s="177">
        <f t="shared" si="149"/>
        <v>0</v>
      </c>
      <c r="Q273" s="177">
        <f t="shared" si="149"/>
        <v>0</v>
      </c>
      <c r="R273" s="177">
        <f t="shared" si="149"/>
        <v>0</v>
      </c>
      <c r="S273" s="177">
        <f t="shared" si="149"/>
        <v>0</v>
      </c>
      <c r="T273" s="177">
        <f t="shared" si="149"/>
        <v>500000</v>
      </c>
    </row>
    <row r="274" spans="2:20" outlineLevel="1" x14ac:dyDescent="0.2">
      <c r="B274" t="str">
        <f>B172</f>
        <v>SOFT COSTS - TAXES AND INSURANCE</v>
      </c>
      <c r="C274" s="12"/>
      <c r="D274" s="177"/>
      <c r="E274" s="177"/>
      <c r="F274" s="178"/>
      <c r="G274" s="177">
        <f t="shared" ref="G274:T274" si="150">G172</f>
        <v>0</v>
      </c>
      <c r="H274" s="177">
        <f t="shared" si="150"/>
        <v>70131.9375</v>
      </c>
      <c r="I274" s="177">
        <f t="shared" si="150"/>
        <v>182033.57624999998</v>
      </c>
      <c r="J274" s="177">
        <f t="shared" si="150"/>
        <v>217457.3190625</v>
      </c>
      <c r="K274" s="177">
        <f t="shared" si="150"/>
        <v>90710.167812499989</v>
      </c>
      <c r="L274" s="177">
        <f t="shared" si="150"/>
        <v>21144.326874999999</v>
      </c>
      <c r="M274" s="177">
        <f t="shared" si="150"/>
        <v>7311</v>
      </c>
      <c r="N274" s="177">
        <f t="shared" si="150"/>
        <v>2475</v>
      </c>
      <c r="O274" s="177">
        <f t="shared" si="150"/>
        <v>0</v>
      </c>
      <c r="P274" s="177">
        <f t="shared" si="150"/>
        <v>0</v>
      </c>
      <c r="Q274" s="177">
        <f t="shared" si="150"/>
        <v>0</v>
      </c>
      <c r="R274" s="177">
        <f t="shared" si="150"/>
        <v>0</v>
      </c>
      <c r="S274" s="177">
        <f t="shared" si="150"/>
        <v>0</v>
      </c>
      <c r="T274" s="177">
        <f t="shared" si="150"/>
        <v>591263.32750000001</v>
      </c>
    </row>
    <row r="275" spans="2:20" outlineLevel="1" x14ac:dyDescent="0.2">
      <c r="B275" t="str">
        <f>B177</f>
        <v>SOFT COSTS - MUNICIPALITY FEES</v>
      </c>
      <c r="C275" s="12"/>
      <c r="D275" s="177"/>
      <c r="E275" s="177"/>
      <c r="F275" s="178"/>
      <c r="G275" s="177">
        <f t="shared" ref="G275:T275" si="151">G177</f>
        <v>0</v>
      </c>
      <c r="H275" s="177">
        <f t="shared" si="151"/>
        <v>21717.96875</v>
      </c>
      <c r="I275" s="177">
        <f t="shared" si="151"/>
        <v>71894.850000000006</v>
      </c>
      <c r="J275" s="177">
        <f t="shared" si="151"/>
        <v>87469.079687500009</v>
      </c>
      <c r="K275" s="177">
        <f t="shared" si="151"/>
        <v>35263.385937500003</v>
      </c>
      <c r="L275" s="177">
        <f t="shared" si="151"/>
        <v>4865.6031250000005</v>
      </c>
      <c r="M275" s="177">
        <f t="shared" si="151"/>
        <v>0</v>
      </c>
      <c r="N275" s="177">
        <f t="shared" si="151"/>
        <v>0</v>
      </c>
      <c r="O275" s="177">
        <f t="shared" si="151"/>
        <v>0</v>
      </c>
      <c r="P275" s="177">
        <f t="shared" si="151"/>
        <v>0</v>
      </c>
      <c r="Q275" s="177">
        <f t="shared" si="151"/>
        <v>0</v>
      </c>
      <c r="R275" s="177">
        <f t="shared" si="151"/>
        <v>0</v>
      </c>
      <c r="S275" s="177">
        <f t="shared" si="151"/>
        <v>0</v>
      </c>
      <c r="T275" s="177">
        <f t="shared" si="151"/>
        <v>221210.88749999998</v>
      </c>
    </row>
    <row r="276" spans="2:20" outlineLevel="1" x14ac:dyDescent="0.2">
      <c r="B276" t="str">
        <f>B181</f>
        <v>DEVELOPMENT FEES</v>
      </c>
      <c r="C276" s="12"/>
      <c r="D276" s="177"/>
      <c r="E276" s="177"/>
      <c r="F276" s="178"/>
      <c r="G276" s="177">
        <f t="shared" ref="G276:T276" si="152">G181</f>
        <v>16832.3203125</v>
      </c>
      <c r="H276" s="177">
        <f t="shared" si="152"/>
        <v>394445.87081249995</v>
      </c>
      <c r="I276" s="177">
        <f t="shared" si="152"/>
        <v>1038660.7114406251</v>
      </c>
      <c r="J276" s="177">
        <f t="shared" si="152"/>
        <v>1210170.5256843751</v>
      </c>
      <c r="K276" s="177">
        <f t="shared" si="152"/>
        <v>492391.67733750003</v>
      </c>
      <c r="L276" s="177">
        <f t="shared" si="152"/>
        <v>105066.73863749999</v>
      </c>
      <c r="M276" s="177">
        <f t="shared" si="152"/>
        <v>37459.83</v>
      </c>
      <c r="N276" s="177">
        <f t="shared" si="152"/>
        <v>17401.125</v>
      </c>
      <c r="O276" s="177">
        <f t="shared" si="152"/>
        <v>0</v>
      </c>
      <c r="P276" s="177">
        <f t="shared" si="152"/>
        <v>0</v>
      </c>
      <c r="Q276" s="177">
        <f t="shared" si="152"/>
        <v>0</v>
      </c>
      <c r="R276" s="177">
        <f t="shared" si="152"/>
        <v>0</v>
      </c>
      <c r="S276" s="177">
        <f t="shared" si="152"/>
        <v>0</v>
      </c>
      <c r="T276" s="177">
        <f t="shared" si="152"/>
        <v>3312428.7992250002</v>
      </c>
    </row>
    <row r="277" spans="2:20" outlineLevel="1" x14ac:dyDescent="0.2">
      <c r="B277" t="str">
        <f>B206</f>
        <v>FINANCING COSTS &amp; REPAYMENT</v>
      </c>
      <c r="C277" s="12"/>
      <c r="D277" s="177"/>
      <c r="E277" s="177"/>
      <c r="F277" s="178"/>
      <c r="G277" s="177">
        <f t="shared" ref="G277:T277" si="153">G206</f>
        <v>0</v>
      </c>
      <c r="H277" s="177">
        <f t="shared" si="153"/>
        <v>981717.2036189246</v>
      </c>
      <c r="I277" s="177" t="e">
        <f t="shared" ca="1" si="153"/>
        <v>#VALUE!</v>
      </c>
      <c r="J277" s="177" t="e">
        <f t="shared" ca="1" si="153"/>
        <v>#VALUE!</v>
      </c>
      <c r="K277" s="177" t="e">
        <f t="shared" ca="1" si="153"/>
        <v>#VALUE!</v>
      </c>
      <c r="L277" s="177" t="e">
        <f t="shared" ca="1" si="153"/>
        <v>#VALUE!</v>
      </c>
      <c r="M277" s="177" t="e">
        <f t="shared" ca="1" si="153"/>
        <v>#VALUE!</v>
      </c>
      <c r="N277" s="177" t="e">
        <f t="shared" ca="1" si="153"/>
        <v>#VALUE!</v>
      </c>
      <c r="O277" s="177" t="e">
        <f t="shared" ca="1" si="153"/>
        <v>#VALUE!</v>
      </c>
      <c r="P277" s="177" t="e">
        <f t="shared" ca="1" si="153"/>
        <v>#VALUE!</v>
      </c>
      <c r="Q277" s="177" t="e">
        <f t="shared" ca="1" si="153"/>
        <v>#VALUE!</v>
      </c>
      <c r="R277" s="177" t="e">
        <f t="shared" ca="1" si="153"/>
        <v>#VALUE!</v>
      </c>
      <c r="S277" s="177">
        <f t="shared" si="153"/>
        <v>0</v>
      </c>
      <c r="T277" s="177" t="e">
        <f t="shared" ca="1" si="153"/>
        <v>#VALUE!</v>
      </c>
    </row>
    <row r="278" spans="2:20" outlineLevel="1" x14ac:dyDescent="0.2">
      <c r="B278" t="str">
        <f>B244</f>
        <v>DISTRIBUTIONS</v>
      </c>
      <c r="C278" s="12"/>
      <c r="D278" s="177"/>
      <c r="E278" s="177"/>
      <c r="F278" s="178"/>
      <c r="G278" s="177">
        <f>G244</f>
        <v>0</v>
      </c>
      <c r="H278" s="177">
        <f>H244</f>
        <v>0</v>
      </c>
      <c r="I278" s="177">
        <f>I214</f>
        <v>0</v>
      </c>
      <c r="J278" s="177" t="e">
        <f t="shared" ref="J278:S278" ca="1" si="154">J244</f>
        <v>#VALUE!</v>
      </c>
      <c r="K278" s="177" t="e">
        <f t="shared" ca="1" si="154"/>
        <v>#VALUE!</v>
      </c>
      <c r="L278" s="177" t="e">
        <f t="shared" ca="1" si="154"/>
        <v>#VALUE!</v>
      </c>
      <c r="M278" s="177" t="e">
        <f t="shared" ca="1" si="154"/>
        <v>#VALUE!</v>
      </c>
      <c r="N278" s="177" t="e">
        <f t="shared" ca="1" si="154"/>
        <v>#VALUE!</v>
      </c>
      <c r="O278" s="177">
        <f t="shared" si="154"/>
        <v>0</v>
      </c>
      <c r="P278" s="177">
        <f t="shared" si="154"/>
        <v>0</v>
      </c>
      <c r="Q278" s="177">
        <f t="shared" si="154"/>
        <v>0</v>
      </c>
      <c r="R278" s="177">
        <f t="shared" si="154"/>
        <v>0</v>
      </c>
      <c r="S278" s="177">
        <f t="shared" si="154"/>
        <v>0</v>
      </c>
      <c r="T278" s="177" t="e">
        <f ca="1">T244+I278</f>
        <v>#VALUE!</v>
      </c>
    </row>
    <row r="279" spans="2:20" outlineLevel="1" x14ac:dyDescent="0.2">
      <c r="B279" s="225" t="s">
        <v>756</v>
      </c>
      <c r="C279" s="21"/>
      <c r="D279" s="426"/>
      <c r="E279" s="426"/>
      <c r="F279" s="426"/>
      <c r="G279" s="426">
        <f t="shared" ref="G279:S279" si="155">MAX(G67-G246,0)</f>
        <v>0</v>
      </c>
      <c r="H279" s="426" t="e">
        <f t="shared" ca="1" si="155"/>
        <v>#VALUE!</v>
      </c>
      <c r="I279" s="426" t="e">
        <f t="shared" ca="1" si="155"/>
        <v>#VALUE!</v>
      </c>
      <c r="J279" s="426" t="e">
        <f t="shared" ca="1" si="155"/>
        <v>#VALUE!</v>
      </c>
      <c r="K279" s="426" t="e">
        <f t="shared" ca="1" si="155"/>
        <v>#VALUE!</v>
      </c>
      <c r="L279" s="426" t="e">
        <f t="shared" ca="1" si="155"/>
        <v>#VALUE!</v>
      </c>
      <c r="M279" s="426" t="e">
        <f t="shared" ca="1" si="155"/>
        <v>#VALUE!</v>
      </c>
      <c r="N279" s="426" t="e">
        <f t="shared" ca="1" si="155"/>
        <v>#VALUE!</v>
      </c>
      <c r="O279" s="426" t="e">
        <f t="shared" ca="1" si="155"/>
        <v>#VALUE!</v>
      </c>
      <c r="P279" s="426" t="e">
        <f t="shared" ca="1" si="155"/>
        <v>#VALUE!</v>
      </c>
      <c r="Q279" s="426" t="e">
        <f t="shared" ca="1" si="155"/>
        <v>#VALUE!</v>
      </c>
      <c r="R279" s="426" t="e">
        <f t="shared" ca="1" si="155"/>
        <v>#VALUE!</v>
      </c>
      <c r="S279" s="426">
        <f t="shared" si="155"/>
        <v>0</v>
      </c>
      <c r="T279" s="426" t="e">
        <f ca="1">SUM(G279:S279)</f>
        <v>#VALUE!</v>
      </c>
    </row>
    <row r="280" spans="2:20" outlineLevel="1" x14ac:dyDescent="0.2">
      <c r="B280" s="3" t="str">
        <f>B246</f>
        <v>TOTAL USES</v>
      </c>
      <c r="C280" s="23"/>
      <c r="D280" s="179"/>
      <c r="E280" s="179"/>
      <c r="F280" s="180"/>
      <c r="G280" s="179">
        <f>SUM(G269:G279)</f>
        <v>577909.6640625</v>
      </c>
      <c r="H280" s="179" t="e">
        <f t="shared" ref="H280:S280" ca="1" si="156">SUM(H269:H279)</f>
        <v>#VALUE!</v>
      </c>
      <c r="I280" s="179" t="e">
        <f t="shared" si="156"/>
        <v>#VALUE!</v>
      </c>
      <c r="J280" s="179" t="e">
        <f ca="1">SUM(J269:J279)</f>
        <v>#VALUE!</v>
      </c>
      <c r="K280" s="179" t="e">
        <f t="shared" ca="1" si="156"/>
        <v>#VALUE!</v>
      </c>
      <c r="L280" s="179" t="e">
        <f t="shared" ca="1" si="156"/>
        <v>#VALUE!</v>
      </c>
      <c r="M280" s="179" t="e">
        <f t="shared" ca="1" si="156"/>
        <v>#VALUE!</v>
      </c>
      <c r="N280" s="179" t="e">
        <f t="shared" ca="1" si="156"/>
        <v>#VALUE!</v>
      </c>
      <c r="O280" s="179" t="e">
        <f t="shared" ca="1" si="156"/>
        <v>#VALUE!</v>
      </c>
      <c r="P280" s="179" t="e">
        <f t="shared" ca="1" si="156"/>
        <v>#VALUE!</v>
      </c>
      <c r="Q280" s="179" t="e">
        <f t="shared" ca="1" si="156"/>
        <v>#VALUE!</v>
      </c>
      <c r="R280" s="179" t="e">
        <f t="shared" ca="1" si="156"/>
        <v>#VALUE!</v>
      </c>
      <c r="S280" s="179">
        <f t="shared" si="156"/>
        <v>0</v>
      </c>
      <c r="T280" s="179" t="e">
        <f>SUM(T269:T279)</f>
        <v>#VALUE!</v>
      </c>
    </row>
    <row r="281" spans="2:20" outlineLevel="1" x14ac:dyDescent="0.2">
      <c r="T281" s="11"/>
    </row>
  </sheetData>
  <mergeCells count="1">
    <mergeCell ref="V184:W184"/>
  </mergeCells>
  <dataValidations disablePrompts="1" count="1">
    <dataValidation type="list" allowBlank="1" showInputMessage="1" showErrorMessage="1" sqref="B3" xr:uid="{9158897A-C2C1-4AAC-B9C2-E13792523587}">
      <formula1>"Scenario 1, Scenario 2, Scenario 3"</formula1>
    </dataValidation>
  </dataValidations>
  <pageMargins left="0.7" right="0.7" top="0.5" bottom="0.5" header="0.3" footer="0.3"/>
  <pageSetup scale="4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32" min="1" max="17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A3C1-3B1B-4FBD-BF25-27408CC1381B}">
  <sheetPr codeName="Sheet7">
    <tabColor theme="5" tint="0.59999389629810485"/>
  </sheetPr>
  <dimension ref="A1:ED98"/>
  <sheetViews>
    <sheetView zoomScale="80" zoomScaleNormal="80" workbookViewId="0">
      <pane xSplit="2" ySplit="5" topLeftCell="Q33" activePane="bottomRight" state="frozen"/>
      <selection pane="topRight" activeCell="B62" sqref="B62"/>
      <selection pane="bottomLeft" activeCell="B62" sqref="B62"/>
      <selection pane="bottomRight" activeCell="B62" sqref="B62"/>
    </sheetView>
  </sheetViews>
  <sheetFormatPr baseColWidth="10" defaultColWidth="8.6640625" defaultRowHeight="15" x14ac:dyDescent="0.2"/>
  <cols>
    <col min="1" max="1" width="1.6640625" style="303" customWidth="1"/>
    <col min="2" max="2" width="52" style="150" customWidth="1"/>
    <col min="3" max="3" width="10.1640625" style="150" bestFit="1" customWidth="1"/>
    <col min="4" max="4" width="10.6640625" style="150" bestFit="1" customWidth="1"/>
    <col min="5" max="5" width="11.1640625" style="150" bestFit="1" customWidth="1"/>
    <col min="6" max="9" width="11.5" style="150" bestFit="1" customWidth="1"/>
    <col min="10" max="10" width="11.6640625" style="150" bestFit="1" customWidth="1"/>
    <col min="11" max="15" width="10.6640625" style="150" bestFit="1" customWidth="1"/>
    <col min="16" max="16" width="11.1640625" style="150" bestFit="1" customWidth="1"/>
    <col min="17" max="27" width="10.6640625" style="150" bestFit="1" customWidth="1"/>
    <col min="28" max="34" width="14.1640625" style="150" bestFit="1" customWidth="1"/>
    <col min="35" max="35" width="12.6640625" style="150" bestFit="1" customWidth="1"/>
    <col min="36" max="98" width="10.6640625" style="150" bestFit="1" customWidth="1"/>
    <col min="99" max="122" width="10.6640625" style="150" hidden="1" customWidth="1"/>
    <col min="123" max="127" width="8.6640625" style="150" bestFit="1" customWidth="1"/>
    <col min="128" max="16384" width="8.6640625" style="150"/>
  </cols>
  <sheetData>
    <row r="1" spans="1:134" s="303" customFormat="1" ht="21" x14ac:dyDescent="0.25">
      <c r="B1" s="301" t="s">
        <v>653</v>
      </c>
    </row>
    <row r="2" spans="1:134" customFormat="1" ht="16" x14ac:dyDescent="0.2">
      <c r="A2" s="2"/>
      <c r="B2" s="1" t="s">
        <v>757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84"/>
      <c r="T2" s="284"/>
      <c r="U2" s="284"/>
      <c r="V2" s="284"/>
      <c r="W2" s="284"/>
      <c r="X2" s="284"/>
      <c r="Y2" s="284"/>
      <c r="Z2" s="284"/>
      <c r="AA2" s="284"/>
      <c r="AB2" s="285"/>
      <c r="AC2" s="285"/>
      <c r="AD2" s="285"/>
      <c r="AE2" s="285"/>
      <c r="AF2" s="285"/>
      <c r="AG2" s="285"/>
      <c r="AH2" s="285"/>
      <c r="AI2" s="285"/>
      <c r="AJ2" s="284"/>
      <c r="AK2" s="284"/>
      <c r="AL2" s="284"/>
      <c r="AM2" s="284"/>
      <c r="AN2" s="284"/>
      <c r="AO2" s="284"/>
      <c r="AP2" s="284"/>
      <c r="AQ2" s="284"/>
      <c r="AR2" s="284"/>
      <c r="AS2" s="284"/>
      <c r="AT2" s="284"/>
      <c r="AU2" s="284"/>
      <c r="AV2" s="284"/>
      <c r="AW2" s="284"/>
      <c r="AX2" s="284"/>
      <c r="AY2" s="284"/>
      <c r="AZ2" s="284"/>
      <c r="BA2" s="284"/>
      <c r="BB2" s="284"/>
      <c r="BC2" s="284"/>
      <c r="BD2" s="284"/>
      <c r="BE2" s="284"/>
      <c r="BF2" s="284"/>
      <c r="BG2" s="284"/>
      <c r="BH2" s="284"/>
      <c r="BI2" s="284"/>
      <c r="BJ2" s="284"/>
      <c r="BK2" s="284"/>
      <c r="BL2" s="284"/>
      <c r="BM2" s="284"/>
      <c r="BN2" s="284"/>
      <c r="BO2" s="284"/>
      <c r="BP2" s="284"/>
      <c r="BQ2" s="284"/>
      <c r="BR2" s="284"/>
      <c r="BS2" s="284"/>
      <c r="BT2" s="284"/>
      <c r="BU2" s="284"/>
      <c r="BV2" s="284"/>
      <c r="BW2" s="284"/>
      <c r="BX2" s="284"/>
      <c r="BY2" s="284"/>
      <c r="BZ2" s="284"/>
      <c r="CA2" s="284"/>
      <c r="CB2" s="284"/>
      <c r="CC2" s="284"/>
      <c r="CD2" s="284"/>
      <c r="CE2" s="284"/>
      <c r="CF2" s="284"/>
      <c r="CG2" s="284"/>
      <c r="CH2" s="284"/>
      <c r="CI2" s="284"/>
      <c r="CJ2" s="284"/>
      <c r="CK2" s="284"/>
      <c r="CL2" s="284"/>
      <c r="CM2" s="284"/>
      <c r="CN2" s="284"/>
      <c r="CO2" s="284"/>
      <c r="CP2" s="284"/>
      <c r="CQ2" s="284"/>
      <c r="CR2" s="284"/>
      <c r="CS2" s="284"/>
      <c r="CT2" s="284"/>
      <c r="CU2" s="284"/>
      <c r="CV2" s="284"/>
      <c r="CW2" s="284"/>
      <c r="CX2" s="284"/>
      <c r="CY2" s="284"/>
      <c r="CZ2" s="284"/>
      <c r="DA2" s="284"/>
      <c r="DB2" s="284"/>
      <c r="DC2" s="284"/>
      <c r="DD2" s="284"/>
      <c r="DE2" s="284"/>
      <c r="DF2" s="284"/>
      <c r="DG2" s="284"/>
      <c r="DH2" s="284"/>
      <c r="DI2" s="284"/>
      <c r="DJ2" s="284"/>
      <c r="DK2" s="284"/>
      <c r="DL2" s="284"/>
      <c r="DM2" s="284"/>
      <c r="DN2" s="284"/>
      <c r="DO2" s="284"/>
      <c r="DP2" s="284"/>
      <c r="DQ2" s="284"/>
      <c r="DR2" s="284"/>
    </row>
    <row r="3" spans="1:134" ht="16" x14ac:dyDescent="0.2">
      <c r="B3" s="255" t="s">
        <v>758</v>
      </c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  <c r="BJ3" s="151"/>
      <c r="BK3" s="151"/>
      <c r="BL3" s="151"/>
      <c r="BM3" s="151"/>
      <c r="BN3" s="151"/>
      <c r="BO3" s="151"/>
      <c r="BP3" s="151"/>
      <c r="BQ3" s="151"/>
      <c r="BR3" s="151"/>
      <c r="BS3" s="151"/>
      <c r="BT3" s="151"/>
      <c r="BU3" s="151"/>
      <c r="BV3" s="151"/>
      <c r="BW3" s="151"/>
      <c r="BX3" s="151"/>
      <c r="BY3" s="151"/>
      <c r="BZ3" s="151"/>
      <c r="CA3" s="151"/>
      <c r="CB3" s="151"/>
      <c r="CC3" s="151"/>
      <c r="CD3" s="151"/>
      <c r="CE3" s="151"/>
      <c r="CF3" s="151"/>
      <c r="CG3" s="151"/>
      <c r="CH3" s="151"/>
      <c r="CI3" s="151"/>
      <c r="CJ3" s="151"/>
      <c r="CK3" s="151"/>
      <c r="CL3" s="151"/>
      <c r="CM3" s="151"/>
      <c r="CN3" s="151"/>
      <c r="CO3" s="151"/>
      <c r="CP3" s="151"/>
      <c r="CQ3" s="151"/>
      <c r="CR3" s="151"/>
      <c r="CS3" s="151"/>
      <c r="CT3" s="151"/>
      <c r="CU3" s="151"/>
      <c r="CV3" s="151"/>
      <c r="CW3" s="151"/>
      <c r="CX3" s="151"/>
      <c r="CY3" s="151"/>
      <c r="CZ3" s="151"/>
      <c r="DA3" s="151"/>
      <c r="DB3" s="151"/>
      <c r="DC3" s="151"/>
      <c r="DD3" s="151"/>
      <c r="DE3" s="151"/>
      <c r="DF3" s="151"/>
      <c r="DG3" s="151"/>
      <c r="DH3" s="151"/>
      <c r="DI3" s="151"/>
      <c r="DJ3" s="151"/>
      <c r="DK3" s="151"/>
      <c r="DL3" s="151"/>
      <c r="DM3" s="151"/>
      <c r="DN3" s="151"/>
      <c r="DO3" s="151"/>
      <c r="DP3" s="151"/>
      <c r="DQ3" s="151"/>
      <c r="DR3" s="151"/>
      <c r="DS3" s="151"/>
      <c r="DT3" s="151"/>
      <c r="DU3" s="151"/>
      <c r="DV3" s="151"/>
      <c r="DW3" s="151"/>
      <c r="DX3" s="151"/>
      <c r="DY3" s="151"/>
      <c r="DZ3" s="151"/>
      <c r="EA3" s="151"/>
      <c r="EB3" s="151"/>
      <c r="EC3" s="151"/>
      <c r="ED3" s="151"/>
    </row>
    <row r="4" spans="1:134" s="154" customFormat="1" ht="16" hidden="1" x14ac:dyDescent="0.2">
      <c r="A4" s="304"/>
      <c r="B4" s="152"/>
      <c r="C4" s="254">
        <v>1</v>
      </c>
      <c r="D4" s="254">
        <f t="shared" ref="D4:AI4" si="0">C4+1</f>
        <v>2</v>
      </c>
      <c r="E4" s="254">
        <f t="shared" si="0"/>
        <v>3</v>
      </c>
      <c r="F4" s="254">
        <f t="shared" si="0"/>
        <v>4</v>
      </c>
      <c r="G4" s="254">
        <f t="shared" si="0"/>
        <v>5</v>
      </c>
      <c r="H4" s="254">
        <f t="shared" si="0"/>
        <v>6</v>
      </c>
      <c r="I4" s="254">
        <f t="shared" si="0"/>
        <v>7</v>
      </c>
      <c r="J4" s="254">
        <f t="shared" si="0"/>
        <v>8</v>
      </c>
      <c r="K4" s="254">
        <f t="shared" si="0"/>
        <v>9</v>
      </c>
      <c r="L4" s="254">
        <f t="shared" si="0"/>
        <v>10</v>
      </c>
      <c r="M4" s="254">
        <f t="shared" si="0"/>
        <v>11</v>
      </c>
      <c r="N4" s="254">
        <f t="shared" si="0"/>
        <v>12</v>
      </c>
      <c r="O4" s="254">
        <f t="shared" si="0"/>
        <v>13</v>
      </c>
      <c r="P4" s="254">
        <f t="shared" si="0"/>
        <v>14</v>
      </c>
      <c r="Q4" s="254">
        <f t="shared" si="0"/>
        <v>15</v>
      </c>
      <c r="R4" s="254">
        <f t="shared" si="0"/>
        <v>16</v>
      </c>
      <c r="S4" s="254">
        <f t="shared" si="0"/>
        <v>17</v>
      </c>
      <c r="T4" s="254">
        <f t="shared" si="0"/>
        <v>18</v>
      </c>
      <c r="U4" s="254">
        <f t="shared" si="0"/>
        <v>19</v>
      </c>
      <c r="V4" s="254">
        <f t="shared" si="0"/>
        <v>20</v>
      </c>
      <c r="W4" s="254">
        <f t="shared" si="0"/>
        <v>21</v>
      </c>
      <c r="X4" s="254">
        <f t="shared" si="0"/>
        <v>22</v>
      </c>
      <c r="Y4" s="254">
        <f t="shared" si="0"/>
        <v>23</v>
      </c>
      <c r="Z4" s="254">
        <f t="shared" si="0"/>
        <v>24</v>
      </c>
      <c r="AA4" s="254">
        <f t="shared" si="0"/>
        <v>25</v>
      </c>
      <c r="AB4" s="254">
        <f t="shared" si="0"/>
        <v>26</v>
      </c>
      <c r="AC4" s="254">
        <f t="shared" si="0"/>
        <v>27</v>
      </c>
      <c r="AD4" s="254">
        <f t="shared" si="0"/>
        <v>28</v>
      </c>
      <c r="AE4" s="254">
        <f t="shared" si="0"/>
        <v>29</v>
      </c>
      <c r="AF4" s="254">
        <f t="shared" si="0"/>
        <v>30</v>
      </c>
      <c r="AG4" s="254">
        <f t="shared" si="0"/>
        <v>31</v>
      </c>
      <c r="AH4" s="254">
        <f t="shared" si="0"/>
        <v>32</v>
      </c>
      <c r="AI4" s="254">
        <f t="shared" si="0"/>
        <v>33</v>
      </c>
      <c r="AJ4" s="254">
        <f t="shared" ref="AJ4:BO4" si="1">AI4+1</f>
        <v>34</v>
      </c>
      <c r="AK4" s="254">
        <f t="shared" si="1"/>
        <v>35</v>
      </c>
      <c r="AL4" s="254">
        <f t="shared" si="1"/>
        <v>36</v>
      </c>
      <c r="AM4" s="254">
        <f t="shared" si="1"/>
        <v>37</v>
      </c>
      <c r="AN4" s="254">
        <f t="shared" si="1"/>
        <v>38</v>
      </c>
      <c r="AO4" s="254">
        <f t="shared" si="1"/>
        <v>39</v>
      </c>
      <c r="AP4" s="254">
        <f t="shared" si="1"/>
        <v>40</v>
      </c>
      <c r="AQ4" s="254">
        <f t="shared" si="1"/>
        <v>41</v>
      </c>
      <c r="AR4" s="254">
        <f t="shared" si="1"/>
        <v>42</v>
      </c>
      <c r="AS4" s="254">
        <f t="shared" si="1"/>
        <v>43</v>
      </c>
      <c r="AT4" s="254">
        <f t="shared" si="1"/>
        <v>44</v>
      </c>
      <c r="AU4" s="254">
        <f t="shared" si="1"/>
        <v>45</v>
      </c>
      <c r="AV4" s="254">
        <f t="shared" si="1"/>
        <v>46</v>
      </c>
      <c r="AW4" s="254">
        <f t="shared" si="1"/>
        <v>47</v>
      </c>
      <c r="AX4" s="254">
        <f t="shared" si="1"/>
        <v>48</v>
      </c>
      <c r="AY4" s="254">
        <f t="shared" si="1"/>
        <v>49</v>
      </c>
      <c r="AZ4" s="254">
        <f t="shared" si="1"/>
        <v>50</v>
      </c>
      <c r="BA4" s="254">
        <f t="shared" si="1"/>
        <v>51</v>
      </c>
      <c r="BB4" s="254">
        <f t="shared" si="1"/>
        <v>52</v>
      </c>
      <c r="BC4" s="254">
        <f t="shared" si="1"/>
        <v>53</v>
      </c>
      <c r="BD4" s="254">
        <f t="shared" si="1"/>
        <v>54</v>
      </c>
      <c r="BE4" s="254">
        <f t="shared" si="1"/>
        <v>55</v>
      </c>
      <c r="BF4" s="254">
        <f t="shared" si="1"/>
        <v>56</v>
      </c>
      <c r="BG4" s="254">
        <f t="shared" si="1"/>
        <v>57</v>
      </c>
      <c r="BH4" s="254">
        <f t="shared" si="1"/>
        <v>58</v>
      </c>
      <c r="BI4" s="254">
        <f t="shared" si="1"/>
        <v>59</v>
      </c>
      <c r="BJ4" s="254">
        <f t="shared" si="1"/>
        <v>60</v>
      </c>
      <c r="BK4" s="254">
        <f t="shared" si="1"/>
        <v>61</v>
      </c>
      <c r="BL4" s="254">
        <f t="shared" si="1"/>
        <v>62</v>
      </c>
      <c r="BM4" s="254">
        <f t="shared" si="1"/>
        <v>63</v>
      </c>
      <c r="BN4" s="254">
        <f t="shared" si="1"/>
        <v>64</v>
      </c>
      <c r="BO4" s="254">
        <f t="shared" si="1"/>
        <v>65</v>
      </c>
      <c r="BP4" s="254">
        <f t="shared" ref="BP4:CU4" si="2">BO4+1</f>
        <v>66</v>
      </c>
      <c r="BQ4" s="254">
        <f t="shared" si="2"/>
        <v>67</v>
      </c>
      <c r="BR4" s="254">
        <f t="shared" si="2"/>
        <v>68</v>
      </c>
      <c r="BS4" s="254">
        <f t="shared" si="2"/>
        <v>69</v>
      </c>
      <c r="BT4" s="254">
        <f t="shared" si="2"/>
        <v>70</v>
      </c>
      <c r="BU4" s="254">
        <f t="shared" si="2"/>
        <v>71</v>
      </c>
      <c r="BV4" s="254">
        <f t="shared" si="2"/>
        <v>72</v>
      </c>
      <c r="BW4" s="254">
        <f t="shared" si="2"/>
        <v>73</v>
      </c>
      <c r="BX4" s="254">
        <f t="shared" si="2"/>
        <v>74</v>
      </c>
      <c r="BY4" s="254">
        <f t="shared" si="2"/>
        <v>75</v>
      </c>
      <c r="BZ4" s="254">
        <f t="shared" si="2"/>
        <v>76</v>
      </c>
      <c r="CA4" s="254">
        <f t="shared" si="2"/>
        <v>77</v>
      </c>
      <c r="CB4" s="254">
        <f t="shared" si="2"/>
        <v>78</v>
      </c>
      <c r="CC4" s="254">
        <f t="shared" si="2"/>
        <v>79</v>
      </c>
      <c r="CD4" s="254">
        <f t="shared" si="2"/>
        <v>80</v>
      </c>
      <c r="CE4" s="254">
        <f t="shared" si="2"/>
        <v>81</v>
      </c>
      <c r="CF4" s="254">
        <f t="shared" si="2"/>
        <v>82</v>
      </c>
      <c r="CG4" s="254">
        <f t="shared" si="2"/>
        <v>83</v>
      </c>
      <c r="CH4" s="254">
        <f t="shared" si="2"/>
        <v>84</v>
      </c>
      <c r="CI4" s="254">
        <f t="shared" si="2"/>
        <v>85</v>
      </c>
      <c r="CJ4" s="254">
        <f t="shared" si="2"/>
        <v>86</v>
      </c>
      <c r="CK4" s="254">
        <f t="shared" si="2"/>
        <v>87</v>
      </c>
      <c r="CL4" s="254">
        <f t="shared" si="2"/>
        <v>88</v>
      </c>
      <c r="CM4" s="254">
        <f t="shared" si="2"/>
        <v>89</v>
      </c>
      <c r="CN4" s="254">
        <f t="shared" si="2"/>
        <v>90</v>
      </c>
      <c r="CO4" s="254">
        <f t="shared" si="2"/>
        <v>91</v>
      </c>
      <c r="CP4" s="254">
        <f t="shared" si="2"/>
        <v>92</v>
      </c>
      <c r="CQ4" s="254">
        <f t="shared" si="2"/>
        <v>93</v>
      </c>
      <c r="CR4" s="254">
        <f t="shared" si="2"/>
        <v>94</v>
      </c>
      <c r="CS4" s="254">
        <f t="shared" si="2"/>
        <v>95</v>
      </c>
      <c r="CT4" s="254">
        <f t="shared" si="2"/>
        <v>96</v>
      </c>
      <c r="CU4" s="254">
        <f t="shared" si="2"/>
        <v>97</v>
      </c>
      <c r="CV4" s="254">
        <f t="shared" ref="CV4:DR4" si="3">CU4+1</f>
        <v>98</v>
      </c>
      <c r="CW4" s="254">
        <f t="shared" si="3"/>
        <v>99</v>
      </c>
      <c r="CX4" s="254">
        <f t="shared" si="3"/>
        <v>100</v>
      </c>
      <c r="CY4" s="254">
        <f t="shared" si="3"/>
        <v>101</v>
      </c>
      <c r="CZ4" s="254">
        <f t="shared" si="3"/>
        <v>102</v>
      </c>
      <c r="DA4" s="254">
        <f t="shared" si="3"/>
        <v>103</v>
      </c>
      <c r="DB4" s="254">
        <f t="shared" si="3"/>
        <v>104</v>
      </c>
      <c r="DC4" s="254">
        <f t="shared" si="3"/>
        <v>105</v>
      </c>
      <c r="DD4" s="254">
        <f t="shared" si="3"/>
        <v>106</v>
      </c>
      <c r="DE4" s="254">
        <f t="shared" si="3"/>
        <v>107</v>
      </c>
      <c r="DF4" s="254">
        <f t="shared" si="3"/>
        <v>108</v>
      </c>
      <c r="DG4" s="254">
        <f t="shared" si="3"/>
        <v>109</v>
      </c>
      <c r="DH4" s="254">
        <f t="shared" si="3"/>
        <v>110</v>
      </c>
      <c r="DI4" s="254">
        <f t="shared" si="3"/>
        <v>111</v>
      </c>
      <c r="DJ4" s="254">
        <f t="shared" si="3"/>
        <v>112</v>
      </c>
      <c r="DK4" s="254">
        <f t="shared" si="3"/>
        <v>113</v>
      </c>
      <c r="DL4" s="254">
        <f t="shared" si="3"/>
        <v>114</v>
      </c>
      <c r="DM4" s="254">
        <f t="shared" si="3"/>
        <v>115</v>
      </c>
      <c r="DN4" s="254">
        <f t="shared" si="3"/>
        <v>116</v>
      </c>
      <c r="DO4" s="254">
        <f t="shared" si="3"/>
        <v>117</v>
      </c>
      <c r="DP4" s="254">
        <f t="shared" si="3"/>
        <v>118</v>
      </c>
      <c r="DQ4" s="254">
        <f t="shared" si="3"/>
        <v>119</v>
      </c>
      <c r="DR4" s="254">
        <f t="shared" si="3"/>
        <v>120</v>
      </c>
    </row>
    <row r="5" spans="1:134" s="699" customFormat="1" ht="16" x14ac:dyDescent="0.2">
      <c r="B5" s="702">
        <f>EOMONTH(C5,-1)</f>
        <v>46022</v>
      </c>
      <c r="C5" s="701">
        <f>MIN(Assumptions!C26,Assumptions!C40,Assumptions!C47,Assumptions!C55)</f>
        <v>46053</v>
      </c>
      <c r="D5" s="700">
        <f t="shared" ref="D5:AI5" si="4">EOMONTH(C5,1)</f>
        <v>46081</v>
      </c>
      <c r="E5" s="700">
        <f t="shared" si="4"/>
        <v>46112</v>
      </c>
      <c r="F5" s="700">
        <f t="shared" si="4"/>
        <v>46142</v>
      </c>
      <c r="G5" s="700">
        <f t="shared" si="4"/>
        <v>46173</v>
      </c>
      <c r="H5" s="700">
        <f t="shared" si="4"/>
        <v>46203</v>
      </c>
      <c r="I5" s="700">
        <f t="shared" si="4"/>
        <v>46234</v>
      </c>
      <c r="J5" s="700">
        <f t="shared" si="4"/>
        <v>46265</v>
      </c>
      <c r="K5" s="700">
        <f t="shared" si="4"/>
        <v>46295</v>
      </c>
      <c r="L5" s="700">
        <f t="shared" si="4"/>
        <v>46326</v>
      </c>
      <c r="M5" s="700">
        <f t="shared" si="4"/>
        <v>46356</v>
      </c>
      <c r="N5" s="700">
        <f t="shared" si="4"/>
        <v>46387</v>
      </c>
      <c r="O5" s="700">
        <f t="shared" si="4"/>
        <v>46418</v>
      </c>
      <c r="P5" s="700">
        <f t="shared" si="4"/>
        <v>46446</v>
      </c>
      <c r="Q5" s="700">
        <f t="shared" si="4"/>
        <v>46477</v>
      </c>
      <c r="R5" s="700">
        <f t="shared" si="4"/>
        <v>46507</v>
      </c>
      <c r="S5" s="700">
        <f t="shared" si="4"/>
        <v>46538</v>
      </c>
      <c r="T5" s="700">
        <f t="shared" si="4"/>
        <v>46568</v>
      </c>
      <c r="U5" s="700">
        <f t="shared" si="4"/>
        <v>46599</v>
      </c>
      <c r="V5" s="700">
        <f t="shared" si="4"/>
        <v>46630</v>
      </c>
      <c r="W5" s="700">
        <f t="shared" si="4"/>
        <v>46660</v>
      </c>
      <c r="X5" s="700">
        <f t="shared" si="4"/>
        <v>46691</v>
      </c>
      <c r="Y5" s="700">
        <f t="shared" si="4"/>
        <v>46721</v>
      </c>
      <c r="Z5" s="700">
        <f t="shared" si="4"/>
        <v>46752</v>
      </c>
      <c r="AA5" s="700">
        <f t="shared" si="4"/>
        <v>46783</v>
      </c>
      <c r="AB5" s="700">
        <f t="shared" si="4"/>
        <v>46812</v>
      </c>
      <c r="AC5" s="700">
        <f t="shared" si="4"/>
        <v>46843</v>
      </c>
      <c r="AD5" s="700">
        <f t="shared" si="4"/>
        <v>46873</v>
      </c>
      <c r="AE5" s="700">
        <f t="shared" si="4"/>
        <v>46904</v>
      </c>
      <c r="AF5" s="700">
        <f t="shared" si="4"/>
        <v>46934</v>
      </c>
      <c r="AG5" s="700">
        <f t="shared" si="4"/>
        <v>46965</v>
      </c>
      <c r="AH5" s="700">
        <f t="shared" si="4"/>
        <v>46996</v>
      </c>
      <c r="AI5" s="700">
        <f t="shared" si="4"/>
        <v>47026</v>
      </c>
      <c r="AJ5" s="700">
        <f t="shared" ref="AJ5:BO5" si="5">EOMONTH(AI5,1)</f>
        <v>47057</v>
      </c>
      <c r="AK5" s="700">
        <f t="shared" si="5"/>
        <v>47087</v>
      </c>
      <c r="AL5" s="700">
        <f t="shared" si="5"/>
        <v>47118</v>
      </c>
      <c r="AM5" s="700">
        <f t="shared" si="5"/>
        <v>47149</v>
      </c>
      <c r="AN5" s="700">
        <f t="shared" si="5"/>
        <v>47177</v>
      </c>
      <c r="AO5" s="700">
        <f t="shared" si="5"/>
        <v>47208</v>
      </c>
      <c r="AP5" s="700">
        <f t="shared" si="5"/>
        <v>47238</v>
      </c>
      <c r="AQ5" s="700">
        <f t="shared" si="5"/>
        <v>47269</v>
      </c>
      <c r="AR5" s="700">
        <f t="shared" si="5"/>
        <v>47299</v>
      </c>
      <c r="AS5" s="700">
        <f t="shared" si="5"/>
        <v>47330</v>
      </c>
      <c r="AT5" s="700">
        <f t="shared" si="5"/>
        <v>47361</v>
      </c>
      <c r="AU5" s="700">
        <f t="shared" si="5"/>
        <v>47391</v>
      </c>
      <c r="AV5" s="700">
        <f t="shared" si="5"/>
        <v>47422</v>
      </c>
      <c r="AW5" s="700">
        <f t="shared" si="5"/>
        <v>47452</v>
      </c>
      <c r="AX5" s="700">
        <f t="shared" si="5"/>
        <v>47483</v>
      </c>
      <c r="AY5" s="700">
        <f t="shared" si="5"/>
        <v>47514</v>
      </c>
      <c r="AZ5" s="700">
        <f t="shared" si="5"/>
        <v>47542</v>
      </c>
      <c r="BA5" s="700">
        <f t="shared" si="5"/>
        <v>47573</v>
      </c>
      <c r="BB5" s="700">
        <f t="shared" si="5"/>
        <v>47603</v>
      </c>
      <c r="BC5" s="700">
        <f t="shared" si="5"/>
        <v>47634</v>
      </c>
      <c r="BD5" s="700">
        <f t="shared" si="5"/>
        <v>47664</v>
      </c>
      <c r="BE5" s="700">
        <f t="shared" si="5"/>
        <v>47695</v>
      </c>
      <c r="BF5" s="700">
        <f t="shared" si="5"/>
        <v>47726</v>
      </c>
      <c r="BG5" s="700">
        <f t="shared" si="5"/>
        <v>47756</v>
      </c>
      <c r="BH5" s="700">
        <f t="shared" si="5"/>
        <v>47787</v>
      </c>
      <c r="BI5" s="700">
        <f t="shared" si="5"/>
        <v>47817</v>
      </c>
      <c r="BJ5" s="700">
        <f t="shared" si="5"/>
        <v>47848</v>
      </c>
      <c r="BK5" s="700">
        <f t="shared" si="5"/>
        <v>47879</v>
      </c>
      <c r="BL5" s="700">
        <f t="shared" si="5"/>
        <v>47907</v>
      </c>
      <c r="BM5" s="700">
        <f t="shared" si="5"/>
        <v>47938</v>
      </c>
      <c r="BN5" s="700">
        <f t="shared" si="5"/>
        <v>47968</v>
      </c>
      <c r="BO5" s="700">
        <f t="shared" si="5"/>
        <v>47999</v>
      </c>
      <c r="BP5" s="700">
        <f t="shared" ref="BP5:CU5" si="6">EOMONTH(BO5,1)</f>
        <v>48029</v>
      </c>
      <c r="BQ5" s="700">
        <f t="shared" si="6"/>
        <v>48060</v>
      </c>
      <c r="BR5" s="700">
        <f t="shared" si="6"/>
        <v>48091</v>
      </c>
      <c r="BS5" s="700">
        <f t="shared" si="6"/>
        <v>48121</v>
      </c>
      <c r="BT5" s="700">
        <f t="shared" si="6"/>
        <v>48152</v>
      </c>
      <c r="BU5" s="700">
        <f t="shared" si="6"/>
        <v>48182</v>
      </c>
      <c r="BV5" s="700">
        <f t="shared" si="6"/>
        <v>48213</v>
      </c>
      <c r="BW5" s="700">
        <f t="shared" si="6"/>
        <v>48244</v>
      </c>
      <c r="BX5" s="700">
        <f t="shared" si="6"/>
        <v>48273</v>
      </c>
      <c r="BY5" s="700">
        <f t="shared" si="6"/>
        <v>48304</v>
      </c>
      <c r="BZ5" s="700">
        <f t="shared" si="6"/>
        <v>48334</v>
      </c>
      <c r="CA5" s="700">
        <f t="shared" si="6"/>
        <v>48365</v>
      </c>
      <c r="CB5" s="700">
        <f t="shared" si="6"/>
        <v>48395</v>
      </c>
      <c r="CC5" s="700">
        <f t="shared" si="6"/>
        <v>48426</v>
      </c>
      <c r="CD5" s="700">
        <f t="shared" si="6"/>
        <v>48457</v>
      </c>
      <c r="CE5" s="700">
        <f t="shared" si="6"/>
        <v>48487</v>
      </c>
      <c r="CF5" s="700">
        <f t="shared" si="6"/>
        <v>48518</v>
      </c>
      <c r="CG5" s="700">
        <f t="shared" si="6"/>
        <v>48548</v>
      </c>
      <c r="CH5" s="700">
        <f t="shared" si="6"/>
        <v>48579</v>
      </c>
      <c r="CI5" s="700">
        <f t="shared" si="6"/>
        <v>48610</v>
      </c>
      <c r="CJ5" s="700">
        <f t="shared" si="6"/>
        <v>48638</v>
      </c>
      <c r="CK5" s="700">
        <f t="shared" si="6"/>
        <v>48669</v>
      </c>
      <c r="CL5" s="700">
        <f t="shared" si="6"/>
        <v>48699</v>
      </c>
      <c r="CM5" s="700">
        <f t="shared" si="6"/>
        <v>48730</v>
      </c>
      <c r="CN5" s="700">
        <f t="shared" si="6"/>
        <v>48760</v>
      </c>
      <c r="CO5" s="700">
        <f t="shared" si="6"/>
        <v>48791</v>
      </c>
      <c r="CP5" s="700">
        <f t="shared" si="6"/>
        <v>48822</v>
      </c>
      <c r="CQ5" s="700">
        <f t="shared" si="6"/>
        <v>48852</v>
      </c>
      <c r="CR5" s="700">
        <f t="shared" si="6"/>
        <v>48883</v>
      </c>
      <c r="CS5" s="700">
        <f t="shared" si="6"/>
        <v>48913</v>
      </c>
      <c r="CT5" s="700">
        <f t="shared" si="6"/>
        <v>48944</v>
      </c>
      <c r="CU5" s="700">
        <f t="shared" si="6"/>
        <v>48975</v>
      </c>
      <c r="CV5" s="700">
        <f t="shared" ref="CV5:DR5" si="7">EOMONTH(CU5,1)</f>
        <v>49003</v>
      </c>
      <c r="CW5" s="700">
        <f t="shared" si="7"/>
        <v>49034</v>
      </c>
      <c r="CX5" s="700">
        <f t="shared" si="7"/>
        <v>49064</v>
      </c>
      <c r="CY5" s="700">
        <f t="shared" si="7"/>
        <v>49095</v>
      </c>
      <c r="CZ5" s="700">
        <f t="shared" si="7"/>
        <v>49125</v>
      </c>
      <c r="DA5" s="700">
        <f t="shared" si="7"/>
        <v>49156</v>
      </c>
      <c r="DB5" s="700">
        <f t="shared" si="7"/>
        <v>49187</v>
      </c>
      <c r="DC5" s="700">
        <f t="shared" si="7"/>
        <v>49217</v>
      </c>
      <c r="DD5" s="700">
        <f t="shared" si="7"/>
        <v>49248</v>
      </c>
      <c r="DE5" s="700">
        <f t="shared" si="7"/>
        <v>49278</v>
      </c>
      <c r="DF5" s="700">
        <f t="shared" si="7"/>
        <v>49309</v>
      </c>
      <c r="DG5" s="700">
        <f t="shared" si="7"/>
        <v>49340</v>
      </c>
      <c r="DH5" s="700">
        <f t="shared" si="7"/>
        <v>49368</v>
      </c>
      <c r="DI5" s="700">
        <f t="shared" si="7"/>
        <v>49399</v>
      </c>
      <c r="DJ5" s="700">
        <f t="shared" si="7"/>
        <v>49429</v>
      </c>
      <c r="DK5" s="700">
        <f t="shared" si="7"/>
        <v>49460</v>
      </c>
      <c r="DL5" s="700">
        <f t="shared" si="7"/>
        <v>49490</v>
      </c>
      <c r="DM5" s="700">
        <f t="shared" si="7"/>
        <v>49521</v>
      </c>
      <c r="DN5" s="700">
        <f t="shared" si="7"/>
        <v>49552</v>
      </c>
      <c r="DO5" s="700">
        <f t="shared" si="7"/>
        <v>49582</v>
      </c>
      <c r="DP5" s="700">
        <f t="shared" si="7"/>
        <v>49613</v>
      </c>
      <c r="DQ5" s="700">
        <f t="shared" si="7"/>
        <v>49643</v>
      </c>
      <c r="DR5" s="700">
        <f t="shared" si="7"/>
        <v>49674</v>
      </c>
      <c r="DS5" s="700"/>
      <c r="DT5" s="700"/>
      <c r="DU5" s="700"/>
      <c r="DV5" s="700"/>
      <c r="DW5" s="700"/>
      <c r="DX5" s="700"/>
      <c r="DY5" s="700"/>
      <c r="DZ5" s="700"/>
      <c r="EA5" s="700"/>
      <c r="EB5" s="700"/>
      <c r="EC5" s="700"/>
      <c r="ED5" s="700"/>
    </row>
    <row r="6" spans="1:134" s="161" customFormat="1" ht="16" x14ac:dyDescent="0.2">
      <c r="A6" s="697"/>
      <c r="B6" s="152" t="s">
        <v>759</v>
      </c>
      <c r="C6" s="153">
        <f>YEAR(C5)</f>
        <v>2026</v>
      </c>
      <c r="D6" s="153">
        <f t="shared" ref="D6:BO6" si="8">YEAR(D5)</f>
        <v>2026</v>
      </c>
      <c r="E6" s="153">
        <f t="shared" si="8"/>
        <v>2026</v>
      </c>
      <c r="F6" s="153">
        <f t="shared" si="8"/>
        <v>2026</v>
      </c>
      <c r="G6" s="153">
        <f t="shared" si="8"/>
        <v>2026</v>
      </c>
      <c r="H6" s="153">
        <f t="shared" si="8"/>
        <v>2026</v>
      </c>
      <c r="I6" s="153">
        <f t="shared" si="8"/>
        <v>2026</v>
      </c>
      <c r="J6" s="153">
        <f t="shared" si="8"/>
        <v>2026</v>
      </c>
      <c r="K6" s="153">
        <f t="shared" si="8"/>
        <v>2026</v>
      </c>
      <c r="L6" s="153">
        <f t="shared" si="8"/>
        <v>2026</v>
      </c>
      <c r="M6" s="153">
        <f t="shared" si="8"/>
        <v>2026</v>
      </c>
      <c r="N6" s="153">
        <f t="shared" si="8"/>
        <v>2026</v>
      </c>
      <c r="O6" s="153">
        <f t="shared" si="8"/>
        <v>2027</v>
      </c>
      <c r="P6" s="153">
        <f t="shared" si="8"/>
        <v>2027</v>
      </c>
      <c r="Q6" s="153">
        <f t="shared" si="8"/>
        <v>2027</v>
      </c>
      <c r="R6" s="153">
        <f t="shared" si="8"/>
        <v>2027</v>
      </c>
      <c r="S6" s="153">
        <f t="shared" si="8"/>
        <v>2027</v>
      </c>
      <c r="T6" s="153">
        <f t="shared" si="8"/>
        <v>2027</v>
      </c>
      <c r="U6" s="153">
        <f t="shared" si="8"/>
        <v>2027</v>
      </c>
      <c r="V6" s="153">
        <f t="shared" si="8"/>
        <v>2027</v>
      </c>
      <c r="W6" s="153">
        <f t="shared" si="8"/>
        <v>2027</v>
      </c>
      <c r="X6" s="153">
        <f t="shared" si="8"/>
        <v>2027</v>
      </c>
      <c r="Y6" s="153">
        <f t="shared" si="8"/>
        <v>2027</v>
      </c>
      <c r="Z6" s="153">
        <f t="shared" si="8"/>
        <v>2027</v>
      </c>
      <c r="AA6" s="153">
        <f t="shared" si="8"/>
        <v>2028</v>
      </c>
      <c r="AB6" s="153">
        <f t="shared" si="8"/>
        <v>2028</v>
      </c>
      <c r="AC6" s="153">
        <f t="shared" si="8"/>
        <v>2028</v>
      </c>
      <c r="AD6" s="153">
        <f t="shared" si="8"/>
        <v>2028</v>
      </c>
      <c r="AE6" s="153">
        <f t="shared" si="8"/>
        <v>2028</v>
      </c>
      <c r="AF6" s="153">
        <f t="shared" si="8"/>
        <v>2028</v>
      </c>
      <c r="AG6" s="153">
        <f t="shared" si="8"/>
        <v>2028</v>
      </c>
      <c r="AH6" s="153">
        <f t="shared" si="8"/>
        <v>2028</v>
      </c>
      <c r="AI6" s="153">
        <f t="shared" si="8"/>
        <v>2028</v>
      </c>
      <c r="AJ6" s="153">
        <f t="shared" si="8"/>
        <v>2028</v>
      </c>
      <c r="AK6" s="153">
        <f t="shared" si="8"/>
        <v>2028</v>
      </c>
      <c r="AL6" s="153">
        <f t="shared" si="8"/>
        <v>2028</v>
      </c>
      <c r="AM6" s="153">
        <f t="shared" si="8"/>
        <v>2029</v>
      </c>
      <c r="AN6" s="153">
        <f t="shared" si="8"/>
        <v>2029</v>
      </c>
      <c r="AO6" s="153">
        <f t="shared" si="8"/>
        <v>2029</v>
      </c>
      <c r="AP6" s="153">
        <f t="shared" si="8"/>
        <v>2029</v>
      </c>
      <c r="AQ6" s="153">
        <f t="shared" si="8"/>
        <v>2029</v>
      </c>
      <c r="AR6" s="153">
        <f t="shared" si="8"/>
        <v>2029</v>
      </c>
      <c r="AS6" s="153">
        <f t="shared" si="8"/>
        <v>2029</v>
      </c>
      <c r="AT6" s="153">
        <f t="shared" si="8"/>
        <v>2029</v>
      </c>
      <c r="AU6" s="153">
        <f t="shared" si="8"/>
        <v>2029</v>
      </c>
      <c r="AV6" s="153">
        <f t="shared" si="8"/>
        <v>2029</v>
      </c>
      <c r="AW6" s="153">
        <f t="shared" si="8"/>
        <v>2029</v>
      </c>
      <c r="AX6" s="153">
        <f t="shared" si="8"/>
        <v>2029</v>
      </c>
      <c r="AY6" s="153">
        <f t="shared" si="8"/>
        <v>2030</v>
      </c>
      <c r="AZ6" s="153">
        <f t="shared" si="8"/>
        <v>2030</v>
      </c>
      <c r="BA6" s="153">
        <f t="shared" si="8"/>
        <v>2030</v>
      </c>
      <c r="BB6" s="153">
        <f t="shared" si="8"/>
        <v>2030</v>
      </c>
      <c r="BC6" s="153">
        <f t="shared" si="8"/>
        <v>2030</v>
      </c>
      <c r="BD6" s="153">
        <f t="shared" si="8"/>
        <v>2030</v>
      </c>
      <c r="BE6" s="153">
        <f t="shared" si="8"/>
        <v>2030</v>
      </c>
      <c r="BF6" s="153">
        <f t="shared" si="8"/>
        <v>2030</v>
      </c>
      <c r="BG6" s="153">
        <f t="shared" si="8"/>
        <v>2030</v>
      </c>
      <c r="BH6" s="153">
        <f t="shared" si="8"/>
        <v>2030</v>
      </c>
      <c r="BI6" s="153">
        <f t="shared" si="8"/>
        <v>2030</v>
      </c>
      <c r="BJ6" s="153">
        <f t="shared" si="8"/>
        <v>2030</v>
      </c>
      <c r="BK6" s="153">
        <f t="shared" si="8"/>
        <v>2031</v>
      </c>
      <c r="BL6" s="153">
        <f t="shared" si="8"/>
        <v>2031</v>
      </c>
      <c r="BM6" s="153">
        <f t="shared" si="8"/>
        <v>2031</v>
      </c>
      <c r="BN6" s="153">
        <f t="shared" si="8"/>
        <v>2031</v>
      </c>
      <c r="BO6" s="153">
        <f t="shared" si="8"/>
        <v>2031</v>
      </c>
      <c r="BP6" s="153">
        <f t="shared" ref="BP6:DR6" si="9">YEAR(BP5)</f>
        <v>2031</v>
      </c>
      <c r="BQ6" s="153">
        <f t="shared" si="9"/>
        <v>2031</v>
      </c>
      <c r="BR6" s="153">
        <f t="shared" si="9"/>
        <v>2031</v>
      </c>
      <c r="BS6" s="153">
        <f t="shared" si="9"/>
        <v>2031</v>
      </c>
      <c r="BT6" s="153">
        <f t="shared" si="9"/>
        <v>2031</v>
      </c>
      <c r="BU6" s="153">
        <f t="shared" si="9"/>
        <v>2031</v>
      </c>
      <c r="BV6" s="153">
        <f t="shared" si="9"/>
        <v>2031</v>
      </c>
      <c r="BW6" s="153">
        <f t="shared" si="9"/>
        <v>2032</v>
      </c>
      <c r="BX6" s="153">
        <f t="shared" si="9"/>
        <v>2032</v>
      </c>
      <c r="BY6" s="153">
        <f t="shared" si="9"/>
        <v>2032</v>
      </c>
      <c r="BZ6" s="153">
        <f t="shared" si="9"/>
        <v>2032</v>
      </c>
      <c r="CA6" s="153">
        <f t="shared" si="9"/>
        <v>2032</v>
      </c>
      <c r="CB6" s="153">
        <f t="shared" si="9"/>
        <v>2032</v>
      </c>
      <c r="CC6" s="153">
        <f t="shared" si="9"/>
        <v>2032</v>
      </c>
      <c r="CD6" s="153">
        <f t="shared" si="9"/>
        <v>2032</v>
      </c>
      <c r="CE6" s="153">
        <f t="shared" si="9"/>
        <v>2032</v>
      </c>
      <c r="CF6" s="153">
        <f t="shared" si="9"/>
        <v>2032</v>
      </c>
      <c r="CG6" s="153">
        <f t="shared" si="9"/>
        <v>2032</v>
      </c>
      <c r="CH6" s="153">
        <f t="shared" si="9"/>
        <v>2032</v>
      </c>
      <c r="CI6" s="153">
        <f t="shared" si="9"/>
        <v>2033</v>
      </c>
      <c r="CJ6" s="153">
        <f t="shared" si="9"/>
        <v>2033</v>
      </c>
      <c r="CK6" s="153">
        <f t="shared" si="9"/>
        <v>2033</v>
      </c>
      <c r="CL6" s="153">
        <f t="shared" si="9"/>
        <v>2033</v>
      </c>
      <c r="CM6" s="153">
        <f t="shared" si="9"/>
        <v>2033</v>
      </c>
      <c r="CN6" s="153">
        <f t="shared" si="9"/>
        <v>2033</v>
      </c>
      <c r="CO6" s="153">
        <f t="shared" si="9"/>
        <v>2033</v>
      </c>
      <c r="CP6" s="153">
        <f t="shared" si="9"/>
        <v>2033</v>
      </c>
      <c r="CQ6" s="153">
        <f t="shared" si="9"/>
        <v>2033</v>
      </c>
      <c r="CR6" s="153">
        <f t="shared" si="9"/>
        <v>2033</v>
      </c>
      <c r="CS6" s="153">
        <f t="shared" si="9"/>
        <v>2033</v>
      </c>
      <c r="CT6" s="153">
        <f t="shared" si="9"/>
        <v>2033</v>
      </c>
      <c r="CU6" s="153">
        <f t="shared" si="9"/>
        <v>2034</v>
      </c>
      <c r="CV6" s="153">
        <f t="shared" si="9"/>
        <v>2034</v>
      </c>
      <c r="CW6" s="153">
        <f t="shared" si="9"/>
        <v>2034</v>
      </c>
      <c r="CX6" s="153">
        <f t="shared" si="9"/>
        <v>2034</v>
      </c>
      <c r="CY6" s="153">
        <f t="shared" si="9"/>
        <v>2034</v>
      </c>
      <c r="CZ6" s="153">
        <f t="shared" si="9"/>
        <v>2034</v>
      </c>
      <c r="DA6" s="153">
        <f t="shared" si="9"/>
        <v>2034</v>
      </c>
      <c r="DB6" s="153">
        <f t="shared" si="9"/>
        <v>2034</v>
      </c>
      <c r="DC6" s="153">
        <f t="shared" si="9"/>
        <v>2034</v>
      </c>
      <c r="DD6" s="153">
        <f t="shared" si="9"/>
        <v>2034</v>
      </c>
      <c r="DE6" s="153">
        <f t="shared" si="9"/>
        <v>2034</v>
      </c>
      <c r="DF6" s="153">
        <f t="shared" si="9"/>
        <v>2034</v>
      </c>
      <c r="DG6" s="153">
        <f t="shared" si="9"/>
        <v>2035</v>
      </c>
      <c r="DH6" s="153">
        <f t="shared" si="9"/>
        <v>2035</v>
      </c>
      <c r="DI6" s="153">
        <f t="shared" si="9"/>
        <v>2035</v>
      </c>
      <c r="DJ6" s="153">
        <f t="shared" si="9"/>
        <v>2035</v>
      </c>
      <c r="DK6" s="153">
        <f t="shared" si="9"/>
        <v>2035</v>
      </c>
      <c r="DL6" s="153">
        <f t="shared" si="9"/>
        <v>2035</v>
      </c>
      <c r="DM6" s="153">
        <f t="shared" si="9"/>
        <v>2035</v>
      </c>
      <c r="DN6" s="153">
        <f t="shared" si="9"/>
        <v>2035</v>
      </c>
      <c r="DO6" s="153">
        <f t="shared" si="9"/>
        <v>2035</v>
      </c>
      <c r="DP6" s="153">
        <f t="shared" si="9"/>
        <v>2035</v>
      </c>
      <c r="DQ6" s="153">
        <f t="shared" si="9"/>
        <v>2035</v>
      </c>
      <c r="DR6" s="153">
        <f t="shared" si="9"/>
        <v>2035</v>
      </c>
      <c r="DS6" s="698"/>
      <c r="DT6" s="698"/>
      <c r="DU6" s="698"/>
      <c r="DV6" s="698"/>
      <c r="DW6" s="698"/>
      <c r="DX6" s="698"/>
      <c r="DY6" s="698"/>
      <c r="DZ6" s="698"/>
      <c r="EA6" s="698"/>
      <c r="EB6" s="698"/>
      <c r="EC6" s="698"/>
      <c r="ED6" s="698"/>
    </row>
    <row r="7" spans="1:134" s="393" customFormat="1" ht="16" x14ac:dyDescent="0.2">
      <c r="A7" s="391"/>
      <c r="B7" s="281"/>
      <c r="C7" s="390"/>
      <c r="D7" s="390"/>
      <c r="E7" s="390"/>
      <c r="F7" s="390"/>
      <c r="G7" s="390"/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392"/>
      <c r="AB7" s="392"/>
      <c r="AC7" s="392"/>
      <c r="AD7" s="392"/>
      <c r="AE7" s="392"/>
      <c r="AF7" s="392"/>
      <c r="AG7" s="392"/>
      <c r="AH7" s="392"/>
      <c r="AI7" s="392"/>
      <c r="AJ7" s="392"/>
      <c r="AK7" s="392"/>
      <c r="AL7" s="392"/>
      <c r="AM7" s="392"/>
      <c r="AN7" s="392"/>
      <c r="AO7" s="392"/>
      <c r="AP7" s="392"/>
      <c r="AQ7" s="392"/>
      <c r="AR7" s="392"/>
      <c r="AS7" s="392"/>
      <c r="AT7" s="392"/>
      <c r="AU7" s="392"/>
      <c r="AV7" s="392"/>
      <c r="AW7" s="392"/>
      <c r="AX7" s="392"/>
      <c r="AY7" s="392"/>
      <c r="AZ7" s="392"/>
      <c r="BA7" s="392"/>
      <c r="BB7" s="392"/>
      <c r="BC7" s="392"/>
      <c r="BD7" s="392"/>
      <c r="BE7" s="392"/>
      <c r="BF7" s="392"/>
      <c r="BG7" s="392"/>
      <c r="BH7" s="392"/>
      <c r="BI7" s="392"/>
      <c r="BJ7" s="392"/>
      <c r="BK7" s="392"/>
      <c r="BL7" s="392"/>
      <c r="BM7" s="392"/>
      <c r="BN7" s="392"/>
      <c r="BO7" s="392"/>
      <c r="BP7" s="392"/>
      <c r="BQ7" s="392"/>
      <c r="BR7" s="392"/>
      <c r="BS7" s="392"/>
      <c r="BT7" s="392"/>
      <c r="BU7" s="392"/>
      <c r="BV7" s="392"/>
      <c r="BW7" s="392"/>
      <c r="BX7" s="392"/>
      <c r="BY7" s="392"/>
      <c r="BZ7" s="392"/>
      <c r="CA7" s="392"/>
      <c r="CB7" s="392"/>
      <c r="CC7" s="392"/>
      <c r="CD7" s="392"/>
      <c r="CE7" s="392"/>
      <c r="CF7" s="392"/>
      <c r="CG7" s="392"/>
      <c r="CH7" s="392"/>
      <c r="CI7" s="392"/>
      <c r="CJ7" s="392"/>
      <c r="CK7" s="392"/>
      <c r="CL7" s="392"/>
      <c r="CM7" s="392"/>
      <c r="CN7" s="392"/>
      <c r="CO7" s="392"/>
      <c r="CP7" s="392"/>
      <c r="CQ7" s="392"/>
      <c r="CR7" s="392"/>
      <c r="CS7" s="392"/>
      <c r="CT7" s="392"/>
      <c r="CU7" s="392"/>
      <c r="CV7" s="392"/>
      <c r="CW7" s="392"/>
      <c r="CX7" s="392"/>
      <c r="CY7" s="392"/>
      <c r="CZ7" s="392"/>
      <c r="DA7" s="392"/>
      <c r="DB7" s="392"/>
      <c r="DC7" s="392"/>
      <c r="DD7" s="392"/>
      <c r="DE7" s="392"/>
      <c r="DF7" s="392"/>
      <c r="DG7" s="392"/>
      <c r="DH7" s="392"/>
      <c r="DI7" s="392"/>
      <c r="DJ7" s="392"/>
      <c r="DK7" s="392"/>
      <c r="DL7" s="392"/>
      <c r="DM7" s="392"/>
      <c r="DN7" s="392"/>
      <c r="DO7" s="392"/>
      <c r="DP7" s="392"/>
      <c r="DQ7" s="392"/>
      <c r="DR7" s="392"/>
      <c r="DS7" s="392"/>
      <c r="DT7" s="392"/>
      <c r="DU7" s="392"/>
      <c r="DV7" s="392"/>
      <c r="DW7" s="392"/>
      <c r="DX7" s="392"/>
      <c r="DY7" s="392"/>
      <c r="DZ7" s="392"/>
      <c r="EA7" s="392"/>
      <c r="EB7" s="392"/>
      <c r="EC7" s="392"/>
      <c r="ED7" s="392"/>
    </row>
    <row r="8" spans="1:134" s="393" customFormat="1" ht="16" x14ac:dyDescent="0.2">
      <c r="A8" s="391"/>
      <c r="B8" s="281" t="s">
        <v>760</v>
      </c>
      <c r="C8" s="392">
        <f>(C5-B5)*HLOOKUP(C$6,Assumptions!$F$45:$O$54,7,0)</f>
        <v>0</v>
      </c>
      <c r="D8" s="392">
        <f>(D5-C5)*HLOOKUP(D$6,Assumptions!$F$45:$O$54,7,0)</f>
        <v>0</v>
      </c>
      <c r="E8" s="392">
        <f>(E5-D5)*HLOOKUP(E$6,Assumptions!$F$45:$O$54,7,0)</f>
        <v>0</v>
      </c>
      <c r="F8" s="392">
        <f>(F5-E5)*HLOOKUP(F$6,Assumptions!$F$45:$O$54,7,0)</f>
        <v>0</v>
      </c>
      <c r="G8" s="392">
        <f>(G5-F5)*HLOOKUP(G$6,Assumptions!$F$45:$O$54,7,0)</f>
        <v>0</v>
      </c>
      <c r="H8" s="392">
        <f>(H5-G5)*HLOOKUP(H$6,Assumptions!$F$45:$O$54,7,0)</f>
        <v>0</v>
      </c>
      <c r="I8" s="392">
        <f>(I5-H5)*HLOOKUP(I$6,Assumptions!$F$45:$O$54,7,0)</f>
        <v>0</v>
      </c>
      <c r="J8" s="392">
        <f>(J5-I5)*HLOOKUP(J$6,Assumptions!$F$45:$O$54,7,0)</f>
        <v>0</v>
      </c>
      <c r="K8" s="392">
        <f>(K5-J5)*HLOOKUP(K$6,Assumptions!$F$45:$O$54,7,0)</f>
        <v>0</v>
      </c>
      <c r="L8" s="392">
        <f>(L5-K5)*HLOOKUP(L$6,Assumptions!$F$45:$O$54,7,0)</f>
        <v>0</v>
      </c>
      <c r="M8" s="392">
        <f>(M5-L5)*HLOOKUP(M$6,Assumptions!$F$45:$O$54,7,0)</f>
        <v>0</v>
      </c>
      <c r="N8" s="392">
        <f>(N5-M5)*HLOOKUP(N$6,Assumptions!$F$45:$O$54,7,0)</f>
        <v>0</v>
      </c>
      <c r="O8" s="392">
        <f>(O5-N5)*HLOOKUP(O$6,Assumptions!$F$45:$O$54,7,0)</f>
        <v>295991.10000000003</v>
      </c>
      <c r="P8" s="392">
        <f>(P5-O5)*HLOOKUP(P$6,Assumptions!$F$45:$O$54,7,0)</f>
        <v>267346.8</v>
      </c>
      <c r="Q8" s="392">
        <f>(Q5-P5)*HLOOKUP(Q$6,Assumptions!$F$45:$O$54,7,0)</f>
        <v>295991.10000000003</v>
      </c>
      <c r="R8" s="392">
        <f>(R5-Q5)*HLOOKUP(R$6,Assumptions!$F$45:$O$54,7,0)</f>
        <v>286443</v>
      </c>
      <c r="S8" s="392">
        <f>(S5-R5)*HLOOKUP(S$6,Assumptions!$F$45:$O$54,7,0)</f>
        <v>295991.10000000003</v>
      </c>
      <c r="T8" s="392">
        <f>(T5-S5)*HLOOKUP(T$6,Assumptions!$F$45:$O$54,7,0)</f>
        <v>286443</v>
      </c>
      <c r="U8" s="392">
        <f>(U5-T5)*HLOOKUP(U$6,Assumptions!$F$45:$O$54,7,0)</f>
        <v>295991.10000000003</v>
      </c>
      <c r="V8" s="392">
        <f>(V5-U5)*HLOOKUP(V$6,Assumptions!$F$45:$O$54,7,0)</f>
        <v>295991.10000000003</v>
      </c>
      <c r="W8" s="392">
        <f>(W5-V5)*HLOOKUP(W$6,Assumptions!$F$45:$O$54,7,0)</f>
        <v>286443</v>
      </c>
      <c r="X8" s="392">
        <f>(X5-W5)*HLOOKUP(X$6,Assumptions!$F$45:$O$54,7,0)</f>
        <v>295991.10000000003</v>
      </c>
      <c r="Y8" s="392">
        <f>(Y5-X5)*HLOOKUP(Y$6,Assumptions!$F$45:$O$54,7,0)</f>
        <v>286443</v>
      </c>
      <c r="Z8" s="392">
        <f>(Z5-Y5)*HLOOKUP(Z$6,Assumptions!$F$45:$O$54,7,0)</f>
        <v>295991.10000000003</v>
      </c>
      <c r="AA8" s="392">
        <f>(AA5-Z5)*HLOOKUP(AA$6,Assumptions!$F$45:$O$54,7,0)</f>
        <v>569092.22160000005</v>
      </c>
      <c r="AB8" s="392">
        <f>(AB5-AA5)*HLOOKUP(AB$6,Assumptions!$F$45:$O$54,7,0)</f>
        <v>532376.59440000006</v>
      </c>
      <c r="AC8" s="392">
        <f>(AC5-AB5)*HLOOKUP(AC$6,Assumptions!$F$45:$O$54,7,0)</f>
        <v>569092.22160000005</v>
      </c>
      <c r="AD8" s="392">
        <f>(AD5-AC5)*HLOOKUP(AD$6,Assumptions!$F$45:$O$54,7,0)</f>
        <v>550734.40800000005</v>
      </c>
      <c r="AE8" s="392">
        <f>(AE5-AD5)*HLOOKUP(AE$6,Assumptions!$F$45:$O$54,7,0)</f>
        <v>569092.22160000005</v>
      </c>
      <c r="AF8" s="392">
        <f>(AF5-AE5)*HLOOKUP(AF$6,Assumptions!$F$45:$O$54,7,0)</f>
        <v>550734.40800000005</v>
      </c>
      <c r="AG8" s="392">
        <f>(AG5-AF5)*HLOOKUP(AG$6,Assumptions!$F$45:$O$54,7,0)</f>
        <v>569092.22160000005</v>
      </c>
      <c r="AH8" s="392">
        <f>(AH5-AG5)*HLOOKUP(AH$6,Assumptions!$F$45:$O$54,7,0)</f>
        <v>569092.22160000005</v>
      </c>
      <c r="AI8" s="392">
        <f>(AI5-AH5)*HLOOKUP(AI$6,Assumptions!$F$45:$O$54,7,0)</f>
        <v>550734.40800000005</v>
      </c>
      <c r="AJ8" s="392">
        <f>(AJ5-AI5)*HLOOKUP(AJ$6,Assumptions!$F$45:$O$54,7,0)</f>
        <v>569092.22160000005</v>
      </c>
      <c r="AK8" s="392">
        <f>(AK5-AJ5)*HLOOKUP(AK$6,Assumptions!$F$45:$O$54,7,0)</f>
        <v>550734.40800000005</v>
      </c>
      <c r="AL8" s="392">
        <f>(AL5-AK5)*HLOOKUP(AL$6,Assumptions!$F$45:$O$54,7,0)</f>
        <v>569092.22160000005</v>
      </c>
      <c r="AM8" s="392">
        <f>(AM5-AL5)*HLOOKUP(AM$6,Assumptions!$F$45:$O$54,7,0)</f>
        <v>2253943.9429060002</v>
      </c>
      <c r="AN8" s="392">
        <f>(AN5-AM5)*HLOOKUP(AN$6,Assumptions!$F$45:$O$54,7,0)</f>
        <v>2035820.3355280003</v>
      </c>
      <c r="AO8" s="392">
        <f>(AO5-AN5)*HLOOKUP(AO$6,Assumptions!$F$45:$O$54,7,0)</f>
        <v>2253943.9429060002</v>
      </c>
      <c r="AP8" s="392">
        <f>(AP5-AO5)*HLOOKUP(AP$6,Assumptions!$F$45:$O$54,7,0)</f>
        <v>2181236.0737800002</v>
      </c>
      <c r="AQ8" s="392">
        <f>(AQ5-AP5)*HLOOKUP(AQ$6,Assumptions!$F$45:$O$54,7,0)</f>
        <v>2253943.9429060002</v>
      </c>
      <c r="AR8" s="392">
        <f>(AR5-AQ5)*HLOOKUP(AR$6,Assumptions!$F$45:$O$54,7,0)</f>
        <v>2181236.0737800002</v>
      </c>
      <c r="AS8" s="392">
        <f>(AS5-AR5)*HLOOKUP(AS$6,Assumptions!$F$45:$O$54,7,0)</f>
        <v>2253943.9429060002</v>
      </c>
      <c r="AT8" s="392">
        <f>(AT5-AS5)*HLOOKUP(AT$6,Assumptions!$F$45:$O$54,7,0)</f>
        <v>2253943.9429060002</v>
      </c>
      <c r="AU8" s="392">
        <f>(AU5-AT5)*HLOOKUP(AU$6,Assumptions!$F$45:$O$54,7,0)</f>
        <v>2181236.0737800002</v>
      </c>
      <c r="AV8" s="392">
        <f>(AV5-AU5)*HLOOKUP(AV$6,Assumptions!$F$45:$O$54,7,0)</f>
        <v>2253943.9429060002</v>
      </c>
      <c r="AW8" s="392">
        <f>(AW5-AV5)*HLOOKUP(AW$6,Assumptions!$F$45:$O$54,7,0)</f>
        <v>2181236.0737800002</v>
      </c>
      <c r="AX8" s="392">
        <f>(AX5-AW5)*HLOOKUP(AX$6,Assumptions!$F$45:$O$54,7,0)</f>
        <v>2253943.9429060002</v>
      </c>
      <c r="AY8" s="392">
        <f>(AY5-AX5)*HLOOKUP(AY$6,Assumptions!$F$45:$O$54,7,0)</f>
        <v>3248749.6658183206</v>
      </c>
      <c r="AZ8" s="392">
        <f>(AZ5-AY5)*HLOOKUP(AZ$6,Assumptions!$F$45:$O$54,7,0)</f>
        <v>2934354.5368681606</v>
      </c>
      <c r="BA8" s="392">
        <f>(BA5-AZ5)*HLOOKUP(BA$6,Assumptions!$F$45:$O$54,7,0)</f>
        <v>3248749.6658183206</v>
      </c>
      <c r="BB8" s="392">
        <f>(BB5-BA5)*HLOOKUP(BB$6,Assumptions!$F$45:$O$54,7,0)</f>
        <v>3143951.2895016009</v>
      </c>
      <c r="BC8" s="392">
        <f>(BC5-BB5)*HLOOKUP(BC$6,Assumptions!$F$45:$O$54,7,0)</f>
        <v>3248749.6658183206</v>
      </c>
      <c r="BD8" s="392">
        <f>(BD5-BC5)*HLOOKUP(BD$6,Assumptions!$F$45:$O$54,7,0)</f>
        <v>3143951.2895016009</v>
      </c>
      <c r="BE8" s="392">
        <f>(BE5-BD5)*HLOOKUP(BE$6,Assumptions!$F$45:$O$54,7,0)</f>
        <v>3248749.6658183206</v>
      </c>
      <c r="BF8" s="392">
        <f>(BF5-BE5)*HLOOKUP(BF$6,Assumptions!$F$45:$O$54,7,0)</f>
        <v>3248749.6658183206</v>
      </c>
      <c r="BG8" s="392">
        <f>(BG5-BF5)*HLOOKUP(BG$6,Assumptions!$F$45:$O$54,7,0)</f>
        <v>3143951.2895016009</v>
      </c>
      <c r="BH8" s="392">
        <f>(BH5-BG5)*HLOOKUP(BH$6,Assumptions!$F$45:$O$54,7,0)</f>
        <v>3248749.6658183206</v>
      </c>
      <c r="BI8" s="392">
        <f>(BI5-BH5)*HLOOKUP(BI$6,Assumptions!$F$45:$O$54,7,0)</f>
        <v>3143951.2895016009</v>
      </c>
      <c r="BJ8" s="392">
        <f>(BJ5-BI5)*HLOOKUP(BJ$6,Assumptions!$F$45:$O$54,7,0)</f>
        <v>3248749.6658183206</v>
      </c>
      <c r="BK8" s="392">
        <f>(BK5-BJ5)*HLOOKUP(BK$6,Assumptions!$F$45:$O$54,7,0)</f>
        <v>4301215.1825567652</v>
      </c>
      <c r="BL8" s="392">
        <f>(BL5-BK5)*HLOOKUP(BL$6,Assumptions!$F$45:$O$54,7,0)</f>
        <v>3884968.5519867558</v>
      </c>
      <c r="BM8" s="392">
        <f>(BM5-BL5)*HLOOKUP(BM$6,Assumptions!$F$45:$O$54,7,0)</f>
        <v>4301215.1825567652</v>
      </c>
      <c r="BN8" s="392">
        <f>(BN5-BM5)*HLOOKUP(BN$6,Assumptions!$F$45:$O$54,7,0)</f>
        <v>4162466.3057000954</v>
      </c>
      <c r="BO8" s="392">
        <f>(BO5-BN5)*HLOOKUP(BO$6,Assumptions!$F$45:$O$54,7,0)</f>
        <v>4301215.1825567652</v>
      </c>
      <c r="BP8" s="392">
        <f>(BP5-BO5)*HLOOKUP(BP$6,Assumptions!$F$45:$O$54,7,0)</f>
        <v>4162466.3057000954</v>
      </c>
      <c r="BQ8" s="392">
        <f>(BQ5-BP5)*HLOOKUP(BQ$6,Assumptions!$F$45:$O$54,7,0)</f>
        <v>4301215.1825567652</v>
      </c>
      <c r="BR8" s="392">
        <f>(BR5-BQ5)*HLOOKUP(BR$6,Assumptions!$F$45:$O$54,7,0)</f>
        <v>4301215.1825567652</v>
      </c>
      <c r="BS8" s="392">
        <f>(BS5-BR5)*HLOOKUP(BS$6,Assumptions!$F$45:$O$54,7,0)</f>
        <v>4162466.3057000954</v>
      </c>
      <c r="BT8" s="392">
        <f>(BT5-BS5)*HLOOKUP(BT$6,Assumptions!$F$45:$O$54,7,0)</f>
        <v>4301215.1825567652</v>
      </c>
      <c r="BU8" s="392">
        <f>(BU5-BT5)*HLOOKUP(BU$6,Assumptions!$F$45:$O$54,7,0)</f>
        <v>4162466.3057000954</v>
      </c>
      <c r="BV8" s="392">
        <f>(BV5-BU5)*HLOOKUP(BV$6,Assumptions!$F$45:$O$54,7,0)</f>
        <v>4301215.1825567652</v>
      </c>
      <c r="BW8" s="392">
        <f>(BW5-BV5)*HLOOKUP(BW$6,Assumptions!$F$45:$O$54,7,0)</f>
        <v>5116521.2549405461</v>
      </c>
      <c r="BX8" s="392">
        <f>(BX5-BW5)*HLOOKUP(BX$6,Assumptions!$F$45:$O$54,7,0)</f>
        <v>4786423.1094605103</v>
      </c>
      <c r="BY8" s="392">
        <f>(BY5-BX5)*HLOOKUP(BY$6,Assumptions!$F$45:$O$54,7,0)</f>
        <v>5116521.2549405461</v>
      </c>
      <c r="BZ8" s="392">
        <f>(BZ5-BY5)*HLOOKUP(BZ$6,Assumptions!$F$45:$O$54,7,0)</f>
        <v>4951472.1822005287</v>
      </c>
      <c r="CA8" s="392">
        <f>(CA5-BZ5)*HLOOKUP(CA$6,Assumptions!$F$45:$O$54,7,0)</f>
        <v>5116521.2549405461</v>
      </c>
      <c r="CB8" s="392">
        <f>(CB5-CA5)*HLOOKUP(CB$6,Assumptions!$F$45:$O$54,7,0)</f>
        <v>4951472.1822005287</v>
      </c>
      <c r="CC8" s="392">
        <f>(CC5-CB5)*HLOOKUP(CC$6,Assumptions!$F$45:$O$54,7,0)</f>
        <v>5116521.2549405461</v>
      </c>
      <c r="CD8" s="392">
        <f>(CD5-CC5)*HLOOKUP(CD$6,Assumptions!$F$45:$O$54,7,0)</f>
        <v>5116521.2549405461</v>
      </c>
      <c r="CE8" s="392">
        <f>(CE5-CD5)*HLOOKUP(CE$6,Assumptions!$F$45:$O$54,7,0)</f>
        <v>4951472.1822005287</v>
      </c>
      <c r="CF8" s="392">
        <f>(CF5-CE5)*HLOOKUP(CF$6,Assumptions!$F$45:$O$54,7,0)</f>
        <v>5116521.2549405461</v>
      </c>
      <c r="CG8" s="392">
        <f>(CG5-CF5)*HLOOKUP(CG$6,Assumptions!$F$45:$O$54,7,0)</f>
        <v>4951472.1822005287</v>
      </c>
      <c r="CH8" s="392">
        <f>(CH5-CG5)*HLOOKUP(CH$6,Assumptions!$F$45:$O$54,7,0)</f>
        <v>5116521.2549405461</v>
      </c>
      <c r="CI8" s="392">
        <f>(CI5-CH5)*HLOOKUP(CI$6,Assumptions!$F$45:$O$54,7,0)</f>
        <v>5270016.8925887626</v>
      </c>
      <c r="CJ8" s="392">
        <f>(CJ5-CI5)*HLOOKUP(CJ$6,Assumptions!$F$45:$O$54,7,0)</f>
        <v>4760015.2578221075</v>
      </c>
      <c r="CK8" s="392">
        <f>(CK5-CJ5)*HLOOKUP(CK$6,Assumptions!$F$45:$O$54,7,0)</f>
        <v>5270016.8925887626</v>
      </c>
      <c r="CL8" s="392">
        <f>(CL5-CK5)*HLOOKUP(CL$6,Assumptions!$F$45:$O$54,7,0)</f>
        <v>5100016.3476665439</v>
      </c>
      <c r="CM8" s="392">
        <f>(CM5-CL5)*HLOOKUP(CM$6,Assumptions!$F$45:$O$54,7,0)</f>
        <v>5270016.8925887626</v>
      </c>
      <c r="CN8" s="392">
        <f>(CN5-CM5)*HLOOKUP(CN$6,Assumptions!$F$45:$O$54,7,0)</f>
        <v>5100016.3476665439</v>
      </c>
      <c r="CO8" s="392">
        <f>(CO5-CN5)*HLOOKUP(CO$6,Assumptions!$F$45:$O$54,7,0)</f>
        <v>5270016.8925887626</v>
      </c>
      <c r="CP8" s="392">
        <f>(CP5-CO5)*HLOOKUP(CP$6,Assumptions!$F$45:$O$54,7,0)</f>
        <v>5270016.8925887626</v>
      </c>
      <c r="CQ8" s="392">
        <f>(CQ5-CP5)*HLOOKUP(CQ$6,Assumptions!$F$45:$O$54,7,0)</f>
        <v>5100016.3476665439</v>
      </c>
      <c r="CR8" s="392">
        <f>(CR5-CQ5)*HLOOKUP(CR$6,Assumptions!$F$45:$O$54,7,0)</f>
        <v>5270016.8925887626</v>
      </c>
      <c r="CS8" s="392">
        <f>(CS5-CR5)*HLOOKUP(CS$6,Assumptions!$F$45:$O$54,7,0)</f>
        <v>5100016.3476665439</v>
      </c>
      <c r="CT8" s="392">
        <f>(CT5-CS5)*HLOOKUP(CT$6,Assumptions!$F$45:$O$54,7,0)</f>
        <v>5270016.8925887626</v>
      </c>
      <c r="CU8" s="392">
        <f>(CU5-CT5)*HLOOKUP(CU$6,Assumptions!$F$45:$O$54,7,0)</f>
        <v>5428117.3993664244</v>
      </c>
      <c r="CV8" s="392">
        <f>(CV5-CU5)*HLOOKUP(CV$6,Assumptions!$F$45:$O$54,7,0)</f>
        <v>4902815.7155567706</v>
      </c>
      <c r="CW8" s="392">
        <f>(CW5-CV5)*HLOOKUP(CW$6,Assumptions!$F$45:$O$54,7,0)</f>
        <v>5428117.3993664244</v>
      </c>
      <c r="CX8" s="392">
        <f>(CX5-CW5)*HLOOKUP(CX$6,Assumptions!$F$45:$O$54,7,0)</f>
        <v>5253016.8380965404</v>
      </c>
      <c r="CY8" s="392">
        <f>(CY5-CX5)*HLOOKUP(CY$6,Assumptions!$F$45:$O$54,7,0)</f>
        <v>5428117.3993664244</v>
      </c>
      <c r="CZ8" s="392">
        <f>(CZ5-CY5)*HLOOKUP(CZ$6,Assumptions!$F$45:$O$54,7,0)</f>
        <v>5253016.8380965404</v>
      </c>
      <c r="DA8" s="392">
        <f>(DA5-CZ5)*HLOOKUP(DA$6,Assumptions!$F$45:$O$54,7,0)</f>
        <v>5428117.3993664244</v>
      </c>
      <c r="DB8" s="392">
        <f>(DB5-DA5)*HLOOKUP(DB$6,Assumptions!$F$45:$O$54,7,0)</f>
        <v>5428117.3993664244</v>
      </c>
      <c r="DC8" s="392">
        <f>(DC5-DB5)*HLOOKUP(DC$6,Assumptions!$F$45:$O$54,7,0)</f>
        <v>5253016.8380965404</v>
      </c>
      <c r="DD8" s="392">
        <f>(DD5-DC5)*HLOOKUP(DD$6,Assumptions!$F$45:$O$54,7,0)</f>
        <v>5428117.3993664244</v>
      </c>
      <c r="DE8" s="392">
        <f>(DE5-DD5)*HLOOKUP(DE$6,Assumptions!$F$45:$O$54,7,0)</f>
        <v>5253016.8380965404</v>
      </c>
      <c r="DF8" s="392">
        <f>(DF5-DE5)*HLOOKUP(DF$6,Assumptions!$F$45:$O$54,7,0)</f>
        <v>5428117.3993664244</v>
      </c>
      <c r="DG8" s="392" t="e">
        <f>(DG5-DF5)*HLOOKUP(DG$6,Assumptions!$F$45:$O$54,7,0)</f>
        <v>#N/A</v>
      </c>
      <c r="DH8" s="392" t="e">
        <f>(DH5-DG5)*HLOOKUP(DH$6,Assumptions!$F$45:$O$54,7,0)</f>
        <v>#N/A</v>
      </c>
      <c r="DI8" s="392" t="e">
        <f>(DI5-DH5)*HLOOKUP(DI$6,Assumptions!$F$45:$O$54,7,0)</f>
        <v>#N/A</v>
      </c>
      <c r="DJ8" s="392" t="e">
        <f>(DJ5-DI5)*HLOOKUP(DJ$6,Assumptions!$F$45:$O$54,7,0)</f>
        <v>#N/A</v>
      </c>
      <c r="DK8" s="392" t="e">
        <f>(DK5-DJ5)*HLOOKUP(DK$6,Assumptions!$F$45:$O$54,7,0)</f>
        <v>#N/A</v>
      </c>
      <c r="DL8" s="392" t="e">
        <f>(DL5-DK5)*HLOOKUP(DL$6,Assumptions!$F$45:$O$54,7,0)</f>
        <v>#N/A</v>
      </c>
      <c r="DM8" s="392" t="e">
        <f>(DM5-DL5)*HLOOKUP(DM$6,Assumptions!$F$45:$O$54,7,0)</f>
        <v>#N/A</v>
      </c>
      <c r="DN8" s="392" t="e">
        <f>(DN5-DM5)*HLOOKUP(DN$6,Assumptions!$F$45:$O$54,7,0)</f>
        <v>#N/A</v>
      </c>
      <c r="DO8" s="392" t="e">
        <f>(DO5-DN5)*HLOOKUP(DO$6,Assumptions!$F$45:$O$54,7,0)</f>
        <v>#N/A</v>
      </c>
      <c r="DP8" s="392" t="e">
        <f>(DP5-DO5)*HLOOKUP(DP$6,Assumptions!$F$45:$O$54,7,0)</f>
        <v>#N/A</v>
      </c>
      <c r="DQ8" s="392" t="e">
        <f>(DQ5-DP5)*HLOOKUP(DQ$6,Assumptions!$F$45:$O$54,7,0)</f>
        <v>#N/A</v>
      </c>
      <c r="DR8" s="392" t="e">
        <f>(DR5-DQ5)*HLOOKUP(DR$6,Assumptions!$F$45:$O$54,7,0)</f>
        <v>#N/A</v>
      </c>
      <c r="DS8" s="392"/>
      <c r="DT8" s="392"/>
      <c r="DU8" s="392"/>
      <c r="DV8" s="392"/>
      <c r="DW8" s="392"/>
      <c r="DX8" s="392"/>
      <c r="DY8" s="392"/>
      <c r="DZ8" s="392"/>
      <c r="EA8" s="392"/>
      <c r="EB8" s="392"/>
      <c r="EC8" s="392"/>
      <c r="ED8" s="392"/>
    </row>
    <row r="9" spans="1:134" s="393" customFormat="1" ht="16" hidden="1" x14ac:dyDescent="0.2">
      <c r="A9" s="391"/>
      <c r="B9" s="281"/>
      <c r="C9" s="392"/>
      <c r="D9" s="392"/>
      <c r="E9" s="392"/>
      <c r="F9" s="392"/>
      <c r="G9" s="392"/>
      <c r="H9" s="392"/>
      <c r="I9" s="392"/>
      <c r="J9" s="392"/>
      <c r="K9" s="392"/>
      <c r="L9" s="392"/>
      <c r="M9" s="392"/>
      <c r="N9" s="392"/>
      <c r="O9" s="392"/>
      <c r="P9" s="392"/>
      <c r="Q9" s="392"/>
      <c r="R9" s="392"/>
      <c r="S9" s="392"/>
      <c r="T9" s="392"/>
      <c r="U9" s="392"/>
      <c r="V9" s="392"/>
      <c r="W9" s="392"/>
      <c r="X9" s="392"/>
      <c r="Y9" s="392"/>
      <c r="Z9" s="392"/>
      <c r="AA9" s="392"/>
      <c r="AB9" s="392"/>
      <c r="AC9" s="392"/>
      <c r="AD9" s="392"/>
      <c r="AE9" s="392"/>
      <c r="AF9" s="392"/>
      <c r="AG9" s="392"/>
      <c r="AH9" s="392"/>
      <c r="AI9" s="392"/>
      <c r="AJ9" s="392"/>
      <c r="AK9" s="392"/>
      <c r="AL9" s="392"/>
      <c r="AM9" s="392"/>
      <c r="AN9" s="392"/>
      <c r="AO9" s="392"/>
      <c r="AP9" s="392"/>
      <c r="AQ9" s="392"/>
      <c r="AR9" s="392"/>
      <c r="AS9" s="392"/>
      <c r="AT9" s="392"/>
      <c r="AU9" s="392"/>
      <c r="AV9" s="392"/>
      <c r="AW9" s="392"/>
      <c r="AX9" s="392"/>
      <c r="AY9" s="392"/>
      <c r="AZ9" s="392"/>
      <c r="BA9" s="392"/>
      <c r="BB9" s="392"/>
      <c r="BC9" s="392"/>
      <c r="BD9" s="392"/>
      <c r="BE9" s="392"/>
      <c r="BF9" s="392"/>
      <c r="BG9" s="392"/>
      <c r="BH9" s="392"/>
      <c r="BI9" s="392"/>
      <c r="BJ9" s="392"/>
      <c r="BK9" s="392"/>
      <c r="BL9" s="392"/>
      <c r="BM9" s="392"/>
      <c r="BN9" s="392"/>
      <c r="BO9" s="392"/>
      <c r="BP9" s="392"/>
      <c r="BQ9" s="392"/>
      <c r="BR9" s="392"/>
      <c r="BS9" s="392"/>
      <c r="BT9" s="392"/>
      <c r="BU9" s="392"/>
      <c r="BV9" s="392"/>
      <c r="BW9" s="392"/>
      <c r="BX9" s="392"/>
      <c r="BY9" s="392"/>
      <c r="BZ9" s="392"/>
      <c r="CA9" s="392"/>
      <c r="CB9" s="392"/>
      <c r="CC9" s="392"/>
      <c r="CD9" s="392"/>
      <c r="CE9" s="392"/>
      <c r="CF9" s="392"/>
      <c r="CG9" s="392"/>
      <c r="CH9" s="392"/>
      <c r="CI9" s="392"/>
      <c r="CJ9" s="392"/>
      <c r="CK9" s="392"/>
      <c r="CL9" s="392"/>
      <c r="CM9" s="392"/>
      <c r="CN9" s="392"/>
      <c r="CO9" s="392"/>
      <c r="CP9" s="392"/>
      <c r="CQ9" s="392"/>
      <c r="CR9" s="392"/>
      <c r="CS9" s="392"/>
      <c r="CT9" s="392"/>
      <c r="CU9" s="392"/>
      <c r="CV9" s="392"/>
      <c r="CW9" s="392"/>
      <c r="CX9" s="392"/>
      <c r="CY9" s="392"/>
      <c r="CZ9" s="392"/>
      <c r="DA9" s="392"/>
      <c r="DB9" s="392"/>
      <c r="DC9" s="392"/>
      <c r="DD9" s="392"/>
      <c r="DE9" s="392"/>
      <c r="DF9" s="392"/>
      <c r="DG9" s="392"/>
      <c r="DH9" s="392"/>
      <c r="DI9" s="392"/>
      <c r="DJ9" s="392"/>
      <c r="DK9" s="392"/>
      <c r="DL9" s="392"/>
      <c r="DM9" s="392"/>
      <c r="DN9" s="392"/>
      <c r="DO9" s="392"/>
      <c r="DP9" s="392"/>
      <c r="DQ9" s="392"/>
      <c r="DR9" s="392"/>
      <c r="DS9" s="392"/>
      <c r="DT9" s="392"/>
      <c r="DU9" s="392"/>
      <c r="DV9" s="392"/>
      <c r="DW9" s="392"/>
      <c r="DX9" s="392"/>
      <c r="DY9" s="392"/>
      <c r="DZ9" s="392"/>
      <c r="EA9" s="392"/>
      <c r="EB9" s="392"/>
      <c r="EC9" s="392"/>
      <c r="ED9" s="392"/>
    </row>
    <row r="10" spans="1:134" s="393" customFormat="1" ht="16" hidden="1" x14ac:dyDescent="0.2">
      <c r="A10" s="391"/>
      <c r="B10" s="281"/>
      <c r="C10" s="392"/>
      <c r="D10" s="392"/>
      <c r="E10" s="392"/>
      <c r="F10" s="392"/>
      <c r="G10" s="392"/>
      <c r="H10" s="392"/>
      <c r="I10" s="392"/>
      <c r="J10" s="392"/>
      <c r="K10" s="392"/>
      <c r="L10" s="392"/>
      <c r="M10" s="392"/>
      <c r="N10" s="392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  <c r="Z10" s="392"/>
      <c r="AA10" s="392"/>
      <c r="AB10" s="392"/>
      <c r="AC10" s="392"/>
      <c r="AD10" s="392"/>
      <c r="AE10" s="392"/>
      <c r="AF10" s="392"/>
      <c r="AG10" s="392"/>
      <c r="AH10" s="392"/>
      <c r="AI10" s="392"/>
      <c r="AJ10" s="392"/>
      <c r="AK10" s="392"/>
      <c r="AL10" s="392"/>
      <c r="AM10" s="392"/>
      <c r="AN10" s="392"/>
      <c r="AO10" s="392"/>
      <c r="AP10" s="392"/>
      <c r="AQ10" s="392"/>
      <c r="AR10" s="392"/>
      <c r="AS10" s="392"/>
      <c r="AT10" s="392"/>
      <c r="AU10" s="392"/>
      <c r="AV10" s="392"/>
      <c r="AW10" s="392"/>
      <c r="AX10" s="392"/>
      <c r="AY10" s="392"/>
      <c r="AZ10" s="392"/>
      <c r="BA10" s="392"/>
      <c r="BB10" s="392"/>
      <c r="BC10" s="392"/>
      <c r="BD10" s="392"/>
      <c r="BE10" s="392"/>
      <c r="BF10" s="392"/>
      <c r="BG10" s="392"/>
      <c r="BH10" s="392"/>
      <c r="BI10" s="392"/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2"/>
      <c r="CY10" s="392"/>
      <c r="CZ10" s="392"/>
      <c r="DA10" s="392"/>
      <c r="DB10" s="392"/>
      <c r="DC10" s="392"/>
      <c r="DD10" s="392"/>
      <c r="DE10" s="392"/>
      <c r="DF10" s="392"/>
      <c r="DG10" s="392"/>
      <c r="DH10" s="392"/>
      <c r="DI10" s="392"/>
      <c r="DJ10" s="392"/>
      <c r="DK10" s="392"/>
      <c r="DL10" s="392"/>
      <c r="DM10" s="392"/>
      <c r="DN10" s="392"/>
      <c r="DO10" s="392"/>
      <c r="DP10" s="392"/>
      <c r="DQ10" s="392"/>
      <c r="DR10" s="392"/>
      <c r="DS10" s="392"/>
      <c r="DT10" s="392"/>
      <c r="DU10" s="392"/>
      <c r="DV10" s="392"/>
      <c r="DW10" s="392"/>
      <c r="DX10" s="392"/>
      <c r="DY10" s="392"/>
      <c r="DZ10" s="392"/>
      <c r="EA10" s="392"/>
      <c r="EB10" s="392"/>
      <c r="EC10" s="392"/>
      <c r="ED10" s="392"/>
    </row>
    <row r="11" spans="1:134" s="154" customFormat="1" ht="16" x14ac:dyDescent="0.2">
      <c r="A11" s="304"/>
      <c r="B11" s="281" t="s">
        <v>761</v>
      </c>
      <c r="C11" s="157">
        <f>_xlfn.XLOOKUP(MONTH(C$5),Assumptions!$F$38:$Q$38,Assumptions!$F$40:$Q$40)</f>
        <v>0.75</v>
      </c>
      <c r="D11" s="157">
        <f>_xlfn.XLOOKUP(MONTH(D$5),Assumptions!$F$38:$Q$38,Assumptions!$F$40:$Q$40)</f>
        <v>0.75</v>
      </c>
      <c r="E11" s="157">
        <f>_xlfn.XLOOKUP(MONTH(E$5),Assumptions!$F$38:$Q$38,Assumptions!$F$40:$Q$40)</f>
        <v>0.65</v>
      </c>
      <c r="F11" s="157">
        <f>_xlfn.XLOOKUP(MONTH(F$5),Assumptions!$F$38:$Q$38,Assumptions!$F$40:$Q$40)</f>
        <v>0.25</v>
      </c>
      <c r="G11" s="157">
        <f>_xlfn.XLOOKUP(MONTH(G$5),Assumptions!$F$38:$Q$38,Assumptions!$F$40:$Q$40)</f>
        <v>0.15</v>
      </c>
      <c r="H11" s="157">
        <f>_xlfn.XLOOKUP(MONTH(H$5),Assumptions!$F$38:$Q$38,Assumptions!$F$40:$Q$40)</f>
        <v>0.45</v>
      </c>
      <c r="I11" s="157">
        <f>_xlfn.XLOOKUP(MONTH(I$5),Assumptions!$F$38:$Q$38,Assumptions!$F$40:$Q$40)</f>
        <v>0.65</v>
      </c>
      <c r="J11" s="157">
        <f>_xlfn.XLOOKUP(MONTH(J$5),Assumptions!$F$38:$Q$38,Assumptions!$F$40:$Q$40)</f>
        <v>0.55000000000000004</v>
      </c>
      <c r="K11" s="157">
        <f>_xlfn.XLOOKUP(MONTH(K$5),Assumptions!$F$38:$Q$38,Assumptions!$F$40:$Q$40)</f>
        <v>0.45</v>
      </c>
      <c r="L11" s="157">
        <f>_xlfn.XLOOKUP(MONTH(L$5),Assumptions!$F$38:$Q$38,Assumptions!$F$40:$Q$40)</f>
        <v>0.1</v>
      </c>
      <c r="M11" s="157">
        <f>_xlfn.XLOOKUP(MONTH(M$5),Assumptions!$F$38:$Q$38,Assumptions!$F$40:$Q$40)</f>
        <v>0.1</v>
      </c>
      <c r="N11" s="157">
        <f>_xlfn.XLOOKUP(MONTH(N$5),Assumptions!$F$38:$Q$38,Assumptions!$F$40:$Q$40)</f>
        <v>0.55000000000000004</v>
      </c>
      <c r="O11" s="157">
        <f>_xlfn.XLOOKUP(MONTH(O$5),Assumptions!$F$38:$Q$38,Assumptions!$F$40:$Q$40)</f>
        <v>0.75</v>
      </c>
      <c r="P11" s="157">
        <f>_xlfn.XLOOKUP(MONTH(P$5),Assumptions!$F$38:$Q$38,Assumptions!$F$40:$Q$40)</f>
        <v>0.75</v>
      </c>
      <c r="Q11" s="157">
        <f>_xlfn.XLOOKUP(MONTH(Q$5),Assumptions!$F$38:$Q$38,Assumptions!$F$40:$Q$40)</f>
        <v>0.65</v>
      </c>
      <c r="R11" s="157">
        <f>_xlfn.XLOOKUP(MONTH(R$5),Assumptions!$F$38:$Q$38,Assumptions!$F$40:$Q$40)</f>
        <v>0.25</v>
      </c>
      <c r="S11" s="157">
        <f>_xlfn.XLOOKUP(MONTH(S$5),Assumptions!$F$38:$Q$38,Assumptions!$F$40:$Q$40)</f>
        <v>0.15</v>
      </c>
      <c r="T11" s="157">
        <f>_xlfn.XLOOKUP(MONTH(T$5),Assumptions!$F$38:$Q$38,Assumptions!$F$40:$Q$40)</f>
        <v>0.45</v>
      </c>
      <c r="U11" s="157">
        <f>_xlfn.XLOOKUP(MONTH(U$5),Assumptions!$F$38:$Q$38,Assumptions!$F$40:$Q$40)</f>
        <v>0.65</v>
      </c>
      <c r="V11" s="157">
        <f>_xlfn.XLOOKUP(MONTH(V$5),Assumptions!$F$38:$Q$38,Assumptions!$F$40:$Q$40)</f>
        <v>0.55000000000000004</v>
      </c>
      <c r="W11" s="157">
        <f>_xlfn.XLOOKUP(MONTH(W$5),Assumptions!$F$38:$Q$38,Assumptions!$F$40:$Q$40)</f>
        <v>0.45</v>
      </c>
      <c r="X11" s="157">
        <f>_xlfn.XLOOKUP(MONTH(X$5),Assumptions!$F$38:$Q$38,Assumptions!$F$40:$Q$40)</f>
        <v>0.1</v>
      </c>
      <c r="Y11" s="157">
        <f>_xlfn.XLOOKUP(MONTH(Y$5),Assumptions!$F$38:$Q$38,Assumptions!$F$40:$Q$40)</f>
        <v>0.1</v>
      </c>
      <c r="Z11" s="157">
        <f>_xlfn.XLOOKUP(MONTH(Z$5),Assumptions!$F$38:$Q$38,Assumptions!$F$40:$Q$40)</f>
        <v>0.55000000000000004</v>
      </c>
      <c r="AA11" s="157">
        <f>_xlfn.XLOOKUP(MONTH(AA$5),Assumptions!$F$38:$Q$38,Assumptions!$F$40:$Q$40)</f>
        <v>0.75</v>
      </c>
      <c r="AB11" s="157">
        <f>_xlfn.XLOOKUP(MONTH(AB$5),Assumptions!$F$38:$Q$38,Assumptions!$F$40:$Q$40)</f>
        <v>0.75</v>
      </c>
      <c r="AC11" s="157">
        <f>_xlfn.XLOOKUP(MONTH(AC$5),Assumptions!$F$38:$Q$38,Assumptions!$F$40:$Q$40)</f>
        <v>0.65</v>
      </c>
      <c r="AD11" s="157">
        <f>_xlfn.XLOOKUP(MONTH(AD$5),Assumptions!$F$38:$Q$38,Assumptions!$F$40:$Q$40)</f>
        <v>0.25</v>
      </c>
      <c r="AE11" s="157">
        <f>_xlfn.XLOOKUP(MONTH(AE$5),Assumptions!$F$38:$Q$38,Assumptions!$F$40:$Q$40)</f>
        <v>0.15</v>
      </c>
      <c r="AF11" s="157">
        <f>_xlfn.XLOOKUP(MONTH(AF$5),Assumptions!$F$38:$Q$38,Assumptions!$F$40:$Q$40)</f>
        <v>0.45</v>
      </c>
      <c r="AG11" s="157">
        <f>_xlfn.XLOOKUP(MONTH(AG$5),Assumptions!$F$38:$Q$38,Assumptions!$F$40:$Q$40)</f>
        <v>0.65</v>
      </c>
      <c r="AH11" s="157">
        <f>_xlfn.XLOOKUP(MONTH(AH$5),Assumptions!$F$38:$Q$38,Assumptions!$F$40:$Q$40)</f>
        <v>0.55000000000000004</v>
      </c>
      <c r="AI11" s="157">
        <f>_xlfn.XLOOKUP(MONTH(AI$5),Assumptions!$F$38:$Q$38,Assumptions!$F$40:$Q$40)</f>
        <v>0.45</v>
      </c>
      <c r="AJ11" s="157">
        <f>_xlfn.XLOOKUP(MONTH(AJ$5),Assumptions!$F$38:$Q$38,Assumptions!$F$40:$Q$40)</f>
        <v>0.1</v>
      </c>
      <c r="AK11" s="157">
        <f>_xlfn.XLOOKUP(MONTH(AK$5),Assumptions!$F$38:$Q$38,Assumptions!$F$40:$Q$40)</f>
        <v>0.1</v>
      </c>
      <c r="AL11" s="157">
        <f>_xlfn.XLOOKUP(MONTH(AL$5),Assumptions!$F$38:$Q$38,Assumptions!$F$40:$Q$40)</f>
        <v>0.55000000000000004</v>
      </c>
      <c r="AM11" s="157">
        <f>_xlfn.XLOOKUP(MONTH(AM$5),Assumptions!$F$38:$Q$38,Assumptions!$F$40:$Q$40)</f>
        <v>0.75</v>
      </c>
      <c r="AN11" s="157">
        <f>_xlfn.XLOOKUP(MONTH(AN$5),Assumptions!$F$38:$Q$38,Assumptions!$F$40:$Q$40)</f>
        <v>0.75</v>
      </c>
      <c r="AO11" s="157">
        <f>_xlfn.XLOOKUP(MONTH(AO$5),Assumptions!$F$38:$Q$38,Assumptions!$F$40:$Q$40)</f>
        <v>0.65</v>
      </c>
      <c r="AP11" s="157">
        <f>_xlfn.XLOOKUP(MONTH(AP$5),Assumptions!$F$38:$Q$38,Assumptions!$F$40:$Q$40)</f>
        <v>0.25</v>
      </c>
      <c r="AQ11" s="157">
        <f>_xlfn.XLOOKUP(MONTH(AQ$5),Assumptions!$F$38:$Q$38,Assumptions!$F$40:$Q$40)</f>
        <v>0.15</v>
      </c>
      <c r="AR11" s="157">
        <f>_xlfn.XLOOKUP(MONTH(AR$5),Assumptions!$F$38:$Q$38,Assumptions!$F$40:$Q$40)</f>
        <v>0.45</v>
      </c>
      <c r="AS11" s="157">
        <f>_xlfn.XLOOKUP(MONTH(AS$5),Assumptions!$F$38:$Q$38,Assumptions!$F$40:$Q$40)</f>
        <v>0.65</v>
      </c>
      <c r="AT11" s="157">
        <f>_xlfn.XLOOKUP(MONTH(AT$5),Assumptions!$F$38:$Q$38,Assumptions!$F$40:$Q$40)</f>
        <v>0.55000000000000004</v>
      </c>
      <c r="AU11" s="157">
        <f>_xlfn.XLOOKUP(MONTH(AU$5),Assumptions!$F$38:$Q$38,Assumptions!$F$40:$Q$40)</f>
        <v>0.45</v>
      </c>
      <c r="AV11" s="157">
        <f>_xlfn.XLOOKUP(MONTH(AV$5),Assumptions!$F$38:$Q$38,Assumptions!$F$40:$Q$40)</f>
        <v>0.1</v>
      </c>
      <c r="AW11" s="157">
        <f>_xlfn.XLOOKUP(MONTH(AW$5),Assumptions!$F$38:$Q$38,Assumptions!$F$40:$Q$40)</f>
        <v>0.1</v>
      </c>
      <c r="AX11" s="157">
        <f>_xlfn.XLOOKUP(MONTH(AX$5),Assumptions!$F$38:$Q$38,Assumptions!$F$40:$Q$40)</f>
        <v>0.55000000000000004</v>
      </c>
      <c r="AY11" s="157">
        <f>_xlfn.XLOOKUP(MONTH(AY$5),Assumptions!$F$38:$Q$38,Assumptions!$F$40:$Q$40)</f>
        <v>0.75</v>
      </c>
      <c r="AZ11" s="157">
        <f>_xlfn.XLOOKUP(MONTH(AZ$5),Assumptions!$F$38:$Q$38,Assumptions!$F$40:$Q$40)</f>
        <v>0.75</v>
      </c>
      <c r="BA11" s="157">
        <f>_xlfn.XLOOKUP(MONTH(BA$5),Assumptions!$F$38:$Q$38,Assumptions!$F$40:$Q$40)</f>
        <v>0.65</v>
      </c>
      <c r="BB11" s="157">
        <f>_xlfn.XLOOKUP(MONTH(BB$5),Assumptions!$F$38:$Q$38,Assumptions!$F$40:$Q$40)</f>
        <v>0.25</v>
      </c>
      <c r="BC11" s="157">
        <f>_xlfn.XLOOKUP(MONTH(BC$5),Assumptions!$F$38:$Q$38,Assumptions!$F$40:$Q$40)</f>
        <v>0.15</v>
      </c>
      <c r="BD11" s="157">
        <f>_xlfn.XLOOKUP(MONTH(BD$5),Assumptions!$F$38:$Q$38,Assumptions!$F$40:$Q$40)</f>
        <v>0.45</v>
      </c>
      <c r="BE11" s="157">
        <f>_xlfn.XLOOKUP(MONTH(BE$5),Assumptions!$F$38:$Q$38,Assumptions!$F$40:$Q$40)</f>
        <v>0.65</v>
      </c>
      <c r="BF11" s="157">
        <f>_xlfn.XLOOKUP(MONTH(BF$5),Assumptions!$F$38:$Q$38,Assumptions!$F$40:$Q$40)</f>
        <v>0.55000000000000004</v>
      </c>
      <c r="BG11" s="157">
        <f>_xlfn.XLOOKUP(MONTH(BG$5),Assumptions!$F$38:$Q$38,Assumptions!$F$40:$Q$40)</f>
        <v>0.45</v>
      </c>
      <c r="BH11" s="157">
        <f>_xlfn.XLOOKUP(MONTH(BH$5),Assumptions!$F$38:$Q$38,Assumptions!$F$40:$Q$40)</f>
        <v>0.1</v>
      </c>
      <c r="BI11" s="157">
        <f>_xlfn.XLOOKUP(MONTH(BI$5),Assumptions!$F$38:$Q$38,Assumptions!$F$40:$Q$40)</f>
        <v>0.1</v>
      </c>
      <c r="BJ11" s="157">
        <f>_xlfn.XLOOKUP(MONTH(BJ$5),Assumptions!$F$38:$Q$38,Assumptions!$F$40:$Q$40)</f>
        <v>0.55000000000000004</v>
      </c>
      <c r="BK11" s="157">
        <f>_xlfn.XLOOKUP(MONTH(BK$5),Assumptions!$F$38:$Q$38,Assumptions!$F$40:$Q$40)</f>
        <v>0.75</v>
      </c>
      <c r="BL11" s="157">
        <f>_xlfn.XLOOKUP(MONTH(BL$5),Assumptions!$F$38:$Q$38,Assumptions!$F$40:$Q$40)</f>
        <v>0.75</v>
      </c>
      <c r="BM11" s="157">
        <f>_xlfn.XLOOKUP(MONTH(BM$5),Assumptions!$F$38:$Q$38,Assumptions!$F$40:$Q$40)</f>
        <v>0.65</v>
      </c>
      <c r="BN11" s="157">
        <f>_xlfn.XLOOKUP(MONTH(BN$5),Assumptions!$F$38:$Q$38,Assumptions!$F$40:$Q$40)</f>
        <v>0.25</v>
      </c>
      <c r="BO11" s="157">
        <f>_xlfn.XLOOKUP(MONTH(BO$5),Assumptions!$F$38:$Q$38,Assumptions!$F$40:$Q$40)</f>
        <v>0.15</v>
      </c>
      <c r="BP11" s="157">
        <f>_xlfn.XLOOKUP(MONTH(BP$5),Assumptions!$F$38:$Q$38,Assumptions!$F$40:$Q$40)</f>
        <v>0.45</v>
      </c>
      <c r="BQ11" s="157">
        <f>_xlfn.XLOOKUP(MONTH(BQ$5),Assumptions!$F$38:$Q$38,Assumptions!$F$40:$Q$40)</f>
        <v>0.65</v>
      </c>
      <c r="BR11" s="157">
        <f>_xlfn.XLOOKUP(MONTH(BR$5),Assumptions!$F$38:$Q$38,Assumptions!$F$40:$Q$40)</f>
        <v>0.55000000000000004</v>
      </c>
      <c r="BS11" s="157">
        <f>_xlfn.XLOOKUP(MONTH(BS$5),Assumptions!$F$38:$Q$38,Assumptions!$F$40:$Q$40)</f>
        <v>0.45</v>
      </c>
      <c r="BT11" s="157">
        <f>_xlfn.XLOOKUP(MONTH(BT$5),Assumptions!$F$38:$Q$38,Assumptions!$F$40:$Q$40)</f>
        <v>0.1</v>
      </c>
      <c r="BU11" s="157">
        <f>_xlfn.XLOOKUP(MONTH(BU$5),Assumptions!$F$38:$Q$38,Assumptions!$F$40:$Q$40)</f>
        <v>0.1</v>
      </c>
      <c r="BV11" s="157">
        <f>_xlfn.XLOOKUP(MONTH(BV$5),Assumptions!$F$38:$Q$38,Assumptions!$F$40:$Q$40)</f>
        <v>0.55000000000000004</v>
      </c>
      <c r="BW11" s="157">
        <f>_xlfn.XLOOKUP(MONTH(BW$5),Assumptions!$F$38:$Q$38,Assumptions!$F$40:$Q$40)</f>
        <v>0.75</v>
      </c>
      <c r="BX11" s="157">
        <f>_xlfn.XLOOKUP(MONTH(BX$5),Assumptions!$F$38:$Q$38,Assumptions!$F$40:$Q$40)</f>
        <v>0.75</v>
      </c>
      <c r="BY11" s="157">
        <f>_xlfn.XLOOKUP(MONTH(BY$5),Assumptions!$F$38:$Q$38,Assumptions!$F$40:$Q$40)</f>
        <v>0.65</v>
      </c>
      <c r="BZ11" s="157">
        <f>_xlfn.XLOOKUP(MONTH(BZ$5),Assumptions!$F$38:$Q$38,Assumptions!$F$40:$Q$40)</f>
        <v>0.25</v>
      </c>
      <c r="CA11" s="157">
        <f>_xlfn.XLOOKUP(MONTH(CA$5),Assumptions!$F$38:$Q$38,Assumptions!$F$40:$Q$40)</f>
        <v>0.15</v>
      </c>
      <c r="CB11" s="157">
        <f>_xlfn.XLOOKUP(MONTH(CB$5),Assumptions!$F$38:$Q$38,Assumptions!$F$40:$Q$40)</f>
        <v>0.45</v>
      </c>
      <c r="CC11" s="157">
        <f>_xlfn.XLOOKUP(MONTH(CC$5),Assumptions!$F$38:$Q$38,Assumptions!$F$40:$Q$40)</f>
        <v>0.65</v>
      </c>
      <c r="CD11" s="157">
        <f>_xlfn.XLOOKUP(MONTH(CD$5),Assumptions!$F$38:$Q$38,Assumptions!$F$40:$Q$40)</f>
        <v>0.55000000000000004</v>
      </c>
      <c r="CE11" s="157">
        <f>_xlfn.XLOOKUP(MONTH(CE$5),Assumptions!$F$38:$Q$38,Assumptions!$F$40:$Q$40)</f>
        <v>0.45</v>
      </c>
      <c r="CF11" s="157">
        <f>_xlfn.XLOOKUP(MONTH(CF$5),Assumptions!$F$38:$Q$38,Assumptions!$F$40:$Q$40)</f>
        <v>0.1</v>
      </c>
      <c r="CG11" s="157">
        <f>_xlfn.XLOOKUP(MONTH(CG$5),Assumptions!$F$38:$Q$38,Assumptions!$F$40:$Q$40)</f>
        <v>0.1</v>
      </c>
      <c r="CH11" s="157">
        <f>_xlfn.XLOOKUP(MONTH(CH$5),Assumptions!$F$38:$Q$38,Assumptions!$F$40:$Q$40)</f>
        <v>0.55000000000000004</v>
      </c>
      <c r="CI11" s="157">
        <f>_xlfn.XLOOKUP(MONTH(CI$5),Assumptions!$F$38:$Q$38,Assumptions!$F$40:$Q$40)</f>
        <v>0.75</v>
      </c>
      <c r="CJ11" s="157">
        <f>_xlfn.XLOOKUP(MONTH(CJ$5),Assumptions!$F$38:$Q$38,Assumptions!$F$40:$Q$40)</f>
        <v>0.75</v>
      </c>
      <c r="CK11" s="157">
        <f>_xlfn.XLOOKUP(MONTH(CK$5),Assumptions!$F$38:$Q$38,Assumptions!$F$40:$Q$40)</f>
        <v>0.65</v>
      </c>
      <c r="CL11" s="157">
        <f>_xlfn.XLOOKUP(MONTH(CL$5),Assumptions!$F$38:$Q$38,Assumptions!$F$40:$Q$40)</f>
        <v>0.25</v>
      </c>
      <c r="CM11" s="157">
        <f>_xlfn.XLOOKUP(MONTH(CM$5),Assumptions!$F$38:$Q$38,Assumptions!$F$40:$Q$40)</f>
        <v>0.15</v>
      </c>
      <c r="CN11" s="157">
        <f>_xlfn.XLOOKUP(MONTH(CN$5),Assumptions!$F$38:$Q$38,Assumptions!$F$40:$Q$40)</f>
        <v>0.45</v>
      </c>
      <c r="CO11" s="157">
        <f>_xlfn.XLOOKUP(MONTH(CO$5),Assumptions!$F$38:$Q$38,Assumptions!$F$40:$Q$40)</f>
        <v>0.65</v>
      </c>
      <c r="CP11" s="157">
        <f>_xlfn.XLOOKUP(MONTH(CP$5),Assumptions!$F$38:$Q$38,Assumptions!$F$40:$Q$40)</f>
        <v>0.55000000000000004</v>
      </c>
      <c r="CQ11" s="157">
        <f>_xlfn.XLOOKUP(MONTH(CQ$5),Assumptions!$F$38:$Q$38,Assumptions!$F$40:$Q$40)</f>
        <v>0.45</v>
      </c>
      <c r="CR11" s="157">
        <f>_xlfn.XLOOKUP(MONTH(CR$5),Assumptions!$F$38:$Q$38,Assumptions!$F$40:$Q$40)</f>
        <v>0.1</v>
      </c>
      <c r="CS11" s="157">
        <f>_xlfn.XLOOKUP(MONTH(CS$5),Assumptions!$F$38:$Q$38,Assumptions!$F$40:$Q$40)</f>
        <v>0.1</v>
      </c>
      <c r="CT11" s="157">
        <f>_xlfn.XLOOKUP(MONTH(CT$5),Assumptions!$F$38:$Q$38,Assumptions!$F$40:$Q$40)</f>
        <v>0.55000000000000004</v>
      </c>
      <c r="CU11" s="157">
        <f>_xlfn.XLOOKUP(MONTH(CU$5),Assumptions!$F$38:$Q$38,Assumptions!$F$40:$Q$40)</f>
        <v>0.75</v>
      </c>
      <c r="CV11" s="157">
        <f>_xlfn.XLOOKUP(MONTH(CV$5),Assumptions!$F$38:$Q$38,Assumptions!$F$40:$Q$40)</f>
        <v>0.75</v>
      </c>
      <c r="CW11" s="157">
        <f>_xlfn.XLOOKUP(MONTH(CW$5),Assumptions!$F$38:$Q$38,Assumptions!$F$40:$Q$40)</f>
        <v>0.65</v>
      </c>
      <c r="CX11" s="157">
        <f>_xlfn.XLOOKUP(MONTH(CX$5),Assumptions!$F$38:$Q$38,Assumptions!$F$40:$Q$40)</f>
        <v>0.25</v>
      </c>
      <c r="CY11" s="157">
        <f>_xlfn.XLOOKUP(MONTH(CY$5),Assumptions!$F$38:$Q$38,Assumptions!$F$40:$Q$40)</f>
        <v>0.15</v>
      </c>
      <c r="CZ11" s="157">
        <f>_xlfn.XLOOKUP(MONTH(CZ$5),Assumptions!$F$38:$Q$38,Assumptions!$F$40:$Q$40)</f>
        <v>0.45</v>
      </c>
      <c r="DA11" s="157">
        <f>_xlfn.XLOOKUP(MONTH(DA$5),Assumptions!$F$38:$Q$38,Assumptions!$F$40:$Q$40)</f>
        <v>0.65</v>
      </c>
      <c r="DB11" s="157">
        <f>_xlfn.XLOOKUP(MONTH(DB$5),Assumptions!$F$38:$Q$38,Assumptions!$F$40:$Q$40)</f>
        <v>0.55000000000000004</v>
      </c>
      <c r="DC11" s="157">
        <f>_xlfn.XLOOKUP(MONTH(DC$5),Assumptions!$F$38:$Q$38,Assumptions!$F$40:$Q$40)</f>
        <v>0.45</v>
      </c>
      <c r="DD11" s="157">
        <f>_xlfn.XLOOKUP(MONTH(DD$5),Assumptions!$F$38:$Q$38,Assumptions!$F$40:$Q$40)</f>
        <v>0.1</v>
      </c>
      <c r="DE11" s="157">
        <f>_xlfn.XLOOKUP(MONTH(DE$5),Assumptions!$F$38:$Q$38,Assumptions!$F$40:$Q$40)</f>
        <v>0.1</v>
      </c>
      <c r="DF11" s="157">
        <f>_xlfn.XLOOKUP(MONTH(DF$5),Assumptions!$F$38:$Q$38,Assumptions!$F$40:$Q$40)</f>
        <v>0.55000000000000004</v>
      </c>
      <c r="DG11" s="157">
        <f>_xlfn.XLOOKUP(MONTH(DG$5),Assumptions!$F$38:$Q$38,Assumptions!$F$40:$Q$40)</f>
        <v>0.75</v>
      </c>
      <c r="DH11" s="157">
        <f>_xlfn.XLOOKUP(MONTH(DH$5),Assumptions!$F$38:$Q$38,Assumptions!$F$40:$Q$40)</f>
        <v>0.75</v>
      </c>
      <c r="DI11" s="157">
        <f>_xlfn.XLOOKUP(MONTH(DI$5),Assumptions!$F$38:$Q$38,Assumptions!$F$40:$Q$40)</f>
        <v>0.65</v>
      </c>
      <c r="DJ11" s="157">
        <f>_xlfn.XLOOKUP(MONTH(DJ$5),Assumptions!$F$38:$Q$38,Assumptions!$F$40:$Q$40)</f>
        <v>0.25</v>
      </c>
      <c r="DK11" s="157">
        <f>_xlfn.XLOOKUP(MONTH(DK$5),Assumptions!$F$38:$Q$38,Assumptions!$F$40:$Q$40)</f>
        <v>0.15</v>
      </c>
      <c r="DL11" s="157">
        <f>_xlfn.XLOOKUP(MONTH(DL$5),Assumptions!$F$38:$Q$38,Assumptions!$F$40:$Q$40)</f>
        <v>0.45</v>
      </c>
      <c r="DM11" s="157">
        <f>_xlfn.XLOOKUP(MONTH(DM$5),Assumptions!$F$38:$Q$38,Assumptions!$F$40:$Q$40)</f>
        <v>0.65</v>
      </c>
      <c r="DN11" s="157">
        <f>_xlfn.XLOOKUP(MONTH(DN$5),Assumptions!$F$38:$Q$38,Assumptions!$F$40:$Q$40)</f>
        <v>0.55000000000000004</v>
      </c>
      <c r="DO11" s="157">
        <f>_xlfn.XLOOKUP(MONTH(DO$5),Assumptions!$F$38:$Q$38,Assumptions!$F$40:$Q$40)</f>
        <v>0.45</v>
      </c>
      <c r="DP11" s="157">
        <f>_xlfn.XLOOKUP(MONTH(DP$5),Assumptions!$F$38:$Q$38,Assumptions!$F$40:$Q$40)</f>
        <v>0.1</v>
      </c>
      <c r="DQ11" s="157">
        <f>_xlfn.XLOOKUP(MONTH(DQ$5),Assumptions!$F$38:$Q$38,Assumptions!$F$40:$Q$40)</f>
        <v>0.1</v>
      </c>
      <c r="DR11" s="157">
        <f>_xlfn.XLOOKUP(MONTH(DR$5),Assumptions!$F$38:$Q$38,Assumptions!$F$40:$Q$40)</f>
        <v>0.55000000000000004</v>
      </c>
      <c r="DS11" s="157"/>
      <c r="DT11" s="157"/>
      <c r="DU11" s="157"/>
      <c r="DV11" s="157"/>
      <c r="DW11" s="157"/>
      <c r="DX11" s="157"/>
      <c r="DY11" s="157"/>
      <c r="DZ11" s="157"/>
      <c r="EA11" s="157"/>
      <c r="EB11" s="157"/>
      <c r="EC11" s="157"/>
      <c r="ED11" s="157"/>
    </row>
    <row r="12" spans="1:134" s="393" customFormat="1" ht="16" x14ac:dyDescent="0.2">
      <c r="A12" s="391"/>
      <c r="B12" s="397" t="s">
        <v>762</v>
      </c>
      <c r="C12" s="394">
        <f>SUM(C8:C10)*C11</f>
        <v>0</v>
      </c>
      <c r="D12" s="394">
        <f t="shared" ref="D12:BO12" si="10">SUM(D8:D10)*D11</f>
        <v>0</v>
      </c>
      <c r="E12" s="394">
        <f t="shared" si="10"/>
        <v>0</v>
      </c>
      <c r="F12" s="394">
        <f t="shared" si="10"/>
        <v>0</v>
      </c>
      <c r="G12" s="394">
        <f t="shared" si="10"/>
        <v>0</v>
      </c>
      <c r="H12" s="394">
        <f t="shared" si="10"/>
        <v>0</v>
      </c>
      <c r="I12" s="394">
        <f t="shared" si="10"/>
        <v>0</v>
      </c>
      <c r="J12" s="394">
        <f t="shared" si="10"/>
        <v>0</v>
      </c>
      <c r="K12" s="394">
        <f t="shared" si="10"/>
        <v>0</v>
      </c>
      <c r="L12" s="394">
        <f t="shared" si="10"/>
        <v>0</v>
      </c>
      <c r="M12" s="394">
        <f t="shared" si="10"/>
        <v>0</v>
      </c>
      <c r="N12" s="394">
        <f t="shared" si="10"/>
        <v>0</v>
      </c>
      <c r="O12" s="394">
        <f t="shared" si="10"/>
        <v>221993.32500000001</v>
      </c>
      <c r="P12" s="394">
        <f t="shared" si="10"/>
        <v>200510.09999999998</v>
      </c>
      <c r="Q12" s="394">
        <f t="shared" si="10"/>
        <v>192394.21500000003</v>
      </c>
      <c r="R12" s="394">
        <f t="shared" si="10"/>
        <v>71610.75</v>
      </c>
      <c r="S12" s="394">
        <f t="shared" si="10"/>
        <v>44398.665000000001</v>
      </c>
      <c r="T12" s="394">
        <f t="shared" si="10"/>
        <v>128899.35</v>
      </c>
      <c r="U12" s="394">
        <f t="shared" si="10"/>
        <v>192394.21500000003</v>
      </c>
      <c r="V12" s="394">
        <f t="shared" si="10"/>
        <v>162795.10500000004</v>
      </c>
      <c r="W12" s="394">
        <f t="shared" si="10"/>
        <v>128899.35</v>
      </c>
      <c r="X12" s="394">
        <f t="shared" si="10"/>
        <v>29599.110000000004</v>
      </c>
      <c r="Y12" s="394">
        <f t="shared" si="10"/>
        <v>28644.300000000003</v>
      </c>
      <c r="Z12" s="394">
        <f t="shared" si="10"/>
        <v>162795.10500000004</v>
      </c>
      <c r="AA12" s="394">
        <f t="shared" si="10"/>
        <v>426819.16620000004</v>
      </c>
      <c r="AB12" s="394">
        <f t="shared" si="10"/>
        <v>399282.44580000004</v>
      </c>
      <c r="AC12" s="394">
        <f t="shared" si="10"/>
        <v>369909.94404000003</v>
      </c>
      <c r="AD12" s="394">
        <f t="shared" si="10"/>
        <v>137683.60200000001</v>
      </c>
      <c r="AE12" s="394">
        <f t="shared" si="10"/>
        <v>85363.833240000007</v>
      </c>
      <c r="AF12" s="394">
        <f t="shared" si="10"/>
        <v>247830.48360000004</v>
      </c>
      <c r="AG12" s="394">
        <f t="shared" si="10"/>
        <v>369909.94404000003</v>
      </c>
      <c r="AH12" s="394">
        <f t="shared" si="10"/>
        <v>313000.72188000003</v>
      </c>
      <c r="AI12" s="394">
        <f t="shared" si="10"/>
        <v>247830.48360000004</v>
      </c>
      <c r="AJ12" s="394">
        <f t="shared" si="10"/>
        <v>56909.222160000005</v>
      </c>
      <c r="AK12" s="394">
        <f t="shared" si="10"/>
        <v>55073.440800000011</v>
      </c>
      <c r="AL12" s="394">
        <f t="shared" si="10"/>
        <v>313000.72188000003</v>
      </c>
      <c r="AM12" s="394">
        <f t="shared" si="10"/>
        <v>1690457.9571795003</v>
      </c>
      <c r="AN12" s="394">
        <f t="shared" si="10"/>
        <v>1526865.2516460002</v>
      </c>
      <c r="AO12" s="394">
        <f t="shared" si="10"/>
        <v>1465063.5628889003</v>
      </c>
      <c r="AP12" s="394">
        <f t="shared" si="10"/>
        <v>545309.01844500005</v>
      </c>
      <c r="AQ12" s="394">
        <f t="shared" si="10"/>
        <v>338091.59143590002</v>
      </c>
      <c r="AR12" s="394">
        <f t="shared" si="10"/>
        <v>981556.23320100014</v>
      </c>
      <c r="AS12" s="394">
        <f t="shared" si="10"/>
        <v>1465063.5628889003</v>
      </c>
      <c r="AT12" s="394">
        <f t="shared" si="10"/>
        <v>1239669.1685983003</v>
      </c>
      <c r="AU12" s="394">
        <f t="shared" si="10"/>
        <v>981556.23320100014</v>
      </c>
      <c r="AV12" s="394">
        <f t="shared" si="10"/>
        <v>225394.39429060003</v>
      </c>
      <c r="AW12" s="394">
        <f t="shared" si="10"/>
        <v>218123.60737800004</v>
      </c>
      <c r="AX12" s="394">
        <f t="shared" si="10"/>
        <v>1239669.1685983003</v>
      </c>
      <c r="AY12" s="394">
        <f t="shared" si="10"/>
        <v>2436562.2493637404</v>
      </c>
      <c r="AZ12" s="394">
        <f t="shared" si="10"/>
        <v>2200765.9026511204</v>
      </c>
      <c r="BA12" s="394">
        <f t="shared" si="10"/>
        <v>2111687.2827819083</v>
      </c>
      <c r="BB12" s="394">
        <f t="shared" si="10"/>
        <v>785987.82237540022</v>
      </c>
      <c r="BC12" s="394">
        <f t="shared" si="10"/>
        <v>487312.44987274805</v>
      </c>
      <c r="BD12" s="394">
        <f t="shared" si="10"/>
        <v>1414778.0802757205</v>
      </c>
      <c r="BE12" s="394">
        <f t="shared" si="10"/>
        <v>2111687.2827819083</v>
      </c>
      <c r="BF12" s="394">
        <f t="shared" si="10"/>
        <v>1786812.3162000764</v>
      </c>
      <c r="BG12" s="394">
        <f t="shared" si="10"/>
        <v>1414778.0802757205</v>
      </c>
      <c r="BH12" s="394">
        <f t="shared" si="10"/>
        <v>324874.96658183209</v>
      </c>
      <c r="BI12" s="394">
        <f t="shared" si="10"/>
        <v>314395.12895016011</v>
      </c>
      <c r="BJ12" s="394">
        <f t="shared" si="10"/>
        <v>1786812.3162000764</v>
      </c>
      <c r="BK12" s="394">
        <f t="shared" si="10"/>
        <v>3225911.3869175739</v>
      </c>
      <c r="BL12" s="394">
        <f t="shared" si="10"/>
        <v>2913726.4139900669</v>
      </c>
      <c r="BM12" s="394">
        <f t="shared" si="10"/>
        <v>2795789.8686618973</v>
      </c>
      <c r="BN12" s="394">
        <f t="shared" si="10"/>
        <v>1040616.5764250238</v>
      </c>
      <c r="BO12" s="394">
        <f t="shared" si="10"/>
        <v>645182.2773835148</v>
      </c>
      <c r="BP12" s="394">
        <f t="shared" ref="BP12:DR12" si="11">SUM(BP8:BP10)*BP11</f>
        <v>1873109.837565043</v>
      </c>
      <c r="BQ12" s="394">
        <f t="shared" si="11"/>
        <v>2795789.8686618973</v>
      </c>
      <c r="BR12" s="394">
        <f t="shared" si="11"/>
        <v>2365668.3504062211</v>
      </c>
      <c r="BS12" s="394">
        <f t="shared" si="11"/>
        <v>1873109.837565043</v>
      </c>
      <c r="BT12" s="394">
        <f t="shared" si="11"/>
        <v>430121.51825567655</v>
      </c>
      <c r="BU12" s="394">
        <f t="shared" si="11"/>
        <v>416246.63057000958</v>
      </c>
      <c r="BV12" s="394">
        <f t="shared" si="11"/>
        <v>2365668.3504062211</v>
      </c>
      <c r="BW12" s="394">
        <f t="shared" si="11"/>
        <v>3837390.9412054094</v>
      </c>
      <c r="BX12" s="394">
        <f t="shared" si="11"/>
        <v>3589817.3320953827</v>
      </c>
      <c r="BY12" s="394">
        <f t="shared" si="11"/>
        <v>3325738.8157113553</v>
      </c>
      <c r="BZ12" s="394">
        <f t="shared" si="11"/>
        <v>1237868.0455501322</v>
      </c>
      <c r="CA12" s="394">
        <f t="shared" si="11"/>
        <v>767478.18824108189</v>
      </c>
      <c r="CB12" s="394">
        <f t="shared" si="11"/>
        <v>2228162.4819902382</v>
      </c>
      <c r="CC12" s="394">
        <f t="shared" si="11"/>
        <v>3325738.8157113553</v>
      </c>
      <c r="CD12" s="394">
        <f t="shared" si="11"/>
        <v>2814086.6902173008</v>
      </c>
      <c r="CE12" s="394">
        <f t="shared" si="11"/>
        <v>2228162.4819902382</v>
      </c>
      <c r="CF12" s="394">
        <f t="shared" si="11"/>
        <v>511652.12549405464</v>
      </c>
      <c r="CG12" s="394">
        <f t="shared" si="11"/>
        <v>495147.21822005289</v>
      </c>
      <c r="CH12" s="394">
        <f t="shared" si="11"/>
        <v>2814086.6902173008</v>
      </c>
      <c r="CI12" s="394">
        <f t="shared" si="11"/>
        <v>3952512.6694415719</v>
      </c>
      <c r="CJ12" s="394">
        <f t="shared" si="11"/>
        <v>3570011.4433665806</v>
      </c>
      <c r="CK12" s="394">
        <f t="shared" si="11"/>
        <v>3425510.9801826957</v>
      </c>
      <c r="CL12" s="394">
        <f t="shared" si="11"/>
        <v>1275004.086916636</v>
      </c>
      <c r="CM12" s="394">
        <f t="shared" si="11"/>
        <v>790502.53388831438</v>
      </c>
      <c r="CN12" s="394">
        <f t="shared" si="11"/>
        <v>2295007.3564499449</v>
      </c>
      <c r="CO12" s="394">
        <f t="shared" si="11"/>
        <v>3425510.9801826957</v>
      </c>
      <c r="CP12" s="394">
        <f t="shared" si="11"/>
        <v>2898509.2909238199</v>
      </c>
      <c r="CQ12" s="394">
        <f t="shared" si="11"/>
        <v>2295007.3564499449</v>
      </c>
      <c r="CR12" s="394">
        <f t="shared" si="11"/>
        <v>527001.68925887626</v>
      </c>
      <c r="CS12" s="394">
        <f t="shared" si="11"/>
        <v>510001.6347666544</v>
      </c>
      <c r="CT12" s="394">
        <f t="shared" si="11"/>
        <v>2898509.2909238199</v>
      </c>
      <c r="CU12" s="394">
        <f t="shared" si="11"/>
        <v>4071088.0495248185</v>
      </c>
      <c r="CV12" s="394">
        <f t="shared" si="11"/>
        <v>3677111.7866675779</v>
      </c>
      <c r="CW12" s="394">
        <f t="shared" si="11"/>
        <v>3528276.3095881762</v>
      </c>
      <c r="CX12" s="394">
        <f t="shared" si="11"/>
        <v>1313254.2095241351</v>
      </c>
      <c r="CY12" s="394">
        <f t="shared" si="11"/>
        <v>814217.60990496364</v>
      </c>
      <c r="CZ12" s="394">
        <f t="shared" si="11"/>
        <v>2363857.5771434433</v>
      </c>
      <c r="DA12" s="394">
        <f t="shared" si="11"/>
        <v>3528276.3095881762</v>
      </c>
      <c r="DB12" s="394">
        <f t="shared" si="11"/>
        <v>2985464.5696515338</v>
      </c>
      <c r="DC12" s="394">
        <f t="shared" si="11"/>
        <v>2363857.5771434433</v>
      </c>
      <c r="DD12" s="394">
        <f t="shared" si="11"/>
        <v>542811.73993664247</v>
      </c>
      <c r="DE12" s="394">
        <f t="shared" si="11"/>
        <v>525301.68380965409</v>
      </c>
      <c r="DF12" s="394">
        <f t="shared" si="11"/>
        <v>2985464.5696515338</v>
      </c>
      <c r="DG12" s="394" t="e">
        <f t="shared" si="11"/>
        <v>#N/A</v>
      </c>
      <c r="DH12" s="394" t="e">
        <f t="shared" si="11"/>
        <v>#N/A</v>
      </c>
      <c r="DI12" s="394" t="e">
        <f t="shared" si="11"/>
        <v>#N/A</v>
      </c>
      <c r="DJ12" s="394" t="e">
        <f t="shared" si="11"/>
        <v>#N/A</v>
      </c>
      <c r="DK12" s="394" t="e">
        <f t="shared" si="11"/>
        <v>#N/A</v>
      </c>
      <c r="DL12" s="394" t="e">
        <f t="shared" si="11"/>
        <v>#N/A</v>
      </c>
      <c r="DM12" s="394" t="e">
        <f t="shared" si="11"/>
        <v>#N/A</v>
      </c>
      <c r="DN12" s="394" t="e">
        <f t="shared" si="11"/>
        <v>#N/A</v>
      </c>
      <c r="DO12" s="394" t="e">
        <f t="shared" si="11"/>
        <v>#N/A</v>
      </c>
      <c r="DP12" s="394" t="e">
        <f t="shared" si="11"/>
        <v>#N/A</v>
      </c>
      <c r="DQ12" s="394" t="e">
        <f t="shared" si="11"/>
        <v>#N/A</v>
      </c>
      <c r="DR12" s="394" t="e">
        <f t="shared" si="11"/>
        <v>#N/A</v>
      </c>
      <c r="DS12" s="394"/>
      <c r="DT12" s="394"/>
      <c r="DU12" s="394"/>
      <c r="DV12" s="394"/>
      <c r="DW12" s="394"/>
      <c r="DX12" s="394"/>
      <c r="DY12" s="394"/>
      <c r="DZ12" s="394"/>
      <c r="EA12" s="394"/>
      <c r="EB12" s="394"/>
      <c r="EC12" s="394"/>
      <c r="ED12" s="394"/>
    </row>
    <row r="13" spans="1:134" s="393" customFormat="1" ht="16" x14ac:dyDescent="0.2">
      <c r="A13" s="391"/>
      <c r="B13" s="398" t="s">
        <v>763</v>
      </c>
      <c r="C13" s="395">
        <f>C12*-Assumptions!$C$36</f>
        <v>0</v>
      </c>
      <c r="D13" s="395">
        <f>D12*-Assumptions!$C$36</f>
        <v>0</v>
      </c>
      <c r="E13" s="395">
        <f>E12*-Assumptions!$C$36</f>
        <v>0</v>
      </c>
      <c r="F13" s="395">
        <f>F12*-Assumptions!$C$36</f>
        <v>0</v>
      </c>
      <c r="G13" s="395">
        <f>G12*-Assumptions!$C$36</f>
        <v>0</v>
      </c>
      <c r="H13" s="395">
        <f>H12*-Assumptions!$C$36</f>
        <v>0</v>
      </c>
      <c r="I13" s="395">
        <f>I12*-Assumptions!$C$36</f>
        <v>0</v>
      </c>
      <c r="J13" s="395">
        <f>J12*-Assumptions!$C$36</f>
        <v>0</v>
      </c>
      <c r="K13" s="395">
        <f>K12*-Assumptions!$C$36</f>
        <v>0</v>
      </c>
      <c r="L13" s="395">
        <f>L12*-Assumptions!$C$36</f>
        <v>0</v>
      </c>
      <c r="M13" s="395">
        <f>M12*-Assumptions!$C$36</f>
        <v>0</v>
      </c>
      <c r="N13" s="395">
        <f>N12*-Assumptions!$C$36</f>
        <v>0</v>
      </c>
      <c r="O13" s="395">
        <f>O12*-Assumptions!$C$36</f>
        <v>-77697.663749999992</v>
      </c>
      <c r="P13" s="395">
        <f>P12*-Assumptions!$C$36</f>
        <v>-70178.534999999989</v>
      </c>
      <c r="Q13" s="395">
        <f>Q12*-Assumptions!$C$36</f>
        <v>-67337.975250000003</v>
      </c>
      <c r="R13" s="395">
        <f>R12*-Assumptions!$C$36</f>
        <v>-25063.762499999997</v>
      </c>
      <c r="S13" s="395">
        <f>S12*-Assumptions!$C$36</f>
        <v>-15539.532749999998</v>
      </c>
      <c r="T13" s="395">
        <f>T12*-Assumptions!$C$36</f>
        <v>-45114.772499999999</v>
      </c>
      <c r="U13" s="395">
        <f>U12*-Assumptions!$C$36</f>
        <v>-67337.975250000003</v>
      </c>
      <c r="V13" s="395">
        <f>V12*-Assumptions!$C$36</f>
        <v>-56978.286750000014</v>
      </c>
      <c r="W13" s="395">
        <f>W12*-Assumptions!$C$36</f>
        <v>-45114.772499999999</v>
      </c>
      <c r="X13" s="395">
        <f>X12*-Assumptions!$C$36</f>
        <v>-10359.6885</v>
      </c>
      <c r="Y13" s="395">
        <f>Y12*-Assumptions!$C$36</f>
        <v>-10025.505000000001</v>
      </c>
      <c r="Z13" s="395">
        <f>Z12*-Assumptions!$C$36</f>
        <v>-56978.286750000014</v>
      </c>
      <c r="AA13" s="395">
        <f>AA12*-Assumptions!$C$36</f>
        <v>-149386.70817</v>
      </c>
      <c r="AB13" s="395">
        <f>AB12*-Assumptions!$C$36</f>
        <v>-139748.85603</v>
      </c>
      <c r="AC13" s="395">
        <f>AC12*-Assumptions!$C$36</f>
        <v>-129468.48041400001</v>
      </c>
      <c r="AD13" s="395">
        <f>AD12*-Assumptions!$C$36</f>
        <v>-48189.260699999999</v>
      </c>
      <c r="AE13" s="395">
        <f>AE12*-Assumptions!$C$36</f>
        <v>-29877.341634</v>
      </c>
      <c r="AF13" s="395">
        <f>AF12*-Assumptions!$C$36</f>
        <v>-86740.66926000001</v>
      </c>
      <c r="AG13" s="395">
        <f>AG12*-Assumptions!$C$36</f>
        <v>-129468.48041400001</v>
      </c>
      <c r="AH13" s="395">
        <f>AH12*-Assumptions!$C$36</f>
        <v>-109550.252658</v>
      </c>
      <c r="AI13" s="395">
        <f>AI12*-Assumptions!$C$36</f>
        <v>-86740.66926000001</v>
      </c>
      <c r="AJ13" s="395">
        <f>AJ12*-Assumptions!$C$36</f>
        <v>-19918.227756</v>
      </c>
      <c r="AK13" s="395">
        <f>AK12*-Assumptions!$C$36</f>
        <v>-19275.704280000002</v>
      </c>
      <c r="AL13" s="395">
        <f>AL12*-Assumptions!$C$36</f>
        <v>-109550.252658</v>
      </c>
      <c r="AM13" s="395">
        <f>AM12*-Assumptions!$C$36</f>
        <v>-591660.28501282504</v>
      </c>
      <c r="AN13" s="395">
        <f>AN12*-Assumptions!$C$36</f>
        <v>-534402.83807609999</v>
      </c>
      <c r="AO13" s="395">
        <f>AO12*-Assumptions!$C$36</f>
        <v>-512772.24701111508</v>
      </c>
      <c r="AP13" s="395">
        <f>AP12*-Assumptions!$C$36</f>
        <v>-190858.15645575</v>
      </c>
      <c r="AQ13" s="395">
        <f>AQ12*-Assumptions!$C$36</f>
        <v>-118332.05700256499</v>
      </c>
      <c r="AR13" s="395">
        <f>AR12*-Assumptions!$C$36</f>
        <v>-343544.68162035005</v>
      </c>
      <c r="AS13" s="395">
        <f>AS12*-Assumptions!$C$36</f>
        <v>-512772.24701111508</v>
      </c>
      <c r="AT13" s="395">
        <f>AT12*-Assumptions!$C$36</f>
        <v>-433884.20900940511</v>
      </c>
      <c r="AU13" s="395">
        <f>AU12*-Assumptions!$C$36</f>
        <v>-343544.68162035005</v>
      </c>
      <c r="AV13" s="395">
        <f>AV12*-Assumptions!$C$36</f>
        <v>-78888.038001710011</v>
      </c>
      <c r="AW13" s="395">
        <f>AW12*-Assumptions!$C$36</f>
        <v>-76343.262582300013</v>
      </c>
      <c r="AX13" s="395">
        <f>AX12*-Assumptions!$C$36</f>
        <v>-433884.20900940511</v>
      </c>
      <c r="AY13" s="395">
        <f>AY12*-Assumptions!$C$36</f>
        <v>-852796.78727730911</v>
      </c>
      <c r="AZ13" s="395">
        <f>AZ12*-Assumptions!$C$36</f>
        <v>-770268.06592789211</v>
      </c>
      <c r="BA13" s="395">
        <f>BA12*-Assumptions!$C$36</f>
        <v>-739090.5489736679</v>
      </c>
      <c r="BB13" s="395">
        <f>BB12*-Assumptions!$C$36</f>
        <v>-275095.73783139006</v>
      </c>
      <c r="BC13" s="395">
        <f>BC12*-Assumptions!$C$36</f>
        <v>-170559.35745546181</v>
      </c>
      <c r="BD13" s="395">
        <f>BD12*-Assumptions!$C$36</f>
        <v>-495172.32809650211</v>
      </c>
      <c r="BE13" s="395">
        <f>BE12*-Assumptions!$C$36</f>
        <v>-739090.5489736679</v>
      </c>
      <c r="BF13" s="395">
        <f>BF12*-Assumptions!$C$36</f>
        <v>-625384.31067002669</v>
      </c>
      <c r="BG13" s="395">
        <f>BG12*-Assumptions!$C$36</f>
        <v>-495172.32809650211</v>
      </c>
      <c r="BH13" s="395">
        <f>BH12*-Assumptions!$C$36</f>
        <v>-113706.23830364122</v>
      </c>
      <c r="BI13" s="395">
        <f>BI12*-Assumptions!$C$36</f>
        <v>-110038.29513255603</v>
      </c>
      <c r="BJ13" s="395">
        <f>BJ12*-Assumptions!$C$36</f>
        <v>-625384.31067002669</v>
      </c>
      <c r="BK13" s="395">
        <f>BK12*-Assumptions!$C$36</f>
        <v>-1129068.9854211507</v>
      </c>
      <c r="BL13" s="395">
        <f>BL12*-Assumptions!$C$36</f>
        <v>-1019804.2448965233</v>
      </c>
      <c r="BM13" s="395">
        <f>BM12*-Assumptions!$C$36</f>
        <v>-978526.45403166395</v>
      </c>
      <c r="BN13" s="395">
        <f>BN12*-Assumptions!$C$36</f>
        <v>-364215.8017487583</v>
      </c>
      <c r="BO13" s="395">
        <f>BO12*-Assumptions!$C$36</f>
        <v>-225813.79708423017</v>
      </c>
      <c r="BP13" s="395">
        <f>BP12*-Assumptions!$C$36</f>
        <v>-655588.44314776501</v>
      </c>
      <c r="BQ13" s="395">
        <f>BQ12*-Assumptions!$C$36</f>
        <v>-978526.45403166395</v>
      </c>
      <c r="BR13" s="395">
        <f>BR12*-Assumptions!$C$36</f>
        <v>-827983.92264217732</v>
      </c>
      <c r="BS13" s="395">
        <f>BS12*-Assumptions!$C$36</f>
        <v>-655588.44314776501</v>
      </c>
      <c r="BT13" s="395">
        <f>BT12*-Assumptions!$C$36</f>
        <v>-150542.53138948677</v>
      </c>
      <c r="BU13" s="395">
        <f>BU12*-Assumptions!$C$36</f>
        <v>-145686.32069950335</v>
      </c>
      <c r="BV13" s="395">
        <f>BV12*-Assumptions!$C$36</f>
        <v>-827983.92264217732</v>
      </c>
      <c r="BW13" s="395">
        <f>BW12*-Assumptions!$C$36</f>
        <v>-1343086.8294218932</v>
      </c>
      <c r="BX13" s="395">
        <f>BX12*-Assumptions!$C$36</f>
        <v>-1256436.066233384</v>
      </c>
      <c r="BY13" s="395">
        <f>BY12*-Assumptions!$C$36</f>
        <v>-1164008.5854989742</v>
      </c>
      <c r="BZ13" s="395">
        <f>BZ12*-Assumptions!$C$36</f>
        <v>-433253.81594254624</v>
      </c>
      <c r="CA13" s="395">
        <f>CA12*-Assumptions!$C$36</f>
        <v>-268617.36588437867</v>
      </c>
      <c r="CB13" s="395">
        <f>CB12*-Assumptions!$C$36</f>
        <v>-779856.86869658332</v>
      </c>
      <c r="CC13" s="395">
        <f>CC12*-Assumptions!$C$36</f>
        <v>-1164008.5854989742</v>
      </c>
      <c r="CD13" s="395">
        <f>CD12*-Assumptions!$C$36</f>
        <v>-984930.34157605516</v>
      </c>
      <c r="CE13" s="395">
        <f>CE12*-Assumptions!$C$36</f>
        <v>-779856.86869658332</v>
      </c>
      <c r="CF13" s="395">
        <f>CF12*-Assumptions!$C$36</f>
        <v>-179078.24392291912</v>
      </c>
      <c r="CG13" s="395">
        <f>CG12*-Assumptions!$C$36</f>
        <v>-173301.52637701851</v>
      </c>
      <c r="CH13" s="395">
        <f>CH12*-Assumptions!$C$36</f>
        <v>-984930.34157605516</v>
      </c>
      <c r="CI13" s="395">
        <f>CI12*-Assumptions!$C$36</f>
        <v>-1383379.4343045501</v>
      </c>
      <c r="CJ13" s="395">
        <f>CJ12*-Assumptions!$C$36</f>
        <v>-1249504.0051783032</v>
      </c>
      <c r="CK13" s="395">
        <f>CK12*-Assumptions!$C$36</f>
        <v>-1198928.8430639433</v>
      </c>
      <c r="CL13" s="395">
        <f>CL12*-Assumptions!$C$36</f>
        <v>-446251.43042082258</v>
      </c>
      <c r="CM13" s="395">
        <f>CM12*-Assumptions!$C$36</f>
        <v>-276675.88686090999</v>
      </c>
      <c r="CN13" s="395">
        <f>CN12*-Assumptions!$C$36</f>
        <v>-803252.57475748064</v>
      </c>
      <c r="CO13" s="395">
        <f>CO12*-Assumptions!$C$36</f>
        <v>-1198928.8430639433</v>
      </c>
      <c r="CP13" s="395">
        <f>CP12*-Assumptions!$C$36</f>
        <v>-1014478.2518233369</v>
      </c>
      <c r="CQ13" s="395">
        <f>CQ12*-Assumptions!$C$36</f>
        <v>-803252.57475748064</v>
      </c>
      <c r="CR13" s="395">
        <f>CR12*-Assumptions!$C$36</f>
        <v>-184450.59124060668</v>
      </c>
      <c r="CS13" s="395">
        <f>CS12*-Assumptions!$C$36</f>
        <v>-178500.57216832903</v>
      </c>
      <c r="CT13" s="395">
        <f>CT12*-Assumptions!$C$36</f>
        <v>-1014478.2518233369</v>
      </c>
      <c r="CU13" s="395">
        <f>CU12*-Assumptions!$C$36</f>
        <v>-1424880.8173336864</v>
      </c>
      <c r="CV13" s="395">
        <f>CV12*-Assumptions!$C$36</f>
        <v>-1286989.1253336521</v>
      </c>
      <c r="CW13" s="395">
        <f>CW12*-Assumptions!$C$36</f>
        <v>-1234896.7083558615</v>
      </c>
      <c r="CX13" s="395">
        <f>CX12*-Assumptions!$C$36</f>
        <v>-459638.97333344724</v>
      </c>
      <c r="CY13" s="395">
        <f>CY12*-Assumptions!$C$36</f>
        <v>-284976.16346673726</v>
      </c>
      <c r="CZ13" s="395">
        <f>CZ12*-Assumptions!$C$36</f>
        <v>-827350.15200020513</v>
      </c>
      <c r="DA13" s="395">
        <f>DA12*-Assumptions!$C$36</f>
        <v>-1234896.7083558615</v>
      </c>
      <c r="DB13" s="395">
        <f>DB12*-Assumptions!$C$36</f>
        <v>-1044912.5993780368</v>
      </c>
      <c r="DC13" s="395">
        <f>DC12*-Assumptions!$C$36</f>
        <v>-827350.15200020513</v>
      </c>
      <c r="DD13" s="395">
        <f>DD12*-Assumptions!$C$36</f>
        <v>-189984.10897782486</v>
      </c>
      <c r="DE13" s="395">
        <f>DE12*-Assumptions!$C$36</f>
        <v>-183855.58933337891</v>
      </c>
      <c r="DF13" s="395">
        <f>DF12*-Assumptions!$C$36</f>
        <v>-1044912.5993780368</v>
      </c>
      <c r="DG13" s="395" t="e">
        <f>DG12*-Assumptions!$C$36</f>
        <v>#N/A</v>
      </c>
      <c r="DH13" s="395" t="e">
        <f>DH12*-Assumptions!$C$36</f>
        <v>#N/A</v>
      </c>
      <c r="DI13" s="395" t="e">
        <f>DI12*-Assumptions!$C$36</f>
        <v>#N/A</v>
      </c>
      <c r="DJ13" s="395" t="e">
        <f>DJ12*-Assumptions!$C$36</f>
        <v>#N/A</v>
      </c>
      <c r="DK13" s="395" t="e">
        <f>DK12*-Assumptions!$C$36</f>
        <v>#N/A</v>
      </c>
      <c r="DL13" s="395" t="e">
        <f>DL12*-Assumptions!$C$36</f>
        <v>#N/A</v>
      </c>
      <c r="DM13" s="395" t="e">
        <f>DM12*-Assumptions!$C$36</f>
        <v>#N/A</v>
      </c>
      <c r="DN13" s="395" t="e">
        <f>DN12*-Assumptions!$C$36</f>
        <v>#N/A</v>
      </c>
      <c r="DO13" s="395" t="e">
        <f>DO12*-Assumptions!$C$36</f>
        <v>#N/A</v>
      </c>
      <c r="DP13" s="395" t="e">
        <f>DP12*-Assumptions!$C$36</f>
        <v>#N/A</v>
      </c>
      <c r="DQ13" s="395" t="e">
        <f>DQ12*-Assumptions!$C$36</f>
        <v>#N/A</v>
      </c>
      <c r="DR13" s="395" t="e">
        <f>DR12*-Assumptions!$C$36</f>
        <v>#N/A</v>
      </c>
      <c r="DS13" s="392"/>
      <c r="DT13" s="392"/>
      <c r="DU13" s="392"/>
      <c r="DV13" s="392"/>
      <c r="DW13" s="392"/>
      <c r="DX13" s="392"/>
      <c r="DY13" s="392"/>
      <c r="DZ13" s="392"/>
      <c r="EA13" s="392"/>
      <c r="EB13" s="392"/>
      <c r="EC13" s="392"/>
      <c r="ED13" s="392"/>
    </row>
    <row r="14" spans="1:134" s="393" customFormat="1" ht="16" x14ac:dyDescent="0.2">
      <c r="A14" s="391"/>
      <c r="B14" s="397" t="s">
        <v>764</v>
      </c>
      <c r="C14" s="394">
        <f t="shared" ref="C14:AH14" si="12">C12+C13</f>
        <v>0</v>
      </c>
      <c r="D14" s="394">
        <f t="shared" si="12"/>
        <v>0</v>
      </c>
      <c r="E14" s="394">
        <f t="shared" si="12"/>
        <v>0</v>
      </c>
      <c r="F14" s="394">
        <f t="shared" si="12"/>
        <v>0</v>
      </c>
      <c r="G14" s="394">
        <f t="shared" si="12"/>
        <v>0</v>
      </c>
      <c r="H14" s="394">
        <f t="shared" si="12"/>
        <v>0</v>
      </c>
      <c r="I14" s="394">
        <f t="shared" si="12"/>
        <v>0</v>
      </c>
      <c r="J14" s="394">
        <f t="shared" si="12"/>
        <v>0</v>
      </c>
      <c r="K14" s="394">
        <f t="shared" si="12"/>
        <v>0</v>
      </c>
      <c r="L14" s="394">
        <f t="shared" si="12"/>
        <v>0</v>
      </c>
      <c r="M14" s="394">
        <f t="shared" si="12"/>
        <v>0</v>
      </c>
      <c r="N14" s="394">
        <f t="shared" si="12"/>
        <v>0</v>
      </c>
      <c r="O14" s="394">
        <f t="shared" si="12"/>
        <v>144295.66125</v>
      </c>
      <c r="P14" s="394">
        <f t="shared" si="12"/>
        <v>130331.56499999999</v>
      </c>
      <c r="Q14" s="394">
        <f t="shared" si="12"/>
        <v>125056.23975000002</v>
      </c>
      <c r="R14" s="394">
        <f t="shared" si="12"/>
        <v>46546.987500000003</v>
      </c>
      <c r="S14" s="394">
        <f t="shared" si="12"/>
        <v>28859.132250000002</v>
      </c>
      <c r="T14" s="394">
        <f t="shared" si="12"/>
        <v>83784.577500000014</v>
      </c>
      <c r="U14" s="394">
        <f t="shared" si="12"/>
        <v>125056.23975000002</v>
      </c>
      <c r="V14" s="394">
        <f t="shared" si="12"/>
        <v>105816.81825000003</v>
      </c>
      <c r="W14" s="394">
        <f t="shared" si="12"/>
        <v>83784.577500000014</v>
      </c>
      <c r="X14" s="394">
        <f t="shared" si="12"/>
        <v>19239.421500000004</v>
      </c>
      <c r="Y14" s="394">
        <f t="shared" si="12"/>
        <v>18618.795000000002</v>
      </c>
      <c r="Z14" s="394">
        <f t="shared" si="12"/>
        <v>105816.81825000003</v>
      </c>
      <c r="AA14" s="394">
        <f t="shared" si="12"/>
        <v>277432.45803000004</v>
      </c>
      <c r="AB14" s="394">
        <f t="shared" si="12"/>
        <v>259533.58977000005</v>
      </c>
      <c r="AC14" s="394">
        <f t="shared" si="12"/>
        <v>240441.46362600004</v>
      </c>
      <c r="AD14" s="394">
        <f t="shared" si="12"/>
        <v>89494.341300000015</v>
      </c>
      <c r="AE14" s="394">
        <f t="shared" si="12"/>
        <v>55486.491606000011</v>
      </c>
      <c r="AF14" s="394">
        <f t="shared" si="12"/>
        <v>161089.81434000004</v>
      </c>
      <c r="AG14" s="394">
        <f t="shared" si="12"/>
        <v>240441.46362600004</v>
      </c>
      <c r="AH14" s="394">
        <f t="shared" si="12"/>
        <v>203450.46922200004</v>
      </c>
      <c r="AI14" s="394">
        <f t="shared" ref="AI14:BN14" si="13">AI12+AI13</f>
        <v>161089.81434000004</v>
      </c>
      <c r="AJ14" s="394">
        <f t="shared" si="13"/>
        <v>36990.994404000005</v>
      </c>
      <c r="AK14" s="394">
        <f t="shared" si="13"/>
        <v>35797.736520000006</v>
      </c>
      <c r="AL14" s="394">
        <f t="shared" si="13"/>
        <v>203450.46922200004</v>
      </c>
      <c r="AM14" s="394">
        <f t="shared" si="13"/>
        <v>1098797.6721666753</v>
      </c>
      <c r="AN14" s="394">
        <f t="shared" si="13"/>
        <v>992462.41356990021</v>
      </c>
      <c r="AO14" s="394">
        <f t="shared" si="13"/>
        <v>952291.31587778521</v>
      </c>
      <c r="AP14" s="394">
        <f t="shared" si="13"/>
        <v>354450.86198925006</v>
      </c>
      <c r="AQ14" s="394">
        <f t="shared" si="13"/>
        <v>219759.53443333501</v>
      </c>
      <c r="AR14" s="394">
        <f t="shared" si="13"/>
        <v>638011.55158065003</v>
      </c>
      <c r="AS14" s="394">
        <f t="shared" si="13"/>
        <v>952291.31587778521</v>
      </c>
      <c r="AT14" s="394">
        <f t="shared" si="13"/>
        <v>805784.9595888952</v>
      </c>
      <c r="AU14" s="394">
        <f t="shared" si="13"/>
        <v>638011.55158065003</v>
      </c>
      <c r="AV14" s="394">
        <f t="shared" si="13"/>
        <v>146506.35628889001</v>
      </c>
      <c r="AW14" s="394">
        <f t="shared" si="13"/>
        <v>141780.34479570005</v>
      </c>
      <c r="AX14" s="394">
        <f t="shared" si="13"/>
        <v>805784.9595888952</v>
      </c>
      <c r="AY14" s="394">
        <f t="shared" si="13"/>
        <v>1583765.4620864312</v>
      </c>
      <c r="AZ14" s="394">
        <f t="shared" si="13"/>
        <v>1430497.8367232285</v>
      </c>
      <c r="BA14" s="394">
        <f t="shared" si="13"/>
        <v>1372596.7338082404</v>
      </c>
      <c r="BB14" s="394">
        <f t="shared" si="13"/>
        <v>510892.08454401017</v>
      </c>
      <c r="BC14" s="394">
        <f t="shared" si="13"/>
        <v>316753.09241728624</v>
      </c>
      <c r="BD14" s="394">
        <f t="shared" si="13"/>
        <v>919605.75217921834</v>
      </c>
      <c r="BE14" s="394">
        <f t="shared" si="13"/>
        <v>1372596.7338082404</v>
      </c>
      <c r="BF14" s="394">
        <f t="shared" si="13"/>
        <v>1161428.0055300496</v>
      </c>
      <c r="BG14" s="394">
        <f t="shared" si="13"/>
        <v>919605.75217921834</v>
      </c>
      <c r="BH14" s="394">
        <f t="shared" si="13"/>
        <v>211168.72827819089</v>
      </c>
      <c r="BI14" s="394">
        <f t="shared" si="13"/>
        <v>204356.83381760409</v>
      </c>
      <c r="BJ14" s="394">
        <f t="shared" si="13"/>
        <v>1161428.0055300496</v>
      </c>
      <c r="BK14" s="394">
        <f t="shared" si="13"/>
        <v>2096842.4014964232</v>
      </c>
      <c r="BL14" s="394">
        <f t="shared" si="13"/>
        <v>1893922.1690935437</v>
      </c>
      <c r="BM14" s="394">
        <f t="shared" si="13"/>
        <v>1817263.4146302333</v>
      </c>
      <c r="BN14" s="394">
        <f t="shared" si="13"/>
        <v>676400.77467626554</v>
      </c>
      <c r="BO14" s="394">
        <f t="shared" ref="BO14:CT14" si="14">BO12+BO13</f>
        <v>419368.48029928462</v>
      </c>
      <c r="BP14" s="394">
        <f t="shared" si="14"/>
        <v>1217521.394417278</v>
      </c>
      <c r="BQ14" s="394">
        <f t="shared" si="14"/>
        <v>1817263.4146302333</v>
      </c>
      <c r="BR14" s="394">
        <f t="shared" si="14"/>
        <v>1537684.4277640437</v>
      </c>
      <c r="BS14" s="394">
        <f t="shared" si="14"/>
        <v>1217521.394417278</v>
      </c>
      <c r="BT14" s="394">
        <f t="shared" si="14"/>
        <v>279578.98686618975</v>
      </c>
      <c r="BU14" s="394">
        <f t="shared" si="14"/>
        <v>270560.30987050623</v>
      </c>
      <c r="BV14" s="394">
        <f t="shared" si="14"/>
        <v>1537684.4277640437</v>
      </c>
      <c r="BW14" s="394">
        <f t="shared" si="14"/>
        <v>2494304.1117835161</v>
      </c>
      <c r="BX14" s="394">
        <f t="shared" si="14"/>
        <v>2333381.2658619988</v>
      </c>
      <c r="BY14" s="394">
        <f t="shared" si="14"/>
        <v>2161730.2302123811</v>
      </c>
      <c r="BZ14" s="394">
        <f t="shared" si="14"/>
        <v>804614.22960758593</v>
      </c>
      <c r="CA14" s="394">
        <f t="shared" si="14"/>
        <v>498860.82235670323</v>
      </c>
      <c r="CB14" s="394">
        <f t="shared" si="14"/>
        <v>1448305.6132936548</v>
      </c>
      <c r="CC14" s="394">
        <f t="shared" si="14"/>
        <v>2161730.2302123811</v>
      </c>
      <c r="CD14" s="394">
        <f t="shared" si="14"/>
        <v>1829156.3486412456</v>
      </c>
      <c r="CE14" s="394">
        <f t="shared" si="14"/>
        <v>1448305.6132936548</v>
      </c>
      <c r="CF14" s="394">
        <f t="shared" si="14"/>
        <v>332573.88157113548</v>
      </c>
      <c r="CG14" s="394">
        <f t="shared" si="14"/>
        <v>321845.69184303435</v>
      </c>
      <c r="CH14" s="394">
        <f t="shared" si="14"/>
        <v>1829156.3486412456</v>
      </c>
      <c r="CI14" s="394">
        <f t="shared" si="14"/>
        <v>2569133.2351370221</v>
      </c>
      <c r="CJ14" s="394">
        <f t="shared" si="14"/>
        <v>2320507.4381882772</v>
      </c>
      <c r="CK14" s="394">
        <f t="shared" si="14"/>
        <v>2226582.1371187521</v>
      </c>
      <c r="CL14" s="394">
        <f t="shared" si="14"/>
        <v>828752.6564958134</v>
      </c>
      <c r="CM14" s="394">
        <f t="shared" si="14"/>
        <v>513826.6470274044</v>
      </c>
      <c r="CN14" s="394">
        <f t="shared" si="14"/>
        <v>1491754.7816924644</v>
      </c>
      <c r="CO14" s="394">
        <f t="shared" si="14"/>
        <v>2226582.1371187521</v>
      </c>
      <c r="CP14" s="394">
        <f t="shared" si="14"/>
        <v>1884031.0391004831</v>
      </c>
      <c r="CQ14" s="394">
        <f t="shared" si="14"/>
        <v>1491754.7816924644</v>
      </c>
      <c r="CR14" s="394">
        <f t="shared" si="14"/>
        <v>342551.09801826958</v>
      </c>
      <c r="CS14" s="394">
        <f t="shared" si="14"/>
        <v>331501.06259832537</v>
      </c>
      <c r="CT14" s="394">
        <f t="shared" si="14"/>
        <v>1884031.0391004831</v>
      </c>
      <c r="CU14" s="394">
        <f t="shared" ref="CU14:DR14" si="15">CU12+CU13</f>
        <v>2646207.2321911324</v>
      </c>
      <c r="CV14" s="394">
        <f t="shared" si="15"/>
        <v>2390122.661333926</v>
      </c>
      <c r="CW14" s="394">
        <f t="shared" si="15"/>
        <v>2293379.6012323145</v>
      </c>
      <c r="CX14" s="394">
        <f t="shared" si="15"/>
        <v>853615.23619068787</v>
      </c>
      <c r="CY14" s="394">
        <f t="shared" si="15"/>
        <v>529241.44643822638</v>
      </c>
      <c r="CZ14" s="394">
        <f t="shared" si="15"/>
        <v>1536507.4251432382</v>
      </c>
      <c r="DA14" s="394">
        <f t="shared" si="15"/>
        <v>2293379.6012323145</v>
      </c>
      <c r="DB14" s="394">
        <f t="shared" si="15"/>
        <v>1940551.970273497</v>
      </c>
      <c r="DC14" s="394">
        <f t="shared" si="15"/>
        <v>1536507.4251432382</v>
      </c>
      <c r="DD14" s="394">
        <f t="shared" si="15"/>
        <v>352827.63095881761</v>
      </c>
      <c r="DE14" s="394">
        <f t="shared" si="15"/>
        <v>341446.09447627515</v>
      </c>
      <c r="DF14" s="394">
        <f t="shared" si="15"/>
        <v>1940551.970273497</v>
      </c>
      <c r="DG14" s="394" t="e">
        <f t="shared" si="15"/>
        <v>#N/A</v>
      </c>
      <c r="DH14" s="394" t="e">
        <f t="shared" si="15"/>
        <v>#N/A</v>
      </c>
      <c r="DI14" s="394" t="e">
        <f t="shared" si="15"/>
        <v>#N/A</v>
      </c>
      <c r="DJ14" s="394" t="e">
        <f t="shared" si="15"/>
        <v>#N/A</v>
      </c>
      <c r="DK14" s="394" t="e">
        <f t="shared" si="15"/>
        <v>#N/A</v>
      </c>
      <c r="DL14" s="394" t="e">
        <f t="shared" si="15"/>
        <v>#N/A</v>
      </c>
      <c r="DM14" s="394" t="e">
        <f t="shared" si="15"/>
        <v>#N/A</v>
      </c>
      <c r="DN14" s="394" t="e">
        <f t="shared" si="15"/>
        <v>#N/A</v>
      </c>
      <c r="DO14" s="394" t="e">
        <f t="shared" si="15"/>
        <v>#N/A</v>
      </c>
      <c r="DP14" s="394" t="e">
        <f t="shared" si="15"/>
        <v>#N/A</v>
      </c>
      <c r="DQ14" s="394" t="e">
        <f t="shared" si="15"/>
        <v>#N/A</v>
      </c>
      <c r="DR14" s="394" t="e">
        <f t="shared" si="15"/>
        <v>#N/A</v>
      </c>
      <c r="DS14" s="394"/>
      <c r="DT14" s="394"/>
      <c r="DU14" s="394"/>
      <c r="DV14" s="394"/>
      <c r="DW14" s="394"/>
      <c r="DX14" s="394"/>
      <c r="DY14" s="394"/>
      <c r="DZ14" s="394"/>
      <c r="EA14" s="394"/>
      <c r="EB14" s="394"/>
      <c r="EC14" s="394"/>
      <c r="ED14" s="394"/>
    </row>
    <row r="15" spans="1:134" s="393" customFormat="1" ht="16" x14ac:dyDescent="0.2">
      <c r="A15" s="391"/>
      <c r="B15" s="281" t="s">
        <v>765</v>
      </c>
      <c r="C15" s="392">
        <f>-(C5-B5)*HLOOKUP(C$6,Assumptions!$F$45:$O$54,8,0)*MAX(C11-(1-Assumptions!$G$33),0)*Assumptions!$C$37</f>
        <v>0</v>
      </c>
      <c r="D15" s="392">
        <f>-(D5-C5)*HLOOKUP(D$6,Assumptions!$F$45:$O$54,8,0)*MAX(D11-(1-Assumptions!$G$33),0)*Assumptions!$C$37</f>
        <v>0</v>
      </c>
      <c r="E15" s="392">
        <f>-(E5-D5)*HLOOKUP(E$6,Assumptions!$F$45:$O$54,8,0)*MAX(E11-(1-Assumptions!$G$33),0)*Assumptions!$C$37</f>
        <v>0</v>
      </c>
      <c r="F15" s="392">
        <f>-(F5-E5)*HLOOKUP(F$6,Assumptions!$F$45:$O$54,8,0)*MAX(F11-(1-Assumptions!$G$33),0)*Assumptions!$C$37</f>
        <v>0</v>
      </c>
      <c r="G15" s="392">
        <f>-(G5-F5)*HLOOKUP(G$6,Assumptions!$F$45:$O$54,8,0)*MAX(G11-(1-Assumptions!$G$33),0)*Assumptions!$C$37</f>
        <v>0</v>
      </c>
      <c r="H15" s="392">
        <f>-(H5-G5)*HLOOKUP(H$6,Assumptions!$F$45:$O$54,8,0)*MAX(H11-(1-Assumptions!$G$33),0)*Assumptions!$C$37</f>
        <v>0</v>
      </c>
      <c r="I15" s="392">
        <f>-(I5-H5)*HLOOKUP(I$6,Assumptions!$F$45:$O$54,8,0)*MAX(I11-(1-Assumptions!$G$33),0)*Assumptions!$C$37</f>
        <v>0</v>
      </c>
      <c r="J15" s="392">
        <f>-(J5-I5)*HLOOKUP(J$6,Assumptions!$F$45:$O$54,8,0)*MAX(J11-(1-Assumptions!$G$33),0)*Assumptions!$C$37</f>
        <v>0</v>
      </c>
      <c r="K15" s="392">
        <f>-(K5-J5)*HLOOKUP(K$6,Assumptions!$F$45:$O$54,8,0)*MAX(K11-(1-Assumptions!$G$33),0)*Assumptions!$C$37</f>
        <v>0</v>
      </c>
      <c r="L15" s="392">
        <f>-(L5-K5)*HLOOKUP(L$6,Assumptions!$F$45:$O$54,8,0)*MAX(L11-(1-Assumptions!$G$33),0)*Assumptions!$C$37</f>
        <v>0</v>
      </c>
      <c r="M15" s="392">
        <f>-(M5-L5)*HLOOKUP(M$6,Assumptions!$F$45:$O$54,8,0)*MAX(M11-(1-Assumptions!$G$33),0)*Assumptions!$C$37</f>
        <v>0</v>
      </c>
      <c r="N15" s="392">
        <f>-(N5-M5)*HLOOKUP(N$6,Assumptions!$F$45:$O$54,8,0)*MAX(N11-(1-Assumptions!$G$33),0)*Assumptions!$C$37</f>
        <v>0</v>
      </c>
      <c r="O15" s="392">
        <f>-(O5-N5)*HLOOKUP(O$6,Assumptions!$F$45:$O$54,8,0)*MAX(O11-(1-Assumptions!$G$33),0)*Assumptions!$C$37</f>
        <v>0</v>
      </c>
      <c r="P15" s="392">
        <f>-(P5-O5)*HLOOKUP(P$6,Assumptions!$F$45:$O$54,8,0)*MAX(P11-(1-Assumptions!$G$33),0)*Assumptions!$C$37</f>
        <v>0</v>
      </c>
      <c r="Q15" s="392">
        <f>-(Q5-P5)*HLOOKUP(Q$6,Assumptions!$F$45:$O$54,8,0)*MAX(Q11-(1-Assumptions!$G$33),0)*Assumptions!$C$37</f>
        <v>0</v>
      </c>
      <c r="R15" s="392">
        <f>-(R5-Q5)*HLOOKUP(R$6,Assumptions!$F$45:$O$54,8,0)*MAX(R11-(1-Assumptions!$G$33),0)*Assumptions!$C$37</f>
        <v>0</v>
      </c>
      <c r="S15" s="392">
        <f>-(S5-R5)*HLOOKUP(S$6,Assumptions!$F$45:$O$54,8,0)*MAX(S11-(1-Assumptions!$G$33),0)*Assumptions!$C$37</f>
        <v>0</v>
      </c>
      <c r="T15" s="392">
        <f>-(T5-S5)*HLOOKUP(T$6,Assumptions!$F$45:$O$54,8,0)*MAX(T11-(1-Assumptions!$G$33),0)*Assumptions!$C$37</f>
        <v>0</v>
      </c>
      <c r="U15" s="392">
        <f>-(U5-T5)*HLOOKUP(U$6,Assumptions!$F$45:$O$54,8,0)*MAX(U11-(1-Assumptions!$G$33),0)*Assumptions!$C$37</f>
        <v>0</v>
      </c>
      <c r="V15" s="392">
        <f>-(V5-U5)*HLOOKUP(V$6,Assumptions!$F$45:$O$54,8,0)*MAX(V11-(1-Assumptions!$G$33),0)*Assumptions!$C$37</f>
        <v>0</v>
      </c>
      <c r="W15" s="392">
        <f>-(W5-V5)*HLOOKUP(W$6,Assumptions!$F$45:$O$54,8,0)*MAX(W11-(1-Assumptions!$G$33),0)*Assumptions!$C$37</f>
        <v>0</v>
      </c>
      <c r="X15" s="392">
        <f>-(X5-W5)*HLOOKUP(X$6,Assumptions!$F$45:$O$54,8,0)*MAX(X11-(1-Assumptions!$G$33),0)*Assumptions!$C$37</f>
        <v>0</v>
      </c>
      <c r="Y15" s="392">
        <f>-(Y5-X5)*HLOOKUP(Y$6,Assumptions!$F$45:$O$54,8,0)*MAX(Y11-(1-Assumptions!$G$33),0)*Assumptions!$C$37</f>
        <v>0</v>
      </c>
      <c r="Z15" s="392">
        <f>-(Z5-Y5)*HLOOKUP(Z$6,Assumptions!$F$45:$O$54,8,0)*MAX(Z11-(1-Assumptions!$G$33),0)*Assumptions!$C$37</f>
        <v>0</v>
      </c>
      <c r="AA15" s="392">
        <f>-(AA5-Z5)*HLOOKUP(AA$6,Assumptions!$F$45:$O$54,8,0)*MAX(AA11-(1-Assumptions!$G$33),0)*Assumptions!$C$37</f>
        <v>-33027.673575000001</v>
      </c>
      <c r="AB15" s="392">
        <f>-(AB5-AA5)*HLOOKUP(AB$6,Assumptions!$F$45:$O$54,8,0)*MAX(AB11-(1-Assumptions!$G$33),0)*Assumptions!$C$37</f>
        <v>-30896.855925</v>
      </c>
      <c r="AC15" s="392">
        <f>-(AC5-AB5)*HLOOKUP(AC$6,Assumptions!$F$45:$O$54,8,0)*MAX(AC11-(1-Assumptions!$G$33),0)*Assumptions!$C$37</f>
        <v>-19816.604145000005</v>
      </c>
      <c r="AD15" s="392">
        <f>-(AD5-AC5)*HLOOKUP(AD$6,Assumptions!$F$45:$O$54,8,0)*MAX(AD11-(1-Assumptions!$G$33),0)*Assumptions!$C$37</f>
        <v>0</v>
      </c>
      <c r="AE15" s="392">
        <f>-(AE5-AD5)*HLOOKUP(AE$6,Assumptions!$F$45:$O$54,8,0)*MAX(AE11-(1-Assumptions!$G$33),0)*Assumptions!$C$37</f>
        <v>0</v>
      </c>
      <c r="AF15" s="392">
        <f>-(AF5-AE5)*HLOOKUP(AF$6,Assumptions!$F$45:$O$54,8,0)*MAX(AF11-(1-Assumptions!$G$33),0)*Assumptions!$C$37</f>
        <v>0</v>
      </c>
      <c r="AG15" s="392">
        <f>-(AG5-AF5)*HLOOKUP(AG$6,Assumptions!$F$45:$O$54,8,0)*MAX(AG11-(1-Assumptions!$G$33),0)*Assumptions!$C$37</f>
        <v>-19816.604145000005</v>
      </c>
      <c r="AH15" s="392">
        <f>-(AH5-AG5)*HLOOKUP(AH$6,Assumptions!$F$45:$O$54,8,0)*MAX(AH11-(1-Assumptions!$G$33),0)*Assumptions!$C$37</f>
        <v>-6605.5347150000061</v>
      </c>
      <c r="AI15" s="392">
        <f>-(AI5-AH5)*HLOOKUP(AI$6,Assumptions!$F$45:$O$54,8,0)*MAX(AI11-(1-Assumptions!$G$33),0)*Assumptions!$C$37</f>
        <v>0</v>
      </c>
      <c r="AJ15" s="392">
        <f>-(AJ5-AI5)*HLOOKUP(AJ$6,Assumptions!$F$45:$O$54,8,0)*MAX(AJ11-(1-Assumptions!$G$33),0)*Assumptions!$C$37</f>
        <v>0</v>
      </c>
      <c r="AK15" s="392">
        <f>-(AK5-AJ5)*HLOOKUP(AK$6,Assumptions!$F$45:$O$54,8,0)*MAX(AK11-(1-Assumptions!$G$33),0)*Assumptions!$C$37</f>
        <v>0</v>
      </c>
      <c r="AL15" s="392">
        <f>-(AL5-AK5)*HLOOKUP(AL$6,Assumptions!$F$45:$O$54,8,0)*MAX(AL11-(1-Assumptions!$G$33),0)*Assumptions!$C$37</f>
        <v>-6605.5347150000061</v>
      </c>
      <c r="AM15" s="392">
        <f>-(AM5-AL5)*HLOOKUP(AM$6,Assumptions!$F$45:$O$54,8,0)*MAX(AM11-(1-Assumptions!$G$33),0)*Assumptions!$C$37</f>
        <v>-68037.007564500003</v>
      </c>
      <c r="AN15" s="392">
        <f>-(AN5-AM5)*HLOOKUP(AN$6,Assumptions!$F$45:$O$54,8,0)*MAX(AN11-(1-Assumptions!$G$33),0)*Assumptions!$C$37</f>
        <v>-61452.781025999997</v>
      </c>
      <c r="AO15" s="392">
        <f>-(AO5-AN5)*HLOOKUP(AO$6,Assumptions!$F$45:$O$54,8,0)*MAX(AO11-(1-Assumptions!$G$33),0)*Assumptions!$C$37</f>
        <v>-40822.204538700011</v>
      </c>
      <c r="AP15" s="392">
        <f>-(AP5-AO5)*HLOOKUP(AP$6,Assumptions!$F$45:$O$54,8,0)*MAX(AP11-(1-Assumptions!$G$33),0)*Assumptions!$C$37</f>
        <v>0</v>
      </c>
      <c r="AQ15" s="392">
        <f>-(AQ5-AP5)*HLOOKUP(AQ$6,Assumptions!$F$45:$O$54,8,0)*MAX(AQ11-(1-Assumptions!$G$33),0)*Assumptions!$C$37</f>
        <v>0</v>
      </c>
      <c r="AR15" s="392">
        <f>-(AR5-AQ5)*HLOOKUP(AR$6,Assumptions!$F$45:$O$54,8,0)*MAX(AR11-(1-Assumptions!$G$33),0)*Assumptions!$C$37</f>
        <v>0</v>
      </c>
      <c r="AS15" s="392">
        <f>-(AS5-AR5)*HLOOKUP(AS$6,Assumptions!$F$45:$O$54,8,0)*MAX(AS11-(1-Assumptions!$G$33),0)*Assumptions!$C$37</f>
        <v>-40822.204538700011</v>
      </c>
      <c r="AT15" s="392">
        <f>-(AT5-AS5)*HLOOKUP(AT$6,Assumptions!$F$45:$O$54,8,0)*MAX(AT11-(1-Assumptions!$G$33),0)*Assumptions!$C$37</f>
        <v>-13607.401512900013</v>
      </c>
      <c r="AU15" s="392">
        <f>-(AU5-AT5)*HLOOKUP(AU$6,Assumptions!$F$45:$O$54,8,0)*MAX(AU11-(1-Assumptions!$G$33),0)*Assumptions!$C$37</f>
        <v>0</v>
      </c>
      <c r="AV15" s="392">
        <f>-(AV5-AU5)*HLOOKUP(AV$6,Assumptions!$F$45:$O$54,8,0)*MAX(AV11-(1-Assumptions!$G$33),0)*Assumptions!$C$37</f>
        <v>0</v>
      </c>
      <c r="AW15" s="392">
        <f>-(AW5-AV5)*HLOOKUP(AW$6,Assumptions!$F$45:$O$54,8,0)*MAX(AW11-(1-Assumptions!$G$33),0)*Assumptions!$C$37</f>
        <v>0</v>
      </c>
      <c r="AX15" s="392">
        <f>-(AX5-AW5)*HLOOKUP(AX$6,Assumptions!$F$45:$O$54,8,0)*MAX(AX11-(1-Assumptions!$G$33),0)*Assumptions!$C$37</f>
        <v>-13607.401512900013</v>
      </c>
      <c r="AY15" s="392">
        <f>-(AY5-AX5)*HLOOKUP(AY$6,Assumptions!$F$45:$O$54,8,0)*MAX(AY11-(1-Assumptions!$G$33),0)*Assumptions!$C$37</f>
        <v>-105117.17668715252</v>
      </c>
      <c r="AZ15" s="392">
        <f>-(AZ5-AY5)*HLOOKUP(AZ$6,Assumptions!$F$45:$O$54,8,0)*MAX(AZ11-(1-Assumptions!$G$33),0)*Assumptions!$C$37</f>
        <v>-94944.546685170004</v>
      </c>
      <c r="BA15" s="392">
        <f>-(BA5-AZ5)*HLOOKUP(BA$6,Assumptions!$F$45:$O$54,8,0)*MAX(BA11-(1-Assumptions!$G$33),0)*Assumptions!$C$37</f>
        <v>-63070.306012291519</v>
      </c>
      <c r="BB15" s="392">
        <f>-(BB5-BA5)*HLOOKUP(BB$6,Assumptions!$F$45:$O$54,8,0)*MAX(BB11-(1-Assumptions!$G$33),0)*Assumptions!$C$37</f>
        <v>0</v>
      </c>
      <c r="BC15" s="392">
        <f>-(BC5-BB5)*HLOOKUP(BC$6,Assumptions!$F$45:$O$54,8,0)*MAX(BC11-(1-Assumptions!$G$33),0)*Assumptions!$C$37</f>
        <v>0</v>
      </c>
      <c r="BD15" s="392">
        <f>-(BD5-BC5)*HLOOKUP(BD$6,Assumptions!$F$45:$O$54,8,0)*MAX(BD11-(1-Assumptions!$G$33),0)*Assumptions!$C$37</f>
        <v>0</v>
      </c>
      <c r="BE15" s="392">
        <f>-(BE5-BD5)*HLOOKUP(BE$6,Assumptions!$F$45:$O$54,8,0)*MAX(BE11-(1-Assumptions!$G$33),0)*Assumptions!$C$37</f>
        <v>-63070.306012291519</v>
      </c>
      <c r="BF15" s="392">
        <f>-(BF5-BE5)*HLOOKUP(BF$6,Assumptions!$F$45:$O$54,8,0)*MAX(BF11-(1-Assumptions!$G$33),0)*Assumptions!$C$37</f>
        <v>-21023.435337430521</v>
      </c>
      <c r="BG15" s="392">
        <f>-(BG5-BF5)*HLOOKUP(BG$6,Assumptions!$F$45:$O$54,8,0)*MAX(BG11-(1-Assumptions!$G$33),0)*Assumptions!$C$37</f>
        <v>0</v>
      </c>
      <c r="BH15" s="392">
        <f>-(BH5-BG5)*HLOOKUP(BH$6,Assumptions!$F$45:$O$54,8,0)*MAX(BH11-(1-Assumptions!$G$33),0)*Assumptions!$C$37</f>
        <v>0</v>
      </c>
      <c r="BI15" s="392">
        <f>-(BI5-BH5)*HLOOKUP(BI$6,Assumptions!$F$45:$O$54,8,0)*MAX(BI11-(1-Assumptions!$G$33),0)*Assumptions!$C$37</f>
        <v>0</v>
      </c>
      <c r="BJ15" s="392">
        <f>-(BJ5-BI5)*HLOOKUP(BJ$6,Assumptions!$F$45:$O$54,8,0)*MAX(BJ11-(1-Assumptions!$G$33),0)*Assumptions!$C$37</f>
        <v>-21023.435337430521</v>
      </c>
      <c r="BK15" s="392">
        <f>-(BK5-BJ5)*HLOOKUP(BK$6,Assumptions!$F$45:$O$54,8,0)*MAX(BK11-(1-Assumptions!$G$33),0)*Assumptions!$C$37</f>
        <v>-144360.92265035611</v>
      </c>
      <c r="BL15" s="392">
        <f>-(BL5-BK5)*HLOOKUP(BL$6,Assumptions!$F$45:$O$54,8,0)*MAX(BL11-(1-Assumptions!$G$33),0)*Assumptions!$C$37</f>
        <v>-130390.5107809668</v>
      </c>
      <c r="BM15" s="392">
        <f>-(BM5-BL5)*HLOOKUP(BM$6,Assumptions!$F$45:$O$54,8,0)*MAX(BM11-(1-Assumptions!$G$33),0)*Assumptions!$C$37</f>
        <v>-86616.553590213676</v>
      </c>
      <c r="BN15" s="392">
        <f>-(BN5-BM5)*HLOOKUP(BN$6,Assumptions!$F$45:$O$54,8,0)*MAX(BN11-(1-Assumptions!$G$33),0)*Assumptions!$C$37</f>
        <v>0</v>
      </c>
      <c r="BO15" s="392">
        <f>-(BO5-BN5)*HLOOKUP(BO$6,Assumptions!$F$45:$O$54,8,0)*MAX(BO11-(1-Assumptions!$G$33),0)*Assumptions!$C$37</f>
        <v>0</v>
      </c>
      <c r="BP15" s="392">
        <f>-(BP5-BO5)*HLOOKUP(BP$6,Assumptions!$F$45:$O$54,8,0)*MAX(BP11-(1-Assumptions!$G$33),0)*Assumptions!$C$37</f>
        <v>0</v>
      </c>
      <c r="BQ15" s="392">
        <f>-(BQ5-BP5)*HLOOKUP(BQ$6,Assumptions!$F$45:$O$54,8,0)*MAX(BQ11-(1-Assumptions!$G$33),0)*Assumptions!$C$37</f>
        <v>-86616.553590213676</v>
      </c>
      <c r="BR15" s="392">
        <f>-(BR5-BQ5)*HLOOKUP(BR$6,Assumptions!$F$45:$O$54,8,0)*MAX(BR11-(1-Assumptions!$G$33),0)*Assumptions!$C$37</f>
        <v>-28872.184530071248</v>
      </c>
      <c r="BS15" s="392">
        <f>-(BS5-BR5)*HLOOKUP(BS$6,Assumptions!$F$45:$O$54,8,0)*MAX(BS11-(1-Assumptions!$G$33),0)*Assumptions!$C$37</f>
        <v>0</v>
      </c>
      <c r="BT15" s="392">
        <f>-(BT5-BS5)*HLOOKUP(BT$6,Assumptions!$F$45:$O$54,8,0)*MAX(BT11-(1-Assumptions!$G$33),0)*Assumptions!$C$37</f>
        <v>0</v>
      </c>
      <c r="BU15" s="392">
        <f>-(BU5-BT5)*HLOOKUP(BU$6,Assumptions!$F$45:$O$54,8,0)*MAX(BU11-(1-Assumptions!$G$33),0)*Assumptions!$C$37</f>
        <v>0</v>
      </c>
      <c r="BV15" s="392">
        <f>-(BV5-BU5)*HLOOKUP(BV$6,Assumptions!$F$45:$O$54,8,0)*MAX(BV11-(1-Assumptions!$G$33),0)*Assumptions!$C$37</f>
        <v>-28872.184530071248</v>
      </c>
      <c r="BW15" s="392">
        <f>-(BW5-BV5)*HLOOKUP(BW$6,Assumptions!$F$45:$O$54,8,0)*MAX(BW11-(1-Assumptions!$G$33),0)*Assumptions!$C$37</f>
        <v>-148691.7503298668</v>
      </c>
      <c r="BX15" s="392">
        <f>-(BX5-BW5)*HLOOKUP(BX$6,Assumptions!$F$45:$O$54,8,0)*MAX(BX11-(1-Assumptions!$G$33),0)*Assumptions!$C$37</f>
        <v>-139098.73417955282</v>
      </c>
      <c r="BY15" s="392">
        <f>-(BY5-BX5)*HLOOKUP(BY$6,Assumptions!$F$45:$O$54,8,0)*MAX(BY11-(1-Assumptions!$G$33),0)*Assumptions!$C$37</f>
        <v>-89215.050197920093</v>
      </c>
      <c r="BZ15" s="392">
        <f>-(BZ5-BY5)*HLOOKUP(BZ$6,Assumptions!$F$45:$O$54,8,0)*MAX(BZ11-(1-Assumptions!$G$33),0)*Assumptions!$C$37</f>
        <v>0</v>
      </c>
      <c r="CA15" s="392">
        <f>-(CA5-BZ5)*HLOOKUP(CA$6,Assumptions!$F$45:$O$54,8,0)*MAX(CA11-(1-Assumptions!$G$33),0)*Assumptions!$C$37</f>
        <v>0</v>
      </c>
      <c r="CB15" s="392">
        <f>-(CB5-CA5)*HLOOKUP(CB$6,Assumptions!$F$45:$O$54,8,0)*MAX(CB11-(1-Assumptions!$G$33),0)*Assumptions!$C$37</f>
        <v>0</v>
      </c>
      <c r="CC15" s="392">
        <f>-(CC5-CB5)*HLOOKUP(CC$6,Assumptions!$F$45:$O$54,8,0)*MAX(CC11-(1-Assumptions!$G$33),0)*Assumptions!$C$37</f>
        <v>-89215.050197920093</v>
      </c>
      <c r="CD15" s="392">
        <f>-(CD5-CC5)*HLOOKUP(CD$6,Assumptions!$F$45:$O$54,8,0)*MAX(CD11-(1-Assumptions!$G$33),0)*Assumptions!$C$37</f>
        <v>-29738.350065973387</v>
      </c>
      <c r="CE15" s="392">
        <f>-(CE5-CD5)*HLOOKUP(CE$6,Assumptions!$F$45:$O$54,8,0)*MAX(CE11-(1-Assumptions!$G$33),0)*Assumptions!$C$37</f>
        <v>0</v>
      </c>
      <c r="CF15" s="392">
        <f>-(CF5-CE5)*HLOOKUP(CF$6,Assumptions!$F$45:$O$54,8,0)*MAX(CF11-(1-Assumptions!$G$33),0)*Assumptions!$C$37</f>
        <v>0</v>
      </c>
      <c r="CG15" s="392">
        <f>-(CG5-CF5)*HLOOKUP(CG$6,Assumptions!$F$45:$O$54,8,0)*MAX(CG11-(1-Assumptions!$G$33),0)*Assumptions!$C$37</f>
        <v>0</v>
      </c>
      <c r="CH15" s="392">
        <f>-(CH5-CG5)*HLOOKUP(CH$6,Assumptions!$F$45:$O$54,8,0)*MAX(CH11-(1-Assumptions!$G$33),0)*Assumptions!$C$37</f>
        <v>-29738.350065973387</v>
      </c>
      <c r="CI15" s="392">
        <f>-(CI5-CH5)*HLOOKUP(CI$6,Assumptions!$F$45:$O$54,8,0)*MAX(CI11-(1-Assumptions!$G$33),0)*Assumptions!$C$37</f>
        <v>-153152.50283976283</v>
      </c>
      <c r="CJ15" s="392">
        <f>-(CJ5-CI5)*HLOOKUP(CJ$6,Assumptions!$F$45:$O$54,8,0)*MAX(CJ11-(1-Assumptions!$G$33),0)*Assumptions!$C$37</f>
        <v>-138331.2928875277</v>
      </c>
      <c r="CK15" s="392">
        <f>-(CK5-CJ5)*HLOOKUP(CK$6,Assumptions!$F$45:$O$54,8,0)*MAX(CK11-(1-Assumptions!$G$33),0)*Assumptions!$C$37</f>
        <v>-91891.501703857721</v>
      </c>
      <c r="CL15" s="392">
        <f>-(CL5-CK5)*HLOOKUP(CL$6,Assumptions!$F$45:$O$54,8,0)*MAX(CL11-(1-Assumptions!$G$33),0)*Assumptions!$C$37</f>
        <v>0</v>
      </c>
      <c r="CM15" s="392">
        <f>-(CM5-CL5)*HLOOKUP(CM$6,Assumptions!$F$45:$O$54,8,0)*MAX(CM11-(1-Assumptions!$G$33),0)*Assumptions!$C$37</f>
        <v>0</v>
      </c>
      <c r="CN15" s="392">
        <f>-(CN5-CM5)*HLOOKUP(CN$6,Assumptions!$F$45:$O$54,8,0)*MAX(CN11-(1-Assumptions!$G$33),0)*Assumptions!$C$37</f>
        <v>0</v>
      </c>
      <c r="CO15" s="392">
        <f>-(CO5-CN5)*HLOOKUP(CO$6,Assumptions!$F$45:$O$54,8,0)*MAX(CO11-(1-Assumptions!$G$33),0)*Assumptions!$C$37</f>
        <v>-91891.501703857721</v>
      </c>
      <c r="CP15" s="392">
        <f>-(CP5-CO5)*HLOOKUP(CP$6,Assumptions!$F$45:$O$54,8,0)*MAX(CP11-(1-Assumptions!$G$33),0)*Assumptions!$C$37</f>
        <v>-30630.500567952593</v>
      </c>
      <c r="CQ15" s="392">
        <f>-(CQ5-CP5)*HLOOKUP(CQ$6,Assumptions!$F$45:$O$54,8,0)*MAX(CQ11-(1-Assumptions!$G$33),0)*Assumptions!$C$37</f>
        <v>0</v>
      </c>
      <c r="CR15" s="392">
        <f>-(CR5-CQ5)*HLOOKUP(CR$6,Assumptions!$F$45:$O$54,8,0)*MAX(CR11-(1-Assumptions!$G$33),0)*Assumptions!$C$37</f>
        <v>0</v>
      </c>
      <c r="CS15" s="392">
        <f>-(CS5-CR5)*HLOOKUP(CS$6,Assumptions!$F$45:$O$54,8,0)*MAX(CS11-(1-Assumptions!$G$33),0)*Assumptions!$C$37</f>
        <v>0</v>
      </c>
      <c r="CT15" s="392">
        <f>-(CT5-CS5)*HLOOKUP(CT$6,Assumptions!$F$45:$O$54,8,0)*MAX(CT11-(1-Assumptions!$G$33),0)*Assumptions!$C$37</f>
        <v>-30630.500567952593</v>
      </c>
      <c r="CU15" s="392">
        <f>-(CU5-CT5)*HLOOKUP(CU$6,Assumptions!$F$45:$O$54,8,0)*MAX(CU11-(1-Assumptions!$G$33),0)*Assumptions!$C$37</f>
        <v>-157747.07792495572</v>
      </c>
      <c r="CV15" s="392">
        <f>-(CV5-CU5)*HLOOKUP(CV$6,Assumptions!$F$45:$O$54,8,0)*MAX(CV11-(1-Assumptions!$G$33),0)*Assumptions!$C$37</f>
        <v>-142481.23167415353</v>
      </c>
      <c r="CW15" s="392">
        <f>-(CW5-CV5)*HLOOKUP(CW$6,Assumptions!$F$45:$O$54,8,0)*MAX(CW11-(1-Assumptions!$G$33),0)*Assumptions!$C$37</f>
        <v>-94648.246754973443</v>
      </c>
      <c r="CX15" s="392">
        <f>-(CX5-CW5)*HLOOKUP(CX$6,Assumptions!$F$45:$O$54,8,0)*MAX(CX11-(1-Assumptions!$G$33),0)*Assumptions!$C$37</f>
        <v>0</v>
      </c>
      <c r="CY15" s="392">
        <f>-(CY5-CX5)*HLOOKUP(CY$6,Assumptions!$F$45:$O$54,8,0)*MAX(CY11-(1-Assumptions!$G$33),0)*Assumptions!$C$37</f>
        <v>0</v>
      </c>
      <c r="CZ15" s="392">
        <f>-(CZ5-CY5)*HLOOKUP(CZ$6,Assumptions!$F$45:$O$54,8,0)*MAX(CZ11-(1-Assumptions!$G$33),0)*Assumptions!$C$37</f>
        <v>0</v>
      </c>
      <c r="DA15" s="392">
        <f>-(DA5-CZ5)*HLOOKUP(DA$6,Assumptions!$F$45:$O$54,8,0)*MAX(DA11-(1-Assumptions!$G$33),0)*Assumptions!$C$37</f>
        <v>-94648.246754973443</v>
      </c>
      <c r="DB15" s="392">
        <f>-(DB5-DA5)*HLOOKUP(DB$6,Assumptions!$F$45:$O$54,8,0)*MAX(DB11-(1-Assumptions!$G$33),0)*Assumptions!$C$37</f>
        <v>-31549.415584991173</v>
      </c>
      <c r="DC15" s="392">
        <f>-(DC5-DB5)*HLOOKUP(DC$6,Assumptions!$F$45:$O$54,8,0)*MAX(DC11-(1-Assumptions!$G$33),0)*Assumptions!$C$37</f>
        <v>0</v>
      </c>
      <c r="DD15" s="392">
        <f>-(DD5-DC5)*HLOOKUP(DD$6,Assumptions!$F$45:$O$54,8,0)*MAX(DD11-(1-Assumptions!$G$33),0)*Assumptions!$C$37</f>
        <v>0</v>
      </c>
      <c r="DE15" s="392">
        <f>-(DE5-DD5)*HLOOKUP(DE$6,Assumptions!$F$45:$O$54,8,0)*MAX(DE11-(1-Assumptions!$G$33),0)*Assumptions!$C$37</f>
        <v>0</v>
      </c>
      <c r="DF15" s="392">
        <f>-(DF5-DE5)*HLOOKUP(DF$6,Assumptions!$F$45:$O$54,8,0)*MAX(DF11-(1-Assumptions!$G$33),0)*Assumptions!$C$37</f>
        <v>-31549.415584991173</v>
      </c>
      <c r="DG15" s="392" t="e">
        <f>-(DG5-DF5)*HLOOKUP(DG$6,Assumptions!$F$45:$O$54,8,0)*MAX(DG11-(1-Assumptions!$G$33),0)*Assumptions!$C$37</f>
        <v>#N/A</v>
      </c>
      <c r="DH15" s="392" t="e">
        <f>-(DH5-DG5)*HLOOKUP(DH$6,Assumptions!$F$45:$O$54,8,0)*MAX(DH11-(1-Assumptions!$G$33),0)*Assumptions!$C$37</f>
        <v>#N/A</v>
      </c>
      <c r="DI15" s="392" t="e">
        <f>-(DI5-DH5)*HLOOKUP(DI$6,Assumptions!$F$45:$O$54,8,0)*MAX(DI11-(1-Assumptions!$G$33),0)*Assumptions!$C$37</f>
        <v>#N/A</v>
      </c>
      <c r="DJ15" s="392" t="e">
        <f>-(DJ5-DI5)*HLOOKUP(DJ$6,Assumptions!$F$45:$O$54,8,0)*MAX(DJ11-(1-Assumptions!$G$33),0)*Assumptions!$C$37</f>
        <v>#N/A</v>
      </c>
      <c r="DK15" s="392" t="e">
        <f>-(DK5-DJ5)*HLOOKUP(DK$6,Assumptions!$F$45:$O$54,8,0)*MAX(DK11-(1-Assumptions!$G$33),0)*Assumptions!$C$37</f>
        <v>#N/A</v>
      </c>
      <c r="DL15" s="392" t="e">
        <f>-(DL5-DK5)*HLOOKUP(DL$6,Assumptions!$F$45:$O$54,8,0)*MAX(DL11-(1-Assumptions!$G$33),0)*Assumptions!$C$37</f>
        <v>#N/A</v>
      </c>
      <c r="DM15" s="392" t="e">
        <f>-(DM5-DL5)*HLOOKUP(DM$6,Assumptions!$F$45:$O$54,8,0)*MAX(DM11-(1-Assumptions!$G$33),0)*Assumptions!$C$37</f>
        <v>#N/A</v>
      </c>
      <c r="DN15" s="392" t="e">
        <f>-(DN5-DM5)*HLOOKUP(DN$6,Assumptions!$F$45:$O$54,8,0)*MAX(DN11-(1-Assumptions!$G$33),0)*Assumptions!$C$37</f>
        <v>#N/A</v>
      </c>
      <c r="DO15" s="392" t="e">
        <f>-(DO5-DN5)*HLOOKUP(DO$6,Assumptions!$F$45:$O$54,8,0)*MAX(DO11-(1-Assumptions!$G$33),0)*Assumptions!$C$37</f>
        <v>#N/A</v>
      </c>
      <c r="DP15" s="392" t="e">
        <f>-(DP5-DO5)*HLOOKUP(DP$6,Assumptions!$F$45:$O$54,8,0)*MAX(DP11-(1-Assumptions!$G$33),0)*Assumptions!$C$37</f>
        <v>#N/A</v>
      </c>
      <c r="DQ15" s="392" t="e">
        <f>-(DQ5-DP5)*HLOOKUP(DQ$6,Assumptions!$F$45:$O$54,8,0)*MAX(DQ11-(1-Assumptions!$G$33),0)*Assumptions!$C$37</f>
        <v>#N/A</v>
      </c>
      <c r="DR15" s="392" t="e">
        <f>-(DR5-DQ5)*HLOOKUP(DR$6,Assumptions!$F$45:$O$54,8,0)*MAX(DR11-(1-Assumptions!$G$33),0)*Assumptions!$C$37</f>
        <v>#N/A</v>
      </c>
      <c r="DS15" s="392"/>
      <c r="DT15" s="392"/>
      <c r="DU15" s="392"/>
      <c r="DV15" s="392"/>
      <c r="DW15" s="392"/>
      <c r="DX15" s="392"/>
      <c r="DY15" s="392"/>
      <c r="DZ15" s="392"/>
      <c r="EA15" s="392"/>
      <c r="EB15" s="392"/>
      <c r="EC15" s="392"/>
      <c r="ED15" s="392"/>
    </row>
    <row r="16" spans="1:134" s="393" customFormat="1" ht="16" x14ac:dyDescent="0.2">
      <c r="A16" s="391"/>
      <c r="B16" s="398" t="s">
        <v>766</v>
      </c>
      <c r="C16" s="395">
        <f>-(C5-B5)*HLOOKUP(C$6,Assumptions!$F$45:$O$54,9,0)*MAX(C11-(1-Assumptions!$H$33),0)*Assumptions!$C$37</f>
        <v>0</v>
      </c>
      <c r="D16" s="395">
        <f>-(D5-C5)*HLOOKUP(D$6,Assumptions!$F$45:$O$54,9,0)*MAX(D11-(1-Assumptions!$H$33),0)*Assumptions!$C$37</f>
        <v>0</v>
      </c>
      <c r="E16" s="395">
        <f>-(E5-D5)*HLOOKUP(E$6,Assumptions!$F$45:$O$54,9,0)*MAX(E11-(1-Assumptions!$H$33),0)*Assumptions!$C$37</f>
        <v>0</v>
      </c>
      <c r="F16" s="395">
        <f>-(F5-E5)*HLOOKUP(F$6,Assumptions!$F$45:$O$54,9,0)*MAX(F11-(1-Assumptions!$H$33),0)*Assumptions!$C$37</f>
        <v>0</v>
      </c>
      <c r="G16" s="395">
        <f>-(G5-F5)*HLOOKUP(G$6,Assumptions!$F$45:$O$54,9,0)*MAX(G11-(1-Assumptions!$H$33),0)*Assumptions!$C$37</f>
        <v>0</v>
      </c>
      <c r="H16" s="395">
        <f>-(H5-G5)*HLOOKUP(H$6,Assumptions!$F$45:$O$54,9,0)*MAX(H11-(1-Assumptions!$H$33),0)*Assumptions!$C$37</f>
        <v>0</v>
      </c>
      <c r="I16" s="395">
        <f>-(I5-H5)*HLOOKUP(I$6,Assumptions!$F$45:$O$54,9,0)*MAX(I11-(1-Assumptions!$H$33),0)*Assumptions!$C$37</f>
        <v>0</v>
      </c>
      <c r="J16" s="395">
        <f>-(J5-I5)*HLOOKUP(J$6,Assumptions!$F$45:$O$54,9,0)*MAX(J11-(1-Assumptions!$H$33),0)*Assumptions!$C$37</f>
        <v>0</v>
      </c>
      <c r="K16" s="395">
        <f>-(K5-J5)*HLOOKUP(K$6,Assumptions!$F$45:$O$54,9,0)*MAX(K11-(1-Assumptions!$H$33),0)*Assumptions!$C$37</f>
        <v>0</v>
      </c>
      <c r="L16" s="395">
        <f>-(L5-K5)*HLOOKUP(L$6,Assumptions!$F$45:$O$54,9,0)*MAX(L11-(1-Assumptions!$H$33),0)*Assumptions!$C$37</f>
        <v>0</v>
      </c>
      <c r="M16" s="395">
        <f>-(M5-L5)*HLOOKUP(M$6,Assumptions!$F$45:$O$54,9,0)*MAX(M11-(1-Assumptions!$H$33),0)*Assumptions!$C$37</f>
        <v>0</v>
      </c>
      <c r="N16" s="395">
        <f>-(N5-M5)*HLOOKUP(N$6,Assumptions!$F$45:$O$54,9,0)*MAX(N11-(1-Assumptions!$H$33),0)*Assumptions!$C$37</f>
        <v>0</v>
      </c>
      <c r="O16" s="395">
        <f>-(O5-N5)*HLOOKUP(O$6,Assumptions!$F$45:$O$54,9,0)*MAX(O11-(1-Assumptions!$H$33),0)*Assumptions!$C$37</f>
        <v>0</v>
      </c>
      <c r="P16" s="395">
        <f>-(P5-O5)*HLOOKUP(P$6,Assumptions!$F$45:$O$54,9,0)*MAX(P11-(1-Assumptions!$H$33),0)*Assumptions!$C$37</f>
        <v>0</v>
      </c>
      <c r="Q16" s="395">
        <f>-(Q5-P5)*HLOOKUP(Q$6,Assumptions!$F$45:$O$54,9,0)*MAX(Q11-(1-Assumptions!$H$33),0)*Assumptions!$C$37</f>
        <v>0</v>
      </c>
      <c r="R16" s="395">
        <f>-(R5-Q5)*HLOOKUP(R$6,Assumptions!$F$45:$O$54,9,0)*MAX(R11-(1-Assumptions!$H$33),0)*Assumptions!$C$37</f>
        <v>0</v>
      </c>
      <c r="S16" s="395">
        <f>-(S5-R5)*HLOOKUP(S$6,Assumptions!$F$45:$O$54,9,0)*MAX(S11-(1-Assumptions!$H$33),0)*Assumptions!$C$37</f>
        <v>0</v>
      </c>
      <c r="T16" s="395">
        <f>-(T5-S5)*HLOOKUP(T$6,Assumptions!$F$45:$O$54,9,0)*MAX(T11-(1-Assumptions!$H$33),0)*Assumptions!$C$37</f>
        <v>0</v>
      </c>
      <c r="U16" s="395">
        <f>-(U5-T5)*HLOOKUP(U$6,Assumptions!$F$45:$O$54,9,0)*MAX(U11-(1-Assumptions!$H$33),0)*Assumptions!$C$37</f>
        <v>0</v>
      </c>
      <c r="V16" s="395">
        <f>-(V5-U5)*HLOOKUP(V$6,Assumptions!$F$45:$O$54,9,0)*MAX(V11-(1-Assumptions!$H$33),0)*Assumptions!$C$37</f>
        <v>0</v>
      </c>
      <c r="W16" s="395">
        <f>-(W5-V5)*HLOOKUP(W$6,Assumptions!$F$45:$O$54,9,0)*MAX(W11-(1-Assumptions!$H$33),0)*Assumptions!$C$37</f>
        <v>0</v>
      </c>
      <c r="X16" s="395">
        <f>-(X5-W5)*HLOOKUP(X$6,Assumptions!$F$45:$O$54,9,0)*MAX(X11-(1-Assumptions!$H$33),0)*Assumptions!$C$37</f>
        <v>0</v>
      </c>
      <c r="Y16" s="395">
        <f>-(Y5-X5)*HLOOKUP(Y$6,Assumptions!$F$45:$O$54,9,0)*MAX(Y11-(1-Assumptions!$H$33),0)*Assumptions!$C$37</f>
        <v>0</v>
      </c>
      <c r="Z16" s="395">
        <f>-(Z5-Y5)*HLOOKUP(Z$6,Assumptions!$F$45:$O$54,9,0)*MAX(Z11-(1-Assumptions!$H$33),0)*Assumptions!$C$37</f>
        <v>0</v>
      </c>
      <c r="AA16" s="395">
        <f>-(AA5-Z5)*HLOOKUP(AA$6,Assumptions!$F$45:$O$54,9,0)*MAX(AA11-(1-Assumptions!$H$33),0)*Assumptions!$C$37</f>
        <v>0</v>
      </c>
      <c r="AB16" s="395">
        <f>-(AB5-AA5)*HLOOKUP(AB$6,Assumptions!$F$45:$O$54,9,0)*MAX(AB11-(1-Assumptions!$H$33),0)*Assumptions!$C$37</f>
        <v>0</v>
      </c>
      <c r="AC16" s="395">
        <f>-(AC5-AB5)*HLOOKUP(AC$6,Assumptions!$F$45:$O$54,9,0)*MAX(AC11-(1-Assumptions!$H$33),0)*Assumptions!$C$37</f>
        <v>0</v>
      </c>
      <c r="AD16" s="395">
        <f>-(AD5-AC5)*HLOOKUP(AD$6,Assumptions!$F$45:$O$54,9,0)*MAX(AD11-(1-Assumptions!$H$33),0)*Assumptions!$C$37</f>
        <v>0</v>
      </c>
      <c r="AE16" s="395">
        <f>-(AE5-AD5)*HLOOKUP(AE$6,Assumptions!$F$45:$O$54,9,0)*MAX(AE11-(1-Assumptions!$H$33),0)*Assumptions!$C$37</f>
        <v>0</v>
      </c>
      <c r="AF16" s="395">
        <f>-(AF5-AE5)*HLOOKUP(AF$6,Assumptions!$F$45:$O$54,9,0)*MAX(AF11-(1-Assumptions!$H$33),0)*Assumptions!$C$37</f>
        <v>0</v>
      </c>
      <c r="AG16" s="395">
        <f>-(AG5-AF5)*HLOOKUP(AG$6,Assumptions!$F$45:$O$54,9,0)*MAX(AG11-(1-Assumptions!$H$33),0)*Assumptions!$C$37</f>
        <v>0</v>
      </c>
      <c r="AH16" s="395">
        <f>-(AH5-AG5)*HLOOKUP(AH$6,Assumptions!$F$45:$O$54,9,0)*MAX(AH11-(1-Assumptions!$H$33),0)*Assumptions!$C$37</f>
        <v>0</v>
      </c>
      <c r="AI16" s="395">
        <f>-(AI5-AH5)*HLOOKUP(AI$6,Assumptions!$F$45:$O$54,9,0)*MAX(AI11-(1-Assumptions!$H$33),0)*Assumptions!$C$37</f>
        <v>0</v>
      </c>
      <c r="AJ16" s="395">
        <f>-(AJ5-AI5)*HLOOKUP(AJ$6,Assumptions!$F$45:$O$54,9,0)*MAX(AJ11-(1-Assumptions!$H$33),0)*Assumptions!$C$37</f>
        <v>0</v>
      </c>
      <c r="AK16" s="395">
        <f>-(AK5-AJ5)*HLOOKUP(AK$6,Assumptions!$F$45:$O$54,9,0)*MAX(AK11-(1-Assumptions!$H$33),0)*Assumptions!$C$37</f>
        <v>0</v>
      </c>
      <c r="AL16" s="395">
        <f>-(AL5-AK5)*HLOOKUP(AL$6,Assumptions!$F$45:$O$54,9,0)*MAX(AL11-(1-Assumptions!$H$33),0)*Assumptions!$C$37</f>
        <v>0</v>
      </c>
      <c r="AM16" s="395">
        <f>-(AM5-AL5)*HLOOKUP(AM$6,Assumptions!$F$45:$O$54,9,0)*MAX(AM11-(1-Assumptions!$H$33),0)*Assumptions!$C$37</f>
        <v>-235512.71849250002</v>
      </c>
      <c r="AN16" s="395">
        <f>-(AN5-AM5)*HLOOKUP(AN$6,Assumptions!$F$45:$O$54,9,0)*MAX(AN11-(1-Assumptions!$H$33),0)*Assumptions!$C$37</f>
        <v>-212721.16509000005</v>
      </c>
      <c r="AO16" s="395">
        <f>-(AO5-AN5)*HLOOKUP(AO$6,Assumptions!$F$45:$O$54,9,0)*MAX(AO11-(1-Assumptions!$H$33),0)*Assumptions!$C$37</f>
        <v>-204111.02269350001</v>
      </c>
      <c r="AP16" s="395">
        <f>-(AP5-AO5)*HLOOKUP(AP$6,Assumptions!$F$45:$O$54,9,0)*MAX(AP11-(1-Assumptions!$H$33),0)*Assumptions!$C$37</f>
        <v>-75971.844675000015</v>
      </c>
      <c r="AQ16" s="395">
        <f>-(AQ5-AP5)*HLOOKUP(AQ$6,Assumptions!$F$45:$O$54,9,0)*MAX(AQ11-(1-Assumptions!$H$33),0)*Assumptions!$C$37</f>
        <v>-47102.543698500005</v>
      </c>
      <c r="AR16" s="395">
        <f>-(AR5-AQ5)*HLOOKUP(AR$6,Assumptions!$F$45:$O$54,9,0)*MAX(AR11-(1-Assumptions!$H$33),0)*Assumptions!$C$37</f>
        <v>-136749.32041500002</v>
      </c>
      <c r="AS16" s="395">
        <f>-(AS5-AR5)*HLOOKUP(AS$6,Assumptions!$F$45:$O$54,9,0)*MAX(AS11-(1-Assumptions!$H$33),0)*Assumptions!$C$37</f>
        <v>-204111.02269350001</v>
      </c>
      <c r="AT16" s="395">
        <f>-(AT5-AS5)*HLOOKUP(AT$6,Assumptions!$F$45:$O$54,9,0)*MAX(AT11-(1-Assumptions!$H$33),0)*Assumptions!$C$37</f>
        <v>-172709.32689450003</v>
      </c>
      <c r="AU16" s="395">
        <f>-(AU5-AT5)*HLOOKUP(AU$6,Assumptions!$F$45:$O$54,9,0)*MAX(AU11-(1-Assumptions!$H$33),0)*Assumptions!$C$37</f>
        <v>-136749.32041500002</v>
      </c>
      <c r="AV16" s="395">
        <f>-(AV5-AU5)*HLOOKUP(AV$6,Assumptions!$F$45:$O$54,9,0)*MAX(AV11-(1-Assumptions!$H$33),0)*Assumptions!$C$37</f>
        <v>-31401.695799000005</v>
      </c>
      <c r="AW16" s="395">
        <f>-(AW5-AV5)*HLOOKUP(AW$6,Assumptions!$F$45:$O$54,9,0)*MAX(AW11-(1-Assumptions!$H$33),0)*Assumptions!$C$37</f>
        <v>-30388.737870000008</v>
      </c>
      <c r="AX16" s="395">
        <f>-(AX5-AW5)*HLOOKUP(AX$6,Assumptions!$F$45:$O$54,9,0)*MAX(AX11-(1-Assumptions!$H$33),0)*Assumptions!$C$37</f>
        <v>-172709.32689450003</v>
      </c>
      <c r="AY16" s="395">
        <f>-(AY5-AX5)*HLOOKUP(AY$6,Assumptions!$F$45:$O$54,9,0)*MAX(AY11-(1-Assumptions!$H$33),0)*Assumptions!$C$37</f>
        <v>-485156.20009455015</v>
      </c>
      <c r="AZ16" s="395">
        <f>-(AZ5-AY5)*HLOOKUP(AZ$6,Assumptions!$F$45:$O$54,9,0)*MAX(AZ11-(1-Assumptions!$H$33),0)*Assumptions!$C$37</f>
        <v>-438205.60008540016</v>
      </c>
      <c r="BA16" s="395">
        <f>-(BA5-AZ5)*HLOOKUP(BA$6,Assumptions!$F$45:$O$54,9,0)*MAX(BA11-(1-Assumptions!$H$33),0)*Assumptions!$C$37</f>
        <v>-420468.70674861013</v>
      </c>
      <c r="BB16" s="395">
        <f>-(BB5-BA5)*HLOOKUP(BB$6,Assumptions!$F$45:$O$54,9,0)*MAX(BB11-(1-Assumptions!$H$33),0)*Assumptions!$C$37</f>
        <v>-156502.00003050003</v>
      </c>
      <c r="BC16" s="395">
        <f>-(BC5-BB5)*HLOOKUP(BC$6,Assumptions!$F$45:$O$54,9,0)*MAX(BC11-(1-Assumptions!$H$33),0)*Assumptions!$C$37</f>
        <v>-97031.24001891003</v>
      </c>
      <c r="BD16" s="395">
        <f>-(BD5-BC5)*HLOOKUP(BD$6,Assumptions!$F$45:$O$54,9,0)*MAX(BD11-(1-Assumptions!$H$33),0)*Assumptions!$C$37</f>
        <v>-281703.60005490005</v>
      </c>
      <c r="BE16" s="395">
        <f>-(BE5-BD5)*HLOOKUP(BE$6,Assumptions!$F$45:$O$54,9,0)*MAX(BE11-(1-Assumptions!$H$33),0)*Assumptions!$C$37</f>
        <v>-420468.70674861013</v>
      </c>
      <c r="BF16" s="395">
        <f>-(BF5-BE5)*HLOOKUP(BF$6,Assumptions!$F$45:$O$54,9,0)*MAX(BF11-(1-Assumptions!$H$33),0)*Assumptions!$C$37</f>
        <v>-355781.21340267011</v>
      </c>
      <c r="BG16" s="395">
        <f>-(BG5-BF5)*HLOOKUP(BG$6,Assumptions!$F$45:$O$54,9,0)*MAX(BG11-(1-Assumptions!$H$33),0)*Assumptions!$C$37</f>
        <v>-281703.60005490005</v>
      </c>
      <c r="BH16" s="395">
        <f>-(BH5-BG5)*HLOOKUP(BH$6,Assumptions!$F$45:$O$54,9,0)*MAX(BH11-(1-Assumptions!$H$33),0)*Assumptions!$C$37</f>
        <v>-64687.49334594002</v>
      </c>
      <c r="BI16" s="395">
        <f>-(BI5-BH5)*HLOOKUP(BI$6,Assumptions!$F$45:$O$54,9,0)*MAX(BI11-(1-Assumptions!$H$33),0)*Assumptions!$C$37</f>
        <v>-62600.800012200016</v>
      </c>
      <c r="BJ16" s="395">
        <f>-(BJ5-BI5)*HLOOKUP(BJ$6,Assumptions!$F$45:$O$54,9,0)*MAX(BJ11-(1-Assumptions!$H$33),0)*Assumptions!$C$37</f>
        <v>-355781.21340267011</v>
      </c>
      <c r="BK16" s="395">
        <f>-(BK5-BJ5)*HLOOKUP(BK$6,Assumptions!$F$45:$O$54,9,0)*MAX(BK11-(1-Assumptions!$H$33),0)*Assumptions!$C$37</f>
        <v>-749566.32914607995</v>
      </c>
      <c r="BL16" s="395">
        <f>-(BL5-BK5)*HLOOKUP(BL$6,Assumptions!$F$45:$O$54,9,0)*MAX(BL11-(1-Assumptions!$H$33),0)*Assumptions!$C$37</f>
        <v>-677027.65213194326</v>
      </c>
      <c r="BM16" s="395">
        <f>-(BM5-BL5)*HLOOKUP(BM$6,Assumptions!$F$45:$O$54,9,0)*MAX(BM11-(1-Assumptions!$H$33),0)*Assumptions!$C$37</f>
        <v>-649624.1519266027</v>
      </c>
      <c r="BN16" s="395">
        <f>-(BN5-BM5)*HLOOKUP(BN$6,Assumptions!$F$45:$O$54,9,0)*MAX(BN11-(1-Assumptions!$H$33),0)*Assumptions!$C$37</f>
        <v>-241795.59004712259</v>
      </c>
      <c r="BO16" s="395">
        <f>-(BO5-BN5)*HLOOKUP(BO$6,Assumptions!$F$45:$O$54,9,0)*MAX(BO11-(1-Assumptions!$H$33),0)*Assumptions!$C$37</f>
        <v>-149913.26582921599</v>
      </c>
      <c r="BP16" s="395">
        <f>-(BP5-BO5)*HLOOKUP(BP$6,Assumptions!$F$45:$O$54,9,0)*MAX(BP11-(1-Assumptions!$H$33),0)*Assumptions!$C$37</f>
        <v>-435232.06208482065</v>
      </c>
      <c r="BQ16" s="395">
        <f>-(BQ5-BP5)*HLOOKUP(BQ$6,Assumptions!$F$45:$O$54,9,0)*MAX(BQ11-(1-Assumptions!$H$33),0)*Assumptions!$C$37</f>
        <v>-649624.1519266027</v>
      </c>
      <c r="BR16" s="395">
        <f>-(BR5-BQ5)*HLOOKUP(BR$6,Assumptions!$F$45:$O$54,9,0)*MAX(BR11-(1-Assumptions!$H$33),0)*Assumptions!$C$37</f>
        <v>-549681.97470712534</v>
      </c>
      <c r="BS16" s="395">
        <f>-(BS5-BR5)*HLOOKUP(BS$6,Assumptions!$F$45:$O$54,9,0)*MAX(BS11-(1-Assumptions!$H$33),0)*Assumptions!$C$37</f>
        <v>-435232.06208482065</v>
      </c>
      <c r="BT16" s="395">
        <f>-(BT5-BS5)*HLOOKUP(BT$6,Assumptions!$F$45:$O$54,9,0)*MAX(BT11-(1-Assumptions!$H$33),0)*Assumptions!$C$37</f>
        <v>-99942.177219477337</v>
      </c>
      <c r="BU16" s="395">
        <f>-(BU5-BT5)*HLOOKUP(BU$6,Assumptions!$F$45:$O$54,9,0)*MAX(BU11-(1-Assumptions!$H$33),0)*Assumptions!$C$37</f>
        <v>-96718.236018849042</v>
      </c>
      <c r="BV16" s="395">
        <f>-(BV5-BU5)*HLOOKUP(BV$6,Assumptions!$F$45:$O$54,9,0)*MAX(BV11-(1-Assumptions!$H$33),0)*Assumptions!$C$37</f>
        <v>-549681.97470712534</v>
      </c>
      <c r="BW16" s="395">
        <f>-(BW5-BV5)*HLOOKUP(BW$6,Assumptions!$F$45:$O$54,9,0)*MAX(BW11-(1-Assumptions!$H$33),0)*Assumptions!$C$37</f>
        <v>-1029404.4253606165</v>
      </c>
      <c r="BX16" s="395">
        <f>-(BX5-BW5)*HLOOKUP(BX$6,Assumptions!$F$45:$O$54,9,0)*MAX(BX11-(1-Assumptions!$H$33),0)*Assumptions!$C$37</f>
        <v>-962991.2366276735</v>
      </c>
      <c r="BY16" s="395">
        <f>-(BY5-BX5)*HLOOKUP(BY$6,Assumptions!$F$45:$O$54,9,0)*MAX(BY11-(1-Assumptions!$H$33),0)*Assumptions!$C$37</f>
        <v>-892150.5019792011</v>
      </c>
      <c r="BZ16" s="395">
        <f>-(BZ5-BY5)*HLOOKUP(BZ$6,Assumptions!$F$45:$O$54,9,0)*MAX(BZ11-(1-Assumptions!$H$33),0)*Assumptions!$C$37</f>
        <v>-332065.94366471504</v>
      </c>
      <c r="CA16" s="395">
        <f>-(CA5-BZ5)*HLOOKUP(CA$6,Assumptions!$F$45:$O$54,9,0)*MAX(CA11-(1-Assumptions!$H$33),0)*Assumptions!$C$37</f>
        <v>-205880.88507212332</v>
      </c>
      <c r="CB16" s="395">
        <f>-(CB5-CA5)*HLOOKUP(CB$6,Assumptions!$F$45:$O$54,9,0)*MAX(CB11-(1-Assumptions!$H$33),0)*Assumptions!$C$37</f>
        <v>-597718.69859648705</v>
      </c>
      <c r="CC16" s="395">
        <f>-(CC5-CB5)*HLOOKUP(CC$6,Assumptions!$F$45:$O$54,9,0)*MAX(CC11-(1-Assumptions!$H$33),0)*Assumptions!$C$37</f>
        <v>-892150.5019792011</v>
      </c>
      <c r="CD16" s="395">
        <f>-(CD5-CC5)*HLOOKUP(CD$6,Assumptions!$F$45:$O$54,9,0)*MAX(CD11-(1-Assumptions!$H$33),0)*Assumptions!$C$37</f>
        <v>-754896.57859778556</v>
      </c>
      <c r="CE16" s="395">
        <f>-(CE5-CD5)*HLOOKUP(CE$6,Assumptions!$F$45:$O$54,9,0)*MAX(CE11-(1-Assumptions!$H$33),0)*Assumptions!$C$37</f>
        <v>-597718.69859648705</v>
      </c>
      <c r="CF16" s="395">
        <f>-(CF5-CE5)*HLOOKUP(CF$6,Assumptions!$F$45:$O$54,9,0)*MAX(CF11-(1-Assumptions!$H$33),0)*Assumptions!$C$37</f>
        <v>-137253.92338141555</v>
      </c>
      <c r="CG16" s="395">
        <f>-(CG5-CF5)*HLOOKUP(CG$6,Assumptions!$F$45:$O$54,9,0)*MAX(CG11-(1-Assumptions!$H$33),0)*Assumptions!$C$37</f>
        <v>-132826.37746588603</v>
      </c>
      <c r="CH16" s="395">
        <f>-(CH5-CG5)*HLOOKUP(CH$6,Assumptions!$F$45:$O$54,9,0)*MAX(CH11-(1-Assumptions!$H$33),0)*Assumptions!$C$37</f>
        <v>-754896.57859778556</v>
      </c>
      <c r="CI16" s="395">
        <f>-(CI5-CH5)*HLOOKUP(CI$6,Assumptions!$F$45:$O$54,9,0)*MAX(CI11-(1-Assumptions!$H$33),0)*Assumptions!$C$37</f>
        <v>-1060286.5581214349</v>
      </c>
      <c r="CJ16" s="395">
        <f>-(CJ5-CI5)*HLOOKUP(CJ$6,Assumptions!$F$45:$O$54,9,0)*MAX(CJ11-(1-Assumptions!$H$33),0)*Assumptions!$C$37</f>
        <v>-957678.18152903812</v>
      </c>
      <c r="CK16" s="395">
        <f>-(CK5-CJ5)*HLOOKUP(CK$6,Assumptions!$F$45:$O$54,9,0)*MAX(CK11-(1-Assumptions!$H$33),0)*Assumptions!$C$37</f>
        <v>-918915.017038577</v>
      </c>
      <c r="CL16" s="395">
        <f>-(CL5-CK5)*HLOOKUP(CL$6,Assumptions!$F$45:$O$54,9,0)*MAX(CL11-(1-Assumptions!$H$33),0)*Assumptions!$C$37</f>
        <v>-342027.92197465646</v>
      </c>
      <c r="CM16" s="395">
        <f>-(CM5-CL5)*HLOOKUP(CM$6,Assumptions!$F$45:$O$54,9,0)*MAX(CM11-(1-Assumptions!$H$33),0)*Assumptions!$C$37</f>
        <v>-212057.31162428699</v>
      </c>
      <c r="CN16" s="395">
        <f>-(CN5-CM5)*HLOOKUP(CN$6,Assumptions!$F$45:$O$54,9,0)*MAX(CN11-(1-Assumptions!$H$33),0)*Assumptions!$C$37</f>
        <v>-615650.2595543816</v>
      </c>
      <c r="CO16" s="395">
        <f>-(CO5-CN5)*HLOOKUP(CO$6,Assumptions!$F$45:$O$54,9,0)*MAX(CO11-(1-Assumptions!$H$33),0)*Assumptions!$C$37</f>
        <v>-918915.017038577</v>
      </c>
      <c r="CP16" s="395">
        <f>-(CP5-CO5)*HLOOKUP(CP$6,Assumptions!$F$45:$O$54,9,0)*MAX(CP11-(1-Assumptions!$H$33),0)*Assumptions!$C$37</f>
        <v>-777543.47595571901</v>
      </c>
      <c r="CQ16" s="395">
        <f>-(CQ5-CP5)*HLOOKUP(CQ$6,Assumptions!$F$45:$O$54,9,0)*MAX(CQ11-(1-Assumptions!$H$33),0)*Assumptions!$C$37</f>
        <v>-615650.2595543816</v>
      </c>
      <c r="CR16" s="395">
        <f>-(CR5-CQ5)*HLOOKUP(CR$6,Assumptions!$F$45:$O$54,9,0)*MAX(CR11-(1-Assumptions!$H$33),0)*Assumptions!$C$37</f>
        <v>-141371.54108285799</v>
      </c>
      <c r="CS16" s="395">
        <f>-(CS5-CR5)*HLOOKUP(CS$6,Assumptions!$F$45:$O$54,9,0)*MAX(CS11-(1-Assumptions!$H$33),0)*Assumptions!$C$37</f>
        <v>-136811.1687898626</v>
      </c>
      <c r="CT16" s="395">
        <f>-(CT5-CS5)*HLOOKUP(CT$6,Assumptions!$F$45:$O$54,9,0)*MAX(CT11-(1-Assumptions!$H$33),0)*Assumptions!$C$37</f>
        <v>-777543.47595571901</v>
      </c>
      <c r="CU16" s="395">
        <f>-(CU5-CT5)*HLOOKUP(CU$6,Assumptions!$F$45:$O$54,9,0)*MAX(CU11-(1-Assumptions!$H$33),0)*Assumptions!$C$37</f>
        <v>-1092095.1548650782</v>
      </c>
      <c r="CV16" s="395">
        <f>-(CV5-CU5)*HLOOKUP(CV$6,Assumptions!$F$45:$O$54,9,0)*MAX(CV11-(1-Assumptions!$H$33),0)*Assumptions!$C$37</f>
        <v>-986408.52697490912</v>
      </c>
      <c r="CW16" s="395">
        <f>-(CW5-CV5)*HLOOKUP(CW$6,Assumptions!$F$45:$O$54,9,0)*MAX(CW11-(1-Assumptions!$H$33),0)*Assumptions!$C$37</f>
        <v>-946482.46754973428</v>
      </c>
      <c r="CX16" s="395">
        <f>-(CX5-CW5)*HLOOKUP(CX$6,Assumptions!$F$45:$O$54,9,0)*MAX(CX11-(1-Assumptions!$H$33),0)*Assumptions!$C$37</f>
        <v>-352288.75963389612</v>
      </c>
      <c r="CY16" s="395">
        <f>-(CY5-CX5)*HLOOKUP(CY$6,Assumptions!$F$45:$O$54,9,0)*MAX(CY11-(1-Assumptions!$H$33),0)*Assumptions!$C$37</f>
        <v>-218419.03097301562</v>
      </c>
      <c r="CZ16" s="395">
        <f>-(CZ5-CY5)*HLOOKUP(CZ$6,Assumptions!$F$45:$O$54,9,0)*MAX(CZ11-(1-Assumptions!$H$33),0)*Assumptions!$C$37</f>
        <v>-634119.76734101307</v>
      </c>
      <c r="DA16" s="395">
        <f>-(DA5-CZ5)*HLOOKUP(DA$6,Assumptions!$F$45:$O$54,9,0)*MAX(DA11-(1-Assumptions!$H$33),0)*Assumptions!$C$37</f>
        <v>-946482.46754973428</v>
      </c>
      <c r="DB16" s="395">
        <f>-(DB5-DA5)*HLOOKUP(DB$6,Assumptions!$F$45:$O$54,9,0)*MAX(DB11-(1-Assumptions!$H$33),0)*Assumptions!$C$37</f>
        <v>-800869.78023439064</v>
      </c>
      <c r="DC16" s="395">
        <f>-(DC5-DB5)*HLOOKUP(DC$6,Assumptions!$F$45:$O$54,9,0)*MAX(DC11-(1-Assumptions!$H$33),0)*Assumptions!$C$37</f>
        <v>-634119.76734101307</v>
      </c>
      <c r="DD16" s="395">
        <f>-(DD5-DC5)*HLOOKUP(DD$6,Assumptions!$F$45:$O$54,9,0)*MAX(DD11-(1-Assumptions!$H$33),0)*Assumptions!$C$37</f>
        <v>-145612.68731534373</v>
      </c>
      <c r="DE16" s="395">
        <f>-(DE5-DD5)*HLOOKUP(DE$6,Assumptions!$F$45:$O$54,9,0)*MAX(DE11-(1-Assumptions!$H$33),0)*Assumptions!$C$37</f>
        <v>-140915.50385355845</v>
      </c>
      <c r="DF16" s="395">
        <f>-(DF5-DE5)*HLOOKUP(DF$6,Assumptions!$F$45:$O$54,9,0)*MAX(DF11-(1-Assumptions!$H$33),0)*Assumptions!$C$37</f>
        <v>-800869.78023439064</v>
      </c>
      <c r="DG16" s="395" t="e">
        <f>-(DG5-DF5)*HLOOKUP(DG$6,Assumptions!$F$45:$O$54,9,0)*MAX(DG11-(1-Assumptions!$H$33),0)*Assumptions!$C$37</f>
        <v>#N/A</v>
      </c>
      <c r="DH16" s="395" t="e">
        <f>-(DH5-DG5)*HLOOKUP(DH$6,Assumptions!$F$45:$O$54,9,0)*MAX(DH11-(1-Assumptions!$H$33),0)*Assumptions!$C$37</f>
        <v>#N/A</v>
      </c>
      <c r="DI16" s="395" t="e">
        <f>-(DI5-DH5)*HLOOKUP(DI$6,Assumptions!$F$45:$O$54,9,0)*MAX(DI11-(1-Assumptions!$H$33),0)*Assumptions!$C$37</f>
        <v>#N/A</v>
      </c>
      <c r="DJ16" s="395" t="e">
        <f>-(DJ5-DI5)*HLOOKUP(DJ$6,Assumptions!$F$45:$O$54,9,0)*MAX(DJ11-(1-Assumptions!$H$33),0)*Assumptions!$C$37</f>
        <v>#N/A</v>
      </c>
      <c r="DK16" s="395" t="e">
        <f>-(DK5-DJ5)*HLOOKUP(DK$6,Assumptions!$F$45:$O$54,9,0)*MAX(DK11-(1-Assumptions!$H$33),0)*Assumptions!$C$37</f>
        <v>#N/A</v>
      </c>
      <c r="DL16" s="395" t="e">
        <f>-(DL5-DK5)*HLOOKUP(DL$6,Assumptions!$F$45:$O$54,9,0)*MAX(DL11-(1-Assumptions!$H$33),0)*Assumptions!$C$37</f>
        <v>#N/A</v>
      </c>
      <c r="DM16" s="395" t="e">
        <f>-(DM5-DL5)*HLOOKUP(DM$6,Assumptions!$F$45:$O$54,9,0)*MAX(DM11-(1-Assumptions!$H$33),0)*Assumptions!$C$37</f>
        <v>#N/A</v>
      </c>
      <c r="DN16" s="395" t="e">
        <f>-(DN5-DM5)*HLOOKUP(DN$6,Assumptions!$F$45:$O$54,9,0)*MAX(DN11-(1-Assumptions!$H$33),0)*Assumptions!$C$37</f>
        <v>#N/A</v>
      </c>
      <c r="DO16" s="395" t="e">
        <f>-(DO5-DN5)*HLOOKUP(DO$6,Assumptions!$F$45:$O$54,9,0)*MAX(DO11-(1-Assumptions!$H$33),0)*Assumptions!$C$37</f>
        <v>#N/A</v>
      </c>
      <c r="DP16" s="395" t="e">
        <f>-(DP5-DO5)*HLOOKUP(DP$6,Assumptions!$F$45:$O$54,9,0)*MAX(DP11-(1-Assumptions!$H$33),0)*Assumptions!$C$37</f>
        <v>#N/A</v>
      </c>
      <c r="DQ16" s="395" t="e">
        <f>-(DQ5-DP5)*HLOOKUP(DQ$6,Assumptions!$F$45:$O$54,9,0)*MAX(DQ11-(1-Assumptions!$H$33),0)*Assumptions!$C$37</f>
        <v>#N/A</v>
      </c>
      <c r="DR16" s="395" t="e">
        <f>-(DR5-DQ5)*HLOOKUP(DR$6,Assumptions!$F$45:$O$54,9,0)*MAX(DR11-(1-Assumptions!$H$33),0)*Assumptions!$C$37</f>
        <v>#N/A</v>
      </c>
      <c r="DS16" s="392"/>
      <c r="DT16" s="392"/>
      <c r="DU16" s="392"/>
      <c r="DV16" s="392"/>
      <c r="DW16" s="392"/>
      <c r="DX16" s="392"/>
      <c r="DY16" s="392"/>
      <c r="DZ16" s="392"/>
      <c r="EA16" s="392"/>
      <c r="EB16" s="392"/>
      <c r="EC16" s="392"/>
      <c r="ED16" s="392"/>
    </row>
    <row r="17" spans="1:134" s="393" customFormat="1" ht="16" x14ac:dyDescent="0.2">
      <c r="A17" s="391"/>
      <c r="B17" s="397" t="s">
        <v>767</v>
      </c>
      <c r="C17" s="394">
        <f t="shared" ref="C17:AH17" si="16">C14+SUM(C15:C16)</f>
        <v>0</v>
      </c>
      <c r="D17" s="394">
        <f t="shared" si="16"/>
        <v>0</v>
      </c>
      <c r="E17" s="394">
        <f t="shared" si="16"/>
        <v>0</v>
      </c>
      <c r="F17" s="394">
        <f t="shared" si="16"/>
        <v>0</v>
      </c>
      <c r="G17" s="394">
        <f t="shared" si="16"/>
        <v>0</v>
      </c>
      <c r="H17" s="394">
        <f t="shared" si="16"/>
        <v>0</v>
      </c>
      <c r="I17" s="394">
        <f t="shared" si="16"/>
        <v>0</v>
      </c>
      <c r="J17" s="394">
        <f t="shared" si="16"/>
        <v>0</v>
      </c>
      <c r="K17" s="394">
        <f t="shared" si="16"/>
        <v>0</v>
      </c>
      <c r="L17" s="394">
        <f t="shared" si="16"/>
        <v>0</v>
      </c>
      <c r="M17" s="394">
        <f t="shared" si="16"/>
        <v>0</v>
      </c>
      <c r="N17" s="394">
        <f t="shared" si="16"/>
        <v>0</v>
      </c>
      <c r="O17" s="394">
        <f t="shared" si="16"/>
        <v>144295.66125</v>
      </c>
      <c r="P17" s="394">
        <f t="shared" si="16"/>
        <v>130331.56499999999</v>
      </c>
      <c r="Q17" s="394">
        <f t="shared" si="16"/>
        <v>125056.23975000002</v>
      </c>
      <c r="R17" s="394">
        <f t="shared" si="16"/>
        <v>46546.987500000003</v>
      </c>
      <c r="S17" s="394">
        <f t="shared" si="16"/>
        <v>28859.132250000002</v>
      </c>
      <c r="T17" s="394">
        <f t="shared" si="16"/>
        <v>83784.577500000014</v>
      </c>
      <c r="U17" s="394">
        <f t="shared" si="16"/>
        <v>125056.23975000002</v>
      </c>
      <c r="V17" s="394">
        <f t="shared" si="16"/>
        <v>105816.81825000003</v>
      </c>
      <c r="W17" s="394">
        <f t="shared" si="16"/>
        <v>83784.577500000014</v>
      </c>
      <c r="X17" s="394">
        <f t="shared" si="16"/>
        <v>19239.421500000004</v>
      </c>
      <c r="Y17" s="394">
        <f t="shared" si="16"/>
        <v>18618.795000000002</v>
      </c>
      <c r="Z17" s="394">
        <f t="shared" si="16"/>
        <v>105816.81825000003</v>
      </c>
      <c r="AA17" s="394">
        <f t="shared" si="16"/>
        <v>244404.78445500004</v>
      </c>
      <c r="AB17" s="394">
        <f t="shared" si="16"/>
        <v>228636.73384500004</v>
      </c>
      <c r="AC17" s="394">
        <f t="shared" si="16"/>
        <v>220624.85948100005</v>
      </c>
      <c r="AD17" s="394">
        <f t="shared" si="16"/>
        <v>89494.341300000015</v>
      </c>
      <c r="AE17" s="394">
        <f t="shared" si="16"/>
        <v>55486.491606000011</v>
      </c>
      <c r="AF17" s="394">
        <f t="shared" si="16"/>
        <v>161089.81434000004</v>
      </c>
      <c r="AG17" s="394">
        <f t="shared" si="16"/>
        <v>220624.85948100005</v>
      </c>
      <c r="AH17" s="394">
        <f t="shared" si="16"/>
        <v>196844.93450700003</v>
      </c>
      <c r="AI17" s="394">
        <f t="shared" ref="AI17:BN17" si="17">AI14+SUM(AI15:AI16)</f>
        <v>161089.81434000004</v>
      </c>
      <c r="AJ17" s="394">
        <f t="shared" si="17"/>
        <v>36990.994404000005</v>
      </c>
      <c r="AK17" s="394">
        <f t="shared" si="17"/>
        <v>35797.736520000006</v>
      </c>
      <c r="AL17" s="394">
        <f t="shared" si="17"/>
        <v>196844.93450700003</v>
      </c>
      <c r="AM17" s="394">
        <f t="shared" si="17"/>
        <v>795247.94610967534</v>
      </c>
      <c r="AN17" s="394">
        <f t="shared" si="17"/>
        <v>718288.46745390014</v>
      </c>
      <c r="AO17" s="394">
        <f t="shared" si="17"/>
        <v>707358.08864558511</v>
      </c>
      <c r="AP17" s="394">
        <f t="shared" si="17"/>
        <v>278479.01731425006</v>
      </c>
      <c r="AQ17" s="394">
        <f t="shared" si="17"/>
        <v>172656.99073483501</v>
      </c>
      <c r="AR17" s="394">
        <f t="shared" si="17"/>
        <v>501262.23116565001</v>
      </c>
      <c r="AS17" s="394">
        <f t="shared" si="17"/>
        <v>707358.08864558511</v>
      </c>
      <c r="AT17" s="394">
        <f t="shared" si="17"/>
        <v>619468.23118149512</v>
      </c>
      <c r="AU17" s="394">
        <f t="shared" si="17"/>
        <v>501262.23116565001</v>
      </c>
      <c r="AV17" s="394">
        <f t="shared" si="17"/>
        <v>115104.66048989</v>
      </c>
      <c r="AW17" s="394">
        <f t="shared" si="17"/>
        <v>111391.60692570003</v>
      </c>
      <c r="AX17" s="394">
        <f t="shared" si="17"/>
        <v>619468.23118149512</v>
      </c>
      <c r="AY17" s="394">
        <f t="shared" si="17"/>
        <v>993492.08530472859</v>
      </c>
      <c r="AZ17" s="394">
        <f t="shared" si="17"/>
        <v>897347.68995265826</v>
      </c>
      <c r="BA17" s="394">
        <f t="shared" si="17"/>
        <v>889057.7210473388</v>
      </c>
      <c r="BB17" s="394">
        <f t="shared" si="17"/>
        <v>354390.08451351011</v>
      </c>
      <c r="BC17" s="394">
        <f t="shared" si="17"/>
        <v>219721.85239837621</v>
      </c>
      <c r="BD17" s="394">
        <f t="shared" si="17"/>
        <v>637902.15212431829</v>
      </c>
      <c r="BE17" s="394">
        <f t="shared" si="17"/>
        <v>889057.7210473388</v>
      </c>
      <c r="BF17" s="394">
        <f t="shared" si="17"/>
        <v>784623.35678994888</v>
      </c>
      <c r="BG17" s="394">
        <f t="shared" si="17"/>
        <v>637902.15212431829</v>
      </c>
      <c r="BH17" s="394">
        <f t="shared" si="17"/>
        <v>146481.23493225087</v>
      </c>
      <c r="BI17" s="394">
        <f t="shared" si="17"/>
        <v>141756.03380540406</v>
      </c>
      <c r="BJ17" s="394">
        <f t="shared" si="17"/>
        <v>784623.35678994888</v>
      </c>
      <c r="BK17" s="394">
        <f t="shared" si="17"/>
        <v>1202915.1496999871</v>
      </c>
      <c r="BL17" s="394">
        <f t="shared" si="17"/>
        <v>1086504.0061806336</v>
      </c>
      <c r="BM17" s="394">
        <f t="shared" si="17"/>
        <v>1081022.709113417</v>
      </c>
      <c r="BN17" s="394">
        <f t="shared" si="17"/>
        <v>434605.18462914298</v>
      </c>
      <c r="BO17" s="394">
        <f t="shared" ref="BO17:CT17" si="18">BO14+SUM(BO15:BO16)</f>
        <v>269455.21447006863</v>
      </c>
      <c r="BP17" s="394">
        <f t="shared" si="18"/>
        <v>782289.33233245742</v>
      </c>
      <c r="BQ17" s="394">
        <f t="shared" si="18"/>
        <v>1081022.709113417</v>
      </c>
      <c r="BR17" s="394">
        <f t="shared" si="18"/>
        <v>959130.26852684713</v>
      </c>
      <c r="BS17" s="394">
        <f t="shared" si="18"/>
        <v>782289.33233245742</v>
      </c>
      <c r="BT17" s="394">
        <f t="shared" si="18"/>
        <v>179636.80964671241</v>
      </c>
      <c r="BU17" s="394">
        <f t="shared" si="18"/>
        <v>173842.07385165719</v>
      </c>
      <c r="BV17" s="394">
        <f t="shared" si="18"/>
        <v>959130.26852684713</v>
      </c>
      <c r="BW17" s="394">
        <f t="shared" si="18"/>
        <v>1316207.9360930328</v>
      </c>
      <c r="BX17" s="394">
        <f t="shared" si="18"/>
        <v>1231291.2950547724</v>
      </c>
      <c r="BY17" s="394">
        <f t="shared" si="18"/>
        <v>1180364.6780352599</v>
      </c>
      <c r="BZ17" s="394">
        <f t="shared" si="18"/>
        <v>472548.28594287089</v>
      </c>
      <c r="CA17" s="394">
        <f t="shared" si="18"/>
        <v>292979.93728457991</v>
      </c>
      <c r="CB17" s="394">
        <f t="shared" si="18"/>
        <v>850586.9146971677</v>
      </c>
      <c r="CC17" s="394">
        <f t="shared" si="18"/>
        <v>1180364.6780352599</v>
      </c>
      <c r="CD17" s="394">
        <f t="shared" si="18"/>
        <v>1044521.4199774867</v>
      </c>
      <c r="CE17" s="394">
        <f t="shared" si="18"/>
        <v>850586.9146971677</v>
      </c>
      <c r="CF17" s="394">
        <f t="shared" si="18"/>
        <v>195319.95818971994</v>
      </c>
      <c r="CG17" s="394">
        <f t="shared" si="18"/>
        <v>189019.31437714832</v>
      </c>
      <c r="CH17" s="394">
        <f t="shared" si="18"/>
        <v>1044521.4199774867</v>
      </c>
      <c r="CI17" s="394">
        <f t="shared" si="18"/>
        <v>1355694.1741758245</v>
      </c>
      <c r="CJ17" s="394">
        <f t="shared" si="18"/>
        <v>1224497.9637717113</v>
      </c>
      <c r="CK17" s="394">
        <f t="shared" si="18"/>
        <v>1215775.6183763174</v>
      </c>
      <c r="CL17" s="394">
        <f t="shared" si="18"/>
        <v>486724.73452115693</v>
      </c>
      <c r="CM17" s="394">
        <f t="shared" si="18"/>
        <v>301769.33540311741</v>
      </c>
      <c r="CN17" s="394">
        <f t="shared" si="18"/>
        <v>876104.52213808277</v>
      </c>
      <c r="CO17" s="394">
        <f t="shared" si="18"/>
        <v>1215775.6183763174</v>
      </c>
      <c r="CP17" s="394">
        <f t="shared" si="18"/>
        <v>1075857.0625768113</v>
      </c>
      <c r="CQ17" s="394">
        <f t="shared" si="18"/>
        <v>876104.52213808277</v>
      </c>
      <c r="CR17" s="394">
        <f t="shared" si="18"/>
        <v>201179.55693541159</v>
      </c>
      <c r="CS17" s="394">
        <f t="shared" si="18"/>
        <v>194689.89380846277</v>
      </c>
      <c r="CT17" s="394">
        <f t="shared" si="18"/>
        <v>1075857.0625768113</v>
      </c>
      <c r="CU17" s="394">
        <f t="shared" ref="CU17:DR17" si="19">CU14+SUM(CU15:CU16)</f>
        <v>1396364.9994010986</v>
      </c>
      <c r="CV17" s="394">
        <f t="shared" si="19"/>
        <v>1261232.9026848634</v>
      </c>
      <c r="CW17" s="394">
        <f t="shared" si="19"/>
        <v>1252248.8869276068</v>
      </c>
      <c r="CX17" s="394">
        <f t="shared" si="19"/>
        <v>501326.47655679175</v>
      </c>
      <c r="CY17" s="394">
        <f t="shared" si="19"/>
        <v>310822.4154652108</v>
      </c>
      <c r="CZ17" s="394">
        <f t="shared" si="19"/>
        <v>902387.65780222509</v>
      </c>
      <c r="DA17" s="394">
        <f t="shared" si="19"/>
        <v>1252248.8869276068</v>
      </c>
      <c r="DB17" s="394">
        <f t="shared" si="19"/>
        <v>1108132.7744541152</v>
      </c>
      <c r="DC17" s="394">
        <f t="shared" si="19"/>
        <v>902387.65780222509</v>
      </c>
      <c r="DD17" s="394">
        <f t="shared" si="19"/>
        <v>207214.94364347387</v>
      </c>
      <c r="DE17" s="394">
        <f t="shared" si="19"/>
        <v>200530.5906227167</v>
      </c>
      <c r="DF17" s="394">
        <f t="shared" si="19"/>
        <v>1108132.7744541152</v>
      </c>
      <c r="DG17" s="394" t="e">
        <f t="shared" si="19"/>
        <v>#N/A</v>
      </c>
      <c r="DH17" s="394" t="e">
        <f t="shared" si="19"/>
        <v>#N/A</v>
      </c>
      <c r="DI17" s="394" t="e">
        <f t="shared" si="19"/>
        <v>#N/A</v>
      </c>
      <c r="DJ17" s="394" t="e">
        <f t="shared" si="19"/>
        <v>#N/A</v>
      </c>
      <c r="DK17" s="394" t="e">
        <f t="shared" si="19"/>
        <v>#N/A</v>
      </c>
      <c r="DL17" s="394" t="e">
        <f t="shared" si="19"/>
        <v>#N/A</v>
      </c>
      <c r="DM17" s="394" t="e">
        <f t="shared" si="19"/>
        <v>#N/A</v>
      </c>
      <c r="DN17" s="394" t="e">
        <f t="shared" si="19"/>
        <v>#N/A</v>
      </c>
      <c r="DO17" s="394" t="e">
        <f t="shared" si="19"/>
        <v>#N/A</v>
      </c>
      <c r="DP17" s="394" t="e">
        <f t="shared" si="19"/>
        <v>#N/A</v>
      </c>
      <c r="DQ17" s="394" t="e">
        <f t="shared" si="19"/>
        <v>#N/A</v>
      </c>
      <c r="DR17" s="394" t="e">
        <f t="shared" si="19"/>
        <v>#N/A</v>
      </c>
      <c r="DS17" s="394"/>
      <c r="DT17" s="394"/>
      <c r="DU17" s="394"/>
      <c r="DV17" s="394"/>
      <c r="DW17" s="394"/>
      <c r="DX17" s="394"/>
      <c r="DY17" s="394"/>
      <c r="DZ17" s="394"/>
      <c r="EA17" s="394"/>
      <c r="EB17" s="394"/>
      <c r="EC17" s="394"/>
      <c r="ED17" s="394"/>
    </row>
    <row r="18" spans="1:134" s="154" customFormat="1" ht="16" x14ac:dyDescent="0.2">
      <c r="A18" s="304"/>
      <c r="B18" s="281"/>
    </row>
    <row r="19" spans="1:134" s="393" customFormat="1" ht="16" x14ac:dyDescent="0.2">
      <c r="A19" s="391"/>
      <c r="B19" s="281" t="s">
        <v>768</v>
      </c>
      <c r="C19" s="392">
        <f>IF(C5&gt;=Assumptions!$C$40,C12*Assumptions!$C$43,0)</f>
        <v>0</v>
      </c>
      <c r="D19" s="392">
        <f>IF(D5&gt;=Assumptions!$C$40,D12*Assumptions!$C$43,0)</f>
        <v>0</v>
      </c>
      <c r="E19" s="392">
        <f>IF(E5&gt;=Assumptions!$C$40,E12*Assumptions!$C$43,0)</f>
        <v>0</v>
      </c>
      <c r="F19" s="392">
        <f>IF(F5&gt;=Assumptions!$C$40,F12*Assumptions!$C$43,0)</f>
        <v>0</v>
      </c>
      <c r="G19" s="392">
        <f>IF(G5&gt;=Assumptions!$C$40,G12*Assumptions!$C$43,0)</f>
        <v>0</v>
      </c>
      <c r="H19" s="392">
        <f>IF(H5&gt;=Assumptions!$C$40,H12*Assumptions!$C$43,0)</f>
        <v>0</v>
      </c>
      <c r="I19" s="392">
        <f>IF(I5&gt;=Assumptions!$C$40,I12*Assumptions!$C$43,0)</f>
        <v>0</v>
      </c>
      <c r="J19" s="392">
        <f>IF(J5&gt;=Assumptions!$C$40,J12*Assumptions!$C$43,0)</f>
        <v>0</v>
      </c>
      <c r="K19" s="392">
        <f>IF(K5&gt;=Assumptions!$C$40,K12*Assumptions!$C$43,0)</f>
        <v>0</v>
      </c>
      <c r="L19" s="392">
        <f>IF(L5&gt;=Assumptions!$C$40,L12*Assumptions!$C$43,0)</f>
        <v>0</v>
      </c>
      <c r="M19" s="392">
        <f>IF(M5&gt;=Assumptions!$C$40,M12*Assumptions!$C$43,0)</f>
        <v>0</v>
      </c>
      <c r="N19" s="392">
        <f>IF(N5&gt;=Assumptions!$C$40,N12*Assumptions!$C$43,0)</f>
        <v>0</v>
      </c>
      <c r="O19" s="392">
        <f>IF(O5&gt;=Assumptions!$C$40,O12*Assumptions!$C$43,0)</f>
        <v>0</v>
      </c>
      <c r="P19" s="392">
        <f>IF(P5&gt;=Assumptions!$C$40,P12*Assumptions!$C$43,0)</f>
        <v>0</v>
      </c>
      <c r="Q19" s="392">
        <f>IF(Q5&gt;=Assumptions!$C$40,Q12*Assumptions!$C$43,0)</f>
        <v>0</v>
      </c>
      <c r="R19" s="392">
        <f>IF(R5&gt;=Assumptions!$C$40,R12*Assumptions!$C$43,0)</f>
        <v>0</v>
      </c>
      <c r="S19" s="392">
        <f>IF(S5&gt;=Assumptions!$C$40,S12*Assumptions!$C$43,0)</f>
        <v>0</v>
      </c>
      <c r="T19" s="392">
        <f>IF(T5&gt;=Assumptions!$C$40,T12*Assumptions!$C$43,0)</f>
        <v>0</v>
      </c>
      <c r="U19" s="392">
        <f>IF(U5&gt;=Assumptions!$C$40,U12*Assumptions!$C$43,0)</f>
        <v>0</v>
      </c>
      <c r="V19" s="392">
        <f>IF(V5&gt;=Assumptions!$C$40,V12*Assumptions!$C$43,0)</f>
        <v>0</v>
      </c>
      <c r="W19" s="392">
        <f>IF(W5&gt;=Assumptions!$C$40,W12*Assumptions!$C$43,0)</f>
        <v>0</v>
      </c>
      <c r="X19" s="392">
        <f>IF(X5&gt;=Assumptions!$C$40,X12*Assumptions!$C$43,0)</f>
        <v>0</v>
      </c>
      <c r="Y19" s="392">
        <f>IF(Y5&gt;=Assumptions!$C$40,Y12*Assumptions!$C$43,0)</f>
        <v>0</v>
      </c>
      <c r="Z19" s="392">
        <f>IF(Z5&gt;=Assumptions!$C$40,Z12*Assumptions!$C$43,0)</f>
        <v>0</v>
      </c>
      <c r="AA19" s="392">
        <f>IF(AA5&gt;=Assumptions!$C$40,AA12*Assumptions!$C$43,0)</f>
        <v>85363.833240000007</v>
      </c>
      <c r="AB19" s="392">
        <f>IF(AB5&gt;=Assumptions!$C$40,AB12*Assumptions!$C$43,0)</f>
        <v>79856.489160000012</v>
      </c>
      <c r="AC19" s="392">
        <f>IF(AC5&gt;=Assumptions!$C$40,AC12*Assumptions!$C$43,0)</f>
        <v>73981.988808000009</v>
      </c>
      <c r="AD19" s="392">
        <f>IF(AD5&gt;=Assumptions!$C$40,AD12*Assumptions!$C$43,0)</f>
        <v>27536.720400000006</v>
      </c>
      <c r="AE19" s="392">
        <f>IF(AE5&gt;=Assumptions!$C$40,AE12*Assumptions!$C$43,0)</f>
        <v>17072.766648000001</v>
      </c>
      <c r="AF19" s="392">
        <f>IF(AF5&gt;=Assumptions!$C$40,AF12*Assumptions!$C$43,0)</f>
        <v>49566.096720000009</v>
      </c>
      <c r="AG19" s="392">
        <f>IF(AG5&gt;=Assumptions!$C$40,AG12*Assumptions!$C$43,0)</f>
        <v>73981.988808000009</v>
      </c>
      <c r="AH19" s="392">
        <f>IF(AH5&gt;=Assumptions!$C$40,AH12*Assumptions!$C$43,0)</f>
        <v>62600.144376000011</v>
      </c>
      <c r="AI19" s="392">
        <f>IF(AI5&gt;=Assumptions!$C$40,AI12*Assumptions!$C$43,0)</f>
        <v>49566.096720000009</v>
      </c>
      <c r="AJ19" s="392">
        <f>IF(AJ5&gt;=Assumptions!$C$40,AJ12*Assumptions!$C$43,0)</f>
        <v>11381.844432000002</v>
      </c>
      <c r="AK19" s="392">
        <f>IF(AK5&gt;=Assumptions!$C$40,AK12*Assumptions!$C$43,0)</f>
        <v>11014.688160000003</v>
      </c>
      <c r="AL19" s="392">
        <f>IF(AL5&gt;=Assumptions!$C$40,AL12*Assumptions!$C$43,0)</f>
        <v>62600.144376000011</v>
      </c>
      <c r="AM19" s="392">
        <f>IF(AM5&gt;=Assumptions!$C$40,AM12*Assumptions!$C$43,0)</f>
        <v>338091.59143590007</v>
      </c>
      <c r="AN19" s="392">
        <f>IF(AN5&gt;=Assumptions!$C$40,AN12*Assumptions!$C$43,0)</f>
        <v>305373.05032920005</v>
      </c>
      <c r="AO19" s="392">
        <f>IF(AO5&gt;=Assumptions!$C$40,AO12*Assumptions!$C$43,0)</f>
        <v>293012.71257778007</v>
      </c>
      <c r="AP19" s="392">
        <f>IF(AP5&gt;=Assumptions!$C$40,AP12*Assumptions!$C$43,0)</f>
        <v>109061.80368900002</v>
      </c>
      <c r="AQ19" s="392">
        <f>IF(AQ5&gt;=Assumptions!$C$40,AQ12*Assumptions!$C$43,0)</f>
        <v>67618.318287180009</v>
      </c>
      <c r="AR19" s="392">
        <f>IF(AR5&gt;=Assumptions!$C$40,AR12*Assumptions!$C$43,0)</f>
        <v>196311.24664020003</v>
      </c>
      <c r="AS19" s="392">
        <f>IF(AS5&gt;=Assumptions!$C$40,AS12*Assumptions!$C$43,0)</f>
        <v>293012.71257778007</v>
      </c>
      <c r="AT19" s="392">
        <f>IF(AT5&gt;=Assumptions!$C$40,AT12*Assumptions!$C$43,0)</f>
        <v>247933.83371966006</v>
      </c>
      <c r="AU19" s="392">
        <f>IF(AU5&gt;=Assumptions!$C$40,AU12*Assumptions!$C$43,0)</f>
        <v>196311.24664020003</v>
      </c>
      <c r="AV19" s="392">
        <f>IF(AV5&gt;=Assumptions!$C$40,AV12*Assumptions!$C$43,0)</f>
        <v>45078.878858120006</v>
      </c>
      <c r="AW19" s="392">
        <f>IF(AW5&gt;=Assumptions!$C$40,AW12*Assumptions!$C$43,0)</f>
        <v>43624.72147560001</v>
      </c>
      <c r="AX19" s="392">
        <f>IF(AX5&gt;=Assumptions!$C$40,AX12*Assumptions!$C$43,0)</f>
        <v>247933.83371966006</v>
      </c>
      <c r="AY19" s="392">
        <f>IF(AY5&gt;=Assumptions!$C$40,AY12*Assumptions!$C$43,0)</f>
        <v>487312.44987274811</v>
      </c>
      <c r="AZ19" s="392">
        <f>IF(AZ5&gt;=Assumptions!$C$40,AZ12*Assumptions!$C$43,0)</f>
        <v>440153.18053022411</v>
      </c>
      <c r="BA19" s="392">
        <f>IF(BA5&gt;=Assumptions!$C$40,BA12*Assumptions!$C$43,0)</f>
        <v>422337.45655638166</v>
      </c>
      <c r="BB19" s="392">
        <f>IF(BB5&gt;=Assumptions!$C$40,BB12*Assumptions!$C$43,0)</f>
        <v>157197.56447508006</v>
      </c>
      <c r="BC19" s="392">
        <f>IF(BC5&gt;=Assumptions!$C$40,BC12*Assumptions!$C$43,0)</f>
        <v>97462.489974549622</v>
      </c>
      <c r="BD19" s="392">
        <f>IF(BD5&gt;=Assumptions!$C$40,BD12*Assumptions!$C$43,0)</f>
        <v>282955.61605514411</v>
      </c>
      <c r="BE19" s="392">
        <f>IF(BE5&gt;=Assumptions!$C$40,BE12*Assumptions!$C$43,0)</f>
        <v>422337.45655638166</v>
      </c>
      <c r="BF19" s="392">
        <f>IF(BF5&gt;=Assumptions!$C$40,BF12*Assumptions!$C$43,0)</f>
        <v>357362.46324001532</v>
      </c>
      <c r="BG19" s="392">
        <f>IF(BG5&gt;=Assumptions!$C$40,BG12*Assumptions!$C$43,0)</f>
        <v>282955.61605514411</v>
      </c>
      <c r="BH19" s="392">
        <f>IF(BH5&gt;=Assumptions!$C$40,BH12*Assumptions!$C$43,0)</f>
        <v>64974.993316366425</v>
      </c>
      <c r="BI19" s="392">
        <f>IF(BI5&gt;=Assumptions!$C$40,BI12*Assumptions!$C$43,0)</f>
        <v>62879.025790032028</v>
      </c>
      <c r="BJ19" s="392">
        <f>IF(BJ5&gt;=Assumptions!$C$40,BJ12*Assumptions!$C$43,0)</f>
        <v>357362.46324001532</v>
      </c>
      <c r="BK19" s="392">
        <f>IF(BK5&gt;=Assumptions!$C$40,BK12*Assumptions!$C$43,0)</f>
        <v>645182.2773835148</v>
      </c>
      <c r="BL19" s="392">
        <f>IF(BL5&gt;=Assumptions!$C$40,BL12*Assumptions!$C$43,0)</f>
        <v>582745.28279801342</v>
      </c>
      <c r="BM19" s="392">
        <f>IF(BM5&gt;=Assumptions!$C$40,BM12*Assumptions!$C$43,0)</f>
        <v>559157.9737323795</v>
      </c>
      <c r="BN19" s="392">
        <f>IF(BN5&gt;=Assumptions!$C$40,BN12*Assumptions!$C$43,0)</f>
        <v>208123.31528500479</v>
      </c>
      <c r="BO19" s="392">
        <f>IF(BO5&gt;=Assumptions!$C$40,BO12*Assumptions!$C$43,0)</f>
        <v>129036.45547670296</v>
      </c>
      <c r="BP19" s="392">
        <f>IF(BP5&gt;=Assumptions!$C$40,BP12*Assumptions!$C$43,0)</f>
        <v>374621.96751300863</v>
      </c>
      <c r="BQ19" s="392">
        <f>IF(BQ5&gt;=Assumptions!$C$40,BQ12*Assumptions!$C$43,0)</f>
        <v>559157.9737323795</v>
      </c>
      <c r="BR19" s="392">
        <f>IF(BR5&gt;=Assumptions!$C$40,BR12*Assumptions!$C$43,0)</f>
        <v>473133.67008124426</v>
      </c>
      <c r="BS19" s="392">
        <f>IF(BS5&gt;=Assumptions!$C$40,BS12*Assumptions!$C$43,0)</f>
        <v>374621.96751300863</v>
      </c>
      <c r="BT19" s="392">
        <f>IF(BT5&gt;=Assumptions!$C$40,BT12*Assumptions!$C$43,0)</f>
        <v>86024.303651135313</v>
      </c>
      <c r="BU19" s="392">
        <f>IF(BU5&gt;=Assumptions!$C$40,BU12*Assumptions!$C$43,0)</f>
        <v>83249.326114001917</v>
      </c>
      <c r="BV19" s="392">
        <f>IF(BV5&gt;=Assumptions!$C$40,BV12*Assumptions!$C$43,0)</f>
        <v>473133.67008124426</v>
      </c>
      <c r="BW19" s="392">
        <f>IF(BW5&gt;=Assumptions!$C$40,BW12*Assumptions!$C$43,0)</f>
        <v>767478.18824108189</v>
      </c>
      <c r="BX19" s="392">
        <f>IF(BX5&gt;=Assumptions!$C$40,BX12*Assumptions!$C$43,0)</f>
        <v>717963.46641907655</v>
      </c>
      <c r="BY19" s="392">
        <f>IF(BY5&gt;=Assumptions!$C$40,BY12*Assumptions!$C$43,0)</f>
        <v>665147.76314227108</v>
      </c>
      <c r="BZ19" s="392">
        <f>IF(BZ5&gt;=Assumptions!$C$40,BZ12*Assumptions!$C$43,0)</f>
        <v>247573.60911002645</v>
      </c>
      <c r="CA19" s="392">
        <f>IF(CA5&gt;=Assumptions!$C$40,CA12*Assumptions!$C$43,0)</f>
        <v>153495.63764821639</v>
      </c>
      <c r="CB19" s="392">
        <f>IF(CB5&gt;=Assumptions!$C$40,CB12*Assumptions!$C$43,0)</f>
        <v>445632.49639804766</v>
      </c>
      <c r="CC19" s="392">
        <f>IF(CC5&gt;=Assumptions!$C$40,CC12*Assumptions!$C$43,0)</f>
        <v>665147.76314227108</v>
      </c>
      <c r="CD19" s="392">
        <f>IF(CD5&gt;=Assumptions!$C$40,CD12*Assumptions!$C$43,0)</f>
        <v>562817.33804346016</v>
      </c>
      <c r="CE19" s="392">
        <f>IF(CE5&gt;=Assumptions!$C$40,CE12*Assumptions!$C$43,0)</f>
        <v>445632.49639804766</v>
      </c>
      <c r="CF19" s="392">
        <f>IF(CF5&gt;=Assumptions!$C$40,CF12*Assumptions!$C$43,0)</f>
        <v>102330.42509881093</v>
      </c>
      <c r="CG19" s="392">
        <f>IF(CG5&gt;=Assumptions!$C$40,CG12*Assumptions!$C$43,0)</f>
        <v>99029.443644010578</v>
      </c>
      <c r="CH19" s="392">
        <f>IF(CH5&gt;=Assumptions!$C$40,CH12*Assumptions!$C$43,0)</f>
        <v>562817.33804346016</v>
      </c>
      <c r="CI19" s="392">
        <f>IF(CI5&gt;=Assumptions!$C$40,CI12*Assumptions!$C$43,0)</f>
        <v>790502.53388831438</v>
      </c>
      <c r="CJ19" s="392">
        <f>IF(CJ5&gt;=Assumptions!$C$40,CJ12*Assumptions!$C$43,0)</f>
        <v>714002.28867331613</v>
      </c>
      <c r="CK19" s="392">
        <f>IF(CK5&gt;=Assumptions!$C$40,CK12*Assumptions!$C$43,0)</f>
        <v>685102.19603653916</v>
      </c>
      <c r="CL19" s="392">
        <f>IF(CL5&gt;=Assumptions!$C$40,CL12*Assumptions!$C$43,0)</f>
        <v>255000.8173833272</v>
      </c>
      <c r="CM19" s="392">
        <f>IF(CM5&gt;=Assumptions!$C$40,CM12*Assumptions!$C$43,0)</f>
        <v>158100.5067776629</v>
      </c>
      <c r="CN19" s="392">
        <f>IF(CN5&gt;=Assumptions!$C$40,CN12*Assumptions!$C$43,0)</f>
        <v>459001.47128998901</v>
      </c>
      <c r="CO19" s="392">
        <f>IF(CO5&gt;=Assumptions!$C$40,CO12*Assumptions!$C$43,0)</f>
        <v>685102.19603653916</v>
      </c>
      <c r="CP19" s="392">
        <f>IF(CP5&gt;=Assumptions!$C$40,CP12*Assumptions!$C$43,0)</f>
        <v>579701.85818476405</v>
      </c>
      <c r="CQ19" s="392">
        <f>IF(CQ5&gt;=Assumptions!$C$40,CQ12*Assumptions!$C$43,0)</f>
        <v>459001.47128998901</v>
      </c>
      <c r="CR19" s="392">
        <f>IF(CR5&gt;=Assumptions!$C$40,CR12*Assumptions!$C$43,0)</f>
        <v>105400.33785177526</v>
      </c>
      <c r="CS19" s="392">
        <f>IF(CS5&gt;=Assumptions!$C$40,CS12*Assumptions!$C$43,0)</f>
        <v>102000.32695333089</v>
      </c>
      <c r="CT19" s="392">
        <f>IF(CT5&gt;=Assumptions!$C$40,CT12*Assumptions!$C$43,0)</f>
        <v>579701.85818476405</v>
      </c>
      <c r="CU19" s="392">
        <f>CU12*Assumptions!$C$43</f>
        <v>814217.60990496376</v>
      </c>
      <c r="CV19" s="392">
        <f>CV12*Assumptions!$C$43</f>
        <v>735422.35733351565</v>
      </c>
      <c r="CW19" s="392">
        <f>CW12*Assumptions!$C$43</f>
        <v>705655.26191763533</v>
      </c>
      <c r="CX19" s="392">
        <f>CX12*Assumptions!$C$43</f>
        <v>262650.84190482704</v>
      </c>
      <c r="CY19" s="392">
        <f>CY12*Assumptions!$C$43</f>
        <v>162843.52198099275</v>
      </c>
      <c r="CZ19" s="392">
        <f>CZ12*Assumptions!$C$43</f>
        <v>472771.51542868867</v>
      </c>
      <c r="DA19" s="392">
        <f>DA12*Assumptions!$C$43</f>
        <v>705655.26191763533</v>
      </c>
      <c r="DB19" s="392">
        <f>DB12*Assumptions!$C$43</f>
        <v>597092.91393030679</v>
      </c>
      <c r="DC19" s="392">
        <f>DC12*Assumptions!$C$43</f>
        <v>472771.51542868867</v>
      </c>
      <c r="DD19" s="392">
        <f>DD12*Assumptions!$C$43</f>
        <v>108562.3479873285</v>
      </c>
      <c r="DE19" s="392">
        <f>DE12*Assumptions!$C$43</f>
        <v>105060.33676193083</v>
      </c>
      <c r="DF19" s="392">
        <f>DF12*Assumptions!$C$43</f>
        <v>597092.91393030679</v>
      </c>
      <c r="DG19" s="392" t="e">
        <f>DG12*Assumptions!$C$43</f>
        <v>#N/A</v>
      </c>
      <c r="DH19" s="392" t="e">
        <f>DH12*Assumptions!$C$43</f>
        <v>#N/A</v>
      </c>
      <c r="DI19" s="392" t="e">
        <f>DI12*Assumptions!$C$43</f>
        <v>#N/A</v>
      </c>
      <c r="DJ19" s="392" t="e">
        <f>DJ12*Assumptions!$C$43</f>
        <v>#N/A</v>
      </c>
      <c r="DK19" s="392" t="e">
        <f>DK12*Assumptions!$C$43</f>
        <v>#N/A</v>
      </c>
      <c r="DL19" s="392" t="e">
        <f>DL12*Assumptions!$C$43</f>
        <v>#N/A</v>
      </c>
      <c r="DM19" s="392" t="e">
        <f>DM12*Assumptions!$C$43</f>
        <v>#N/A</v>
      </c>
      <c r="DN19" s="392" t="e">
        <f>DN12*Assumptions!$C$43</f>
        <v>#N/A</v>
      </c>
      <c r="DO19" s="392" t="e">
        <f>DO12*Assumptions!$C$43</f>
        <v>#N/A</v>
      </c>
      <c r="DP19" s="392" t="e">
        <f>DP12*Assumptions!$C$43</f>
        <v>#N/A</v>
      </c>
      <c r="DQ19" s="392" t="e">
        <f>DQ12*Assumptions!$C$43</f>
        <v>#N/A</v>
      </c>
      <c r="DR19" s="392" t="e">
        <f>DR12*Assumptions!$C$43</f>
        <v>#N/A</v>
      </c>
      <c r="DS19" s="392"/>
      <c r="DT19" s="392"/>
      <c r="DU19" s="392"/>
      <c r="DV19" s="392"/>
      <c r="DW19" s="392"/>
      <c r="DX19" s="392"/>
      <c r="DY19" s="392"/>
      <c r="DZ19" s="392"/>
      <c r="EA19" s="392"/>
      <c r="EB19" s="392"/>
      <c r="EC19" s="392"/>
      <c r="ED19" s="392"/>
    </row>
    <row r="20" spans="1:134" s="393" customFormat="1" ht="16" x14ac:dyDescent="0.2">
      <c r="A20" s="391"/>
      <c r="B20" s="398" t="s">
        <v>769</v>
      </c>
      <c r="C20" s="395">
        <f>C19*-Assumptions!$C$44</f>
        <v>0</v>
      </c>
      <c r="D20" s="395">
        <f>D19*-Assumptions!$C$44</f>
        <v>0</v>
      </c>
      <c r="E20" s="395">
        <f>E19*-Assumptions!$C$44</f>
        <v>0</v>
      </c>
      <c r="F20" s="395">
        <f>F19*-Assumptions!$C$44</f>
        <v>0</v>
      </c>
      <c r="G20" s="395">
        <f>G19*-Assumptions!$C$44</f>
        <v>0</v>
      </c>
      <c r="H20" s="395">
        <f>H19*-Assumptions!$C$44</f>
        <v>0</v>
      </c>
      <c r="I20" s="395">
        <f>I19*-Assumptions!$C$44</f>
        <v>0</v>
      </c>
      <c r="J20" s="395">
        <f>J19*-Assumptions!$C$44</f>
        <v>0</v>
      </c>
      <c r="K20" s="395">
        <f>K19*-Assumptions!$C$44</f>
        <v>0</v>
      </c>
      <c r="L20" s="395">
        <f>L19*-Assumptions!$C$44</f>
        <v>0</v>
      </c>
      <c r="M20" s="395">
        <f>M19*-Assumptions!$C$44</f>
        <v>0</v>
      </c>
      <c r="N20" s="395">
        <f>N19*-Assumptions!$C$44</f>
        <v>0</v>
      </c>
      <c r="O20" s="395">
        <f>O19*-Assumptions!$C$44</f>
        <v>0</v>
      </c>
      <c r="P20" s="395">
        <f>P19*-Assumptions!$C$44</f>
        <v>0</v>
      </c>
      <c r="Q20" s="395">
        <f>Q19*-Assumptions!$C$44</f>
        <v>0</v>
      </c>
      <c r="R20" s="395">
        <f>R19*-Assumptions!$C$44</f>
        <v>0</v>
      </c>
      <c r="S20" s="395">
        <f>S19*-Assumptions!$C$44</f>
        <v>0</v>
      </c>
      <c r="T20" s="395">
        <f>T19*-Assumptions!$C$44</f>
        <v>0</v>
      </c>
      <c r="U20" s="395">
        <f>U19*-Assumptions!$C$44</f>
        <v>0</v>
      </c>
      <c r="V20" s="395">
        <f>V19*-Assumptions!$C$44</f>
        <v>0</v>
      </c>
      <c r="W20" s="395">
        <f>W19*-Assumptions!$C$44</f>
        <v>0</v>
      </c>
      <c r="X20" s="395">
        <f>X19*-Assumptions!$C$44</f>
        <v>0</v>
      </c>
      <c r="Y20" s="395">
        <f>Y19*-Assumptions!$C$44</f>
        <v>0</v>
      </c>
      <c r="Z20" s="395">
        <f>Z19*-Assumptions!$C$44</f>
        <v>0</v>
      </c>
      <c r="AA20" s="395">
        <f>AA19*-Assumptions!$C$44</f>
        <v>-64022.874930000005</v>
      </c>
      <c r="AB20" s="395">
        <f>AB19*-Assumptions!$C$44</f>
        <v>-59892.366870000013</v>
      </c>
      <c r="AC20" s="395">
        <f>AC19*-Assumptions!$C$44</f>
        <v>-55486.491606000011</v>
      </c>
      <c r="AD20" s="395">
        <f>AD19*-Assumptions!$C$44</f>
        <v>-20652.540300000004</v>
      </c>
      <c r="AE20" s="395">
        <f>AE19*-Assumptions!$C$44</f>
        <v>-12804.574986</v>
      </c>
      <c r="AF20" s="395">
        <f>AF19*-Assumptions!$C$44</f>
        <v>-37174.572540000008</v>
      </c>
      <c r="AG20" s="395">
        <f>AG19*-Assumptions!$C$44</f>
        <v>-55486.491606000011</v>
      </c>
      <c r="AH20" s="395">
        <f>AH19*-Assumptions!$C$44</f>
        <v>-46950.108282000008</v>
      </c>
      <c r="AI20" s="395">
        <f>AI19*-Assumptions!$C$44</f>
        <v>-37174.572540000008</v>
      </c>
      <c r="AJ20" s="395">
        <f>AJ19*-Assumptions!$C$44</f>
        <v>-8536.3833240000022</v>
      </c>
      <c r="AK20" s="395">
        <f>AK19*-Assumptions!$C$44</f>
        <v>-8261.016120000002</v>
      </c>
      <c r="AL20" s="395">
        <f>AL19*-Assumptions!$C$44</f>
        <v>-46950.108282000008</v>
      </c>
      <c r="AM20" s="395">
        <f>AM19*-Assumptions!$C$44</f>
        <v>-253568.69357692506</v>
      </c>
      <c r="AN20" s="395">
        <f>AN19*-Assumptions!$C$44</f>
        <v>-229029.78774690005</v>
      </c>
      <c r="AO20" s="395">
        <f>AO19*-Assumptions!$C$44</f>
        <v>-219759.53443333507</v>
      </c>
      <c r="AP20" s="395">
        <f>AP19*-Assumptions!$C$44</f>
        <v>-81796.352766750017</v>
      </c>
      <c r="AQ20" s="395">
        <f>AQ19*-Assumptions!$C$44</f>
        <v>-50713.738715385007</v>
      </c>
      <c r="AR20" s="395">
        <f>AR19*-Assumptions!$C$44</f>
        <v>-147233.43498015002</v>
      </c>
      <c r="AS20" s="395">
        <f>AS19*-Assumptions!$C$44</f>
        <v>-219759.53443333507</v>
      </c>
      <c r="AT20" s="395">
        <f>AT19*-Assumptions!$C$44</f>
        <v>-185950.37528974505</v>
      </c>
      <c r="AU20" s="395">
        <f>AU19*-Assumptions!$C$44</f>
        <v>-147233.43498015002</v>
      </c>
      <c r="AV20" s="395">
        <f>AV19*-Assumptions!$C$44</f>
        <v>-33809.159143590005</v>
      </c>
      <c r="AW20" s="395">
        <f>AW19*-Assumptions!$C$44</f>
        <v>-32718.54110670001</v>
      </c>
      <c r="AX20" s="395">
        <f>AX19*-Assumptions!$C$44</f>
        <v>-185950.37528974505</v>
      </c>
      <c r="AY20" s="395">
        <f>AY19*-Assumptions!$C$44</f>
        <v>-365484.33740456111</v>
      </c>
      <c r="AZ20" s="395">
        <f>AZ19*-Assumptions!$C$44</f>
        <v>-330114.88539766811</v>
      </c>
      <c r="BA20" s="395">
        <f>BA19*-Assumptions!$C$44</f>
        <v>-316753.09241728624</v>
      </c>
      <c r="BB20" s="395">
        <f>BB19*-Assumptions!$C$44</f>
        <v>-117898.17335631004</v>
      </c>
      <c r="BC20" s="395">
        <f>BC19*-Assumptions!$C$44</f>
        <v>-73096.867480912217</v>
      </c>
      <c r="BD20" s="395">
        <f>BD19*-Assumptions!$C$44</f>
        <v>-212216.71204135809</v>
      </c>
      <c r="BE20" s="395">
        <f>BE19*-Assumptions!$C$44</f>
        <v>-316753.09241728624</v>
      </c>
      <c r="BF20" s="395">
        <f>BF19*-Assumptions!$C$44</f>
        <v>-268021.84743001149</v>
      </c>
      <c r="BG20" s="395">
        <f>BG19*-Assumptions!$C$44</f>
        <v>-212216.71204135809</v>
      </c>
      <c r="BH20" s="395">
        <f>BH19*-Assumptions!$C$44</f>
        <v>-48731.244987274818</v>
      </c>
      <c r="BI20" s="395">
        <f>BI19*-Assumptions!$C$44</f>
        <v>-47159.269342524021</v>
      </c>
      <c r="BJ20" s="395">
        <f>BJ19*-Assumptions!$C$44</f>
        <v>-268021.84743001149</v>
      </c>
      <c r="BK20" s="395">
        <f>BK19*-Assumptions!$C$44</f>
        <v>-483886.70803763613</v>
      </c>
      <c r="BL20" s="395">
        <f>BL19*-Assumptions!$C$44</f>
        <v>-437058.96209851006</v>
      </c>
      <c r="BM20" s="395">
        <f>BM19*-Assumptions!$C$44</f>
        <v>-419368.48029928462</v>
      </c>
      <c r="BN20" s="395">
        <f>BN19*-Assumptions!$C$44</f>
        <v>-156092.48646375359</v>
      </c>
      <c r="BO20" s="395">
        <f>BO19*-Assumptions!$C$44</f>
        <v>-96777.341607527225</v>
      </c>
      <c r="BP20" s="395">
        <f>BP19*-Assumptions!$C$44</f>
        <v>-280966.4756347565</v>
      </c>
      <c r="BQ20" s="395">
        <f>BQ19*-Assumptions!$C$44</f>
        <v>-419368.48029928462</v>
      </c>
      <c r="BR20" s="395">
        <f>BR19*-Assumptions!$C$44</f>
        <v>-354850.25256093318</v>
      </c>
      <c r="BS20" s="395">
        <f>BS19*-Assumptions!$C$44</f>
        <v>-280966.4756347565</v>
      </c>
      <c r="BT20" s="395">
        <f>BT19*-Assumptions!$C$44</f>
        <v>-64518.227738351488</v>
      </c>
      <c r="BU20" s="395">
        <f>BU19*-Assumptions!$C$44</f>
        <v>-62436.994585501438</v>
      </c>
      <c r="BV20" s="395">
        <f>BV19*-Assumptions!$C$44</f>
        <v>-354850.25256093318</v>
      </c>
      <c r="BW20" s="395">
        <f>BW19*-Assumptions!$C$44</f>
        <v>-575608.64118081145</v>
      </c>
      <c r="BX20" s="395">
        <f>BX19*-Assumptions!$C$44</f>
        <v>-538472.59981430741</v>
      </c>
      <c r="BY20" s="395">
        <f>BY19*-Assumptions!$C$44</f>
        <v>-498860.82235670334</v>
      </c>
      <c r="BZ20" s="395">
        <f>BZ19*-Assumptions!$C$44</f>
        <v>-185680.20683251985</v>
      </c>
      <c r="CA20" s="395">
        <f>CA19*-Assumptions!$C$44</f>
        <v>-115121.72823616229</v>
      </c>
      <c r="CB20" s="395">
        <f>CB19*-Assumptions!$C$44</f>
        <v>-334224.37229853577</v>
      </c>
      <c r="CC20" s="395">
        <f>CC19*-Assumptions!$C$44</f>
        <v>-498860.82235670334</v>
      </c>
      <c r="CD20" s="395">
        <f>CD19*-Assumptions!$C$44</f>
        <v>-422113.00353259512</v>
      </c>
      <c r="CE20" s="395">
        <f>CE19*-Assumptions!$C$44</f>
        <v>-334224.37229853577</v>
      </c>
      <c r="CF20" s="395">
        <f>CF19*-Assumptions!$C$44</f>
        <v>-76747.818824108195</v>
      </c>
      <c r="CG20" s="395">
        <f>CG19*-Assumptions!$C$44</f>
        <v>-74272.082733007934</v>
      </c>
      <c r="CH20" s="395">
        <f>CH19*-Assumptions!$C$44</f>
        <v>-422113.00353259512</v>
      </c>
      <c r="CI20" s="395">
        <f>CI19*-Assumptions!$C$44</f>
        <v>-592876.90041623579</v>
      </c>
      <c r="CJ20" s="395">
        <f>CJ19*-Assumptions!$C$44</f>
        <v>-535501.7165049871</v>
      </c>
      <c r="CK20" s="395">
        <f>CK19*-Assumptions!$C$44</f>
        <v>-513826.6470274044</v>
      </c>
      <c r="CL20" s="395">
        <f>CL19*-Assumptions!$C$44</f>
        <v>-191250.61303749541</v>
      </c>
      <c r="CM20" s="395">
        <f>CM19*-Assumptions!$C$44</f>
        <v>-118575.38008324718</v>
      </c>
      <c r="CN20" s="395">
        <f>CN19*-Assumptions!$C$44</f>
        <v>-344251.10346749175</v>
      </c>
      <c r="CO20" s="395">
        <f>CO19*-Assumptions!$C$44</f>
        <v>-513826.6470274044</v>
      </c>
      <c r="CP20" s="395">
        <f>CP19*-Assumptions!$C$44</f>
        <v>-434776.393638573</v>
      </c>
      <c r="CQ20" s="395">
        <f>CQ19*-Assumptions!$C$44</f>
        <v>-344251.10346749175</v>
      </c>
      <c r="CR20" s="395">
        <f>CR19*-Assumptions!$C$44</f>
        <v>-79050.25338883145</v>
      </c>
      <c r="CS20" s="395">
        <f>CS19*-Assumptions!$C$44</f>
        <v>-76500.245214998169</v>
      </c>
      <c r="CT20" s="395">
        <f>CT19*-Assumptions!$C$44</f>
        <v>-434776.393638573</v>
      </c>
      <c r="CU20" s="395">
        <f>CU19*-Assumptions!$C$44</f>
        <v>-610663.20742872288</v>
      </c>
      <c r="CV20" s="395">
        <f>CV19*-Assumptions!$C$44</f>
        <v>-551566.76800013671</v>
      </c>
      <c r="CW20" s="395">
        <f>CW19*-Assumptions!$C$44</f>
        <v>-529241.4464382265</v>
      </c>
      <c r="CX20" s="395">
        <f>CX19*-Assumptions!$C$44</f>
        <v>-196988.13142862028</v>
      </c>
      <c r="CY20" s="395">
        <f>CY19*-Assumptions!$C$44</f>
        <v>-122132.64148574456</v>
      </c>
      <c r="CZ20" s="395">
        <f>CZ19*-Assumptions!$C$44</f>
        <v>-354578.63657151652</v>
      </c>
      <c r="DA20" s="395">
        <f>DA19*-Assumptions!$C$44</f>
        <v>-529241.4464382265</v>
      </c>
      <c r="DB20" s="395">
        <f>DB19*-Assumptions!$C$44</f>
        <v>-447819.68544773012</v>
      </c>
      <c r="DC20" s="395">
        <f>DC19*-Assumptions!$C$44</f>
        <v>-354578.63657151652</v>
      </c>
      <c r="DD20" s="395">
        <f>DD19*-Assumptions!$C$44</f>
        <v>-81421.760990496376</v>
      </c>
      <c r="DE20" s="395">
        <f>DE19*-Assumptions!$C$44</f>
        <v>-78795.252571448116</v>
      </c>
      <c r="DF20" s="395">
        <f>DF19*-Assumptions!$C$44</f>
        <v>-447819.68544773012</v>
      </c>
      <c r="DG20" s="395" t="e">
        <f>DG19*-Assumptions!$C$44</f>
        <v>#N/A</v>
      </c>
      <c r="DH20" s="395" t="e">
        <f>DH19*-Assumptions!$C$44</f>
        <v>#N/A</v>
      </c>
      <c r="DI20" s="395" t="e">
        <f>DI19*-Assumptions!$C$44</f>
        <v>#N/A</v>
      </c>
      <c r="DJ20" s="395" t="e">
        <f>DJ19*-Assumptions!$C$44</f>
        <v>#N/A</v>
      </c>
      <c r="DK20" s="395" t="e">
        <f>DK19*-Assumptions!$C$44</f>
        <v>#N/A</v>
      </c>
      <c r="DL20" s="395" t="e">
        <f>DL19*-Assumptions!$C$44</f>
        <v>#N/A</v>
      </c>
      <c r="DM20" s="395" t="e">
        <f>DM19*-Assumptions!$C$44</f>
        <v>#N/A</v>
      </c>
      <c r="DN20" s="395" t="e">
        <f>DN19*-Assumptions!$C$44</f>
        <v>#N/A</v>
      </c>
      <c r="DO20" s="395" t="e">
        <f>DO19*-Assumptions!$C$44</f>
        <v>#N/A</v>
      </c>
      <c r="DP20" s="395" t="e">
        <f>DP19*-Assumptions!$C$44</f>
        <v>#N/A</v>
      </c>
      <c r="DQ20" s="395" t="e">
        <f>DQ19*-Assumptions!$C$44</f>
        <v>#N/A</v>
      </c>
      <c r="DR20" s="395" t="e">
        <f>DR19*-Assumptions!$C$44</f>
        <v>#N/A</v>
      </c>
      <c r="DS20" s="392"/>
      <c r="DT20" s="392"/>
      <c r="DU20" s="392"/>
      <c r="DV20" s="392"/>
      <c r="DW20" s="392"/>
      <c r="DX20" s="392"/>
      <c r="DY20" s="392"/>
      <c r="DZ20" s="392"/>
      <c r="EA20" s="392"/>
      <c r="EB20" s="392"/>
      <c r="EC20" s="392"/>
      <c r="ED20" s="392"/>
    </row>
    <row r="21" spans="1:134" s="393" customFormat="1" ht="16" x14ac:dyDescent="0.2">
      <c r="A21" s="391"/>
      <c r="B21" s="397" t="s">
        <v>770</v>
      </c>
      <c r="C21" s="394">
        <f t="shared" ref="C21:AH21" si="20">C20+C19</f>
        <v>0</v>
      </c>
      <c r="D21" s="394">
        <f t="shared" si="20"/>
        <v>0</v>
      </c>
      <c r="E21" s="394">
        <f t="shared" si="20"/>
        <v>0</v>
      </c>
      <c r="F21" s="394">
        <f t="shared" si="20"/>
        <v>0</v>
      </c>
      <c r="G21" s="394">
        <f t="shared" si="20"/>
        <v>0</v>
      </c>
      <c r="H21" s="394">
        <f t="shared" si="20"/>
        <v>0</v>
      </c>
      <c r="I21" s="394">
        <f t="shared" si="20"/>
        <v>0</v>
      </c>
      <c r="J21" s="394">
        <f t="shared" si="20"/>
        <v>0</v>
      </c>
      <c r="K21" s="394">
        <f t="shared" si="20"/>
        <v>0</v>
      </c>
      <c r="L21" s="394">
        <f t="shared" si="20"/>
        <v>0</v>
      </c>
      <c r="M21" s="394">
        <f t="shared" si="20"/>
        <v>0</v>
      </c>
      <c r="N21" s="394">
        <f t="shared" si="20"/>
        <v>0</v>
      </c>
      <c r="O21" s="394">
        <f t="shared" si="20"/>
        <v>0</v>
      </c>
      <c r="P21" s="394">
        <f t="shared" si="20"/>
        <v>0</v>
      </c>
      <c r="Q21" s="394">
        <f t="shared" si="20"/>
        <v>0</v>
      </c>
      <c r="R21" s="394">
        <f t="shared" si="20"/>
        <v>0</v>
      </c>
      <c r="S21" s="394">
        <f t="shared" si="20"/>
        <v>0</v>
      </c>
      <c r="T21" s="394">
        <f t="shared" si="20"/>
        <v>0</v>
      </c>
      <c r="U21" s="394">
        <f t="shared" si="20"/>
        <v>0</v>
      </c>
      <c r="V21" s="394">
        <f t="shared" si="20"/>
        <v>0</v>
      </c>
      <c r="W21" s="394">
        <f t="shared" si="20"/>
        <v>0</v>
      </c>
      <c r="X21" s="394">
        <f t="shared" si="20"/>
        <v>0</v>
      </c>
      <c r="Y21" s="394">
        <f t="shared" si="20"/>
        <v>0</v>
      </c>
      <c r="Z21" s="394">
        <f t="shared" si="20"/>
        <v>0</v>
      </c>
      <c r="AA21" s="394">
        <f t="shared" si="20"/>
        <v>21340.958310000002</v>
      </c>
      <c r="AB21" s="394">
        <f t="shared" si="20"/>
        <v>19964.122289999999</v>
      </c>
      <c r="AC21" s="394">
        <f t="shared" si="20"/>
        <v>18495.497201999999</v>
      </c>
      <c r="AD21" s="394">
        <f t="shared" si="20"/>
        <v>6884.1801000000014</v>
      </c>
      <c r="AE21" s="394">
        <f t="shared" si="20"/>
        <v>4268.1916620000011</v>
      </c>
      <c r="AF21" s="394">
        <f t="shared" si="20"/>
        <v>12391.52418</v>
      </c>
      <c r="AG21" s="394">
        <f t="shared" si="20"/>
        <v>18495.497201999999</v>
      </c>
      <c r="AH21" s="394">
        <f t="shared" si="20"/>
        <v>15650.036094000003</v>
      </c>
      <c r="AI21" s="394">
        <f t="shared" ref="AI21:BN21" si="21">AI20+AI19</f>
        <v>12391.52418</v>
      </c>
      <c r="AJ21" s="394">
        <f t="shared" si="21"/>
        <v>2845.4611079999995</v>
      </c>
      <c r="AK21" s="394">
        <f t="shared" si="21"/>
        <v>2753.6720400000013</v>
      </c>
      <c r="AL21" s="394">
        <f t="shared" si="21"/>
        <v>15650.036094000003</v>
      </c>
      <c r="AM21" s="394">
        <f t="shared" si="21"/>
        <v>84522.897858975019</v>
      </c>
      <c r="AN21" s="394">
        <f t="shared" si="21"/>
        <v>76343.262582299998</v>
      </c>
      <c r="AO21" s="394">
        <f t="shared" si="21"/>
        <v>73253.178144445003</v>
      </c>
      <c r="AP21" s="394">
        <f t="shared" si="21"/>
        <v>27265.450922250006</v>
      </c>
      <c r="AQ21" s="394">
        <f t="shared" si="21"/>
        <v>16904.579571795002</v>
      </c>
      <c r="AR21" s="394">
        <f t="shared" si="21"/>
        <v>49077.811660050007</v>
      </c>
      <c r="AS21" s="394">
        <f t="shared" si="21"/>
        <v>73253.178144445003</v>
      </c>
      <c r="AT21" s="394">
        <f t="shared" si="21"/>
        <v>61983.458429915016</v>
      </c>
      <c r="AU21" s="394">
        <f t="shared" si="21"/>
        <v>49077.811660050007</v>
      </c>
      <c r="AV21" s="394">
        <f t="shared" si="21"/>
        <v>11269.719714530002</v>
      </c>
      <c r="AW21" s="394">
        <f t="shared" si="21"/>
        <v>10906.180368900001</v>
      </c>
      <c r="AX21" s="394">
        <f t="shared" si="21"/>
        <v>61983.458429915016</v>
      </c>
      <c r="AY21" s="394">
        <f t="shared" si="21"/>
        <v>121828.112468187</v>
      </c>
      <c r="AZ21" s="394">
        <f t="shared" si="21"/>
        <v>110038.295132556</v>
      </c>
      <c r="BA21" s="394">
        <f t="shared" si="21"/>
        <v>105584.36413909541</v>
      </c>
      <c r="BB21" s="394">
        <f t="shared" si="21"/>
        <v>39299.391118770014</v>
      </c>
      <c r="BC21" s="394">
        <f t="shared" si="21"/>
        <v>24365.622493637406</v>
      </c>
      <c r="BD21" s="394">
        <f t="shared" si="21"/>
        <v>70738.904013786028</v>
      </c>
      <c r="BE21" s="394">
        <f t="shared" si="21"/>
        <v>105584.36413909541</v>
      </c>
      <c r="BF21" s="394">
        <f t="shared" si="21"/>
        <v>89340.61581000383</v>
      </c>
      <c r="BG21" s="394">
        <f t="shared" si="21"/>
        <v>70738.904013786028</v>
      </c>
      <c r="BH21" s="394">
        <f t="shared" si="21"/>
        <v>16243.748329091606</v>
      </c>
      <c r="BI21" s="394">
        <f t="shared" si="21"/>
        <v>15719.756447508007</v>
      </c>
      <c r="BJ21" s="394">
        <f t="shared" si="21"/>
        <v>89340.61581000383</v>
      </c>
      <c r="BK21" s="394">
        <f t="shared" si="21"/>
        <v>161295.56934587867</v>
      </c>
      <c r="BL21" s="394">
        <f t="shared" si="21"/>
        <v>145686.32069950335</v>
      </c>
      <c r="BM21" s="394">
        <f t="shared" si="21"/>
        <v>139789.49343309487</v>
      </c>
      <c r="BN21" s="394">
        <f t="shared" si="21"/>
        <v>52030.828821251198</v>
      </c>
      <c r="BO21" s="394">
        <f t="shared" ref="BO21:CT21" si="22">BO20+BO19</f>
        <v>32259.113869175737</v>
      </c>
      <c r="BP21" s="394">
        <f t="shared" si="22"/>
        <v>93655.491878252127</v>
      </c>
      <c r="BQ21" s="394">
        <f t="shared" si="22"/>
        <v>139789.49343309487</v>
      </c>
      <c r="BR21" s="394">
        <f t="shared" si="22"/>
        <v>118283.41752031108</v>
      </c>
      <c r="BS21" s="394">
        <f t="shared" si="22"/>
        <v>93655.491878252127</v>
      </c>
      <c r="BT21" s="394">
        <f t="shared" si="22"/>
        <v>21506.075912783825</v>
      </c>
      <c r="BU21" s="394">
        <f t="shared" si="22"/>
        <v>20812.331528500479</v>
      </c>
      <c r="BV21" s="394">
        <f t="shared" si="22"/>
        <v>118283.41752031108</v>
      </c>
      <c r="BW21" s="394">
        <f t="shared" si="22"/>
        <v>191869.54706027044</v>
      </c>
      <c r="BX21" s="394">
        <f t="shared" si="22"/>
        <v>179490.86660476914</v>
      </c>
      <c r="BY21" s="394">
        <f t="shared" si="22"/>
        <v>166286.94078556774</v>
      </c>
      <c r="BZ21" s="394">
        <f t="shared" si="22"/>
        <v>61893.402277506597</v>
      </c>
      <c r="CA21" s="394">
        <f t="shared" si="22"/>
        <v>38373.909412054098</v>
      </c>
      <c r="CB21" s="394">
        <f t="shared" si="22"/>
        <v>111408.12409951189</v>
      </c>
      <c r="CC21" s="394">
        <f t="shared" si="22"/>
        <v>166286.94078556774</v>
      </c>
      <c r="CD21" s="394">
        <f t="shared" si="22"/>
        <v>140704.33451086504</v>
      </c>
      <c r="CE21" s="394">
        <f t="shared" si="22"/>
        <v>111408.12409951189</v>
      </c>
      <c r="CF21" s="394">
        <f t="shared" si="22"/>
        <v>25582.606274702732</v>
      </c>
      <c r="CG21" s="394">
        <f t="shared" si="22"/>
        <v>24757.360911002645</v>
      </c>
      <c r="CH21" s="394">
        <f t="shared" si="22"/>
        <v>140704.33451086504</v>
      </c>
      <c r="CI21" s="394">
        <f t="shared" si="22"/>
        <v>197625.6334720786</v>
      </c>
      <c r="CJ21" s="394">
        <f t="shared" si="22"/>
        <v>178500.57216832903</v>
      </c>
      <c r="CK21" s="394">
        <f t="shared" si="22"/>
        <v>171275.54900913476</v>
      </c>
      <c r="CL21" s="394">
        <f t="shared" si="22"/>
        <v>63750.204345831793</v>
      </c>
      <c r="CM21" s="394">
        <f t="shared" si="22"/>
        <v>39525.126694415725</v>
      </c>
      <c r="CN21" s="394">
        <f t="shared" si="22"/>
        <v>114750.36782249727</v>
      </c>
      <c r="CO21" s="394">
        <f t="shared" si="22"/>
        <v>171275.54900913476</v>
      </c>
      <c r="CP21" s="394">
        <f t="shared" si="22"/>
        <v>144925.46454619104</v>
      </c>
      <c r="CQ21" s="394">
        <f t="shared" si="22"/>
        <v>114750.36782249727</v>
      </c>
      <c r="CR21" s="394">
        <f t="shared" si="22"/>
        <v>26350.084462943807</v>
      </c>
      <c r="CS21" s="394">
        <f t="shared" si="22"/>
        <v>25500.081738332723</v>
      </c>
      <c r="CT21" s="394">
        <f t="shared" si="22"/>
        <v>144925.46454619104</v>
      </c>
      <c r="CU21" s="394">
        <f t="shared" ref="CU21:DR21" si="23">CU20+CU19</f>
        <v>203554.40247624088</v>
      </c>
      <c r="CV21" s="394">
        <f t="shared" si="23"/>
        <v>183855.58933337894</v>
      </c>
      <c r="CW21" s="394">
        <f t="shared" si="23"/>
        <v>176413.81547940883</v>
      </c>
      <c r="CX21" s="394">
        <f t="shared" si="23"/>
        <v>65662.710476206761</v>
      </c>
      <c r="CY21" s="394">
        <f t="shared" si="23"/>
        <v>40710.880495248188</v>
      </c>
      <c r="CZ21" s="394">
        <f t="shared" si="23"/>
        <v>118192.87885717215</v>
      </c>
      <c r="DA21" s="394">
        <f t="shared" si="23"/>
        <v>176413.81547940883</v>
      </c>
      <c r="DB21" s="394">
        <f t="shared" si="23"/>
        <v>149273.22848257667</v>
      </c>
      <c r="DC21" s="394">
        <f t="shared" si="23"/>
        <v>118192.87885717215</v>
      </c>
      <c r="DD21" s="394">
        <f t="shared" si="23"/>
        <v>27140.58699683212</v>
      </c>
      <c r="DE21" s="394">
        <f t="shared" si="23"/>
        <v>26265.08419048271</v>
      </c>
      <c r="DF21" s="394">
        <f t="shared" si="23"/>
        <v>149273.22848257667</v>
      </c>
      <c r="DG21" s="394" t="e">
        <f t="shared" si="23"/>
        <v>#N/A</v>
      </c>
      <c r="DH21" s="394" t="e">
        <f t="shared" si="23"/>
        <v>#N/A</v>
      </c>
      <c r="DI21" s="394" t="e">
        <f t="shared" si="23"/>
        <v>#N/A</v>
      </c>
      <c r="DJ21" s="394" t="e">
        <f t="shared" si="23"/>
        <v>#N/A</v>
      </c>
      <c r="DK21" s="394" t="e">
        <f t="shared" si="23"/>
        <v>#N/A</v>
      </c>
      <c r="DL21" s="394" t="e">
        <f t="shared" si="23"/>
        <v>#N/A</v>
      </c>
      <c r="DM21" s="394" t="e">
        <f t="shared" si="23"/>
        <v>#N/A</v>
      </c>
      <c r="DN21" s="394" t="e">
        <f t="shared" si="23"/>
        <v>#N/A</v>
      </c>
      <c r="DO21" s="394" t="e">
        <f t="shared" si="23"/>
        <v>#N/A</v>
      </c>
      <c r="DP21" s="394" t="e">
        <f t="shared" si="23"/>
        <v>#N/A</v>
      </c>
      <c r="DQ21" s="394" t="e">
        <f t="shared" si="23"/>
        <v>#N/A</v>
      </c>
      <c r="DR21" s="394" t="e">
        <f t="shared" si="23"/>
        <v>#N/A</v>
      </c>
      <c r="DS21" s="394"/>
      <c r="DT21" s="394"/>
      <c r="DU21" s="394"/>
      <c r="DV21" s="394"/>
      <c r="DW21" s="394"/>
      <c r="DX21" s="394"/>
      <c r="DY21" s="394"/>
      <c r="DZ21" s="394"/>
      <c r="EA21" s="394"/>
      <c r="EB21" s="394"/>
      <c r="EC21" s="394"/>
      <c r="ED21" s="394"/>
    </row>
    <row r="22" spans="1:134" s="154" customFormat="1" ht="16" x14ac:dyDescent="0.2">
      <c r="A22" s="304"/>
      <c r="B22" s="281"/>
    </row>
    <row r="23" spans="1:134" s="393" customFormat="1" ht="16" x14ac:dyDescent="0.2">
      <c r="A23" s="391"/>
      <c r="B23" s="281" t="s">
        <v>771</v>
      </c>
      <c r="C23" s="392">
        <f>IF(C5&gt;=Assumptions!$C$47,C12*Assumptions!$C$50,0)</f>
        <v>0</v>
      </c>
      <c r="D23" s="392">
        <f>IF(D5&gt;=Assumptions!$C$47,D12*Assumptions!$C$50,0)</f>
        <v>0</v>
      </c>
      <c r="E23" s="392">
        <f>IF(E5&gt;=Assumptions!$C$47,E12*Assumptions!$C$50,0)</f>
        <v>0</v>
      </c>
      <c r="F23" s="392">
        <f>IF(F5&gt;=Assumptions!$C$47,F12*Assumptions!$C$50,0)</f>
        <v>0</v>
      </c>
      <c r="G23" s="392">
        <f>IF(G5&gt;=Assumptions!$C$47,G12*Assumptions!$C$50,0)</f>
        <v>0</v>
      </c>
      <c r="H23" s="392">
        <f>IF(H5&gt;=Assumptions!$C$47,H12*Assumptions!$C$50,0)</f>
        <v>0</v>
      </c>
      <c r="I23" s="392">
        <f>IF(I5&gt;=Assumptions!$C$47,I12*Assumptions!$C$50,0)</f>
        <v>0</v>
      </c>
      <c r="J23" s="392">
        <f>IF(J5&gt;=Assumptions!$C$47,J12*Assumptions!$C$50,0)</f>
        <v>0</v>
      </c>
      <c r="K23" s="392">
        <f>IF(K5&gt;=Assumptions!$C$47,K12*Assumptions!$C$50,0)</f>
        <v>0</v>
      </c>
      <c r="L23" s="392">
        <f>IF(L5&gt;=Assumptions!$C$47,L12*Assumptions!$C$50,0)</f>
        <v>0</v>
      </c>
      <c r="M23" s="392">
        <f>IF(M5&gt;=Assumptions!$C$47,M12*Assumptions!$C$50,0)</f>
        <v>0</v>
      </c>
      <c r="N23" s="392">
        <f>IF(N5&gt;=Assumptions!$C$47,N12*Assumptions!$C$50,0)</f>
        <v>0</v>
      </c>
      <c r="O23" s="392">
        <f>IF(O5&gt;=Assumptions!$C$47,O12*Assumptions!$C$50,0)</f>
        <v>0</v>
      </c>
      <c r="P23" s="392">
        <f>IF(P5&gt;=Assumptions!$C$47,P12*Assumptions!$C$50,0)</f>
        <v>0</v>
      </c>
      <c r="Q23" s="392">
        <f>IF(Q5&gt;=Assumptions!$C$47,Q12*Assumptions!$C$50,0)</f>
        <v>0</v>
      </c>
      <c r="R23" s="392">
        <f>IF(R5&gt;=Assumptions!$C$47,R12*Assumptions!$C$50,0)</f>
        <v>0</v>
      </c>
      <c r="S23" s="392">
        <f>IF(S5&gt;=Assumptions!$C$47,S12*Assumptions!$C$50,0)</f>
        <v>0</v>
      </c>
      <c r="T23" s="392">
        <f>IF(T5&gt;=Assumptions!$C$47,T12*Assumptions!$C$50,0)</f>
        <v>0</v>
      </c>
      <c r="U23" s="392">
        <f>IF(U5&gt;=Assumptions!$C$47,U12*Assumptions!$C$50,0)</f>
        <v>0</v>
      </c>
      <c r="V23" s="392">
        <f>IF(V5&gt;=Assumptions!$C$47,V12*Assumptions!$C$50,0)</f>
        <v>0</v>
      </c>
      <c r="W23" s="392">
        <f>IF(W5&gt;=Assumptions!$C$47,W12*Assumptions!$C$50,0)</f>
        <v>0</v>
      </c>
      <c r="X23" s="392">
        <f>IF(X5&gt;=Assumptions!$C$47,X12*Assumptions!$C$50,0)</f>
        <v>0</v>
      </c>
      <c r="Y23" s="392">
        <f>IF(Y5&gt;=Assumptions!$C$47,Y12*Assumptions!$C$50,0)</f>
        <v>0</v>
      </c>
      <c r="Z23" s="392">
        <f>IF(Z5&gt;=Assumptions!$C$47,Z12*Assumptions!$C$50,0)</f>
        <v>0</v>
      </c>
      <c r="AA23" s="392">
        <f>IF(AA5&gt;=Assumptions!$C$47,AA12*Assumptions!$C$50,0)</f>
        <v>21340.958310000002</v>
      </c>
      <c r="AB23" s="392">
        <f>IF(AB5&gt;=Assumptions!$C$47,AB12*Assumptions!$C$50,0)</f>
        <v>19964.122290000003</v>
      </c>
      <c r="AC23" s="392">
        <f>IF(AC5&gt;=Assumptions!$C$47,AC12*Assumptions!$C$50,0)</f>
        <v>18495.497202000002</v>
      </c>
      <c r="AD23" s="392">
        <f>IF(AD5&gt;=Assumptions!$C$47,AD12*Assumptions!$C$50,0)</f>
        <v>6884.1801000000014</v>
      </c>
      <c r="AE23" s="392">
        <f>IF(AE5&gt;=Assumptions!$C$47,AE12*Assumptions!$C$50,0)</f>
        <v>4268.1916620000002</v>
      </c>
      <c r="AF23" s="392">
        <f>IF(AF5&gt;=Assumptions!$C$47,AF12*Assumptions!$C$50,0)</f>
        <v>12391.524180000002</v>
      </c>
      <c r="AG23" s="392">
        <f>IF(AG5&gt;=Assumptions!$C$47,AG12*Assumptions!$C$50,0)</f>
        <v>18495.497202000002</v>
      </c>
      <c r="AH23" s="392">
        <f>IF(AH5&gt;=Assumptions!$C$47,AH12*Assumptions!$C$50,0)</f>
        <v>15650.036094000003</v>
      </c>
      <c r="AI23" s="392">
        <f>IF(AI5&gt;=Assumptions!$C$47,AI12*Assumptions!$C$50,0)</f>
        <v>12391.524180000002</v>
      </c>
      <c r="AJ23" s="392">
        <f>IF(AJ5&gt;=Assumptions!$C$47,AJ12*Assumptions!$C$50,0)</f>
        <v>2845.4611080000004</v>
      </c>
      <c r="AK23" s="392">
        <f>IF(AK5&gt;=Assumptions!$C$47,AK12*Assumptions!$C$50,0)</f>
        <v>2753.6720400000008</v>
      </c>
      <c r="AL23" s="392">
        <f>IF(AL5&gt;=Assumptions!$C$47,AL12*Assumptions!$C$50,0)</f>
        <v>15650.036094000003</v>
      </c>
      <c r="AM23" s="392">
        <f>IF(AM5&gt;=Assumptions!$C$47,AM12*Assumptions!$C$50,0)</f>
        <v>84522.897858975019</v>
      </c>
      <c r="AN23" s="392">
        <f>IF(AN5&gt;=Assumptions!$C$47,AN12*Assumptions!$C$50,0)</f>
        <v>76343.262582300013</v>
      </c>
      <c r="AO23" s="392">
        <f>IF(AO5&gt;=Assumptions!$C$47,AO12*Assumptions!$C$50,0)</f>
        <v>73253.178144445017</v>
      </c>
      <c r="AP23" s="392">
        <f>IF(AP5&gt;=Assumptions!$C$47,AP12*Assumptions!$C$50,0)</f>
        <v>27265.450922250006</v>
      </c>
      <c r="AQ23" s="392">
        <f>IF(AQ5&gt;=Assumptions!$C$47,AQ12*Assumptions!$C$50,0)</f>
        <v>16904.579571795002</v>
      </c>
      <c r="AR23" s="392">
        <f>IF(AR5&gt;=Assumptions!$C$47,AR12*Assumptions!$C$50,0)</f>
        <v>49077.811660050007</v>
      </c>
      <c r="AS23" s="392">
        <f>IF(AS5&gt;=Assumptions!$C$47,AS12*Assumptions!$C$50,0)</f>
        <v>73253.178144445017</v>
      </c>
      <c r="AT23" s="392">
        <f>IF(AT5&gt;=Assumptions!$C$47,AT12*Assumptions!$C$50,0)</f>
        <v>61983.458429915016</v>
      </c>
      <c r="AU23" s="392">
        <f>IF(AU5&gt;=Assumptions!$C$47,AU12*Assumptions!$C$50,0)</f>
        <v>49077.811660050007</v>
      </c>
      <c r="AV23" s="392">
        <f>IF(AV5&gt;=Assumptions!$C$47,AV12*Assumptions!$C$50,0)</f>
        <v>11269.719714530002</v>
      </c>
      <c r="AW23" s="392">
        <f>IF(AW5&gt;=Assumptions!$C$47,AW12*Assumptions!$C$50,0)</f>
        <v>10906.180368900003</v>
      </c>
      <c r="AX23" s="392">
        <f>IF(AX5&gt;=Assumptions!$C$47,AX12*Assumptions!$C$50,0)</f>
        <v>61983.458429915016</v>
      </c>
      <c r="AY23" s="392">
        <f>IF(AY5&gt;=Assumptions!$C$47,AY12*Assumptions!$C$50,0)</f>
        <v>121828.11246818703</v>
      </c>
      <c r="AZ23" s="392">
        <f>IF(AZ5&gt;=Assumptions!$C$47,AZ12*Assumptions!$C$50,0)</f>
        <v>110038.29513255603</v>
      </c>
      <c r="BA23" s="392">
        <f>IF(BA5&gt;=Assumptions!$C$47,BA12*Assumptions!$C$50,0)</f>
        <v>105584.36413909541</v>
      </c>
      <c r="BB23" s="392">
        <f>IF(BB5&gt;=Assumptions!$C$47,BB12*Assumptions!$C$50,0)</f>
        <v>39299.391118770014</v>
      </c>
      <c r="BC23" s="392">
        <f>IF(BC5&gt;=Assumptions!$C$47,BC12*Assumptions!$C$50,0)</f>
        <v>24365.622493637406</v>
      </c>
      <c r="BD23" s="392">
        <f>IF(BD5&gt;=Assumptions!$C$47,BD12*Assumptions!$C$50,0)</f>
        <v>70738.904013786028</v>
      </c>
      <c r="BE23" s="392">
        <f>IF(BE5&gt;=Assumptions!$C$47,BE12*Assumptions!$C$50,0)</f>
        <v>105584.36413909541</v>
      </c>
      <c r="BF23" s="392">
        <f>IF(BF5&gt;=Assumptions!$C$47,BF12*Assumptions!$C$50,0)</f>
        <v>89340.61581000383</v>
      </c>
      <c r="BG23" s="392">
        <f>IF(BG5&gt;=Assumptions!$C$47,BG12*Assumptions!$C$50,0)</f>
        <v>70738.904013786028</v>
      </c>
      <c r="BH23" s="392">
        <f>IF(BH5&gt;=Assumptions!$C$47,BH12*Assumptions!$C$50,0)</f>
        <v>16243.748329091606</v>
      </c>
      <c r="BI23" s="392">
        <f>IF(BI5&gt;=Assumptions!$C$47,BI12*Assumptions!$C$50,0)</f>
        <v>15719.756447508007</v>
      </c>
      <c r="BJ23" s="392">
        <f>IF(BJ5&gt;=Assumptions!$C$47,BJ12*Assumptions!$C$50,0)</f>
        <v>89340.61581000383</v>
      </c>
      <c r="BK23" s="392">
        <f>IF(BK5&gt;=Assumptions!$C$47,BK12*Assumptions!$C$50,0)</f>
        <v>161295.5693458787</v>
      </c>
      <c r="BL23" s="392">
        <f>IF(BL5&gt;=Assumptions!$C$47,BL12*Assumptions!$C$50,0)</f>
        <v>145686.32069950335</v>
      </c>
      <c r="BM23" s="392">
        <f>IF(BM5&gt;=Assumptions!$C$47,BM12*Assumptions!$C$50,0)</f>
        <v>139789.49343309487</v>
      </c>
      <c r="BN23" s="392">
        <f>IF(BN5&gt;=Assumptions!$C$47,BN12*Assumptions!$C$50,0)</f>
        <v>52030.828821251198</v>
      </c>
      <c r="BO23" s="392">
        <f>IF(BO5&gt;=Assumptions!$C$47,BO12*Assumptions!$C$50,0)</f>
        <v>32259.113869175741</v>
      </c>
      <c r="BP23" s="392">
        <f>IF(BP5&gt;=Assumptions!$C$47,BP12*Assumptions!$C$50,0)</f>
        <v>93655.491878252156</v>
      </c>
      <c r="BQ23" s="392">
        <f>IF(BQ5&gt;=Assumptions!$C$47,BQ12*Assumptions!$C$50,0)</f>
        <v>139789.49343309487</v>
      </c>
      <c r="BR23" s="392">
        <f>IF(BR5&gt;=Assumptions!$C$47,BR12*Assumptions!$C$50,0)</f>
        <v>118283.41752031106</v>
      </c>
      <c r="BS23" s="392">
        <f>IF(BS5&gt;=Assumptions!$C$47,BS12*Assumptions!$C$50,0)</f>
        <v>93655.491878252156</v>
      </c>
      <c r="BT23" s="392">
        <f>IF(BT5&gt;=Assumptions!$C$47,BT12*Assumptions!$C$50,0)</f>
        <v>21506.075912783828</v>
      </c>
      <c r="BU23" s="392">
        <f>IF(BU5&gt;=Assumptions!$C$47,BU12*Assumptions!$C$50,0)</f>
        <v>20812.331528500479</v>
      </c>
      <c r="BV23" s="392">
        <f>IF(BV5&gt;=Assumptions!$C$47,BV12*Assumptions!$C$50,0)</f>
        <v>118283.41752031106</v>
      </c>
      <c r="BW23" s="392">
        <f>IF(BW5&gt;=Assumptions!$C$47,BW12*Assumptions!$C$50,0)</f>
        <v>191869.54706027047</v>
      </c>
      <c r="BX23" s="392">
        <f>IF(BX5&gt;=Assumptions!$C$47,BX12*Assumptions!$C$50,0)</f>
        <v>179490.86660476914</v>
      </c>
      <c r="BY23" s="392">
        <f>IF(BY5&gt;=Assumptions!$C$47,BY12*Assumptions!$C$50,0)</f>
        <v>166286.94078556777</v>
      </c>
      <c r="BZ23" s="392">
        <f>IF(BZ5&gt;=Assumptions!$C$47,BZ12*Assumptions!$C$50,0)</f>
        <v>61893.402277506611</v>
      </c>
      <c r="CA23" s="392">
        <f>IF(CA5&gt;=Assumptions!$C$47,CA12*Assumptions!$C$50,0)</f>
        <v>38373.909412054098</v>
      </c>
      <c r="CB23" s="392">
        <f>IF(CB5&gt;=Assumptions!$C$47,CB12*Assumptions!$C$50,0)</f>
        <v>111408.12409951192</v>
      </c>
      <c r="CC23" s="392">
        <f>IF(CC5&gt;=Assumptions!$C$47,CC12*Assumptions!$C$50,0)</f>
        <v>166286.94078556777</v>
      </c>
      <c r="CD23" s="392">
        <f>IF(CD5&gt;=Assumptions!$C$47,CD12*Assumptions!$C$50,0)</f>
        <v>140704.33451086504</v>
      </c>
      <c r="CE23" s="392">
        <f>IF(CE5&gt;=Assumptions!$C$47,CE12*Assumptions!$C$50,0)</f>
        <v>111408.12409951192</v>
      </c>
      <c r="CF23" s="392">
        <f>IF(CF5&gt;=Assumptions!$C$47,CF12*Assumptions!$C$50,0)</f>
        <v>25582.606274702732</v>
      </c>
      <c r="CG23" s="392">
        <f>IF(CG5&gt;=Assumptions!$C$47,CG12*Assumptions!$C$50,0)</f>
        <v>24757.360911002645</v>
      </c>
      <c r="CH23" s="392">
        <f>IF(CH5&gt;=Assumptions!$C$47,CH12*Assumptions!$C$50,0)</f>
        <v>140704.33451086504</v>
      </c>
      <c r="CI23" s="392">
        <f>IF(CI5&gt;=Assumptions!$C$47,CI12*Assumptions!$C$50,0)</f>
        <v>197625.6334720786</v>
      </c>
      <c r="CJ23" s="392">
        <f>IF(CJ5&gt;=Assumptions!$C$47,CJ12*Assumptions!$C$50,0)</f>
        <v>178500.57216832903</v>
      </c>
      <c r="CK23" s="392">
        <f>IF(CK5&gt;=Assumptions!$C$47,CK12*Assumptions!$C$50,0)</f>
        <v>171275.54900913479</v>
      </c>
      <c r="CL23" s="392">
        <f>IF(CL5&gt;=Assumptions!$C$47,CL12*Assumptions!$C$50,0)</f>
        <v>63750.2043458318</v>
      </c>
      <c r="CM23" s="392">
        <f>IF(CM5&gt;=Assumptions!$C$47,CM12*Assumptions!$C$50,0)</f>
        <v>39525.126694415725</v>
      </c>
      <c r="CN23" s="392">
        <f>IF(CN5&gt;=Assumptions!$C$47,CN12*Assumptions!$C$50,0)</f>
        <v>114750.36782249725</v>
      </c>
      <c r="CO23" s="392">
        <f>IF(CO5&gt;=Assumptions!$C$47,CO12*Assumptions!$C$50,0)</f>
        <v>171275.54900913479</v>
      </c>
      <c r="CP23" s="392">
        <f>IF(CP5&gt;=Assumptions!$C$47,CP12*Assumptions!$C$50,0)</f>
        <v>144925.46454619101</v>
      </c>
      <c r="CQ23" s="392">
        <f>IF(CQ5&gt;=Assumptions!$C$47,CQ12*Assumptions!$C$50,0)</f>
        <v>114750.36782249725</v>
      </c>
      <c r="CR23" s="392">
        <f>IF(CR5&gt;=Assumptions!$C$47,CR12*Assumptions!$C$50,0)</f>
        <v>26350.084462943814</v>
      </c>
      <c r="CS23" s="392">
        <f>IF(CS5&gt;=Assumptions!$C$47,CS12*Assumptions!$C$50,0)</f>
        <v>25500.081738332723</v>
      </c>
      <c r="CT23" s="392">
        <f>IF(CT5&gt;=Assumptions!$C$47,CT12*Assumptions!$C$50,0)</f>
        <v>144925.46454619101</v>
      </c>
      <c r="CU23" s="392">
        <f>IF(CU5&gt;=Assumptions!$C$47,CU12*Assumptions!$C$50,0)</f>
        <v>203554.40247624094</v>
      </c>
      <c r="CV23" s="392">
        <f>IF(CV5&gt;=Assumptions!$C$47,CV12*Assumptions!$C$50,0)</f>
        <v>183855.58933337891</v>
      </c>
      <c r="CW23" s="392">
        <f>IF(CW5&gt;=Assumptions!$C$47,CW12*Assumptions!$C$50,0)</f>
        <v>176413.81547940883</v>
      </c>
      <c r="CX23" s="392">
        <f>IF(CX5&gt;=Assumptions!$C$47,CX12*Assumptions!$C$50,0)</f>
        <v>65662.710476206761</v>
      </c>
      <c r="CY23" s="392">
        <f>IF(CY5&gt;=Assumptions!$C$47,CY12*Assumptions!$C$50,0)</f>
        <v>40710.880495248188</v>
      </c>
      <c r="CZ23" s="392">
        <f>IF(CZ5&gt;=Assumptions!$C$47,CZ12*Assumptions!$C$50,0)</f>
        <v>118192.87885717217</v>
      </c>
      <c r="DA23" s="392">
        <f>IF(DA5&gt;=Assumptions!$C$47,DA12*Assumptions!$C$50,0)</f>
        <v>176413.81547940883</v>
      </c>
      <c r="DB23" s="392">
        <f>IF(DB5&gt;=Assumptions!$C$47,DB12*Assumptions!$C$50,0)</f>
        <v>149273.2284825767</v>
      </c>
      <c r="DC23" s="392">
        <f>IF(DC5&gt;=Assumptions!$C$47,DC12*Assumptions!$C$50,0)</f>
        <v>118192.87885717217</v>
      </c>
      <c r="DD23" s="392">
        <f>IF(DD5&gt;=Assumptions!$C$47,DD12*Assumptions!$C$50,0)</f>
        <v>27140.586996832124</v>
      </c>
      <c r="DE23" s="392">
        <f>IF(DE5&gt;=Assumptions!$C$47,DE12*Assumptions!$C$50,0)</f>
        <v>26265.084190482707</v>
      </c>
      <c r="DF23" s="392">
        <f>IF(DF5&gt;=Assumptions!$C$47,DF12*Assumptions!$C$50,0)</f>
        <v>149273.2284825767</v>
      </c>
      <c r="DG23" s="392" t="e">
        <f>IF(DG5&gt;=Assumptions!$C$47,DG12*Assumptions!$C$50,0)</f>
        <v>#N/A</v>
      </c>
      <c r="DH23" s="392" t="e">
        <f>IF(DH5&gt;=Assumptions!$C$47,DH12*Assumptions!$C$50,0)</f>
        <v>#N/A</v>
      </c>
      <c r="DI23" s="392" t="e">
        <f>IF(DI5&gt;=Assumptions!$C$47,DI12*Assumptions!$C$50,0)</f>
        <v>#N/A</v>
      </c>
      <c r="DJ23" s="392" t="e">
        <f>IF(DJ5&gt;=Assumptions!$C$47,DJ12*Assumptions!$C$50,0)</f>
        <v>#N/A</v>
      </c>
      <c r="DK23" s="392" t="e">
        <f>IF(DK5&gt;=Assumptions!$C$47,DK12*Assumptions!$C$50,0)</f>
        <v>#N/A</v>
      </c>
      <c r="DL23" s="392" t="e">
        <f>IF(DL5&gt;=Assumptions!$C$47,DL12*Assumptions!$C$50,0)</f>
        <v>#N/A</v>
      </c>
      <c r="DM23" s="392" t="e">
        <f>IF(DM5&gt;=Assumptions!$C$47,DM12*Assumptions!$C$50,0)</f>
        <v>#N/A</v>
      </c>
      <c r="DN23" s="392" t="e">
        <f>IF(DN5&gt;=Assumptions!$C$47,DN12*Assumptions!$C$50,0)</f>
        <v>#N/A</v>
      </c>
      <c r="DO23" s="392" t="e">
        <f>IF(DO5&gt;=Assumptions!$C$47,DO12*Assumptions!$C$50,0)</f>
        <v>#N/A</v>
      </c>
      <c r="DP23" s="392" t="e">
        <f>IF(DP5&gt;=Assumptions!$C$47,DP12*Assumptions!$C$50,0)</f>
        <v>#N/A</v>
      </c>
      <c r="DQ23" s="392" t="e">
        <f>IF(DQ5&gt;=Assumptions!$C$47,DQ12*Assumptions!$C$50,0)</f>
        <v>#N/A</v>
      </c>
      <c r="DR23" s="392" t="e">
        <f>IF(DR5&gt;=Assumptions!$C$47,DR12*Assumptions!$C$50,0)</f>
        <v>#N/A</v>
      </c>
      <c r="DS23" s="392"/>
      <c r="DT23" s="392"/>
      <c r="DU23" s="392"/>
      <c r="DV23" s="392"/>
      <c r="DW23" s="392"/>
      <c r="DX23" s="392"/>
      <c r="DY23" s="392"/>
      <c r="DZ23" s="392"/>
      <c r="EA23" s="392"/>
      <c r="EB23" s="392"/>
      <c r="EC23" s="392"/>
      <c r="ED23" s="392"/>
    </row>
    <row r="24" spans="1:134" s="393" customFormat="1" ht="16" x14ac:dyDescent="0.2">
      <c r="A24" s="391"/>
      <c r="B24" s="398" t="s">
        <v>772</v>
      </c>
      <c r="C24" s="395">
        <f>-C23*Assumptions!$C$52</f>
        <v>0</v>
      </c>
      <c r="D24" s="395">
        <f>-D23*Assumptions!$C$52</f>
        <v>0</v>
      </c>
      <c r="E24" s="395">
        <f>-E23*Assumptions!$C$52</f>
        <v>0</v>
      </c>
      <c r="F24" s="395">
        <f>-F23*Assumptions!$C$52</f>
        <v>0</v>
      </c>
      <c r="G24" s="395">
        <f>-G23*Assumptions!$C$52</f>
        <v>0</v>
      </c>
      <c r="H24" s="395">
        <f>-H23*Assumptions!$C$52</f>
        <v>0</v>
      </c>
      <c r="I24" s="395">
        <f>-I23*Assumptions!$C$52</f>
        <v>0</v>
      </c>
      <c r="J24" s="395">
        <f>-J23*Assumptions!$C$52</f>
        <v>0</v>
      </c>
      <c r="K24" s="395">
        <f>-K23*Assumptions!$C$52</f>
        <v>0</v>
      </c>
      <c r="L24" s="395">
        <f>-L23*Assumptions!$C$52</f>
        <v>0</v>
      </c>
      <c r="M24" s="395">
        <f>-M23*Assumptions!$C$52</f>
        <v>0</v>
      </c>
      <c r="N24" s="395">
        <f>-N23*Assumptions!$C$52</f>
        <v>0</v>
      </c>
      <c r="O24" s="395">
        <f>-O23*Assumptions!$C$52</f>
        <v>0</v>
      </c>
      <c r="P24" s="395">
        <f>-P23*Assumptions!$C$52</f>
        <v>0</v>
      </c>
      <c r="Q24" s="395">
        <f>-Q23*Assumptions!$C$52</f>
        <v>0</v>
      </c>
      <c r="R24" s="395">
        <f>-R23*Assumptions!$C$52</f>
        <v>0</v>
      </c>
      <c r="S24" s="395">
        <f>-S23*Assumptions!$C$52</f>
        <v>0</v>
      </c>
      <c r="T24" s="395">
        <f>-T23*Assumptions!$C$52</f>
        <v>0</v>
      </c>
      <c r="U24" s="395">
        <f>-U23*Assumptions!$C$52</f>
        <v>0</v>
      </c>
      <c r="V24" s="395">
        <f>-V23*Assumptions!$C$52</f>
        <v>0</v>
      </c>
      <c r="W24" s="395">
        <f>-W23*Assumptions!$C$52</f>
        <v>0</v>
      </c>
      <c r="X24" s="395">
        <f>-X23*Assumptions!$C$52</f>
        <v>0</v>
      </c>
      <c r="Y24" s="395">
        <f>-Y23*Assumptions!$C$52</f>
        <v>0</v>
      </c>
      <c r="Z24" s="395">
        <f>-Z23*Assumptions!$C$52</f>
        <v>0</v>
      </c>
      <c r="AA24" s="395">
        <f>-AA23*Assumptions!$C$52</f>
        <v>-5335.2395775000005</v>
      </c>
      <c r="AB24" s="395">
        <f>-AB23*Assumptions!$C$52</f>
        <v>-4991.0305725000007</v>
      </c>
      <c r="AC24" s="395">
        <f>-AC23*Assumptions!$C$52</f>
        <v>-4623.8743005000006</v>
      </c>
      <c r="AD24" s="395">
        <f>-AD23*Assumptions!$C$52</f>
        <v>-1721.0450250000004</v>
      </c>
      <c r="AE24" s="395">
        <f>-AE23*Assumptions!$C$52</f>
        <v>-1067.0479155</v>
      </c>
      <c r="AF24" s="395">
        <f>-AF23*Assumptions!$C$52</f>
        <v>-3097.8810450000005</v>
      </c>
      <c r="AG24" s="395">
        <f>-AG23*Assumptions!$C$52</f>
        <v>-4623.8743005000006</v>
      </c>
      <c r="AH24" s="395">
        <f>-AH23*Assumptions!$C$52</f>
        <v>-3912.5090235000007</v>
      </c>
      <c r="AI24" s="395">
        <f>-AI23*Assumptions!$C$52</f>
        <v>-3097.8810450000005</v>
      </c>
      <c r="AJ24" s="395">
        <f>-AJ23*Assumptions!$C$52</f>
        <v>-711.36527700000011</v>
      </c>
      <c r="AK24" s="395">
        <f>-AK23*Assumptions!$C$52</f>
        <v>-688.41801000000021</v>
      </c>
      <c r="AL24" s="395">
        <f>-AL23*Assumptions!$C$52</f>
        <v>-3912.5090235000007</v>
      </c>
      <c r="AM24" s="395">
        <f>-AM23*Assumptions!$C$52</f>
        <v>-21130.724464743755</v>
      </c>
      <c r="AN24" s="395">
        <f>-AN23*Assumptions!$C$52</f>
        <v>-19085.815645575003</v>
      </c>
      <c r="AO24" s="395">
        <f>-AO23*Assumptions!$C$52</f>
        <v>-18313.294536111254</v>
      </c>
      <c r="AP24" s="395">
        <f>-AP23*Assumptions!$C$52</f>
        <v>-6816.3627305625014</v>
      </c>
      <c r="AQ24" s="395">
        <f>-AQ23*Assumptions!$C$52</f>
        <v>-4226.1448929487506</v>
      </c>
      <c r="AR24" s="395">
        <f>-AR23*Assumptions!$C$52</f>
        <v>-12269.452915012502</v>
      </c>
      <c r="AS24" s="395">
        <f>-AS23*Assumptions!$C$52</f>
        <v>-18313.294536111254</v>
      </c>
      <c r="AT24" s="395">
        <f>-AT23*Assumptions!$C$52</f>
        <v>-15495.864607478754</v>
      </c>
      <c r="AU24" s="395">
        <f>-AU23*Assumptions!$C$52</f>
        <v>-12269.452915012502</v>
      </c>
      <c r="AV24" s="395">
        <f>-AV23*Assumptions!$C$52</f>
        <v>-2817.4299286325004</v>
      </c>
      <c r="AW24" s="395">
        <f>-AW23*Assumptions!$C$52</f>
        <v>-2726.5450922250006</v>
      </c>
      <c r="AX24" s="395">
        <f>-AX23*Assumptions!$C$52</f>
        <v>-15495.864607478754</v>
      </c>
      <c r="AY24" s="395">
        <f>-AY23*Assumptions!$C$52</f>
        <v>-30457.028117046757</v>
      </c>
      <c r="AZ24" s="395">
        <f>-AZ23*Assumptions!$C$52</f>
        <v>-27509.573783139007</v>
      </c>
      <c r="BA24" s="395">
        <f>-BA23*Assumptions!$C$52</f>
        <v>-26396.091034773854</v>
      </c>
      <c r="BB24" s="395">
        <f>-BB23*Assumptions!$C$52</f>
        <v>-9824.8477796925035</v>
      </c>
      <c r="BC24" s="395">
        <f>-BC23*Assumptions!$C$52</f>
        <v>-6091.4056234093514</v>
      </c>
      <c r="BD24" s="395">
        <f>-BD23*Assumptions!$C$52</f>
        <v>-17684.726003446507</v>
      </c>
      <c r="BE24" s="395">
        <f>-BE23*Assumptions!$C$52</f>
        <v>-26396.091034773854</v>
      </c>
      <c r="BF24" s="395">
        <f>-BF23*Assumptions!$C$52</f>
        <v>-22335.153952500958</v>
      </c>
      <c r="BG24" s="395">
        <f>-BG23*Assumptions!$C$52</f>
        <v>-17684.726003446507</v>
      </c>
      <c r="BH24" s="395">
        <f>-BH23*Assumptions!$C$52</f>
        <v>-4060.9370822729015</v>
      </c>
      <c r="BI24" s="395">
        <f>-BI23*Assumptions!$C$52</f>
        <v>-3929.9391118770018</v>
      </c>
      <c r="BJ24" s="395">
        <f>-BJ23*Assumptions!$C$52</f>
        <v>-22335.153952500958</v>
      </c>
      <c r="BK24" s="395">
        <f>-BK23*Assumptions!$C$52</f>
        <v>-40323.892336469675</v>
      </c>
      <c r="BL24" s="395">
        <f>-BL23*Assumptions!$C$52</f>
        <v>-36421.580174875839</v>
      </c>
      <c r="BM24" s="395">
        <f>-BM23*Assumptions!$C$52</f>
        <v>-34947.373358273719</v>
      </c>
      <c r="BN24" s="395">
        <f>-BN23*Assumptions!$C$52</f>
        <v>-13007.707205312799</v>
      </c>
      <c r="BO24" s="395">
        <f>-BO23*Assumptions!$C$52</f>
        <v>-8064.7784672939351</v>
      </c>
      <c r="BP24" s="395">
        <f>-BP23*Assumptions!$C$52</f>
        <v>-23413.872969563039</v>
      </c>
      <c r="BQ24" s="395">
        <f>-BQ23*Assumptions!$C$52</f>
        <v>-34947.373358273719</v>
      </c>
      <c r="BR24" s="395">
        <f>-BR23*Assumptions!$C$52</f>
        <v>-29570.854380077766</v>
      </c>
      <c r="BS24" s="395">
        <f>-BS23*Assumptions!$C$52</f>
        <v>-23413.872969563039</v>
      </c>
      <c r="BT24" s="395">
        <f>-BT23*Assumptions!$C$52</f>
        <v>-5376.5189781959571</v>
      </c>
      <c r="BU24" s="395">
        <f>-BU23*Assumptions!$C$52</f>
        <v>-5203.0828821251198</v>
      </c>
      <c r="BV24" s="395">
        <f>-BV23*Assumptions!$C$52</f>
        <v>-29570.854380077766</v>
      </c>
      <c r="BW24" s="395">
        <f>-BW23*Assumptions!$C$52</f>
        <v>-47967.386765067618</v>
      </c>
      <c r="BX24" s="395">
        <f>-BX23*Assumptions!$C$52</f>
        <v>-44872.716651192284</v>
      </c>
      <c r="BY24" s="395">
        <f>-BY23*Assumptions!$C$52</f>
        <v>-41571.735196391943</v>
      </c>
      <c r="BZ24" s="395">
        <f>-BZ23*Assumptions!$C$52</f>
        <v>-15473.350569376653</v>
      </c>
      <c r="CA24" s="395">
        <f>-CA23*Assumptions!$C$52</f>
        <v>-9593.4773530135244</v>
      </c>
      <c r="CB24" s="395">
        <f>-CB23*Assumptions!$C$52</f>
        <v>-27852.031024877979</v>
      </c>
      <c r="CC24" s="395">
        <f>-CC23*Assumptions!$C$52</f>
        <v>-41571.735196391943</v>
      </c>
      <c r="CD24" s="395">
        <f>-CD23*Assumptions!$C$52</f>
        <v>-35176.08362771626</v>
      </c>
      <c r="CE24" s="395">
        <f>-CE23*Assumptions!$C$52</f>
        <v>-27852.031024877979</v>
      </c>
      <c r="CF24" s="395">
        <f>-CF23*Assumptions!$C$52</f>
        <v>-6395.6515686756829</v>
      </c>
      <c r="CG24" s="395">
        <f>-CG23*Assumptions!$C$52</f>
        <v>-6189.3402277506611</v>
      </c>
      <c r="CH24" s="395">
        <f>-CH23*Assumptions!$C$52</f>
        <v>-35176.08362771626</v>
      </c>
      <c r="CI24" s="395">
        <f>-CI23*Assumptions!$C$52</f>
        <v>-49406.408368019649</v>
      </c>
      <c r="CJ24" s="395">
        <f>-CJ23*Assumptions!$C$52</f>
        <v>-44625.143042082258</v>
      </c>
      <c r="CK24" s="395">
        <f>-CK23*Assumptions!$C$52</f>
        <v>-42818.887252283697</v>
      </c>
      <c r="CL24" s="395">
        <f>-CL23*Assumptions!$C$52</f>
        <v>-15937.55108645795</v>
      </c>
      <c r="CM24" s="395">
        <f>-CM23*Assumptions!$C$52</f>
        <v>-9881.2816736039313</v>
      </c>
      <c r="CN24" s="395">
        <f>-CN23*Assumptions!$C$52</f>
        <v>-28687.591955624313</v>
      </c>
      <c r="CO24" s="395">
        <f>-CO23*Assumptions!$C$52</f>
        <v>-42818.887252283697</v>
      </c>
      <c r="CP24" s="395">
        <f>-CP23*Assumptions!$C$52</f>
        <v>-36231.366136547753</v>
      </c>
      <c r="CQ24" s="395">
        <f>-CQ23*Assumptions!$C$52</f>
        <v>-28687.591955624313</v>
      </c>
      <c r="CR24" s="395">
        <f>-CR23*Assumptions!$C$52</f>
        <v>-6587.5211157359536</v>
      </c>
      <c r="CS24" s="395">
        <f>-CS23*Assumptions!$C$52</f>
        <v>-6375.0204345831808</v>
      </c>
      <c r="CT24" s="395">
        <f>-CT23*Assumptions!$C$52</f>
        <v>-36231.366136547753</v>
      </c>
      <c r="CU24" s="395">
        <f>-CU23*Assumptions!$C$52</f>
        <v>-50888.600619060235</v>
      </c>
      <c r="CV24" s="395">
        <f>-CV23*Assumptions!$C$52</f>
        <v>-45963.897333344728</v>
      </c>
      <c r="CW24" s="395">
        <f>-CW23*Assumptions!$C$52</f>
        <v>-44103.453869852208</v>
      </c>
      <c r="CX24" s="395">
        <f>-CX23*Assumptions!$C$52</f>
        <v>-16415.67761905169</v>
      </c>
      <c r="CY24" s="395">
        <f>-CY23*Assumptions!$C$52</f>
        <v>-10177.720123812047</v>
      </c>
      <c r="CZ24" s="395">
        <f>-CZ23*Assumptions!$C$52</f>
        <v>-29548.219714293042</v>
      </c>
      <c r="DA24" s="395">
        <f>-DA23*Assumptions!$C$52</f>
        <v>-44103.453869852208</v>
      </c>
      <c r="DB24" s="395">
        <f>-DB23*Assumptions!$C$52</f>
        <v>-37318.307120644175</v>
      </c>
      <c r="DC24" s="395">
        <f>-DC23*Assumptions!$C$52</f>
        <v>-29548.219714293042</v>
      </c>
      <c r="DD24" s="395">
        <f>-DD23*Assumptions!$C$52</f>
        <v>-6785.146749208031</v>
      </c>
      <c r="DE24" s="395">
        <f>-DE23*Assumptions!$C$52</f>
        <v>-6566.2710476206767</v>
      </c>
      <c r="DF24" s="395">
        <f>-DF23*Assumptions!$C$52</f>
        <v>-37318.307120644175</v>
      </c>
      <c r="DG24" s="395" t="e">
        <f>-DG23*Assumptions!$C$52</f>
        <v>#N/A</v>
      </c>
      <c r="DH24" s="395" t="e">
        <f>-DH23*Assumptions!$C$52</f>
        <v>#N/A</v>
      </c>
      <c r="DI24" s="395" t="e">
        <f>-DI23*Assumptions!$C$52</f>
        <v>#N/A</v>
      </c>
      <c r="DJ24" s="395" t="e">
        <f>-DJ23*Assumptions!$C$52</f>
        <v>#N/A</v>
      </c>
      <c r="DK24" s="395" t="e">
        <f>-DK23*Assumptions!$C$52</f>
        <v>#N/A</v>
      </c>
      <c r="DL24" s="395" t="e">
        <f>-DL23*Assumptions!$C$52</f>
        <v>#N/A</v>
      </c>
      <c r="DM24" s="395" t="e">
        <f>-DM23*Assumptions!$C$52</f>
        <v>#N/A</v>
      </c>
      <c r="DN24" s="395" t="e">
        <f>-DN23*Assumptions!$C$52</f>
        <v>#N/A</v>
      </c>
      <c r="DO24" s="395" t="e">
        <f>-DO23*Assumptions!$C$52</f>
        <v>#N/A</v>
      </c>
      <c r="DP24" s="395" t="e">
        <f>-DP23*Assumptions!$C$52</f>
        <v>#N/A</v>
      </c>
      <c r="DQ24" s="395" t="e">
        <f>-DQ23*Assumptions!$C$52</f>
        <v>#N/A</v>
      </c>
      <c r="DR24" s="395" t="e">
        <f>-DR23*Assumptions!$C$52</f>
        <v>#N/A</v>
      </c>
      <c r="DS24" s="392"/>
      <c r="DT24" s="392"/>
      <c r="DU24" s="392"/>
      <c r="DV24" s="392"/>
      <c r="DW24" s="392"/>
      <c r="DX24" s="392"/>
      <c r="DY24" s="392"/>
      <c r="DZ24" s="392"/>
      <c r="EA24" s="392"/>
      <c r="EB24" s="392"/>
      <c r="EC24" s="392"/>
      <c r="ED24" s="392"/>
    </row>
    <row r="25" spans="1:134" s="393" customFormat="1" ht="16" x14ac:dyDescent="0.2">
      <c r="A25" s="391"/>
      <c r="B25" s="397" t="s">
        <v>773</v>
      </c>
      <c r="C25" s="394">
        <f t="shared" ref="C25:AH25" si="24">C23+C24</f>
        <v>0</v>
      </c>
      <c r="D25" s="394">
        <f t="shared" si="24"/>
        <v>0</v>
      </c>
      <c r="E25" s="394">
        <f t="shared" si="24"/>
        <v>0</v>
      </c>
      <c r="F25" s="394">
        <f t="shared" si="24"/>
        <v>0</v>
      </c>
      <c r="G25" s="394">
        <f t="shared" si="24"/>
        <v>0</v>
      </c>
      <c r="H25" s="394">
        <f t="shared" si="24"/>
        <v>0</v>
      </c>
      <c r="I25" s="394">
        <f t="shared" si="24"/>
        <v>0</v>
      </c>
      <c r="J25" s="394">
        <f t="shared" si="24"/>
        <v>0</v>
      </c>
      <c r="K25" s="394">
        <f t="shared" si="24"/>
        <v>0</v>
      </c>
      <c r="L25" s="394">
        <f t="shared" si="24"/>
        <v>0</v>
      </c>
      <c r="M25" s="394">
        <f t="shared" si="24"/>
        <v>0</v>
      </c>
      <c r="N25" s="394">
        <f t="shared" si="24"/>
        <v>0</v>
      </c>
      <c r="O25" s="394">
        <f t="shared" si="24"/>
        <v>0</v>
      </c>
      <c r="P25" s="394">
        <f t="shared" si="24"/>
        <v>0</v>
      </c>
      <c r="Q25" s="394">
        <f t="shared" si="24"/>
        <v>0</v>
      </c>
      <c r="R25" s="394">
        <f t="shared" si="24"/>
        <v>0</v>
      </c>
      <c r="S25" s="394">
        <f t="shared" si="24"/>
        <v>0</v>
      </c>
      <c r="T25" s="394">
        <f t="shared" si="24"/>
        <v>0</v>
      </c>
      <c r="U25" s="394">
        <f t="shared" si="24"/>
        <v>0</v>
      </c>
      <c r="V25" s="394">
        <f t="shared" si="24"/>
        <v>0</v>
      </c>
      <c r="W25" s="394">
        <f t="shared" si="24"/>
        <v>0</v>
      </c>
      <c r="X25" s="394">
        <f t="shared" si="24"/>
        <v>0</v>
      </c>
      <c r="Y25" s="394">
        <f t="shared" si="24"/>
        <v>0</v>
      </c>
      <c r="Z25" s="394">
        <f t="shared" si="24"/>
        <v>0</v>
      </c>
      <c r="AA25" s="394">
        <f t="shared" si="24"/>
        <v>16005.718732500001</v>
      </c>
      <c r="AB25" s="394">
        <f t="shared" si="24"/>
        <v>14973.091717500003</v>
      </c>
      <c r="AC25" s="394">
        <f t="shared" si="24"/>
        <v>13871.622901500003</v>
      </c>
      <c r="AD25" s="394">
        <f t="shared" si="24"/>
        <v>5163.1350750000011</v>
      </c>
      <c r="AE25" s="394">
        <f t="shared" si="24"/>
        <v>3201.1437464999999</v>
      </c>
      <c r="AF25" s="394">
        <f t="shared" si="24"/>
        <v>9293.6431350000021</v>
      </c>
      <c r="AG25" s="394">
        <f t="shared" si="24"/>
        <v>13871.622901500003</v>
      </c>
      <c r="AH25" s="394">
        <f t="shared" si="24"/>
        <v>11737.527070500002</v>
      </c>
      <c r="AI25" s="394">
        <f t="shared" ref="AI25:BN25" si="25">AI23+AI24</f>
        <v>9293.6431350000021</v>
      </c>
      <c r="AJ25" s="394">
        <f t="shared" si="25"/>
        <v>2134.0958310000005</v>
      </c>
      <c r="AK25" s="394">
        <f t="shared" si="25"/>
        <v>2065.2540300000005</v>
      </c>
      <c r="AL25" s="394">
        <f t="shared" si="25"/>
        <v>11737.527070500002</v>
      </c>
      <c r="AM25" s="394">
        <f t="shared" si="25"/>
        <v>63392.173394231264</v>
      </c>
      <c r="AN25" s="394">
        <f t="shared" si="25"/>
        <v>57257.446936725013</v>
      </c>
      <c r="AO25" s="394">
        <f t="shared" si="25"/>
        <v>54939.883608333766</v>
      </c>
      <c r="AP25" s="394">
        <f t="shared" si="25"/>
        <v>20449.088191687504</v>
      </c>
      <c r="AQ25" s="394">
        <f t="shared" si="25"/>
        <v>12678.434678846252</v>
      </c>
      <c r="AR25" s="394">
        <f t="shared" si="25"/>
        <v>36808.358745037505</v>
      </c>
      <c r="AS25" s="394">
        <f t="shared" si="25"/>
        <v>54939.883608333766</v>
      </c>
      <c r="AT25" s="394">
        <f t="shared" si="25"/>
        <v>46487.593822436262</v>
      </c>
      <c r="AU25" s="394">
        <f t="shared" si="25"/>
        <v>36808.358745037505</v>
      </c>
      <c r="AV25" s="394">
        <f t="shared" si="25"/>
        <v>8452.2897858975011</v>
      </c>
      <c r="AW25" s="394">
        <f t="shared" si="25"/>
        <v>8179.6352766750024</v>
      </c>
      <c r="AX25" s="394">
        <f t="shared" si="25"/>
        <v>46487.593822436262</v>
      </c>
      <c r="AY25" s="394">
        <f t="shared" si="25"/>
        <v>91371.084351140278</v>
      </c>
      <c r="AZ25" s="394">
        <f t="shared" si="25"/>
        <v>82528.721349417028</v>
      </c>
      <c r="BA25" s="394">
        <f t="shared" si="25"/>
        <v>79188.273104321561</v>
      </c>
      <c r="BB25" s="394">
        <f t="shared" si="25"/>
        <v>29474.543339077511</v>
      </c>
      <c r="BC25" s="394">
        <f t="shared" si="25"/>
        <v>18274.216870228054</v>
      </c>
      <c r="BD25" s="394">
        <f t="shared" si="25"/>
        <v>53054.178010339521</v>
      </c>
      <c r="BE25" s="394">
        <f t="shared" si="25"/>
        <v>79188.273104321561</v>
      </c>
      <c r="BF25" s="394">
        <f t="shared" si="25"/>
        <v>67005.461857502873</v>
      </c>
      <c r="BG25" s="394">
        <f t="shared" si="25"/>
        <v>53054.178010339521</v>
      </c>
      <c r="BH25" s="394">
        <f t="shared" si="25"/>
        <v>12182.811246818705</v>
      </c>
      <c r="BI25" s="394">
        <f t="shared" si="25"/>
        <v>11789.817335631005</v>
      </c>
      <c r="BJ25" s="394">
        <f t="shared" si="25"/>
        <v>67005.461857502873</v>
      </c>
      <c r="BK25" s="394">
        <f t="shared" si="25"/>
        <v>120971.67700940903</v>
      </c>
      <c r="BL25" s="394">
        <f t="shared" si="25"/>
        <v>109264.74052462752</v>
      </c>
      <c r="BM25" s="394">
        <f t="shared" si="25"/>
        <v>104842.12007482116</v>
      </c>
      <c r="BN25" s="394">
        <f t="shared" si="25"/>
        <v>39023.121615938398</v>
      </c>
      <c r="BO25" s="394">
        <f t="shared" ref="BO25:CT25" si="26">BO23+BO24</f>
        <v>24194.335401881806</v>
      </c>
      <c r="BP25" s="394">
        <f t="shared" si="26"/>
        <v>70241.618908689125</v>
      </c>
      <c r="BQ25" s="394">
        <f t="shared" si="26"/>
        <v>104842.12007482116</v>
      </c>
      <c r="BR25" s="394">
        <f t="shared" si="26"/>
        <v>88712.563140233295</v>
      </c>
      <c r="BS25" s="394">
        <f t="shared" si="26"/>
        <v>70241.618908689125</v>
      </c>
      <c r="BT25" s="394">
        <f t="shared" si="26"/>
        <v>16129.556934587872</v>
      </c>
      <c r="BU25" s="394">
        <f t="shared" si="26"/>
        <v>15609.248646375359</v>
      </c>
      <c r="BV25" s="394">
        <f t="shared" si="26"/>
        <v>88712.563140233295</v>
      </c>
      <c r="BW25" s="394">
        <f t="shared" si="26"/>
        <v>143902.16029520286</v>
      </c>
      <c r="BX25" s="394">
        <f t="shared" si="26"/>
        <v>134618.14995357685</v>
      </c>
      <c r="BY25" s="394">
        <f t="shared" si="26"/>
        <v>124715.20558917584</v>
      </c>
      <c r="BZ25" s="394">
        <f t="shared" si="26"/>
        <v>46420.051708129962</v>
      </c>
      <c r="CA25" s="394">
        <f t="shared" si="26"/>
        <v>28780.432059040573</v>
      </c>
      <c r="CB25" s="394">
        <f t="shared" si="26"/>
        <v>83556.093074633944</v>
      </c>
      <c r="CC25" s="394">
        <f t="shared" si="26"/>
        <v>124715.20558917584</v>
      </c>
      <c r="CD25" s="394">
        <f t="shared" si="26"/>
        <v>105528.25088314878</v>
      </c>
      <c r="CE25" s="394">
        <f t="shared" si="26"/>
        <v>83556.093074633944</v>
      </c>
      <c r="CF25" s="394">
        <f t="shared" si="26"/>
        <v>19186.954706027049</v>
      </c>
      <c r="CG25" s="394">
        <f t="shared" si="26"/>
        <v>18568.020683251983</v>
      </c>
      <c r="CH25" s="394">
        <f t="shared" si="26"/>
        <v>105528.25088314878</v>
      </c>
      <c r="CI25" s="394">
        <f t="shared" si="26"/>
        <v>148219.22510405895</v>
      </c>
      <c r="CJ25" s="394">
        <f t="shared" si="26"/>
        <v>133875.42912624677</v>
      </c>
      <c r="CK25" s="394">
        <f t="shared" si="26"/>
        <v>128456.6617568511</v>
      </c>
      <c r="CL25" s="394">
        <f t="shared" si="26"/>
        <v>47812.653259373852</v>
      </c>
      <c r="CM25" s="394">
        <f t="shared" si="26"/>
        <v>29643.845020811794</v>
      </c>
      <c r="CN25" s="394">
        <f t="shared" si="26"/>
        <v>86062.775866872937</v>
      </c>
      <c r="CO25" s="394">
        <f t="shared" si="26"/>
        <v>128456.6617568511</v>
      </c>
      <c r="CP25" s="394">
        <f t="shared" si="26"/>
        <v>108694.09840964325</v>
      </c>
      <c r="CQ25" s="394">
        <f t="shared" si="26"/>
        <v>86062.775866872937</v>
      </c>
      <c r="CR25" s="394">
        <f t="shared" si="26"/>
        <v>19762.563347207863</v>
      </c>
      <c r="CS25" s="394">
        <f t="shared" si="26"/>
        <v>19125.061303749542</v>
      </c>
      <c r="CT25" s="394">
        <f t="shared" si="26"/>
        <v>108694.09840964325</v>
      </c>
      <c r="CU25" s="394">
        <f t="shared" ref="CU25:DR25" si="27">CU23+CU24</f>
        <v>152665.80185718072</v>
      </c>
      <c r="CV25" s="394">
        <f t="shared" si="27"/>
        <v>137891.69200003418</v>
      </c>
      <c r="CW25" s="394">
        <f t="shared" si="27"/>
        <v>132310.36160955662</v>
      </c>
      <c r="CX25" s="394">
        <f t="shared" si="27"/>
        <v>49247.032857155071</v>
      </c>
      <c r="CY25" s="394">
        <f t="shared" si="27"/>
        <v>30533.160371436141</v>
      </c>
      <c r="CZ25" s="394">
        <f t="shared" si="27"/>
        <v>88644.659142879129</v>
      </c>
      <c r="DA25" s="394">
        <f t="shared" si="27"/>
        <v>132310.36160955662</v>
      </c>
      <c r="DB25" s="394">
        <f t="shared" si="27"/>
        <v>111954.92136193253</v>
      </c>
      <c r="DC25" s="394">
        <f t="shared" si="27"/>
        <v>88644.659142879129</v>
      </c>
      <c r="DD25" s="394">
        <f t="shared" si="27"/>
        <v>20355.440247624094</v>
      </c>
      <c r="DE25" s="394">
        <f t="shared" si="27"/>
        <v>19698.813142862029</v>
      </c>
      <c r="DF25" s="394">
        <f t="shared" si="27"/>
        <v>111954.92136193253</v>
      </c>
      <c r="DG25" s="394" t="e">
        <f t="shared" si="27"/>
        <v>#N/A</v>
      </c>
      <c r="DH25" s="394" t="e">
        <f t="shared" si="27"/>
        <v>#N/A</v>
      </c>
      <c r="DI25" s="394" t="e">
        <f t="shared" si="27"/>
        <v>#N/A</v>
      </c>
      <c r="DJ25" s="394" t="e">
        <f t="shared" si="27"/>
        <v>#N/A</v>
      </c>
      <c r="DK25" s="394" t="e">
        <f t="shared" si="27"/>
        <v>#N/A</v>
      </c>
      <c r="DL25" s="394" t="e">
        <f t="shared" si="27"/>
        <v>#N/A</v>
      </c>
      <c r="DM25" s="394" t="e">
        <f t="shared" si="27"/>
        <v>#N/A</v>
      </c>
      <c r="DN25" s="394" t="e">
        <f t="shared" si="27"/>
        <v>#N/A</v>
      </c>
      <c r="DO25" s="394" t="e">
        <f t="shared" si="27"/>
        <v>#N/A</v>
      </c>
      <c r="DP25" s="394" t="e">
        <f t="shared" si="27"/>
        <v>#N/A</v>
      </c>
      <c r="DQ25" s="394" t="e">
        <f t="shared" si="27"/>
        <v>#N/A</v>
      </c>
      <c r="DR25" s="394" t="e">
        <f t="shared" si="27"/>
        <v>#N/A</v>
      </c>
      <c r="DS25" s="394"/>
      <c r="DT25" s="394"/>
      <c r="DU25" s="394"/>
      <c r="DV25" s="394"/>
      <c r="DW25" s="394"/>
      <c r="DX25" s="394"/>
      <c r="DY25" s="394"/>
      <c r="DZ25" s="394"/>
      <c r="EA25" s="394"/>
      <c r="EB25" s="394"/>
      <c r="EC25" s="394"/>
      <c r="ED25" s="394"/>
    </row>
    <row r="26" spans="1:134" s="154" customFormat="1" ht="16" x14ac:dyDescent="0.2">
      <c r="A26" s="304"/>
      <c r="B26" s="281"/>
    </row>
    <row r="27" spans="1:134" s="393" customFormat="1" ht="16" x14ac:dyDescent="0.2">
      <c r="A27" s="391"/>
      <c r="B27" s="281" t="s">
        <v>774</v>
      </c>
      <c r="C27" s="392">
        <f>IF(C5&gt;=Assumptions!$C$55,Assumptions!$C$65/Assumptions!$C$66*(_xlfn.XLOOKUP(C$6,Assumptions!$E$45:$O$45,Assumptions!$E$46:$O$46)),0)</f>
        <v>0</v>
      </c>
      <c r="D27" s="392">
        <f>IF(D5&gt;=Assumptions!$C$55,Assumptions!$C$65/Assumptions!$C$66*(_xlfn.XLOOKUP(D$6,Assumptions!$E$45:$O$45,Assumptions!$E$46:$O$46)),0)</f>
        <v>0</v>
      </c>
      <c r="E27" s="392">
        <f>IF(E5&gt;=Assumptions!$C$55,Assumptions!$C$65/Assumptions!$C$66*(_xlfn.XLOOKUP(E$6,Assumptions!$E$45:$O$45,Assumptions!$E$46:$O$46)),0)</f>
        <v>0</v>
      </c>
      <c r="F27" s="392">
        <f>IF(F5&gt;=Assumptions!$C$55,Assumptions!$C$65/Assumptions!$C$66*(_xlfn.XLOOKUP(F$6,Assumptions!$E$45:$O$45,Assumptions!$E$46:$O$46)),0)</f>
        <v>0</v>
      </c>
      <c r="G27" s="392">
        <f>IF(G5&gt;=Assumptions!$C$55,Assumptions!$C$65/Assumptions!$C$66*(_xlfn.XLOOKUP(G$6,Assumptions!$E$45:$O$45,Assumptions!$E$46:$O$46)),0)</f>
        <v>0</v>
      </c>
      <c r="H27" s="392">
        <f>IF(H5&gt;=Assumptions!$C$55,Assumptions!$C$65/Assumptions!$C$66*(_xlfn.XLOOKUP(H$6,Assumptions!$E$45:$O$45,Assumptions!$E$46:$O$46)),0)</f>
        <v>0</v>
      </c>
      <c r="I27" s="392">
        <f>IF(I5&gt;=Assumptions!$C$55,Assumptions!$C$65/Assumptions!$C$66*(_xlfn.XLOOKUP(I$6,Assumptions!$E$45:$O$45,Assumptions!$E$46:$O$46)),0)</f>
        <v>0</v>
      </c>
      <c r="J27" s="392">
        <f>IF(J5&gt;=Assumptions!$C$55,Assumptions!$C$65/Assumptions!$C$66*(_xlfn.XLOOKUP(J$6,Assumptions!$E$45:$O$45,Assumptions!$E$46:$O$46)),0)</f>
        <v>0</v>
      </c>
      <c r="K27" s="392">
        <f>IF(K5&gt;=Assumptions!$C$55,Assumptions!$C$65/Assumptions!$C$66*(_xlfn.XLOOKUP(K$6,Assumptions!$E$45:$O$45,Assumptions!$E$46:$O$46)),0)</f>
        <v>0</v>
      </c>
      <c r="L27" s="392">
        <f>IF(L5&gt;=Assumptions!$C$55,Assumptions!$C$65/Assumptions!$C$66*(_xlfn.XLOOKUP(L$6,Assumptions!$E$45:$O$45,Assumptions!$E$46:$O$46)),0)</f>
        <v>0</v>
      </c>
      <c r="M27" s="392">
        <f>IF(M5&gt;=Assumptions!$C$55,Assumptions!$C$65/Assumptions!$C$66*(_xlfn.XLOOKUP(M$6,Assumptions!$E$45:$O$45,Assumptions!$E$46:$O$46)),0)</f>
        <v>0</v>
      </c>
      <c r="N27" s="392">
        <f>IF(N5&gt;=Assumptions!$C$55,Assumptions!$C$65/Assumptions!$C$66*(_xlfn.XLOOKUP(N$6,Assumptions!$E$45:$O$45,Assumptions!$E$46:$O$46)),0)</f>
        <v>0</v>
      </c>
      <c r="O27" s="392">
        <f>IF(O5&gt;=Assumptions!$C$55,Assumptions!$C$65/Assumptions!$C$66*(_xlfn.XLOOKUP(O$6,Assumptions!$E$45:$O$45,Assumptions!$E$46:$O$46)),0)</f>
        <v>0</v>
      </c>
      <c r="P27" s="392">
        <f>IF(P5&gt;=Assumptions!$C$55,Assumptions!$C$65/Assumptions!$C$66*(_xlfn.XLOOKUP(P$6,Assumptions!$E$45:$O$45,Assumptions!$E$46:$O$46)),0)</f>
        <v>0</v>
      </c>
      <c r="Q27" s="392">
        <f>IF(Q5&gt;=Assumptions!$C$55,Assumptions!$C$65/Assumptions!$C$66*(_xlfn.XLOOKUP(Q$6,Assumptions!$E$45:$O$45,Assumptions!$E$46:$O$46)),0)</f>
        <v>0</v>
      </c>
      <c r="R27" s="392">
        <f>IF(R5&gt;=Assumptions!$C$55,Assumptions!$C$65/Assumptions!$C$66*(_xlfn.XLOOKUP(R$6,Assumptions!$E$45:$O$45,Assumptions!$E$46:$O$46)),0)</f>
        <v>0</v>
      </c>
      <c r="S27" s="392">
        <f>IF(S5&gt;=Assumptions!$C$55,Assumptions!$C$65/Assumptions!$C$66*(_xlfn.XLOOKUP(S$6,Assumptions!$E$45:$O$45,Assumptions!$E$46:$O$46)),0)</f>
        <v>0</v>
      </c>
      <c r="T27" s="392">
        <f>IF(T5&gt;=Assumptions!$C$55,Assumptions!$C$65/Assumptions!$C$66*(_xlfn.XLOOKUP(T$6,Assumptions!$E$45:$O$45,Assumptions!$E$46:$O$46)),0)</f>
        <v>0</v>
      </c>
      <c r="U27" s="392">
        <f>IF(U5&gt;=Assumptions!$C$55,Assumptions!$C$65/Assumptions!$C$66*(_xlfn.XLOOKUP(U$6,Assumptions!$E$45:$O$45,Assumptions!$E$46:$O$46)),0)</f>
        <v>0</v>
      </c>
      <c r="V27" s="392">
        <f>IF(V5&gt;=Assumptions!$C$55,Assumptions!$C$65/Assumptions!$C$66*(_xlfn.XLOOKUP(V$6,Assumptions!$E$45:$O$45,Assumptions!$E$46:$O$46)),0)</f>
        <v>0</v>
      </c>
      <c r="W27" s="392">
        <f>IF(W5&gt;=Assumptions!$C$55,Assumptions!$C$65/Assumptions!$C$66*(_xlfn.XLOOKUP(W$6,Assumptions!$E$45:$O$45,Assumptions!$E$46:$O$46)),0)</f>
        <v>0</v>
      </c>
      <c r="X27" s="392">
        <f>IF(X5&gt;=Assumptions!$C$55,Assumptions!$C$65/Assumptions!$C$66*(_xlfn.XLOOKUP(X$6,Assumptions!$E$45:$O$45,Assumptions!$E$46:$O$46)),0)</f>
        <v>0</v>
      </c>
      <c r="Y27" s="392">
        <f>IF(Y5&gt;=Assumptions!$C$55,Assumptions!$C$65/Assumptions!$C$66*(_xlfn.XLOOKUP(Y$6,Assumptions!$E$45:$O$45,Assumptions!$E$46:$O$46)),0)</f>
        <v>0</v>
      </c>
      <c r="Z27" s="392">
        <f>IF(Z5&gt;=Assumptions!$C$55,Assumptions!$C$65/Assumptions!$C$66*(_xlfn.XLOOKUP(Z$6,Assumptions!$E$45:$O$45,Assumptions!$E$46:$O$46)),0)</f>
        <v>0</v>
      </c>
      <c r="AA27" s="392">
        <f ca="1">IF(AA5&gt;=Assumptions!$C$55,Assumptions!$C$65/Assumptions!$C$66*(_xlfn.XLOOKUP(AA$6,Assumptions!$E$45:$O$45,Assumptions!$E$46:$O$46)),0)</f>
        <v>236757.51666666663</v>
      </c>
      <c r="AB27" s="392">
        <f ca="1">IF(AB5&gt;=Assumptions!$C$55,Assumptions!$C$65/Assumptions!$C$66*(_xlfn.XLOOKUP(AB$6,Assumptions!$E$45:$O$45,Assumptions!$E$46:$O$46)),0)</f>
        <v>236757.51666666663</v>
      </c>
      <c r="AC27" s="392">
        <f ca="1">IF(AC5&gt;=Assumptions!$C$55,Assumptions!$C$65/Assumptions!$C$66*(_xlfn.XLOOKUP(AC$6,Assumptions!$E$45:$O$45,Assumptions!$E$46:$O$46)),0)</f>
        <v>236757.51666666663</v>
      </c>
      <c r="AD27" s="392">
        <f ca="1">IF(AD5&gt;=Assumptions!$C$55,Assumptions!$C$65/Assumptions!$C$66*(_xlfn.XLOOKUP(AD$6,Assumptions!$E$45:$O$45,Assumptions!$E$46:$O$46)),0)</f>
        <v>236757.51666666663</v>
      </c>
      <c r="AE27" s="392">
        <f ca="1">IF(AE5&gt;=Assumptions!$C$55,Assumptions!$C$65/Assumptions!$C$66*(_xlfn.XLOOKUP(AE$6,Assumptions!$E$45:$O$45,Assumptions!$E$46:$O$46)),0)</f>
        <v>236757.51666666663</v>
      </c>
      <c r="AF27" s="392">
        <f ca="1">IF(AF5&gt;=Assumptions!$C$55,Assumptions!$C$65/Assumptions!$C$66*(_xlfn.XLOOKUP(AF$6,Assumptions!$E$45:$O$45,Assumptions!$E$46:$O$46)),0)</f>
        <v>236757.51666666663</v>
      </c>
      <c r="AG27" s="392">
        <f ca="1">IF(AG5&gt;=Assumptions!$C$55,Assumptions!$C$65/Assumptions!$C$66*(_xlfn.XLOOKUP(AG$6,Assumptions!$E$45:$O$45,Assumptions!$E$46:$O$46)),0)</f>
        <v>236757.51666666663</v>
      </c>
      <c r="AH27" s="392">
        <f ca="1">IF(AH5&gt;=Assumptions!$C$55,Assumptions!$C$65/Assumptions!$C$66*(_xlfn.XLOOKUP(AH$6,Assumptions!$E$45:$O$45,Assumptions!$E$46:$O$46)),0)</f>
        <v>236757.51666666663</v>
      </c>
      <c r="AI27" s="392">
        <f ca="1">IF(AI5&gt;=Assumptions!$C$55,Assumptions!$C$65/Assumptions!$C$66*(_xlfn.XLOOKUP(AI$6,Assumptions!$E$45:$O$45,Assumptions!$E$46:$O$46)),0)</f>
        <v>236757.51666666663</v>
      </c>
      <c r="AJ27" s="392">
        <f ca="1">IF(AJ5&gt;=Assumptions!$C$55,Assumptions!$C$65/Assumptions!$C$66*(_xlfn.XLOOKUP(AJ$6,Assumptions!$E$45:$O$45,Assumptions!$E$46:$O$46)),0)</f>
        <v>236757.51666666663</v>
      </c>
      <c r="AK27" s="392">
        <f ca="1">IF(AK5&gt;=Assumptions!$C$55,Assumptions!$C$65/Assumptions!$C$66*(_xlfn.XLOOKUP(AK$6,Assumptions!$E$45:$O$45,Assumptions!$E$46:$O$46)),0)</f>
        <v>236757.51666666663</v>
      </c>
      <c r="AL27" s="392">
        <f ca="1">IF(AL5&gt;=Assumptions!$C$55,Assumptions!$C$65/Assumptions!$C$66*(_xlfn.XLOOKUP(AL$6,Assumptions!$E$45:$O$45,Assumptions!$E$46:$O$46)),0)</f>
        <v>236757.51666666663</v>
      </c>
      <c r="AM27" s="392">
        <f ca="1">IF(AM5&gt;=Assumptions!$C$55,Assumptions!$C$65/Assumptions!$C$66*(_xlfn.XLOOKUP(AM$6,Assumptions!$E$45:$O$45,Assumptions!$E$46:$O$46)),0)</f>
        <v>243860.24216666663</v>
      </c>
      <c r="AN27" s="392">
        <f ca="1">IF(AN5&gt;=Assumptions!$C$55,Assumptions!$C$65/Assumptions!$C$66*(_xlfn.XLOOKUP(AN$6,Assumptions!$E$45:$O$45,Assumptions!$E$46:$O$46)),0)</f>
        <v>243860.24216666663</v>
      </c>
      <c r="AO27" s="392">
        <f ca="1">IF(AO5&gt;=Assumptions!$C$55,Assumptions!$C$65/Assumptions!$C$66*(_xlfn.XLOOKUP(AO$6,Assumptions!$E$45:$O$45,Assumptions!$E$46:$O$46)),0)</f>
        <v>243860.24216666663</v>
      </c>
      <c r="AP27" s="392">
        <f ca="1">IF(AP5&gt;=Assumptions!$C$55,Assumptions!$C$65/Assumptions!$C$66*(_xlfn.XLOOKUP(AP$6,Assumptions!$E$45:$O$45,Assumptions!$E$46:$O$46)),0)</f>
        <v>243860.24216666663</v>
      </c>
      <c r="AQ27" s="392">
        <f ca="1">IF(AQ5&gt;=Assumptions!$C$55,Assumptions!$C$65/Assumptions!$C$66*(_xlfn.XLOOKUP(AQ$6,Assumptions!$E$45:$O$45,Assumptions!$E$46:$O$46)),0)</f>
        <v>243860.24216666663</v>
      </c>
      <c r="AR27" s="392">
        <f ca="1">IF(AR5&gt;=Assumptions!$C$55,Assumptions!$C$65/Assumptions!$C$66*(_xlfn.XLOOKUP(AR$6,Assumptions!$E$45:$O$45,Assumptions!$E$46:$O$46)),0)</f>
        <v>243860.24216666663</v>
      </c>
      <c r="AS27" s="392">
        <f ca="1">IF(AS5&gt;=Assumptions!$C$55,Assumptions!$C$65/Assumptions!$C$66*(_xlfn.XLOOKUP(AS$6,Assumptions!$E$45:$O$45,Assumptions!$E$46:$O$46)),0)</f>
        <v>243860.24216666663</v>
      </c>
      <c r="AT27" s="392">
        <f ca="1">IF(AT5&gt;=Assumptions!$C$55,Assumptions!$C$65/Assumptions!$C$66*(_xlfn.XLOOKUP(AT$6,Assumptions!$E$45:$O$45,Assumptions!$E$46:$O$46)),0)</f>
        <v>243860.24216666663</v>
      </c>
      <c r="AU27" s="392">
        <f ca="1">IF(AU5&gt;=Assumptions!$C$55,Assumptions!$C$65/Assumptions!$C$66*(_xlfn.XLOOKUP(AU$6,Assumptions!$E$45:$O$45,Assumptions!$E$46:$O$46)),0)</f>
        <v>243860.24216666663</v>
      </c>
      <c r="AV27" s="392">
        <f ca="1">IF(AV5&gt;=Assumptions!$C$55,Assumptions!$C$65/Assumptions!$C$66*(_xlfn.XLOOKUP(AV$6,Assumptions!$E$45:$O$45,Assumptions!$E$46:$O$46)),0)</f>
        <v>243860.24216666663</v>
      </c>
      <c r="AW27" s="392">
        <f ca="1">IF(AW5&gt;=Assumptions!$C$55,Assumptions!$C$65/Assumptions!$C$66*(_xlfn.XLOOKUP(AW$6,Assumptions!$E$45:$O$45,Assumptions!$E$46:$O$46)),0)</f>
        <v>243860.24216666663</v>
      </c>
      <c r="AX27" s="392">
        <f ca="1">IF(AX5&gt;=Assumptions!$C$55,Assumptions!$C$65/Assumptions!$C$66*(_xlfn.XLOOKUP(AX$6,Assumptions!$E$45:$O$45,Assumptions!$E$46:$O$46)),0)</f>
        <v>243860.24216666663</v>
      </c>
      <c r="AY27" s="392">
        <f ca="1">IF(AY5&gt;=Assumptions!$C$55,Assumptions!$C$65/Assumptions!$C$66*(_xlfn.XLOOKUP(AY$6,Assumptions!$E$45:$O$45,Assumptions!$E$46:$O$46)),0)</f>
        <v>251176.04943166664</v>
      </c>
      <c r="AZ27" s="392">
        <f ca="1">IF(AZ5&gt;=Assumptions!$C$55,Assumptions!$C$65/Assumptions!$C$66*(_xlfn.XLOOKUP(AZ$6,Assumptions!$E$45:$O$45,Assumptions!$E$46:$O$46)),0)</f>
        <v>251176.04943166664</v>
      </c>
      <c r="BA27" s="392">
        <f ca="1">IF(BA5&gt;=Assumptions!$C$55,Assumptions!$C$65/Assumptions!$C$66*(_xlfn.XLOOKUP(BA$6,Assumptions!$E$45:$O$45,Assumptions!$E$46:$O$46)),0)</f>
        <v>251176.04943166664</v>
      </c>
      <c r="BB27" s="392">
        <f ca="1">IF(BB5&gt;=Assumptions!$C$55,Assumptions!$C$65/Assumptions!$C$66*(_xlfn.XLOOKUP(BB$6,Assumptions!$E$45:$O$45,Assumptions!$E$46:$O$46)),0)</f>
        <v>251176.04943166664</v>
      </c>
      <c r="BC27" s="392">
        <f ca="1">IF(BC5&gt;=Assumptions!$C$55,Assumptions!$C$65/Assumptions!$C$66*(_xlfn.XLOOKUP(BC$6,Assumptions!$E$45:$O$45,Assumptions!$E$46:$O$46)),0)</f>
        <v>251176.04943166664</v>
      </c>
      <c r="BD27" s="392">
        <f ca="1">IF(BD5&gt;=Assumptions!$C$55,Assumptions!$C$65/Assumptions!$C$66*(_xlfn.XLOOKUP(BD$6,Assumptions!$E$45:$O$45,Assumptions!$E$46:$O$46)),0)</f>
        <v>251176.04943166664</v>
      </c>
      <c r="BE27" s="392">
        <f ca="1">IF(BE5&gt;=Assumptions!$C$55,Assumptions!$C$65/Assumptions!$C$66*(_xlfn.XLOOKUP(BE$6,Assumptions!$E$45:$O$45,Assumptions!$E$46:$O$46)),0)</f>
        <v>251176.04943166664</v>
      </c>
      <c r="BF27" s="392">
        <f ca="1">IF(BF5&gt;=Assumptions!$C$55,Assumptions!$C$65/Assumptions!$C$66*(_xlfn.XLOOKUP(BF$6,Assumptions!$E$45:$O$45,Assumptions!$E$46:$O$46)),0)</f>
        <v>251176.04943166664</v>
      </c>
      <c r="BG27" s="392">
        <f ca="1">IF(BG5&gt;=Assumptions!$C$55,Assumptions!$C$65/Assumptions!$C$66*(_xlfn.XLOOKUP(BG$6,Assumptions!$E$45:$O$45,Assumptions!$E$46:$O$46)),0)</f>
        <v>251176.04943166664</v>
      </c>
      <c r="BH27" s="392">
        <f ca="1">IF(BH5&gt;=Assumptions!$C$55,Assumptions!$C$65/Assumptions!$C$66*(_xlfn.XLOOKUP(BH$6,Assumptions!$E$45:$O$45,Assumptions!$E$46:$O$46)),0)</f>
        <v>251176.04943166664</v>
      </c>
      <c r="BI27" s="392">
        <f ca="1">IF(BI5&gt;=Assumptions!$C$55,Assumptions!$C$65/Assumptions!$C$66*(_xlfn.XLOOKUP(BI$6,Assumptions!$E$45:$O$45,Assumptions!$E$46:$O$46)),0)</f>
        <v>251176.04943166664</v>
      </c>
      <c r="BJ27" s="392">
        <f ca="1">IF(BJ5&gt;=Assumptions!$C$55,Assumptions!$C$65/Assumptions!$C$66*(_xlfn.XLOOKUP(BJ$6,Assumptions!$E$45:$O$45,Assumptions!$E$46:$O$46)),0)</f>
        <v>251176.04943166664</v>
      </c>
      <c r="BK27" s="392">
        <f ca="1">IF(BK5&gt;=Assumptions!$C$55,Assumptions!$C$65/Assumptions!$C$66*(_xlfn.XLOOKUP(BK$6,Assumptions!$E$45:$O$45,Assumptions!$E$46:$O$46)),0)</f>
        <v>258711.33091461664</v>
      </c>
      <c r="BL27" s="392">
        <f ca="1">IF(BL5&gt;=Assumptions!$C$55,Assumptions!$C$65/Assumptions!$C$66*(_xlfn.XLOOKUP(BL$6,Assumptions!$E$45:$O$45,Assumptions!$E$46:$O$46)),0)</f>
        <v>258711.33091461664</v>
      </c>
      <c r="BM27" s="392">
        <f ca="1">IF(BM5&gt;=Assumptions!$C$55,Assumptions!$C$65/Assumptions!$C$66*(_xlfn.XLOOKUP(BM$6,Assumptions!$E$45:$O$45,Assumptions!$E$46:$O$46)),0)</f>
        <v>258711.33091461664</v>
      </c>
      <c r="BN27" s="392">
        <f ca="1">IF(BN5&gt;=Assumptions!$C$55,Assumptions!$C$65/Assumptions!$C$66*(_xlfn.XLOOKUP(BN$6,Assumptions!$E$45:$O$45,Assumptions!$E$46:$O$46)),0)</f>
        <v>258711.33091461664</v>
      </c>
      <c r="BO27" s="392">
        <f ca="1">IF(BO5&gt;=Assumptions!$C$55,Assumptions!$C$65/Assumptions!$C$66*(_xlfn.XLOOKUP(BO$6,Assumptions!$E$45:$O$45,Assumptions!$E$46:$O$46)),0)</f>
        <v>258711.33091461664</v>
      </c>
      <c r="BP27" s="392">
        <f ca="1">IF(BP5&gt;=Assumptions!$C$55,Assumptions!$C$65/Assumptions!$C$66*(_xlfn.XLOOKUP(BP$6,Assumptions!$E$45:$O$45,Assumptions!$E$46:$O$46)),0)</f>
        <v>258711.33091461664</v>
      </c>
      <c r="BQ27" s="392">
        <f ca="1">IF(BQ5&gt;=Assumptions!$C$55,Assumptions!$C$65/Assumptions!$C$66*(_xlfn.XLOOKUP(BQ$6,Assumptions!$E$45:$O$45,Assumptions!$E$46:$O$46)),0)</f>
        <v>258711.33091461664</v>
      </c>
      <c r="BR27" s="392">
        <f ca="1">IF(BR5&gt;=Assumptions!$C$55,Assumptions!$C$65/Assumptions!$C$66*(_xlfn.XLOOKUP(BR$6,Assumptions!$E$45:$O$45,Assumptions!$E$46:$O$46)),0)</f>
        <v>258711.33091461664</v>
      </c>
      <c r="BS27" s="392">
        <f ca="1">IF(BS5&gt;=Assumptions!$C$55,Assumptions!$C$65/Assumptions!$C$66*(_xlfn.XLOOKUP(BS$6,Assumptions!$E$45:$O$45,Assumptions!$E$46:$O$46)),0)</f>
        <v>258711.33091461664</v>
      </c>
      <c r="BT27" s="392">
        <f ca="1">IF(BT5&gt;=Assumptions!$C$55,Assumptions!$C$65/Assumptions!$C$66*(_xlfn.XLOOKUP(BT$6,Assumptions!$E$45:$O$45,Assumptions!$E$46:$O$46)),0)</f>
        <v>258711.33091461664</v>
      </c>
      <c r="BU27" s="392">
        <f ca="1">IF(BU5&gt;=Assumptions!$C$55,Assumptions!$C$65/Assumptions!$C$66*(_xlfn.XLOOKUP(BU$6,Assumptions!$E$45:$O$45,Assumptions!$E$46:$O$46)),0)</f>
        <v>258711.33091461664</v>
      </c>
      <c r="BV27" s="392">
        <f ca="1">IF(BV5&gt;=Assumptions!$C$55,Assumptions!$C$65/Assumptions!$C$66*(_xlfn.XLOOKUP(BV$6,Assumptions!$E$45:$O$45,Assumptions!$E$46:$O$46)),0)</f>
        <v>258711.33091461664</v>
      </c>
      <c r="BW27" s="392">
        <f ca="1">IF(BW5&gt;=Assumptions!$C$55,Assumptions!$C$65/Assumptions!$C$66*(_xlfn.XLOOKUP(BW$6,Assumptions!$E$45:$O$45,Assumptions!$E$46:$O$46)),0)</f>
        <v>266472.67084205517</v>
      </c>
      <c r="BX27" s="392">
        <f ca="1">IF(BX5&gt;=Assumptions!$C$55,Assumptions!$C$65/Assumptions!$C$66*(_xlfn.XLOOKUP(BX$6,Assumptions!$E$45:$O$45,Assumptions!$E$46:$O$46)),0)</f>
        <v>266472.67084205517</v>
      </c>
      <c r="BY27" s="392">
        <f ca="1">IF(BY5&gt;=Assumptions!$C$55,Assumptions!$C$65/Assumptions!$C$66*(_xlfn.XLOOKUP(BY$6,Assumptions!$E$45:$O$45,Assumptions!$E$46:$O$46)),0)</f>
        <v>266472.67084205517</v>
      </c>
      <c r="BZ27" s="392">
        <f ca="1">IF(BZ5&gt;=Assumptions!$C$55,Assumptions!$C$65/Assumptions!$C$66*(_xlfn.XLOOKUP(BZ$6,Assumptions!$E$45:$O$45,Assumptions!$E$46:$O$46)),0)</f>
        <v>266472.67084205517</v>
      </c>
      <c r="CA27" s="392">
        <f ca="1">IF(CA5&gt;=Assumptions!$C$55,Assumptions!$C$65/Assumptions!$C$66*(_xlfn.XLOOKUP(CA$6,Assumptions!$E$45:$O$45,Assumptions!$E$46:$O$46)),0)</f>
        <v>266472.67084205517</v>
      </c>
      <c r="CB27" s="392">
        <f ca="1">IF(CB5&gt;=Assumptions!$C$55,Assumptions!$C$65/Assumptions!$C$66*(_xlfn.XLOOKUP(CB$6,Assumptions!$E$45:$O$45,Assumptions!$E$46:$O$46)),0)</f>
        <v>266472.67084205517</v>
      </c>
      <c r="CC27" s="392">
        <f ca="1">IF(CC5&gt;=Assumptions!$C$55,Assumptions!$C$65/Assumptions!$C$66*(_xlfn.XLOOKUP(CC$6,Assumptions!$E$45:$O$45,Assumptions!$E$46:$O$46)),0)</f>
        <v>266472.67084205517</v>
      </c>
      <c r="CD27" s="392">
        <f ca="1">IF(CD5&gt;=Assumptions!$C$55,Assumptions!$C$65/Assumptions!$C$66*(_xlfn.XLOOKUP(CD$6,Assumptions!$E$45:$O$45,Assumptions!$E$46:$O$46)),0)</f>
        <v>266472.67084205517</v>
      </c>
      <c r="CE27" s="392">
        <f ca="1">IF(CE5&gt;=Assumptions!$C$55,Assumptions!$C$65/Assumptions!$C$66*(_xlfn.XLOOKUP(CE$6,Assumptions!$E$45:$O$45,Assumptions!$E$46:$O$46)),0)</f>
        <v>266472.67084205517</v>
      </c>
      <c r="CF27" s="392">
        <f ca="1">IF(CF5&gt;=Assumptions!$C$55,Assumptions!$C$65/Assumptions!$C$66*(_xlfn.XLOOKUP(CF$6,Assumptions!$E$45:$O$45,Assumptions!$E$46:$O$46)),0)</f>
        <v>266472.67084205517</v>
      </c>
      <c r="CG27" s="392">
        <f ca="1">IF(CG5&gt;=Assumptions!$C$55,Assumptions!$C$65/Assumptions!$C$66*(_xlfn.XLOOKUP(CG$6,Assumptions!$E$45:$O$45,Assumptions!$E$46:$O$46)),0)</f>
        <v>266472.67084205517</v>
      </c>
      <c r="CH27" s="392">
        <f ca="1">IF(CH5&gt;=Assumptions!$C$55,Assumptions!$C$65/Assumptions!$C$66*(_xlfn.XLOOKUP(CH$6,Assumptions!$E$45:$O$45,Assumptions!$E$46:$O$46)),0)</f>
        <v>266472.67084205517</v>
      </c>
      <c r="CI27" s="392">
        <f ca="1">IF(CI5&gt;=Assumptions!$C$55,Assumptions!$C$65/Assumptions!$C$66*(_xlfn.XLOOKUP(CI$6,Assumptions!$E$45:$O$45,Assumptions!$E$46:$O$46)),0)</f>
        <v>274466.85096731677</v>
      </c>
      <c r="CJ27" s="392">
        <f ca="1">IF(CJ5&gt;=Assumptions!$C$55,Assumptions!$C$65/Assumptions!$C$66*(_xlfn.XLOOKUP(CJ$6,Assumptions!$E$45:$O$45,Assumptions!$E$46:$O$46)),0)</f>
        <v>274466.85096731677</v>
      </c>
      <c r="CK27" s="392">
        <f ca="1">IF(CK5&gt;=Assumptions!$C$55,Assumptions!$C$65/Assumptions!$C$66*(_xlfn.XLOOKUP(CK$6,Assumptions!$E$45:$O$45,Assumptions!$E$46:$O$46)),0)</f>
        <v>274466.85096731677</v>
      </c>
      <c r="CL27" s="392">
        <f ca="1">IF(CL5&gt;=Assumptions!$C$55,Assumptions!$C$65/Assumptions!$C$66*(_xlfn.XLOOKUP(CL$6,Assumptions!$E$45:$O$45,Assumptions!$E$46:$O$46)),0)</f>
        <v>274466.85096731677</v>
      </c>
      <c r="CM27" s="392">
        <f ca="1">IF(CM5&gt;=Assumptions!$C$55,Assumptions!$C$65/Assumptions!$C$66*(_xlfn.XLOOKUP(CM$6,Assumptions!$E$45:$O$45,Assumptions!$E$46:$O$46)),0)</f>
        <v>274466.85096731677</v>
      </c>
      <c r="CN27" s="392">
        <f ca="1">IF(CN5&gt;=Assumptions!$C$55,Assumptions!$C$65/Assumptions!$C$66*(_xlfn.XLOOKUP(CN$6,Assumptions!$E$45:$O$45,Assumptions!$E$46:$O$46)),0)</f>
        <v>274466.85096731677</v>
      </c>
      <c r="CO27" s="392">
        <f ca="1">IF(CO5&gt;=Assumptions!$C$55,Assumptions!$C$65/Assumptions!$C$66*(_xlfn.XLOOKUP(CO$6,Assumptions!$E$45:$O$45,Assumptions!$E$46:$O$46)),0)</f>
        <v>274466.85096731677</v>
      </c>
      <c r="CP27" s="392">
        <f ca="1">IF(CP5&gt;=Assumptions!$C$55,Assumptions!$C$65/Assumptions!$C$66*(_xlfn.XLOOKUP(CP$6,Assumptions!$E$45:$O$45,Assumptions!$E$46:$O$46)),0)</f>
        <v>274466.85096731677</v>
      </c>
      <c r="CQ27" s="392">
        <f ca="1">IF(CQ5&gt;=Assumptions!$C$55,Assumptions!$C$65/Assumptions!$C$66*(_xlfn.XLOOKUP(CQ$6,Assumptions!$E$45:$O$45,Assumptions!$E$46:$O$46)),0)</f>
        <v>274466.85096731677</v>
      </c>
      <c r="CR27" s="392">
        <f ca="1">IF(CR5&gt;=Assumptions!$C$55,Assumptions!$C$65/Assumptions!$C$66*(_xlfn.XLOOKUP(CR$6,Assumptions!$E$45:$O$45,Assumptions!$E$46:$O$46)),0)</f>
        <v>274466.85096731677</v>
      </c>
      <c r="CS27" s="392">
        <f ca="1">IF(CS5&gt;=Assumptions!$C$55,Assumptions!$C$65/Assumptions!$C$66*(_xlfn.XLOOKUP(CS$6,Assumptions!$E$45:$O$45,Assumptions!$E$46:$O$46)),0)</f>
        <v>274466.85096731677</v>
      </c>
      <c r="CT27" s="392">
        <f ca="1">IF(CT5&gt;=Assumptions!$C$55,Assumptions!$C$65/Assumptions!$C$66*(_xlfn.XLOOKUP(CT$6,Assumptions!$E$45:$O$45,Assumptions!$E$46:$O$46)),0)</f>
        <v>274466.85096731677</v>
      </c>
      <c r="CU27" s="392">
        <f ca="1">IF(CU5&gt;=Assumptions!$C$55,Assumptions!$C$65/Assumptions!$C$66*(_xlfn.XLOOKUP(CU$6,Assumptions!$E$45:$O$45,Assumptions!$E$46:$O$46)),0)</f>
        <v>282700.85649633635</v>
      </c>
      <c r="CV27" s="392">
        <f ca="1">IF(CV5&gt;=Assumptions!$C$55,Assumptions!$C$65/Assumptions!$C$66*(_xlfn.XLOOKUP(CV$6,Assumptions!$E$45:$O$45,Assumptions!$E$46:$O$46)),0)</f>
        <v>282700.85649633635</v>
      </c>
      <c r="CW27" s="392">
        <f ca="1">IF(CW5&gt;=Assumptions!$C$55,Assumptions!$C$65/Assumptions!$C$66*(_xlfn.XLOOKUP(CW$6,Assumptions!$E$45:$O$45,Assumptions!$E$46:$O$46)),0)</f>
        <v>282700.85649633635</v>
      </c>
      <c r="CX27" s="392">
        <f ca="1">IF(CX5&gt;=Assumptions!$C$55,Assumptions!$C$65/Assumptions!$C$66*(_xlfn.XLOOKUP(CX$6,Assumptions!$E$45:$O$45,Assumptions!$E$46:$O$46)),0)</f>
        <v>282700.85649633635</v>
      </c>
      <c r="CY27" s="392">
        <f ca="1">IF(CY5&gt;=Assumptions!$C$55,Assumptions!$C$65/Assumptions!$C$66*(_xlfn.XLOOKUP(CY$6,Assumptions!$E$45:$O$45,Assumptions!$E$46:$O$46)),0)</f>
        <v>282700.85649633635</v>
      </c>
      <c r="CZ27" s="392">
        <f ca="1">IF(CZ5&gt;=Assumptions!$C$55,Assumptions!$C$65/Assumptions!$C$66*(_xlfn.XLOOKUP(CZ$6,Assumptions!$E$45:$O$45,Assumptions!$E$46:$O$46)),0)</f>
        <v>282700.85649633635</v>
      </c>
      <c r="DA27" s="392">
        <f ca="1">IF(DA5&gt;=Assumptions!$C$55,Assumptions!$C$65/Assumptions!$C$66*(_xlfn.XLOOKUP(DA$6,Assumptions!$E$45:$O$45,Assumptions!$E$46:$O$46)),0)</f>
        <v>282700.85649633635</v>
      </c>
      <c r="DB27" s="392">
        <f ca="1">IF(DB5&gt;=Assumptions!$C$55,Assumptions!$C$65/Assumptions!$C$66*(_xlfn.XLOOKUP(DB$6,Assumptions!$E$45:$O$45,Assumptions!$E$46:$O$46)),0)</f>
        <v>282700.85649633635</v>
      </c>
      <c r="DC27" s="392">
        <f ca="1">IF(DC5&gt;=Assumptions!$C$55,Assumptions!$C$65/Assumptions!$C$66*(_xlfn.XLOOKUP(DC$6,Assumptions!$E$45:$O$45,Assumptions!$E$46:$O$46)),0)</f>
        <v>282700.85649633635</v>
      </c>
      <c r="DD27" s="392">
        <f ca="1">IF(DD5&gt;=Assumptions!$C$55,Assumptions!$C$65/Assumptions!$C$66*(_xlfn.XLOOKUP(DD$6,Assumptions!$E$45:$O$45,Assumptions!$E$46:$O$46)),0)</f>
        <v>282700.85649633635</v>
      </c>
      <c r="DE27" s="392">
        <f ca="1">IF(DE5&gt;=Assumptions!$C$55,Assumptions!$C$65/Assumptions!$C$66*(_xlfn.XLOOKUP(DE$6,Assumptions!$E$45:$O$45,Assumptions!$E$46:$O$46)),0)</f>
        <v>282700.85649633635</v>
      </c>
      <c r="DF27" s="392">
        <f ca="1">IF(DF5&gt;=Assumptions!$C$55,Assumptions!$C$65/Assumptions!$C$66*(_xlfn.XLOOKUP(DF$6,Assumptions!$E$45:$O$45,Assumptions!$E$46:$O$46)),0)</f>
        <v>282700.85649633635</v>
      </c>
      <c r="DG27" s="392" t="e">
        <f ca="1">IF(DG5&gt;=Assumptions!$C$55,Assumptions!$C$65/Assumptions!$C$66*(_xlfn.XLOOKUP(DG$6,Assumptions!$E$45:$O$45,Assumptions!$E$46:$O$46)),0)</f>
        <v>#N/A</v>
      </c>
      <c r="DH27" s="392" t="e">
        <f ca="1">IF(DH5&gt;=Assumptions!$C$55,Assumptions!$C$65/Assumptions!$C$66*(_xlfn.XLOOKUP(DH$6,Assumptions!$E$45:$O$45,Assumptions!$E$46:$O$46)),0)</f>
        <v>#N/A</v>
      </c>
      <c r="DI27" s="392" t="e">
        <f ca="1">IF(DI5&gt;=Assumptions!$C$55,Assumptions!$C$65/Assumptions!$C$66*(_xlfn.XLOOKUP(DI$6,Assumptions!$E$45:$O$45,Assumptions!$E$46:$O$46)),0)</f>
        <v>#N/A</v>
      </c>
      <c r="DJ27" s="392" t="e">
        <f ca="1">IF(DJ5&gt;=Assumptions!$C$55,Assumptions!$C$65/Assumptions!$C$66*(_xlfn.XLOOKUP(DJ$6,Assumptions!$E$45:$O$45,Assumptions!$E$46:$O$46)),0)</f>
        <v>#N/A</v>
      </c>
      <c r="DK27" s="392" t="e">
        <f ca="1">IF(DK5&gt;=Assumptions!$C$55,Assumptions!$C$65/Assumptions!$C$66*(_xlfn.XLOOKUP(DK$6,Assumptions!$E$45:$O$45,Assumptions!$E$46:$O$46)),0)</f>
        <v>#N/A</v>
      </c>
      <c r="DL27" s="392" t="e">
        <f ca="1">IF(DL5&gt;=Assumptions!$C$55,Assumptions!$C$65/Assumptions!$C$66*(_xlfn.XLOOKUP(DL$6,Assumptions!$E$45:$O$45,Assumptions!$E$46:$O$46)),0)</f>
        <v>#N/A</v>
      </c>
      <c r="DM27" s="392" t="e">
        <f ca="1">IF(DM5&gt;=Assumptions!$C$55,Assumptions!$C$65/Assumptions!$C$66*(_xlfn.XLOOKUP(DM$6,Assumptions!$E$45:$O$45,Assumptions!$E$46:$O$46)),0)</f>
        <v>#N/A</v>
      </c>
      <c r="DN27" s="392" t="e">
        <f ca="1">IF(DN5&gt;=Assumptions!$C$55,Assumptions!$C$65/Assumptions!$C$66*(_xlfn.XLOOKUP(DN$6,Assumptions!$E$45:$O$45,Assumptions!$E$46:$O$46)),0)</f>
        <v>#N/A</v>
      </c>
      <c r="DO27" s="392" t="e">
        <f ca="1">IF(DO5&gt;=Assumptions!$C$55,Assumptions!$C$65/Assumptions!$C$66*(_xlfn.XLOOKUP(DO$6,Assumptions!$E$45:$O$45,Assumptions!$E$46:$O$46)),0)</f>
        <v>#N/A</v>
      </c>
      <c r="DP27" s="392" t="e">
        <f ca="1">IF(DP5&gt;=Assumptions!$C$55,Assumptions!$C$65/Assumptions!$C$66*(_xlfn.XLOOKUP(DP$6,Assumptions!$E$45:$O$45,Assumptions!$E$46:$O$46)),0)</f>
        <v>#N/A</v>
      </c>
      <c r="DQ27" s="392" t="e">
        <f ca="1">IF(DQ5&gt;=Assumptions!$C$55,Assumptions!$C$65/Assumptions!$C$66*(_xlfn.XLOOKUP(DQ$6,Assumptions!$E$45:$O$45,Assumptions!$E$46:$O$46)),0)</f>
        <v>#N/A</v>
      </c>
      <c r="DR27" s="392" t="e">
        <f ca="1">IF(DR5&gt;=Assumptions!$C$55,Assumptions!$C$65/Assumptions!$C$66*(_xlfn.XLOOKUP(DR$6,Assumptions!$E$45:$O$45,Assumptions!$E$46:$O$46)),0)</f>
        <v>#N/A</v>
      </c>
      <c r="DS27" s="392"/>
      <c r="DT27" s="392"/>
      <c r="DU27" s="392"/>
      <c r="DV27" s="392"/>
      <c r="DW27" s="392"/>
      <c r="DX27" s="392"/>
      <c r="DY27" s="392"/>
      <c r="DZ27" s="392"/>
      <c r="EA27" s="392"/>
      <c r="EB27" s="392"/>
      <c r="EC27" s="392"/>
      <c r="ED27" s="392"/>
    </row>
    <row r="28" spans="1:134" s="154" customFormat="1" ht="16" x14ac:dyDescent="0.2">
      <c r="A28" s="304"/>
      <c r="B28" s="281" t="s">
        <v>761</v>
      </c>
      <c r="C28" s="390">
        <f>_xlfn.XLOOKUP(MONTH(C$5),Assumptions!$F$38:$Q$38,Assumptions!$F$42:$Q$42)</f>
        <v>0.25</v>
      </c>
      <c r="D28" s="390">
        <f>_xlfn.XLOOKUP(MONTH(D$5),Assumptions!$F$38:$Q$38,Assumptions!$F$42:$Q$42)</f>
        <v>0.25</v>
      </c>
      <c r="E28" s="390">
        <f>_xlfn.XLOOKUP(MONTH(E$5),Assumptions!$F$38:$Q$38,Assumptions!$F$42:$Q$42)</f>
        <v>0.25</v>
      </c>
      <c r="F28" s="390">
        <f>_xlfn.XLOOKUP(MONTH(F$5),Assumptions!$F$38:$Q$38,Assumptions!$F$42:$Q$42)</f>
        <v>0.5</v>
      </c>
      <c r="G28" s="390">
        <f>_xlfn.XLOOKUP(MONTH(G$5),Assumptions!$F$38:$Q$38,Assumptions!$F$42:$Q$42)</f>
        <v>0.75</v>
      </c>
      <c r="H28" s="390">
        <f>_xlfn.XLOOKUP(MONTH(H$5),Assumptions!$F$38:$Q$38,Assumptions!$F$42:$Q$42)</f>
        <v>1</v>
      </c>
      <c r="I28" s="390">
        <f>_xlfn.XLOOKUP(MONTH(I$5),Assumptions!$F$38:$Q$38,Assumptions!$F$42:$Q$42)</f>
        <v>1</v>
      </c>
      <c r="J28" s="390">
        <f>_xlfn.XLOOKUP(MONTH(J$5),Assumptions!$F$38:$Q$38,Assumptions!$F$42:$Q$42)</f>
        <v>1</v>
      </c>
      <c r="K28" s="390">
        <f>_xlfn.XLOOKUP(MONTH(K$5),Assumptions!$F$38:$Q$38,Assumptions!$F$42:$Q$42)</f>
        <v>0.75</v>
      </c>
      <c r="L28" s="390">
        <f>_xlfn.XLOOKUP(MONTH(L$5),Assumptions!$F$38:$Q$38,Assumptions!$F$42:$Q$42)</f>
        <v>0.5</v>
      </c>
      <c r="M28" s="390">
        <f>_xlfn.XLOOKUP(MONTH(M$5),Assumptions!$F$38:$Q$38,Assumptions!$F$42:$Q$42)</f>
        <v>0.25</v>
      </c>
      <c r="N28" s="390">
        <f>_xlfn.XLOOKUP(MONTH(N$5),Assumptions!$F$38:$Q$38,Assumptions!$F$42:$Q$42)</f>
        <v>0.25</v>
      </c>
      <c r="O28" s="390">
        <f>_xlfn.XLOOKUP(MONTH(O$5),Assumptions!$F$38:$Q$38,Assumptions!$F$42:$Q$42)</f>
        <v>0.25</v>
      </c>
      <c r="P28" s="390">
        <f>_xlfn.XLOOKUP(MONTH(P$5),Assumptions!$F$38:$Q$38,Assumptions!$F$42:$Q$42)</f>
        <v>0.25</v>
      </c>
      <c r="Q28" s="390">
        <f>_xlfn.XLOOKUP(MONTH(Q$5),Assumptions!$F$38:$Q$38,Assumptions!$F$42:$Q$42)</f>
        <v>0.25</v>
      </c>
      <c r="R28" s="390">
        <f>_xlfn.XLOOKUP(MONTH(R$5),Assumptions!$F$38:$Q$38,Assumptions!$F$42:$Q$42)</f>
        <v>0.5</v>
      </c>
      <c r="S28" s="390">
        <f>_xlfn.XLOOKUP(MONTH(S$5),Assumptions!$F$38:$Q$38,Assumptions!$F$42:$Q$42)</f>
        <v>0.75</v>
      </c>
      <c r="T28" s="390">
        <f>_xlfn.XLOOKUP(MONTH(T$5),Assumptions!$F$38:$Q$38,Assumptions!$F$42:$Q$42)</f>
        <v>1</v>
      </c>
      <c r="U28" s="390">
        <f>_xlfn.XLOOKUP(MONTH(U$5),Assumptions!$F$38:$Q$38,Assumptions!$F$42:$Q$42)</f>
        <v>1</v>
      </c>
      <c r="V28" s="390">
        <f>_xlfn.XLOOKUP(MONTH(V$5),Assumptions!$F$38:$Q$38,Assumptions!$F$42:$Q$42)</f>
        <v>1</v>
      </c>
      <c r="W28" s="390">
        <f>_xlfn.XLOOKUP(MONTH(W$5),Assumptions!$F$38:$Q$38,Assumptions!$F$42:$Q$42)</f>
        <v>0.75</v>
      </c>
      <c r="X28" s="390">
        <f>_xlfn.XLOOKUP(MONTH(X$5),Assumptions!$F$38:$Q$38,Assumptions!$F$42:$Q$42)</f>
        <v>0.5</v>
      </c>
      <c r="Y28" s="390">
        <f>_xlfn.XLOOKUP(MONTH(Y$5),Assumptions!$F$38:$Q$38,Assumptions!$F$42:$Q$42)</f>
        <v>0.25</v>
      </c>
      <c r="Z28" s="390">
        <f>_xlfn.XLOOKUP(MONTH(Z$5),Assumptions!$F$38:$Q$38,Assumptions!$F$42:$Q$42)</f>
        <v>0.25</v>
      </c>
      <c r="AA28" s="390">
        <f>_xlfn.XLOOKUP(MONTH(AA$5),Assumptions!$F$38:$Q$38,Assumptions!$F$42:$Q$42)</f>
        <v>0.25</v>
      </c>
      <c r="AB28" s="390">
        <f>_xlfn.XLOOKUP(MONTH(AB$5),Assumptions!$F$38:$Q$38,Assumptions!$F$42:$Q$42)</f>
        <v>0.25</v>
      </c>
      <c r="AC28" s="390">
        <f>_xlfn.XLOOKUP(MONTH(AC$5),Assumptions!$F$38:$Q$38,Assumptions!$F$42:$Q$42)</f>
        <v>0.25</v>
      </c>
      <c r="AD28" s="390">
        <f>_xlfn.XLOOKUP(MONTH(AD$5),Assumptions!$F$38:$Q$38,Assumptions!$F$42:$Q$42)</f>
        <v>0.5</v>
      </c>
      <c r="AE28" s="390">
        <f>_xlfn.XLOOKUP(MONTH(AE$5),Assumptions!$F$38:$Q$38,Assumptions!$F$42:$Q$42)</f>
        <v>0.75</v>
      </c>
      <c r="AF28" s="390">
        <f>_xlfn.XLOOKUP(MONTH(AF$5),Assumptions!$F$38:$Q$38,Assumptions!$F$42:$Q$42)</f>
        <v>1</v>
      </c>
      <c r="AG28" s="390">
        <f>_xlfn.XLOOKUP(MONTH(AG$5),Assumptions!$F$38:$Q$38,Assumptions!$F$42:$Q$42)</f>
        <v>1</v>
      </c>
      <c r="AH28" s="390">
        <f>_xlfn.XLOOKUP(MONTH(AH$5),Assumptions!$F$38:$Q$38,Assumptions!$F$42:$Q$42)</f>
        <v>1</v>
      </c>
      <c r="AI28" s="390">
        <f>_xlfn.XLOOKUP(MONTH(AI$5),Assumptions!$F$38:$Q$38,Assumptions!$F$42:$Q$42)</f>
        <v>0.75</v>
      </c>
      <c r="AJ28" s="390">
        <f>_xlfn.XLOOKUP(MONTH(AJ$5),Assumptions!$F$38:$Q$38,Assumptions!$F$42:$Q$42)</f>
        <v>0.5</v>
      </c>
      <c r="AK28" s="390">
        <f>_xlfn.XLOOKUP(MONTH(AK$5),Assumptions!$F$38:$Q$38,Assumptions!$F$42:$Q$42)</f>
        <v>0.25</v>
      </c>
      <c r="AL28" s="390">
        <f>_xlfn.XLOOKUP(MONTH(AL$5),Assumptions!$F$38:$Q$38,Assumptions!$F$42:$Q$42)</f>
        <v>0.25</v>
      </c>
      <c r="AM28" s="390">
        <f>_xlfn.XLOOKUP(MONTH(AM$5),Assumptions!$F$38:$Q$38,Assumptions!$F$42:$Q$42)</f>
        <v>0.25</v>
      </c>
      <c r="AN28" s="390">
        <f>_xlfn.XLOOKUP(MONTH(AN$5),Assumptions!$F$38:$Q$38,Assumptions!$F$42:$Q$42)</f>
        <v>0.25</v>
      </c>
      <c r="AO28" s="390">
        <f>_xlfn.XLOOKUP(MONTH(AO$5),Assumptions!$F$38:$Q$38,Assumptions!$F$42:$Q$42)</f>
        <v>0.25</v>
      </c>
      <c r="AP28" s="390">
        <f>_xlfn.XLOOKUP(MONTH(AP$5),Assumptions!$F$38:$Q$38,Assumptions!$F$42:$Q$42)</f>
        <v>0.5</v>
      </c>
      <c r="AQ28" s="390">
        <f>_xlfn.XLOOKUP(MONTH(AQ$5),Assumptions!$F$38:$Q$38,Assumptions!$F$42:$Q$42)</f>
        <v>0.75</v>
      </c>
      <c r="AR28" s="390">
        <f>_xlfn.XLOOKUP(MONTH(AR$5),Assumptions!$F$38:$Q$38,Assumptions!$F$42:$Q$42)</f>
        <v>1</v>
      </c>
      <c r="AS28" s="390">
        <f>_xlfn.XLOOKUP(MONTH(AS$5),Assumptions!$F$38:$Q$38,Assumptions!$F$42:$Q$42)</f>
        <v>1</v>
      </c>
      <c r="AT28" s="390">
        <f>_xlfn.XLOOKUP(MONTH(AT$5),Assumptions!$F$38:$Q$38,Assumptions!$F$42:$Q$42)</f>
        <v>1</v>
      </c>
      <c r="AU28" s="390">
        <f>_xlfn.XLOOKUP(MONTH(AU$5),Assumptions!$F$38:$Q$38,Assumptions!$F$42:$Q$42)</f>
        <v>0.75</v>
      </c>
      <c r="AV28" s="390">
        <f>_xlfn.XLOOKUP(MONTH(AV$5),Assumptions!$F$38:$Q$38,Assumptions!$F$42:$Q$42)</f>
        <v>0.5</v>
      </c>
      <c r="AW28" s="390">
        <f>_xlfn.XLOOKUP(MONTH(AW$5),Assumptions!$F$38:$Q$38,Assumptions!$F$42:$Q$42)</f>
        <v>0.25</v>
      </c>
      <c r="AX28" s="390">
        <f>_xlfn.XLOOKUP(MONTH(AX$5),Assumptions!$F$38:$Q$38,Assumptions!$F$42:$Q$42)</f>
        <v>0.25</v>
      </c>
      <c r="AY28" s="390">
        <f>_xlfn.XLOOKUP(MONTH(AY$5),Assumptions!$F$38:$Q$38,Assumptions!$F$42:$Q$42)</f>
        <v>0.25</v>
      </c>
      <c r="AZ28" s="390">
        <f>_xlfn.XLOOKUP(MONTH(AZ$5),Assumptions!$F$38:$Q$38,Assumptions!$F$42:$Q$42)</f>
        <v>0.25</v>
      </c>
      <c r="BA28" s="390">
        <f>_xlfn.XLOOKUP(MONTH(BA$5),Assumptions!$F$38:$Q$38,Assumptions!$F$42:$Q$42)</f>
        <v>0.25</v>
      </c>
      <c r="BB28" s="390">
        <f>_xlfn.XLOOKUP(MONTH(BB$5),Assumptions!$F$38:$Q$38,Assumptions!$F$42:$Q$42)</f>
        <v>0.5</v>
      </c>
      <c r="BC28" s="390">
        <f>_xlfn.XLOOKUP(MONTH(BC$5),Assumptions!$F$38:$Q$38,Assumptions!$F$42:$Q$42)</f>
        <v>0.75</v>
      </c>
      <c r="BD28" s="390">
        <f>_xlfn.XLOOKUP(MONTH(BD$5),Assumptions!$F$38:$Q$38,Assumptions!$F$42:$Q$42)</f>
        <v>1</v>
      </c>
      <c r="BE28" s="390">
        <f>_xlfn.XLOOKUP(MONTH(BE$5),Assumptions!$F$38:$Q$38,Assumptions!$F$42:$Q$42)</f>
        <v>1</v>
      </c>
      <c r="BF28" s="390">
        <f>_xlfn.XLOOKUP(MONTH(BF$5),Assumptions!$F$38:$Q$38,Assumptions!$F$42:$Q$42)</f>
        <v>1</v>
      </c>
      <c r="BG28" s="390">
        <f>_xlfn.XLOOKUP(MONTH(BG$5),Assumptions!$F$38:$Q$38,Assumptions!$F$42:$Q$42)</f>
        <v>0.75</v>
      </c>
      <c r="BH28" s="390">
        <f>_xlfn.XLOOKUP(MONTH(BH$5),Assumptions!$F$38:$Q$38,Assumptions!$F$42:$Q$42)</f>
        <v>0.5</v>
      </c>
      <c r="BI28" s="390">
        <f>_xlfn.XLOOKUP(MONTH(BI$5),Assumptions!$F$38:$Q$38,Assumptions!$F$42:$Q$42)</f>
        <v>0.25</v>
      </c>
      <c r="BJ28" s="390">
        <f>_xlfn.XLOOKUP(MONTH(BJ$5),Assumptions!$F$38:$Q$38,Assumptions!$F$42:$Q$42)</f>
        <v>0.25</v>
      </c>
      <c r="BK28" s="390">
        <f>_xlfn.XLOOKUP(MONTH(BK$5),Assumptions!$F$38:$Q$38,Assumptions!$F$42:$Q$42)</f>
        <v>0.25</v>
      </c>
      <c r="BL28" s="390">
        <f>_xlfn.XLOOKUP(MONTH(BL$5),Assumptions!$F$38:$Q$38,Assumptions!$F$42:$Q$42)</f>
        <v>0.25</v>
      </c>
      <c r="BM28" s="390">
        <f>_xlfn.XLOOKUP(MONTH(BM$5),Assumptions!$F$38:$Q$38,Assumptions!$F$42:$Q$42)</f>
        <v>0.25</v>
      </c>
      <c r="BN28" s="390">
        <f>_xlfn.XLOOKUP(MONTH(BN$5),Assumptions!$F$38:$Q$38,Assumptions!$F$42:$Q$42)</f>
        <v>0.5</v>
      </c>
      <c r="BO28" s="390">
        <f>_xlfn.XLOOKUP(MONTH(BO$5),Assumptions!$F$38:$Q$38,Assumptions!$F$42:$Q$42)</f>
        <v>0.75</v>
      </c>
      <c r="BP28" s="390">
        <f>_xlfn.XLOOKUP(MONTH(BP$5),Assumptions!$F$38:$Q$38,Assumptions!$F$42:$Q$42)</f>
        <v>1</v>
      </c>
      <c r="BQ28" s="390">
        <f>_xlfn.XLOOKUP(MONTH(BQ$5),Assumptions!$F$38:$Q$38,Assumptions!$F$42:$Q$42)</f>
        <v>1</v>
      </c>
      <c r="BR28" s="390">
        <f>_xlfn.XLOOKUP(MONTH(BR$5),Assumptions!$F$38:$Q$38,Assumptions!$F$42:$Q$42)</f>
        <v>1</v>
      </c>
      <c r="BS28" s="390">
        <f>_xlfn.XLOOKUP(MONTH(BS$5),Assumptions!$F$38:$Q$38,Assumptions!$F$42:$Q$42)</f>
        <v>0.75</v>
      </c>
      <c r="BT28" s="390">
        <f>_xlfn.XLOOKUP(MONTH(BT$5),Assumptions!$F$38:$Q$38,Assumptions!$F$42:$Q$42)</f>
        <v>0.5</v>
      </c>
      <c r="BU28" s="390">
        <f>_xlfn.XLOOKUP(MONTH(BU$5),Assumptions!$F$38:$Q$38,Assumptions!$F$42:$Q$42)</f>
        <v>0.25</v>
      </c>
      <c r="BV28" s="390">
        <f>_xlfn.XLOOKUP(MONTH(BV$5),Assumptions!$F$38:$Q$38,Assumptions!$F$42:$Q$42)</f>
        <v>0.25</v>
      </c>
      <c r="BW28" s="390">
        <f>_xlfn.XLOOKUP(MONTH(BW$5),Assumptions!$F$38:$Q$38,Assumptions!$F$42:$Q$42)</f>
        <v>0.25</v>
      </c>
      <c r="BX28" s="390">
        <f>_xlfn.XLOOKUP(MONTH(BX$5),Assumptions!$F$38:$Q$38,Assumptions!$F$42:$Q$42)</f>
        <v>0.25</v>
      </c>
      <c r="BY28" s="390">
        <f>_xlfn.XLOOKUP(MONTH(BY$5),Assumptions!$F$38:$Q$38,Assumptions!$F$42:$Q$42)</f>
        <v>0.25</v>
      </c>
      <c r="BZ28" s="390">
        <f>_xlfn.XLOOKUP(MONTH(BZ$5),Assumptions!$F$38:$Q$38,Assumptions!$F$42:$Q$42)</f>
        <v>0.5</v>
      </c>
      <c r="CA28" s="390">
        <f>_xlfn.XLOOKUP(MONTH(CA$5),Assumptions!$F$38:$Q$38,Assumptions!$F$42:$Q$42)</f>
        <v>0.75</v>
      </c>
      <c r="CB28" s="390">
        <f>_xlfn.XLOOKUP(MONTH(CB$5),Assumptions!$F$38:$Q$38,Assumptions!$F$42:$Q$42)</f>
        <v>1</v>
      </c>
      <c r="CC28" s="390">
        <f>_xlfn.XLOOKUP(MONTH(CC$5),Assumptions!$F$38:$Q$38,Assumptions!$F$42:$Q$42)</f>
        <v>1</v>
      </c>
      <c r="CD28" s="390">
        <f>_xlfn.XLOOKUP(MONTH(CD$5),Assumptions!$F$38:$Q$38,Assumptions!$F$42:$Q$42)</f>
        <v>1</v>
      </c>
      <c r="CE28" s="390">
        <f>_xlfn.XLOOKUP(MONTH(CE$5),Assumptions!$F$38:$Q$38,Assumptions!$F$42:$Q$42)</f>
        <v>0.75</v>
      </c>
      <c r="CF28" s="390">
        <f>_xlfn.XLOOKUP(MONTH(CF$5),Assumptions!$F$38:$Q$38,Assumptions!$F$42:$Q$42)</f>
        <v>0.5</v>
      </c>
      <c r="CG28" s="390">
        <f>_xlfn.XLOOKUP(MONTH(CG$5),Assumptions!$F$38:$Q$38,Assumptions!$F$42:$Q$42)</f>
        <v>0.25</v>
      </c>
      <c r="CH28" s="390">
        <f>_xlfn.XLOOKUP(MONTH(CH$5),Assumptions!$F$38:$Q$38,Assumptions!$F$42:$Q$42)</f>
        <v>0.25</v>
      </c>
      <c r="CI28" s="390">
        <f>_xlfn.XLOOKUP(MONTH(CI$5),Assumptions!$F$38:$Q$38,Assumptions!$F$42:$Q$42)</f>
        <v>0.25</v>
      </c>
      <c r="CJ28" s="390">
        <f>_xlfn.XLOOKUP(MONTH(CJ$5),Assumptions!$F$38:$Q$38,Assumptions!$F$42:$Q$42)</f>
        <v>0.25</v>
      </c>
      <c r="CK28" s="390">
        <f>_xlfn.XLOOKUP(MONTH(CK$5),Assumptions!$F$38:$Q$38,Assumptions!$F$42:$Q$42)</f>
        <v>0.25</v>
      </c>
      <c r="CL28" s="390">
        <f>_xlfn.XLOOKUP(MONTH(CL$5),Assumptions!$F$38:$Q$38,Assumptions!$F$42:$Q$42)</f>
        <v>0.5</v>
      </c>
      <c r="CM28" s="390">
        <f>_xlfn.XLOOKUP(MONTH(CM$5),Assumptions!$F$38:$Q$38,Assumptions!$F$42:$Q$42)</f>
        <v>0.75</v>
      </c>
      <c r="CN28" s="390">
        <f>_xlfn.XLOOKUP(MONTH(CN$5),Assumptions!$F$38:$Q$38,Assumptions!$F$42:$Q$42)</f>
        <v>1</v>
      </c>
      <c r="CO28" s="390">
        <f>_xlfn.XLOOKUP(MONTH(CO$5),Assumptions!$F$38:$Q$38,Assumptions!$F$42:$Q$42)</f>
        <v>1</v>
      </c>
      <c r="CP28" s="390">
        <f>_xlfn.XLOOKUP(MONTH(CP$5),Assumptions!$F$38:$Q$38,Assumptions!$F$42:$Q$42)</f>
        <v>1</v>
      </c>
      <c r="CQ28" s="390">
        <f>_xlfn.XLOOKUP(MONTH(CQ$5),Assumptions!$F$38:$Q$38,Assumptions!$F$42:$Q$42)</f>
        <v>0.75</v>
      </c>
      <c r="CR28" s="390">
        <f>_xlfn.XLOOKUP(MONTH(CR$5),Assumptions!$F$38:$Q$38,Assumptions!$F$42:$Q$42)</f>
        <v>0.5</v>
      </c>
      <c r="CS28" s="390">
        <f>_xlfn.XLOOKUP(MONTH(CS$5),Assumptions!$F$38:$Q$38,Assumptions!$F$42:$Q$42)</f>
        <v>0.25</v>
      </c>
      <c r="CT28" s="390">
        <f>_xlfn.XLOOKUP(MONTH(CT$5),Assumptions!$F$38:$Q$38,Assumptions!$F$42:$Q$42)</f>
        <v>0.25</v>
      </c>
      <c r="CU28" s="390">
        <f>_xlfn.XLOOKUP(MONTH(CU$5),Assumptions!$F$38:$Q$38,Assumptions!$F$42:$Q$42)</f>
        <v>0.25</v>
      </c>
      <c r="CV28" s="390">
        <f>_xlfn.XLOOKUP(MONTH(CV$5),Assumptions!$F$38:$Q$38,Assumptions!$F$42:$Q$42)</f>
        <v>0.25</v>
      </c>
      <c r="CW28" s="390">
        <f>_xlfn.XLOOKUP(MONTH(CW$5),Assumptions!$F$38:$Q$38,Assumptions!$F$42:$Q$42)</f>
        <v>0.25</v>
      </c>
      <c r="CX28" s="390">
        <f>_xlfn.XLOOKUP(MONTH(CX$5),Assumptions!$F$38:$Q$38,Assumptions!$F$42:$Q$42)</f>
        <v>0.5</v>
      </c>
      <c r="CY28" s="390">
        <f>_xlfn.XLOOKUP(MONTH(CY$5),Assumptions!$F$38:$Q$38,Assumptions!$F$42:$Q$42)</f>
        <v>0.75</v>
      </c>
      <c r="CZ28" s="390">
        <f>_xlfn.XLOOKUP(MONTH(CZ$5),Assumptions!$F$38:$Q$38,Assumptions!$F$42:$Q$42)</f>
        <v>1</v>
      </c>
      <c r="DA28" s="390">
        <f>_xlfn.XLOOKUP(MONTH(DA$5),Assumptions!$F$38:$Q$38,Assumptions!$F$42:$Q$42)</f>
        <v>1</v>
      </c>
      <c r="DB28" s="390">
        <f>_xlfn.XLOOKUP(MONTH(DB$5),Assumptions!$F$38:$Q$38,Assumptions!$F$42:$Q$42)</f>
        <v>1</v>
      </c>
      <c r="DC28" s="390">
        <f>_xlfn.XLOOKUP(MONTH(DC$5),Assumptions!$F$38:$Q$38,Assumptions!$F$42:$Q$42)</f>
        <v>0.75</v>
      </c>
      <c r="DD28" s="390">
        <f>_xlfn.XLOOKUP(MONTH(DD$5),Assumptions!$F$38:$Q$38,Assumptions!$F$42:$Q$42)</f>
        <v>0.5</v>
      </c>
      <c r="DE28" s="390">
        <f>_xlfn.XLOOKUP(MONTH(DE$5),Assumptions!$F$38:$Q$38,Assumptions!$F$42:$Q$42)</f>
        <v>0.25</v>
      </c>
      <c r="DF28" s="390">
        <f>_xlfn.XLOOKUP(MONTH(DF$5),Assumptions!$F$38:$Q$38,Assumptions!$F$42:$Q$42)</f>
        <v>0.25</v>
      </c>
      <c r="DG28" s="390">
        <f>_xlfn.XLOOKUP(MONTH(DG$5),Assumptions!$F$38:$Q$38,Assumptions!$F$42:$Q$42)</f>
        <v>0.25</v>
      </c>
      <c r="DH28" s="390">
        <f>_xlfn.XLOOKUP(MONTH(DH$5),Assumptions!$F$38:$Q$38,Assumptions!$F$42:$Q$42)</f>
        <v>0.25</v>
      </c>
      <c r="DI28" s="390">
        <f>_xlfn.XLOOKUP(MONTH(DI$5),Assumptions!$F$38:$Q$38,Assumptions!$F$42:$Q$42)</f>
        <v>0.25</v>
      </c>
      <c r="DJ28" s="390">
        <f>_xlfn.XLOOKUP(MONTH(DJ$5),Assumptions!$F$38:$Q$38,Assumptions!$F$42:$Q$42)</f>
        <v>0.5</v>
      </c>
      <c r="DK28" s="390">
        <f>_xlfn.XLOOKUP(MONTH(DK$5),Assumptions!$F$38:$Q$38,Assumptions!$F$42:$Q$42)</f>
        <v>0.75</v>
      </c>
      <c r="DL28" s="390">
        <f>_xlfn.XLOOKUP(MONTH(DL$5),Assumptions!$F$38:$Q$38,Assumptions!$F$42:$Q$42)</f>
        <v>1</v>
      </c>
      <c r="DM28" s="390">
        <f>_xlfn.XLOOKUP(MONTH(DM$5),Assumptions!$F$38:$Q$38,Assumptions!$F$42:$Q$42)</f>
        <v>1</v>
      </c>
      <c r="DN28" s="390">
        <f>_xlfn.XLOOKUP(MONTH(DN$5),Assumptions!$F$38:$Q$38,Assumptions!$F$42:$Q$42)</f>
        <v>1</v>
      </c>
      <c r="DO28" s="390">
        <f>_xlfn.XLOOKUP(MONTH(DO$5),Assumptions!$F$38:$Q$38,Assumptions!$F$42:$Q$42)</f>
        <v>0.75</v>
      </c>
      <c r="DP28" s="390">
        <f>_xlfn.XLOOKUP(MONTH(DP$5),Assumptions!$F$38:$Q$38,Assumptions!$F$42:$Q$42)</f>
        <v>0.5</v>
      </c>
      <c r="DQ28" s="390">
        <f>_xlfn.XLOOKUP(MONTH(DQ$5),Assumptions!$F$38:$Q$38,Assumptions!$F$42:$Q$42)</f>
        <v>0.25</v>
      </c>
      <c r="DR28" s="390">
        <f>_xlfn.XLOOKUP(MONTH(DR$5),Assumptions!$F$38:$Q$38,Assumptions!$F$42:$Q$42)</f>
        <v>0.25</v>
      </c>
      <c r="DS28" s="159"/>
      <c r="DT28" s="159"/>
      <c r="DU28" s="159"/>
      <c r="DV28" s="159"/>
      <c r="DW28" s="159"/>
      <c r="DX28" s="159"/>
      <c r="DY28" s="159"/>
      <c r="DZ28" s="159"/>
      <c r="EA28" s="159"/>
      <c r="EB28" s="159"/>
      <c r="EC28" s="159"/>
      <c r="ED28" s="159"/>
    </row>
    <row r="29" spans="1:134" s="393" customFormat="1" ht="16" x14ac:dyDescent="0.2">
      <c r="A29" s="391"/>
      <c r="B29" s="281" t="s">
        <v>775</v>
      </c>
      <c r="C29" s="392">
        <f>C27*C28</f>
        <v>0</v>
      </c>
      <c r="D29" s="392">
        <f t="shared" ref="D29:BO29" si="28">D27*D28</f>
        <v>0</v>
      </c>
      <c r="E29" s="392">
        <f t="shared" si="28"/>
        <v>0</v>
      </c>
      <c r="F29" s="392">
        <f t="shared" si="28"/>
        <v>0</v>
      </c>
      <c r="G29" s="392">
        <f t="shared" si="28"/>
        <v>0</v>
      </c>
      <c r="H29" s="392">
        <f t="shared" si="28"/>
        <v>0</v>
      </c>
      <c r="I29" s="392">
        <f t="shared" si="28"/>
        <v>0</v>
      </c>
      <c r="J29" s="392">
        <f t="shared" si="28"/>
        <v>0</v>
      </c>
      <c r="K29" s="392">
        <f t="shared" si="28"/>
        <v>0</v>
      </c>
      <c r="L29" s="392">
        <f t="shared" si="28"/>
        <v>0</v>
      </c>
      <c r="M29" s="392">
        <f t="shared" si="28"/>
        <v>0</v>
      </c>
      <c r="N29" s="392">
        <f t="shared" si="28"/>
        <v>0</v>
      </c>
      <c r="O29" s="392">
        <f t="shared" si="28"/>
        <v>0</v>
      </c>
      <c r="P29" s="392">
        <f t="shared" si="28"/>
        <v>0</v>
      </c>
      <c r="Q29" s="392">
        <f t="shared" si="28"/>
        <v>0</v>
      </c>
      <c r="R29" s="392">
        <f t="shared" si="28"/>
        <v>0</v>
      </c>
      <c r="S29" s="392">
        <f t="shared" si="28"/>
        <v>0</v>
      </c>
      <c r="T29" s="392">
        <f t="shared" si="28"/>
        <v>0</v>
      </c>
      <c r="U29" s="392">
        <f t="shared" si="28"/>
        <v>0</v>
      </c>
      <c r="V29" s="392">
        <f t="shared" si="28"/>
        <v>0</v>
      </c>
      <c r="W29" s="392">
        <f t="shared" si="28"/>
        <v>0</v>
      </c>
      <c r="X29" s="392">
        <f t="shared" si="28"/>
        <v>0</v>
      </c>
      <c r="Y29" s="392">
        <f t="shared" si="28"/>
        <v>0</v>
      </c>
      <c r="Z29" s="392">
        <f t="shared" si="28"/>
        <v>0</v>
      </c>
      <c r="AA29" s="392">
        <f t="shared" ca="1" si="28"/>
        <v>59189.379166666658</v>
      </c>
      <c r="AB29" s="392">
        <f t="shared" ca="1" si="28"/>
        <v>59189.379166666658</v>
      </c>
      <c r="AC29" s="392">
        <f t="shared" ca="1" si="28"/>
        <v>59189.379166666658</v>
      </c>
      <c r="AD29" s="392">
        <f t="shared" ca="1" si="28"/>
        <v>118378.75833333332</v>
      </c>
      <c r="AE29" s="392">
        <f t="shared" ca="1" si="28"/>
        <v>177568.13749999998</v>
      </c>
      <c r="AF29" s="392">
        <f t="shared" ca="1" si="28"/>
        <v>236757.51666666663</v>
      </c>
      <c r="AG29" s="392">
        <f t="shared" ca="1" si="28"/>
        <v>236757.51666666663</v>
      </c>
      <c r="AH29" s="392">
        <f t="shared" ca="1" si="28"/>
        <v>236757.51666666663</v>
      </c>
      <c r="AI29" s="392">
        <f t="shared" ca="1" si="28"/>
        <v>177568.13749999998</v>
      </c>
      <c r="AJ29" s="392">
        <f t="shared" ca="1" si="28"/>
        <v>118378.75833333332</v>
      </c>
      <c r="AK29" s="392">
        <f t="shared" ca="1" si="28"/>
        <v>59189.379166666658</v>
      </c>
      <c r="AL29" s="392">
        <f t="shared" ca="1" si="28"/>
        <v>59189.379166666658</v>
      </c>
      <c r="AM29" s="392">
        <f t="shared" ca="1" si="28"/>
        <v>60965.060541666659</v>
      </c>
      <c r="AN29" s="392">
        <f t="shared" ca="1" si="28"/>
        <v>60965.060541666659</v>
      </c>
      <c r="AO29" s="392">
        <f t="shared" ca="1" si="28"/>
        <v>60965.060541666659</v>
      </c>
      <c r="AP29" s="392">
        <f t="shared" ca="1" si="28"/>
        <v>121930.12108333332</v>
      </c>
      <c r="AQ29" s="392">
        <f t="shared" ca="1" si="28"/>
        <v>182895.18162499997</v>
      </c>
      <c r="AR29" s="392">
        <f t="shared" ca="1" si="28"/>
        <v>243860.24216666663</v>
      </c>
      <c r="AS29" s="392">
        <f t="shared" ca="1" si="28"/>
        <v>243860.24216666663</v>
      </c>
      <c r="AT29" s="392">
        <f t="shared" ca="1" si="28"/>
        <v>243860.24216666663</v>
      </c>
      <c r="AU29" s="392">
        <f t="shared" ca="1" si="28"/>
        <v>182895.18162499997</v>
      </c>
      <c r="AV29" s="392">
        <f t="shared" ca="1" si="28"/>
        <v>121930.12108333332</v>
      </c>
      <c r="AW29" s="392">
        <f t="shared" ca="1" si="28"/>
        <v>60965.060541666659</v>
      </c>
      <c r="AX29" s="392">
        <f t="shared" ca="1" si="28"/>
        <v>60965.060541666659</v>
      </c>
      <c r="AY29" s="392">
        <f t="shared" ca="1" si="28"/>
        <v>62794.012357916661</v>
      </c>
      <c r="AZ29" s="392">
        <f t="shared" ca="1" si="28"/>
        <v>62794.012357916661</v>
      </c>
      <c r="BA29" s="392">
        <f t="shared" ca="1" si="28"/>
        <v>62794.012357916661</v>
      </c>
      <c r="BB29" s="392">
        <f t="shared" ca="1" si="28"/>
        <v>125588.02471583332</v>
      </c>
      <c r="BC29" s="392">
        <f t="shared" ca="1" si="28"/>
        <v>188382.03707374999</v>
      </c>
      <c r="BD29" s="392">
        <f t="shared" ca="1" si="28"/>
        <v>251176.04943166664</v>
      </c>
      <c r="BE29" s="392">
        <f t="shared" ca="1" si="28"/>
        <v>251176.04943166664</v>
      </c>
      <c r="BF29" s="392">
        <f t="shared" ca="1" si="28"/>
        <v>251176.04943166664</v>
      </c>
      <c r="BG29" s="392">
        <f t="shared" ca="1" si="28"/>
        <v>188382.03707374999</v>
      </c>
      <c r="BH29" s="392">
        <f t="shared" ca="1" si="28"/>
        <v>125588.02471583332</v>
      </c>
      <c r="BI29" s="392">
        <f t="shared" ca="1" si="28"/>
        <v>62794.012357916661</v>
      </c>
      <c r="BJ29" s="392">
        <f t="shared" ca="1" si="28"/>
        <v>62794.012357916661</v>
      </c>
      <c r="BK29" s="392">
        <f t="shared" ca="1" si="28"/>
        <v>64677.832728654161</v>
      </c>
      <c r="BL29" s="392">
        <f t="shared" ca="1" si="28"/>
        <v>64677.832728654161</v>
      </c>
      <c r="BM29" s="392">
        <f t="shared" ca="1" si="28"/>
        <v>64677.832728654161</v>
      </c>
      <c r="BN29" s="392">
        <f t="shared" ca="1" si="28"/>
        <v>129355.66545730832</v>
      </c>
      <c r="BO29" s="392">
        <f t="shared" ca="1" si="28"/>
        <v>194033.4981859625</v>
      </c>
      <c r="BP29" s="392">
        <f t="shared" ref="BP29:DR29" ca="1" si="29">BP27*BP28</f>
        <v>258711.33091461664</v>
      </c>
      <c r="BQ29" s="392">
        <f t="shared" ca="1" si="29"/>
        <v>258711.33091461664</v>
      </c>
      <c r="BR29" s="392">
        <f t="shared" ca="1" si="29"/>
        <v>258711.33091461664</v>
      </c>
      <c r="BS29" s="392">
        <f t="shared" ca="1" si="29"/>
        <v>194033.4981859625</v>
      </c>
      <c r="BT29" s="392">
        <f t="shared" ca="1" si="29"/>
        <v>129355.66545730832</v>
      </c>
      <c r="BU29" s="392">
        <f t="shared" ca="1" si="29"/>
        <v>64677.832728654161</v>
      </c>
      <c r="BV29" s="392">
        <f t="shared" ca="1" si="29"/>
        <v>64677.832728654161</v>
      </c>
      <c r="BW29" s="392">
        <f t="shared" ca="1" si="29"/>
        <v>66618.167710513793</v>
      </c>
      <c r="BX29" s="392">
        <f t="shared" ca="1" si="29"/>
        <v>66618.167710513793</v>
      </c>
      <c r="BY29" s="392">
        <f t="shared" ca="1" si="29"/>
        <v>66618.167710513793</v>
      </c>
      <c r="BZ29" s="392">
        <f t="shared" ca="1" si="29"/>
        <v>133236.33542102759</v>
      </c>
      <c r="CA29" s="392">
        <f t="shared" ca="1" si="29"/>
        <v>199854.50313154137</v>
      </c>
      <c r="CB29" s="392">
        <f t="shared" ca="1" si="29"/>
        <v>266472.67084205517</v>
      </c>
      <c r="CC29" s="392">
        <f t="shared" ca="1" si="29"/>
        <v>266472.67084205517</v>
      </c>
      <c r="CD29" s="392">
        <f t="shared" ca="1" si="29"/>
        <v>266472.67084205517</v>
      </c>
      <c r="CE29" s="392">
        <f t="shared" ca="1" si="29"/>
        <v>199854.50313154137</v>
      </c>
      <c r="CF29" s="392">
        <f t="shared" ca="1" si="29"/>
        <v>133236.33542102759</v>
      </c>
      <c r="CG29" s="392">
        <f t="shared" ca="1" si="29"/>
        <v>66618.167710513793</v>
      </c>
      <c r="CH29" s="392">
        <f t="shared" ca="1" si="29"/>
        <v>66618.167710513793</v>
      </c>
      <c r="CI29" s="392">
        <f t="shared" ca="1" si="29"/>
        <v>68616.712741829193</v>
      </c>
      <c r="CJ29" s="392">
        <f t="shared" ca="1" si="29"/>
        <v>68616.712741829193</v>
      </c>
      <c r="CK29" s="392">
        <f t="shared" ca="1" si="29"/>
        <v>68616.712741829193</v>
      </c>
      <c r="CL29" s="392">
        <f t="shared" ca="1" si="29"/>
        <v>137233.42548365839</v>
      </c>
      <c r="CM29" s="392">
        <f t="shared" ca="1" si="29"/>
        <v>205850.13822548758</v>
      </c>
      <c r="CN29" s="392">
        <f t="shared" ca="1" si="29"/>
        <v>274466.85096731677</v>
      </c>
      <c r="CO29" s="392">
        <f t="shared" ca="1" si="29"/>
        <v>274466.85096731677</v>
      </c>
      <c r="CP29" s="392">
        <f t="shared" ca="1" si="29"/>
        <v>274466.85096731677</v>
      </c>
      <c r="CQ29" s="392">
        <f t="shared" ca="1" si="29"/>
        <v>205850.13822548758</v>
      </c>
      <c r="CR29" s="392">
        <f t="shared" ca="1" si="29"/>
        <v>137233.42548365839</v>
      </c>
      <c r="CS29" s="392">
        <f t="shared" ca="1" si="29"/>
        <v>68616.712741829193</v>
      </c>
      <c r="CT29" s="392">
        <f t="shared" ca="1" si="29"/>
        <v>68616.712741829193</v>
      </c>
      <c r="CU29" s="392">
        <f t="shared" ca="1" si="29"/>
        <v>70675.214124084087</v>
      </c>
      <c r="CV29" s="392">
        <f t="shared" ca="1" si="29"/>
        <v>70675.214124084087</v>
      </c>
      <c r="CW29" s="392">
        <f t="shared" ca="1" si="29"/>
        <v>70675.214124084087</v>
      </c>
      <c r="CX29" s="392">
        <f t="shared" ca="1" si="29"/>
        <v>141350.42824816817</v>
      </c>
      <c r="CY29" s="392">
        <f t="shared" ca="1" si="29"/>
        <v>212025.64237225224</v>
      </c>
      <c r="CZ29" s="392">
        <f t="shared" ca="1" si="29"/>
        <v>282700.85649633635</v>
      </c>
      <c r="DA29" s="392">
        <f t="shared" ca="1" si="29"/>
        <v>282700.85649633635</v>
      </c>
      <c r="DB29" s="392">
        <f t="shared" ca="1" si="29"/>
        <v>282700.85649633635</v>
      </c>
      <c r="DC29" s="392">
        <f t="shared" ca="1" si="29"/>
        <v>212025.64237225224</v>
      </c>
      <c r="DD29" s="392">
        <f t="shared" ca="1" si="29"/>
        <v>141350.42824816817</v>
      </c>
      <c r="DE29" s="392">
        <f t="shared" ca="1" si="29"/>
        <v>70675.214124084087</v>
      </c>
      <c r="DF29" s="392">
        <f t="shared" ca="1" si="29"/>
        <v>70675.214124084087</v>
      </c>
      <c r="DG29" s="392" t="e">
        <f t="shared" ca="1" si="29"/>
        <v>#N/A</v>
      </c>
      <c r="DH29" s="392" t="e">
        <f t="shared" ca="1" si="29"/>
        <v>#N/A</v>
      </c>
      <c r="DI29" s="392" t="e">
        <f t="shared" ca="1" si="29"/>
        <v>#N/A</v>
      </c>
      <c r="DJ29" s="392" t="e">
        <f t="shared" ca="1" si="29"/>
        <v>#N/A</v>
      </c>
      <c r="DK29" s="392" t="e">
        <f t="shared" ca="1" si="29"/>
        <v>#N/A</v>
      </c>
      <c r="DL29" s="392" t="e">
        <f t="shared" ca="1" si="29"/>
        <v>#N/A</v>
      </c>
      <c r="DM29" s="392" t="e">
        <f t="shared" ca="1" si="29"/>
        <v>#N/A</v>
      </c>
      <c r="DN29" s="392" t="e">
        <f t="shared" ca="1" si="29"/>
        <v>#N/A</v>
      </c>
      <c r="DO29" s="392" t="e">
        <f t="shared" ca="1" si="29"/>
        <v>#N/A</v>
      </c>
      <c r="DP29" s="392" t="e">
        <f t="shared" ca="1" si="29"/>
        <v>#N/A</v>
      </c>
      <c r="DQ29" s="392" t="e">
        <f t="shared" ca="1" si="29"/>
        <v>#N/A</v>
      </c>
      <c r="DR29" s="392" t="e">
        <f t="shared" ca="1" si="29"/>
        <v>#N/A</v>
      </c>
      <c r="DS29" s="392"/>
      <c r="DT29" s="392"/>
      <c r="DU29" s="392"/>
      <c r="DV29" s="392"/>
      <c r="DW29" s="392"/>
      <c r="DX29" s="392"/>
      <c r="DY29" s="392"/>
      <c r="DZ29" s="392"/>
      <c r="EA29" s="392"/>
      <c r="EB29" s="392"/>
      <c r="EC29" s="392"/>
      <c r="ED29" s="392"/>
    </row>
    <row r="30" spans="1:134" s="393" customFormat="1" ht="16" x14ac:dyDescent="0.2">
      <c r="A30" s="391"/>
      <c r="B30" s="281" t="s">
        <v>776</v>
      </c>
      <c r="C30" s="396">
        <f>C29*Assumptions!$C$67</f>
        <v>0</v>
      </c>
      <c r="D30" s="396">
        <f>D29*Assumptions!$C$67</f>
        <v>0</v>
      </c>
      <c r="E30" s="396">
        <f>E29*Assumptions!$C$67</f>
        <v>0</v>
      </c>
      <c r="F30" s="396">
        <f>F29*Assumptions!$C$67</f>
        <v>0</v>
      </c>
      <c r="G30" s="396">
        <f>G29*Assumptions!$C$67</f>
        <v>0</v>
      </c>
      <c r="H30" s="396">
        <f>H29*Assumptions!$C$67</f>
        <v>0</v>
      </c>
      <c r="I30" s="396">
        <f>I29*Assumptions!$C$67</f>
        <v>0</v>
      </c>
      <c r="J30" s="396">
        <f>J29*Assumptions!$C$67</f>
        <v>0</v>
      </c>
      <c r="K30" s="396">
        <f>K29*Assumptions!$C$67</f>
        <v>0</v>
      </c>
      <c r="L30" s="396">
        <f>L29*Assumptions!$C$67</f>
        <v>0</v>
      </c>
      <c r="M30" s="396">
        <f>M29*Assumptions!$C$67</f>
        <v>0</v>
      </c>
      <c r="N30" s="396">
        <f>N29*Assumptions!$C$67</f>
        <v>0</v>
      </c>
      <c r="O30" s="396">
        <f>O29*Assumptions!$C$67</f>
        <v>0</v>
      </c>
      <c r="P30" s="396">
        <f>P29*Assumptions!$C$67</f>
        <v>0</v>
      </c>
      <c r="Q30" s="396">
        <f>Q29*Assumptions!$C$67</f>
        <v>0</v>
      </c>
      <c r="R30" s="396">
        <f>R29*Assumptions!$C$67</f>
        <v>0</v>
      </c>
      <c r="S30" s="396">
        <f>S29*Assumptions!$C$67</f>
        <v>0</v>
      </c>
      <c r="T30" s="396">
        <f>T29*Assumptions!$C$67</f>
        <v>0</v>
      </c>
      <c r="U30" s="396">
        <f>U29*Assumptions!$C$67</f>
        <v>0</v>
      </c>
      <c r="V30" s="396">
        <f>V29*Assumptions!$C$67</f>
        <v>0</v>
      </c>
      <c r="W30" s="396">
        <f>W29*Assumptions!$C$67</f>
        <v>0</v>
      </c>
      <c r="X30" s="396">
        <f>X29*Assumptions!$C$67</f>
        <v>0</v>
      </c>
      <c r="Y30" s="396">
        <f>Y29*Assumptions!$C$67</f>
        <v>0</v>
      </c>
      <c r="Z30" s="396">
        <f>Z29*Assumptions!$C$67</f>
        <v>0</v>
      </c>
      <c r="AA30" s="396">
        <f ca="1">AA29*Assumptions!$C$67</f>
        <v>5918.9379166666658</v>
      </c>
      <c r="AB30" s="396">
        <f ca="1">AB29*Assumptions!$C$67</f>
        <v>5918.9379166666658</v>
      </c>
      <c r="AC30" s="396">
        <f ca="1">AC29*Assumptions!$C$67</f>
        <v>5918.9379166666658</v>
      </c>
      <c r="AD30" s="396">
        <f ca="1">AD29*Assumptions!$C$67</f>
        <v>11837.875833333332</v>
      </c>
      <c r="AE30" s="396">
        <f ca="1">AE29*Assumptions!$C$67</f>
        <v>17756.813749999998</v>
      </c>
      <c r="AF30" s="396">
        <f ca="1">AF29*Assumptions!$C$67</f>
        <v>23675.751666666663</v>
      </c>
      <c r="AG30" s="396">
        <f ca="1">AG29*Assumptions!$C$67</f>
        <v>23675.751666666663</v>
      </c>
      <c r="AH30" s="396">
        <f ca="1">AH29*Assumptions!$C$67</f>
        <v>23675.751666666663</v>
      </c>
      <c r="AI30" s="396">
        <f ca="1">AI29*Assumptions!$C$67</f>
        <v>17756.813749999998</v>
      </c>
      <c r="AJ30" s="396">
        <f ca="1">AJ29*Assumptions!$C$67</f>
        <v>11837.875833333332</v>
      </c>
      <c r="AK30" s="396">
        <f ca="1">AK29*Assumptions!$C$67</f>
        <v>5918.9379166666658</v>
      </c>
      <c r="AL30" s="396">
        <f ca="1">AL29*Assumptions!$C$67</f>
        <v>5918.9379166666658</v>
      </c>
      <c r="AM30" s="396">
        <f ca="1">AM29*Assumptions!$C$67</f>
        <v>6096.5060541666662</v>
      </c>
      <c r="AN30" s="396">
        <f ca="1">AN29*Assumptions!$C$67</f>
        <v>6096.5060541666662</v>
      </c>
      <c r="AO30" s="396">
        <f ca="1">AO29*Assumptions!$C$67</f>
        <v>6096.5060541666662</v>
      </c>
      <c r="AP30" s="396">
        <f ca="1">AP29*Assumptions!$C$67</f>
        <v>12193.012108333332</v>
      </c>
      <c r="AQ30" s="396">
        <f ca="1">AQ29*Assumptions!$C$67</f>
        <v>18289.518162499997</v>
      </c>
      <c r="AR30" s="396">
        <f ca="1">AR29*Assumptions!$C$67</f>
        <v>24386.024216666665</v>
      </c>
      <c r="AS30" s="396">
        <f ca="1">AS29*Assumptions!$C$67</f>
        <v>24386.024216666665</v>
      </c>
      <c r="AT30" s="396">
        <f ca="1">AT29*Assumptions!$C$67</f>
        <v>24386.024216666665</v>
      </c>
      <c r="AU30" s="396">
        <f ca="1">AU29*Assumptions!$C$67</f>
        <v>18289.518162499997</v>
      </c>
      <c r="AV30" s="396">
        <f ca="1">AV29*Assumptions!$C$67</f>
        <v>12193.012108333332</v>
      </c>
      <c r="AW30" s="396">
        <f ca="1">AW29*Assumptions!$C$67</f>
        <v>6096.5060541666662</v>
      </c>
      <c r="AX30" s="396">
        <f ca="1">AX29*Assumptions!$C$67</f>
        <v>6096.5060541666662</v>
      </c>
      <c r="AY30" s="396">
        <f ca="1">AY29*Assumptions!$C$67</f>
        <v>6279.4012357916663</v>
      </c>
      <c r="AZ30" s="396">
        <f ca="1">AZ29*Assumptions!$C$67</f>
        <v>6279.4012357916663</v>
      </c>
      <c r="BA30" s="396">
        <f ca="1">BA29*Assumptions!$C$67</f>
        <v>6279.4012357916663</v>
      </c>
      <c r="BB30" s="396">
        <f ca="1">BB29*Assumptions!$C$67</f>
        <v>12558.802471583333</v>
      </c>
      <c r="BC30" s="396">
        <f ca="1">BC29*Assumptions!$C$67</f>
        <v>18838.203707375</v>
      </c>
      <c r="BD30" s="396">
        <f ca="1">BD29*Assumptions!$C$67</f>
        <v>25117.604943166665</v>
      </c>
      <c r="BE30" s="396">
        <f ca="1">BE29*Assumptions!$C$67</f>
        <v>25117.604943166665</v>
      </c>
      <c r="BF30" s="396">
        <f ca="1">BF29*Assumptions!$C$67</f>
        <v>25117.604943166665</v>
      </c>
      <c r="BG30" s="396">
        <f ca="1">BG29*Assumptions!$C$67</f>
        <v>18838.203707375</v>
      </c>
      <c r="BH30" s="396">
        <f ca="1">BH29*Assumptions!$C$67</f>
        <v>12558.802471583333</v>
      </c>
      <c r="BI30" s="396">
        <f ca="1">BI29*Assumptions!$C$67</f>
        <v>6279.4012357916663</v>
      </c>
      <c r="BJ30" s="396">
        <f ca="1">BJ29*Assumptions!$C$67</f>
        <v>6279.4012357916663</v>
      </c>
      <c r="BK30" s="396">
        <f ca="1">BK29*Assumptions!$C$67</f>
        <v>6467.7832728654166</v>
      </c>
      <c r="BL30" s="396">
        <f ca="1">BL29*Assumptions!$C$67</f>
        <v>6467.7832728654166</v>
      </c>
      <c r="BM30" s="396">
        <f ca="1">BM29*Assumptions!$C$67</f>
        <v>6467.7832728654166</v>
      </c>
      <c r="BN30" s="396">
        <f ca="1">BN29*Assumptions!$C$67</f>
        <v>12935.566545730833</v>
      </c>
      <c r="BO30" s="396">
        <f ca="1">BO29*Assumptions!$C$67</f>
        <v>19403.349818596249</v>
      </c>
      <c r="BP30" s="396">
        <f ca="1">BP29*Assumptions!$C$67</f>
        <v>25871.133091461666</v>
      </c>
      <c r="BQ30" s="396">
        <f ca="1">BQ29*Assumptions!$C$67</f>
        <v>25871.133091461666</v>
      </c>
      <c r="BR30" s="396">
        <f ca="1">BR29*Assumptions!$C$67</f>
        <v>25871.133091461666</v>
      </c>
      <c r="BS30" s="396">
        <f ca="1">BS29*Assumptions!$C$67</f>
        <v>19403.349818596249</v>
      </c>
      <c r="BT30" s="396">
        <f ca="1">BT29*Assumptions!$C$67</f>
        <v>12935.566545730833</v>
      </c>
      <c r="BU30" s="396">
        <f ca="1">BU29*Assumptions!$C$67</f>
        <v>6467.7832728654166</v>
      </c>
      <c r="BV30" s="396">
        <f ca="1">BV29*Assumptions!$C$67</f>
        <v>6467.7832728654166</v>
      </c>
      <c r="BW30" s="396">
        <f ca="1">BW29*Assumptions!$C$67</f>
        <v>6661.8167710513799</v>
      </c>
      <c r="BX30" s="396">
        <f ca="1">BX29*Assumptions!$C$67</f>
        <v>6661.8167710513799</v>
      </c>
      <c r="BY30" s="396">
        <f ca="1">BY29*Assumptions!$C$67</f>
        <v>6661.8167710513799</v>
      </c>
      <c r="BZ30" s="396">
        <f ca="1">BZ29*Assumptions!$C$67</f>
        <v>13323.63354210276</v>
      </c>
      <c r="CA30" s="396">
        <f ca="1">CA29*Assumptions!$C$67</f>
        <v>19985.450313154139</v>
      </c>
      <c r="CB30" s="396">
        <f ca="1">CB29*Assumptions!$C$67</f>
        <v>26647.267084205519</v>
      </c>
      <c r="CC30" s="396">
        <f ca="1">CC29*Assumptions!$C$67</f>
        <v>26647.267084205519</v>
      </c>
      <c r="CD30" s="396">
        <f ca="1">CD29*Assumptions!$C$67</f>
        <v>26647.267084205519</v>
      </c>
      <c r="CE30" s="396">
        <f ca="1">CE29*Assumptions!$C$67</f>
        <v>19985.450313154139</v>
      </c>
      <c r="CF30" s="396">
        <f ca="1">CF29*Assumptions!$C$67</f>
        <v>13323.63354210276</v>
      </c>
      <c r="CG30" s="396">
        <f ca="1">CG29*Assumptions!$C$67</f>
        <v>6661.8167710513799</v>
      </c>
      <c r="CH30" s="396">
        <f ca="1">CH29*Assumptions!$C$67</f>
        <v>6661.8167710513799</v>
      </c>
      <c r="CI30" s="396">
        <f ca="1">CI29*Assumptions!$C$67</f>
        <v>6861.6712741829197</v>
      </c>
      <c r="CJ30" s="396">
        <f ca="1">CJ29*Assumptions!$C$67</f>
        <v>6861.6712741829197</v>
      </c>
      <c r="CK30" s="396">
        <f ca="1">CK29*Assumptions!$C$67</f>
        <v>6861.6712741829197</v>
      </c>
      <c r="CL30" s="396">
        <f ca="1">CL29*Assumptions!$C$67</f>
        <v>13723.342548365839</v>
      </c>
      <c r="CM30" s="396">
        <f ca="1">CM29*Assumptions!$C$67</f>
        <v>20585.013822548761</v>
      </c>
      <c r="CN30" s="396">
        <f ca="1">CN29*Assumptions!$C$67</f>
        <v>27446.685096731679</v>
      </c>
      <c r="CO30" s="396">
        <f ca="1">CO29*Assumptions!$C$67</f>
        <v>27446.685096731679</v>
      </c>
      <c r="CP30" s="396">
        <f ca="1">CP29*Assumptions!$C$67</f>
        <v>27446.685096731679</v>
      </c>
      <c r="CQ30" s="396">
        <f ca="1">CQ29*Assumptions!$C$67</f>
        <v>20585.013822548761</v>
      </c>
      <c r="CR30" s="396">
        <f ca="1">CR29*Assumptions!$C$67</f>
        <v>13723.342548365839</v>
      </c>
      <c r="CS30" s="396">
        <f ca="1">CS29*Assumptions!$C$67</f>
        <v>6861.6712741829197</v>
      </c>
      <c r="CT30" s="396">
        <f ca="1">CT29*Assumptions!$C$67</f>
        <v>6861.6712741829197</v>
      </c>
      <c r="CU30" s="396">
        <f ca="1">CU29*Assumptions!$C$67</f>
        <v>7067.5214124084087</v>
      </c>
      <c r="CV30" s="396">
        <f ca="1">CV29*Assumptions!$C$67</f>
        <v>7067.5214124084087</v>
      </c>
      <c r="CW30" s="396">
        <f ca="1">CW29*Assumptions!$C$67</f>
        <v>7067.5214124084087</v>
      </c>
      <c r="CX30" s="396">
        <f ca="1">CX29*Assumptions!$C$67</f>
        <v>14135.042824816817</v>
      </c>
      <c r="CY30" s="396">
        <f ca="1">CY29*Assumptions!$C$67</f>
        <v>21202.564237225226</v>
      </c>
      <c r="CZ30" s="396">
        <f ca="1">CZ29*Assumptions!$C$67</f>
        <v>28270.085649633635</v>
      </c>
      <c r="DA30" s="396">
        <f ca="1">DA29*Assumptions!$C$67</f>
        <v>28270.085649633635</v>
      </c>
      <c r="DB30" s="396">
        <f ca="1">DB29*Assumptions!$C$67</f>
        <v>28270.085649633635</v>
      </c>
      <c r="DC30" s="396">
        <f ca="1">DC29*Assumptions!$C$67</f>
        <v>21202.564237225226</v>
      </c>
      <c r="DD30" s="396">
        <f ca="1">DD29*Assumptions!$C$67</f>
        <v>14135.042824816817</v>
      </c>
      <c r="DE30" s="396">
        <f ca="1">DE29*Assumptions!$C$67</f>
        <v>7067.5214124084087</v>
      </c>
      <c r="DF30" s="396">
        <f ca="1">DF29*Assumptions!$C$67</f>
        <v>7067.5214124084087</v>
      </c>
      <c r="DG30" s="396" t="e">
        <f ca="1">DG29*Assumptions!$C$67</f>
        <v>#N/A</v>
      </c>
      <c r="DH30" s="396" t="e">
        <f ca="1">DH29*Assumptions!$C$67</f>
        <v>#N/A</v>
      </c>
      <c r="DI30" s="396" t="e">
        <f ca="1">DI29*Assumptions!$C$67</f>
        <v>#N/A</v>
      </c>
      <c r="DJ30" s="396" t="e">
        <f ca="1">DJ29*Assumptions!$C$67</f>
        <v>#N/A</v>
      </c>
      <c r="DK30" s="396" t="e">
        <f ca="1">DK29*Assumptions!$C$67</f>
        <v>#N/A</v>
      </c>
      <c r="DL30" s="396" t="e">
        <f ca="1">DL29*Assumptions!$C$67</f>
        <v>#N/A</v>
      </c>
      <c r="DM30" s="396" t="e">
        <f ca="1">DM29*Assumptions!$C$67</f>
        <v>#N/A</v>
      </c>
      <c r="DN30" s="396" t="e">
        <f ca="1">DN29*Assumptions!$C$67</f>
        <v>#N/A</v>
      </c>
      <c r="DO30" s="396" t="e">
        <f ca="1">DO29*Assumptions!$C$67</f>
        <v>#N/A</v>
      </c>
      <c r="DP30" s="396" t="e">
        <f ca="1">DP29*Assumptions!$C$67</f>
        <v>#N/A</v>
      </c>
      <c r="DQ30" s="396" t="e">
        <f ca="1">DQ29*Assumptions!$C$67</f>
        <v>#N/A</v>
      </c>
      <c r="DR30" s="396" t="e">
        <f ca="1">DR29*Assumptions!$C$67</f>
        <v>#N/A</v>
      </c>
      <c r="DS30" s="396"/>
      <c r="DT30" s="396"/>
      <c r="DU30" s="396"/>
      <c r="DV30" s="396"/>
      <c r="DW30" s="396"/>
      <c r="DX30" s="396"/>
      <c r="DY30" s="396"/>
      <c r="DZ30" s="396"/>
      <c r="EA30" s="396"/>
      <c r="EB30" s="396"/>
      <c r="EC30" s="396"/>
      <c r="ED30" s="396"/>
    </row>
    <row r="31" spans="1:134" s="393" customFormat="1" ht="16" x14ac:dyDescent="0.2">
      <c r="A31" s="391"/>
      <c r="B31" s="398" t="s">
        <v>112</v>
      </c>
      <c r="C31" s="395">
        <f>IF(C29=0,0,-Assumptions!$C$68/Assumptions!$C$66)</f>
        <v>0</v>
      </c>
      <c r="D31" s="395">
        <f>IF(D29=0,0,-Assumptions!$C$68/Assumptions!$C$66)</f>
        <v>0</v>
      </c>
      <c r="E31" s="395">
        <f>IF(E29=0,0,-Assumptions!$C$68/Assumptions!$C$66)</f>
        <v>0</v>
      </c>
      <c r="F31" s="395">
        <f>IF(F29=0,0,-Assumptions!$C$68/Assumptions!$C$66)</f>
        <v>0</v>
      </c>
      <c r="G31" s="395">
        <f>IF(G29=0,0,-Assumptions!$C$68/Assumptions!$C$66)</f>
        <v>0</v>
      </c>
      <c r="H31" s="395">
        <f>IF(H29=0,0,-Assumptions!$C$68/Assumptions!$C$66)</f>
        <v>0</v>
      </c>
      <c r="I31" s="395">
        <f>IF(I29=0,0,-Assumptions!$C$68/Assumptions!$C$66)</f>
        <v>0</v>
      </c>
      <c r="J31" s="395">
        <f>IF(J29=0,0,-Assumptions!$C$68/Assumptions!$C$66)</f>
        <v>0</v>
      </c>
      <c r="K31" s="395">
        <f>IF(K29=0,0,-Assumptions!$C$68/Assumptions!$C$66)</f>
        <v>0</v>
      </c>
      <c r="L31" s="395">
        <f>IF(L29=0,0,-Assumptions!$C$68/Assumptions!$C$66)</f>
        <v>0</v>
      </c>
      <c r="M31" s="395">
        <f>IF(M29=0,0,-Assumptions!$C$68/Assumptions!$C$66)</f>
        <v>0</v>
      </c>
      <c r="N31" s="395">
        <f>IF(N29=0,0,-Assumptions!$C$68/Assumptions!$C$66)</f>
        <v>0</v>
      </c>
      <c r="O31" s="395">
        <f>IF(O29=0,0,-Assumptions!$C$68/Assumptions!$C$66)</f>
        <v>0</v>
      </c>
      <c r="P31" s="395">
        <f>IF(P29=0,0,-Assumptions!$C$68/Assumptions!$C$66)</f>
        <v>0</v>
      </c>
      <c r="Q31" s="395">
        <f>IF(Q29=0,0,-Assumptions!$C$68/Assumptions!$C$66)</f>
        <v>0</v>
      </c>
      <c r="R31" s="395">
        <f>IF(R29=0,0,-Assumptions!$C$68/Assumptions!$C$66)</f>
        <v>0</v>
      </c>
      <c r="S31" s="395">
        <f>IF(S29=0,0,-Assumptions!$C$68/Assumptions!$C$66)</f>
        <v>0</v>
      </c>
      <c r="T31" s="395">
        <f>IF(T29=0,0,-Assumptions!$C$68/Assumptions!$C$66)</f>
        <v>0</v>
      </c>
      <c r="U31" s="395">
        <f>IF(U29=0,0,-Assumptions!$C$68/Assumptions!$C$66)</f>
        <v>0</v>
      </c>
      <c r="V31" s="395">
        <f>IF(V29=0,0,-Assumptions!$C$68/Assumptions!$C$66)</f>
        <v>0</v>
      </c>
      <c r="W31" s="395">
        <f>IF(W29=0,0,-Assumptions!$C$68/Assumptions!$C$66)</f>
        <v>0</v>
      </c>
      <c r="X31" s="395">
        <f>IF(X29=0,0,-Assumptions!$C$68/Assumptions!$C$66)</f>
        <v>0</v>
      </c>
      <c r="Y31" s="395">
        <f>IF(Y29=0,0,-Assumptions!$C$68/Assumptions!$C$66)</f>
        <v>0</v>
      </c>
      <c r="Z31" s="395">
        <f>IF(Z29=0,0,-Assumptions!$C$68/Assumptions!$C$66)</f>
        <v>0</v>
      </c>
      <c r="AA31" s="395">
        <f ca="1">IF(AA29=0,0,-Assumptions!$C$68/Assumptions!$C$66)</f>
        <v>-3333.3333333333335</v>
      </c>
      <c r="AB31" s="395">
        <f ca="1">IF(AB29=0,0,-Assumptions!$C$68/Assumptions!$C$66)</f>
        <v>-3333.3333333333335</v>
      </c>
      <c r="AC31" s="395">
        <f ca="1">IF(AC29=0,0,-Assumptions!$C$68/Assumptions!$C$66)</f>
        <v>-3333.3333333333335</v>
      </c>
      <c r="AD31" s="395">
        <f ca="1">IF(AD29=0,0,-Assumptions!$C$68/Assumptions!$C$66)</f>
        <v>-3333.3333333333335</v>
      </c>
      <c r="AE31" s="395">
        <f ca="1">IF(AE29=0,0,-Assumptions!$C$68/Assumptions!$C$66)</f>
        <v>-3333.3333333333335</v>
      </c>
      <c r="AF31" s="395">
        <f ca="1">IF(AF29=0,0,-Assumptions!$C$68/Assumptions!$C$66)</f>
        <v>-3333.3333333333335</v>
      </c>
      <c r="AG31" s="395">
        <f ca="1">IF(AG29=0,0,-Assumptions!$C$68/Assumptions!$C$66)</f>
        <v>-3333.3333333333335</v>
      </c>
      <c r="AH31" s="395">
        <f ca="1">IF(AH29=0,0,-Assumptions!$C$68/Assumptions!$C$66)</f>
        <v>-3333.3333333333335</v>
      </c>
      <c r="AI31" s="395">
        <f ca="1">IF(AI29=0,0,-Assumptions!$C$68/Assumptions!$C$66)</f>
        <v>-3333.3333333333335</v>
      </c>
      <c r="AJ31" s="395">
        <f ca="1">IF(AJ29=0,0,-Assumptions!$C$68/Assumptions!$C$66)</f>
        <v>-3333.3333333333335</v>
      </c>
      <c r="AK31" s="395">
        <f ca="1">IF(AK29=0,0,-Assumptions!$C$68/Assumptions!$C$66)</f>
        <v>-3333.3333333333335</v>
      </c>
      <c r="AL31" s="395">
        <f ca="1">IF(AL29=0,0,-Assumptions!$C$68/Assumptions!$C$66)</f>
        <v>-3333.3333333333335</v>
      </c>
      <c r="AM31" s="395">
        <f ca="1">IF(AM29=0,0,-Assumptions!$C$68/Assumptions!$C$66)</f>
        <v>-3333.3333333333335</v>
      </c>
      <c r="AN31" s="395">
        <f ca="1">IF(AN29=0,0,-Assumptions!$C$68/Assumptions!$C$66)</f>
        <v>-3333.3333333333335</v>
      </c>
      <c r="AO31" s="395">
        <f ca="1">IF(AO29=0,0,-Assumptions!$C$68/Assumptions!$C$66)</f>
        <v>-3333.3333333333335</v>
      </c>
      <c r="AP31" s="395">
        <f ca="1">IF(AP29=0,0,-Assumptions!$C$68/Assumptions!$C$66)</f>
        <v>-3333.3333333333335</v>
      </c>
      <c r="AQ31" s="395">
        <f ca="1">IF(AQ29=0,0,-Assumptions!$C$68/Assumptions!$C$66)</f>
        <v>-3333.3333333333335</v>
      </c>
      <c r="AR31" s="395">
        <f ca="1">IF(AR29=0,0,-Assumptions!$C$68/Assumptions!$C$66)</f>
        <v>-3333.3333333333335</v>
      </c>
      <c r="AS31" s="395">
        <f ca="1">IF(AS29=0,0,-Assumptions!$C$68/Assumptions!$C$66)</f>
        <v>-3333.3333333333335</v>
      </c>
      <c r="AT31" s="395">
        <f ca="1">IF(AT29=0,0,-Assumptions!$C$68/Assumptions!$C$66)</f>
        <v>-3333.3333333333335</v>
      </c>
      <c r="AU31" s="395">
        <f ca="1">IF(AU29=0,0,-Assumptions!$C$68/Assumptions!$C$66)</f>
        <v>-3333.3333333333335</v>
      </c>
      <c r="AV31" s="395">
        <f ca="1">IF(AV29=0,0,-Assumptions!$C$68/Assumptions!$C$66)</f>
        <v>-3333.3333333333335</v>
      </c>
      <c r="AW31" s="395">
        <f ca="1">IF(AW29=0,0,-Assumptions!$C$68/Assumptions!$C$66)</f>
        <v>-3333.3333333333335</v>
      </c>
      <c r="AX31" s="395">
        <f ca="1">IF(AX29=0,0,-Assumptions!$C$68/Assumptions!$C$66)</f>
        <v>-3333.3333333333335</v>
      </c>
      <c r="AY31" s="395">
        <f ca="1">IF(AY29=0,0,-Assumptions!$C$68/Assumptions!$C$66)</f>
        <v>-3333.3333333333335</v>
      </c>
      <c r="AZ31" s="395">
        <f ca="1">IF(AZ29=0,0,-Assumptions!$C$68/Assumptions!$C$66)</f>
        <v>-3333.3333333333335</v>
      </c>
      <c r="BA31" s="395">
        <f ca="1">IF(BA29=0,0,-Assumptions!$C$68/Assumptions!$C$66)</f>
        <v>-3333.3333333333335</v>
      </c>
      <c r="BB31" s="395">
        <f ca="1">IF(BB29=0,0,-Assumptions!$C$68/Assumptions!$C$66)</f>
        <v>-3333.3333333333335</v>
      </c>
      <c r="BC31" s="395">
        <f ca="1">IF(BC29=0,0,-Assumptions!$C$68/Assumptions!$C$66)</f>
        <v>-3333.3333333333335</v>
      </c>
      <c r="BD31" s="395">
        <f ca="1">IF(BD29=0,0,-Assumptions!$C$68/Assumptions!$C$66)</f>
        <v>-3333.3333333333335</v>
      </c>
      <c r="BE31" s="395">
        <f ca="1">IF(BE29=0,0,-Assumptions!$C$68/Assumptions!$C$66)</f>
        <v>-3333.3333333333335</v>
      </c>
      <c r="BF31" s="395">
        <f ca="1">IF(BF29=0,0,-Assumptions!$C$68/Assumptions!$C$66)</f>
        <v>-3333.3333333333335</v>
      </c>
      <c r="BG31" s="395">
        <f ca="1">IF(BG29=0,0,-Assumptions!$C$68/Assumptions!$C$66)</f>
        <v>-3333.3333333333335</v>
      </c>
      <c r="BH31" s="395">
        <f ca="1">IF(BH29=0,0,-Assumptions!$C$68/Assumptions!$C$66)</f>
        <v>-3333.3333333333335</v>
      </c>
      <c r="BI31" s="395">
        <f ca="1">IF(BI29=0,0,-Assumptions!$C$68/Assumptions!$C$66)</f>
        <v>-3333.3333333333335</v>
      </c>
      <c r="BJ31" s="395">
        <f ca="1">IF(BJ29=0,0,-Assumptions!$C$68/Assumptions!$C$66)</f>
        <v>-3333.3333333333335</v>
      </c>
      <c r="BK31" s="395">
        <f ca="1">IF(BK29=0,0,-Assumptions!$C$68/Assumptions!$C$66)</f>
        <v>-3333.3333333333335</v>
      </c>
      <c r="BL31" s="395">
        <f ca="1">IF(BL29=0,0,-Assumptions!$C$68/Assumptions!$C$66)</f>
        <v>-3333.3333333333335</v>
      </c>
      <c r="BM31" s="395">
        <f ca="1">IF(BM29=0,0,-Assumptions!$C$68/Assumptions!$C$66)</f>
        <v>-3333.3333333333335</v>
      </c>
      <c r="BN31" s="395">
        <f ca="1">IF(BN29=0,0,-Assumptions!$C$68/Assumptions!$C$66)</f>
        <v>-3333.3333333333335</v>
      </c>
      <c r="BO31" s="395">
        <f ca="1">IF(BO29=0,0,-Assumptions!$C$68/Assumptions!$C$66)</f>
        <v>-3333.3333333333335</v>
      </c>
      <c r="BP31" s="395">
        <f ca="1">IF(BP29=0,0,-Assumptions!$C$68/Assumptions!$C$66)</f>
        <v>-3333.3333333333335</v>
      </c>
      <c r="BQ31" s="395">
        <f ca="1">IF(BQ29=0,0,-Assumptions!$C$68/Assumptions!$C$66)</f>
        <v>-3333.3333333333335</v>
      </c>
      <c r="BR31" s="395">
        <f ca="1">IF(BR29=0,0,-Assumptions!$C$68/Assumptions!$C$66)</f>
        <v>-3333.3333333333335</v>
      </c>
      <c r="BS31" s="395">
        <f ca="1">IF(BS29=0,0,-Assumptions!$C$68/Assumptions!$C$66)</f>
        <v>-3333.3333333333335</v>
      </c>
      <c r="BT31" s="395">
        <f ca="1">IF(BT29=0,0,-Assumptions!$C$68/Assumptions!$C$66)</f>
        <v>-3333.3333333333335</v>
      </c>
      <c r="BU31" s="395">
        <f ca="1">IF(BU29=0,0,-Assumptions!$C$68/Assumptions!$C$66)</f>
        <v>-3333.3333333333335</v>
      </c>
      <c r="BV31" s="395">
        <f ca="1">IF(BV29=0,0,-Assumptions!$C$68/Assumptions!$C$66)</f>
        <v>-3333.3333333333335</v>
      </c>
      <c r="BW31" s="395">
        <f ca="1">IF(BW29=0,0,-Assumptions!$C$68/Assumptions!$C$66)</f>
        <v>-3333.3333333333335</v>
      </c>
      <c r="BX31" s="395">
        <f ca="1">IF(BX29=0,0,-Assumptions!$C$68/Assumptions!$C$66)</f>
        <v>-3333.3333333333335</v>
      </c>
      <c r="BY31" s="395">
        <f ca="1">IF(BY29=0,0,-Assumptions!$C$68/Assumptions!$C$66)</f>
        <v>-3333.3333333333335</v>
      </c>
      <c r="BZ31" s="395">
        <f ca="1">IF(BZ29=0,0,-Assumptions!$C$68/Assumptions!$C$66)</f>
        <v>-3333.3333333333335</v>
      </c>
      <c r="CA31" s="395">
        <f ca="1">IF(CA29=0,0,-Assumptions!$C$68/Assumptions!$C$66)</f>
        <v>-3333.3333333333335</v>
      </c>
      <c r="CB31" s="395">
        <f ca="1">IF(CB29=0,0,-Assumptions!$C$68/Assumptions!$C$66)</f>
        <v>-3333.3333333333335</v>
      </c>
      <c r="CC31" s="395">
        <f ca="1">IF(CC29=0,0,-Assumptions!$C$68/Assumptions!$C$66)</f>
        <v>-3333.3333333333335</v>
      </c>
      <c r="CD31" s="395">
        <f ca="1">IF(CD29=0,0,-Assumptions!$C$68/Assumptions!$C$66)</f>
        <v>-3333.3333333333335</v>
      </c>
      <c r="CE31" s="395">
        <f ca="1">IF(CE29=0,0,-Assumptions!$C$68/Assumptions!$C$66)</f>
        <v>-3333.3333333333335</v>
      </c>
      <c r="CF31" s="395">
        <f ca="1">IF(CF29=0,0,-Assumptions!$C$68/Assumptions!$C$66)</f>
        <v>-3333.3333333333335</v>
      </c>
      <c r="CG31" s="395">
        <f ca="1">IF(CG29=0,0,-Assumptions!$C$68/Assumptions!$C$66)</f>
        <v>-3333.3333333333335</v>
      </c>
      <c r="CH31" s="395">
        <f ca="1">IF(CH29=0,0,-Assumptions!$C$68/Assumptions!$C$66)</f>
        <v>-3333.3333333333335</v>
      </c>
      <c r="CI31" s="395">
        <f ca="1">IF(CI29=0,0,-Assumptions!$C$68/Assumptions!$C$66)</f>
        <v>-3333.3333333333335</v>
      </c>
      <c r="CJ31" s="395">
        <f ca="1">IF(CJ29=0,0,-Assumptions!$C$68/Assumptions!$C$66)</f>
        <v>-3333.3333333333335</v>
      </c>
      <c r="CK31" s="395">
        <f ca="1">IF(CK29=0,0,-Assumptions!$C$68/Assumptions!$C$66)</f>
        <v>-3333.3333333333335</v>
      </c>
      <c r="CL31" s="395">
        <f ca="1">IF(CL29=0,0,-Assumptions!$C$68/Assumptions!$C$66)</f>
        <v>-3333.3333333333335</v>
      </c>
      <c r="CM31" s="395">
        <f ca="1">IF(CM29=0,0,-Assumptions!$C$68/Assumptions!$C$66)</f>
        <v>-3333.3333333333335</v>
      </c>
      <c r="CN31" s="395">
        <f ca="1">IF(CN29=0,0,-Assumptions!$C$68/Assumptions!$C$66)</f>
        <v>-3333.3333333333335</v>
      </c>
      <c r="CO31" s="395">
        <f ca="1">IF(CO29=0,0,-Assumptions!$C$68/Assumptions!$C$66)</f>
        <v>-3333.3333333333335</v>
      </c>
      <c r="CP31" s="395">
        <f ca="1">IF(CP29=0,0,-Assumptions!$C$68/Assumptions!$C$66)</f>
        <v>-3333.3333333333335</v>
      </c>
      <c r="CQ31" s="395">
        <f ca="1">IF(CQ29=0,0,-Assumptions!$C$68/Assumptions!$C$66)</f>
        <v>-3333.3333333333335</v>
      </c>
      <c r="CR31" s="395">
        <f ca="1">IF(CR29=0,0,-Assumptions!$C$68/Assumptions!$C$66)</f>
        <v>-3333.3333333333335</v>
      </c>
      <c r="CS31" s="395">
        <f ca="1">IF(CS29=0,0,-Assumptions!$C$68/Assumptions!$C$66)</f>
        <v>-3333.3333333333335</v>
      </c>
      <c r="CT31" s="395">
        <f ca="1">IF(CT29=0,0,-Assumptions!$C$68/Assumptions!$C$66)</f>
        <v>-3333.3333333333335</v>
      </c>
      <c r="CU31" s="395">
        <f ca="1">IF(CU29=0,0,-Assumptions!$C$68/Assumptions!$C$66)</f>
        <v>-3333.3333333333335</v>
      </c>
      <c r="CV31" s="395">
        <f ca="1">IF(CV29=0,0,-Assumptions!$C$68/Assumptions!$C$66)</f>
        <v>-3333.3333333333335</v>
      </c>
      <c r="CW31" s="395">
        <f ca="1">IF(CW29=0,0,-Assumptions!$C$68/Assumptions!$C$66)</f>
        <v>-3333.3333333333335</v>
      </c>
      <c r="CX31" s="395">
        <f ca="1">IF(CX29=0,0,-Assumptions!$C$68/Assumptions!$C$66)</f>
        <v>-3333.3333333333335</v>
      </c>
      <c r="CY31" s="395">
        <f ca="1">IF(CY29=0,0,-Assumptions!$C$68/Assumptions!$C$66)</f>
        <v>-3333.3333333333335</v>
      </c>
      <c r="CZ31" s="395">
        <f ca="1">IF(CZ29=0,0,-Assumptions!$C$68/Assumptions!$C$66)</f>
        <v>-3333.3333333333335</v>
      </c>
      <c r="DA31" s="395">
        <f ca="1">IF(DA29=0,0,-Assumptions!$C$68/Assumptions!$C$66)</f>
        <v>-3333.3333333333335</v>
      </c>
      <c r="DB31" s="395">
        <f ca="1">IF(DB29=0,0,-Assumptions!$C$68/Assumptions!$C$66)</f>
        <v>-3333.3333333333335</v>
      </c>
      <c r="DC31" s="395">
        <f ca="1">IF(DC29=0,0,-Assumptions!$C$68/Assumptions!$C$66)</f>
        <v>-3333.3333333333335</v>
      </c>
      <c r="DD31" s="395">
        <f ca="1">IF(DD29=0,0,-Assumptions!$C$68/Assumptions!$C$66)</f>
        <v>-3333.3333333333335</v>
      </c>
      <c r="DE31" s="395">
        <f ca="1">IF(DE29=0,0,-Assumptions!$C$68/Assumptions!$C$66)</f>
        <v>-3333.3333333333335</v>
      </c>
      <c r="DF31" s="395">
        <f ca="1">IF(DF29=0,0,-Assumptions!$C$68/Assumptions!$C$66)</f>
        <v>-3333.3333333333335</v>
      </c>
      <c r="DG31" s="395" t="e">
        <f ca="1">IF(DG29=0,0,-Assumptions!$C$68/Assumptions!$C$66)</f>
        <v>#N/A</v>
      </c>
      <c r="DH31" s="395" t="e">
        <f ca="1">IF(DH29=0,0,-Assumptions!$C$68/Assumptions!$C$66)</f>
        <v>#N/A</v>
      </c>
      <c r="DI31" s="395" t="e">
        <f ca="1">IF(DI29=0,0,-Assumptions!$C$68/Assumptions!$C$66)</f>
        <v>#N/A</v>
      </c>
      <c r="DJ31" s="395" t="e">
        <f ca="1">IF(DJ29=0,0,-Assumptions!$C$68/Assumptions!$C$66)</f>
        <v>#N/A</v>
      </c>
      <c r="DK31" s="395" t="e">
        <f ca="1">IF(DK29=0,0,-Assumptions!$C$68/Assumptions!$C$66)</f>
        <v>#N/A</v>
      </c>
      <c r="DL31" s="395" t="e">
        <f ca="1">IF(DL29=0,0,-Assumptions!$C$68/Assumptions!$C$66)</f>
        <v>#N/A</v>
      </c>
      <c r="DM31" s="395" t="e">
        <f ca="1">IF(DM29=0,0,-Assumptions!$C$68/Assumptions!$C$66)</f>
        <v>#N/A</v>
      </c>
      <c r="DN31" s="395" t="e">
        <f ca="1">IF(DN29=0,0,-Assumptions!$C$68/Assumptions!$C$66)</f>
        <v>#N/A</v>
      </c>
      <c r="DO31" s="395" t="e">
        <f ca="1">IF(DO29=0,0,-Assumptions!$C$68/Assumptions!$C$66)</f>
        <v>#N/A</v>
      </c>
      <c r="DP31" s="395" t="e">
        <f ca="1">IF(DP29=0,0,-Assumptions!$C$68/Assumptions!$C$66)</f>
        <v>#N/A</v>
      </c>
      <c r="DQ31" s="395" t="e">
        <f ca="1">IF(DQ29=0,0,-Assumptions!$C$68/Assumptions!$C$66)</f>
        <v>#N/A</v>
      </c>
      <c r="DR31" s="395" t="e">
        <f ca="1">IF(DR29=0,0,-Assumptions!$C$68/Assumptions!$C$66)</f>
        <v>#N/A</v>
      </c>
      <c r="DS31" s="392"/>
      <c r="DT31" s="392"/>
      <c r="DU31" s="392"/>
      <c r="DV31" s="392"/>
      <c r="DW31" s="392"/>
      <c r="DX31" s="392"/>
      <c r="DY31" s="392"/>
      <c r="DZ31" s="392"/>
      <c r="EA31" s="392"/>
      <c r="EB31" s="392"/>
      <c r="EC31" s="392"/>
      <c r="ED31" s="392"/>
    </row>
    <row r="32" spans="1:134" s="393" customFormat="1" ht="16" x14ac:dyDescent="0.2">
      <c r="A32" s="391"/>
      <c r="B32" s="397" t="s">
        <v>777</v>
      </c>
      <c r="C32" s="394">
        <f>C31+C30+C27*C28</f>
        <v>0</v>
      </c>
      <c r="D32" s="394">
        <f t="shared" ref="D32:BO32" si="30">D31+D30+D27*D28</f>
        <v>0</v>
      </c>
      <c r="E32" s="394">
        <f t="shared" si="30"/>
        <v>0</v>
      </c>
      <c r="F32" s="394">
        <f t="shared" si="30"/>
        <v>0</v>
      </c>
      <c r="G32" s="394">
        <f t="shared" si="30"/>
        <v>0</v>
      </c>
      <c r="H32" s="394">
        <f t="shared" si="30"/>
        <v>0</v>
      </c>
      <c r="I32" s="394">
        <f t="shared" si="30"/>
        <v>0</v>
      </c>
      <c r="J32" s="394">
        <f t="shared" si="30"/>
        <v>0</v>
      </c>
      <c r="K32" s="394">
        <f t="shared" si="30"/>
        <v>0</v>
      </c>
      <c r="L32" s="394">
        <f t="shared" si="30"/>
        <v>0</v>
      </c>
      <c r="M32" s="394">
        <f t="shared" si="30"/>
        <v>0</v>
      </c>
      <c r="N32" s="394">
        <f t="shared" si="30"/>
        <v>0</v>
      </c>
      <c r="O32" s="394">
        <f t="shared" si="30"/>
        <v>0</v>
      </c>
      <c r="P32" s="394">
        <f t="shared" si="30"/>
        <v>0</v>
      </c>
      <c r="Q32" s="394">
        <f t="shared" si="30"/>
        <v>0</v>
      </c>
      <c r="R32" s="394">
        <f t="shared" si="30"/>
        <v>0</v>
      </c>
      <c r="S32" s="394">
        <f t="shared" si="30"/>
        <v>0</v>
      </c>
      <c r="T32" s="394">
        <f t="shared" si="30"/>
        <v>0</v>
      </c>
      <c r="U32" s="394">
        <f t="shared" si="30"/>
        <v>0</v>
      </c>
      <c r="V32" s="394">
        <f t="shared" si="30"/>
        <v>0</v>
      </c>
      <c r="W32" s="394">
        <f t="shared" si="30"/>
        <v>0</v>
      </c>
      <c r="X32" s="394">
        <f t="shared" si="30"/>
        <v>0</v>
      </c>
      <c r="Y32" s="394">
        <f t="shared" si="30"/>
        <v>0</v>
      </c>
      <c r="Z32" s="394">
        <f t="shared" si="30"/>
        <v>0</v>
      </c>
      <c r="AA32" s="394">
        <f t="shared" ca="1" si="30"/>
        <v>61774.983749999992</v>
      </c>
      <c r="AB32" s="394">
        <f t="shared" ca="1" si="30"/>
        <v>61774.983749999992</v>
      </c>
      <c r="AC32" s="394">
        <f t="shared" ca="1" si="30"/>
        <v>61774.983749999992</v>
      </c>
      <c r="AD32" s="394">
        <f t="shared" ca="1" si="30"/>
        <v>126883.30083333331</v>
      </c>
      <c r="AE32" s="394">
        <f t="shared" ca="1" si="30"/>
        <v>191991.61791666664</v>
      </c>
      <c r="AF32" s="394">
        <f t="shared" ca="1" si="30"/>
        <v>257099.93499999997</v>
      </c>
      <c r="AG32" s="394">
        <f t="shared" ca="1" si="30"/>
        <v>257099.93499999997</v>
      </c>
      <c r="AH32" s="394">
        <f t="shared" ca="1" si="30"/>
        <v>257099.93499999997</v>
      </c>
      <c r="AI32" s="394">
        <f t="shared" ca="1" si="30"/>
        <v>191991.61791666664</v>
      </c>
      <c r="AJ32" s="394">
        <f t="shared" ca="1" si="30"/>
        <v>126883.30083333331</v>
      </c>
      <c r="AK32" s="394">
        <f t="shared" ca="1" si="30"/>
        <v>61774.983749999992</v>
      </c>
      <c r="AL32" s="394">
        <f t="shared" ca="1" si="30"/>
        <v>61774.983749999992</v>
      </c>
      <c r="AM32" s="394">
        <f t="shared" ca="1" si="30"/>
        <v>63728.233262499991</v>
      </c>
      <c r="AN32" s="394">
        <f t="shared" ca="1" si="30"/>
        <v>63728.233262499991</v>
      </c>
      <c r="AO32" s="394">
        <f t="shared" ca="1" si="30"/>
        <v>63728.233262499991</v>
      </c>
      <c r="AP32" s="394">
        <f t="shared" ca="1" si="30"/>
        <v>130789.79985833331</v>
      </c>
      <c r="AQ32" s="394">
        <f t="shared" ca="1" si="30"/>
        <v>197851.36645416662</v>
      </c>
      <c r="AR32" s="394">
        <f t="shared" ca="1" si="30"/>
        <v>264912.93304999999</v>
      </c>
      <c r="AS32" s="394">
        <f t="shared" ca="1" si="30"/>
        <v>264912.93304999999</v>
      </c>
      <c r="AT32" s="394">
        <f t="shared" ca="1" si="30"/>
        <v>264912.93304999999</v>
      </c>
      <c r="AU32" s="394">
        <f t="shared" ca="1" si="30"/>
        <v>197851.36645416662</v>
      </c>
      <c r="AV32" s="394">
        <f t="shared" ca="1" si="30"/>
        <v>130789.79985833331</v>
      </c>
      <c r="AW32" s="394">
        <f t="shared" ca="1" si="30"/>
        <v>63728.233262499991</v>
      </c>
      <c r="AX32" s="394">
        <f t="shared" ca="1" si="30"/>
        <v>63728.233262499991</v>
      </c>
      <c r="AY32" s="394">
        <f t="shared" ca="1" si="30"/>
        <v>65740.080260374991</v>
      </c>
      <c r="AZ32" s="394">
        <f t="shared" ca="1" si="30"/>
        <v>65740.080260374991</v>
      </c>
      <c r="BA32" s="394">
        <f t="shared" ca="1" si="30"/>
        <v>65740.080260374991</v>
      </c>
      <c r="BB32" s="394">
        <f t="shared" ca="1" si="30"/>
        <v>134813.49385408332</v>
      </c>
      <c r="BC32" s="394">
        <f t="shared" ca="1" si="30"/>
        <v>203886.90744779166</v>
      </c>
      <c r="BD32" s="394">
        <f t="shared" ca="1" si="30"/>
        <v>272960.32104149996</v>
      </c>
      <c r="BE32" s="394">
        <f t="shared" ca="1" si="30"/>
        <v>272960.32104149996</v>
      </c>
      <c r="BF32" s="394">
        <f t="shared" ca="1" si="30"/>
        <v>272960.32104149996</v>
      </c>
      <c r="BG32" s="394">
        <f t="shared" ca="1" si="30"/>
        <v>203886.90744779166</v>
      </c>
      <c r="BH32" s="394">
        <f t="shared" ca="1" si="30"/>
        <v>134813.49385408332</v>
      </c>
      <c r="BI32" s="394">
        <f t="shared" ca="1" si="30"/>
        <v>65740.080260374991</v>
      </c>
      <c r="BJ32" s="394">
        <f t="shared" ca="1" si="30"/>
        <v>65740.080260374991</v>
      </c>
      <c r="BK32" s="394">
        <f t="shared" ca="1" si="30"/>
        <v>67812.28266818625</v>
      </c>
      <c r="BL32" s="394">
        <f t="shared" ca="1" si="30"/>
        <v>67812.28266818625</v>
      </c>
      <c r="BM32" s="394">
        <f t="shared" ca="1" si="30"/>
        <v>67812.28266818625</v>
      </c>
      <c r="BN32" s="394">
        <f t="shared" ca="1" si="30"/>
        <v>138957.89866970581</v>
      </c>
      <c r="BO32" s="394">
        <f t="shared" ca="1" si="30"/>
        <v>210103.51467122542</v>
      </c>
      <c r="BP32" s="394">
        <f t="shared" ref="BP32:DR32" ca="1" si="31">BP31+BP30+BP27*BP28</f>
        <v>281249.130672745</v>
      </c>
      <c r="BQ32" s="394">
        <f t="shared" ca="1" si="31"/>
        <v>281249.130672745</v>
      </c>
      <c r="BR32" s="394">
        <f t="shared" ca="1" si="31"/>
        <v>281249.130672745</v>
      </c>
      <c r="BS32" s="394">
        <f t="shared" ca="1" si="31"/>
        <v>210103.51467122542</v>
      </c>
      <c r="BT32" s="394">
        <f t="shared" ca="1" si="31"/>
        <v>138957.89866970581</v>
      </c>
      <c r="BU32" s="394">
        <f t="shared" ca="1" si="31"/>
        <v>67812.28266818625</v>
      </c>
      <c r="BV32" s="394">
        <f t="shared" ca="1" si="31"/>
        <v>67812.28266818625</v>
      </c>
      <c r="BW32" s="394">
        <f t="shared" ca="1" si="31"/>
        <v>69946.651148231846</v>
      </c>
      <c r="BX32" s="394">
        <f t="shared" ca="1" si="31"/>
        <v>69946.651148231846</v>
      </c>
      <c r="BY32" s="394">
        <f t="shared" ca="1" si="31"/>
        <v>69946.651148231846</v>
      </c>
      <c r="BZ32" s="394">
        <f t="shared" ca="1" si="31"/>
        <v>143226.63562979701</v>
      </c>
      <c r="CA32" s="394">
        <f t="shared" ca="1" si="31"/>
        <v>216506.62011136216</v>
      </c>
      <c r="CB32" s="394">
        <f t="shared" ca="1" si="31"/>
        <v>289786.60459292738</v>
      </c>
      <c r="CC32" s="394">
        <f t="shared" ca="1" si="31"/>
        <v>289786.60459292738</v>
      </c>
      <c r="CD32" s="394">
        <f t="shared" ca="1" si="31"/>
        <v>289786.60459292738</v>
      </c>
      <c r="CE32" s="394">
        <f t="shared" ca="1" si="31"/>
        <v>216506.62011136216</v>
      </c>
      <c r="CF32" s="394">
        <f t="shared" ca="1" si="31"/>
        <v>143226.63562979701</v>
      </c>
      <c r="CG32" s="394">
        <f t="shared" ca="1" si="31"/>
        <v>69946.651148231846</v>
      </c>
      <c r="CH32" s="394">
        <f t="shared" ca="1" si="31"/>
        <v>69946.651148231846</v>
      </c>
      <c r="CI32" s="394">
        <f t="shared" ca="1" si="31"/>
        <v>72145.050682678775</v>
      </c>
      <c r="CJ32" s="394">
        <f t="shared" ca="1" si="31"/>
        <v>72145.050682678775</v>
      </c>
      <c r="CK32" s="394">
        <f t="shared" ca="1" si="31"/>
        <v>72145.050682678775</v>
      </c>
      <c r="CL32" s="394">
        <f t="shared" ca="1" si="31"/>
        <v>147623.43469869089</v>
      </c>
      <c r="CM32" s="394">
        <f t="shared" ca="1" si="31"/>
        <v>223101.818714703</v>
      </c>
      <c r="CN32" s="394">
        <f t="shared" ca="1" si="31"/>
        <v>298580.2027307151</v>
      </c>
      <c r="CO32" s="394">
        <f t="shared" ca="1" si="31"/>
        <v>298580.2027307151</v>
      </c>
      <c r="CP32" s="394">
        <f t="shared" ca="1" si="31"/>
        <v>298580.2027307151</v>
      </c>
      <c r="CQ32" s="394">
        <f t="shared" ca="1" si="31"/>
        <v>223101.818714703</v>
      </c>
      <c r="CR32" s="394">
        <f t="shared" ca="1" si="31"/>
        <v>147623.43469869089</v>
      </c>
      <c r="CS32" s="394">
        <f t="shared" ca="1" si="31"/>
        <v>72145.050682678775</v>
      </c>
      <c r="CT32" s="394">
        <f t="shared" ca="1" si="31"/>
        <v>72145.050682678775</v>
      </c>
      <c r="CU32" s="394">
        <f t="shared" ca="1" si="31"/>
        <v>74409.402203159159</v>
      </c>
      <c r="CV32" s="394">
        <f t="shared" ca="1" si="31"/>
        <v>74409.402203159159</v>
      </c>
      <c r="CW32" s="394">
        <f t="shared" ca="1" si="31"/>
        <v>74409.402203159159</v>
      </c>
      <c r="CX32" s="394">
        <f t="shared" ca="1" si="31"/>
        <v>152152.13773965166</v>
      </c>
      <c r="CY32" s="394">
        <f t="shared" ca="1" si="31"/>
        <v>229894.87327614415</v>
      </c>
      <c r="CZ32" s="394">
        <f t="shared" ca="1" si="31"/>
        <v>307637.60881263664</v>
      </c>
      <c r="DA32" s="394">
        <f t="shared" ca="1" si="31"/>
        <v>307637.60881263664</v>
      </c>
      <c r="DB32" s="394">
        <f t="shared" ca="1" si="31"/>
        <v>307637.60881263664</v>
      </c>
      <c r="DC32" s="394">
        <f t="shared" ca="1" si="31"/>
        <v>229894.87327614415</v>
      </c>
      <c r="DD32" s="394">
        <f t="shared" ca="1" si="31"/>
        <v>152152.13773965166</v>
      </c>
      <c r="DE32" s="394">
        <f t="shared" ca="1" si="31"/>
        <v>74409.402203159159</v>
      </c>
      <c r="DF32" s="394">
        <f t="shared" ca="1" si="31"/>
        <v>74409.402203159159</v>
      </c>
      <c r="DG32" s="394" t="e">
        <f t="shared" ca="1" si="31"/>
        <v>#N/A</v>
      </c>
      <c r="DH32" s="394" t="e">
        <f t="shared" ca="1" si="31"/>
        <v>#N/A</v>
      </c>
      <c r="DI32" s="394" t="e">
        <f t="shared" ca="1" si="31"/>
        <v>#N/A</v>
      </c>
      <c r="DJ32" s="394" t="e">
        <f t="shared" ca="1" si="31"/>
        <v>#N/A</v>
      </c>
      <c r="DK32" s="394" t="e">
        <f t="shared" ca="1" si="31"/>
        <v>#N/A</v>
      </c>
      <c r="DL32" s="394" t="e">
        <f t="shared" ca="1" si="31"/>
        <v>#N/A</v>
      </c>
      <c r="DM32" s="394" t="e">
        <f t="shared" ca="1" si="31"/>
        <v>#N/A</v>
      </c>
      <c r="DN32" s="394" t="e">
        <f t="shared" ca="1" si="31"/>
        <v>#N/A</v>
      </c>
      <c r="DO32" s="394" t="e">
        <f t="shared" ca="1" si="31"/>
        <v>#N/A</v>
      </c>
      <c r="DP32" s="394" t="e">
        <f t="shared" ca="1" si="31"/>
        <v>#N/A</v>
      </c>
      <c r="DQ32" s="394" t="e">
        <f t="shared" ca="1" si="31"/>
        <v>#N/A</v>
      </c>
      <c r="DR32" s="394" t="e">
        <f t="shared" ca="1" si="31"/>
        <v>#N/A</v>
      </c>
      <c r="DS32" s="394"/>
      <c r="DT32" s="394"/>
      <c r="DU32" s="394"/>
      <c r="DV32" s="394"/>
      <c r="DW32" s="394"/>
      <c r="DX32" s="394"/>
      <c r="DY32" s="394"/>
      <c r="DZ32" s="394"/>
      <c r="EA32" s="394"/>
      <c r="EB32" s="394"/>
      <c r="EC32" s="394"/>
      <c r="ED32" s="394"/>
    </row>
    <row r="33" spans="1:134" s="154" customFormat="1" ht="16" x14ac:dyDescent="0.2">
      <c r="A33" s="304"/>
      <c r="B33" s="281"/>
    </row>
    <row r="34" spans="1:134" s="393" customFormat="1" ht="16" x14ac:dyDescent="0.2">
      <c r="A34" s="391"/>
      <c r="B34" s="281" t="s">
        <v>778</v>
      </c>
      <c r="C34" s="392">
        <f>IF(C5&gt;=Assumptions!$C$55,C12*Assumptions!$C$58,0)</f>
        <v>0</v>
      </c>
      <c r="D34" s="392">
        <f>IF(D5&gt;=Assumptions!$C$55,D12*Assumptions!$C$58,0)</f>
        <v>0</v>
      </c>
      <c r="E34" s="392">
        <f>IF(E5&gt;=Assumptions!$C$55,E12*Assumptions!$C$58,0)</f>
        <v>0</v>
      </c>
      <c r="F34" s="392">
        <f>IF(F5&gt;=Assumptions!$C$55,F12*Assumptions!$C$58,0)</f>
        <v>0</v>
      </c>
      <c r="G34" s="392">
        <f>IF(G5&gt;=Assumptions!$C$55,G12*Assumptions!$C$58,0)</f>
        <v>0</v>
      </c>
      <c r="H34" s="392">
        <f>IF(H5&gt;=Assumptions!$C$55,H12*Assumptions!$C$58,0)</f>
        <v>0</v>
      </c>
      <c r="I34" s="392">
        <f>IF(I5&gt;=Assumptions!$C$55,I12*Assumptions!$C$58,0)</f>
        <v>0</v>
      </c>
      <c r="J34" s="392">
        <f>IF(J5&gt;=Assumptions!$C$55,J12*Assumptions!$C$58,0)</f>
        <v>0</v>
      </c>
      <c r="K34" s="392">
        <f>IF(K5&gt;=Assumptions!$C$55,K12*Assumptions!$C$58,0)</f>
        <v>0</v>
      </c>
      <c r="L34" s="392">
        <f>IF(L5&gt;=Assumptions!$C$55,L12*Assumptions!$C$58,0)</f>
        <v>0</v>
      </c>
      <c r="M34" s="392">
        <f>IF(M5&gt;=Assumptions!$C$55,M12*Assumptions!$C$58,0)</f>
        <v>0</v>
      </c>
      <c r="N34" s="392">
        <f>IF(N5&gt;=Assumptions!$C$55,N12*Assumptions!$C$58,0)</f>
        <v>0</v>
      </c>
      <c r="O34" s="392">
        <f>IF(O5&gt;=Assumptions!$C$55,O12*Assumptions!$C$58,0)</f>
        <v>0</v>
      </c>
      <c r="P34" s="392">
        <f>IF(P5&gt;=Assumptions!$C$55,P12*Assumptions!$C$58,0)</f>
        <v>0</v>
      </c>
      <c r="Q34" s="392">
        <f>IF(Q5&gt;=Assumptions!$C$55,Q12*Assumptions!$C$58,0)</f>
        <v>0</v>
      </c>
      <c r="R34" s="392">
        <f>IF(R5&gt;=Assumptions!$C$55,R12*Assumptions!$C$58,0)</f>
        <v>0</v>
      </c>
      <c r="S34" s="392">
        <f>IF(S5&gt;=Assumptions!$C$55,S12*Assumptions!$C$58,0)</f>
        <v>0</v>
      </c>
      <c r="T34" s="392">
        <f>IF(T5&gt;=Assumptions!$C$55,T12*Assumptions!$C$58,0)</f>
        <v>0</v>
      </c>
      <c r="U34" s="392">
        <f>IF(U5&gt;=Assumptions!$C$55,U12*Assumptions!$C$58,0)</f>
        <v>0</v>
      </c>
      <c r="V34" s="392">
        <f>IF(V5&gt;=Assumptions!$C$55,V12*Assumptions!$C$58,0)</f>
        <v>0</v>
      </c>
      <c r="W34" s="392">
        <f>IF(W5&gt;=Assumptions!$C$55,W12*Assumptions!$C$58,0)</f>
        <v>0</v>
      </c>
      <c r="X34" s="392">
        <f>IF(X5&gt;=Assumptions!$C$55,X12*Assumptions!$C$58,0)</f>
        <v>0</v>
      </c>
      <c r="Y34" s="392">
        <f>IF(Y5&gt;=Assumptions!$C$55,Y12*Assumptions!$C$58,0)</f>
        <v>0</v>
      </c>
      <c r="Z34" s="392">
        <f>IF(Z5&gt;=Assumptions!$C$55,Z12*Assumptions!$C$58,0)</f>
        <v>0</v>
      </c>
      <c r="AA34" s="392">
        <f>IF(AA5&gt;=Assumptions!$C$55,AA12*Assumptions!$C$58,0)</f>
        <v>115241.17487400002</v>
      </c>
      <c r="AB34" s="392">
        <f>IF(AB5&gt;=Assumptions!$C$55,AB12*Assumptions!$C$58,0)</f>
        <v>107806.26036600002</v>
      </c>
      <c r="AC34" s="392">
        <f>IF(AC5&gt;=Assumptions!$C$55,AC12*Assumptions!$C$58,0)</f>
        <v>99875.68489080001</v>
      </c>
      <c r="AD34" s="392">
        <f>IF(AD5&gt;=Assumptions!$C$55,AD12*Assumptions!$C$58,0)</f>
        <v>37174.572540000008</v>
      </c>
      <c r="AE34" s="392">
        <f>IF(AE5&gt;=Assumptions!$C$55,AE12*Assumptions!$C$58,0)</f>
        <v>23048.234974800005</v>
      </c>
      <c r="AF34" s="392">
        <f>IF(AF5&gt;=Assumptions!$C$55,AF12*Assumptions!$C$58,0)</f>
        <v>66914.230572000015</v>
      </c>
      <c r="AG34" s="392">
        <f>IF(AG5&gt;=Assumptions!$C$55,AG12*Assumptions!$C$58,0)</f>
        <v>99875.68489080001</v>
      </c>
      <c r="AH34" s="392">
        <f>IF(AH5&gt;=Assumptions!$C$55,AH12*Assumptions!$C$58,0)</f>
        <v>84510.194907600016</v>
      </c>
      <c r="AI34" s="392">
        <f>IF(AI5&gt;=Assumptions!$C$55,AI12*Assumptions!$C$58,0)</f>
        <v>66914.230572000015</v>
      </c>
      <c r="AJ34" s="392">
        <f>IF(AJ5&gt;=Assumptions!$C$55,AJ12*Assumptions!$C$58,0)</f>
        <v>15365.489983200003</v>
      </c>
      <c r="AK34" s="392">
        <f>IF(AK5&gt;=Assumptions!$C$55,AK12*Assumptions!$C$58,0)</f>
        <v>14869.829016000003</v>
      </c>
      <c r="AL34" s="392">
        <f>IF(AL5&gt;=Assumptions!$C$55,AL12*Assumptions!$C$58,0)</f>
        <v>84510.194907600016</v>
      </c>
      <c r="AM34" s="392">
        <f>IF(AM5&gt;=Assumptions!$C$55,AM12*Assumptions!$C$58,0)</f>
        <v>456423.64843846508</v>
      </c>
      <c r="AN34" s="392">
        <f>IF(AN5&gt;=Assumptions!$C$55,AN12*Assumptions!$C$58,0)</f>
        <v>412253.61794442008</v>
      </c>
      <c r="AO34" s="392">
        <f>IF(AO5&gt;=Assumptions!$C$55,AO12*Assumptions!$C$58,0)</f>
        <v>395567.16198000312</v>
      </c>
      <c r="AP34" s="392">
        <f>IF(AP5&gt;=Assumptions!$C$55,AP12*Assumptions!$C$58,0)</f>
        <v>147233.43498015002</v>
      </c>
      <c r="AQ34" s="392">
        <f>IF(AQ5&gt;=Assumptions!$C$55,AQ12*Assumptions!$C$58,0)</f>
        <v>91284.729687693005</v>
      </c>
      <c r="AR34" s="392">
        <f>IF(AR5&gt;=Assumptions!$C$55,AR12*Assumptions!$C$58,0)</f>
        <v>265020.18296427006</v>
      </c>
      <c r="AS34" s="392">
        <f>IF(AS5&gt;=Assumptions!$C$55,AS12*Assumptions!$C$58,0)</f>
        <v>395567.16198000312</v>
      </c>
      <c r="AT34" s="392">
        <f>IF(AT5&gt;=Assumptions!$C$55,AT12*Assumptions!$C$58,0)</f>
        <v>334710.6755215411</v>
      </c>
      <c r="AU34" s="392">
        <f>IF(AU5&gt;=Assumptions!$C$55,AU12*Assumptions!$C$58,0)</f>
        <v>265020.18296427006</v>
      </c>
      <c r="AV34" s="392">
        <f>IF(AV5&gt;=Assumptions!$C$55,AV12*Assumptions!$C$58,0)</f>
        <v>60856.486458462015</v>
      </c>
      <c r="AW34" s="392">
        <f>IF(AW5&gt;=Assumptions!$C$55,AW12*Assumptions!$C$58,0)</f>
        <v>58893.373992060013</v>
      </c>
      <c r="AX34" s="392">
        <f>IF(AX5&gt;=Assumptions!$C$55,AX12*Assumptions!$C$58,0)</f>
        <v>334710.6755215411</v>
      </c>
      <c r="AY34" s="392">
        <f>IF(AY5&gt;=Assumptions!$C$55,AY12*Assumptions!$C$58,0)</f>
        <v>657871.80732820998</v>
      </c>
      <c r="AZ34" s="392">
        <f>IF(AZ5&gt;=Assumptions!$C$55,AZ12*Assumptions!$C$58,0)</f>
        <v>594206.7937158026</v>
      </c>
      <c r="BA34" s="392">
        <f>IF(BA5&gt;=Assumptions!$C$55,BA12*Assumptions!$C$58,0)</f>
        <v>570155.56635111524</v>
      </c>
      <c r="BB34" s="392">
        <f>IF(BB5&gt;=Assumptions!$C$55,BB12*Assumptions!$C$58,0)</f>
        <v>212216.71204135809</v>
      </c>
      <c r="BC34" s="392">
        <f>IF(BC5&gt;=Assumptions!$C$55,BC12*Assumptions!$C$58,0)</f>
        <v>131574.361465642</v>
      </c>
      <c r="BD34" s="392">
        <f>IF(BD5&gt;=Assumptions!$C$55,BD12*Assumptions!$C$58,0)</f>
        <v>381990.08167444455</v>
      </c>
      <c r="BE34" s="392">
        <f>IF(BE5&gt;=Assumptions!$C$55,BE12*Assumptions!$C$58,0)</f>
        <v>570155.56635111524</v>
      </c>
      <c r="BF34" s="392">
        <f>IF(BF5&gt;=Assumptions!$C$55,BF12*Assumptions!$C$58,0)</f>
        <v>482439.32537402067</v>
      </c>
      <c r="BG34" s="392">
        <f>IF(BG5&gt;=Assumptions!$C$55,BG12*Assumptions!$C$58,0)</f>
        <v>381990.08167444455</v>
      </c>
      <c r="BH34" s="392">
        <f>IF(BH5&gt;=Assumptions!$C$55,BH12*Assumptions!$C$58,0)</f>
        <v>87716.240977094669</v>
      </c>
      <c r="BI34" s="392">
        <f>IF(BI5&gt;=Assumptions!$C$55,BI12*Assumptions!$C$58,0)</f>
        <v>84886.684816543231</v>
      </c>
      <c r="BJ34" s="392">
        <f>IF(BJ5&gt;=Assumptions!$C$55,BJ12*Assumptions!$C$58,0)</f>
        <v>482439.32537402067</v>
      </c>
      <c r="BK34" s="392">
        <f>IF(BK5&gt;=Assumptions!$C$55,BK12*Assumptions!$C$58,0)</f>
        <v>870996.07446774503</v>
      </c>
      <c r="BL34" s="392">
        <f>IF(BL5&gt;=Assumptions!$C$55,BL12*Assumptions!$C$58,0)</f>
        <v>786706.13177731808</v>
      </c>
      <c r="BM34" s="392">
        <f>IF(BM5&gt;=Assumptions!$C$55,BM12*Assumptions!$C$58,0)</f>
        <v>754863.26453871233</v>
      </c>
      <c r="BN34" s="392">
        <f>IF(BN5&gt;=Assumptions!$C$55,BN12*Assumptions!$C$58,0)</f>
        <v>280966.47563475644</v>
      </c>
      <c r="BO34" s="392">
        <f>IF(BO5&gt;=Assumptions!$C$55,BO12*Assumptions!$C$58,0)</f>
        <v>174199.21489354901</v>
      </c>
      <c r="BP34" s="392">
        <f>IF(BP5&gt;=Assumptions!$C$55,BP12*Assumptions!$C$58,0)</f>
        <v>505739.65614256164</v>
      </c>
      <c r="BQ34" s="392">
        <f>IF(BQ5&gt;=Assumptions!$C$55,BQ12*Assumptions!$C$58,0)</f>
        <v>754863.26453871233</v>
      </c>
      <c r="BR34" s="392">
        <f>IF(BR5&gt;=Assumptions!$C$55,BR12*Assumptions!$C$58,0)</f>
        <v>638730.45460967976</v>
      </c>
      <c r="BS34" s="392">
        <f>IF(BS5&gt;=Assumptions!$C$55,BS12*Assumptions!$C$58,0)</f>
        <v>505739.65614256164</v>
      </c>
      <c r="BT34" s="392">
        <f>IF(BT5&gt;=Assumptions!$C$55,BT12*Assumptions!$C$58,0)</f>
        <v>116132.80992903268</v>
      </c>
      <c r="BU34" s="392">
        <f>IF(BU5&gt;=Assumptions!$C$55,BU12*Assumptions!$C$58,0)</f>
        <v>112386.5902539026</v>
      </c>
      <c r="BV34" s="392">
        <f>IF(BV5&gt;=Assumptions!$C$55,BV12*Assumptions!$C$58,0)</f>
        <v>638730.45460967976</v>
      </c>
      <c r="BW34" s="392">
        <f>IF(BW5&gt;=Assumptions!$C$55,BW12*Assumptions!$C$58,0)</f>
        <v>1036095.5541254606</v>
      </c>
      <c r="BX34" s="392">
        <f>IF(BX5&gt;=Assumptions!$C$55,BX12*Assumptions!$C$58,0)</f>
        <v>969250.67966575339</v>
      </c>
      <c r="BY34" s="392">
        <f>IF(BY5&gt;=Assumptions!$C$55,BY12*Assumptions!$C$58,0)</f>
        <v>897949.48024206597</v>
      </c>
      <c r="BZ34" s="392">
        <f>IF(BZ5&gt;=Assumptions!$C$55,BZ12*Assumptions!$C$58,0)</f>
        <v>334224.37229853572</v>
      </c>
      <c r="CA34" s="392">
        <f>IF(CA5&gt;=Assumptions!$C$55,CA12*Assumptions!$C$58,0)</f>
        <v>207219.11082509212</v>
      </c>
      <c r="CB34" s="392">
        <f>IF(CB5&gt;=Assumptions!$C$55,CB12*Assumptions!$C$58,0)</f>
        <v>601603.87013736437</v>
      </c>
      <c r="CC34" s="392">
        <f>IF(CC5&gt;=Assumptions!$C$55,CC12*Assumptions!$C$58,0)</f>
        <v>897949.48024206597</v>
      </c>
      <c r="CD34" s="392">
        <f>IF(CD5&gt;=Assumptions!$C$55,CD12*Assumptions!$C$58,0)</f>
        <v>759803.40635867126</v>
      </c>
      <c r="CE34" s="392">
        <f>IF(CE5&gt;=Assumptions!$C$55,CE12*Assumptions!$C$58,0)</f>
        <v>601603.87013736437</v>
      </c>
      <c r="CF34" s="392">
        <f>IF(CF5&gt;=Assumptions!$C$55,CF12*Assumptions!$C$58,0)</f>
        <v>138146.07388339477</v>
      </c>
      <c r="CG34" s="392">
        <f>IF(CG5&gt;=Assumptions!$C$55,CG12*Assumptions!$C$58,0)</f>
        <v>133689.7489194143</v>
      </c>
      <c r="CH34" s="392">
        <f>IF(CH5&gt;=Assumptions!$C$55,CH12*Assumptions!$C$58,0)</f>
        <v>759803.40635867126</v>
      </c>
      <c r="CI34" s="392">
        <f>IF(CI5&gt;=Assumptions!$C$55,CI12*Assumptions!$C$58,0)</f>
        <v>1067178.4207492245</v>
      </c>
      <c r="CJ34" s="392">
        <f>IF(CJ5&gt;=Assumptions!$C$55,CJ12*Assumptions!$C$58,0)</f>
        <v>963903.0897089768</v>
      </c>
      <c r="CK34" s="392">
        <f>IF(CK5&gt;=Assumptions!$C$55,CK12*Assumptions!$C$58,0)</f>
        <v>924887.96464932791</v>
      </c>
      <c r="CL34" s="392">
        <f>IF(CL5&gt;=Assumptions!$C$55,CL12*Assumptions!$C$58,0)</f>
        <v>344251.10346749175</v>
      </c>
      <c r="CM34" s="392">
        <f>IF(CM5&gt;=Assumptions!$C$55,CM12*Assumptions!$C$58,0)</f>
        <v>213435.68414984489</v>
      </c>
      <c r="CN34" s="392">
        <f>IF(CN5&gt;=Assumptions!$C$55,CN12*Assumptions!$C$58,0)</f>
        <v>619651.98624148511</v>
      </c>
      <c r="CO34" s="392">
        <f>IF(CO5&gt;=Assumptions!$C$55,CO12*Assumptions!$C$58,0)</f>
        <v>924887.96464932791</v>
      </c>
      <c r="CP34" s="392">
        <f>IF(CP5&gt;=Assumptions!$C$55,CP12*Assumptions!$C$58,0)</f>
        <v>782597.50854943146</v>
      </c>
      <c r="CQ34" s="392">
        <f>IF(CQ5&gt;=Assumptions!$C$55,CQ12*Assumptions!$C$58,0)</f>
        <v>619651.98624148511</v>
      </c>
      <c r="CR34" s="392">
        <f>IF(CR5&gt;=Assumptions!$C$55,CR12*Assumptions!$C$58,0)</f>
        <v>142290.4560998966</v>
      </c>
      <c r="CS34" s="392">
        <f>IF(CS5&gt;=Assumptions!$C$55,CS12*Assumptions!$C$58,0)</f>
        <v>137700.44138699671</v>
      </c>
      <c r="CT34" s="392">
        <f>IF(CT5&gt;=Assumptions!$C$55,CT12*Assumptions!$C$58,0)</f>
        <v>782597.50854943146</v>
      </c>
      <c r="CU34" s="392">
        <f>IF(CU5&gt;=Assumptions!$C$55,CU12*Assumptions!$C$58,0)</f>
        <v>1099193.7733717011</v>
      </c>
      <c r="CV34" s="392">
        <f>IF(CV5&gt;=Assumptions!$C$55,CV12*Assumptions!$C$58,0)</f>
        <v>992820.18240024615</v>
      </c>
      <c r="CW34" s="392">
        <f>IF(CW5&gt;=Assumptions!$C$55,CW12*Assumptions!$C$58,0)</f>
        <v>952634.60358880763</v>
      </c>
      <c r="CX34" s="392">
        <f>IF(CX5&gt;=Assumptions!$C$55,CX12*Assumptions!$C$58,0)</f>
        <v>354578.63657151652</v>
      </c>
      <c r="CY34" s="392">
        <f>IF(CY5&gt;=Assumptions!$C$55,CY12*Assumptions!$C$58,0)</f>
        <v>219838.75467434019</v>
      </c>
      <c r="CZ34" s="392">
        <f>IF(CZ5&gt;=Assumptions!$C$55,CZ12*Assumptions!$C$58,0)</f>
        <v>638241.54582872975</v>
      </c>
      <c r="DA34" s="392">
        <f>IF(DA5&gt;=Assumptions!$C$55,DA12*Assumptions!$C$58,0)</f>
        <v>952634.60358880763</v>
      </c>
      <c r="DB34" s="392">
        <f>IF(DB5&gt;=Assumptions!$C$55,DB12*Assumptions!$C$58,0)</f>
        <v>806075.43380591425</v>
      </c>
      <c r="DC34" s="392">
        <f>IF(DC5&gt;=Assumptions!$C$55,DC12*Assumptions!$C$58,0)</f>
        <v>638241.54582872975</v>
      </c>
      <c r="DD34" s="392">
        <f>IF(DD5&gt;=Assumptions!$C$55,DD12*Assumptions!$C$58,0)</f>
        <v>146559.16978289347</v>
      </c>
      <c r="DE34" s="392">
        <f>IF(DE5&gt;=Assumptions!$C$55,DE12*Assumptions!$C$58,0)</f>
        <v>141831.45462860662</v>
      </c>
      <c r="DF34" s="392">
        <f>IF(DF5&gt;=Assumptions!$C$55,DF12*Assumptions!$C$58,0)</f>
        <v>806075.43380591425</v>
      </c>
      <c r="DG34" s="392" t="e">
        <f>IF(DG5&gt;=Assumptions!$C$55,DG12*Assumptions!$C$58,0)</f>
        <v>#N/A</v>
      </c>
      <c r="DH34" s="392" t="e">
        <f>IF(DH5&gt;=Assumptions!$C$55,DH12*Assumptions!$C$58,0)</f>
        <v>#N/A</v>
      </c>
      <c r="DI34" s="392" t="e">
        <f>IF(DI5&gt;=Assumptions!$C$55,DI12*Assumptions!$C$58,0)</f>
        <v>#N/A</v>
      </c>
      <c r="DJ34" s="392" t="e">
        <f>IF(DJ5&gt;=Assumptions!$C$55,DJ12*Assumptions!$C$58,0)</f>
        <v>#N/A</v>
      </c>
      <c r="DK34" s="392" t="e">
        <f>IF(DK5&gt;=Assumptions!$C$55,DK12*Assumptions!$C$58,0)</f>
        <v>#N/A</v>
      </c>
      <c r="DL34" s="392" t="e">
        <f>IF(DL5&gt;=Assumptions!$C$55,DL12*Assumptions!$C$58,0)</f>
        <v>#N/A</v>
      </c>
      <c r="DM34" s="392" t="e">
        <f>IF(DM5&gt;=Assumptions!$C$55,DM12*Assumptions!$C$58,0)</f>
        <v>#N/A</v>
      </c>
      <c r="DN34" s="392" t="e">
        <f>IF(DN5&gt;=Assumptions!$C$55,DN12*Assumptions!$C$58,0)</f>
        <v>#N/A</v>
      </c>
      <c r="DO34" s="392" t="e">
        <f>IF(DO5&gt;=Assumptions!$C$55,DO12*Assumptions!$C$58,0)</f>
        <v>#N/A</v>
      </c>
      <c r="DP34" s="392" t="e">
        <f>IF(DP5&gt;=Assumptions!$C$55,DP12*Assumptions!$C$58,0)</f>
        <v>#N/A</v>
      </c>
      <c r="DQ34" s="392" t="e">
        <f>IF(DQ5&gt;=Assumptions!$C$55,DQ12*Assumptions!$C$58,0)</f>
        <v>#N/A</v>
      </c>
      <c r="DR34" s="392" t="e">
        <f>IF(DR5&gt;=Assumptions!$C$55,DR12*Assumptions!$C$58,0)</f>
        <v>#N/A</v>
      </c>
      <c r="DS34" s="392"/>
      <c r="DT34" s="392"/>
      <c r="DU34" s="392"/>
      <c r="DV34" s="392"/>
      <c r="DW34" s="392"/>
      <c r="DX34" s="392"/>
      <c r="DY34" s="392"/>
      <c r="DZ34" s="392"/>
      <c r="EA34" s="392"/>
      <c r="EB34" s="392"/>
      <c r="EC34" s="392"/>
      <c r="ED34" s="392"/>
    </row>
    <row r="35" spans="1:134" s="393" customFormat="1" ht="16" x14ac:dyDescent="0.2">
      <c r="A35" s="391"/>
      <c r="B35" s="398" t="s">
        <v>769</v>
      </c>
      <c r="C35" s="395">
        <f>-C34*Assumptions!$C$59</f>
        <v>0</v>
      </c>
      <c r="D35" s="395">
        <f>-D34*Assumptions!$C$59</f>
        <v>0</v>
      </c>
      <c r="E35" s="395">
        <f>-E34*Assumptions!$C$59</f>
        <v>0</v>
      </c>
      <c r="F35" s="395">
        <f>-F34*Assumptions!$C$59</f>
        <v>0</v>
      </c>
      <c r="G35" s="395">
        <f>-G34*Assumptions!$C$59</f>
        <v>0</v>
      </c>
      <c r="H35" s="395">
        <f>-H34*Assumptions!$C$59</f>
        <v>0</v>
      </c>
      <c r="I35" s="395">
        <f>-I34*Assumptions!$C$59</f>
        <v>0</v>
      </c>
      <c r="J35" s="395">
        <f>-J34*Assumptions!$C$59</f>
        <v>0</v>
      </c>
      <c r="K35" s="395">
        <f>-K34*Assumptions!$C$59</f>
        <v>0</v>
      </c>
      <c r="L35" s="395">
        <f>-L34*Assumptions!$C$59</f>
        <v>0</v>
      </c>
      <c r="M35" s="395">
        <f>-M34*Assumptions!$C$59</f>
        <v>0</v>
      </c>
      <c r="N35" s="395">
        <f>-N34*Assumptions!$C$59</f>
        <v>0</v>
      </c>
      <c r="O35" s="395">
        <f>-O34*Assumptions!$C$59</f>
        <v>0</v>
      </c>
      <c r="P35" s="395">
        <f>-P34*Assumptions!$C$59</f>
        <v>0</v>
      </c>
      <c r="Q35" s="395">
        <f>-Q34*Assumptions!$C$59</f>
        <v>0</v>
      </c>
      <c r="R35" s="395">
        <f>-R34*Assumptions!$C$59</f>
        <v>0</v>
      </c>
      <c r="S35" s="395">
        <f>-S34*Assumptions!$C$59</f>
        <v>0</v>
      </c>
      <c r="T35" s="395">
        <f>-T34*Assumptions!$C$59</f>
        <v>0</v>
      </c>
      <c r="U35" s="395">
        <f>-U34*Assumptions!$C$59</f>
        <v>0</v>
      </c>
      <c r="V35" s="395">
        <f>-V34*Assumptions!$C$59</f>
        <v>0</v>
      </c>
      <c r="W35" s="395">
        <f>-W34*Assumptions!$C$59</f>
        <v>0</v>
      </c>
      <c r="X35" s="395">
        <f>-X34*Assumptions!$C$59</f>
        <v>0</v>
      </c>
      <c r="Y35" s="395">
        <f>-Y34*Assumptions!$C$59</f>
        <v>0</v>
      </c>
      <c r="Z35" s="395">
        <f>-Z34*Assumptions!$C$59</f>
        <v>0</v>
      </c>
      <c r="AA35" s="395">
        <f>-AA34*Assumptions!$C$59</f>
        <v>-103717.05738660002</v>
      </c>
      <c r="AB35" s="395">
        <f>-AB34*Assumptions!$C$59</f>
        <v>-97025.634329400011</v>
      </c>
      <c r="AC35" s="395">
        <f>-AC34*Assumptions!$C$59</f>
        <v>-89888.116401720006</v>
      </c>
      <c r="AD35" s="395">
        <f>-AD34*Assumptions!$C$59</f>
        <v>-33457.115286000007</v>
      </c>
      <c r="AE35" s="395">
        <f>-AE34*Assumptions!$C$59</f>
        <v>-20743.411477320005</v>
      </c>
      <c r="AF35" s="395">
        <f>-AF34*Assumptions!$C$59</f>
        <v>-60222.807514800013</v>
      </c>
      <c r="AG35" s="395">
        <f>-AG34*Assumptions!$C$59</f>
        <v>-89888.116401720006</v>
      </c>
      <c r="AH35" s="395">
        <f>-AH34*Assumptions!$C$59</f>
        <v>-76059.175416840022</v>
      </c>
      <c r="AI35" s="395">
        <f>-AI34*Assumptions!$C$59</f>
        <v>-60222.807514800013</v>
      </c>
      <c r="AJ35" s="395">
        <f>-AJ34*Assumptions!$C$59</f>
        <v>-13828.940984880002</v>
      </c>
      <c r="AK35" s="395">
        <f>-AK34*Assumptions!$C$59</f>
        <v>-13382.846114400003</v>
      </c>
      <c r="AL35" s="395">
        <f>-AL34*Assumptions!$C$59</f>
        <v>-76059.175416840022</v>
      </c>
      <c r="AM35" s="395">
        <f>-AM34*Assumptions!$C$59</f>
        <v>-410781.28359461861</v>
      </c>
      <c r="AN35" s="395">
        <f>-AN34*Assumptions!$C$59</f>
        <v>-371028.25614997809</v>
      </c>
      <c r="AO35" s="395">
        <f>-AO34*Assumptions!$C$59</f>
        <v>-356010.44578200282</v>
      </c>
      <c r="AP35" s="395">
        <f>-AP34*Assumptions!$C$59</f>
        <v>-132510.09148213503</v>
      </c>
      <c r="AQ35" s="395">
        <f>-AQ34*Assumptions!$C$59</f>
        <v>-82156.256718923702</v>
      </c>
      <c r="AR35" s="395">
        <f>-AR34*Assumptions!$C$59</f>
        <v>-238518.16466784306</v>
      </c>
      <c r="AS35" s="395">
        <f>-AS34*Assumptions!$C$59</f>
        <v>-356010.44578200282</v>
      </c>
      <c r="AT35" s="395">
        <f>-AT34*Assumptions!$C$59</f>
        <v>-301239.60796938697</v>
      </c>
      <c r="AU35" s="395">
        <f>-AU34*Assumptions!$C$59</f>
        <v>-238518.16466784306</v>
      </c>
      <c r="AV35" s="395">
        <f>-AV34*Assumptions!$C$59</f>
        <v>-54770.837812615813</v>
      </c>
      <c r="AW35" s="395">
        <f>-AW34*Assumptions!$C$59</f>
        <v>-53004.036592854012</v>
      </c>
      <c r="AX35" s="395">
        <f>-AX34*Assumptions!$C$59</f>
        <v>-301239.60796938697</v>
      </c>
      <c r="AY35" s="395">
        <f>-AY34*Assumptions!$C$59</f>
        <v>-592084.62659538898</v>
      </c>
      <c r="AZ35" s="395">
        <f>-AZ34*Assumptions!$C$59</f>
        <v>-534786.11434422235</v>
      </c>
      <c r="BA35" s="395">
        <f>-BA34*Assumptions!$C$59</f>
        <v>-513140.00971600373</v>
      </c>
      <c r="BB35" s="395">
        <f>-BB34*Assumptions!$C$59</f>
        <v>-190995.04083722227</v>
      </c>
      <c r="BC35" s="395">
        <f>-BC34*Assumptions!$C$59</f>
        <v>-118416.9253190778</v>
      </c>
      <c r="BD35" s="395">
        <f>-BD34*Assumptions!$C$59</f>
        <v>-343791.07350700011</v>
      </c>
      <c r="BE35" s="395">
        <f>-BE34*Assumptions!$C$59</f>
        <v>-513140.00971600373</v>
      </c>
      <c r="BF35" s="395">
        <f>-BF34*Assumptions!$C$59</f>
        <v>-434195.39283661859</v>
      </c>
      <c r="BG35" s="395">
        <f>-BG34*Assumptions!$C$59</f>
        <v>-343791.07350700011</v>
      </c>
      <c r="BH35" s="395">
        <f>-BH34*Assumptions!$C$59</f>
        <v>-78944.616879385198</v>
      </c>
      <c r="BI35" s="395">
        <f>-BI34*Assumptions!$C$59</f>
        <v>-76398.016334888904</v>
      </c>
      <c r="BJ35" s="395">
        <f>-BJ34*Assumptions!$C$59</f>
        <v>-434195.39283661859</v>
      </c>
      <c r="BK35" s="395">
        <f>-BK34*Assumptions!$C$59</f>
        <v>-783896.46702097054</v>
      </c>
      <c r="BL35" s="395">
        <f>-BL34*Assumptions!$C$59</f>
        <v>-708035.51859958633</v>
      </c>
      <c r="BM35" s="395">
        <f>-BM34*Assumptions!$C$59</f>
        <v>-679376.93808484112</v>
      </c>
      <c r="BN35" s="395">
        <f>-BN34*Assumptions!$C$59</f>
        <v>-252869.82807128079</v>
      </c>
      <c r="BO35" s="395">
        <f>-BO34*Assumptions!$C$59</f>
        <v>-156779.29340419412</v>
      </c>
      <c r="BP35" s="395">
        <f>-BP34*Assumptions!$C$59</f>
        <v>-455165.69052830548</v>
      </c>
      <c r="BQ35" s="395">
        <f>-BQ34*Assumptions!$C$59</f>
        <v>-679376.93808484112</v>
      </c>
      <c r="BR35" s="395">
        <f>-BR34*Assumptions!$C$59</f>
        <v>-574857.40914871183</v>
      </c>
      <c r="BS35" s="395">
        <f>-BS34*Assumptions!$C$59</f>
        <v>-455165.69052830548</v>
      </c>
      <c r="BT35" s="395">
        <f>-BT34*Assumptions!$C$59</f>
        <v>-104519.52893612941</v>
      </c>
      <c r="BU35" s="395">
        <f>-BU34*Assumptions!$C$59</f>
        <v>-101147.93122851235</v>
      </c>
      <c r="BV35" s="395">
        <f>-BV34*Assumptions!$C$59</f>
        <v>-574857.40914871183</v>
      </c>
      <c r="BW35" s="395">
        <f>-BW34*Assumptions!$C$59</f>
        <v>-932485.99871291453</v>
      </c>
      <c r="BX35" s="395">
        <f>-BX34*Assumptions!$C$59</f>
        <v>-872325.61169917812</v>
      </c>
      <c r="BY35" s="395">
        <f>-BY34*Assumptions!$C$59</f>
        <v>-808154.53221785941</v>
      </c>
      <c r="BZ35" s="395">
        <f>-BZ34*Assumptions!$C$59</f>
        <v>-300801.93506868213</v>
      </c>
      <c r="CA35" s="395">
        <f>-CA34*Assumptions!$C$59</f>
        <v>-186497.19974258292</v>
      </c>
      <c r="CB35" s="395">
        <f>-CB34*Assumptions!$C$59</f>
        <v>-541443.48312362796</v>
      </c>
      <c r="CC35" s="395">
        <f>-CC34*Assumptions!$C$59</f>
        <v>-808154.53221785941</v>
      </c>
      <c r="CD35" s="395">
        <f>-CD34*Assumptions!$C$59</f>
        <v>-683823.06572280417</v>
      </c>
      <c r="CE35" s="395">
        <f>-CE34*Assumptions!$C$59</f>
        <v>-541443.48312362796</v>
      </c>
      <c r="CF35" s="395">
        <f>-CF34*Assumptions!$C$59</f>
        <v>-124331.4664950553</v>
      </c>
      <c r="CG35" s="395">
        <f>-CG34*Assumptions!$C$59</f>
        <v>-120320.77402747287</v>
      </c>
      <c r="CH35" s="395">
        <f>-CH34*Assumptions!$C$59</f>
        <v>-683823.06572280417</v>
      </c>
      <c r="CI35" s="395">
        <f>-CI34*Assumptions!$C$59</f>
        <v>-960460.57867430209</v>
      </c>
      <c r="CJ35" s="395">
        <f>-CJ34*Assumptions!$C$59</f>
        <v>-867512.78073807911</v>
      </c>
      <c r="CK35" s="395">
        <f>-CK34*Assumptions!$C$59</f>
        <v>-832399.16818439518</v>
      </c>
      <c r="CL35" s="395">
        <f>-CL34*Assumptions!$C$59</f>
        <v>-309825.99312074255</v>
      </c>
      <c r="CM35" s="395">
        <f>-CM34*Assumptions!$C$59</f>
        <v>-192092.11573486042</v>
      </c>
      <c r="CN35" s="395">
        <f>-CN34*Assumptions!$C$59</f>
        <v>-557686.78761733661</v>
      </c>
      <c r="CO35" s="395">
        <f>-CO34*Assumptions!$C$59</f>
        <v>-832399.16818439518</v>
      </c>
      <c r="CP35" s="395">
        <f>-CP34*Assumptions!$C$59</f>
        <v>-704337.75769448827</v>
      </c>
      <c r="CQ35" s="395">
        <f>-CQ34*Assumptions!$C$59</f>
        <v>-557686.78761733661</v>
      </c>
      <c r="CR35" s="395">
        <f>-CR34*Assumptions!$C$59</f>
        <v>-128061.41048990695</v>
      </c>
      <c r="CS35" s="395">
        <f>-CS34*Assumptions!$C$59</f>
        <v>-123930.39724829704</v>
      </c>
      <c r="CT35" s="395">
        <f>-CT34*Assumptions!$C$59</f>
        <v>-704337.75769448827</v>
      </c>
      <c r="CU35" s="395">
        <f>-CU34*Assumptions!$C$59</f>
        <v>-989274.39603453106</v>
      </c>
      <c r="CV35" s="395">
        <f>-CV34*Assumptions!$C$59</f>
        <v>-893538.16416022158</v>
      </c>
      <c r="CW35" s="395">
        <f>-CW34*Assumptions!$C$59</f>
        <v>-857371.14322992694</v>
      </c>
      <c r="CX35" s="395">
        <f>-CX34*Assumptions!$C$59</f>
        <v>-319120.77291436488</v>
      </c>
      <c r="CY35" s="395">
        <f>-CY34*Assumptions!$C$59</f>
        <v>-197854.87920690619</v>
      </c>
      <c r="CZ35" s="395">
        <f>-CZ34*Assumptions!$C$59</f>
        <v>-574417.39124585676</v>
      </c>
      <c r="DA35" s="395">
        <f>-DA34*Assumptions!$C$59</f>
        <v>-857371.14322992694</v>
      </c>
      <c r="DB35" s="395">
        <f>-DB34*Assumptions!$C$59</f>
        <v>-725467.89042532281</v>
      </c>
      <c r="DC35" s="395">
        <f>-DC34*Assumptions!$C$59</f>
        <v>-574417.39124585676</v>
      </c>
      <c r="DD35" s="395">
        <f>-DD34*Assumptions!$C$59</f>
        <v>-131903.25280460413</v>
      </c>
      <c r="DE35" s="395">
        <f>-DE34*Assumptions!$C$59</f>
        <v>-127648.30916574596</v>
      </c>
      <c r="DF35" s="395">
        <f>-DF34*Assumptions!$C$59</f>
        <v>-725467.89042532281</v>
      </c>
      <c r="DG35" s="395" t="e">
        <f>-DG34*Assumptions!$C$59</f>
        <v>#N/A</v>
      </c>
      <c r="DH35" s="395" t="e">
        <f>-DH34*Assumptions!$C$59</f>
        <v>#N/A</v>
      </c>
      <c r="DI35" s="395" t="e">
        <f>-DI34*Assumptions!$C$59</f>
        <v>#N/A</v>
      </c>
      <c r="DJ35" s="395" t="e">
        <f>-DJ34*Assumptions!$C$59</f>
        <v>#N/A</v>
      </c>
      <c r="DK35" s="395" t="e">
        <f>-DK34*Assumptions!$C$59</f>
        <v>#N/A</v>
      </c>
      <c r="DL35" s="395" t="e">
        <f>-DL34*Assumptions!$C$59</f>
        <v>#N/A</v>
      </c>
      <c r="DM35" s="395" t="e">
        <f>-DM34*Assumptions!$C$59</f>
        <v>#N/A</v>
      </c>
      <c r="DN35" s="395" t="e">
        <f>-DN34*Assumptions!$C$59</f>
        <v>#N/A</v>
      </c>
      <c r="DO35" s="395" t="e">
        <f>-DO34*Assumptions!$C$59</f>
        <v>#N/A</v>
      </c>
      <c r="DP35" s="395" t="e">
        <f>-DP34*Assumptions!$C$59</f>
        <v>#N/A</v>
      </c>
      <c r="DQ35" s="395" t="e">
        <f>-DQ34*Assumptions!$C$59</f>
        <v>#N/A</v>
      </c>
      <c r="DR35" s="395" t="e">
        <f>-DR34*Assumptions!$C$59</f>
        <v>#N/A</v>
      </c>
      <c r="DS35" s="392"/>
      <c r="DT35" s="392"/>
      <c r="DU35" s="392"/>
      <c r="DV35" s="392"/>
      <c r="DW35" s="392"/>
      <c r="DX35" s="392"/>
      <c r="DY35" s="392"/>
      <c r="DZ35" s="392"/>
      <c r="EA35" s="392"/>
      <c r="EB35" s="392"/>
      <c r="EC35" s="392"/>
      <c r="ED35" s="392"/>
    </row>
    <row r="36" spans="1:134" s="393" customFormat="1" ht="16" x14ac:dyDescent="0.2">
      <c r="A36" s="391"/>
      <c r="B36" s="397" t="s">
        <v>779</v>
      </c>
      <c r="C36" s="394">
        <f t="shared" ref="C36:AH36" si="32">C35+C34</f>
        <v>0</v>
      </c>
      <c r="D36" s="394">
        <f t="shared" si="32"/>
        <v>0</v>
      </c>
      <c r="E36" s="394">
        <f t="shared" si="32"/>
        <v>0</v>
      </c>
      <c r="F36" s="394">
        <f t="shared" si="32"/>
        <v>0</v>
      </c>
      <c r="G36" s="394">
        <f t="shared" si="32"/>
        <v>0</v>
      </c>
      <c r="H36" s="394">
        <f t="shared" si="32"/>
        <v>0</v>
      </c>
      <c r="I36" s="394">
        <f t="shared" si="32"/>
        <v>0</v>
      </c>
      <c r="J36" s="394">
        <f t="shared" si="32"/>
        <v>0</v>
      </c>
      <c r="K36" s="394">
        <f t="shared" si="32"/>
        <v>0</v>
      </c>
      <c r="L36" s="394">
        <f t="shared" si="32"/>
        <v>0</v>
      </c>
      <c r="M36" s="394">
        <f t="shared" si="32"/>
        <v>0</v>
      </c>
      <c r="N36" s="394">
        <f t="shared" si="32"/>
        <v>0</v>
      </c>
      <c r="O36" s="394">
        <f t="shared" si="32"/>
        <v>0</v>
      </c>
      <c r="P36" s="394">
        <f t="shared" si="32"/>
        <v>0</v>
      </c>
      <c r="Q36" s="394">
        <f t="shared" si="32"/>
        <v>0</v>
      </c>
      <c r="R36" s="394">
        <f t="shared" si="32"/>
        <v>0</v>
      </c>
      <c r="S36" s="394">
        <f t="shared" si="32"/>
        <v>0</v>
      </c>
      <c r="T36" s="394">
        <f t="shared" si="32"/>
        <v>0</v>
      </c>
      <c r="U36" s="394">
        <f t="shared" si="32"/>
        <v>0</v>
      </c>
      <c r="V36" s="394">
        <f t="shared" si="32"/>
        <v>0</v>
      </c>
      <c r="W36" s="394">
        <f t="shared" si="32"/>
        <v>0</v>
      </c>
      <c r="X36" s="394">
        <f t="shared" si="32"/>
        <v>0</v>
      </c>
      <c r="Y36" s="394">
        <f t="shared" si="32"/>
        <v>0</v>
      </c>
      <c r="Z36" s="394">
        <f t="shared" si="32"/>
        <v>0</v>
      </c>
      <c r="AA36" s="394">
        <f t="shared" si="32"/>
        <v>11524.117487399999</v>
      </c>
      <c r="AB36" s="394">
        <f t="shared" si="32"/>
        <v>10780.626036600006</v>
      </c>
      <c r="AC36" s="394">
        <f t="shared" si="32"/>
        <v>9987.5684890800039</v>
      </c>
      <c r="AD36" s="394">
        <f t="shared" si="32"/>
        <v>3717.4572540000008</v>
      </c>
      <c r="AE36" s="394">
        <f t="shared" si="32"/>
        <v>2304.8234974799998</v>
      </c>
      <c r="AF36" s="394">
        <f t="shared" si="32"/>
        <v>6691.4230572000015</v>
      </c>
      <c r="AG36" s="394">
        <f t="shared" si="32"/>
        <v>9987.5684890800039</v>
      </c>
      <c r="AH36" s="394">
        <f t="shared" si="32"/>
        <v>8451.0194907599944</v>
      </c>
      <c r="AI36" s="394">
        <f t="shared" ref="AI36:BN36" si="33">AI35+AI34</f>
        <v>6691.4230572000015</v>
      </c>
      <c r="AJ36" s="394">
        <f t="shared" si="33"/>
        <v>1536.5489983200005</v>
      </c>
      <c r="AK36" s="394">
        <f t="shared" si="33"/>
        <v>1486.9829016000003</v>
      </c>
      <c r="AL36" s="394">
        <f t="shared" si="33"/>
        <v>8451.0194907599944</v>
      </c>
      <c r="AM36" s="394">
        <f t="shared" si="33"/>
        <v>45642.364843846473</v>
      </c>
      <c r="AN36" s="394">
        <f t="shared" si="33"/>
        <v>41225.361794441997</v>
      </c>
      <c r="AO36" s="394">
        <f t="shared" si="33"/>
        <v>39556.7161980003</v>
      </c>
      <c r="AP36" s="394">
        <f t="shared" si="33"/>
        <v>14723.34349801499</v>
      </c>
      <c r="AQ36" s="394">
        <f t="shared" si="33"/>
        <v>9128.4729687693034</v>
      </c>
      <c r="AR36" s="394">
        <f t="shared" si="33"/>
        <v>26502.018296427006</v>
      </c>
      <c r="AS36" s="394">
        <f t="shared" si="33"/>
        <v>39556.7161980003</v>
      </c>
      <c r="AT36" s="394">
        <f t="shared" si="33"/>
        <v>33471.067552154127</v>
      </c>
      <c r="AU36" s="394">
        <f t="shared" si="33"/>
        <v>26502.018296427006</v>
      </c>
      <c r="AV36" s="394">
        <f t="shared" si="33"/>
        <v>6085.6486458462023</v>
      </c>
      <c r="AW36" s="394">
        <f t="shared" si="33"/>
        <v>5889.3373992060006</v>
      </c>
      <c r="AX36" s="394">
        <f t="shared" si="33"/>
        <v>33471.067552154127</v>
      </c>
      <c r="AY36" s="394">
        <f t="shared" si="33"/>
        <v>65787.180732820998</v>
      </c>
      <c r="AZ36" s="394">
        <f t="shared" si="33"/>
        <v>59420.679371580249</v>
      </c>
      <c r="BA36" s="394">
        <f t="shared" si="33"/>
        <v>57015.556635111512</v>
      </c>
      <c r="BB36" s="394">
        <f t="shared" si="33"/>
        <v>21221.671204135811</v>
      </c>
      <c r="BC36" s="394">
        <f t="shared" si="33"/>
        <v>13157.4361465642</v>
      </c>
      <c r="BD36" s="394">
        <f t="shared" si="33"/>
        <v>38199.008167444437</v>
      </c>
      <c r="BE36" s="394">
        <f t="shared" si="33"/>
        <v>57015.556635111512</v>
      </c>
      <c r="BF36" s="394">
        <f t="shared" si="33"/>
        <v>48243.932537402085</v>
      </c>
      <c r="BG36" s="394">
        <f t="shared" si="33"/>
        <v>38199.008167444437</v>
      </c>
      <c r="BH36" s="394">
        <f t="shared" si="33"/>
        <v>8771.6240977094712</v>
      </c>
      <c r="BI36" s="394">
        <f t="shared" si="33"/>
        <v>8488.6684816543275</v>
      </c>
      <c r="BJ36" s="394">
        <f t="shared" si="33"/>
        <v>48243.932537402085</v>
      </c>
      <c r="BK36" s="394">
        <f t="shared" si="33"/>
        <v>87099.607446774491</v>
      </c>
      <c r="BL36" s="394">
        <f t="shared" si="33"/>
        <v>78670.61317773175</v>
      </c>
      <c r="BM36" s="394">
        <f t="shared" si="33"/>
        <v>75486.32645387121</v>
      </c>
      <c r="BN36" s="394">
        <f t="shared" si="33"/>
        <v>28096.64756347565</v>
      </c>
      <c r="BO36" s="394">
        <f t="shared" ref="BO36:CT36" si="34">BO35+BO34</f>
        <v>17419.921489354892</v>
      </c>
      <c r="BP36" s="394">
        <f t="shared" si="34"/>
        <v>50573.965614256158</v>
      </c>
      <c r="BQ36" s="394">
        <f t="shared" si="34"/>
        <v>75486.32645387121</v>
      </c>
      <c r="BR36" s="394">
        <f t="shared" si="34"/>
        <v>63873.045460967929</v>
      </c>
      <c r="BS36" s="394">
        <f t="shared" si="34"/>
        <v>50573.965614256158</v>
      </c>
      <c r="BT36" s="394">
        <f t="shared" si="34"/>
        <v>11613.280992903266</v>
      </c>
      <c r="BU36" s="394">
        <f t="shared" si="34"/>
        <v>11238.659025390254</v>
      </c>
      <c r="BV36" s="394">
        <f t="shared" si="34"/>
        <v>63873.045460967929</v>
      </c>
      <c r="BW36" s="394">
        <f t="shared" si="34"/>
        <v>103609.55541254603</v>
      </c>
      <c r="BX36" s="394">
        <f t="shared" si="34"/>
        <v>96925.067966575269</v>
      </c>
      <c r="BY36" s="394">
        <f t="shared" si="34"/>
        <v>89794.948024206562</v>
      </c>
      <c r="BZ36" s="394">
        <f t="shared" si="34"/>
        <v>33422.437229853589</v>
      </c>
      <c r="CA36" s="394">
        <f t="shared" si="34"/>
        <v>20721.911082509207</v>
      </c>
      <c r="CB36" s="394">
        <f t="shared" si="34"/>
        <v>60160.387013736414</v>
      </c>
      <c r="CC36" s="394">
        <f t="shared" si="34"/>
        <v>89794.948024206562</v>
      </c>
      <c r="CD36" s="394">
        <f t="shared" si="34"/>
        <v>75980.340635867091</v>
      </c>
      <c r="CE36" s="394">
        <f t="shared" si="34"/>
        <v>60160.387013736414</v>
      </c>
      <c r="CF36" s="394">
        <f t="shared" si="34"/>
        <v>13814.607388339471</v>
      </c>
      <c r="CG36" s="394">
        <f t="shared" si="34"/>
        <v>13368.974891941427</v>
      </c>
      <c r="CH36" s="394">
        <f t="shared" si="34"/>
        <v>75980.340635867091</v>
      </c>
      <c r="CI36" s="394">
        <f t="shared" si="34"/>
        <v>106717.8420749224</v>
      </c>
      <c r="CJ36" s="394">
        <f t="shared" si="34"/>
        <v>96390.308970897691</v>
      </c>
      <c r="CK36" s="394">
        <f t="shared" si="34"/>
        <v>92488.796464932733</v>
      </c>
      <c r="CL36" s="394">
        <f t="shared" si="34"/>
        <v>34425.110346749192</v>
      </c>
      <c r="CM36" s="394">
        <f t="shared" si="34"/>
        <v>21343.568414984475</v>
      </c>
      <c r="CN36" s="394">
        <f t="shared" si="34"/>
        <v>61965.198624148499</v>
      </c>
      <c r="CO36" s="394">
        <f t="shared" si="34"/>
        <v>92488.796464932733</v>
      </c>
      <c r="CP36" s="394">
        <f t="shared" si="34"/>
        <v>78259.75085494318</v>
      </c>
      <c r="CQ36" s="394">
        <f t="shared" si="34"/>
        <v>61965.198624148499</v>
      </c>
      <c r="CR36" s="394">
        <f t="shared" si="34"/>
        <v>14229.045609989655</v>
      </c>
      <c r="CS36" s="394">
        <f t="shared" si="34"/>
        <v>13770.044138699668</v>
      </c>
      <c r="CT36" s="394">
        <f t="shared" si="34"/>
        <v>78259.75085494318</v>
      </c>
      <c r="CU36" s="394">
        <f t="shared" ref="CU36:DR36" si="35">CU35+CU34</f>
        <v>109919.37733717007</v>
      </c>
      <c r="CV36" s="394">
        <f t="shared" si="35"/>
        <v>99282.018240024569</v>
      </c>
      <c r="CW36" s="394">
        <f t="shared" si="35"/>
        <v>95263.460358880693</v>
      </c>
      <c r="CX36" s="394">
        <f t="shared" si="35"/>
        <v>35457.86365715164</v>
      </c>
      <c r="CY36" s="394">
        <f t="shared" si="35"/>
        <v>21983.875467434002</v>
      </c>
      <c r="CZ36" s="394">
        <f t="shared" si="35"/>
        <v>63824.154582872987</v>
      </c>
      <c r="DA36" s="394">
        <f t="shared" si="35"/>
        <v>95263.460358880693</v>
      </c>
      <c r="DB36" s="394">
        <f t="shared" si="35"/>
        <v>80607.543380591436</v>
      </c>
      <c r="DC36" s="394">
        <f t="shared" si="35"/>
        <v>63824.154582872987</v>
      </c>
      <c r="DD36" s="394">
        <f t="shared" si="35"/>
        <v>14655.916978289344</v>
      </c>
      <c r="DE36" s="394">
        <f t="shared" si="35"/>
        <v>14183.145462860659</v>
      </c>
      <c r="DF36" s="394">
        <f t="shared" si="35"/>
        <v>80607.543380591436</v>
      </c>
      <c r="DG36" s="394" t="e">
        <f t="shared" si="35"/>
        <v>#N/A</v>
      </c>
      <c r="DH36" s="394" t="e">
        <f t="shared" si="35"/>
        <v>#N/A</v>
      </c>
      <c r="DI36" s="394" t="e">
        <f t="shared" si="35"/>
        <v>#N/A</v>
      </c>
      <c r="DJ36" s="394" t="e">
        <f t="shared" si="35"/>
        <v>#N/A</v>
      </c>
      <c r="DK36" s="394" t="e">
        <f t="shared" si="35"/>
        <v>#N/A</v>
      </c>
      <c r="DL36" s="394" t="e">
        <f t="shared" si="35"/>
        <v>#N/A</v>
      </c>
      <c r="DM36" s="394" t="e">
        <f t="shared" si="35"/>
        <v>#N/A</v>
      </c>
      <c r="DN36" s="394" t="e">
        <f t="shared" si="35"/>
        <v>#N/A</v>
      </c>
      <c r="DO36" s="394" t="e">
        <f t="shared" si="35"/>
        <v>#N/A</v>
      </c>
      <c r="DP36" s="394" t="e">
        <f t="shared" si="35"/>
        <v>#N/A</v>
      </c>
      <c r="DQ36" s="394" t="e">
        <f t="shared" si="35"/>
        <v>#N/A</v>
      </c>
      <c r="DR36" s="394" t="e">
        <f t="shared" si="35"/>
        <v>#N/A</v>
      </c>
      <c r="DS36" s="394"/>
      <c r="DT36" s="394"/>
      <c r="DU36" s="394"/>
      <c r="DV36" s="394"/>
      <c r="DW36" s="394"/>
      <c r="DX36" s="394"/>
      <c r="DY36" s="394"/>
      <c r="DZ36" s="394"/>
      <c r="EA36" s="394"/>
      <c r="EB36" s="394"/>
      <c r="EC36" s="394"/>
      <c r="ED36" s="394"/>
    </row>
    <row r="37" spans="1:134" s="154" customFormat="1" ht="16" x14ac:dyDescent="0.2">
      <c r="A37" s="304"/>
      <c r="B37" s="281"/>
    </row>
    <row r="38" spans="1:134" s="393" customFormat="1" ht="16" x14ac:dyDescent="0.2">
      <c r="A38" s="391"/>
      <c r="B38" s="281" t="s">
        <v>113</v>
      </c>
      <c r="C38" s="392">
        <f>C12*Assumptions!$C$71</f>
        <v>0</v>
      </c>
      <c r="D38" s="392">
        <f>D12*Assumptions!$C$71</f>
        <v>0</v>
      </c>
      <c r="E38" s="392">
        <f>E12*Assumptions!$C$71</f>
        <v>0</v>
      </c>
      <c r="F38" s="392">
        <f>F12*Assumptions!$C$71</f>
        <v>0</v>
      </c>
      <c r="G38" s="392">
        <f>G12*Assumptions!$C$71</f>
        <v>0</v>
      </c>
      <c r="H38" s="392">
        <f>H12*Assumptions!$C$71</f>
        <v>0</v>
      </c>
      <c r="I38" s="392">
        <f>I12*Assumptions!$C$71</f>
        <v>0</v>
      </c>
      <c r="J38" s="392">
        <f>J12*Assumptions!$C$71</f>
        <v>0</v>
      </c>
      <c r="K38" s="392">
        <f>K12*Assumptions!$C$71</f>
        <v>0</v>
      </c>
      <c r="L38" s="392">
        <f>L12*Assumptions!$C$71</f>
        <v>0</v>
      </c>
      <c r="M38" s="392">
        <f>M12*Assumptions!$C$71</f>
        <v>0</v>
      </c>
      <c r="N38" s="392">
        <f>N12*Assumptions!$C$71</f>
        <v>0</v>
      </c>
      <c r="O38" s="392">
        <f>O12*Assumptions!$C$71</f>
        <v>0</v>
      </c>
      <c r="P38" s="392">
        <f>P12*Assumptions!$C$71</f>
        <v>0</v>
      </c>
      <c r="Q38" s="392">
        <f>Q12*Assumptions!$C$71</f>
        <v>0</v>
      </c>
      <c r="R38" s="392">
        <f>R12*Assumptions!$C$71</f>
        <v>0</v>
      </c>
      <c r="S38" s="392">
        <f>S12*Assumptions!$C$71</f>
        <v>0</v>
      </c>
      <c r="T38" s="392">
        <f>T12*Assumptions!$C$71</f>
        <v>0</v>
      </c>
      <c r="U38" s="392">
        <f>U12*Assumptions!$C$71</f>
        <v>0</v>
      </c>
      <c r="V38" s="392">
        <f>V12*Assumptions!$C$71</f>
        <v>0</v>
      </c>
      <c r="W38" s="392">
        <f>W12*Assumptions!$C$71</f>
        <v>0</v>
      </c>
      <c r="X38" s="392">
        <f>X12*Assumptions!$C$71</f>
        <v>0</v>
      </c>
      <c r="Y38" s="392">
        <f>Y12*Assumptions!$C$71</f>
        <v>0</v>
      </c>
      <c r="Z38" s="392">
        <f>Z12*Assumptions!$C$71</f>
        <v>0</v>
      </c>
      <c r="AA38" s="392">
        <f>AA12*Assumptions!$C$71</f>
        <v>0</v>
      </c>
      <c r="AB38" s="392">
        <f>AB12*Assumptions!$C$71</f>
        <v>0</v>
      </c>
      <c r="AC38" s="392">
        <f>AC12*Assumptions!$C$71</f>
        <v>0</v>
      </c>
      <c r="AD38" s="392">
        <f>AD12*Assumptions!$C$71</f>
        <v>0</v>
      </c>
      <c r="AE38" s="392">
        <f>AE12*Assumptions!$C$71</f>
        <v>0</v>
      </c>
      <c r="AF38" s="392">
        <f>AF12*Assumptions!$C$71</f>
        <v>0</v>
      </c>
      <c r="AG38" s="392">
        <f>AG12*Assumptions!$C$71</f>
        <v>0</v>
      </c>
      <c r="AH38" s="392">
        <f>AH12*Assumptions!$C$71</f>
        <v>0</v>
      </c>
      <c r="AI38" s="392">
        <f>AI12*Assumptions!$C$71</f>
        <v>0</v>
      </c>
      <c r="AJ38" s="392">
        <f>AJ12*Assumptions!$C$71</f>
        <v>0</v>
      </c>
      <c r="AK38" s="392">
        <f>AK12*Assumptions!$C$71</f>
        <v>0</v>
      </c>
      <c r="AL38" s="392">
        <f>AL12*Assumptions!$C$71</f>
        <v>0</v>
      </c>
      <c r="AM38" s="392">
        <f>AM12*Assumptions!$C$71</f>
        <v>0</v>
      </c>
      <c r="AN38" s="392">
        <f>AN12*Assumptions!$C$71</f>
        <v>0</v>
      </c>
      <c r="AO38" s="392">
        <f>AO12*Assumptions!$C$71</f>
        <v>0</v>
      </c>
      <c r="AP38" s="392">
        <f>AP12*Assumptions!$C$71</f>
        <v>0</v>
      </c>
      <c r="AQ38" s="392">
        <f>AQ12*Assumptions!$C$71</f>
        <v>0</v>
      </c>
      <c r="AR38" s="392">
        <f>AR12*Assumptions!$C$71</f>
        <v>0</v>
      </c>
      <c r="AS38" s="392">
        <f>AS12*Assumptions!$C$71</f>
        <v>0</v>
      </c>
      <c r="AT38" s="392">
        <f>AT12*Assumptions!$C$71</f>
        <v>0</v>
      </c>
      <c r="AU38" s="392">
        <f>AU12*Assumptions!$C$71</f>
        <v>0</v>
      </c>
      <c r="AV38" s="392">
        <f>AV12*Assumptions!$C$71</f>
        <v>0</v>
      </c>
      <c r="AW38" s="392">
        <f>AW12*Assumptions!$C$71</f>
        <v>0</v>
      </c>
      <c r="AX38" s="392">
        <f>AX12*Assumptions!$C$71</f>
        <v>0</v>
      </c>
      <c r="AY38" s="392">
        <f>AY12*Assumptions!$C$71</f>
        <v>0</v>
      </c>
      <c r="AZ38" s="392">
        <f>AZ12*Assumptions!$C$71</f>
        <v>0</v>
      </c>
      <c r="BA38" s="392">
        <f>BA12*Assumptions!$C$71</f>
        <v>0</v>
      </c>
      <c r="BB38" s="392">
        <f>BB12*Assumptions!$C$71</f>
        <v>0</v>
      </c>
      <c r="BC38" s="392">
        <f>BC12*Assumptions!$C$71</f>
        <v>0</v>
      </c>
      <c r="BD38" s="392">
        <f>BD12*Assumptions!$C$71</f>
        <v>0</v>
      </c>
      <c r="BE38" s="392">
        <f>BE12*Assumptions!$C$71</f>
        <v>0</v>
      </c>
      <c r="BF38" s="392">
        <f>BF12*Assumptions!$C$71</f>
        <v>0</v>
      </c>
      <c r="BG38" s="392">
        <f>BG12*Assumptions!$C$71</f>
        <v>0</v>
      </c>
      <c r="BH38" s="392">
        <f>BH12*Assumptions!$C$71</f>
        <v>0</v>
      </c>
      <c r="BI38" s="392">
        <f>BI12*Assumptions!$C$71</f>
        <v>0</v>
      </c>
      <c r="BJ38" s="392">
        <f>BJ12*Assumptions!$C$71</f>
        <v>0</v>
      </c>
      <c r="BK38" s="392">
        <f>BK12*Assumptions!$C$71</f>
        <v>0</v>
      </c>
      <c r="BL38" s="392">
        <f>BL12*Assumptions!$C$71</f>
        <v>0</v>
      </c>
      <c r="BM38" s="392">
        <f>BM12*Assumptions!$C$71</f>
        <v>0</v>
      </c>
      <c r="BN38" s="392">
        <f>BN12*Assumptions!$C$71</f>
        <v>0</v>
      </c>
      <c r="BO38" s="392">
        <f>BO12*Assumptions!$C$71</f>
        <v>0</v>
      </c>
      <c r="BP38" s="392">
        <f>BP12*Assumptions!$C$71</f>
        <v>0</v>
      </c>
      <c r="BQ38" s="392">
        <f>BQ12*Assumptions!$C$71</f>
        <v>0</v>
      </c>
      <c r="BR38" s="392">
        <f>BR12*Assumptions!$C$71</f>
        <v>0</v>
      </c>
      <c r="BS38" s="392">
        <f>BS12*Assumptions!$C$71</f>
        <v>0</v>
      </c>
      <c r="BT38" s="392">
        <f>BT12*Assumptions!$C$71</f>
        <v>0</v>
      </c>
      <c r="BU38" s="392">
        <f>BU12*Assumptions!$C$71</f>
        <v>0</v>
      </c>
      <c r="BV38" s="392">
        <f>BV12*Assumptions!$C$71</f>
        <v>0</v>
      </c>
      <c r="BW38" s="392">
        <f>BW12*Assumptions!$C$71</f>
        <v>0</v>
      </c>
      <c r="BX38" s="392">
        <f>BX12*Assumptions!$C$71</f>
        <v>0</v>
      </c>
      <c r="BY38" s="392">
        <f>BY12*Assumptions!$C$71</f>
        <v>0</v>
      </c>
      <c r="BZ38" s="392">
        <f>BZ12*Assumptions!$C$71</f>
        <v>0</v>
      </c>
      <c r="CA38" s="392">
        <f>CA12*Assumptions!$C$71</f>
        <v>0</v>
      </c>
      <c r="CB38" s="392">
        <f>CB12*Assumptions!$C$71</f>
        <v>0</v>
      </c>
      <c r="CC38" s="392">
        <f>CC12*Assumptions!$C$71</f>
        <v>0</v>
      </c>
      <c r="CD38" s="392">
        <f>CD12*Assumptions!$C$71</f>
        <v>0</v>
      </c>
      <c r="CE38" s="392">
        <f>CE12*Assumptions!$C$71</f>
        <v>0</v>
      </c>
      <c r="CF38" s="392">
        <f>CF12*Assumptions!$C$71</f>
        <v>0</v>
      </c>
      <c r="CG38" s="392">
        <f>CG12*Assumptions!$C$71</f>
        <v>0</v>
      </c>
      <c r="CH38" s="392">
        <f>CH12*Assumptions!$C$71</f>
        <v>0</v>
      </c>
      <c r="CI38" s="392">
        <f>CI12*Assumptions!$C$71</f>
        <v>0</v>
      </c>
      <c r="CJ38" s="392">
        <f>CJ12*Assumptions!$C$71</f>
        <v>0</v>
      </c>
      <c r="CK38" s="392">
        <f>CK12*Assumptions!$C$71</f>
        <v>0</v>
      </c>
      <c r="CL38" s="392">
        <f>CL12*Assumptions!$C$71</f>
        <v>0</v>
      </c>
      <c r="CM38" s="392">
        <f>CM12*Assumptions!$C$71</f>
        <v>0</v>
      </c>
      <c r="CN38" s="392">
        <f>CN12*Assumptions!$C$71</f>
        <v>0</v>
      </c>
      <c r="CO38" s="392">
        <f>CO12*Assumptions!$C$71</f>
        <v>0</v>
      </c>
      <c r="CP38" s="392">
        <f>CP12*Assumptions!$C$71</f>
        <v>0</v>
      </c>
      <c r="CQ38" s="392">
        <f>CQ12*Assumptions!$C$71</f>
        <v>0</v>
      </c>
      <c r="CR38" s="392">
        <f>CR12*Assumptions!$C$71</f>
        <v>0</v>
      </c>
      <c r="CS38" s="392">
        <f>CS12*Assumptions!$C$71</f>
        <v>0</v>
      </c>
      <c r="CT38" s="392">
        <f>CT12*Assumptions!$C$71</f>
        <v>0</v>
      </c>
      <c r="CU38" s="392">
        <f>CU12*Assumptions!$C$71</f>
        <v>0</v>
      </c>
      <c r="CV38" s="392">
        <f>CV12*Assumptions!$C$71</f>
        <v>0</v>
      </c>
      <c r="CW38" s="392">
        <f>CW12*Assumptions!$C$71</f>
        <v>0</v>
      </c>
      <c r="CX38" s="392">
        <f>CX12*Assumptions!$C$71</f>
        <v>0</v>
      </c>
      <c r="CY38" s="392">
        <f>CY12*Assumptions!$C$71</f>
        <v>0</v>
      </c>
      <c r="CZ38" s="392">
        <f>CZ12*Assumptions!$C$71</f>
        <v>0</v>
      </c>
      <c r="DA38" s="392">
        <f>DA12*Assumptions!$C$71</f>
        <v>0</v>
      </c>
      <c r="DB38" s="392">
        <f>DB12*Assumptions!$C$71</f>
        <v>0</v>
      </c>
      <c r="DC38" s="392">
        <f>DC12*Assumptions!$C$71</f>
        <v>0</v>
      </c>
      <c r="DD38" s="392">
        <f>DD12*Assumptions!$C$71</f>
        <v>0</v>
      </c>
      <c r="DE38" s="392">
        <f>DE12*Assumptions!$C$71</f>
        <v>0</v>
      </c>
      <c r="DF38" s="392">
        <f>DF12*Assumptions!$C$71</f>
        <v>0</v>
      </c>
      <c r="DG38" s="392" t="e">
        <f>DG12*Assumptions!$C$71</f>
        <v>#N/A</v>
      </c>
      <c r="DH38" s="392" t="e">
        <f>DH12*Assumptions!$C$71</f>
        <v>#N/A</v>
      </c>
      <c r="DI38" s="392" t="e">
        <f>DI12*Assumptions!$C$71</f>
        <v>#N/A</v>
      </c>
      <c r="DJ38" s="392" t="e">
        <f>DJ12*Assumptions!$C$71</f>
        <v>#N/A</v>
      </c>
      <c r="DK38" s="392" t="e">
        <f>DK12*Assumptions!$C$71</f>
        <v>#N/A</v>
      </c>
      <c r="DL38" s="392" t="e">
        <f>DL12*Assumptions!$C$71</f>
        <v>#N/A</v>
      </c>
      <c r="DM38" s="392" t="e">
        <f>DM12*Assumptions!$C$71</f>
        <v>#N/A</v>
      </c>
      <c r="DN38" s="392" t="e">
        <f>DN12*Assumptions!$C$71</f>
        <v>#N/A</v>
      </c>
      <c r="DO38" s="392" t="e">
        <f>DO12*Assumptions!$C$71</f>
        <v>#N/A</v>
      </c>
      <c r="DP38" s="392" t="e">
        <f>DP12*Assumptions!$C$71</f>
        <v>#N/A</v>
      </c>
      <c r="DQ38" s="392" t="e">
        <f>DQ12*Assumptions!$C$71</f>
        <v>#N/A</v>
      </c>
      <c r="DR38" s="392" t="e">
        <f>DR12*Assumptions!$C$71</f>
        <v>#N/A</v>
      </c>
      <c r="DS38" s="392"/>
      <c r="DT38" s="392"/>
      <c r="DU38" s="392"/>
      <c r="DV38" s="392"/>
      <c r="DW38" s="392"/>
      <c r="DX38" s="392"/>
      <c r="DY38" s="392"/>
      <c r="DZ38" s="392"/>
      <c r="EA38" s="392"/>
      <c r="EB38" s="392"/>
      <c r="EC38" s="392"/>
      <c r="ED38" s="392"/>
    </row>
    <row r="39" spans="1:134" s="393" customFormat="1" ht="16" x14ac:dyDescent="0.2">
      <c r="A39" s="391"/>
      <c r="B39" s="398" t="s">
        <v>780</v>
      </c>
      <c r="C39" s="395">
        <f>C38*-Assumptions!$C$72</f>
        <v>0</v>
      </c>
      <c r="D39" s="395">
        <f>D38*-Assumptions!$C$72</f>
        <v>0</v>
      </c>
      <c r="E39" s="395">
        <f>E38*-Assumptions!$C$72</f>
        <v>0</v>
      </c>
      <c r="F39" s="395">
        <f>F38*-Assumptions!$C$72</f>
        <v>0</v>
      </c>
      <c r="G39" s="395">
        <f>G38*-Assumptions!$C$72</f>
        <v>0</v>
      </c>
      <c r="H39" s="395">
        <f>H38*-Assumptions!$C$72</f>
        <v>0</v>
      </c>
      <c r="I39" s="395">
        <f>I38*-Assumptions!$C$72</f>
        <v>0</v>
      </c>
      <c r="J39" s="395">
        <f>J38*-Assumptions!$C$72</f>
        <v>0</v>
      </c>
      <c r="K39" s="395">
        <f>K38*-Assumptions!$C$72</f>
        <v>0</v>
      </c>
      <c r="L39" s="395">
        <f>L38*-Assumptions!$C$72</f>
        <v>0</v>
      </c>
      <c r="M39" s="395">
        <f>M38*-Assumptions!$C$72</f>
        <v>0</v>
      </c>
      <c r="N39" s="395">
        <f>N38*-Assumptions!$C$72</f>
        <v>0</v>
      </c>
      <c r="O39" s="395">
        <f>O38*-Assumptions!$C$72</f>
        <v>0</v>
      </c>
      <c r="P39" s="395">
        <f>P38*-Assumptions!$C$72</f>
        <v>0</v>
      </c>
      <c r="Q39" s="395">
        <f>Q38*-Assumptions!$C$72</f>
        <v>0</v>
      </c>
      <c r="R39" s="395">
        <f>R38*-Assumptions!$C$72</f>
        <v>0</v>
      </c>
      <c r="S39" s="395">
        <f>S38*-Assumptions!$C$72</f>
        <v>0</v>
      </c>
      <c r="T39" s="395">
        <f>T38*-Assumptions!$C$72</f>
        <v>0</v>
      </c>
      <c r="U39" s="395">
        <f>U38*-Assumptions!$C$72</f>
        <v>0</v>
      </c>
      <c r="V39" s="395">
        <f>V38*-Assumptions!$C$72</f>
        <v>0</v>
      </c>
      <c r="W39" s="395">
        <f>W38*-Assumptions!$C$72</f>
        <v>0</v>
      </c>
      <c r="X39" s="395">
        <f>X38*-Assumptions!$C$72</f>
        <v>0</v>
      </c>
      <c r="Y39" s="395">
        <f>Y38*-Assumptions!$C$72</f>
        <v>0</v>
      </c>
      <c r="Z39" s="395">
        <f>Z38*-Assumptions!$C$72</f>
        <v>0</v>
      </c>
      <c r="AA39" s="395">
        <f>AA38*-Assumptions!$C$72</f>
        <v>0</v>
      </c>
      <c r="AB39" s="395">
        <f>AB38*-Assumptions!$C$72</f>
        <v>0</v>
      </c>
      <c r="AC39" s="395">
        <f>AC38*-Assumptions!$C$72</f>
        <v>0</v>
      </c>
      <c r="AD39" s="395">
        <f>AD38*-Assumptions!$C$72</f>
        <v>0</v>
      </c>
      <c r="AE39" s="395">
        <f>AE38*-Assumptions!$C$72</f>
        <v>0</v>
      </c>
      <c r="AF39" s="395">
        <f>AF38*-Assumptions!$C$72</f>
        <v>0</v>
      </c>
      <c r="AG39" s="395">
        <f>AG38*-Assumptions!$C$72</f>
        <v>0</v>
      </c>
      <c r="AH39" s="395">
        <f>AH38*-Assumptions!$C$72</f>
        <v>0</v>
      </c>
      <c r="AI39" s="395">
        <f>AI38*-Assumptions!$C$72</f>
        <v>0</v>
      </c>
      <c r="AJ39" s="395">
        <f>AJ38*-Assumptions!$C$72</f>
        <v>0</v>
      </c>
      <c r="AK39" s="395">
        <f>AK38*-Assumptions!$C$72</f>
        <v>0</v>
      </c>
      <c r="AL39" s="395">
        <f>AL38*-Assumptions!$C$72</f>
        <v>0</v>
      </c>
      <c r="AM39" s="395">
        <f>AM38*-Assumptions!$C$72</f>
        <v>0</v>
      </c>
      <c r="AN39" s="395">
        <f>AN38*-Assumptions!$C$72</f>
        <v>0</v>
      </c>
      <c r="AO39" s="395">
        <f>AO38*-Assumptions!$C$72</f>
        <v>0</v>
      </c>
      <c r="AP39" s="395">
        <f>AP38*-Assumptions!$C$72</f>
        <v>0</v>
      </c>
      <c r="AQ39" s="395">
        <f>AQ38*-Assumptions!$C$72</f>
        <v>0</v>
      </c>
      <c r="AR39" s="395">
        <f>AR38*-Assumptions!$C$72</f>
        <v>0</v>
      </c>
      <c r="AS39" s="395">
        <f>AS38*-Assumptions!$C$72</f>
        <v>0</v>
      </c>
      <c r="AT39" s="395">
        <f>AT38*-Assumptions!$C$72</f>
        <v>0</v>
      </c>
      <c r="AU39" s="395">
        <f>AU38*-Assumptions!$C$72</f>
        <v>0</v>
      </c>
      <c r="AV39" s="395">
        <f>AV38*-Assumptions!$C$72</f>
        <v>0</v>
      </c>
      <c r="AW39" s="395">
        <f>AW38*-Assumptions!$C$72</f>
        <v>0</v>
      </c>
      <c r="AX39" s="395">
        <f>AX38*-Assumptions!$C$72</f>
        <v>0</v>
      </c>
      <c r="AY39" s="395">
        <f>AY38*-Assumptions!$C$72</f>
        <v>0</v>
      </c>
      <c r="AZ39" s="395">
        <f>AZ38*-Assumptions!$C$72</f>
        <v>0</v>
      </c>
      <c r="BA39" s="395">
        <f>BA38*-Assumptions!$C$72</f>
        <v>0</v>
      </c>
      <c r="BB39" s="395">
        <f>BB38*-Assumptions!$C$72</f>
        <v>0</v>
      </c>
      <c r="BC39" s="395">
        <f>BC38*-Assumptions!$C$72</f>
        <v>0</v>
      </c>
      <c r="BD39" s="395">
        <f>BD38*-Assumptions!$C$72</f>
        <v>0</v>
      </c>
      <c r="BE39" s="395">
        <f>BE38*-Assumptions!$C$72</f>
        <v>0</v>
      </c>
      <c r="BF39" s="395">
        <f>BF38*-Assumptions!$C$72</f>
        <v>0</v>
      </c>
      <c r="BG39" s="395">
        <f>BG38*-Assumptions!$C$72</f>
        <v>0</v>
      </c>
      <c r="BH39" s="395">
        <f>BH38*-Assumptions!$C$72</f>
        <v>0</v>
      </c>
      <c r="BI39" s="395">
        <f>BI38*-Assumptions!$C$72</f>
        <v>0</v>
      </c>
      <c r="BJ39" s="395">
        <f>BJ38*-Assumptions!$C$72</f>
        <v>0</v>
      </c>
      <c r="BK39" s="395">
        <f>BK38*-Assumptions!$C$72</f>
        <v>0</v>
      </c>
      <c r="BL39" s="395">
        <f>BL38*-Assumptions!$C$72</f>
        <v>0</v>
      </c>
      <c r="BM39" s="395">
        <f>BM38*-Assumptions!$C$72</f>
        <v>0</v>
      </c>
      <c r="BN39" s="395">
        <f>BN38*-Assumptions!$C$72</f>
        <v>0</v>
      </c>
      <c r="BO39" s="395">
        <f>BO38*-Assumptions!$C$72</f>
        <v>0</v>
      </c>
      <c r="BP39" s="395">
        <f>BP38*-Assumptions!$C$72</f>
        <v>0</v>
      </c>
      <c r="BQ39" s="395">
        <f>BQ38*-Assumptions!$C$72</f>
        <v>0</v>
      </c>
      <c r="BR39" s="395">
        <f>BR38*-Assumptions!$C$72</f>
        <v>0</v>
      </c>
      <c r="BS39" s="395">
        <f>BS38*-Assumptions!$C$72</f>
        <v>0</v>
      </c>
      <c r="BT39" s="395">
        <f>BT38*-Assumptions!$C$72</f>
        <v>0</v>
      </c>
      <c r="BU39" s="395">
        <f>BU38*-Assumptions!$C$72</f>
        <v>0</v>
      </c>
      <c r="BV39" s="395">
        <f>BV38*-Assumptions!$C$72</f>
        <v>0</v>
      </c>
      <c r="BW39" s="395">
        <f>BW38*-Assumptions!$C$72</f>
        <v>0</v>
      </c>
      <c r="BX39" s="395">
        <f>BX38*-Assumptions!$C$72</f>
        <v>0</v>
      </c>
      <c r="BY39" s="395">
        <f>BY38*-Assumptions!$C$72</f>
        <v>0</v>
      </c>
      <c r="BZ39" s="395">
        <f>BZ38*-Assumptions!$C$72</f>
        <v>0</v>
      </c>
      <c r="CA39" s="395">
        <f>CA38*-Assumptions!$C$72</f>
        <v>0</v>
      </c>
      <c r="CB39" s="395">
        <f>CB38*-Assumptions!$C$72</f>
        <v>0</v>
      </c>
      <c r="CC39" s="395">
        <f>CC38*-Assumptions!$C$72</f>
        <v>0</v>
      </c>
      <c r="CD39" s="395">
        <f>CD38*-Assumptions!$C$72</f>
        <v>0</v>
      </c>
      <c r="CE39" s="395">
        <f>CE38*-Assumptions!$C$72</f>
        <v>0</v>
      </c>
      <c r="CF39" s="395">
        <f>CF38*-Assumptions!$C$72</f>
        <v>0</v>
      </c>
      <c r="CG39" s="395">
        <f>CG38*-Assumptions!$C$72</f>
        <v>0</v>
      </c>
      <c r="CH39" s="395">
        <f>CH38*-Assumptions!$C$72</f>
        <v>0</v>
      </c>
      <c r="CI39" s="395">
        <f>CI38*-Assumptions!$C$72</f>
        <v>0</v>
      </c>
      <c r="CJ39" s="395">
        <f>CJ38*-Assumptions!$C$72</f>
        <v>0</v>
      </c>
      <c r="CK39" s="395">
        <f>CK38*-Assumptions!$C$72</f>
        <v>0</v>
      </c>
      <c r="CL39" s="395">
        <f>CL38*-Assumptions!$C$72</f>
        <v>0</v>
      </c>
      <c r="CM39" s="395">
        <f>CM38*-Assumptions!$C$72</f>
        <v>0</v>
      </c>
      <c r="CN39" s="395">
        <f>CN38*-Assumptions!$C$72</f>
        <v>0</v>
      </c>
      <c r="CO39" s="395">
        <f>CO38*-Assumptions!$C$72</f>
        <v>0</v>
      </c>
      <c r="CP39" s="395">
        <f>CP38*-Assumptions!$C$72</f>
        <v>0</v>
      </c>
      <c r="CQ39" s="395">
        <f>CQ38*-Assumptions!$C$72</f>
        <v>0</v>
      </c>
      <c r="CR39" s="395">
        <f>CR38*-Assumptions!$C$72</f>
        <v>0</v>
      </c>
      <c r="CS39" s="395">
        <f>CS38*-Assumptions!$C$72</f>
        <v>0</v>
      </c>
      <c r="CT39" s="395">
        <f>CT38*-Assumptions!$C$72</f>
        <v>0</v>
      </c>
      <c r="CU39" s="395">
        <f>CU38*-Assumptions!$C$72</f>
        <v>0</v>
      </c>
      <c r="CV39" s="395">
        <f>CV38*-Assumptions!$C$72</f>
        <v>0</v>
      </c>
      <c r="CW39" s="395">
        <f>CW38*-Assumptions!$C$72</f>
        <v>0</v>
      </c>
      <c r="CX39" s="395">
        <f>CX38*-Assumptions!$C$72</f>
        <v>0</v>
      </c>
      <c r="CY39" s="395">
        <f>CY38*-Assumptions!$C$72</f>
        <v>0</v>
      </c>
      <c r="CZ39" s="395">
        <f>CZ38*-Assumptions!$C$72</f>
        <v>0</v>
      </c>
      <c r="DA39" s="395">
        <f>DA38*-Assumptions!$C$72</f>
        <v>0</v>
      </c>
      <c r="DB39" s="395">
        <f>DB38*-Assumptions!$C$72</f>
        <v>0</v>
      </c>
      <c r="DC39" s="395">
        <f>DC38*-Assumptions!$C$72</f>
        <v>0</v>
      </c>
      <c r="DD39" s="395">
        <f>DD38*-Assumptions!$C$72</f>
        <v>0</v>
      </c>
      <c r="DE39" s="395">
        <f>DE38*-Assumptions!$C$72</f>
        <v>0</v>
      </c>
      <c r="DF39" s="395">
        <f>DF38*-Assumptions!$C$72</f>
        <v>0</v>
      </c>
      <c r="DG39" s="395" t="e">
        <f>DG38*-Assumptions!$C$72</f>
        <v>#N/A</v>
      </c>
      <c r="DH39" s="395" t="e">
        <f>DH38*-Assumptions!$C$72</f>
        <v>#N/A</v>
      </c>
      <c r="DI39" s="395" t="e">
        <f>DI38*-Assumptions!$C$72</f>
        <v>#N/A</v>
      </c>
      <c r="DJ39" s="395" t="e">
        <f>DJ38*-Assumptions!$C$72</f>
        <v>#N/A</v>
      </c>
      <c r="DK39" s="395" t="e">
        <f>DK38*-Assumptions!$C$72</f>
        <v>#N/A</v>
      </c>
      <c r="DL39" s="395" t="e">
        <f>DL38*-Assumptions!$C$72</f>
        <v>#N/A</v>
      </c>
      <c r="DM39" s="395" t="e">
        <f>DM38*-Assumptions!$C$72</f>
        <v>#N/A</v>
      </c>
      <c r="DN39" s="395" t="e">
        <f>DN38*-Assumptions!$C$72</f>
        <v>#N/A</v>
      </c>
      <c r="DO39" s="395" t="e">
        <f>DO38*-Assumptions!$C$72</f>
        <v>#N/A</v>
      </c>
      <c r="DP39" s="395" t="e">
        <f>DP38*-Assumptions!$C$72</f>
        <v>#N/A</v>
      </c>
      <c r="DQ39" s="395" t="e">
        <f>DQ38*-Assumptions!$C$72</f>
        <v>#N/A</v>
      </c>
      <c r="DR39" s="395" t="e">
        <f>DR38*-Assumptions!$C$72</f>
        <v>#N/A</v>
      </c>
      <c r="DS39" s="392"/>
      <c r="DT39" s="392"/>
      <c r="DU39" s="392"/>
      <c r="DV39" s="392"/>
      <c r="DW39" s="392"/>
      <c r="DX39" s="392"/>
      <c r="DY39" s="392"/>
      <c r="DZ39" s="392"/>
      <c r="EA39" s="392"/>
      <c r="EB39" s="392"/>
      <c r="EC39" s="392"/>
      <c r="ED39" s="392"/>
    </row>
    <row r="40" spans="1:134" s="393" customFormat="1" ht="16" x14ac:dyDescent="0.2">
      <c r="A40" s="391"/>
      <c r="B40" s="397" t="s">
        <v>781</v>
      </c>
      <c r="C40" s="394">
        <f t="shared" ref="C40:AH40" si="36">C39+C38</f>
        <v>0</v>
      </c>
      <c r="D40" s="394">
        <f t="shared" si="36"/>
        <v>0</v>
      </c>
      <c r="E40" s="394">
        <f t="shared" si="36"/>
        <v>0</v>
      </c>
      <c r="F40" s="394">
        <f t="shared" si="36"/>
        <v>0</v>
      </c>
      <c r="G40" s="394">
        <f t="shared" si="36"/>
        <v>0</v>
      </c>
      <c r="H40" s="394">
        <f t="shared" si="36"/>
        <v>0</v>
      </c>
      <c r="I40" s="394">
        <f t="shared" si="36"/>
        <v>0</v>
      </c>
      <c r="J40" s="394">
        <f t="shared" si="36"/>
        <v>0</v>
      </c>
      <c r="K40" s="394">
        <f t="shared" si="36"/>
        <v>0</v>
      </c>
      <c r="L40" s="394">
        <f t="shared" si="36"/>
        <v>0</v>
      </c>
      <c r="M40" s="394">
        <f t="shared" si="36"/>
        <v>0</v>
      </c>
      <c r="N40" s="394">
        <f t="shared" si="36"/>
        <v>0</v>
      </c>
      <c r="O40" s="394">
        <f t="shared" si="36"/>
        <v>0</v>
      </c>
      <c r="P40" s="394">
        <f t="shared" si="36"/>
        <v>0</v>
      </c>
      <c r="Q40" s="394">
        <f t="shared" si="36"/>
        <v>0</v>
      </c>
      <c r="R40" s="394">
        <f t="shared" si="36"/>
        <v>0</v>
      </c>
      <c r="S40" s="394">
        <f t="shared" si="36"/>
        <v>0</v>
      </c>
      <c r="T40" s="394">
        <f t="shared" si="36"/>
        <v>0</v>
      </c>
      <c r="U40" s="394">
        <f t="shared" si="36"/>
        <v>0</v>
      </c>
      <c r="V40" s="394">
        <f t="shared" si="36"/>
        <v>0</v>
      </c>
      <c r="W40" s="394">
        <f t="shared" si="36"/>
        <v>0</v>
      </c>
      <c r="X40" s="394">
        <f t="shared" si="36"/>
        <v>0</v>
      </c>
      <c r="Y40" s="394">
        <f t="shared" si="36"/>
        <v>0</v>
      </c>
      <c r="Z40" s="394">
        <f t="shared" si="36"/>
        <v>0</v>
      </c>
      <c r="AA40" s="394">
        <f t="shared" si="36"/>
        <v>0</v>
      </c>
      <c r="AB40" s="394">
        <f t="shared" si="36"/>
        <v>0</v>
      </c>
      <c r="AC40" s="394">
        <f t="shared" si="36"/>
        <v>0</v>
      </c>
      <c r="AD40" s="394">
        <f t="shared" si="36"/>
        <v>0</v>
      </c>
      <c r="AE40" s="394">
        <f t="shared" si="36"/>
        <v>0</v>
      </c>
      <c r="AF40" s="394">
        <f t="shared" si="36"/>
        <v>0</v>
      </c>
      <c r="AG40" s="394">
        <f t="shared" si="36"/>
        <v>0</v>
      </c>
      <c r="AH40" s="394">
        <f t="shared" si="36"/>
        <v>0</v>
      </c>
      <c r="AI40" s="394">
        <f t="shared" ref="AI40:BN40" si="37">AI39+AI38</f>
        <v>0</v>
      </c>
      <c r="AJ40" s="394">
        <f t="shared" si="37"/>
        <v>0</v>
      </c>
      <c r="AK40" s="394">
        <f t="shared" si="37"/>
        <v>0</v>
      </c>
      <c r="AL40" s="394">
        <f t="shared" si="37"/>
        <v>0</v>
      </c>
      <c r="AM40" s="394">
        <f t="shared" si="37"/>
        <v>0</v>
      </c>
      <c r="AN40" s="394">
        <f t="shared" si="37"/>
        <v>0</v>
      </c>
      <c r="AO40" s="394">
        <f t="shared" si="37"/>
        <v>0</v>
      </c>
      <c r="AP40" s="394">
        <f t="shared" si="37"/>
        <v>0</v>
      </c>
      <c r="AQ40" s="394">
        <f t="shared" si="37"/>
        <v>0</v>
      </c>
      <c r="AR40" s="394">
        <f t="shared" si="37"/>
        <v>0</v>
      </c>
      <c r="AS40" s="394">
        <f t="shared" si="37"/>
        <v>0</v>
      </c>
      <c r="AT40" s="394">
        <f t="shared" si="37"/>
        <v>0</v>
      </c>
      <c r="AU40" s="394">
        <f t="shared" si="37"/>
        <v>0</v>
      </c>
      <c r="AV40" s="394">
        <f t="shared" si="37"/>
        <v>0</v>
      </c>
      <c r="AW40" s="394">
        <f t="shared" si="37"/>
        <v>0</v>
      </c>
      <c r="AX40" s="394">
        <f t="shared" si="37"/>
        <v>0</v>
      </c>
      <c r="AY40" s="394">
        <f t="shared" si="37"/>
        <v>0</v>
      </c>
      <c r="AZ40" s="394">
        <f t="shared" si="37"/>
        <v>0</v>
      </c>
      <c r="BA40" s="394">
        <f t="shared" si="37"/>
        <v>0</v>
      </c>
      <c r="BB40" s="394">
        <f t="shared" si="37"/>
        <v>0</v>
      </c>
      <c r="BC40" s="394">
        <f t="shared" si="37"/>
        <v>0</v>
      </c>
      <c r="BD40" s="394">
        <f t="shared" si="37"/>
        <v>0</v>
      </c>
      <c r="BE40" s="394">
        <f t="shared" si="37"/>
        <v>0</v>
      </c>
      <c r="BF40" s="394">
        <f t="shared" si="37"/>
        <v>0</v>
      </c>
      <c r="BG40" s="394">
        <f t="shared" si="37"/>
        <v>0</v>
      </c>
      <c r="BH40" s="394">
        <f t="shared" si="37"/>
        <v>0</v>
      </c>
      <c r="BI40" s="394">
        <f t="shared" si="37"/>
        <v>0</v>
      </c>
      <c r="BJ40" s="394">
        <f t="shared" si="37"/>
        <v>0</v>
      </c>
      <c r="BK40" s="394">
        <f t="shared" si="37"/>
        <v>0</v>
      </c>
      <c r="BL40" s="394">
        <f t="shared" si="37"/>
        <v>0</v>
      </c>
      <c r="BM40" s="394">
        <f t="shared" si="37"/>
        <v>0</v>
      </c>
      <c r="BN40" s="394">
        <f t="shared" si="37"/>
        <v>0</v>
      </c>
      <c r="BO40" s="394">
        <f t="shared" ref="BO40:CT40" si="38">BO39+BO38</f>
        <v>0</v>
      </c>
      <c r="BP40" s="394">
        <f t="shared" si="38"/>
        <v>0</v>
      </c>
      <c r="BQ40" s="394">
        <f t="shared" si="38"/>
        <v>0</v>
      </c>
      <c r="BR40" s="394">
        <f t="shared" si="38"/>
        <v>0</v>
      </c>
      <c r="BS40" s="394">
        <f t="shared" si="38"/>
        <v>0</v>
      </c>
      <c r="BT40" s="394">
        <f t="shared" si="38"/>
        <v>0</v>
      </c>
      <c r="BU40" s="394">
        <f t="shared" si="38"/>
        <v>0</v>
      </c>
      <c r="BV40" s="394">
        <f t="shared" si="38"/>
        <v>0</v>
      </c>
      <c r="BW40" s="394">
        <f t="shared" si="38"/>
        <v>0</v>
      </c>
      <c r="BX40" s="394">
        <f t="shared" si="38"/>
        <v>0</v>
      </c>
      <c r="BY40" s="394">
        <f t="shared" si="38"/>
        <v>0</v>
      </c>
      <c r="BZ40" s="394">
        <f t="shared" si="38"/>
        <v>0</v>
      </c>
      <c r="CA40" s="394">
        <f t="shared" si="38"/>
        <v>0</v>
      </c>
      <c r="CB40" s="394">
        <f t="shared" si="38"/>
        <v>0</v>
      </c>
      <c r="CC40" s="394">
        <f t="shared" si="38"/>
        <v>0</v>
      </c>
      <c r="CD40" s="394">
        <f t="shared" si="38"/>
        <v>0</v>
      </c>
      <c r="CE40" s="394">
        <f t="shared" si="38"/>
        <v>0</v>
      </c>
      <c r="CF40" s="394">
        <f t="shared" si="38"/>
        <v>0</v>
      </c>
      <c r="CG40" s="394">
        <f t="shared" si="38"/>
        <v>0</v>
      </c>
      <c r="CH40" s="394">
        <f t="shared" si="38"/>
        <v>0</v>
      </c>
      <c r="CI40" s="394">
        <f t="shared" si="38"/>
        <v>0</v>
      </c>
      <c r="CJ40" s="394">
        <f t="shared" si="38"/>
        <v>0</v>
      </c>
      <c r="CK40" s="394">
        <f t="shared" si="38"/>
        <v>0</v>
      </c>
      <c r="CL40" s="394">
        <f t="shared" si="38"/>
        <v>0</v>
      </c>
      <c r="CM40" s="394">
        <f t="shared" si="38"/>
        <v>0</v>
      </c>
      <c r="CN40" s="394">
        <f t="shared" si="38"/>
        <v>0</v>
      </c>
      <c r="CO40" s="394">
        <f t="shared" si="38"/>
        <v>0</v>
      </c>
      <c r="CP40" s="394">
        <f t="shared" si="38"/>
        <v>0</v>
      </c>
      <c r="CQ40" s="394">
        <f t="shared" si="38"/>
        <v>0</v>
      </c>
      <c r="CR40" s="394">
        <f t="shared" si="38"/>
        <v>0</v>
      </c>
      <c r="CS40" s="394">
        <f t="shared" si="38"/>
        <v>0</v>
      </c>
      <c r="CT40" s="394">
        <f t="shared" si="38"/>
        <v>0</v>
      </c>
      <c r="CU40" s="394">
        <f t="shared" ref="CU40:DR40" si="39">CU39+CU38</f>
        <v>0</v>
      </c>
      <c r="CV40" s="394">
        <f t="shared" si="39"/>
        <v>0</v>
      </c>
      <c r="CW40" s="394">
        <f t="shared" si="39"/>
        <v>0</v>
      </c>
      <c r="CX40" s="394">
        <f t="shared" si="39"/>
        <v>0</v>
      </c>
      <c r="CY40" s="394">
        <f t="shared" si="39"/>
        <v>0</v>
      </c>
      <c r="CZ40" s="394">
        <f t="shared" si="39"/>
        <v>0</v>
      </c>
      <c r="DA40" s="394">
        <f t="shared" si="39"/>
        <v>0</v>
      </c>
      <c r="DB40" s="394">
        <f t="shared" si="39"/>
        <v>0</v>
      </c>
      <c r="DC40" s="394">
        <f t="shared" si="39"/>
        <v>0</v>
      </c>
      <c r="DD40" s="394">
        <f t="shared" si="39"/>
        <v>0</v>
      </c>
      <c r="DE40" s="394">
        <f t="shared" si="39"/>
        <v>0</v>
      </c>
      <c r="DF40" s="394">
        <f t="shared" si="39"/>
        <v>0</v>
      </c>
      <c r="DG40" s="394" t="e">
        <f t="shared" si="39"/>
        <v>#N/A</v>
      </c>
      <c r="DH40" s="394" t="e">
        <f t="shared" si="39"/>
        <v>#N/A</v>
      </c>
      <c r="DI40" s="394" t="e">
        <f t="shared" si="39"/>
        <v>#N/A</v>
      </c>
      <c r="DJ40" s="394" t="e">
        <f t="shared" si="39"/>
        <v>#N/A</v>
      </c>
      <c r="DK40" s="394" t="e">
        <f t="shared" si="39"/>
        <v>#N/A</v>
      </c>
      <c r="DL40" s="394" t="e">
        <f t="shared" si="39"/>
        <v>#N/A</v>
      </c>
      <c r="DM40" s="394" t="e">
        <f t="shared" si="39"/>
        <v>#N/A</v>
      </c>
      <c r="DN40" s="394" t="e">
        <f t="shared" si="39"/>
        <v>#N/A</v>
      </c>
      <c r="DO40" s="394" t="e">
        <f t="shared" si="39"/>
        <v>#N/A</v>
      </c>
      <c r="DP40" s="394" t="e">
        <f t="shared" si="39"/>
        <v>#N/A</v>
      </c>
      <c r="DQ40" s="394" t="e">
        <f t="shared" si="39"/>
        <v>#N/A</v>
      </c>
      <c r="DR40" s="394" t="e">
        <f t="shared" si="39"/>
        <v>#N/A</v>
      </c>
      <c r="DS40" s="394"/>
      <c r="DT40" s="394"/>
      <c r="DU40" s="394"/>
      <c r="DV40" s="394"/>
      <c r="DW40" s="394"/>
      <c r="DX40" s="394"/>
      <c r="DY40" s="394"/>
      <c r="DZ40" s="394"/>
      <c r="EA40" s="394"/>
      <c r="EB40" s="394"/>
      <c r="EC40" s="394"/>
      <c r="ED40" s="394"/>
    </row>
    <row r="41" spans="1:134" s="154" customFormat="1" ht="16" x14ac:dyDescent="0.2">
      <c r="A41" s="304"/>
      <c r="B41" s="281"/>
    </row>
    <row r="42" spans="1:134" s="393" customFormat="1" ht="16" x14ac:dyDescent="0.2">
      <c r="A42" s="391"/>
      <c r="B42" s="397" t="s">
        <v>782</v>
      </c>
      <c r="C42" s="394">
        <f>C32+C40+C36+C17+C25+C21</f>
        <v>0</v>
      </c>
      <c r="D42" s="394">
        <f>D32+D40+D36+D17+D25+D21</f>
        <v>0</v>
      </c>
      <c r="E42" s="394">
        <f>E32+E40+E36+E17+E25+E21</f>
        <v>0</v>
      </c>
      <c r="F42" s="394">
        <f t="shared" ref="F42:BO42" si="40">F32+F40+F36+F17+F25+F21</f>
        <v>0</v>
      </c>
      <c r="G42" s="394">
        <f t="shared" si="40"/>
        <v>0</v>
      </c>
      <c r="H42" s="394">
        <f t="shared" si="40"/>
        <v>0</v>
      </c>
      <c r="I42" s="394">
        <f t="shared" si="40"/>
        <v>0</v>
      </c>
      <c r="J42" s="394">
        <f t="shared" si="40"/>
        <v>0</v>
      </c>
      <c r="K42" s="394">
        <f t="shared" si="40"/>
        <v>0</v>
      </c>
      <c r="L42" s="394">
        <f t="shared" si="40"/>
        <v>0</v>
      </c>
      <c r="M42" s="394">
        <f t="shared" si="40"/>
        <v>0</v>
      </c>
      <c r="N42" s="394">
        <f t="shared" si="40"/>
        <v>0</v>
      </c>
      <c r="O42" s="394">
        <f t="shared" si="40"/>
        <v>144295.66125</v>
      </c>
      <c r="P42" s="394">
        <f t="shared" si="40"/>
        <v>130331.56499999999</v>
      </c>
      <c r="Q42" s="394">
        <f t="shared" si="40"/>
        <v>125056.23975000002</v>
      </c>
      <c r="R42" s="394">
        <f t="shared" si="40"/>
        <v>46546.987500000003</v>
      </c>
      <c r="S42" s="394">
        <f t="shared" si="40"/>
        <v>28859.132250000002</v>
      </c>
      <c r="T42" s="394">
        <f t="shared" si="40"/>
        <v>83784.577500000014</v>
      </c>
      <c r="U42" s="394">
        <f t="shared" si="40"/>
        <v>125056.23975000002</v>
      </c>
      <c r="V42" s="394">
        <f t="shared" si="40"/>
        <v>105816.81825000003</v>
      </c>
      <c r="W42" s="394">
        <f t="shared" si="40"/>
        <v>83784.577500000014</v>
      </c>
      <c r="X42" s="394">
        <f t="shared" si="40"/>
        <v>19239.421500000004</v>
      </c>
      <c r="Y42" s="394">
        <f t="shared" si="40"/>
        <v>18618.795000000002</v>
      </c>
      <c r="Z42" s="394">
        <f t="shared" si="40"/>
        <v>105816.81825000003</v>
      </c>
      <c r="AA42" s="394">
        <f t="shared" ca="1" si="40"/>
        <v>355050.56273490004</v>
      </c>
      <c r="AB42" s="394">
        <f t="shared" ca="1" si="40"/>
        <v>336129.55763910001</v>
      </c>
      <c r="AC42" s="394">
        <f t="shared" ca="1" si="40"/>
        <v>324754.5318235801</v>
      </c>
      <c r="AD42" s="394">
        <f t="shared" ca="1" si="40"/>
        <v>232142.41456233332</v>
      </c>
      <c r="AE42" s="394">
        <f t="shared" ca="1" si="40"/>
        <v>257252.26842864661</v>
      </c>
      <c r="AF42" s="394">
        <f t="shared" ca="1" si="40"/>
        <v>446566.33971220005</v>
      </c>
      <c r="AG42" s="394">
        <f t="shared" ca="1" si="40"/>
        <v>520079.48307358008</v>
      </c>
      <c r="AH42" s="394">
        <f t="shared" ca="1" si="40"/>
        <v>489783.45216226002</v>
      </c>
      <c r="AI42" s="394">
        <f t="shared" ca="1" si="40"/>
        <v>381458.02262886672</v>
      </c>
      <c r="AJ42" s="394">
        <f t="shared" ca="1" si="40"/>
        <v>170390.40117465332</v>
      </c>
      <c r="AK42" s="394">
        <f t="shared" ca="1" si="40"/>
        <v>103878.62924160001</v>
      </c>
      <c r="AL42" s="394">
        <f t="shared" ca="1" si="40"/>
        <v>294458.50091225997</v>
      </c>
      <c r="AM42" s="394">
        <f t="shared" ca="1" si="40"/>
        <v>1052533.615469228</v>
      </c>
      <c r="AN42" s="394">
        <f t="shared" ca="1" si="40"/>
        <v>956842.77202986716</v>
      </c>
      <c r="AO42" s="394">
        <f t="shared" ca="1" si="40"/>
        <v>938836.09985886421</v>
      </c>
      <c r="AP42" s="394">
        <f t="shared" ca="1" si="40"/>
        <v>471706.69978453586</v>
      </c>
      <c r="AQ42" s="394">
        <f t="shared" ca="1" si="40"/>
        <v>409219.84440841217</v>
      </c>
      <c r="AR42" s="394">
        <f t="shared" ca="1" si="40"/>
        <v>878563.35291716456</v>
      </c>
      <c r="AS42" s="394">
        <f t="shared" ca="1" si="40"/>
        <v>1140020.7996463641</v>
      </c>
      <c r="AT42" s="394">
        <f t="shared" ca="1" si="40"/>
        <v>1026323.2840360005</v>
      </c>
      <c r="AU42" s="394">
        <f t="shared" ca="1" si="40"/>
        <v>811501.78632133105</v>
      </c>
      <c r="AV42" s="394">
        <f t="shared" ca="1" si="40"/>
        <v>271702.11849449703</v>
      </c>
      <c r="AW42" s="394">
        <f t="shared" ca="1" si="40"/>
        <v>200094.99323298101</v>
      </c>
      <c r="AX42" s="394">
        <f t="shared" ca="1" si="40"/>
        <v>825138.58424850053</v>
      </c>
      <c r="AY42" s="394">
        <f t="shared" ca="1" si="40"/>
        <v>1338218.5431172519</v>
      </c>
      <c r="AZ42" s="394">
        <f t="shared" ca="1" si="40"/>
        <v>1215075.4660665866</v>
      </c>
      <c r="BA42" s="394">
        <f t="shared" ca="1" si="40"/>
        <v>1196585.9951862423</v>
      </c>
      <c r="BB42" s="394">
        <f t="shared" ca="1" si="40"/>
        <v>579199.18402957672</v>
      </c>
      <c r="BC42" s="394">
        <f t="shared" ca="1" si="40"/>
        <v>479406.03535659751</v>
      </c>
      <c r="BD42" s="394">
        <f t="shared" ca="1" si="40"/>
        <v>1072854.5633573884</v>
      </c>
      <c r="BE42" s="394">
        <f t="shared" ca="1" si="40"/>
        <v>1403806.2359673674</v>
      </c>
      <c r="BF42" s="394">
        <f t="shared" ca="1" si="40"/>
        <v>1262173.6880363575</v>
      </c>
      <c r="BG42" s="394">
        <f t="shared" ca="1" si="40"/>
        <v>1003781.1497636799</v>
      </c>
      <c r="BH42" s="394">
        <f t="shared" ca="1" si="40"/>
        <v>318492.91245995392</v>
      </c>
      <c r="BI42" s="394">
        <f t="shared" ca="1" si="40"/>
        <v>243494.35633057239</v>
      </c>
      <c r="BJ42" s="394">
        <f t="shared" ca="1" si="40"/>
        <v>1054953.4472552326</v>
      </c>
      <c r="BK42" s="394">
        <f t="shared" ca="1" si="40"/>
        <v>1640094.2861702356</v>
      </c>
      <c r="BL42" s="394">
        <f t="shared" ca="1" si="40"/>
        <v>1487937.9632506825</v>
      </c>
      <c r="BM42" s="394">
        <f t="shared" ca="1" si="40"/>
        <v>1468952.9317433904</v>
      </c>
      <c r="BN42" s="394">
        <f t="shared" ca="1" si="40"/>
        <v>692713.68129951402</v>
      </c>
      <c r="BO42" s="394">
        <f t="shared" ca="1" si="40"/>
        <v>553432.09990170656</v>
      </c>
      <c r="BP42" s="394">
        <f t="shared" ref="BP42:DR42" ca="1" si="41">BP32+BP40+BP36+BP17+BP25+BP21</f>
        <v>1278009.5394063997</v>
      </c>
      <c r="BQ42" s="394">
        <f t="shared" ca="1" si="41"/>
        <v>1682389.7797479492</v>
      </c>
      <c r="BR42" s="394">
        <f t="shared" ca="1" si="41"/>
        <v>1511248.4253211045</v>
      </c>
      <c r="BS42" s="394">
        <f t="shared" ca="1" si="41"/>
        <v>1206863.9234048803</v>
      </c>
      <c r="BT42" s="394">
        <f t="shared" ca="1" si="41"/>
        <v>367843.62215669325</v>
      </c>
      <c r="BU42" s="394">
        <f t="shared" ca="1" si="41"/>
        <v>289314.59572010953</v>
      </c>
      <c r="BV42" s="394">
        <f t="shared" ca="1" si="41"/>
        <v>1297811.5773165454</v>
      </c>
      <c r="BW42" s="394">
        <f t="shared" ca="1" si="41"/>
        <v>1825535.850009284</v>
      </c>
      <c r="BX42" s="394">
        <f t="shared" ca="1" si="41"/>
        <v>1712272.0307279257</v>
      </c>
      <c r="BY42" s="394">
        <f t="shared" ca="1" si="41"/>
        <v>1631108.4235824421</v>
      </c>
      <c r="BZ42" s="394">
        <f t="shared" ca="1" si="41"/>
        <v>757510.81278815796</v>
      </c>
      <c r="CA42" s="394">
        <f t="shared" ca="1" si="41"/>
        <v>597362.80994954589</v>
      </c>
      <c r="CB42" s="394">
        <f t="shared" ca="1" si="41"/>
        <v>1395498.1234779772</v>
      </c>
      <c r="CC42" s="394">
        <f t="shared" ca="1" si="41"/>
        <v>1850948.3770271374</v>
      </c>
      <c r="CD42" s="394">
        <f t="shared" ca="1" si="41"/>
        <v>1656520.9506002949</v>
      </c>
      <c r="CE42" s="394">
        <f t="shared" ca="1" si="41"/>
        <v>1322218.138996412</v>
      </c>
      <c r="CF42" s="394">
        <f t="shared" ca="1" si="41"/>
        <v>397130.76218858617</v>
      </c>
      <c r="CG42" s="394">
        <f t="shared" ca="1" si="41"/>
        <v>315660.32201157615</v>
      </c>
      <c r="CH42" s="394">
        <f t="shared" ca="1" si="41"/>
        <v>1436680.9971555993</v>
      </c>
      <c r="CI42" s="394">
        <f t="shared" ca="1" si="41"/>
        <v>1880401.9255095632</v>
      </c>
      <c r="CJ42" s="394">
        <f t="shared" ca="1" si="41"/>
        <v>1705409.3247198637</v>
      </c>
      <c r="CK42" s="394">
        <f t="shared" ca="1" si="41"/>
        <v>1680141.6762899146</v>
      </c>
      <c r="CL42" s="394">
        <f t="shared" ca="1" si="41"/>
        <v>780336.13717180258</v>
      </c>
      <c r="CM42" s="394">
        <f t="shared" ca="1" si="41"/>
        <v>615383.69424803229</v>
      </c>
      <c r="CN42" s="394">
        <f t="shared" ca="1" si="41"/>
        <v>1437463.0671823164</v>
      </c>
      <c r="CO42" s="394">
        <f t="shared" ca="1" si="41"/>
        <v>1906576.8283379511</v>
      </c>
      <c r="CP42" s="394">
        <f t="shared" ca="1" si="41"/>
        <v>1706316.5791183037</v>
      </c>
      <c r="CQ42" s="394">
        <f t="shared" ca="1" si="41"/>
        <v>1361984.6831663046</v>
      </c>
      <c r="CR42" s="394">
        <f t="shared" ca="1" si="41"/>
        <v>409144.68505424378</v>
      </c>
      <c r="CS42" s="394">
        <f t="shared" ca="1" si="41"/>
        <v>325230.13167192356</v>
      </c>
      <c r="CT42" s="394">
        <f t="shared" ca="1" si="41"/>
        <v>1479881.4270702675</v>
      </c>
      <c r="CU42" s="394">
        <f t="shared" ca="1" si="41"/>
        <v>1936913.9832748494</v>
      </c>
      <c r="CV42" s="394">
        <f t="shared" ca="1" si="41"/>
        <v>1756671.6044614604</v>
      </c>
      <c r="CW42" s="394">
        <f t="shared" ca="1" si="41"/>
        <v>1730645.9265786121</v>
      </c>
      <c r="CX42" s="394">
        <f t="shared" ca="1" si="41"/>
        <v>803846.22128695692</v>
      </c>
      <c r="CY42" s="394">
        <f t="shared" ca="1" si="41"/>
        <v>633945.20507547329</v>
      </c>
      <c r="CZ42" s="394">
        <f t="shared" ca="1" si="41"/>
        <v>1480686.9591977859</v>
      </c>
      <c r="DA42" s="394">
        <f t="shared" ca="1" si="41"/>
        <v>1963874.1331880898</v>
      </c>
      <c r="DB42" s="394">
        <f t="shared" ca="1" si="41"/>
        <v>1757606.0764918523</v>
      </c>
      <c r="DC42" s="394">
        <f t="shared" ca="1" si="41"/>
        <v>1402944.2236612935</v>
      </c>
      <c r="DD42" s="394">
        <f t="shared" ca="1" si="41"/>
        <v>421519.02560587105</v>
      </c>
      <c r="DE42" s="394">
        <f t="shared" ca="1" si="41"/>
        <v>335087.03562208125</v>
      </c>
      <c r="DF42" s="394">
        <f t="shared" ca="1" si="41"/>
        <v>1524377.869882375</v>
      </c>
      <c r="DG42" s="394" t="e">
        <f t="shared" ca="1" si="41"/>
        <v>#N/A</v>
      </c>
      <c r="DH42" s="394" t="e">
        <f t="shared" ca="1" si="41"/>
        <v>#N/A</v>
      </c>
      <c r="DI42" s="394" t="e">
        <f t="shared" ca="1" si="41"/>
        <v>#N/A</v>
      </c>
      <c r="DJ42" s="394" t="e">
        <f t="shared" ca="1" si="41"/>
        <v>#N/A</v>
      </c>
      <c r="DK42" s="394" t="e">
        <f t="shared" ca="1" si="41"/>
        <v>#N/A</v>
      </c>
      <c r="DL42" s="394" t="e">
        <f t="shared" ca="1" si="41"/>
        <v>#N/A</v>
      </c>
      <c r="DM42" s="394" t="e">
        <f t="shared" ca="1" si="41"/>
        <v>#N/A</v>
      </c>
      <c r="DN42" s="394" t="e">
        <f t="shared" ca="1" si="41"/>
        <v>#N/A</v>
      </c>
      <c r="DO42" s="394" t="e">
        <f t="shared" ca="1" si="41"/>
        <v>#N/A</v>
      </c>
      <c r="DP42" s="394" t="e">
        <f t="shared" ca="1" si="41"/>
        <v>#N/A</v>
      </c>
      <c r="DQ42" s="394" t="e">
        <f t="shared" ca="1" si="41"/>
        <v>#N/A</v>
      </c>
      <c r="DR42" s="394" t="e">
        <f t="shared" ca="1" si="41"/>
        <v>#N/A</v>
      </c>
      <c r="DS42" s="394"/>
      <c r="DT42" s="394"/>
      <c r="DU42" s="394"/>
      <c r="DV42" s="394"/>
      <c r="DW42" s="394"/>
      <c r="DX42" s="394"/>
      <c r="DY42" s="394"/>
      <c r="DZ42" s="394"/>
      <c r="EA42" s="394"/>
      <c r="EB42" s="394"/>
      <c r="EC42" s="394"/>
      <c r="ED42" s="394"/>
    </row>
    <row r="43" spans="1:134" s="154" customFormat="1" ht="16" x14ac:dyDescent="0.2">
      <c r="A43" s="304"/>
      <c r="B43" s="281"/>
    </row>
    <row r="44" spans="1:134" s="393" customFormat="1" ht="16" x14ac:dyDescent="0.2">
      <c r="A44" s="391"/>
      <c r="B44" s="281" t="s">
        <v>783</v>
      </c>
      <c r="C44" s="392">
        <f>-C42*Assumptions!$C$75</f>
        <v>0</v>
      </c>
      <c r="D44" s="392">
        <f>-D42*Assumptions!$C$75</f>
        <v>0</v>
      </c>
      <c r="E44" s="392">
        <f>-E42*Assumptions!$C$75</f>
        <v>0</v>
      </c>
      <c r="F44" s="392">
        <f>-F42*Assumptions!$C$75</f>
        <v>0</v>
      </c>
      <c r="G44" s="392">
        <f>-G42*Assumptions!$C$75</f>
        <v>0</v>
      </c>
      <c r="H44" s="392">
        <f>-H42*Assumptions!$C$75</f>
        <v>0</v>
      </c>
      <c r="I44" s="392">
        <f>-I42*Assumptions!$C$75</f>
        <v>0</v>
      </c>
      <c r="J44" s="392">
        <f>-J42*Assumptions!$C$75</f>
        <v>0</v>
      </c>
      <c r="K44" s="392">
        <f>-K42*Assumptions!$C$75</f>
        <v>0</v>
      </c>
      <c r="L44" s="392">
        <f>-L42*Assumptions!$C$75</f>
        <v>0</v>
      </c>
      <c r="M44" s="392">
        <f>-M42*Assumptions!$C$75</f>
        <v>0</v>
      </c>
      <c r="N44" s="392">
        <f>-N42*Assumptions!$C$75</f>
        <v>0</v>
      </c>
      <c r="O44" s="392">
        <f>-O42*Assumptions!$C$75</f>
        <v>-23087.305800000002</v>
      </c>
      <c r="P44" s="392">
        <f>-P42*Assumptions!$C$75</f>
        <v>-20853.0504</v>
      </c>
      <c r="Q44" s="392">
        <f>-Q42*Assumptions!$C$75</f>
        <v>-20008.998360000005</v>
      </c>
      <c r="R44" s="392">
        <f>-R42*Assumptions!$C$75</f>
        <v>-7447.5180000000009</v>
      </c>
      <c r="S44" s="392">
        <f>-S42*Assumptions!$C$75</f>
        <v>-4617.4611600000007</v>
      </c>
      <c r="T44" s="392">
        <f>-T42*Assumptions!$C$75</f>
        <v>-13405.532400000002</v>
      </c>
      <c r="U44" s="392">
        <f>-U42*Assumptions!$C$75</f>
        <v>-20008.998360000005</v>
      </c>
      <c r="V44" s="392">
        <f>-V42*Assumptions!$C$75</f>
        <v>-16930.690920000005</v>
      </c>
      <c r="W44" s="392">
        <f>-W42*Assumptions!$C$75</f>
        <v>-13405.532400000002</v>
      </c>
      <c r="X44" s="392">
        <f>-X42*Assumptions!$C$75</f>
        <v>-3078.3074400000005</v>
      </c>
      <c r="Y44" s="392">
        <f>-Y42*Assumptions!$C$75</f>
        <v>-2979.0072000000005</v>
      </c>
      <c r="Z44" s="392">
        <f>-Z42*Assumptions!$C$75</f>
        <v>-16930.690920000005</v>
      </c>
      <c r="AA44" s="392">
        <f ca="1">-AA42*Assumptions!$C$75</f>
        <v>-56808.090037584006</v>
      </c>
      <c r="AB44" s="392">
        <f ca="1">-AB42*Assumptions!$C$75</f>
        <v>-53780.729222255999</v>
      </c>
      <c r="AC44" s="392">
        <f ca="1">-AC42*Assumptions!$C$75</f>
        <v>-51960.725091772816</v>
      </c>
      <c r="AD44" s="392">
        <f ca="1">-AD42*Assumptions!$C$75</f>
        <v>-37142.786329973329</v>
      </c>
      <c r="AE44" s="392">
        <f ca="1">-AE42*Assumptions!$C$75</f>
        <v>-41160.362948583461</v>
      </c>
      <c r="AF44" s="392">
        <f ca="1">-AF42*Assumptions!$C$75</f>
        <v>-71450.614353952013</v>
      </c>
      <c r="AG44" s="392">
        <f ca="1">-AG42*Assumptions!$C$75</f>
        <v>-83212.717291772817</v>
      </c>
      <c r="AH44" s="392">
        <f ca="1">-AH42*Assumptions!$C$75</f>
        <v>-78365.352345961597</v>
      </c>
      <c r="AI44" s="392">
        <f ca="1">-AI42*Assumptions!$C$75</f>
        <v>-61033.283620618677</v>
      </c>
      <c r="AJ44" s="392">
        <f ca="1">-AJ42*Assumptions!$C$75</f>
        <v>-27262.464187944533</v>
      </c>
      <c r="AK44" s="392">
        <f ca="1">-AK42*Assumptions!$C$75</f>
        <v>-16620.580678656002</v>
      </c>
      <c r="AL44" s="392">
        <f ca="1">-AL42*Assumptions!$C$75</f>
        <v>-47113.360145961597</v>
      </c>
      <c r="AM44" s="392">
        <f ca="1">-AM42*Assumptions!$C$75</f>
        <v>-168405.37847507649</v>
      </c>
      <c r="AN44" s="392">
        <f ca="1">-AN42*Assumptions!$C$75</f>
        <v>-153094.84352477876</v>
      </c>
      <c r="AO44" s="392">
        <f ca="1">-AO42*Assumptions!$C$75</f>
        <v>-150213.77597741826</v>
      </c>
      <c r="AP44" s="392">
        <f ca="1">-AP42*Assumptions!$C$75</f>
        <v>-75473.071965525742</v>
      </c>
      <c r="AQ44" s="392">
        <f ca="1">-AQ42*Assumptions!$C$75</f>
        <v>-65475.175105345952</v>
      </c>
      <c r="AR44" s="392">
        <f ca="1">-AR42*Assumptions!$C$75</f>
        <v>-140570.13646674633</v>
      </c>
      <c r="AS44" s="392">
        <f ca="1">-AS42*Assumptions!$C$75</f>
        <v>-182403.32794341826</v>
      </c>
      <c r="AT44" s="392">
        <f ca="1">-AT42*Assumptions!$C$75</f>
        <v>-164211.72544576009</v>
      </c>
      <c r="AU44" s="392">
        <f ca="1">-AU42*Assumptions!$C$75</f>
        <v>-129840.28581141298</v>
      </c>
      <c r="AV44" s="392">
        <f ca="1">-AV42*Assumptions!$C$75</f>
        <v>-43472.338959119523</v>
      </c>
      <c r="AW44" s="392">
        <f ca="1">-AW42*Assumptions!$C$75</f>
        <v>-32015.198917276961</v>
      </c>
      <c r="AX44" s="392">
        <f ca="1">-AX42*Assumptions!$C$75</f>
        <v>-132022.17347976009</v>
      </c>
      <c r="AY44" s="392">
        <f ca="1">-AY42*Assumptions!$C$75</f>
        <v>-214114.96689876032</v>
      </c>
      <c r="AZ44" s="392">
        <f ca="1">-AZ42*Assumptions!$C$75</f>
        <v>-194412.07457065384</v>
      </c>
      <c r="BA44" s="392">
        <f ca="1">-BA42*Assumptions!$C$75</f>
        <v>-191453.75922979877</v>
      </c>
      <c r="BB44" s="392">
        <f ca="1">-BB42*Assumptions!$C$75</f>
        <v>-92671.869444732278</v>
      </c>
      <c r="BC44" s="392">
        <f ca="1">-BC42*Assumptions!$C$75</f>
        <v>-76704.965657055596</v>
      </c>
      <c r="BD44" s="392">
        <f ca="1">-BD42*Assumptions!$C$75</f>
        <v>-171656.73013718214</v>
      </c>
      <c r="BE44" s="392">
        <f ca="1">-BE42*Assumptions!$C$75</f>
        <v>-224608.9977547788</v>
      </c>
      <c r="BF44" s="392">
        <f ca="1">-BF42*Assumptions!$C$75</f>
        <v>-201947.79008581722</v>
      </c>
      <c r="BG44" s="392">
        <f ca="1">-BG42*Assumptions!$C$75</f>
        <v>-160604.98396218879</v>
      </c>
      <c r="BH44" s="392">
        <f ca="1">-BH42*Assumptions!$C$75</f>
        <v>-50958.865993592626</v>
      </c>
      <c r="BI44" s="392">
        <f ca="1">-BI42*Assumptions!$C$75</f>
        <v>-38959.097012891587</v>
      </c>
      <c r="BJ44" s="392">
        <f ca="1">-BJ42*Assumptions!$C$75</f>
        <v>-168792.55156083722</v>
      </c>
      <c r="BK44" s="392">
        <f ca="1">-BK42*Assumptions!$C$75</f>
        <v>-262415.08578723768</v>
      </c>
      <c r="BL44" s="392">
        <f ca="1">-BL42*Assumptions!$C$75</f>
        <v>-238070.0741201092</v>
      </c>
      <c r="BM44" s="392">
        <f ca="1">-BM42*Assumptions!$C$75</f>
        <v>-235032.46907894246</v>
      </c>
      <c r="BN44" s="392">
        <f ca="1">-BN42*Assumptions!$C$75</f>
        <v>-110834.18900792225</v>
      </c>
      <c r="BO44" s="392">
        <f ca="1">-BO42*Assumptions!$C$75</f>
        <v>-88549.135984273045</v>
      </c>
      <c r="BP44" s="392">
        <f ca="1">-BP42*Assumptions!$C$75</f>
        <v>-204481.52630502396</v>
      </c>
      <c r="BQ44" s="392">
        <f ca="1">-BQ42*Assumptions!$C$75</f>
        <v>-269182.36475967185</v>
      </c>
      <c r="BR44" s="392">
        <f ca="1">-BR42*Assumptions!$C$75</f>
        <v>-241799.74805137672</v>
      </c>
      <c r="BS44" s="392">
        <f ca="1">-BS42*Assumptions!$C$75</f>
        <v>-193098.22774478086</v>
      </c>
      <c r="BT44" s="392">
        <f ca="1">-BT42*Assumptions!$C$75</f>
        <v>-58854.979545070921</v>
      </c>
      <c r="BU44" s="392">
        <f ca="1">-BU42*Assumptions!$C$75</f>
        <v>-46290.335315217526</v>
      </c>
      <c r="BV44" s="392">
        <f ca="1">-BV42*Assumptions!$C$75</f>
        <v>-207649.85237064728</v>
      </c>
      <c r="BW44" s="392">
        <f ca="1">-BW42*Assumptions!$C$75</f>
        <v>-292085.73600148543</v>
      </c>
      <c r="BX44" s="392">
        <f ca="1">-BX42*Assumptions!$C$75</f>
        <v>-273963.52491646813</v>
      </c>
      <c r="BY44" s="392">
        <f ca="1">-BY42*Assumptions!$C$75</f>
        <v>-260977.34777319073</v>
      </c>
      <c r="BZ44" s="392">
        <f ca="1">-BZ42*Assumptions!$C$75</f>
        <v>-121201.73004610528</v>
      </c>
      <c r="CA44" s="392">
        <f ca="1">-CA42*Assumptions!$C$75</f>
        <v>-95578.049591927338</v>
      </c>
      <c r="CB44" s="392">
        <f ca="1">-CB42*Assumptions!$C$75</f>
        <v>-223279.69975647636</v>
      </c>
      <c r="CC44" s="392">
        <f ca="1">-CC42*Assumptions!$C$75</f>
        <v>-296151.74032434198</v>
      </c>
      <c r="CD44" s="392">
        <f ca="1">-CD42*Assumptions!$C$75</f>
        <v>-265043.35209604719</v>
      </c>
      <c r="CE44" s="392">
        <f ca="1">-CE42*Assumptions!$C$75</f>
        <v>-211554.90223942592</v>
      </c>
      <c r="CF44" s="392">
        <f ca="1">-CF42*Assumptions!$C$75</f>
        <v>-63540.92195017379</v>
      </c>
      <c r="CG44" s="392">
        <f ca="1">-CG42*Assumptions!$C$75</f>
        <v>-50505.651521852182</v>
      </c>
      <c r="CH44" s="392">
        <f ca="1">-CH42*Assumptions!$C$75</f>
        <v>-229868.95954489589</v>
      </c>
      <c r="CI44" s="392">
        <f ca="1">-CI42*Assumptions!$C$75</f>
        <v>-300864.30808153009</v>
      </c>
      <c r="CJ44" s="392">
        <f ca="1">-CJ42*Assumptions!$C$75</f>
        <v>-272865.49195517821</v>
      </c>
      <c r="CK44" s="392">
        <f ca="1">-CK42*Assumptions!$C$75</f>
        <v>-268822.66820638633</v>
      </c>
      <c r="CL44" s="392">
        <f ca="1">-CL42*Assumptions!$C$75</f>
        <v>-124853.78194748842</v>
      </c>
      <c r="CM44" s="392">
        <f ca="1">-CM42*Assumptions!$C$75</f>
        <v>-98461.391079685171</v>
      </c>
      <c r="CN44" s="392">
        <f ca="1">-CN42*Assumptions!$C$75</f>
        <v>-229994.09074917063</v>
      </c>
      <c r="CO44" s="392">
        <f ca="1">-CO42*Assumptions!$C$75</f>
        <v>-305052.29253407218</v>
      </c>
      <c r="CP44" s="392">
        <f ca="1">-CP42*Assumptions!$C$75</f>
        <v>-273010.65265892859</v>
      </c>
      <c r="CQ44" s="392">
        <f ca="1">-CQ42*Assumptions!$C$75</f>
        <v>-217917.54930660874</v>
      </c>
      <c r="CR44" s="392">
        <f ca="1">-CR42*Assumptions!$C$75</f>
        <v>-65463.149608679007</v>
      </c>
      <c r="CS44" s="392">
        <f ca="1">-CS42*Assumptions!$C$75</f>
        <v>-52036.821067507772</v>
      </c>
      <c r="CT44" s="392">
        <f ca="1">-CT42*Assumptions!$C$75</f>
        <v>-236781.02833124279</v>
      </c>
      <c r="CU44" s="392">
        <f ca="1">-CU42*Assumptions!$C$75</f>
        <v>-309906.23732397589</v>
      </c>
      <c r="CV44" s="392">
        <f ca="1">-CV42*Assumptions!$C$75</f>
        <v>-281067.45671383367</v>
      </c>
      <c r="CW44" s="392">
        <f ca="1">-CW42*Assumptions!$C$75</f>
        <v>-276903.34825257794</v>
      </c>
      <c r="CX44" s="392">
        <f ca="1">-CX42*Assumptions!$C$75</f>
        <v>-128615.39540591311</v>
      </c>
      <c r="CY44" s="392">
        <f ca="1">-CY42*Assumptions!$C$75</f>
        <v>-101431.23281207573</v>
      </c>
      <c r="CZ44" s="392">
        <f ca="1">-CZ42*Assumptions!$C$75</f>
        <v>-236909.91347164576</v>
      </c>
      <c r="DA44" s="392">
        <f ca="1">-DA42*Assumptions!$C$75</f>
        <v>-314219.86131009436</v>
      </c>
      <c r="DB44" s="392">
        <f ca="1">-DB42*Assumptions!$C$75</f>
        <v>-281216.97223869635</v>
      </c>
      <c r="DC44" s="392">
        <f ca="1">-DC42*Assumptions!$C$75</f>
        <v>-224471.07578580696</v>
      </c>
      <c r="DD44" s="392">
        <f ca="1">-DD42*Assumptions!$C$75</f>
        <v>-67443.044096939368</v>
      </c>
      <c r="DE44" s="392">
        <f ca="1">-DE42*Assumptions!$C$75</f>
        <v>-53613.925699533</v>
      </c>
      <c r="DF44" s="392">
        <f ca="1">-DF42*Assumptions!$C$75</f>
        <v>-243900.45918117999</v>
      </c>
      <c r="DG44" s="392" t="e">
        <f ca="1">-DG42*Assumptions!$C$75</f>
        <v>#N/A</v>
      </c>
      <c r="DH44" s="392" t="e">
        <f ca="1">-DH42*Assumptions!$C$75</f>
        <v>#N/A</v>
      </c>
      <c r="DI44" s="392" t="e">
        <f ca="1">-DI42*Assumptions!$C$75</f>
        <v>#N/A</v>
      </c>
      <c r="DJ44" s="392" t="e">
        <f ca="1">-DJ42*Assumptions!$C$75</f>
        <v>#N/A</v>
      </c>
      <c r="DK44" s="392" t="e">
        <f ca="1">-DK42*Assumptions!$C$75</f>
        <v>#N/A</v>
      </c>
      <c r="DL44" s="392" t="e">
        <f ca="1">-DL42*Assumptions!$C$75</f>
        <v>#N/A</v>
      </c>
      <c r="DM44" s="392" t="e">
        <f ca="1">-DM42*Assumptions!$C$75</f>
        <v>#N/A</v>
      </c>
      <c r="DN44" s="392" t="e">
        <f ca="1">-DN42*Assumptions!$C$75</f>
        <v>#N/A</v>
      </c>
      <c r="DO44" s="392" t="e">
        <f ca="1">-DO42*Assumptions!$C$75</f>
        <v>#N/A</v>
      </c>
      <c r="DP44" s="392" t="e">
        <f ca="1">-DP42*Assumptions!$C$75</f>
        <v>#N/A</v>
      </c>
      <c r="DQ44" s="392" t="e">
        <f ca="1">-DQ42*Assumptions!$C$75</f>
        <v>#N/A</v>
      </c>
      <c r="DR44" s="392" t="e">
        <f ca="1">-DR42*Assumptions!$C$75</f>
        <v>#N/A</v>
      </c>
      <c r="DS44" s="392"/>
      <c r="DT44" s="392"/>
      <c r="DU44" s="392"/>
      <c r="DV44" s="392"/>
      <c r="DW44" s="392"/>
      <c r="DX44" s="392"/>
      <c r="DY44" s="392"/>
      <c r="DZ44" s="392"/>
      <c r="EA44" s="392"/>
      <c r="EB44" s="392"/>
      <c r="EC44" s="392"/>
      <c r="ED44" s="392"/>
    </row>
    <row r="45" spans="1:134" s="393" customFormat="1" ht="16" x14ac:dyDescent="0.2">
      <c r="A45" s="391"/>
      <c r="B45" s="281" t="s">
        <v>784</v>
      </c>
      <c r="C45" s="396">
        <f>-C$12*Assumptions!$C76</f>
        <v>0</v>
      </c>
      <c r="D45" s="396">
        <f>-D$12*Assumptions!$C76</f>
        <v>0</v>
      </c>
      <c r="E45" s="396">
        <f>-E$12*Assumptions!$C76</f>
        <v>0</v>
      </c>
      <c r="F45" s="396">
        <f>-F$12*Assumptions!$C76</f>
        <v>0</v>
      </c>
      <c r="G45" s="396">
        <f>-G$12*Assumptions!$C76</f>
        <v>0</v>
      </c>
      <c r="H45" s="396">
        <f>-H$12*Assumptions!$C76</f>
        <v>0</v>
      </c>
      <c r="I45" s="396">
        <f>-I$12*Assumptions!$C76</f>
        <v>0</v>
      </c>
      <c r="J45" s="396">
        <f>-J$12*Assumptions!$C76</f>
        <v>0</v>
      </c>
      <c r="K45" s="396">
        <f>-K$12*Assumptions!$C76</f>
        <v>0</v>
      </c>
      <c r="L45" s="396">
        <f>-L$12*Assumptions!$C76</f>
        <v>0</v>
      </c>
      <c r="M45" s="396">
        <f>-M$12*Assumptions!$C76</f>
        <v>0</v>
      </c>
      <c r="N45" s="396">
        <f>-N$12*Assumptions!$C76</f>
        <v>0</v>
      </c>
      <c r="O45" s="396">
        <f>-O$12*Assumptions!$C76</f>
        <v>-13319.5995</v>
      </c>
      <c r="P45" s="396">
        <f>-P$12*Assumptions!$C76</f>
        <v>-12030.605999999998</v>
      </c>
      <c r="Q45" s="396">
        <f>-Q$12*Assumptions!$C76</f>
        <v>-11543.652900000001</v>
      </c>
      <c r="R45" s="396">
        <f>-R$12*Assumptions!$C76</f>
        <v>-4296.6449999999995</v>
      </c>
      <c r="S45" s="396">
        <f>-S$12*Assumptions!$C76</f>
        <v>-2663.9198999999999</v>
      </c>
      <c r="T45" s="396">
        <f>-T$12*Assumptions!$C76</f>
        <v>-7733.9610000000002</v>
      </c>
      <c r="U45" s="396">
        <f>-U$12*Assumptions!$C76</f>
        <v>-11543.652900000001</v>
      </c>
      <c r="V45" s="396">
        <f>-V$12*Assumptions!$C76</f>
        <v>-9767.7063000000016</v>
      </c>
      <c r="W45" s="396">
        <f>-W$12*Assumptions!$C76</f>
        <v>-7733.9610000000002</v>
      </c>
      <c r="X45" s="396">
        <f>-X$12*Assumptions!$C76</f>
        <v>-1775.9466000000002</v>
      </c>
      <c r="Y45" s="396">
        <f>-Y$12*Assumptions!$C76</f>
        <v>-1718.6580000000001</v>
      </c>
      <c r="Z45" s="396">
        <f>-Z$12*Assumptions!$C76</f>
        <v>-9767.7063000000016</v>
      </c>
      <c r="AA45" s="396">
        <f>-AA$12*Assumptions!$C76</f>
        <v>-25609.149972000003</v>
      </c>
      <c r="AB45" s="396">
        <f>-AB$12*Assumptions!$C76</f>
        <v>-23956.946748000002</v>
      </c>
      <c r="AC45" s="396">
        <f>-AC$12*Assumptions!$C76</f>
        <v>-22194.5966424</v>
      </c>
      <c r="AD45" s="396">
        <f>-AD$12*Assumptions!$C76</f>
        <v>-8261.0161200000002</v>
      </c>
      <c r="AE45" s="396">
        <f>-AE$12*Assumptions!$C76</f>
        <v>-5121.8299944</v>
      </c>
      <c r="AF45" s="396">
        <f>-AF$12*Assumptions!$C76</f>
        <v>-14869.829016000002</v>
      </c>
      <c r="AG45" s="396">
        <f>-AG$12*Assumptions!$C76</f>
        <v>-22194.5966424</v>
      </c>
      <c r="AH45" s="396">
        <f>-AH$12*Assumptions!$C76</f>
        <v>-18780.0433128</v>
      </c>
      <c r="AI45" s="396">
        <f>-AI$12*Assumptions!$C76</f>
        <v>-14869.829016000002</v>
      </c>
      <c r="AJ45" s="396">
        <f>-AJ$12*Assumptions!$C76</f>
        <v>-3414.5533296000003</v>
      </c>
      <c r="AK45" s="396">
        <f>-AK$12*Assumptions!$C76</f>
        <v>-3304.4064480000006</v>
      </c>
      <c r="AL45" s="396">
        <f>-AL$12*Assumptions!$C76</f>
        <v>-18780.0433128</v>
      </c>
      <c r="AM45" s="396">
        <f>-AM$12*Assumptions!$C76</f>
        <v>-101427.47743077001</v>
      </c>
      <c r="AN45" s="396">
        <f>-AN$12*Assumptions!$C76</f>
        <v>-91611.915098760015</v>
      </c>
      <c r="AO45" s="396">
        <f>-AO$12*Assumptions!$C76</f>
        <v>-87903.813773334012</v>
      </c>
      <c r="AP45" s="396">
        <f>-AP$12*Assumptions!$C76</f>
        <v>-32718.541106700002</v>
      </c>
      <c r="AQ45" s="396">
        <f>-AQ$12*Assumptions!$C76</f>
        <v>-20285.495486153999</v>
      </c>
      <c r="AR45" s="396">
        <f>-AR$12*Assumptions!$C76</f>
        <v>-58893.373992060006</v>
      </c>
      <c r="AS45" s="396">
        <f>-AS$12*Assumptions!$C76</f>
        <v>-87903.813773334012</v>
      </c>
      <c r="AT45" s="396">
        <f>-AT$12*Assumptions!$C76</f>
        <v>-74380.15011589801</v>
      </c>
      <c r="AU45" s="396">
        <f>-AU$12*Assumptions!$C76</f>
        <v>-58893.373992060006</v>
      </c>
      <c r="AV45" s="396">
        <f>-AV$12*Assumptions!$C76</f>
        <v>-13523.663657436002</v>
      </c>
      <c r="AW45" s="396">
        <f>-AW$12*Assumptions!$C76</f>
        <v>-13087.416442680002</v>
      </c>
      <c r="AX45" s="396">
        <f>-AX$12*Assumptions!$C76</f>
        <v>-74380.15011589801</v>
      </c>
      <c r="AY45" s="396">
        <f>-AY$12*Assumptions!$C76</f>
        <v>-146193.73496182443</v>
      </c>
      <c r="AZ45" s="396">
        <f>-AZ$12*Assumptions!$C76</f>
        <v>-132045.95415906722</v>
      </c>
      <c r="BA45" s="396">
        <f>-BA$12*Assumptions!$C76</f>
        <v>-126701.2369669145</v>
      </c>
      <c r="BB45" s="396">
        <f>-BB$12*Assumptions!$C76</f>
        <v>-47159.269342524014</v>
      </c>
      <c r="BC45" s="396">
        <f>-BC$12*Assumptions!$C76</f>
        <v>-29238.746992364882</v>
      </c>
      <c r="BD45" s="396">
        <f>-BD$12*Assumptions!$C76</f>
        <v>-84886.684816543231</v>
      </c>
      <c r="BE45" s="396">
        <f>-BE$12*Assumptions!$C76</f>
        <v>-126701.2369669145</v>
      </c>
      <c r="BF45" s="396">
        <f>-BF$12*Assumptions!$C76</f>
        <v>-107208.73897200458</v>
      </c>
      <c r="BG45" s="396">
        <f>-BG$12*Assumptions!$C76</f>
        <v>-84886.684816543231</v>
      </c>
      <c r="BH45" s="396">
        <f>-BH$12*Assumptions!$C76</f>
        <v>-19492.497994909925</v>
      </c>
      <c r="BI45" s="396">
        <f>-BI$12*Assumptions!$C76</f>
        <v>-18863.707737009605</v>
      </c>
      <c r="BJ45" s="396">
        <f>-BJ$12*Assumptions!$C76</f>
        <v>-107208.73897200458</v>
      </c>
      <c r="BK45" s="396">
        <f>-BK$12*Assumptions!$C76</f>
        <v>-193554.68321505442</v>
      </c>
      <c r="BL45" s="396">
        <f>-BL$12*Assumptions!$C76</f>
        <v>-174823.58483940401</v>
      </c>
      <c r="BM45" s="396">
        <f>-BM$12*Assumptions!$C76</f>
        <v>-167747.39211971383</v>
      </c>
      <c r="BN45" s="396">
        <f>-BN$12*Assumptions!$C76</f>
        <v>-62436.99458550143</v>
      </c>
      <c r="BO45" s="396">
        <f>-BO$12*Assumptions!$C76</f>
        <v>-38710.936643010886</v>
      </c>
      <c r="BP45" s="396">
        <f>-BP$12*Assumptions!$C76</f>
        <v>-112386.59025390257</v>
      </c>
      <c r="BQ45" s="396">
        <f>-BQ$12*Assumptions!$C76</f>
        <v>-167747.39211971383</v>
      </c>
      <c r="BR45" s="396">
        <f>-BR$12*Assumptions!$C76</f>
        <v>-141940.10102437326</v>
      </c>
      <c r="BS45" s="396">
        <f>-BS$12*Assumptions!$C76</f>
        <v>-112386.59025390257</v>
      </c>
      <c r="BT45" s="396">
        <f>-BT$12*Assumptions!$C76</f>
        <v>-25807.291095340592</v>
      </c>
      <c r="BU45" s="396">
        <f>-BU$12*Assumptions!$C76</f>
        <v>-24974.797834200574</v>
      </c>
      <c r="BV45" s="396">
        <f>-BV$12*Assumptions!$C76</f>
        <v>-141940.10102437326</v>
      </c>
      <c r="BW45" s="396">
        <f>-BW$12*Assumptions!$C76</f>
        <v>-230243.45647232456</v>
      </c>
      <c r="BX45" s="396">
        <f>-BX$12*Assumptions!$C76</f>
        <v>-215389.03992572296</v>
      </c>
      <c r="BY45" s="396">
        <f>-BY$12*Assumptions!$C76</f>
        <v>-199544.32894268131</v>
      </c>
      <c r="BZ45" s="396">
        <f>-BZ$12*Assumptions!$C76</f>
        <v>-74272.082733007934</v>
      </c>
      <c r="CA45" s="396">
        <f>-CA$12*Assumptions!$C76</f>
        <v>-46048.691294464908</v>
      </c>
      <c r="CB45" s="396">
        <f>-CB$12*Assumptions!$C76</f>
        <v>-133689.7489194143</v>
      </c>
      <c r="CC45" s="396">
        <f>-CC$12*Assumptions!$C76</f>
        <v>-199544.32894268131</v>
      </c>
      <c r="CD45" s="396">
        <f>-CD$12*Assumptions!$C76</f>
        <v>-168845.20141303804</v>
      </c>
      <c r="CE45" s="396">
        <f>-CE$12*Assumptions!$C76</f>
        <v>-133689.7489194143</v>
      </c>
      <c r="CF45" s="396">
        <f>-CF$12*Assumptions!$C76</f>
        <v>-30699.127529643276</v>
      </c>
      <c r="CG45" s="396">
        <f>-CG$12*Assumptions!$C76</f>
        <v>-29708.833093203171</v>
      </c>
      <c r="CH45" s="396">
        <f>-CH$12*Assumptions!$C76</f>
        <v>-168845.20141303804</v>
      </c>
      <c r="CI45" s="396">
        <f>-CI$12*Assumptions!$C76</f>
        <v>-237150.76016649429</v>
      </c>
      <c r="CJ45" s="396">
        <f>-CJ$12*Assumptions!$C76</f>
        <v>-214200.68660199482</v>
      </c>
      <c r="CK45" s="396">
        <f>-CK$12*Assumptions!$C76</f>
        <v>-205530.65881096173</v>
      </c>
      <c r="CL45" s="396">
        <f>-CL$12*Assumptions!$C76</f>
        <v>-76500.245214998155</v>
      </c>
      <c r="CM45" s="396">
        <f>-CM$12*Assumptions!$C76</f>
        <v>-47430.152033298858</v>
      </c>
      <c r="CN45" s="396">
        <f>-CN$12*Assumptions!$C76</f>
        <v>-137700.44138699668</v>
      </c>
      <c r="CO45" s="396">
        <f>-CO$12*Assumptions!$C76</f>
        <v>-205530.65881096173</v>
      </c>
      <c r="CP45" s="396">
        <f>-CP$12*Assumptions!$C76</f>
        <v>-173910.5574554292</v>
      </c>
      <c r="CQ45" s="396">
        <f>-CQ$12*Assumptions!$C76</f>
        <v>-137700.44138699668</v>
      </c>
      <c r="CR45" s="396">
        <f>-CR$12*Assumptions!$C76</f>
        <v>-31620.101355532574</v>
      </c>
      <c r="CS45" s="396">
        <f>-CS$12*Assumptions!$C76</f>
        <v>-30600.098085999263</v>
      </c>
      <c r="CT45" s="396">
        <f>-CT$12*Assumptions!$C76</f>
        <v>-173910.5574554292</v>
      </c>
      <c r="CU45" s="396">
        <f>-CU$12*Assumptions!$C76</f>
        <v>-244265.2829714891</v>
      </c>
      <c r="CV45" s="396">
        <f>-CV$12*Assumptions!$C76</f>
        <v>-220626.70720005466</v>
      </c>
      <c r="CW45" s="396">
        <f>-CW$12*Assumptions!$C76</f>
        <v>-211696.57857529056</v>
      </c>
      <c r="CX45" s="396">
        <f>-CX$12*Assumptions!$C76</f>
        <v>-78795.252571448102</v>
      </c>
      <c r="CY45" s="396">
        <f>-CY$12*Assumptions!$C76</f>
        <v>-48853.056594297814</v>
      </c>
      <c r="CZ45" s="396">
        <f>-CZ$12*Assumptions!$C76</f>
        <v>-141831.45462860659</v>
      </c>
      <c r="DA45" s="396">
        <f>-DA$12*Assumptions!$C76</f>
        <v>-211696.57857529056</v>
      </c>
      <c r="DB45" s="396">
        <f>-DB$12*Assumptions!$C76</f>
        <v>-179127.87417909203</v>
      </c>
      <c r="DC45" s="396">
        <f>-DC$12*Assumptions!$C76</f>
        <v>-141831.45462860659</v>
      </c>
      <c r="DD45" s="396">
        <f>-DD$12*Assumptions!$C76</f>
        <v>-32568.704396198547</v>
      </c>
      <c r="DE45" s="396">
        <f>-DE$12*Assumptions!$C76</f>
        <v>-31518.101028579244</v>
      </c>
      <c r="DF45" s="396">
        <f>-DF$12*Assumptions!$C76</f>
        <v>-179127.87417909203</v>
      </c>
      <c r="DG45" s="396" t="e">
        <f>-DG$12*Assumptions!$C76</f>
        <v>#N/A</v>
      </c>
      <c r="DH45" s="396" t="e">
        <f>-DH$12*Assumptions!$C76</f>
        <v>#N/A</v>
      </c>
      <c r="DI45" s="396" t="e">
        <f>-DI$12*Assumptions!$C76</f>
        <v>#N/A</v>
      </c>
      <c r="DJ45" s="396" t="e">
        <f>-DJ$12*Assumptions!$C76</f>
        <v>#N/A</v>
      </c>
      <c r="DK45" s="396" t="e">
        <f>-DK$12*Assumptions!$C76</f>
        <v>#N/A</v>
      </c>
      <c r="DL45" s="396" t="e">
        <f>-DL$12*Assumptions!$C76</f>
        <v>#N/A</v>
      </c>
      <c r="DM45" s="396" t="e">
        <f>-DM$12*Assumptions!$C76</f>
        <v>#N/A</v>
      </c>
      <c r="DN45" s="396" t="e">
        <f>-DN$12*Assumptions!$C76</f>
        <v>#N/A</v>
      </c>
      <c r="DO45" s="396" t="e">
        <f>-DO$12*Assumptions!$C76</f>
        <v>#N/A</v>
      </c>
      <c r="DP45" s="396" t="e">
        <f>-DP$12*Assumptions!$C76</f>
        <v>#N/A</v>
      </c>
      <c r="DQ45" s="396" t="e">
        <f>-DQ$12*Assumptions!$C76</f>
        <v>#N/A</v>
      </c>
      <c r="DR45" s="396" t="e">
        <f>-DR$12*Assumptions!$C76</f>
        <v>#N/A</v>
      </c>
      <c r="DS45" s="396"/>
      <c r="DT45" s="396"/>
      <c r="DU45" s="396"/>
      <c r="DV45" s="396"/>
      <c r="DW45" s="396"/>
      <c r="DX45" s="396"/>
      <c r="DY45" s="396"/>
      <c r="DZ45" s="396"/>
      <c r="EA45" s="396"/>
      <c r="EB45" s="396"/>
      <c r="EC45" s="396"/>
      <c r="ED45" s="396"/>
    </row>
    <row r="46" spans="1:134" s="393" customFormat="1" ht="16" x14ac:dyDescent="0.2">
      <c r="A46" s="391"/>
      <c r="B46" s="281" t="s">
        <v>785</v>
      </c>
      <c r="C46" s="392">
        <f>-C$12*Assumptions!$C77</f>
        <v>0</v>
      </c>
      <c r="D46" s="392">
        <f>-D$12*Assumptions!$C77</f>
        <v>0</v>
      </c>
      <c r="E46" s="392">
        <f>-E$12*Assumptions!$C77</f>
        <v>0</v>
      </c>
      <c r="F46" s="392">
        <f>-F$12*Assumptions!$C77</f>
        <v>0</v>
      </c>
      <c r="G46" s="392">
        <f>-G$12*Assumptions!$C77</f>
        <v>0</v>
      </c>
      <c r="H46" s="392">
        <f>-H$12*Assumptions!$C77</f>
        <v>0</v>
      </c>
      <c r="I46" s="392">
        <f>-I$12*Assumptions!$C77</f>
        <v>0</v>
      </c>
      <c r="J46" s="392">
        <f>-J$12*Assumptions!$C77</f>
        <v>0</v>
      </c>
      <c r="K46" s="392">
        <f>-K$12*Assumptions!$C77</f>
        <v>0</v>
      </c>
      <c r="L46" s="392">
        <f>-L$12*Assumptions!$C77</f>
        <v>0</v>
      </c>
      <c r="M46" s="392">
        <f>-M$12*Assumptions!$C77</f>
        <v>0</v>
      </c>
      <c r="N46" s="392">
        <f>-N$12*Assumptions!$C77</f>
        <v>0</v>
      </c>
      <c r="O46" s="392">
        <f>-O$12*Assumptions!$C77</f>
        <v>-13319.5995</v>
      </c>
      <c r="P46" s="392">
        <f>-P$12*Assumptions!$C77</f>
        <v>-12030.605999999998</v>
      </c>
      <c r="Q46" s="392">
        <f>-Q$12*Assumptions!$C77</f>
        <v>-11543.652900000001</v>
      </c>
      <c r="R46" s="392">
        <f>-R$12*Assumptions!$C77</f>
        <v>-4296.6449999999995</v>
      </c>
      <c r="S46" s="392">
        <f>-S$12*Assumptions!$C77</f>
        <v>-2663.9198999999999</v>
      </c>
      <c r="T46" s="392">
        <f>-T$12*Assumptions!$C77</f>
        <v>-7733.9610000000002</v>
      </c>
      <c r="U46" s="392">
        <f>-U$12*Assumptions!$C77</f>
        <v>-11543.652900000001</v>
      </c>
      <c r="V46" s="392">
        <f>-V$12*Assumptions!$C77</f>
        <v>-9767.7063000000016</v>
      </c>
      <c r="W46" s="392">
        <f>-W$12*Assumptions!$C77</f>
        <v>-7733.9610000000002</v>
      </c>
      <c r="X46" s="392">
        <f>-X$12*Assumptions!$C77</f>
        <v>-1775.9466000000002</v>
      </c>
      <c r="Y46" s="392">
        <f>-Y$12*Assumptions!$C77</f>
        <v>-1718.6580000000001</v>
      </c>
      <c r="Z46" s="392">
        <f>-Z$12*Assumptions!$C77</f>
        <v>-9767.7063000000016</v>
      </c>
      <c r="AA46" s="392">
        <f>-AA$12*Assumptions!$C77</f>
        <v>-25609.149972000003</v>
      </c>
      <c r="AB46" s="392">
        <f>-AB$12*Assumptions!$C77</f>
        <v>-23956.946748000002</v>
      </c>
      <c r="AC46" s="392">
        <f>-AC$12*Assumptions!$C77</f>
        <v>-22194.5966424</v>
      </c>
      <c r="AD46" s="392">
        <f>-AD$12*Assumptions!$C77</f>
        <v>-8261.0161200000002</v>
      </c>
      <c r="AE46" s="392">
        <f>-AE$12*Assumptions!$C77</f>
        <v>-5121.8299944</v>
      </c>
      <c r="AF46" s="392">
        <f>-AF$12*Assumptions!$C77</f>
        <v>-14869.829016000002</v>
      </c>
      <c r="AG46" s="392">
        <f>-AG$12*Assumptions!$C77</f>
        <v>-22194.5966424</v>
      </c>
      <c r="AH46" s="392">
        <f>-AH$12*Assumptions!$C77</f>
        <v>-18780.0433128</v>
      </c>
      <c r="AI46" s="392">
        <f>-AI$12*Assumptions!$C77</f>
        <v>-14869.829016000002</v>
      </c>
      <c r="AJ46" s="392">
        <f>-AJ$12*Assumptions!$C77</f>
        <v>-3414.5533296000003</v>
      </c>
      <c r="AK46" s="392">
        <f>-AK$12*Assumptions!$C77</f>
        <v>-3304.4064480000006</v>
      </c>
      <c r="AL46" s="392">
        <f>-AL$12*Assumptions!$C77</f>
        <v>-18780.0433128</v>
      </c>
      <c r="AM46" s="392">
        <f>-AM$12*Assumptions!$C77</f>
        <v>-101427.47743077001</v>
      </c>
      <c r="AN46" s="392">
        <f>-AN$12*Assumptions!$C77</f>
        <v>-91611.915098760015</v>
      </c>
      <c r="AO46" s="392">
        <f>-AO$12*Assumptions!$C77</f>
        <v>-87903.813773334012</v>
      </c>
      <c r="AP46" s="392">
        <f>-AP$12*Assumptions!$C77</f>
        <v>-32718.541106700002</v>
      </c>
      <c r="AQ46" s="392">
        <f>-AQ$12*Assumptions!$C77</f>
        <v>-20285.495486153999</v>
      </c>
      <c r="AR46" s="392">
        <f>-AR$12*Assumptions!$C77</f>
        <v>-58893.373992060006</v>
      </c>
      <c r="AS46" s="392">
        <f>-AS$12*Assumptions!$C77</f>
        <v>-87903.813773334012</v>
      </c>
      <c r="AT46" s="392">
        <f>-AT$12*Assumptions!$C77</f>
        <v>-74380.15011589801</v>
      </c>
      <c r="AU46" s="392">
        <f>-AU$12*Assumptions!$C77</f>
        <v>-58893.373992060006</v>
      </c>
      <c r="AV46" s="392">
        <f>-AV$12*Assumptions!$C77</f>
        <v>-13523.663657436002</v>
      </c>
      <c r="AW46" s="392">
        <f>-AW$12*Assumptions!$C77</f>
        <v>-13087.416442680002</v>
      </c>
      <c r="AX46" s="392">
        <f>-AX$12*Assumptions!$C77</f>
        <v>-74380.15011589801</v>
      </c>
      <c r="AY46" s="392">
        <f>-AY$12*Assumptions!$C77</f>
        <v>-146193.73496182443</v>
      </c>
      <c r="AZ46" s="392">
        <f>-AZ$12*Assumptions!$C77</f>
        <v>-132045.95415906722</v>
      </c>
      <c r="BA46" s="392">
        <f>-BA$12*Assumptions!$C77</f>
        <v>-126701.2369669145</v>
      </c>
      <c r="BB46" s="392">
        <f>-BB$12*Assumptions!$C77</f>
        <v>-47159.269342524014</v>
      </c>
      <c r="BC46" s="392">
        <f>-BC$12*Assumptions!$C77</f>
        <v>-29238.746992364882</v>
      </c>
      <c r="BD46" s="392">
        <f>-BD$12*Assumptions!$C77</f>
        <v>-84886.684816543231</v>
      </c>
      <c r="BE46" s="392">
        <f>-BE$12*Assumptions!$C77</f>
        <v>-126701.2369669145</v>
      </c>
      <c r="BF46" s="392">
        <f>-BF$12*Assumptions!$C77</f>
        <v>-107208.73897200458</v>
      </c>
      <c r="BG46" s="392">
        <f>-BG$12*Assumptions!$C77</f>
        <v>-84886.684816543231</v>
      </c>
      <c r="BH46" s="392">
        <f>-BH$12*Assumptions!$C77</f>
        <v>-19492.497994909925</v>
      </c>
      <c r="BI46" s="392">
        <f>-BI$12*Assumptions!$C77</f>
        <v>-18863.707737009605</v>
      </c>
      <c r="BJ46" s="392">
        <f>-BJ$12*Assumptions!$C77</f>
        <v>-107208.73897200458</v>
      </c>
      <c r="BK46" s="392">
        <f>-BK$12*Assumptions!$C77</f>
        <v>-193554.68321505442</v>
      </c>
      <c r="BL46" s="392">
        <f>-BL$12*Assumptions!$C77</f>
        <v>-174823.58483940401</v>
      </c>
      <c r="BM46" s="392">
        <f>-BM$12*Assumptions!$C77</f>
        <v>-167747.39211971383</v>
      </c>
      <c r="BN46" s="392">
        <f>-BN$12*Assumptions!$C77</f>
        <v>-62436.99458550143</v>
      </c>
      <c r="BO46" s="392">
        <f>-BO$12*Assumptions!$C77</f>
        <v>-38710.936643010886</v>
      </c>
      <c r="BP46" s="392">
        <f>-BP$12*Assumptions!$C77</f>
        <v>-112386.59025390257</v>
      </c>
      <c r="BQ46" s="392">
        <f>-BQ$12*Assumptions!$C77</f>
        <v>-167747.39211971383</v>
      </c>
      <c r="BR46" s="392">
        <f>-BR$12*Assumptions!$C77</f>
        <v>-141940.10102437326</v>
      </c>
      <c r="BS46" s="392">
        <f>-BS$12*Assumptions!$C77</f>
        <v>-112386.59025390257</v>
      </c>
      <c r="BT46" s="392">
        <f>-BT$12*Assumptions!$C77</f>
        <v>-25807.291095340592</v>
      </c>
      <c r="BU46" s="392">
        <f>-BU$12*Assumptions!$C77</f>
        <v>-24974.797834200574</v>
      </c>
      <c r="BV46" s="392">
        <f>-BV$12*Assumptions!$C77</f>
        <v>-141940.10102437326</v>
      </c>
      <c r="BW46" s="392">
        <f>-BW$12*Assumptions!$C77</f>
        <v>-230243.45647232456</v>
      </c>
      <c r="BX46" s="392">
        <f>-BX$12*Assumptions!$C77</f>
        <v>-215389.03992572296</v>
      </c>
      <c r="BY46" s="392">
        <f>-BY$12*Assumptions!$C77</f>
        <v>-199544.32894268131</v>
      </c>
      <c r="BZ46" s="392">
        <f>-BZ$12*Assumptions!$C77</f>
        <v>-74272.082733007934</v>
      </c>
      <c r="CA46" s="392">
        <f>-CA$12*Assumptions!$C77</f>
        <v>-46048.691294464908</v>
      </c>
      <c r="CB46" s="392">
        <f>-CB$12*Assumptions!$C77</f>
        <v>-133689.7489194143</v>
      </c>
      <c r="CC46" s="392">
        <f>-CC$12*Assumptions!$C77</f>
        <v>-199544.32894268131</v>
      </c>
      <c r="CD46" s="392">
        <f>-CD$12*Assumptions!$C77</f>
        <v>-168845.20141303804</v>
      </c>
      <c r="CE46" s="392">
        <f>-CE$12*Assumptions!$C77</f>
        <v>-133689.7489194143</v>
      </c>
      <c r="CF46" s="392">
        <f>-CF$12*Assumptions!$C77</f>
        <v>-30699.127529643276</v>
      </c>
      <c r="CG46" s="392">
        <f>-CG$12*Assumptions!$C77</f>
        <v>-29708.833093203171</v>
      </c>
      <c r="CH46" s="392">
        <f>-CH$12*Assumptions!$C77</f>
        <v>-168845.20141303804</v>
      </c>
      <c r="CI46" s="392">
        <f>-CI$12*Assumptions!$C77</f>
        <v>-237150.76016649429</v>
      </c>
      <c r="CJ46" s="392">
        <f>-CJ$12*Assumptions!$C77</f>
        <v>-214200.68660199482</v>
      </c>
      <c r="CK46" s="392">
        <f>-CK$12*Assumptions!$C77</f>
        <v>-205530.65881096173</v>
      </c>
      <c r="CL46" s="392">
        <f>-CL$12*Assumptions!$C77</f>
        <v>-76500.245214998155</v>
      </c>
      <c r="CM46" s="392">
        <f>-CM$12*Assumptions!$C77</f>
        <v>-47430.152033298858</v>
      </c>
      <c r="CN46" s="392">
        <f>-CN$12*Assumptions!$C77</f>
        <v>-137700.44138699668</v>
      </c>
      <c r="CO46" s="392">
        <f>-CO$12*Assumptions!$C77</f>
        <v>-205530.65881096173</v>
      </c>
      <c r="CP46" s="392">
        <f>-CP$12*Assumptions!$C77</f>
        <v>-173910.5574554292</v>
      </c>
      <c r="CQ46" s="392">
        <f>-CQ$12*Assumptions!$C77</f>
        <v>-137700.44138699668</v>
      </c>
      <c r="CR46" s="392">
        <f>-CR$12*Assumptions!$C77</f>
        <v>-31620.101355532574</v>
      </c>
      <c r="CS46" s="392">
        <f>-CS$12*Assumptions!$C77</f>
        <v>-30600.098085999263</v>
      </c>
      <c r="CT46" s="392">
        <f>-CT$12*Assumptions!$C77</f>
        <v>-173910.5574554292</v>
      </c>
      <c r="CU46" s="392">
        <f>-CU$12*Assumptions!$C77</f>
        <v>-244265.2829714891</v>
      </c>
      <c r="CV46" s="392">
        <f>-CV$12*Assumptions!$C77</f>
        <v>-220626.70720005466</v>
      </c>
      <c r="CW46" s="392">
        <f>-CW$12*Assumptions!$C77</f>
        <v>-211696.57857529056</v>
      </c>
      <c r="CX46" s="392">
        <f>-CX$12*Assumptions!$C77</f>
        <v>-78795.252571448102</v>
      </c>
      <c r="CY46" s="392">
        <f>-CY$12*Assumptions!$C77</f>
        <v>-48853.056594297814</v>
      </c>
      <c r="CZ46" s="392">
        <f>-CZ$12*Assumptions!$C77</f>
        <v>-141831.45462860659</v>
      </c>
      <c r="DA46" s="392">
        <f>-DA$12*Assumptions!$C77</f>
        <v>-211696.57857529056</v>
      </c>
      <c r="DB46" s="392">
        <f>-DB$12*Assumptions!$C77</f>
        <v>-179127.87417909203</v>
      </c>
      <c r="DC46" s="392">
        <f>-DC$12*Assumptions!$C77</f>
        <v>-141831.45462860659</v>
      </c>
      <c r="DD46" s="392">
        <f>-DD$12*Assumptions!$C77</f>
        <v>-32568.704396198547</v>
      </c>
      <c r="DE46" s="392">
        <f>-DE$12*Assumptions!$C77</f>
        <v>-31518.101028579244</v>
      </c>
      <c r="DF46" s="392">
        <f>-DF$12*Assumptions!$C77</f>
        <v>-179127.87417909203</v>
      </c>
      <c r="DG46" s="392" t="e">
        <f>-DG$12*Assumptions!$C77</f>
        <v>#N/A</v>
      </c>
      <c r="DH46" s="392" t="e">
        <f>-DH$12*Assumptions!$C77</f>
        <v>#N/A</v>
      </c>
      <c r="DI46" s="392" t="e">
        <f>-DI$12*Assumptions!$C77</f>
        <v>#N/A</v>
      </c>
      <c r="DJ46" s="392" t="e">
        <f>-DJ$12*Assumptions!$C77</f>
        <v>#N/A</v>
      </c>
      <c r="DK46" s="392" t="e">
        <f>-DK$12*Assumptions!$C77</f>
        <v>#N/A</v>
      </c>
      <c r="DL46" s="392" t="e">
        <f>-DL$12*Assumptions!$C77</f>
        <v>#N/A</v>
      </c>
      <c r="DM46" s="392" t="e">
        <f>-DM$12*Assumptions!$C77</f>
        <v>#N/A</v>
      </c>
      <c r="DN46" s="392" t="e">
        <f>-DN$12*Assumptions!$C77</f>
        <v>#N/A</v>
      </c>
      <c r="DO46" s="392" t="e">
        <f>-DO$12*Assumptions!$C77</f>
        <v>#N/A</v>
      </c>
      <c r="DP46" s="392" t="e">
        <f>-DP$12*Assumptions!$C77</f>
        <v>#N/A</v>
      </c>
      <c r="DQ46" s="392" t="e">
        <f>-DQ$12*Assumptions!$C77</f>
        <v>#N/A</v>
      </c>
      <c r="DR46" s="392" t="e">
        <f>-DR$12*Assumptions!$C77</f>
        <v>#N/A</v>
      </c>
      <c r="DS46" s="392"/>
      <c r="DT46" s="392"/>
      <c r="DU46" s="392"/>
      <c r="DV46" s="392"/>
      <c r="DW46" s="392"/>
      <c r="DX46" s="392"/>
      <c r="DY46" s="392"/>
      <c r="DZ46" s="392"/>
      <c r="EA46" s="392"/>
      <c r="EB46" s="392"/>
      <c r="EC46" s="392"/>
      <c r="ED46" s="392"/>
    </row>
    <row r="47" spans="1:134" s="393" customFormat="1" ht="16" x14ac:dyDescent="0.2">
      <c r="A47" s="391"/>
      <c r="B47" s="398" t="s">
        <v>786</v>
      </c>
      <c r="C47" s="395">
        <f>-C$12*Assumptions!$C78</f>
        <v>0</v>
      </c>
      <c r="D47" s="395">
        <f>-D$12*Assumptions!$C78</f>
        <v>0</v>
      </c>
      <c r="E47" s="395">
        <f>-E$12*Assumptions!$C78</f>
        <v>0</v>
      </c>
      <c r="F47" s="395">
        <f>-F$12*Assumptions!$C78</f>
        <v>0</v>
      </c>
      <c r="G47" s="395">
        <f>-G$12*Assumptions!$C78</f>
        <v>0</v>
      </c>
      <c r="H47" s="395">
        <f>-H$12*Assumptions!$C78</f>
        <v>0</v>
      </c>
      <c r="I47" s="395">
        <f>-I$12*Assumptions!$C78</f>
        <v>0</v>
      </c>
      <c r="J47" s="395">
        <f>-J$12*Assumptions!$C78</f>
        <v>0</v>
      </c>
      <c r="K47" s="395">
        <f>-K$12*Assumptions!$C78</f>
        <v>0</v>
      </c>
      <c r="L47" s="395">
        <f>-L$12*Assumptions!$C78</f>
        <v>0</v>
      </c>
      <c r="M47" s="395">
        <f>-M$12*Assumptions!$C78</f>
        <v>0</v>
      </c>
      <c r="N47" s="395">
        <f>-N$12*Assumptions!$C78</f>
        <v>0</v>
      </c>
      <c r="O47" s="395">
        <f>-O$12*Assumptions!$C78</f>
        <v>-8879.7330000000002</v>
      </c>
      <c r="P47" s="395">
        <f>-P$12*Assumptions!$C78</f>
        <v>-8020.4039999999995</v>
      </c>
      <c r="Q47" s="395">
        <f>-Q$12*Assumptions!$C78</f>
        <v>-7695.7686000000012</v>
      </c>
      <c r="R47" s="395">
        <f>-R$12*Assumptions!$C78</f>
        <v>-2864.43</v>
      </c>
      <c r="S47" s="395">
        <f>-S$12*Assumptions!$C78</f>
        <v>-1775.9466</v>
      </c>
      <c r="T47" s="395">
        <f>-T$12*Assumptions!$C78</f>
        <v>-5155.9740000000002</v>
      </c>
      <c r="U47" s="395">
        <f>-U$12*Assumptions!$C78</f>
        <v>-7695.7686000000012</v>
      </c>
      <c r="V47" s="395">
        <f>-V$12*Assumptions!$C78</f>
        <v>-6511.8042000000014</v>
      </c>
      <c r="W47" s="395">
        <f>-W$12*Assumptions!$C78</f>
        <v>-5155.9740000000002</v>
      </c>
      <c r="X47" s="395">
        <f>-X$12*Assumptions!$C78</f>
        <v>-1183.9644000000003</v>
      </c>
      <c r="Y47" s="395">
        <f>-Y$12*Assumptions!$C78</f>
        <v>-1145.7720000000002</v>
      </c>
      <c r="Z47" s="395">
        <f>-Z$12*Assumptions!$C78</f>
        <v>-6511.8042000000014</v>
      </c>
      <c r="AA47" s="395">
        <f>-AA$12*Assumptions!$C78</f>
        <v>-17072.766648000001</v>
      </c>
      <c r="AB47" s="395">
        <f>-AB$12*Assumptions!$C78</f>
        <v>-15971.297832000002</v>
      </c>
      <c r="AC47" s="395">
        <f>-AC$12*Assumptions!$C78</f>
        <v>-14796.397761600001</v>
      </c>
      <c r="AD47" s="395">
        <f>-AD$12*Assumptions!$C78</f>
        <v>-5507.3440800000008</v>
      </c>
      <c r="AE47" s="395">
        <f>-AE$12*Assumptions!$C78</f>
        <v>-3414.5533296000003</v>
      </c>
      <c r="AF47" s="395">
        <f>-AF$12*Assumptions!$C78</f>
        <v>-9913.219344000001</v>
      </c>
      <c r="AG47" s="395">
        <f>-AG$12*Assumptions!$C78</f>
        <v>-14796.397761600001</v>
      </c>
      <c r="AH47" s="395">
        <f>-AH$12*Assumptions!$C78</f>
        <v>-12520.028875200001</v>
      </c>
      <c r="AI47" s="395">
        <f>-AI$12*Assumptions!$C78</f>
        <v>-9913.219344000001</v>
      </c>
      <c r="AJ47" s="395">
        <f>-AJ$12*Assumptions!$C78</f>
        <v>-2276.3688864000001</v>
      </c>
      <c r="AK47" s="395">
        <f>-AK$12*Assumptions!$C78</f>
        <v>-2202.9376320000006</v>
      </c>
      <c r="AL47" s="395">
        <f>-AL$12*Assumptions!$C78</f>
        <v>-12520.028875200001</v>
      </c>
      <c r="AM47" s="395">
        <f>-AM$12*Assumptions!$C78</f>
        <v>-67618.318287180009</v>
      </c>
      <c r="AN47" s="395">
        <f>-AN$12*Assumptions!$C78</f>
        <v>-61074.61006584001</v>
      </c>
      <c r="AO47" s="395">
        <f>-AO$12*Assumptions!$C78</f>
        <v>-58602.542515556015</v>
      </c>
      <c r="AP47" s="395">
        <f>-AP$12*Assumptions!$C78</f>
        <v>-21812.360737800002</v>
      </c>
      <c r="AQ47" s="395">
        <f>-AQ$12*Assumptions!$C78</f>
        <v>-13523.663657436002</v>
      </c>
      <c r="AR47" s="395">
        <f>-AR$12*Assumptions!$C78</f>
        <v>-39262.249328040009</v>
      </c>
      <c r="AS47" s="395">
        <f>-AS$12*Assumptions!$C78</f>
        <v>-58602.542515556015</v>
      </c>
      <c r="AT47" s="395">
        <f>-AT$12*Assumptions!$C78</f>
        <v>-49586.766743932014</v>
      </c>
      <c r="AU47" s="395">
        <f>-AU$12*Assumptions!$C78</f>
        <v>-39262.249328040009</v>
      </c>
      <c r="AV47" s="395">
        <f>-AV$12*Assumptions!$C78</f>
        <v>-9015.7757716240012</v>
      </c>
      <c r="AW47" s="395">
        <f>-AW$12*Assumptions!$C78</f>
        <v>-8724.9442951200017</v>
      </c>
      <c r="AX47" s="395">
        <f>-AX$12*Assumptions!$C78</f>
        <v>-49586.766743932014</v>
      </c>
      <c r="AY47" s="395">
        <f>-AY$12*Assumptions!$C78</f>
        <v>-97462.489974549622</v>
      </c>
      <c r="AZ47" s="395">
        <f>-AZ$12*Assumptions!$C78</f>
        <v>-88030.636106044825</v>
      </c>
      <c r="BA47" s="395">
        <f>-BA$12*Assumptions!$C78</f>
        <v>-84467.491311276332</v>
      </c>
      <c r="BB47" s="395">
        <f>-BB$12*Assumptions!$C78</f>
        <v>-31439.512895016011</v>
      </c>
      <c r="BC47" s="395">
        <f>-BC$12*Assumptions!$C78</f>
        <v>-19492.497994909922</v>
      </c>
      <c r="BD47" s="395">
        <f>-BD$12*Assumptions!$C78</f>
        <v>-56591.123211028818</v>
      </c>
      <c r="BE47" s="395">
        <f>-BE$12*Assumptions!$C78</f>
        <v>-84467.491311276332</v>
      </c>
      <c r="BF47" s="395">
        <f>-BF$12*Assumptions!$C78</f>
        <v>-71472.492648003055</v>
      </c>
      <c r="BG47" s="395">
        <f>-BG$12*Assumptions!$C78</f>
        <v>-56591.123211028818</v>
      </c>
      <c r="BH47" s="395">
        <f>-BH$12*Assumptions!$C78</f>
        <v>-12994.998663273283</v>
      </c>
      <c r="BI47" s="395">
        <f>-BI$12*Assumptions!$C78</f>
        <v>-12575.805158006406</v>
      </c>
      <c r="BJ47" s="395">
        <f>-BJ$12*Assumptions!$C78</f>
        <v>-71472.492648003055</v>
      </c>
      <c r="BK47" s="395">
        <f>-BK$12*Assumptions!$C78</f>
        <v>-129036.45547670296</v>
      </c>
      <c r="BL47" s="395">
        <f>-BL$12*Assumptions!$C78</f>
        <v>-116549.05655960267</v>
      </c>
      <c r="BM47" s="395">
        <f>-BM$12*Assumptions!$C78</f>
        <v>-111831.59474647589</v>
      </c>
      <c r="BN47" s="395">
        <f>-BN$12*Assumptions!$C78</f>
        <v>-41624.663057000951</v>
      </c>
      <c r="BO47" s="395">
        <f>-BO$12*Assumptions!$C78</f>
        <v>-25807.291095340592</v>
      </c>
      <c r="BP47" s="395">
        <f>-BP$12*Assumptions!$C78</f>
        <v>-74924.393502601728</v>
      </c>
      <c r="BQ47" s="395">
        <f>-BQ$12*Assumptions!$C78</f>
        <v>-111831.59474647589</v>
      </c>
      <c r="BR47" s="395">
        <f>-BR$12*Assumptions!$C78</f>
        <v>-94626.73401624884</v>
      </c>
      <c r="BS47" s="395">
        <f>-BS$12*Assumptions!$C78</f>
        <v>-74924.393502601728</v>
      </c>
      <c r="BT47" s="395">
        <f>-BT$12*Assumptions!$C78</f>
        <v>-17204.860730227061</v>
      </c>
      <c r="BU47" s="395">
        <f>-BU$12*Assumptions!$C78</f>
        <v>-16649.865222800385</v>
      </c>
      <c r="BV47" s="395">
        <f>-BV$12*Assumptions!$C78</f>
        <v>-94626.73401624884</v>
      </c>
      <c r="BW47" s="395">
        <f>-BW$12*Assumptions!$C78</f>
        <v>-153495.63764821639</v>
      </c>
      <c r="BX47" s="395">
        <f>-BX$12*Assumptions!$C78</f>
        <v>-143592.69328381532</v>
      </c>
      <c r="BY47" s="395">
        <f>-BY$12*Assumptions!$C78</f>
        <v>-133029.55262845423</v>
      </c>
      <c r="BZ47" s="395">
        <f>-BZ$12*Assumptions!$C78</f>
        <v>-49514.721822005289</v>
      </c>
      <c r="CA47" s="395">
        <f>-CA$12*Assumptions!$C78</f>
        <v>-30699.127529643276</v>
      </c>
      <c r="CB47" s="395">
        <f>-CB$12*Assumptions!$C78</f>
        <v>-89126.499279609532</v>
      </c>
      <c r="CC47" s="395">
        <f>-CC$12*Assumptions!$C78</f>
        <v>-133029.55262845423</v>
      </c>
      <c r="CD47" s="395">
        <f>-CD$12*Assumptions!$C78</f>
        <v>-112563.46760869204</v>
      </c>
      <c r="CE47" s="395">
        <f>-CE$12*Assumptions!$C78</f>
        <v>-89126.499279609532</v>
      </c>
      <c r="CF47" s="395">
        <f>-CF$12*Assumptions!$C78</f>
        <v>-20466.085019762188</v>
      </c>
      <c r="CG47" s="395">
        <f>-CG$12*Assumptions!$C78</f>
        <v>-19805.888728802118</v>
      </c>
      <c r="CH47" s="395">
        <f>-CH$12*Assumptions!$C78</f>
        <v>-112563.46760869204</v>
      </c>
      <c r="CI47" s="395">
        <f>-CI$12*Assumptions!$C78</f>
        <v>-158100.50677766287</v>
      </c>
      <c r="CJ47" s="395">
        <f>-CJ$12*Assumptions!$C78</f>
        <v>-142800.45773466324</v>
      </c>
      <c r="CK47" s="395">
        <f>-CK$12*Assumptions!$C78</f>
        <v>-137020.43920730782</v>
      </c>
      <c r="CL47" s="395">
        <f>-CL$12*Assumptions!$C78</f>
        <v>-51000.163476665439</v>
      </c>
      <c r="CM47" s="395">
        <f>-CM$12*Assumptions!$C78</f>
        <v>-31620.101355532577</v>
      </c>
      <c r="CN47" s="395">
        <f>-CN$12*Assumptions!$C78</f>
        <v>-91800.294257997797</v>
      </c>
      <c r="CO47" s="395">
        <f>-CO$12*Assumptions!$C78</f>
        <v>-137020.43920730782</v>
      </c>
      <c r="CP47" s="395">
        <f>-CP$12*Assumptions!$C78</f>
        <v>-115940.3716369528</v>
      </c>
      <c r="CQ47" s="395">
        <f>-CQ$12*Assumptions!$C78</f>
        <v>-91800.294257997797</v>
      </c>
      <c r="CR47" s="395">
        <f>-CR$12*Assumptions!$C78</f>
        <v>-21080.067570355051</v>
      </c>
      <c r="CS47" s="395">
        <f>-CS$12*Assumptions!$C78</f>
        <v>-20400.065390666176</v>
      </c>
      <c r="CT47" s="395">
        <f>-CT$12*Assumptions!$C78</f>
        <v>-115940.3716369528</v>
      </c>
      <c r="CU47" s="395">
        <f>-CU$12*Assumptions!$C78</f>
        <v>-162843.52198099275</v>
      </c>
      <c r="CV47" s="395">
        <f>-CV$12*Assumptions!$C78</f>
        <v>-147084.47146670311</v>
      </c>
      <c r="CW47" s="395">
        <f>-CW$12*Assumptions!$C78</f>
        <v>-141131.05238352704</v>
      </c>
      <c r="CX47" s="395">
        <f>-CX$12*Assumptions!$C78</f>
        <v>-52530.168380965406</v>
      </c>
      <c r="CY47" s="395">
        <f>-CY$12*Assumptions!$C78</f>
        <v>-32568.704396198547</v>
      </c>
      <c r="CZ47" s="395">
        <f>-CZ$12*Assumptions!$C78</f>
        <v>-94554.303085737731</v>
      </c>
      <c r="DA47" s="395">
        <f>-DA$12*Assumptions!$C78</f>
        <v>-141131.05238352704</v>
      </c>
      <c r="DB47" s="395">
        <f>-DB$12*Assumptions!$C78</f>
        <v>-119418.58278606135</v>
      </c>
      <c r="DC47" s="395">
        <f>-DC$12*Assumptions!$C78</f>
        <v>-94554.303085737731</v>
      </c>
      <c r="DD47" s="395">
        <f>-DD$12*Assumptions!$C78</f>
        <v>-21712.469597465701</v>
      </c>
      <c r="DE47" s="395">
        <f>-DE$12*Assumptions!$C78</f>
        <v>-21012.067352386162</v>
      </c>
      <c r="DF47" s="395">
        <f>-DF$12*Assumptions!$C78</f>
        <v>-119418.58278606135</v>
      </c>
      <c r="DG47" s="395" t="e">
        <f>-DG$12*Assumptions!$C78</f>
        <v>#N/A</v>
      </c>
      <c r="DH47" s="395" t="e">
        <f>-DH$12*Assumptions!$C78</f>
        <v>#N/A</v>
      </c>
      <c r="DI47" s="395" t="e">
        <f>-DI$12*Assumptions!$C78</f>
        <v>#N/A</v>
      </c>
      <c r="DJ47" s="395" t="e">
        <f>-DJ$12*Assumptions!$C78</f>
        <v>#N/A</v>
      </c>
      <c r="DK47" s="395" t="e">
        <f>-DK$12*Assumptions!$C78</f>
        <v>#N/A</v>
      </c>
      <c r="DL47" s="395" t="e">
        <f>-DL$12*Assumptions!$C78</f>
        <v>#N/A</v>
      </c>
      <c r="DM47" s="395" t="e">
        <f>-DM$12*Assumptions!$C78</f>
        <v>#N/A</v>
      </c>
      <c r="DN47" s="395" t="e">
        <f>-DN$12*Assumptions!$C78</f>
        <v>#N/A</v>
      </c>
      <c r="DO47" s="395" t="e">
        <f>-DO$12*Assumptions!$C78</f>
        <v>#N/A</v>
      </c>
      <c r="DP47" s="395" t="e">
        <f>-DP$12*Assumptions!$C78</f>
        <v>#N/A</v>
      </c>
      <c r="DQ47" s="395" t="e">
        <f>-DQ$12*Assumptions!$C78</f>
        <v>#N/A</v>
      </c>
      <c r="DR47" s="395" t="e">
        <f>-DR$12*Assumptions!$C78</f>
        <v>#N/A</v>
      </c>
      <c r="DS47" s="392"/>
      <c r="DT47" s="392"/>
      <c r="DU47" s="392"/>
      <c r="DV47" s="392"/>
      <c r="DW47" s="392"/>
      <c r="DX47" s="392"/>
      <c r="DY47" s="392"/>
      <c r="DZ47" s="392"/>
      <c r="EA47" s="392"/>
      <c r="EB47" s="392"/>
      <c r="EC47" s="392"/>
      <c r="ED47" s="392"/>
    </row>
    <row r="48" spans="1:134" s="393" customFormat="1" ht="16" x14ac:dyDescent="0.2">
      <c r="A48" s="391"/>
      <c r="B48" s="397" t="s">
        <v>787</v>
      </c>
      <c r="C48" s="394">
        <f t="shared" ref="C48:AH48" si="42">SUM(C44:C47)</f>
        <v>0</v>
      </c>
      <c r="D48" s="394">
        <f t="shared" si="42"/>
        <v>0</v>
      </c>
      <c r="E48" s="394">
        <f t="shared" si="42"/>
        <v>0</v>
      </c>
      <c r="F48" s="394">
        <f t="shared" si="42"/>
        <v>0</v>
      </c>
      <c r="G48" s="394">
        <f t="shared" si="42"/>
        <v>0</v>
      </c>
      <c r="H48" s="394">
        <f t="shared" si="42"/>
        <v>0</v>
      </c>
      <c r="I48" s="394">
        <f t="shared" si="42"/>
        <v>0</v>
      </c>
      <c r="J48" s="394">
        <f t="shared" si="42"/>
        <v>0</v>
      </c>
      <c r="K48" s="394">
        <f t="shared" si="42"/>
        <v>0</v>
      </c>
      <c r="L48" s="394">
        <f t="shared" si="42"/>
        <v>0</v>
      </c>
      <c r="M48" s="394">
        <f t="shared" si="42"/>
        <v>0</v>
      </c>
      <c r="N48" s="394">
        <f t="shared" si="42"/>
        <v>0</v>
      </c>
      <c r="O48" s="394">
        <f t="shared" si="42"/>
        <v>-58606.237799999995</v>
      </c>
      <c r="P48" s="394">
        <f t="shared" si="42"/>
        <v>-52934.666400000002</v>
      </c>
      <c r="Q48" s="394">
        <f t="shared" si="42"/>
        <v>-50792.07276000001</v>
      </c>
      <c r="R48" s="394">
        <f t="shared" si="42"/>
        <v>-18905.238000000001</v>
      </c>
      <c r="S48" s="394">
        <f t="shared" si="42"/>
        <v>-11721.24756</v>
      </c>
      <c r="T48" s="394">
        <f t="shared" si="42"/>
        <v>-34029.428400000004</v>
      </c>
      <c r="U48" s="394">
        <f t="shared" si="42"/>
        <v>-50792.07276000001</v>
      </c>
      <c r="V48" s="394">
        <f t="shared" si="42"/>
        <v>-42977.907720000003</v>
      </c>
      <c r="W48" s="394">
        <f t="shared" si="42"/>
        <v>-34029.428400000004</v>
      </c>
      <c r="X48" s="394">
        <f t="shared" si="42"/>
        <v>-7814.1650400000017</v>
      </c>
      <c r="Y48" s="394">
        <f t="shared" si="42"/>
        <v>-7562.0952000000007</v>
      </c>
      <c r="Z48" s="394">
        <f t="shared" si="42"/>
        <v>-42977.907720000003</v>
      </c>
      <c r="AA48" s="394">
        <f t="shared" ca="1" si="42"/>
        <v>-125099.15662958402</v>
      </c>
      <c r="AB48" s="394">
        <f t="shared" ca="1" si="42"/>
        <v>-117665.92055025601</v>
      </c>
      <c r="AC48" s="394">
        <f t="shared" ca="1" si="42"/>
        <v>-111146.31613817281</v>
      </c>
      <c r="AD48" s="394">
        <f t="shared" ca="1" si="42"/>
        <v>-59172.162649973332</v>
      </c>
      <c r="AE48" s="394">
        <f t="shared" ca="1" si="42"/>
        <v>-54818.576266983466</v>
      </c>
      <c r="AF48" s="394">
        <f t="shared" ca="1" si="42"/>
        <v>-111103.49172995202</v>
      </c>
      <c r="AG48" s="394">
        <f t="shared" ca="1" si="42"/>
        <v>-142398.30833817282</v>
      </c>
      <c r="AH48" s="394">
        <f t="shared" ca="1" si="42"/>
        <v>-128445.4678467616</v>
      </c>
      <c r="AI48" s="394">
        <f t="shared" ref="AI48:BN48" ca="1" si="43">SUM(AI44:AI47)</f>
        <v>-100686.16099661868</v>
      </c>
      <c r="AJ48" s="394">
        <f t="shared" ca="1" si="43"/>
        <v>-36367.939733544532</v>
      </c>
      <c r="AK48" s="394">
        <f t="shared" ca="1" si="43"/>
        <v>-25432.331206656007</v>
      </c>
      <c r="AL48" s="394">
        <f t="shared" ca="1" si="43"/>
        <v>-97193.47564676161</v>
      </c>
      <c r="AM48" s="394">
        <f t="shared" ca="1" si="43"/>
        <v>-438878.65162379656</v>
      </c>
      <c r="AN48" s="394">
        <f t="shared" ca="1" si="43"/>
        <v>-397393.28378813883</v>
      </c>
      <c r="AO48" s="394">
        <f t="shared" ca="1" si="43"/>
        <v>-384623.94603964232</v>
      </c>
      <c r="AP48" s="394">
        <f t="shared" ca="1" si="43"/>
        <v>-162722.51491672575</v>
      </c>
      <c r="AQ48" s="394">
        <f t="shared" ca="1" si="43"/>
        <v>-119569.82973508995</v>
      </c>
      <c r="AR48" s="394">
        <f t="shared" ca="1" si="43"/>
        <v>-297619.13377890637</v>
      </c>
      <c r="AS48" s="394">
        <f t="shared" ca="1" si="43"/>
        <v>-416813.49800564232</v>
      </c>
      <c r="AT48" s="394">
        <f t="shared" ca="1" si="43"/>
        <v>-362558.79242148815</v>
      </c>
      <c r="AU48" s="394">
        <f t="shared" ca="1" si="43"/>
        <v>-286889.283123573</v>
      </c>
      <c r="AV48" s="394">
        <f t="shared" ca="1" si="43"/>
        <v>-79535.44204561552</v>
      </c>
      <c r="AW48" s="394">
        <f t="shared" ca="1" si="43"/>
        <v>-66914.976097756968</v>
      </c>
      <c r="AX48" s="394">
        <f t="shared" ca="1" si="43"/>
        <v>-330369.24045548815</v>
      </c>
      <c r="AY48" s="394">
        <f t="shared" ca="1" si="43"/>
        <v>-603964.92679695878</v>
      </c>
      <c r="AZ48" s="394">
        <f t="shared" ca="1" si="43"/>
        <v>-546534.6189948332</v>
      </c>
      <c r="BA48" s="394">
        <f t="shared" ca="1" si="43"/>
        <v>-529323.72447490413</v>
      </c>
      <c r="BB48" s="394">
        <f t="shared" ca="1" si="43"/>
        <v>-218429.92102479632</v>
      </c>
      <c r="BC48" s="394">
        <f t="shared" ca="1" si="43"/>
        <v>-154674.9576366953</v>
      </c>
      <c r="BD48" s="394">
        <f t="shared" ca="1" si="43"/>
        <v>-398021.22298129741</v>
      </c>
      <c r="BE48" s="394">
        <f t="shared" ca="1" si="43"/>
        <v>-562478.96299988416</v>
      </c>
      <c r="BF48" s="394">
        <f t="shared" ca="1" si="43"/>
        <v>-487837.76067782938</v>
      </c>
      <c r="BG48" s="394">
        <f t="shared" ca="1" si="43"/>
        <v>-386969.47680630407</v>
      </c>
      <c r="BH48" s="394">
        <f t="shared" ca="1" si="43"/>
        <v>-102938.86064668576</v>
      </c>
      <c r="BI48" s="394">
        <f t="shared" ca="1" si="43"/>
        <v>-89262.317644917202</v>
      </c>
      <c r="BJ48" s="394">
        <f t="shared" ca="1" si="43"/>
        <v>-454682.52215284941</v>
      </c>
      <c r="BK48" s="394">
        <f t="shared" ca="1" si="43"/>
        <v>-778560.90769404953</v>
      </c>
      <c r="BL48" s="394">
        <f t="shared" ca="1" si="43"/>
        <v>-704266.30035851989</v>
      </c>
      <c r="BM48" s="394">
        <f t="shared" ca="1" si="43"/>
        <v>-682358.84806484601</v>
      </c>
      <c r="BN48" s="394">
        <f t="shared" ca="1" si="43"/>
        <v>-277332.84123592608</v>
      </c>
      <c r="BO48" s="394">
        <f t="shared" ref="BO48:CT48" ca="1" si="44">SUM(BO44:BO47)</f>
        <v>-191778.3003656354</v>
      </c>
      <c r="BP48" s="394">
        <f t="shared" ca="1" si="44"/>
        <v>-504179.10031543084</v>
      </c>
      <c r="BQ48" s="394">
        <f t="shared" ca="1" si="44"/>
        <v>-716508.74374557543</v>
      </c>
      <c r="BR48" s="394">
        <f t="shared" ca="1" si="44"/>
        <v>-620306.68411637202</v>
      </c>
      <c r="BS48" s="394">
        <f t="shared" ca="1" si="44"/>
        <v>-492795.80175518774</v>
      </c>
      <c r="BT48" s="394">
        <f t="shared" ca="1" si="44"/>
        <v>-127674.42246597918</v>
      </c>
      <c r="BU48" s="394">
        <f t="shared" ca="1" si="44"/>
        <v>-112889.79620641907</v>
      </c>
      <c r="BV48" s="394">
        <f t="shared" ca="1" si="44"/>
        <v>-586156.78843564261</v>
      </c>
      <c r="BW48" s="394">
        <f t="shared" ca="1" si="44"/>
        <v>-906068.28659435106</v>
      </c>
      <c r="BX48" s="394">
        <f t="shared" ca="1" si="44"/>
        <v>-848334.29805172933</v>
      </c>
      <c r="BY48" s="394">
        <f t="shared" ca="1" si="44"/>
        <v>-793095.5582870075</v>
      </c>
      <c r="BZ48" s="394">
        <f t="shared" ca="1" si="44"/>
        <v>-319260.61733412644</v>
      </c>
      <c r="CA48" s="394">
        <f t="shared" ca="1" si="44"/>
        <v>-218374.55971050044</v>
      </c>
      <c r="CB48" s="394">
        <f t="shared" ca="1" si="44"/>
        <v>-579785.69687491446</v>
      </c>
      <c r="CC48" s="394">
        <f t="shared" ca="1" si="44"/>
        <v>-828269.95083815884</v>
      </c>
      <c r="CD48" s="394">
        <f t="shared" ca="1" si="44"/>
        <v>-715297.22253081528</v>
      </c>
      <c r="CE48" s="394">
        <f t="shared" ca="1" si="44"/>
        <v>-568060.89935786405</v>
      </c>
      <c r="CF48" s="394">
        <f t="shared" ca="1" si="44"/>
        <v>-145405.26202922253</v>
      </c>
      <c r="CG48" s="394">
        <f t="shared" ca="1" si="44"/>
        <v>-129729.20643706064</v>
      </c>
      <c r="CH48" s="394">
        <f t="shared" ca="1" si="44"/>
        <v>-680122.82997966395</v>
      </c>
      <c r="CI48" s="394">
        <f t="shared" ca="1" si="44"/>
        <v>-933266.33519218164</v>
      </c>
      <c r="CJ48" s="394">
        <f t="shared" ca="1" si="44"/>
        <v>-844067.32289383106</v>
      </c>
      <c r="CK48" s="394">
        <f t="shared" ca="1" si="44"/>
        <v>-816904.42503561755</v>
      </c>
      <c r="CL48" s="394">
        <f t="shared" ca="1" si="44"/>
        <v>-328854.43585415016</v>
      </c>
      <c r="CM48" s="394">
        <f t="shared" ca="1" si="44"/>
        <v>-224941.79650181549</v>
      </c>
      <c r="CN48" s="394">
        <f t="shared" ca="1" si="44"/>
        <v>-597195.2677811617</v>
      </c>
      <c r="CO48" s="394">
        <f t="shared" ca="1" si="44"/>
        <v>-853134.04936330346</v>
      </c>
      <c r="CP48" s="394">
        <f t="shared" ca="1" si="44"/>
        <v>-736772.13920673984</v>
      </c>
      <c r="CQ48" s="394">
        <f t="shared" ca="1" si="44"/>
        <v>-585118.72633859981</v>
      </c>
      <c r="CR48" s="394">
        <f t="shared" ca="1" si="44"/>
        <v>-149783.41989009921</v>
      </c>
      <c r="CS48" s="394">
        <f t="shared" ca="1" si="44"/>
        <v>-133637.08263017249</v>
      </c>
      <c r="CT48" s="394">
        <f t="shared" ca="1" si="44"/>
        <v>-700542.51487905392</v>
      </c>
      <c r="CU48" s="394">
        <f t="shared" ref="CU48:DR48" ca="1" si="45">SUM(CU44:CU47)</f>
        <v>-961280.32524794689</v>
      </c>
      <c r="CV48" s="394">
        <f t="shared" ca="1" si="45"/>
        <v>-869405.34258064604</v>
      </c>
      <c r="CW48" s="394">
        <f t="shared" ca="1" si="45"/>
        <v>-841427.55778668611</v>
      </c>
      <c r="CX48" s="394">
        <f t="shared" ca="1" si="45"/>
        <v>-338736.06892977474</v>
      </c>
      <c r="CY48" s="394">
        <f t="shared" ca="1" si="45"/>
        <v>-231706.05039686989</v>
      </c>
      <c r="CZ48" s="394">
        <f t="shared" ca="1" si="45"/>
        <v>-615127.12581459666</v>
      </c>
      <c r="DA48" s="394">
        <f t="shared" ca="1" si="45"/>
        <v>-878744.07084420242</v>
      </c>
      <c r="DB48" s="394">
        <f t="shared" ca="1" si="45"/>
        <v>-758891.30338294175</v>
      </c>
      <c r="DC48" s="394">
        <f t="shared" ca="1" si="45"/>
        <v>-602688.28812875785</v>
      </c>
      <c r="DD48" s="394">
        <f t="shared" ca="1" si="45"/>
        <v>-154292.92248680216</v>
      </c>
      <c r="DE48" s="394">
        <f t="shared" ca="1" si="45"/>
        <v>-137662.19510907767</v>
      </c>
      <c r="DF48" s="394">
        <f t="shared" ca="1" si="45"/>
        <v>-721574.79032542533</v>
      </c>
      <c r="DG48" s="394" t="e">
        <f t="shared" ca="1" si="45"/>
        <v>#N/A</v>
      </c>
      <c r="DH48" s="394" t="e">
        <f t="shared" ca="1" si="45"/>
        <v>#N/A</v>
      </c>
      <c r="DI48" s="394" t="e">
        <f t="shared" ca="1" si="45"/>
        <v>#N/A</v>
      </c>
      <c r="DJ48" s="394" t="e">
        <f t="shared" ca="1" si="45"/>
        <v>#N/A</v>
      </c>
      <c r="DK48" s="394" t="e">
        <f t="shared" ca="1" si="45"/>
        <v>#N/A</v>
      </c>
      <c r="DL48" s="394" t="e">
        <f t="shared" ca="1" si="45"/>
        <v>#N/A</v>
      </c>
      <c r="DM48" s="394" t="e">
        <f t="shared" ca="1" si="45"/>
        <v>#N/A</v>
      </c>
      <c r="DN48" s="394" t="e">
        <f t="shared" ca="1" si="45"/>
        <v>#N/A</v>
      </c>
      <c r="DO48" s="394" t="e">
        <f t="shared" ca="1" si="45"/>
        <v>#N/A</v>
      </c>
      <c r="DP48" s="394" t="e">
        <f t="shared" ca="1" si="45"/>
        <v>#N/A</v>
      </c>
      <c r="DQ48" s="394" t="e">
        <f t="shared" ca="1" si="45"/>
        <v>#N/A</v>
      </c>
      <c r="DR48" s="394" t="e">
        <f t="shared" ca="1" si="45"/>
        <v>#N/A</v>
      </c>
      <c r="DS48" s="394"/>
      <c r="DT48" s="394"/>
      <c r="DU48" s="394"/>
      <c r="DV48" s="394"/>
      <c r="DW48" s="394"/>
      <c r="DX48" s="394"/>
      <c r="DY48" s="394"/>
      <c r="DZ48" s="394"/>
      <c r="EA48" s="394"/>
      <c r="EB48" s="394"/>
      <c r="EC48" s="394"/>
      <c r="ED48" s="394"/>
    </row>
    <row r="49" spans="1:134" s="154" customFormat="1" ht="16" x14ac:dyDescent="0.2">
      <c r="A49" s="304"/>
      <c r="B49" s="281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8"/>
      <c r="CD49" s="158"/>
      <c r="CE49" s="158"/>
      <c r="CF49" s="158"/>
      <c r="CG49" s="158"/>
      <c r="CH49" s="158"/>
      <c r="CI49" s="158"/>
      <c r="CJ49" s="158"/>
      <c r="CK49" s="158"/>
      <c r="CL49" s="158"/>
      <c r="CM49" s="158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  <c r="DA49" s="158"/>
      <c r="DB49" s="158"/>
      <c r="DC49" s="158"/>
      <c r="DD49" s="158"/>
      <c r="DE49" s="158"/>
      <c r="DF49" s="158"/>
      <c r="DG49" s="158"/>
      <c r="DH49" s="158"/>
      <c r="DI49" s="158"/>
      <c r="DJ49" s="158"/>
      <c r="DK49" s="158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8"/>
      <c r="DX49" s="158"/>
      <c r="DY49" s="158"/>
      <c r="DZ49" s="158"/>
      <c r="EA49" s="158"/>
      <c r="EB49" s="158"/>
      <c r="EC49" s="158"/>
      <c r="ED49" s="158"/>
    </row>
    <row r="50" spans="1:134" s="393" customFormat="1" ht="16" x14ac:dyDescent="0.2">
      <c r="A50" s="391"/>
      <c r="B50" s="397" t="s">
        <v>788</v>
      </c>
      <c r="C50" s="394">
        <f t="shared" ref="C50:AH50" si="46">C42+C48</f>
        <v>0</v>
      </c>
      <c r="D50" s="394">
        <f t="shared" si="46"/>
        <v>0</v>
      </c>
      <c r="E50" s="394">
        <f t="shared" si="46"/>
        <v>0</v>
      </c>
      <c r="F50" s="394">
        <f t="shared" si="46"/>
        <v>0</v>
      </c>
      <c r="G50" s="394">
        <f t="shared" si="46"/>
        <v>0</v>
      </c>
      <c r="H50" s="394">
        <f t="shared" si="46"/>
        <v>0</v>
      </c>
      <c r="I50" s="394">
        <f t="shared" si="46"/>
        <v>0</v>
      </c>
      <c r="J50" s="394">
        <f t="shared" si="46"/>
        <v>0</v>
      </c>
      <c r="K50" s="394">
        <f t="shared" si="46"/>
        <v>0</v>
      </c>
      <c r="L50" s="394">
        <f t="shared" si="46"/>
        <v>0</v>
      </c>
      <c r="M50" s="394">
        <f t="shared" si="46"/>
        <v>0</v>
      </c>
      <c r="N50" s="394">
        <f t="shared" si="46"/>
        <v>0</v>
      </c>
      <c r="O50" s="394">
        <f t="shared" si="46"/>
        <v>85689.423450000002</v>
      </c>
      <c r="P50" s="394">
        <f t="shared" si="46"/>
        <v>77396.898599999986</v>
      </c>
      <c r="Q50" s="394">
        <f t="shared" si="46"/>
        <v>74264.166990000012</v>
      </c>
      <c r="R50" s="394">
        <f t="shared" si="46"/>
        <v>27641.749500000002</v>
      </c>
      <c r="S50" s="394">
        <f t="shared" si="46"/>
        <v>17137.884690000003</v>
      </c>
      <c r="T50" s="394">
        <f t="shared" si="46"/>
        <v>49755.14910000001</v>
      </c>
      <c r="U50" s="394">
        <f t="shared" si="46"/>
        <v>74264.166990000012</v>
      </c>
      <c r="V50" s="394">
        <f t="shared" si="46"/>
        <v>62838.910530000023</v>
      </c>
      <c r="W50" s="394">
        <f t="shared" si="46"/>
        <v>49755.14910000001</v>
      </c>
      <c r="X50" s="394">
        <f t="shared" si="46"/>
        <v>11425.256460000002</v>
      </c>
      <c r="Y50" s="394">
        <f t="shared" si="46"/>
        <v>11056.699800000002</v>
      </c>
      <c r="Z50" s="394">
        <f t="shared" si="46"/>
        <v>62838.910530000023</v>
      </c>
      <c r="AA50" s="394">
        <f t="shared" ca="1" si="46"/>
        <v>229951.40610531601</v>
      </c>
      <c r="AB50" s="394">
        <f t="shared" ca="1" si="46"/>
        <v>218463.637088844</v>
      </c>
      <c r="AC50" s="394">
        <f t="shared" ca="1" si="46"/>
        <v>213608.21568540728</v>
      </c>
      <c r="AD50" s="394">
        <f t="shared" ca="1" si="46"/>
        <v>172970.25191235999</v>
      </c>
      <c r="AE50" s="394">
        <f t="shared" ca="1" si="46"/>
        <v>202433.69216166314</v>
      </c>
      <c r="AF50" s="394">
        <f t="shared" ca="1" si="46"/>
        <v>335462.84798224806</v>
      </c>
      <c r="AG50" s="394">
        <f t="shared" ca="1" si="46"/>
        <v>377681.17473540723</v>
      </c>
      <c r="AH50" s="394">
        <f t="shared" ca="1" si="46"/>
        <v>361337.98431549838</v>
      </c>
      <c r="AI50" s="394">
        <f t="shared" ref="AI50:BN50" ca="1" si="47">AI42+AI48</f>
        <v>280771.86163224804</v>
      </c>
      <c r="AJ50" s="394">
        <f t="shared" ca="1" si="47"/>
        <v>134022.46144110878</v>
      </c>
      <c r="AK50" s="394">
        <f t="shared" ca="1" si="47"/>
        <v>78446.298034944004</v>
      </c>
      <c r="AL50" s="394">
        <f t="shared" ca="1" si="47"/>
        <v>197265.02526549838</v>
      </c>
      <c r="AM50" s="394">
        <f t="shared" ca="1" si="47"/>
        <v>613654.96384543146</v>
      </c>
      <c r="AN50" s="394">
        <f t="shared" ca="1" si="47"/>
        <v>559449.4882417284</v>
      </c>
      <c r="AO50" s="394">
        <f t="shared" ca="1" si="47"/>
        <v>554212.15381922189</v>
      </c>
      <c r="AP50" s="394">
        <f t="shared" ca="1" si="47"/>
        <v>308984.18486781011</v>
      </c>
      <c r="AQ50" s="394">
        <f t="shared" ca="1" si="47"/>
        <v>289650.01467332221</v>
      </c>
      <c r="AR50" s="394">
        <f t="shared" ca="1" si="47"/>
        <v>580944.21913825814</v>
      </c>
      <c r="AS50" s="394">
        <f t="shared" ca="1" si="47"/>
        <v>723207.30164072174</v>
      </c>
      <c r="AT50" s="394">
        <f t="shared" ca="1" si="47"/>
        <v>663764.4916145124</v>
      </c>
      <c r="AU50" s="394">
        <f t="shared" ca="1" si="47"/>
        <v>524612.50319775799</v>
      </c>
      <c r="AV50" s="394">
        <f t="shared" ca="1" si="47"/>
        <v>192166.67644888151</v>
      </c>
      <c r="AW50" s="394">
        <f t="shared" ca="1" si="47"/>
        <v>133180.01713522404</v>
      </c>
      <c r="AX50" s="394">
        <f t="shared" ca="1" si="47"/>
        <v>494769.34379301238</v>
      </c>
      <c r="AY50" s="394">
        <f t="shared" ca="1" si="47"/>
        <v>734253.61632029316</v>
      </c>
      <c r="AZ50" s="394">
        <f t="shared" ca="1" si="47"/>
        <v>668540.84707175335</v>
      </c>
      <c r="BA50" s="394">
        <f t="shared" ca="1" si="47"/>
        <v>667262.27071133815</v>
      </c>
      <c r="BB50" s="394">
        <f t="shared" ca="1" si="47"/>
        <v>360769.2630047804</v>
      </c>
      <c r="BC50" s="394">
        <f t="shared" ca="1" si="47"/>
        <v>324731.07771990221</v>
      </c>
      <c r="BD50" s="394">
        <f t="shared" ca="1" si="47"/>
        <v>674833.34037609096</v>
      </c>
      <c r="BE50" s="394">
        <f t="shared" ca="1" si="47"/>
        <v>841327.27296748327</v>
      </c>
      <c r="BF50" s="394">
        <f t="shared" ca="1" si="47"/>
        <v>774335.92735852813</v>
      </c>
      <c r="BG50" s="394">
        <f t="shared" ca="1" si="47"/>
        <v>616811.67295737588</v>
      </c>
      <c r="BH50" s="394">
        <f t="shared" ca="1" si="47"/>
        <v>215554.05181326816</v>
      </c>
      <c r="BI50" s="394">
        <f t="shared" ca="1" si="47"/>
        <v>154232.03868565519</v>
      </c>
      <c r="BJ50" s="394">
        <f t="shared" ca="1" si="47"/>
        <v>600270.92510238313</v>
      </c>
      <c r="BK50" s="394">
        <f t="shared" ca="1" si="47"/>
        <v>861533.37847618607</v>
      </c>
      <c r="BL50" s="394">
        <f t="shared" ca="1" si="47"/>
        <v>783671.66289216257</v>
      </c>
      <c r="BM50" s="394">
        <f t="shared" ca="1" si="47"/>
        <v>786594.08367854438</v>
      </c>
      <c r="BN50" s="394">
        <f t="shared" ca="1" si="47"/>
        <v>415380.84006358794</v>
      </c>
      <c r="BO50" s="394">
        <f t="shared" ref="BO50:CT50" ca="1" si="48">BO42+BO48</f>
        <v>361653.79953607114</v>
      </c>
      <c r="BP50" s="394">
        <f t="shared" ca="1" si="48"/>
        <v>773830.43909096881</v>
      </c>
      <c r="BQ50" s="394">
        <f t="shared" ca="1" si="48"/>
        <v>965881.03600237379</v>
      </c>
      <c r="BR50" s="394">
        <f t="shared" ca="1" si="48"/>
        <v>890941.74120473245</v>
      </c>
      <c r="BS50" s="394">
        <f t="shared" ca="1" si="48"/>
        <v>714068.12164969253</v>
      </c>
      <c r="BT50" s="394">
        <f t="shared" ca="1" si="48"/>
        <v>240169.19969071407</v>
      </c>
      <c r="BU50" s="394">
        <f t="shared" ca="1" si="48"/>
        <v>176424.79951369046</v>
      </c>
      <c r="BV50" s="394">
        <f t="shared" ca="1" si="48"/>
        <v>711654.78888090281</v>
      </c>
      <c r="BW50" s="394">
        <f t="shared" ca="1" si="48"/>
        <v>919467.56341493293</v>
      </c>
      <c r="BX50" s="394">
        <f t="shared" ca="1" si="48"/>
        <v>863937.73267619638</v>
      </c>
      <c r="BY50" s="394">
        <f t="shared" ca="1" si="48"/>
        <v>838012.8652954346</v>
      </c>
      <c r="BZ50" s="394">
        <f t="shared" ca="1" si="48"/>
        <v>438250.19545403152</v>
      </c>
      <c r="CA50" s="394">
        <f t="shared" ca="1" si="48"/>
        <v>378988.25023904548</v>
      </c>
      <c r="CB50" s="394">
        <f t="shared" ca="1" si="48"/>
        <v>815712.42660306278</v>
      </c>
      <c r="CC50" s="394">
        <f t="shared" ca="1" si="48"/>
        <v>1022678.4261889786</v>
      </c>
      <c r="CD50" s="394">
        <f t="shared" ca="1" si="48"/>
        <v>941223.72806947958</v>
      </c>
      <c r="CE50" s="394">
        <f t="shared" ca="1" si="48"/>
        <v>754157.239638548</v>
      </c>
      <c r="CF50" s="394">
        <f t="shared" ca="1" si="48"/>
        <v>251725.50015936364</v>
      </c>
      <c r="CG50" s="394">
        <f t="shared" ca="1" si="48"/>
        <v>185931.11557451551</v>
      </c>
      <c r="CH50" s="394">
        <f t="shared" ca="1" si="48"/>
        <v>756558.16717593535</v>
      </c>
      <c r="CI50" s="394">
        <f t="shared" ca="1" si="48"/>
        <v>947135.59031738155</v>
      </c>
      <c r="CJ50" s="394">
        <f t="shared" ca="1" si="48"/>
        <v>861342.00182603265</v>
      </c>
      <c r="CK50" s="394">
        <f t="shared" ca="1" si="48"/>
        <v>863237.25125429709</v>
      </c>
      <c r="CL50" s="394">
        <f t="shared" ca="1" si="48"/>
        <v>451481.70131765242</v>
      </c>
      <c r="CM50" s="394">
        <f t="shared" ca="1" si="48"/>
        <v>390441.8977462168</v>
      </c>
      <c r="CN50" s="394">
        <f t="shared" ca="1" si="48"/>
        <v>840267.79940115474</v>
      </c>
      <c r="CO50" s="394">
        <f t="shared" ca="1" si="48"/>
        <v>1053442.7789746476</v>
      </c>
      <c r="CP50" s="394">
        <f t="shared" ca="1" si="48"/>
        <v>969544.43991156388</v>
      </c>
      <c r="CQ50" s="394">
        <f t="shared" ca="1" si="48"/>
        <v>776865.95682770479</v>
      </c>
      <c r="CR50" s="394">
        <f t="shared" ca="1" si="48"/>
        <v>259361.26516414457</v>
      </c>
      <c r="CS50" s="394">
        <f t="shared" ca="1" si="48"/>
        <v>191593.04904175107</v>
      </c>
      <c r="CT50" s="394">
        <f t="shared" ca="1" si="48"/>
        <v>779338.91219121357</v>
      </c>
      <c r="CU50" s="394">
        <f t="shared" ref="CU50:DR50" ca="1" si="49">CU42+CU48</f>
        <v>975633.65802690247</v>
      </c>
      <c r="CV50" s="394">
        <f t="shared" ca="1" si="49"/>
        <v>887266.26188081433</v>
      </c>
      <c r="CW50" s="394">
        <f t="shared" ca="1" si="49"/>
        <v>889218.36879192595</v>
      </c>
      <c r="CX50" s="394">
        <f t="shared" ca="1" si="49"/>
        <v>465110.15235718217</v>
      </c>
      <c r="CY50" s="394">
        <f t="shared" ca="1" si="49"/>
        <v>402239.1546786034</v>
      </c>
      <c r="CZ50" s="394">
        <f t="shared" ca="1" si="49"/>
        <v>865559.83338318928</v>
      </c>
      <c r="DA50" s="394">
        <f t="shared" ca="1" si="49"/>
        <v>1085130.0623438875</v>
      </c>
      <c r="DB50" s="394">
        <f t="shared" ca="1" si="49"/>
        <v>998714.77310891054</v>
      </c>
      <c r="DC50" s="394">
        <f t="shared" ca="1" si="49"/>
        <v>800255.93553253566</v>
      </c>
      <c r="DD50" s="394">
        <f t="shared" ca="1" si="49"/>
        <v>267226.1031190689</v>
      </c>
      <c r="DE50" s="394">
        <f t="shared" ca="1" si="49"/>
        <v>197424.84051300358</v>
      </c>
      <c r="DF50" s="394">
        <f t="shared" ca="1" si="49"/>
        <v>802803.07955694967</v>
      </c>
      <c r="DG50" s="394" t="e">
        <f t="shared" ca="1" si="49"/>
        <v>#N/A</v>
      </c>
      <c r="DH50" s="394" t="e">
        <f t="shared" ca="1" si="49"/>
        <v>#N/A</v>
      </c>
      <c r="DI50" s="394" t="e">
        <f t="shared" ca="1" si="49"/>
        <v>#N/A</v>
      </c>
      <c r="DJ50" s="394" t="e">
        <f t="shared" ca="1" si="49"/>
        <v>#N/A</v>
      </c>
      <c r="DK50" s="394" t="e">
        <f t="shared" ca="1" si="49"/>
        <v>#N/A</v>
      </c>
      <c r="DL50" s="394" t="e">
        <f t="shared" ca="1" si="49"/>
        <v>#N/A</v>
      </c>
      <c r="DM50" s="394" t="e">
        <f t="shared" ca="1" si="49"/>
        <v>#N/A</v>
      </c>
      <c r="DN50" s="394" t="e">
        <f t="shared" ca="1" si="49"/>
        <v>#N/A</v>
      </c>
      <c r="DO50" s="394" t="e">
        <f t="shared" ca="1" si="49"/>
        <v>#N/A</v>
      </c>
      <c r="DP50" s="394" t="e">
        <f t="shared" ca="1" si="49"/>
        <v>#N/A</v>
      </c>
      <c r="DQ50" s="394" t="e">
        <f t="shared" ca="1" si="49"/>
        <v>#N/A</v>
      </c>
      <c r="DR50" s="394" t="e">
        <f t="shared" ca="1" si="49"/>
        <v>#N/A</v>
      </c>
      <c r="DS50" s="394"/>
      <c r="DT50" s="394"/>
      <c r="DU50" s="394"/>
      <c r="DV50" s="394"/>
      <c r="DW50" s="394"/>
      <c r="DX50" s="394"/>
      <c r="DY50" s="394"/>
      <c r="DZ50" s="394"/>
      <c r="EA50" s="394"/>
      <c r="EB50" s="394"/>
      <c r="EC50" s="394"/>
      <c r="ED50" s="394"/>
    </row>
    <row r="51" spans="1:134" s="154" customFormat="1" ht="16" x14ac:dyDescent="0.2">
      <c r="A51" s="304"/>
      <c r="B51" s="281"/>
    </row>
    <row r="52" spans="1:134" s="154" customFormat="1" ht="16" x14ac:dyDescent="0.2">
      <c r="A52" s="304"/>
      <c r="G52" s="160"/>
    </row>
    <row r="53" spans="1:134" s="154" customFormat="1" ht="16" x14ac:dyDescent="0.2">
      <c r="A53" s="304"/>
      <c r="B53" s="1" t="s">
        <v>789</v>
      </c>
      <c r="C53" s="752"/>
      <c r="D53" s="752"/>
      <c r="E53" s="752"/>
      <c r="F53" s="752"/>
      <c r="G53" s="753"/>
      <c r="H53" s="752"/>
      <c r="I53" s="752"/>
      <c r="J53" s="752"/>
      <c r="K53" s="161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BK53" s="159"/>
      <c r="BL53" s="159"/>
      <c r="BM53" s="159"/>
      <c r="BN53" s="159"/>
      <c r="BO53" s="159"/>
      <c r="BP53" s="159"/>
      <c r="BQ53" s="159"/>
      <c r="BR53" s="159"/>
      <c r="BS53" s="159"/>
      <c r="BT53" s="159"/>
      <c r="BU53" s="159"/>
      <c r="BV53" s="159"/>
      <c r="BW53" s="159"/>
      <c r="BX53" s="159"/>
      <c r="BY53" s="159"/>
      <c r="BZ53" s="159"/>
      <c r="CA53" s="159"/>
      <c r="CB53" s="159"/>
      <c r="CC53" s="159"/>
      <c r="CD53" s="159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59"/>
      <c r="CY53" s="159"/>
      <c r="CZ53" s="159"/>
      <c r="DA53" s="159"/>
      <c r="DB53" s="159"/>
      <c r="DC53" s="159"/>
      <c r="DD53" s="159"/>
      <c r="DE53" s="159"/>
      <c r="DF53" s="159"/>
      <c r="DG53" s="159"/>
      <c r="DH53" s="159"/>
      <c r="DI53" s="159"/>
      <c r="DJ53" s="159"/>
      <c r="DK53" s="159"/>
      <c r="DL53" s="159"/>
      <c r="DM53" s="159"/>
      <c r="DN53" s="159"/>
      <c r="DO53" s="159"/>
      <c r="DP53" s="159"/>
      <c r="DQ53" s="159"/>
      <c r="DR53" s="159"/>
      <c r="DS53" s="159"/>
      <c r="DT53" s="159"/>
      <c r="DU53" s="159"/>
      <c r="DV53" s="159"/>
      <c r="DW53" s="159"/>
      <c r="DX53" s="159"/>
      <c r="DY53" s="159"/>
      <c r="DZ53" s="159"/>
      <c r="EA53" s="159"/>
      <c r="EB53" s="159"/>
      <c r="EC53" s="159"/>
      <c r="ED53" s="159"/>
    </row>
    <row r="54" spans="1:134" s="154" customFormat="1" ht="16" x14ac:dyDescent="0.2">
      <c r="A54" s="304"/>
      <c r="B54" s="152"/>
      <c r="C54" s="153">
        <f>YEAR(C5)</f>
        <v>2026</v>
      </c>
      <c r="D54" s="153">
        <f t="shared" ref="D54:J54" si="50">C54+1</f>
        <v>2027</v>
      </c>
      <c r="E54" s="153">
        <f t="shared" si="50"/>
        <v>2028</v>
      </c>
      <c r="F54" s="153">
        <f t="shared" si="50"/>
        <v>2029</v>
      </c>
      <c r="G54" s="153">
        <f t="shared" si="50"/>
        <v>2030</v>
      </c>
      <c r="H54" s="153">
        <f t="shared" si="50"/>
        <v>2031</v>
      </c>
      <c r="I54" s="153">
        <f t="shared" si="50"/>
        <v>2032</v>
      </c>
      <c r="J54" s="153">
        <f t="shared" si="50"/>
        <v>2033</v>
      </c>
    </row>
    <row r="55" spans="1:134" ht="16" x14ac:dyDescent="0.2">
      <c r="B55" s="281"/>
      <c r="C55" s="156"/>
      <c r="D55" s="162"/>
      <c r="E55" s="162"/>
      <c r="F55" s="162"/>
      <c r="G55" s="162"/>
      <c r="H55" s="162"/>
      <c r="I55" s="162"/>
      <c r="J55" s="162"/>
    </row>
    <row r="56" spans="1:134" ht="16" x14ac:dyDescent="0.2">
      <c r="B56" s="281" t="s">
        <v>760</v>
      </c>
      <c r="C56" s="392">
        <f t="shared" ref="C56:J58" si="51">SUMIF($6:$6,C$54,8:8)</f>
        <v>0</v>
      </c>
      <c r="D56" s="392">
        <f t="shared" si="51"/>
        <v>3485056.5000000005</v>
      </c>
      <c r="E56" s="392">
        <f t="shared" si="51"/>
        <v>6718959.7775999987</v>
      </c>
      <c r="F56" s="392">
        <f t="shared" si="51"/>
        <v>26538372.23099</v>
      </c>
      <c r="G56" s="392">
        <f t="shared" si="51"/>
        <v>38251407.355602801</v>
      </c>
      <c r="H56" s="392">
        <f t="shared" si="51"/>
        <v>50643340.052684478</v>
      </c>
      <c r="I56" s="392">
        <f t="shared" si="51"/>
        <v>60407960.622846454</v>
      </c>
      <c r="J56" s="392">
        <f t="shared" si="51"/>
        <v>62050198.896609627</v>
      </c>
    </row>
    <row r="57" spans="1:134" ht="16" x14ac:dyDescent="0.2">
      <c r="B57" s="281"/>
      <c r="C57" s="392">
        <f t="shared" si="51"/>
        <v>0</v>
      </c>
      <c r="D57" s="392">
        <f t="shared" si="51"/>
        <v>0</v>
      </c>
      <c r="E57" s="392">
        <f t="shared" si="51"/>
        <v>0</v>
      </c>
      <c r="F57" s="392">
        <f t="shared" si="51"/>
        <v>0</v>
      </c>
      <c r="G57" s="392">
        <f t="shared" si="51"/>
        <v>0</v>
      </c>
      <c r="H57" s="392">
        <f t="shared" si="51"/>
        <v>0</v>
      </c>
      <c r="I57" s="392">
        <f t="shared" si="51"/>
        <v>0</v>
      </c>
      <c r="J57" s="392">
        <f t="shared" si="51"/>
        <v>0</v>
      </c>
    </row>
    <row r="58" spans="1:134" ht="16" x14ac:dyDescent="0.2">
      <c r="B58" s="281"/>
      <c r="C58" s="392">
        <f t="shared" si="51"/>
        <v>0</v>
      </c>
      <c r="D58" s="392">
        <f t="shared" si="51"/>
        <v>0</v>
      </c>
      <c r="E58" s="392">
        <f t="shared" si="51"/>
        <v>0</v>
      </c>
      <c r="F58" s="392">
        <f t="shared" si="51"/>
        <v>0</v>
      </c>
      <c r="G58" s="392">
        <f t="shared" si="51"/>
        <v>0</v>
      </c>
      <c r="H58" s="392">
        <f t="shared" si="51"/>
        <v>0</v>
      </c>
      <c r="I58" s="392">
        <f t="shared" si="51"/>
        <v>0</v>
      </c>
      <c r="J58" s="392">
        <f t="shared" si="51"/>
        <v>0</v>
      </c>
    </row>
    <row r="59" spans="1:134" ht="16" x14ac:dyDescent="0.2">
      <c r="B59" s="281" t="s">
        <v>761</v>
      </c>
      <c r="C59" s="157">
        <f t="shared" ref="C59:J59" si="52">AVERAGEIF($6:$6,C$54,11:11)</f>
        <v>0.44999999999999996</v>
      </c>
      <c r="D59" s="157">
        <f t="shared" si="52"/>
        <v>0.44999999999999996</v>
      </c>
      <c r="E59" s="157">
        <f t="shared" si="52"/>
        <v>0.44999999999999996</v>
      </c>
      <c r="F59" s="157">
        <f t="shared" si="52"/>
        <v>0.44999999999999996</v>
      </c>
      <c r="G59" s="157">
        <f t="shared" si="52"/>
        <v>0.44999999999999996</v>
      </c>
      <c r="H59" s="157">
        <f t="shared" si="52"/>
        <v>0.44999999999999996</v>
      </c>
      <c r="I59" s="157">
        <f t="shared" si="52"/>
        <v>0.44999999999999996</v>
      </c>
      <c r="J59" s="157">
        <f t="shared" si="52"/>
        <v>0.44999999999999996</v>
      </c>
    </row>
    <row r="60" spans="1:134" ht="16" x14ac:dyDescent="0.2">
      <c r="B60" s="397" t="s">
        <v>762</v>
      </c>
      <c r="C60" s="394">
        <f t="shared" ref="C60:J65" si="53">SUMIF($6:$6,C$54,12:12)</f>
        <v>0</v>
      </c>
      <c r="D60" s="394">
        <f t="shared" si="53"/>
        <v>1564933.5900000003</v>
      </c>
      <c r="E60" s="394">
        <f t="shared" si="53"/>
        <v>3022614.00924</v>
      </c>
      <c r="F60" s="394">
        <f t="shared" si="53"/>
        <v>11916819.749751402</v>
      </c>
      <c r="G60" s="394">
        <f t="shared" si="53"/>
        <v>17176453.878310412</v>
      </c>
      <c r="H60" s="394">
        <f t="shared" si="53"/>
        <v>22740940.916808188</v>
      </c>
      <c r="I60" s="394">
        <f t="shared" si="53"/>
        <v>27175329.826643903</v>
      </c>
      <c r="J60" s="394">
        <f t="shared" si="53"/>
        <v>27863089.31275155</v>
      </c>
    </row>
    <row r="61" spans="1:134" ht="16" x14ac:dyDescent="0.2">
      <c r="B61" s="398" t="s">
        <v>763</v>
      </c>
      <c r="C61" s="395">
        <f t="shared" si="53"/>
        <v>0</v>
      </c>
      <c r="D61" s="395">
        <f t="shared" si="53"/>
        <v>-547726.75650000013</v>
      </c>
      <c r="E61" s="395">
        <f t="shared" si="53"/>
        <v>-1057914.9032340001</v>
      </c>
      <c r="F61" s="395">
        <f t="shared" si="53"/>
        <v>-4170886.9124129913</v>
      </c>
      <c r="G61" s="395">
        <f t="shared" si="53"/>
        <v>-6011758.8574086437</v>
      </c>
      <c r="H61" s="395">
        <f t="shared" si="53"/>
        <v>-7959329.3208828652</v>
      </c>
      <c r="I61" s="395">
        <f t="shared" si="53"/>
        <v>-9511365.4393253643</v>
      </c>
      <c r="J61" s="395">
        <f t="shared" si="53"/>
        <v>-9752081.2594630457</v>
      </c>
    </row>
    <row r="62" spans="1:134" ht="16" x14ac:dyDescent="0.2">
      <c r="B62" s="397" t="s">
        <v>764</v>
      </c>
      <c r="C62" s="394">
        <f t="shared" si="53"/>
        <v>0</v>
      </c>
      <c r="D62" s="394">
        <f t="shared" si="53"/>
        <v>1017206.8335000002</v>
      </c>
      <c r="E62" s="394">
        <f t="shared" si="53"/>
        <v>1964699.1060060007</v>
      </c>
      <c r="F62" s="394">
        <f t="shared" si="53"/>
        <v>7745932.8373384122</v>
      </c>
      <c r="G62" s="394">
        <f t="shared" si="53"/>
        <v>11164695.020901771</v>
      </c>
      <c r="H62" s="394">
        <f t="shared" si="53"/>
        <v>14781611.59592532</v>
      </c>
      <c r="I62" s="394">
        <f t="shared" si="53"/>
        <v>17663964.387318537</v>
      </c>
      <c r="J62" s="394">
        <f t="shared" si="53"/>
        <v>18111008.053288512</v>
      </c>
    </row>
    <row r="63" spans="1:134" ht="16" x14ac:dyDescent="0.2">
      <c r="B63" s="281" t="s">
        <v>765</v>
      </c>
      <c r="C63" s="392">
        <f t="shared" si="53"/>
        <v>0</v>
      </c>
      <c r="D63" s="392">
        <f t="shared" si="53"/>
        <v>0</v>
      </c>
      <c r="E63" s="392">
        <f t="shared" si="53"/>
        <v>-116768.80722000002</v>
      </c>
      <c r="F63" s="392">
        <f t="shared" si="53"/>
        <v>-238349.00069370004</v>
      </c>
      <c r="G63" s="392">
        <f t="shared" si="53"/>
        <v>-368249.20607176656</v>
      </c>
      <c r="H63" s="392">
        <f t="shared" si="53"/>
        <v>-505728.90967189276</v>
      </c>
      <c r="I63" s="392">
        <f t="shared" si="53"/>
        <v>-525697.2850372066</v>
      </c>
      <c r="J63" s="392">
        <f t="shared" si="53"/>
        <v>-536527.80027091119</v>
      </c>
    </row>
    <row r="64" spans="1:134" ht="16" x14ac:dyDescent="0.2">
      <c r="B64" s="398" t="s">
        <v>766</v>
      </c>
      <c r="C64" s="395">
        <f t="shared" si="53"/>
        <v>0</v>
      </c>
      <c r="D64" s="395">
        <f t="shared" si="53"/>
        <v>0</v>
      </c>
      <c r="E64" s="395">
        <f t="shared" si="53"/>
        <v>0</v>
      </c>
      <c r="F64" s="395">
        <f t="shared" si="53"/>
        <v>-1660238.0456310003</v>
      </c>
      <c r="G64" s="395">
        <f t="shared" si="53"/>
        <v>-3420090.3739998611</v>
      </c>
      <c r="H64" s="395">
        <f t="shared" si="53"/>
        <v>-5284039.6278297855</v>
      </c>
      <c r="I64" s="395">
        <f t="shared" si="53"/>
        <v>-7289954.3499193778</v>
      </c>
      <c r="J64" s="395">
        <f t="shared" si="53"/>
        <v>-7474450.1882194933</v>
      </c>
    </row>
    <row r="65" spans="2:10" ht="16" x14ac:dyDescent="0.2">
      <c r="B65" s="397" t="s">
        <v>767</v>
      </c>
      <c r="C65" s="394">
        <f t="shared" si="53"/>
        <v>0</v>
      </c>
      <c r="D65" s="394">
        <f t="shared" si="53"/>
        <v>1017206.8335000002</v>
      </c>
      <c r="E65" s="394">
        <f t="shared" si="53"/>
        <v>1847930.2987860003</v>
      </c>
      <c r="F65" s="394">
        <f t="shared" si="53"/>
        <v>5847345.7910137102</v>
      </c>
      <c r="G65" s="394">
        <f t="shared" si="53"/>
        <v>7376355.4408301413</v>
      </c>
      <c r="H65" s="394">
        <f t="shared" si="53"/>
        <v>8991843.0584236458</v>
      </c>
      <c r="I65" s="394">
        <f t="shared" si="53"/>
        <v>9848312.7523619533</v>
      </c>
      <c r="J65" s="394">
        <f t="shared" si="53"/>
        <v>10100030.064798109</v>
      </c>
    </row>
    <row r="66" spans="2:10" ht="16" x14ac:dyDescent="0.2">
      <c r="B66" s="281"/>
      <c r="C66" s="154"/>
      <c r="D66" s="154"/>
      <c r="E66" s="154"/>
      <c r="F66" s="154"/>
      <c r="G66" s="154"/>
      <c r="H66" s="154"/>
      <c r="I66" s="154"/>
      <c r="J66" s="154"/>
    </row>
    <row r="67" spans="2:10" ht="16" x14ac:dyDescent="0.2">
      <c r="B67" s="281" t="s">
        <v>768</v>
      </c>
      <c r="C67" s="392">
        <f t="shared" ref="C67:J69" si="54">SUMIF($6:$6,C$54,19:19)</f>
        <v>0</v>
      </c>
      <c r="D67" s="392">
        <f t="shared" si="54"/>
        <v>0</v>
      </c>
      <c r="E67" s="392">
        <f t="shared" si="54"/>
        <v>604522.80184800003</v>
      </c>
      <c r="F67" s="392">
        <f t="shared" si="54"/>
        <v>2383363.9499502801</v>
      </c>
      <c r="G67" s="392">
        <f t="shared" si="54"/>
        <v>3435290.7756620822</v>
      </c>
      <c r="H67" s="392">
        <f t="shared" si="54"/>
        <v>4548188.1833616374</v>
      </c>
      <c r="I67" s="392">
        <f t="shared" si="54"/>
        <v>5435065.9653287809</v>
      </c>
      <c r="J67" s="392">
        <f t="shared" si="54"/>
        <v>5572617.8625503099</v>
      </c>
    </row>
    <row r="68" spans="2:10" ht="16" x14ac:dyDescent="0.2">
      <c r="B68" s="398" t="s">
        <v>769</v>
      </c>
      <c r="C68" s="395">
        <f t="shared" si="54"/>
        <v>0</v>
      </c>
      <c r="D68" s="395">
        <f t="shared" si="54"/>
        <v>0</v>
      </c>
      <c r="E68" s="395">
        <f t="shared" si="54"/>
        <v>-453392.10138599999</v>
      </c>
      <c r="F68" s="395">
        <f t="shared" si="54"/>
        <v>-1787522.9624627102</v>
      </c>
      <c r="G68" s="395">
        <f t="shared" si="54"/>
        <v>-2576468.0817465624</v>
      </c>
      <c r="H68" s="395">
        <f t="shared" si="54"/>
        <v>-3411141.1375212288</v>
      </c>
      <c r="I68" s="395">
        <f t="shared" si="54"/>
        <v>-4076299.4739965852</v>
      </c>
      <c r="J68" s="395">
        <f t="shared" si="54"/>
        <v>-4179463.396912734</v>
      </c>
    </row>
    <row r="69" spans="2:10" ht="16" x14ac:dyDescent="0.2">
      <c r="B69" s="397" t="s">
        <v>770</v>
      </c>
      <c r="C69" s="394">
        <f t="shared" si="54"/>
        <v>0</v>
      </c>
      <c r="D69" s="394">
        <f t="shared" si="54"/>
        <v>0</v>
      </c>
      <c r="E69" s="394">
        <f t="shared" si="54"/>
        <v>151130.70046200001</v>
      </c>
      <c r="F69" s="394">
        <f t="shared" si="54"/>
        <v>595840.98748757003</v>
      </c>
      <c r="G69" s="394">
        <f t="shared" si="54"/>
        <v>858822.69391552045</v>
      </c>
      <c r="H69" s="394">
        <f t="shared" si="54"/>
        <v>1137047.0458404096</v>
      </c>
      <c r="I69" s="394">
        <f t="shared" si="54"/>
        <v>1358766.4913321948</v>
      </c>
      <c r="J69" s="394">
        <f t="shared" si="54"/>
        <v>1393154.4656375775</v>
      </c>
    </row>
    <row r="70" spans="2:10" ht="16" x14ac:dyDescent="0.2">
      <c r="B70" s="281"/>
      <c r="C70" s="154"/>
      <c r="D70" s="154"/>
      <c r="E70" s="154"/>
      <c r="F70" s="154"/>
      <c r="G70" s="154"/>
      <c r="H70" s="154"/>
      <c r="I70" s="154"/>
      <c r="J70" s="154"/>
    </row>
    <row r="71" spans="2:10" ht="16" x14ac:dyDescent="0.2">
      <c r="B71" s="281" t="s">
        <v>771</v>
      </c>
      <c r="C71" s="392">
        <f t="shared" ref="C71:J73" si="55">SUMIF($6:$6,C$54,23:23)</f>
        <v>0</v>
      </c>
      <c r="D71" s="392">
        <f t="shared" si="55"/>
        <v>0</v>
      </c>
      <c r="E71" s="392">
        <f t="shared" si="55"/>
        <v>151130.70046200001</v>
      </c>
      <c r="F71" s="392">
        <f t="shared" si="55"/>
        <v>595840.98748757003</v>
      </c>
      <c r="G71" s="392">
        <f t="shared" si="55"/>
        <v>858822.69391552056</v>
      </c>
      <c r="H71" s="392">
        <f t="shared" si="55"/>
        <v>1137047.0458404094</v>
      </c>
      <c r="I71" s="392">
        <f t="shared" si="55"/>
        <v>1358766.4913321952</v>
      </c>
      <c r="J71" s="392">
        <f t="shared" si="55"/>
        <v>1393154.4656375775</v>
      </c>
    </row>
    <row r="72" spans="2:10" ht="16" x14ac:dyDescent="0.2">
      <c r="B72" s="398" t="s">
        <v>772</v>
      </c>
      <c r="C72" s="395">
        <f t="shared" si="55"/>
        <v>0</v>
      </c>
      <c r="D72" s="395">
        <f t="shared" si="55"/>
        <v>0</v>
      </c>
      <c r="E72" s="395">
        <f t="shared" si="55"/>
        <v>-37782.675115500002</v>
      </c>
      <c r="F72" s="395">
        <f t="shared" si="55"/>
        <v>-148960.24687189251</v>
      </c>
      <c r="G72" s="395">
        <f t="shared" si="55"/>
        <v>-214705.67347888014</v>
      </c>
      <c r="H72" s="395">
        <f t="shared" si="55"/>
        <v>-284261.76146010234</v>
      </c>
      <c r="I72" s="395">
        <f t="shared" si="55"/>
        <v>-339691.62283304881</v>
      </c>
      <c r="J72" s="395">
        <f t="shared" si="55"/>
        <v>-348288.61640939437</v>
      </c>
    </row>
    <row r="73" spans="2:10" ht="16" x14ac:dyDescent="0.2">
      <c r="B73" s="397" t="s">
        <v>773</v>
      </c>
      <c r="C73" s="394">
        <f t="shared" si="55"/>
        <v>0</v>
      </c>
      <c r="D73" s="394">
        <f t="shared" si="55"/>
        <v>0</v>
      </c>
      <c r="E73" s="394">
        <f t="shared" si="55"/>
        <v>113348.0253465</v>
      </c>
      <c r="F73" s="394">
        <f t="shared" si="55"/>
        <v>446880.74061567755</v>
      </c>
      <c r="G73" s="394">
        <f t="shared" si="55"/>
        <v>644117.0204366406</v>
      </c>
      <c r="H73" s="394">
        <f t="shared" si="55"/>
        <v>852785.28438030719</v>
      </c>
      <c r="I73" s="394">
        <f t="shared" si="55"/>
        <v>1019074.8684991463</v>
      </c>
      <c r="J73" s="394">
        <f t="shared" si="55"/>
        <v>1044865.8492281835</v>
      </c>
    </row>
    <row r="74" spans="2:10" ht="16" x14ac:dyDescent="0.2">
      <c r="B74" s="281"/>
      <c r="C74" s="154"/>
      <c r="D74" s="154"/>
      <c r="E74" s="154"/>
      <c r="F74" s="154"/>
      <c r="G74" s="154"/>
      <c r="H74" s="154"/>
      <c r="I74" s="154"/>
      <c r="J74" s="154"/>
    </row>
    <row r="75" spans="2:10" ht="16" x14ac:dyDescent="0.2">
      <c r="B75" s="281" t="s">
        <v>774</v>
      </c>
      <c r="C75" s="392">
        <f t="shared" ref="C75:J75" si="56">SUMIF($6:$6,C$54,27:27)</f>
        <v>0</v>
      </c>
      <c r="D75" s="392">
        <f t="shared" si="56"/>
        <v>0</v>
      </c>
      <c r="E75" s="392">
        <f t="shared" ca="1" si="56"/>
        <v>2841090.1999999997</v>
      </c>
      <c r="F75" s="392">
        <f t="shared" ca="1" si="56"/>
        <v>2926322.906</v>
      </c>
      <c r="G75" s="392">
        <f t="shared" ca="1" si="56"/>
        <v>3014112.5931800003</v>
      </c>
      <c r="H75" s="392">
        <f t="shared" ca="1" si="56"/>
        <v>3104535.9709753995</v>
      </c>
      <c r="I75" s="392">
        <f t="shared" ca="1" si="56"/>
        <v>3197672.0501046623</v>
      </c>
      <c r="J75" s="392">
        <f t="shared" ca="1" si="56"/>
        <v>3293602.2116078022</v>
      </c>
    </row>
    <row r="76" spans="2:10" ht="16" x14ac:dyDescent="0.2">
      <c r="B76" s="281" t="s">
        <v>790</v>
      </c>
      <c r="C76" s="390"/>
      <c r="D76" s="390"/>
      <c r="E76" s="390">
        <f t="shared" ref="E76:J76" si="57">AVERAGEIF($6:$6,E$54,28:28)</f>
        <v>0.5625</v>
      </c>
      <c r="F76" s="390">
        <f t="shared" si="57"/>
        <v>0.5625</v>
      </c>
      <c r="G76" s="390">
        <f t="shared" si="57"/>
        <v>0.5625</v>
      </c>
      <c r="H76" s="390">
        <f t="shared" si="57"/>
        <v>0.5625</v>
      </c>
      <c r="I76" s="390">
        <f t="shared" si="57"/>
        <v>0.5625</v>
      </c>
      <c r="J76" s="390">
        <f t="shared" si="57"/>
        <v>0.5625</v>
      </c>
    </row>
    <row r="77" spans="2:10" ht="16" x14ac:dyDescent="0.2">
      <c r="B77" s="281" t="s">
        <v>775</v>
      </c>
      <c r="C77" s="392">
        <f t="shared" ref="C77:J80" si="58">SUMIF($6:$6,C$54,29:29)</f>
        <v>0</v>
      </c>
      <c r="D77" s="392">
        <f t="shared" si="58"/>
        <v>0</v>
      </c>
      <c r="E77" s="392">
        <f t="shared" ca="1" si="58"/>
        <v>1598113.2374999998</v>
      </c>
      <c r="F77" s="392">
        <f t="shared" ca="1" si="58"/>
        <v>1646056.6346249997</v>
      </c>
      <c r="G77" s="392">
        <f t="shared" ca="1" si="58"/>
        <v>1695438.33366375</v>
      </c>
      <c r="H77" s="392">
        <f t="shared" ca="1" si="58"/>
        <v>1746301.4836736622</v>
      </c>
      <c r="I77" s="392">
        <f t="shared" ca="1" si="58"/>
        <v>1798690.5281838726</v>
      </c>
      <c r="J77" s="392">
        <f t="shared" ca="1" si="58"/>
        <v>1852651.2440293885</v>
      </c>
    </row>
    <row r="78" spans="2:10" ht="16" x14ac:dyDescent="0.2">
      <c r="B78" s="281" t="s">
        <v>776</v>
      </c>
      <c r="C78" s="754">
        <f t="shared" si="58"/>
        <v>0</v>
      </c>
      <c r="D78" s="754">
        <f t="shared" si="58"/>
        <v>0</v>
      </c>
      <c r="E78" s="754">
        <f t="shared" ca="1" si="58"/>
        <v>159811.32374999998</v>
      </c>
      <c r="F78" s="754">
        <f t="shared" ca="1" si="58"/>
        <v>164605.6634625</v>
      </c>
      <c r="G78" s="754">
        <f t="shared" ca="1" si="58"/>
        <v>169543.83336637501</v>
      </c>
      <c r="H78" s="754">
        <f t="shared" ca="1" si="58"/>
        <v>174630.14836736623</v>
      </c>
      <c r="I78" s="754">
        <f t="shared" ca="1" si="58"/>
        <v>179869.05281838725</v>
      </c>
      <c r="J78" s="754">
        <f t="shared" ca="1" si="58"/>
        <v>185265.12440293882</v>
      </c>
    </row>
    <row r="79" spans="2:10" ht="16" x14ac:dyDescent="0.2">
      <c r="B79" s="398" t="s">
        <v>112</v>
      </c>
      <c r="C79" s="395">
        <f t="shared" si="58"/>
        <v>0</v>
      </c>
      <c r="D79" s="395">
        <f t="shared" si="58"/>
        <v>0</v>
      </c>
      <c r="E79" s="395">
        <f t="shared" ca="1" si="58"/>
        <v>-40000</v>
      </c>
      <c r="F79" s="395">
        <f t="shared" ca="1" si="58"/>
        <v>-40000</v>
      </c>
      <c r="G79" s="395">
        <f t="shared" ca="1" si="58"/>
        <v>-40000</v>
      </c>
      <c r="H79" s="395">
        <f t="shared" ca="1" si="58"/>
        <v>-40000</v>
      </c>
      <c r="I79" s="395">
        <f t="shared" ca="1" si="58"/>
        <v>-40000</v>
      </c>
      <c r="J79" s="395">
        <f t="shared" ca="1" si="58"/>
        <v>-40000</v>
      </c>
    </row>
    <row r="80" spans="2:10" ht="16" x14ac:dyDescent="0.2">
      <c r="B80" s="397" t="s">
        <v>777</v>
      </c>
      <c r="C80" s="394">
        <f t="shared" si="58"/>
        <v>0</v>
      </c>
      <c r="D80" s="394">
        <f t="shared" si="58"/>
        <v>0</v>
      </c>
      <c r="E80" s="394">
        <f t="shared" ca="1" si="58"/>
        <v>1717924.5612499996</v>
      </c>
      <c r="F80" s="394">
        <f t="shared" ca="1" si="58"/>
        <v>1770662.2980875</v>
      </c>
      <c r="G80" s="394">
        <f t="shared" ca="1" si="58"/>
        <v>1824982.1670301249</v>
      </c>
      <c r="H80" s="394">
        <f t="shared" ca="1" si="58"/>
        <v>1880931.6320410287</v>
      </c>
      <c r="I80" s="394">
        <f t="shared" ca="1" si="58"/>
        <v>1938559.5810022596</v>
      </c>
      <c r="J80" s="394">
        <f t="shared" ca="1" si="58"/>
        <v>1997916.3684323269</v>
      </c>
    </row>
    <row r="81" spans="2:10" ht="16" x14ac:dyDescent="0.2">
      <c r="B81" s="281"/>
      <c r="C81" s="154"/>
      <c r="D81" s="154"/>
      <c r="E81" s="154"/>
      <c r="F81" s="154"/>
      <c r="G81" s="154"/>
      <c r="H81" s="154"/>
      <c r="I81" s="154"/>
      <c r="J81" s="154"/>
    </row>
    <row r="82" spans="2:10" ht="16" x14ac:dyDescent="0.2">
      <c r="B82" s="281" t="s">
        <v>778</v>
      </c>
      <c r="C82" s="392">
        <f t="shared" ref="C82:J84" si="59">SUMIF($6:$6,C$54,34:34)</f>
        <v>0</v>
      </c>
      <c r="D82" s="392">
        <f t="shared" si="59"/>
        <v>0</v>
      </c>
      <c r="E82" s="392">
        <f t="shared" si="59"/>
        <v>816105.78249480028</v>
      </c>
      <c r="F82" s="392">
        <f t="shared" si="59"/>
        <v>3217541.3324328782</v>
      </c>
      <c r="G82" s="392">
        <f t="shared" si="59"/>
        <v>4637642.5471438104</v>
      </c>
      <c r="H82" s="392">
        <f t="shared" si="59"/>
        <v>6140054.0475382125</v>
      </c>
      <c r="I82" s="392">
        <f t="shared" si="59"/>
        <v>7337339.0531938551</v>
      </c>
      <c r="J82" s="392">
        <f t="shared" si="59"/>
        <v>7523034.1144429203</v>
      </c>
    </row>
    <row r="83" spans="2:10" ht="16" x14ac:dyDescent="0.2">
      <c r="B83" s="398" t="s">
        <v>769</v>
      </c>
      <c r="C83" s="395">
        <f t="shared" si="59"/>
        <v>0</v>
      </c>
      <c r="D83" s="395">
        <f t="shared" si="59"/>
        <v>0</v>
      </c>
      <c r="E83" s="395">
        <f t="shared" si="59"/>
        <v>-734495.20424532006</v>
      </c>
      <c r="F83" s="395">
        <f t="shared" si="59"/>
        <v>-2895787.1991895912</v>
      </c>
      <c r="G83" s="395">
        <f t="shared" si="59"/>
        <v>-4173878.2924294304</v>
      </c>
      <c r="H83" s="395">
        <f t="shared" si="59"/>
        <v>-5526048.6427843897</v>
      </c>
      <c r="I83" s="395">
        <f t="shared" si="59"/>
        <v>-6603605.1478744717</v>
      </c>
      <c r="J83" s="395">
        <f t="shared" si="59"/>
        <v>-6770730.7029986279</v>
      </c>
    </row>
    <row r="84" spans="2:10" ht="16" x14ac:dyDescent="0.2">
      <c r="B84" s="397" t="s">
        <v>779</v>
      </c>
      <c r="C84" s="394">
        <f t="shared" si="59"/>
        <v>0</v>
      </c>
      <c r="D84" s="394">
        <f t="shared" si="59"/>
        <v>0</v>
      </c>
      <c r="E84" s="394">
        <f t="shared" si="59"/>
        <v>81610.578249479993</v>
      </c>
      <c r="F84" s="394">
        <f t="shared" si="59"/>
        <v>321754.13324328786</v>
      </c>
      <c r="G84" s="394">
        <f t="shared" si="59"/>
        <v>463764.25471438112</v>
      </c>
      <c r="H84" s="394">
        <f t="shared" si="59"/>
        <v>614005.40475382097</v>
      </c>
      <c r="I84" s="394">
        <f t="shared" si="59"/>
        <v>733733.90531938511</v>
      </c>
      <c r="J84" s="394">
        <f t="shared" si="59"/>
        <v>752303.41144429194</v>
      </c>
    </row>
    <row r="85" spans="2:10" ht="16" x14ac:dyDescent="0.2">
      <c r="B85" s="281"/>
      <c r="C85" s="154"/>
      <c r="D85" s="154"/>
      <c r="E85" s="154"/>
      <c r="F85" s="154"/>
      <c r="G85" s="154"/>
      <c r="H85" s="154"/>
      <c r="I85" s="154"/>
      <c r="J85" s="154"/>
    </row>
    <row r="86" spans="2:10" ht="16" x14ac:dyDescent="0.2">
      <c r="B86" s="281" t="s">
        <v>113</v>
      </c>
      <c r="C86" s="392">
        <f t="shared" ref="C86:J88" si="60">SUMIF($6:$6,C$54,38:38)</f>
        <v>0</v>
      </c>
      <c r="D86" s="392">
        <f t="shared" si="60"/>
        <v>0</v>
      </c>
      <c r="E86" s="392">
        <f t="shared" si="60"/>
        <v>0</v>
      </c>
      <c r="F86" s="392">
        <f t="shared" si="60"/>
        <v>0</v>
      </c>
      <c r="G86" s="392">
        <f t="shared" si="60"/>
        <v>0</v>
      </c>
      <c r="H86" s="392">
        <f t="shared" si="60"/>
        <v>0</v>
      </c>
      <c r="I86" s="392">
        <f t="shared" si="60"/>
        <v>0</v>
      </c>
      <c r="J86" s="392">
        <f t="shared" si="60"/>
        <v>0</v>
      </c>
    </row>
    <row r="87" spans="2:10" ht="16" x14ac:dyDescent="0.2">
      <c r="B87" s="398" t="s">
        <v>780</v>
      </c>
      <c r="C87" s="395">
        <f t="shared" si="60"/>
        <v>0</v>
      </c>
      <c r="D87" s="395">
        <f t="shared" si="60"/>
        <v>0</v>
      </c>
      <c r="E87" s="395">
        <f t="shared" si="60"/>
        <v>0</v>
      </c>
      <c r="F87" s="395">
        <f t="shared" si="60"/>
        <v>0</v>
      </c>
      <c r="G87" s="395">
        <f t="shared" si="60"/>
        <v>0</v>
      </c>
      <c r="H87" s="395">
        <f t="shared" si="60"/>
        <v>0</v>
      </c>
      <c r="I87" s="395">
        <f t="shared" si="60"/>
        <v>0</v>
      </c>
      <c r="J87" s="395">
        <f t="shared" si="60"/>
        <v>0</v>
      </c>
    </row>
    <row r="88" spans="2:10" ht="16" x14ac:dyDescent="0.2">
      <c r="B88" s="397" t="s">
        <v>781</v>
      </c>
      <c r="C88" s="394">
        <f t="shared" si="60"/>
        <v>0</v>
      </c>
      <c r="D88" s="394">
        <f t="shared" si="60"/>
        <v>0</v>
      </c>
      <c r="E88" s="394">
        <f t="shared" si="60"/>
        <v>0</v>
      </c>
      <c r="F88" s="394">
        <f t="shared" si="60"/>
        <v>0</v>
      </c>
      <c r="G88" s="394">
        <f t="shared" si="60"/>
        <v>0</v>
      </c>
      <c r="H88" s="394">
        <f t="shared" si="60"/>
        <v>0</v>
      </c>
      <c r="I88" s="394">
        <f t="shared" si="60"/>
        <v>0</v>
      </c>
      <c r="J88" s="394">
        <f t="shared" si="60"/>
        <v>0</v>
      </c>
    </row>
    <row r="89" spans="2:10" ht="16" x14ac:dyDescent="0.2">
      <c r="B89" s="281"/>
      <c r="C89" s="154"/>
      <c r="D89" s="154"/>
      <c r="E89" s="154"/>
      <c r="F89" s="154"/>
      <c r="G89" s="154"/>
      <c r="H89" s="154"/>
      <c r="I89" s="154"/>
      <c r="J89" s="154"/>
    </row>
    <row r="90" spans="2:10" ht="16" x14ac:dyDescent="0.2">
      <c r="B90" s="397" t="s">
        <v>782</v>
      </c>
      <c r="C90" s="394">
        <f t="shared" ref="C90:J90" si="61">SUMIF($6:$6,C$54,42:42)</f>
        <v>0</v>
      </c>
      <c r="D90" s="394">
        <f t="shared" si="61"/>
        <v>1017206.8335000002</v>
      </c>
      <c r="E90" s="394">
        <f t="shared" ca="1" si="61"/>
        <v>3911944.1640939801</v>
      </c>
      <c r="F90" s="394">
        <f t="shared" ca="1" si="61"/>
        <v>8982483.9504477456</v>
      </c>
      <c r="G90" s="394">
        <f t="shared" ca="1" si="61"/>
        <v>11168041.576926809</v>
      </c>
      <c r="H90" s="394">
        <f t="shared" ca="1" si="61"/>
        <v>13476612.425439209</v>
      </c>
      <c r="I90" s="394">
        <f t="shared" ca="1" si="61"/>
        <v>14898447.598514937</v>
      </c>
      <c r="J90" s="394">
        <f t="shared" ca="1" si="61"/>
        <v>15288270.159540489</v>
      </c>
    </row>
    <row r="91" spans="2:10" ht="16" x14ac:dyDescent="0.2">
      <c r="B91" s="281"/>
      <c r="C91" s="154"/>
      <c r="D91" s="154"/>
      <c r="E91" s="154"/>
      <c r="F91" s="154"/>
      <c r="G91" s="154"/>
      <c r="H91" s="154"/>
      <c r="I91" s="154"/>
      <c r="J91" s="154"/>
    </row>
    <row r="92" spans="2:10" ht="16" x14ac:dyDescent="0.2">
      <c r="B92" s="281" t="s">
        <v>783</v>
      </c>
      <c r="C92" s="392">
        <f t="shared" ref="C92:J96" si="62">SUMIF($6:$6,C$54,44:44)</f>
        <v>0</v>
      </c>
      <c r="D92" s="392">
        <f t="shared" si="62"/>
        <v>-162753.09336000003</v>
      </c>
      <c r="E92" s="392">
        <f t="shared" ca="1" si="62"/>
        <v>-625911.06625503697</v>
      </c>
      <c r="F92" s="392">
        <f t="shared" ca="1" si="62"/>
        <v>-1437197.4320716395</v>
      </c>
      <c r="G92" s="392">
        <f t="shared" ca="1" si="62"/>
        <v>-1786886.6523082894</v>
      </c>
      <c r="H92" s="392">
        <f t="shared" ca="1" si="62"/>
        <v>-2156257.9880702742</v>
      </c>
      <c r="I92" s="392">
        <f t="shared" ca="1" si="62"/>
        <v>-2383751.6157623897</v>
      </c>
      <c r="J92" s="392">
        <f t="shared" ca="1" si="62"/>
        <v>-2446123.2255264781</v>
      </c>
    </row>
    <row r="93" spans="2:10" ht="16" x14ac:dyDescent="0.2">
      <c r="B93" s="281" t="s">
        <v>784</v>
      </c>
      <c r="C93" s="396">
        <f t="shared" si="62"/>
        <v>0</v>
      </c>
      <c r="D93" s="396">
        <f t="shared" si="62"/>
        <v>-93896.015399999989</v>
      </c>
      <c r="E93" s="396">
        <f t="shared" si="62"/>
        <v>-181356.8405544</v>
      </c>
      <c r="F93" s="396">
        <f t="shared" si="62"/>
        <v>-715009.18498508423</v>
      </c>
      <c r="G93" s="396">
        <f t="shared" si="62"/>
        <v>-1030587.2326986247</v>
      </c>
      <c r="H93" s="396">
        <f t="shared" si="62"/>
        <v>-1364456.4550084912</v>
      </c>
      <c r="I93" s="396">
        <f t="shared" si="62"/>
        <v>-1630519.7895986338</v>
      </c>
      <c r="J93" s="396">
        <f t="shared" si="62"/>
        <v>-1671785.3587650931</v>
      </c>
    </row>
    <row r="94" spans="2:10" ht="16" x14ac:dyDescent="0.2">
      <c r="B94" s="281" t="s">
        <v>785</v>
      </c>
      <c r="C94" s="392">
        <f t="shared" si="62"/>
        <v>0</v>
      </c>
      <c r="D94" s="392">
        <f t="shared" si="62"/>
        <v>-93896.015399999989</v>
      </c>
      <c r="E94" s="392">
        <f t="shared" si="62"/>
        <v>-181356.8405544</v>
      </c>
      <c r="F94" s="392">
        <f t="shared" si="62"/>
        <v>-715009.18498508423</v>
      </c>
      <c r="G94" s="392">
        <f t="shared" si="62"/>
        <v>-1030587.2326986247</v>
      </c>
      <c r="H94" s="392">
        <f t="shared" si="62"/>
        <v>-1364456.4550084912</v>
      </c>
      <c r="I94" s="392">
        <f t="shared" si="62"/>
        <v>-1630519.7895986338</v>
      </c>
      <c r="J94" s="392">
        <f t="shared" si="62"/>
        <v>-1671785.3587650931</v>
      </c>
    </row>
    <row r="95" spans="2:10" ht="16" x14ac:dyDescent="0.2">
      <c r="B95" s="398" t="s">
        <v>786</v>
      </c>
      <c r="C95" s="395">
        <f t="shared" si="62"/>
        <v>0</v>
      </c>
      <c r="D95" s="395">
        <f t="shared" si="62"/>
        <v>-62597.343599999993</v>
      </c>
      <c r="E95" s="395">
        <f t="shared" si="62"/>
        <v>-120904.56036960002</v>
      </c>
      <c r="F95" s="395">
        <f t="shared" si="62"/>
        <v>-476672.78999005619</v>
      </c>
      <c r="G95" s="395">
        <f t="shared" si="62"/>
        <v>-687058.15513241652</v>
      </c>
      <c r="H95" s="395">
        <f t="shared" si="62"/>
        <v>-909637.63667232764</v>
      </c>
      <c r="I95" s="395">
        <f t="shared" si="62"/>
        <v>-1087013.1930657562</v>
      </c>
      <c r="J95" s="395">
        <f t="shared" si="62"/>
        <v>-1114523.572510062</v>
      </c>
    </row>
    <row r="96" spans="2:10" ht="16" x14ac:dyDescent="0.2">
      <c r="B96" s="397" t="s">
        <v>787</v>
      </c>
      <c r="C96" s="394">
        <f t="shared" si="62"/>
        <v>0</v>
      </c>
      <c r="D96" s="394">
        <f t="shared" si="62"/>
        <v>-413142.46776000003</v>
      </c>
      <c r="E96" s="394">
        <f t="shared" ca="1" si="62"/>
        <v>-1109529.307733437</v>
      </c>
      <c r="F96" s="394">
        <f t="shared" ca="1" si="62"/>
        <v>-3343888.592031864</v>
      </c>
      <c r="G96" s="394">
        <f t="shared" ca="1" si="62"/>
        <v>-4535119.2728379546</v>
      </c>
      <c r="H96" s="394">
        <f t="shared" ca="1" si="62"/>
        <v>-5794808.5347595839</v>
      </c>
      <c r="I96" s="394">
        <f t="shared" ca="1" si="62"/>
        <v>-6731804.3880254142</v>
      </c>
      <c r="J96" s="394">
        <f t="shared" ca="1" si="62"/>
        <v>-6904217.5155667271</v>
      </c>
    </row>
    <row r="97" spans="2:10" ht="16" x14ac:dyDescent="0.2">
      <c r="B97" s="281"/>
      <c r="C97" s="158"/>
      <c r="D97" s="158"/>
      <c r="E97" s="158"/>
      <c r="F97" s="158"/>
      <c r="G97" s="158"/>
      <c r="H97" s="158"/>
      <c r="I97" s="158"/>
      <c r="J97" s="158"/>
    </row>
    <row r="98" spans="2:10" ht="16" x14ac:dyDescent="0.2">
      <c r="B98" s="397" t="s">
        <v>788</v>
      </c>
      <c r="C98" s="394">
        <f t="shared" ref="C98:J98" si="63">SUMIF($6:$6,C$54,50:50)</f>
        <v>0</v>
      </c>
      <c r="D98" s="394">
        <f t="shared" si="63"/>
        <v>604064.36574000004</v>
      </c>
      <c r="E98" s="394">
        <f t="shared" ca="1" si="63"/>
        <v>2802414.8563605435</v>
      </c>
      <c r="F98" s="394">
        <f t="shared" ca="1" si="63"/>
        <v>5638595.3584158821</v>
      </c>
      <c r="G98" s="394">
        <f t="shared" ca="1" si="63"/>
        <v>6632922.3040888505</v>
      </c>
      <c r="H98" s="394">
        <f t="shared" ca="1" si="63"/>
        <v>7681803.8906796277</v>
      </c>
      <c r="I98" s="394">
        <f t="shared" ca="1" si="63"/>
        <v>8166643.2104895245</v>
      </c>
      <c r="J98" s="394">
        <f t="shared" ca="1" si="63"/>
        <v>8384052.6439737603</v>
      </c>
    </row>
  </sheetData>
  <pageMargins left="0.7" right="0.7" top="0.75" bottom="0.75" header="0.3" footer="0.3"/>
  <pageSetup orientation="landscape" r:id="rId1"/>
  <headerFooter>
    <oddHeader>&amp;L&amp;"Calibri"&amp;11&amp;K000000 PERSONAL/NONWORK // EXTERNAL&amp;1#_x000D_</oddHeader>
  </headerFooter>
  <cellWatches>
    <cellWatch r="L50"/>
  </cellWatche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2738-D6CE-47B7-9296-7D4280D0FE87}">
  <sheetPr>
    <tabColor theme="5" tint="0.59999389629810485"/>
    <pageSetUpPr fitToPage="1"/>
  </sheetPr>
  <dimension ref="A1:AA67"/>
  <sheetViews>
    <sheetView showGridLines="0" zoomScale="130" zoomScaleNormal="130" zoomScalePageLayoutView="130" workbookViewId="0">
      <pane ySplit="7" topLeftCell="A64" activePane="bottomLeft" state="frozen"/>
      <selection activeCell="B62" sqref="B62"/>
      <selection pane="bottomLeft" activeCell="B62" sqref="B62"/>
    </sheetView>
  </sheetViews>
  <sheetFormatPr baseColWidth="10" defaultColWidth="9.1640625" defaultRowHeight="14" x14ac:dyDescent="0.2"/>
  <cols>
    <col min="1" max="1" width="28.6640625" style="707" bestFit="1" customWidth="1"/>
    <col min="2" max="2" width="4" style="707" customWidth="1"/>
    <col min="3" max="3" width="11.1640625" style="707" customWidth="1"/>
    <col min="4" max="4" width="6.1640625" style="707" customWidth="1"/>
    <col min="5" max="5" width="3.1640625" style="707" customWidth="1"/>
    <col min="6" max="6" width="9.1640625" style="707" customWidth="1"/>
    <col min="7" max="7" width="6.1640625" style="707" customWidth="1"/>
    <col min="8" max="8" width="3.1640625" style="707" customWidth="1"/>
    <col min="9" max="9" width="9.1640625" style="707" bestFit="1" customWidth="1"/>
    <col min="10" max="10" width="6.1640625" style="707" customWidth="1"/>
    <col min="11" max="11" width="3.1640625" style="707" customWidth="1"/>
    <col min="12" max="12" width="9.1640625" style="707" bestFit="1" customWidth="1"/>
    <col min="13" max="13" width="6.1640625" style="707" customWidth="1"/>
    <col min="14" max="14" width="3.1640625" style="707" customWidth="1"/>
    <col min="15" max="15" width="9.1640625" style="707" customWidth="1"/>
    <col min="16" max="16" width="6.1640625" style="707" customWidth="1"/>
    <col min="17" max="17" width="3.1640625" style="707" customWidth="1"/>
    <col min="18" max="18" width="9.1640625" style="707"/>
    <col min="19" max="19" width="6.1640625" style="707" customWidth="1"/>
    <col min="20" max="20" width="2.1640625" style="707" customWidth="1"/>
    <col min="21" max="21" width="9.1640625" style="707"/>
    <col min="22" max="22" width="6.1640625" style="707" customWidth="1"/>
    <col min="23" max="23" width="2.1640625" style="707" customWidth="1"/>
    <col min="24" max="24" width="9.1640625" style="707"/>
    <col min="25" max="25" width="6.1640625" style="707" customWidth="1"/>
    <col min="26" max="16384" width="9.1640625" style="707"/>
  </cols>
  <sheetData>
    <row r="1" spans="1:27" ht="21" x14ac:dyDescent="0.25">
      <c r="A1" s="301" t="s">
        <v>653</v>
      </c>
      <c r="B1" s="751"/>
      <c r="O1" s="750"/>
      <c r="R1" s="750"/>
      <c r="S1" s="749"/>
    </row>
    <row r="2" spans="1:27" ht="16" x14ac:dyDescent="0.2">
      <c r="A2" s="1" t="s">
        <v>791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7" x14ac:dyDescent="0.2">
      <c r="A3" s="727"/>
      <c r="B3" s="727"/>
      <c r="C3" s="740"/>
      <c r="F3" s="740"/>
    </row>
    <row r="4" spans="1:27" x14ac:dyDescent="0.2">
      <c r="A4" s="748" t="s">
        <v>792</v>
      </c>
      <c r="B4" s="748"/>
      <c r="C4" s="743"/>
      <c r="D4" s="743"/>
      <c r="E4" s="743"/>
      <c r="F4" s="743"/>
      <c r="G4" s="743"/>
      <c r="H4" s="743"/>
      <c r="I4" s="743"/>
      <c r="J4" s="743"/>
      <c r="K4" s="743"/>
      <c r="L4" s="743"/>
      <c r="M4" s="743"/>
      <c r="N4" s="743"/>
    </row>
    <row r="5" spans="1:27" x14ac:dyDescent="0.2">
      <c r="A5" s="716" t="s">
        <v>793</v>
      </c>
      <c r="B5" s="716"/>
      <c r="C5" s="716">
        <f>'Proforma A+H'!I3</f>
        <v>2</v>
      </c>
      <c r="D5" s="716"/>
      <c r="E5" s="716"/>
      <c r="F5" s="716">
        <f>C5+1</f>
        <v>3</v>
      </c>
      <c r="G5" s="716"/>
      <c r="H5" s="716"/>
      <c r="I5" s="716">
        <f>F5+1</f>
        <v>4</v>
      </c>
      <c r="J5" s="716"/>
      <c r="K5" s="716"/>
      <c r="L5" s="716">
        <f>I5+1</f>
        <v>5</v>
      </c>
      <c r="M5" s="716"/>
      <c r="N5" s="716"/>
      <c r="O5" s="747">
        <f>L5+1</f>
        <v>6</v>
      </c>
      <c r="P5" s="746"/>
      <c r="Q5" s="747"/>
      <c r="R5" s="747">
        <f>O5+1</f>
        <v>7</v>
      </c>
      <c r="S5" s="746"/>
      <c r="T5" s="747"/>
      <c r="U5" s="747">
        <f>R5+1</f>
        <v>8</v>
      </c>
      <c r="V5" s="746"/>
      <c r="W5" s="747"/>
      <c r="X5" s="747">
        <f>U5+1</f>
        <v>9</v>
      </c>
      <c r="Y5" s="746"/>
    </row>
    <row r="6" spans="1:27" x14ac:dyDescent="0.2">
      <c r="A6" s="716" t="s">
        <v>759</v>
      </c>
      <c r="B6" s="716"/>
      <c r="C6" s="716">
        <f>'A+H Monthly CF'!C54</f>
        <v>2026</v>
      </c>
      <c r="D6" s="716"/>
      <c r="E6" s="716"/>
      <c r="F6" s="716">
        <f>C6+1</f>
        <v>2027</v>
      </c>
      <c r="G6" s="716"/>
      <c r="H6" s="716"/>
      <c r="I6" s="716">
        <f>F6+1</f>
        <v>2028</v>
      </c>
      <c r="J6" s="716"/>
      <c r="K6" s="716"/>
      <c r="L6" s="716">
        <f>I6+1</f>
        <v>2029</v>
      </c>
      <c r="M6" s="716"/>
      <c r="N6" s="716"/>
      <c r="O6" s="716">
        <f>L6+1</f>
        <v>2030</v>
      </c>
      <c r="Q6" s="716"/>
      <c r="R6" s="716">
        <f>O6+1</f>
        <v>2031</v>
      </c>
      <c r="T6" s="716"/>
      <c r="U6" s="716">
        <f>R6+1</f>
        <v>2032</v>
      </c>
      <c r="W6" s="716"/>
      <c r="X6" s="716">
        <f>U6+1</f>
        <v>2033</v>
      </c>
    </row>
    <row r="7" spans="1:27" x14ac:dyDescent="0.2">
      <c r="A7" s="745" t="s">
        <v>794</v>
      </c>
      <c r="B7" s="745"/>
      <c r="C7" s="744">
        <v>0.03</v>
      </c>
      <c r="D7" s="745"/>
      <c r="E7" s="745"/>
      <c r="F7" s="744">
        <v>0.03</v>
      </c>
      <c r="G7" s="745"/>
      <c r="H7" s="745"/>
      <c r="I7" s="744">
        <v>0.03</v>
      </c>
      <c r="J7" s="745"/>
      <c r="K7" s="745"/>
      <c r="L7" s="744">
        <v>0.03</v>
      </c>
      <c r="M7" s="745"/>
      <c r="N7" s="745"/>
      <c r="O7" s="744">
        <v>0.03</v>
      </c>
      <c r="P7" s="743"/>
      <c r="Q7" s="745"/>
      <c r="R7" s="744">
        <v>0.03</v>
      </c>
      <c r="S7" s="743"/>
      <c r="T7" s="745"/>
      <c r="U7" s="744">
        <v>0.03</v>
      </c>
      <c r="V7" s="743"/>
      <c r="W7" s="745"/>
      <c r="X7" s="744">
        <v>0.03</v>
      </c>
      <c r="Y7" s="743"/>
    </row>
    <row r="8" spans="1:27" x14ac:dyDescent="0.2">
      <c r="A8" s="742" t="s">
        <v>795</v>
      </c>
      <c r="B8" s="742"/>
      <c r="C8" s="708">
        <f ca="1">OFFSET(Assumptions!$H$60,0,C5-2)</f>
        <v>12</v>
      </c>
      <c r="F8" s="708">
        <f ca="1">OFFSET(Assumptions!$H$60,0,F5-2)</f>
        <v>18</v>
      </c>
      <c r="I8" s="708">
        <f ca="1">OFFSET(Assumptions!$H$60,0,I5-2)</f>
        <v>50</v>
      </c>
      <c r="L8" s="708">
        <f ca="1">OFFSET(Assumptions!$H$60,0,L5-2)</f>
        <v>62</v>
      </c>
      <c r="O8" s="708">
        <f ca="1">OFFSET(Assumptions!$H$60,0,O5-2)</f>
        <v>74</v>
      </c>
      <c r="R8" s="708">
        <f ca="1">OFFSET(Assumptions!$H$60,0,R5-2)</f>
        <v>80</v>
      </c>
      <c r="U8" s="708">
        <f ca="1">OFFSET(Assumptions!$H$60,0,U5-2)</f>
        <v>80</v>
      </c>
      <c r="X8" s="708">
        <f ca="1">OFFSET(Assumptions!$H$60,0,X5-2)</f>
        <v>80</v>
      </c>
    </row>
    <row r="9" spans="1:27" x14ac:dyDescent="0.2">
      <c r="A9" s="742" t="s">
        <v>796</v>
      </c>
      <c r="B9" s="742"/>
      <c r="C9" s="708">
        <f ca="1">C8*365</f>
        <v>4380</v>
      </c>
      <c r="F9" s="708">
        <f ca="1">F8*365</f>
        <v>6570</v>
      </c>
      <c r="I9" s="708">
        <f ca="1">I8*366</f>
        <v>18300</v>
      </c>
      <c r="L9" s="708">
        <f ca="1">L8*365</f>
        <v>22630</v>
      </c>
      <c r="O9" s="708">
        <f ca="1">O8*365</f>
        <v>27010</v>
      </c>
      <c r="R9" s="708">
        <f ca="1">R8*365</f>
        <v>29200</v>
      </c>
      <c r="U9" s="708">
        <f ca="1">U8*366</f>
        <v>29280</v>
      </c>
      <c r="X9" s="708">
        <f ca="1">X8*366</f>
        <v>29280</v>
      </c>
    </row>
    <row r="10" spans="1:27" x14ac:dyDescent="0.2">
      <c r="A10" s="742" t="s">
        <v>797</v>
      </c>
      <c r="B10" s="742"/>
      <c r="C10" s="708">
        <f ca="1">C9*C12</f>
        <v>1970.9999999999998</v>
      </c>
      <c r="F10" s="708">
        <f ca="1">F9*F12</f>
        <v>2956.4999999999995</v>
      </c>
      <c r="I10" s="708">
        <f ca="1">I9*I12</f>
        <v>8235</v>
      </c>
      <c r="L10" s="708">
        <f ca="1">L9*L12</f>
        <v>10183.499999999998</v>
      </c>
      <c r="O10" s="708">
        <f ca="1">O9*O12</f>
        <v>12154.499999999998</v>
      </c>
      <c r="R10" s="708">
        <f ca="1">R9*R12</f>
        <v>13139.999999999998</v>
      </c>
      <c r="U10" s="708">
        <f ca="1">U9*U12</f>
        <v>13175.999999999998</v>
      </c>
      <c r="X10" s="708">
        <f ca="1">X9*X12</f>
        <v>13175.999999999998</v>
      </c>
    </row>
    <row r="12" spans="1:27" x14ac:dyDescent="0.2">
      <c r="A12" s="727" t="s">
        <v>798</v>
      </c>
      <c r="B12" s="727"/>
      <c r="C12" s="713">
        <f ca="1">OFFSET('A+H Monthly CF'!$C$59,,C5-2)</f>
        <v>0.44999999999999996</v>
      </c>
      <c r="D12" s="741"/>
      <c r="E12" s="713"/>
      <c r="F12" s="713">
        <f ca="1">OFFSET('A+H Monthly CF'!$C$59,,F5-2)</f>
        <v>0.44999999999999996</v>
      </c>
      <c r="G12" s="741"/>
      <c r="H12" s="741"/>
      <c r="I12" s="713">
        <f ca="1">OFFSET('A+H Monthly CF'!$C$59,,I5-2)</f>
        <v>0.44999999999999996</v>
      </c>
      <c r="J12" s="741"/>
      <c r="K12" s="741"/>
      <c r="L12" s="713">
        <f ca="1">OFFSET('A+H Monthly CF'!$C$59,,L5-2)</f>
        <v>0.44999999999999996</v>
      </c>
      <c r="M12" s="741"/>
      <c r="N12" s="741"/>
      <c r="O12" s="713">
        <f ca="1">OFFSET('A+H Monthly CF'!$C$59,,O5-2)</f>
        <v>0.44999999999999996</v>
      </c>
      <c r="Q12" s="741"/>
      <c r="R12" s="713">
        <f ca="1">OFFSET('A+H Monthly CF'!$C$59,,R5-2)</f>
        <v>0.44999999999999996</v>
      </c>
      <c r="T12" s="741"/>
      <c r="U12" s="713">
        <f ca="1">OFFSET('A+H Monthly CF'!$C$59,,U5-2)</f>
        <v>0.44999999999999996</v>
      </c>
      <c r="W12" s="741"/>
      <c r="X12" s="713">
        <f ca="1">OFFSET('A+H Monthly CF'!$C$59,,X5-2)</f>
        <v>0.44999999999999996</v>
      </c>
    </row>
    <row r="13" spans="1:27" x14ac:dyDescent="0.2">
      <c r="A13" s="727" t="s">
        <v>67</v>
      </c>
      <c r="B13" s="727"/>
      <c r="C13" s="739">
        <f ca="1">OFFSET(Assumptions!$H$51,0,C5-2)/C8</f>
        <v>795.67500000000007</v>
      </c>
      <c r="D13" s="740"/>
      <c r="E13" s="739"/>
      <c r="F13" s="739">
        <f ca="1">OFFSET(Assumptions!$H$51,0,F5-2)/F8</f>
        <v>1019.8785333333334</v>
      </c>
      <c r="G13" s="740"/>
      <c r="H13" s="740"/>
      <c r="I13" s="739">
        <f ca="1">OFFSET(Assumptions!$H$51,0,I5-2)/I8</f>
        <v>1454.1573825200001</v>
      </c>
      <c r="J13" s="740"/>
      <c r="K13" s="740"/>
      <c r="L13" s="739">
        <f ca="1">OFFSET(Assumptions!$H$51,0,L5-2)/L8</f>
        <v>1690.2963922051617</v>
      </c>
      <c r="M13" s="740"/>
      <c r="N13" s="740"/>
      <c r="O13" s="739">
        <f ca="1">OFFSET(Assumptions!$H$51,0,O5-2)/O8</f>
        <v>1874.9848223874303</v>
      </c>
      <c r="P13" s="740"/>
      <c r="Q13" s="740"/>
      <c r="R13" s="739">
        <f ca="1">OFFSET(Assumptions!$H$51,0,R5-2)/R8</f>
        <v>2063.1134092502202</v>
      </c>
      <c r="S13" s="740"/>
      <c r="T13" s="739"/>
      <c r="U13" s="739">
        <f ca="1">OFFSET(Assumptions!$H$51,0,U5-2)/U8</f>
        <v>2125.0068115277268</v>
      </c>
      <c r="W13" s="739"/>
      <c r="X13" s="739">
        <f ca="1">OFFSET(Assumptions!$H$51,0,X5-2)/X8</f>
        <v>2188.7570158735584</v>
      </c>
    </row>
    <row r="14" spans="1:27" x14ac:dyDescent="0.2">
      <c r="A14" s="727" t="s">
        <v>799</v>
      </c>
      <c r="B14" s="727"/>
      <c r="C14" s="739">
        <f ca="1">C13*C12</f>
        <v>358.05374999999998</v>
      </c>
      <c r="D14" s="740"/>
      <c r="E14" s="739"/>
      <c r="F14" s="739">
        <f ca="1">F13*F12</f>
        <v>458.94533999999999</v>
      </c>
      <c r="G14" s="740"/>
      <c r="H14" s="740"/>
      <c r="I14" s="739">
        <f ca="1">I13*I12</f>
        <v>654.37082213399992</v>
      </c>
      <c r="J14" s="740"/>
      <c r="K14" s="740"/>
      <c r="L14" s="739">
        <f ca="1">L13*L12</f>
        <v>760.63337649232267</v>
      </c>
      <c r="M14" s="740"/>
      <c r="N14" s="740"/>
      <c r="O14" s="739">
        <f ca="1">O13*O12</f>
        <v>843.74317007434354</v>
      </c>
      <c r="P14" s="740"/>
      <c r="Q14" s="740"/>
      <c r="R14" s="739">
        <f ca="1">R13*R12</f>
        <v>928.40103416259899</v>
      </c>
      <c r="S14" s="740"/>
      <c r="T14" s="740"/>
      <c r="U14" s="739">
        <f ca="1">U13*U12</f>
        <v>956.25306518747698</v>
      </c>
      <c r="W14" s="740"/>
      <c r="X14" s="739">
        <f ca="1">X13*X12</f>
        <v>984.94065714310125</v>
      </c>
    </row>
    <row r="15" spans="1:27" x14ac:dyDescent="0.2">
      <c r="A15" s="727"/>
      <c r="B15" s="727"/>
      <c r="C15" s="737"/>
      <c r="D15" s="737"/>
      <c r="E15" s="737" t="s">
        <v>800</v>
      </c>
      <c r="F15" s="738"/>
      <c r="G15" s="737"/>
      <c r="I15" s="738"/>
      <c r="J15" s="737"/>
      <c r="L15" s="738"/>
      <c r="M15" s="737"/>
      <c r="O15" s="738"/>
      <c r="P15" s="737"/>
      <c r="R15" s="738"/>
      <c r="S15" s="737"/>
      <c r="U15" s="738"/>
      <c r="V15" s="737"/>
      <c r="X15" s="738"/>
      <c r="Y15" s="737"/>
      <c r="AA15" s="735"/>
    </row>
    <row r="16" spans="1:27" x14ac:dyDescent="0.2">
      <c r="A16" s="727" t="s">
        <v>801</v>
      </c>
      <c r="B16" s="727"/>
      <c r="C16" s="736"/>
      <c r="AA16" s="735"/>
    </row>
    <row r="17" spans="1:27" x14ac:dyDescent="0.2">
      <c r="A17" s="721" t="s">
        <v>802</v>
      </c>
      <c r="B17" s="721"/>
      <c r="C17" s="708">
        <f ca="1">OFFSET('A+H Monthly CF'!$C$60,0,C5-2)</f>
        <v>0</v>
      </c>
      <c r="D17" s="717" t="e">
        <f t="shared" ref="D17:D24" ca="1" si="0">C17/C$24</f>
        <v>#DIV/0!</v>
      </c>
      <c r="E17" s="713"/>
      <c r="F17" s="708">
        <f ca="1">OFFSET('A+H Monthly CF'!$C$60,0,F5-2)</f>
        <v>1564933.5900000003</v>
      </c>
      <c r="G17" s="717">
        <f t="shared" ref="G17:G24" ca="1" si="1">F17/F$24</f>
        <v>1</v>
      </c>
      <c r="I17" s="708">
        <f ca="1">OFFSET('A+H Monthly CF'!$C$60,0,I5-2)</f>
        <v>3022614.00924</v>
      </c>
      <c r="J17" s="717">
        <f t="shared" ref="J17:J24" ca="1" si="2">I17/I$24</f>
        <v>0.47583001900966826</v>
      </c>
      <c r="L17" s="708">
        <f ca="1">OFFSET('A+H Monthly CF'!$C$60,0,L5-2)</f>
        <v>11916819.749751402</v>
      </c>
      <c r="M17" s="717">
        <f t="shared" ref="M17:M24" ca="1" si="3">L17/L$24</f>
        <v>0.59810696603788405</v>
      </c>
      <c r="O17" s="708">
        <f ca="1">OFFSET('A+H Monthly CF'!$C$60,0,O5-2)</f>
        <v>17176453.878310412</v>
      </c>
      <c r="P17" s="717">
        <f t="shared" ref="P17:P24" ca="1" si="4">O17/O$24</f>
        <v>0.61403267243160331</v>
      </c>
      <c r="R17" s="708">
        <f ca="1">OFFSET('A+H Monthly CF'!$C$60,0,R5-2)</f>
        <v>22740940.916808188</v>
      </c>
      <c r="S17" s="717">
        <f t="shared" ref="S17:S24" ca="1" si="5">R17/R$24</f>
        <v>0.62325869645633336</v>
      </c>
      <c r="U17" s="708">
        <f ca="1">OFFSET('A+H Monthly CF'!$C$60,0,U5-2)</f>
        <v>27175329.826643903</v>
      </c>
      <c r="V17" s="717">
        <f t="shared" ref="V17:V24" ca="1" si="6">U17/U$24</f>
        <v>0.62782237683432218</v>
      </c>
      <c r="X17" s="708">
        <f ca="1">OFFSET('A+H Monthly CF'!$C$60,0,X5-2)</f>
        <v>27863089.31275155</v>
      </c>
      <c r="Y17" s="717">
        <f t="shared" ref="Y17:Y24" ca="1" si="7">X17/X$24</f>
        <v>0.62769108450006894</v>
      </c>
      <c r="AA17" s="709"/>
    </row>
    <row r="18" spans="1:27" x14ac:dyDescent="0.2">
      <c r="A18" s="721" t="s">
        <v>803</v>
      </c>
      <c r="B18" s="721"/>
      <c r="C18" s="708">
        <f ca="1">OFFSET('A+H Monthly CF'!$C$82,0,C5-2)</f>
        <v>0</v>
      </c>
      <c r="D18" s="717" t="e">
        <f t="shared" ca="1" si="0"/>
        <v>#DIV/0!</v>
      </c>
      <c r="E18" s="713"/>
      <c r="F18" s="708">
        <f ca="1">OFFSET('A+H Monthly CF'!$C$82,0,F5-2)</f>
        <v>0</v>
      </c>
      <c r="G18" s="717">
        <f t="shared" ca="1" si="1"/>
        <v>0</v>
      </c>
      <c r="I18" s="708">
        <f ca="1">OFFSET('A+H Monthly CF'!$C$82,0,I5-2)</f>
        <v>816105.78249480028</v>
      </c>
      <c r="J18" s="717">
        <f t="shared" ca="1" si="2"/>
        <v>0.12847410513261046</v>
      </c>
      <c r="L18" s="708">
        <f ca="1">OFFSET('A+H Monthly CF'!$C$82,0,L5-2)</f>
        <v>3217541.3324328782</v>
      </c>
      <c r="M18" s="717">
        <f t="shared" ca="1" si="3"/>
        <v>0.16148888083022866</v>
      </c>
      <c r="O18" s="708">
        <f ca="1">OFFSET('A+H Monthly CF'!$C$82,0,O5-2)</f>
        <v>4637642.5471438104</v>
      </c>
      <c r="P18" s="717">
        <f t="shared" ca="1" si="4"/>
        <v>0.16578882155653288</v>
      </c>
      <c r="R18" s="708">
        <f ca="1">OFFSET('A+H Monthly CF'!$C$82,0,R5-2)</f>
        <v>6140054.0475382125</v>
      </c>
      <c r="S18" s="717">
        <f t="shared" ca="1" si="5"/>
        <v>0.16827984804321006</v>
      </c>
      <c r="U18" s="708">
        <f ca="1">OFFSET('A+H Monthly CF'!$C$82,0,U5-2)</f>
        <v>7337339.0531938551</v>
      </c>
      <c r="V18" s="717">
        <f t="shared" ca="1" si="6"/>
        <v>0.16951204174526702</v>
      </c>
      <c r="X18" s="708">
        <f ca="1">OFFSET('A+H Monthly CF'!$C$82,0,X5-2)</f>
        <v>7523034.1144429203</v>
      </c>
      <c r="Y18" s="717">
        <f t="shared" ca="1" si="7"/>
        <v>0.16947659281501865</v>
      </c>
      <c r="AA18" s="709"/>
    </row>
    <row r="19" spans="1:27" x14ac:dyDescent="0.2">
      <c r="A19" s="721" t="s">
        <v>804</v>
      </c>
      <c r="B19" s="721"/>
      <c r="C19" s="708">
        <f ca="1">OFFSET('A+H Monthly CF'!$C$67,0,C5-2)</f>
        <v>0</v>
      </c>
      <c r="D19" s="717" t="e">
        <f t="shared" ca="1" si="0"/>
        <v>#DIV/0!</v>
      </c>
      <c r="E19" s="713"/>
      <c r="F19" s="708">
        <f ca="1">OFFSET('A+H Monthly CF'!$C$67,0,F5-2)</f>
        <v>0</v>
      </c>
      <c r="G19" s="717">
        <f t="shared" ca="1" si="1"/>
        <v>0</v>
      </c>
      <c r="I19" s="708">
        <f ca="1">OFFSET('A+H Monthly CF'!$C$67,0,I5-2)</f>
        <v>604522.80184800003</v>
      </c>
      <c r="J19" s="717">
        <f t="shared" ca="1" si="2"/>
        <v>9.5166003801933644E-2</v>
      </c>
      <c r="L19" s="708">
        <f ca="1">OFFSET('A+H Monthly CF'!$C$67,0,L5-2)</f>
        <v>2383363.9499502801</v>
      </c>
      <c r="M19" s="717">
        <f t="shared" ca="1" si="3"/>
        <v>0.1196213932075768</v>
      </c>
      <c r="O19" s="708">
        <f ca="1">OFFSET('A+H Monthly CF'!$C$67,0,O5-2)</f>
        <v>3435290.7756620822</v>
      </c>
      <c r="P19" s="717">
        <f t="shared" ca="1" si="4"/>
        <v>0.12280653448632066</v>
      </c>
      <c r="R19" s="708">
        <f ca="1">OFFSET('A+H Monthly CF'!$C$67,0,R5-2)</f>
        <v>4548188.1833616374</v>
      </c>
      <c r="S19" s="717">
        <f t="shared" ca="1" si="5"/>
        <v>0.12465173929126667</v>
      </c>
      <c r="U19" s="708">
        <f ca="1">OFFSET('A+H Monthly CF'!$C$67,0,U5-2)</f>
        <v>5435065.9653287809</v>
      </c>
      <c r="V19" s="717">
        <f t="shared" ca="1" si="6"/>
        <v>0.12556447536686446</v>
      </c>
      <c r="X19" s="708">
        <f ca="1">OFFSET('A+H Monthly CF'!$C$67,0,X5-2)</f>
        <v>5572617.8625503099</v>
      </c>
      <c r="Y19" s="717">
        <f t="shared" ca="1" si="7"/>
        <v>0.12553821690001379</v>
      </c>
      <c r="AA19" s="709"/>
    </row>
    <row r="20" spans="1:27" x14ac:dyDescent="0.2">
      <c r="A20" s="721" t="s">
        <v>805</v>
      </c>
      <c r="B20" s="721"/>
      <c r="C20" s="708">
        <f ca="1">OFFSET('A+H Monthly CF'!$C$71,0,C5-2)</f>
        <v>0</v>
      </c>
      <c r="D20" s="717" t="e">
        <f t="shared" ca="1" si="0"/>
        <v>#DIV/0!</v>
      </c>
      <c r="E20" s="713"/>
      <c r="F20" s="708">
        <f ca="1">OFFSET('A+H Monthly CF'!$C$71,0,F5-2)</f>
        <v>0</v>
      </c>
      <c r="G20" s="717">
        <f t="shared" ca="1" si="1"/>
        <v>0</v>
      </c>
      <c r="I20" s="708">
        <f ca="1">OFFSET('A+H Monthly CF'!$C$71,0,I5-2)</f>
        <v>151130.70046200001</v>
      </c>
      <c r="J20" s="717">
        <f t="shared" ca="1" si="2"/>
        <v>2.3791500950483411E-2</v>
      </c>
      <c r="L20" s="708">
        <f ca="1">OFFSET('A+H Monthly CF'!$C$71,0,L5-2)</f>
        <v>595840.98748757003</v>
      </c>
      <c r="M20" s="717">
        <f t="shared" ca="1" si="3"/>
        <v>2.9905348301894199E-2</v>
      </c>
      <c r="O20" s="708">
        <f ca="1">OFFSET('A+H Monthly CF'!$C$71,0,O5-2)</f>
        <v>858822.69391552056</v>
      </c>
      <c r="P20" s="717">
        <f t="shared" ca="1" si="4"/>
        <v>3.0701633621580165E-2</v>
      </c>
      <c r="R20" s="708">
        <f ca="1">OFFSET('A+H Monthly CF'!$C$71,0,R5-2)</f>
        <v>1137047.0458404094</v>
      </c>
      <c r="S20" s="717">
        <f t="shared" ca="1" si="5"/>
        <v>3.1162934822816669E-2</v>
      </c>
      <c r="U20" s="708">
        <f ca="1">OFFSET('A+H Monthly CF'!$C$71,0,U5-2)</f>
        <v>1358766.4913321952</v>
      </c>
      <c r="V20" s="717">
        <f t="shared" ca="1" si="6"/>
        <v>3.1391118841716116E-2</v>
      </c>
      <c r="X20" s="708">
        <f ca="1">OFFSET('A+H Monthly CF'!$C$71,0,X5-2)</f>
        <v>1393154.4656375775</v>
      </c>
      <c r="Y20" s="717">
        <f t="shared" ca="1" si="7"/>
        <v>3.1384554225003448E-2</v>
      </c>
      <c r="AA20" s="709"/>
    </row>
    <row r="21" spans="1:27" x14ac:dyDescent="0.2">
      <c r="A21" s="721" t="s">
        <v>696</v>
      </c>
      <c r="B21" s="721"/>
      <c r="C21" s="708">
        <f ca="1">OFFSET('A+H Monthly CF'!$C$77,0,C5-2)+OFFSET('A+H Monthly CF'!$C$78,0,C5-2)</f>
        <v>0</v>
      </c>
      <c r="D21" s="717" t="e">
        <f t="shared" ca="1" si="0"/>
        <v>#DIV/0!</v>
      </c>
      <c r="E21" s="713"/>
      <c r="F21" s="708">
        <f ca="1">OFFSET('A+H Monthly CF'!$C$77,0,F5-2)+OFFSET('A+H Monthly CF'!$C$78,0,F5-2)</f>
        <v>0</v>
      </c>
      <c r="G21" s="717">
        <f t="shared" ca="1" si="1"/>
        <v>0</v>
      </c>
      <c r="I21" s="708">
        <f ca="1">OFFSET('A+H Monthly CF'!$C$77,0,I5-2)+OFFSET('A+H Monthly CF'!$C$78,0,I5-2)</f>
        <v>1757924.5612499998</v>
      </c>
      <c r="J21" s="717">
        <f t="shared" ca="1" si="2"/>
        <v>0.27673837110530408</v>
      </c>
      <c r="L21" s="708">
        <f ca="1">OFFSET('A+H Monthly CF'!$C$77,0,L5-2)+OFFSET('A+H Monthly CF'!$C$78,0,L5-2)</f>
        <v>1810662.2980874998</v>
      </c>
      <c r="M21" s="717">
        <f t="shared" ca="1" si="3"/>
        <v>9.0877411622416221E-2</v>
      </c>
      <c r="O21" s="708">
        <f ca="1">OFFSET('A+H Monthly CF'!$C$77,0,O5-2)+OFFSET('A+H Monthly CF'!$C$78,0,O5-2)</f>
        <v>1864982.1670301249</v>
      </c>
      <c r="P21" s="717">
        <f t="shared" ca="1" si="4"/>
        <v>6.667033790396297E-2</v>
      </c>
      <c r="R21" s="708">
        <f ca="1">OFFSET('A+H Monthly CF'!$C$77,0,R5-2)+OFFSET('A+H Monthly CF'!$C$78,0,R5-2)</f>
        <v>1920931.6320410285</v>
      </c>
      <c r="S21" s="717">
        <f t="shared" ca="1" si="5"/>
        <v>5.2646781386373132E-2</v>
      </c>
      <c r="U21" s="708">
        <f ca="1">OFFSET('A+H Monthly CF'!$C$77,0,U5-2)+OFFSET('A+H Monthly CF'!$C$78,0,U5-2)</f>
        <v>1978559.5810022599</v>
      </c>
      <c r="V21" s="717">
        <f t="shared" ca="1" si="6"/>
        <v>4.5709987211830158E-2</v>
      </c>
      <c r="X21" s="708">
        <f ca="1">OFFSET('A+H Monthly CF'!$C$77,0,X5-2)+OFFSET('A+H Monthly CF'!$C$78,0,X5-2)</f>
        <v>2037916.3684323274</v>
      </c>
      <c r="Y21" s="717">
        <f t="shared" ca="1" si="7"/>
        <v>4.5909551559895109E-2</v>
      </c>
      <c r="AA21" s="709"/>
    </row>
    <row r="22" spans="1:27" x14ac:dyDescent="0.2">
      <c r="A22" s="721" t="s">
        <v>806</v>
      </c>
      <c r="B22" s="721"/>
      <c r="C22" s="708">
        <v>0</v>
      </c>
      <c r="D22" s="717" t="e">
        <f t="shared" ca="1" si="0"/>
        <v>#DIV/0!</v>
      </c>
      <c r="E22" s="708"/>
      <c r="F22" s="708">
        <v>0</v>
      </c>
      <c r="G22" s="717">
        <f t="shared" ca="1" si="1"/>
        <v>0</v>
      </c>
      <c r="I22" s="708">
        <v>0</v>
      </c>
      <c r="J22" s="717">
        <f t="shared" ca="1" si="2"/>
        <v>0</v>
      </c>
      <c r="L22" s="708">
        <v>0</v>
      </c>
      <c r="M22" s="717">
        <f t="shared" ca="1" si="3"/>
        <v>0</v>
      </c>
      <c r="N22" s="717"/>
      <c r="O22" s="708">
        <v>0</v>
      </c>
      <c r="P22" s="717">
        <f t="shared" ca="1" si="4"/>
        <v>0</v>
      </c>
      <c r="Q22" s="717"/>
      <c r="R22" s="708">
        <f>O22*(1+R$7)</f>
        <v>0</v>
      </c>
      <c r="S22" s="717">
        <f t="shared" ca="1" si="5"/>
        <v>0</v>
      </c>
      <c r="T22" s="717"/>
      <c r="U22" s="708">
        <f>R22*(1+U$7)</f>
        <v>0</v>
      </c>
      <c r="V22" s="717">
        <f t="shared" ca="1" si="6"/>
        <v>0</v>
      </c>
      <c r="W22" s="717"/>
      <c r="X22" s="708">
        <f>U22*(1+X$7)</f>
        <v>0</v>
      </c>
      <c r="Y22" s="717">
        <f t="shared" ca="1" si="7"/>
        <v>0</v>
      </c>
      <c r="AA22" s="709"/>
    </row>
    <row r="23" spans="1:27" x14ac:dyDescent="0.2">
      <c r="A23" s="721" t="s">
        <v>807</v>
      </c>
      <c r="B23" s="721"/>
      <c r="C23" s="708">
        <v>0</v>
      </c>
      <c r="D23" s="717" t="e">
        <f t="shared" ca="1" si="0"/>
        <v>#DIV/0!</v>
      </c>
      <c r="E23" s="713"/>
      <c r="F23" s="708">
        <v>0</v>
      </c>
      <c r="G23" s="717">
        <f t="shared" ca="1" si="1"/>
        <v>0</v>
      </c>
      <c r="I23" s="708">
        <v>0</v>
      </c>
      <c r="J23" s="717">
        <f t="shared" ca="1" si="2"/>
        <v>0</v>
      </c>
      <c r="L23" s="708">
        <v>0</v>
      </c>
      <c r="M23" s="717">
        <f t="shared" ca="1" si="3"/>
        <v>0</v>
      </c>
      <c r="O23" s="708">
        <v>0</v>
      </c>
      <c r="P23" s="717">
        <f t="shared" ca="1" si="4"/>
        <v>0</v>
      </c>
      <c r="R23" s="708">
        <f>O23*(1+R$7)</f>
        <v>0</v>
      </c>
      <c r="S23" s="717">
        <f t="shared" ca="1" si="5"/>
        <v>0</v>
      </c>
      <c r="U23" s="708">
        <f>R23*(1+U$7)</f>
        <v>0</v>
      </c>
      <c r="V23" s="717">
        <f t="shared" ca="1" si="6"/>
        <v>0</v>
      </c>
      <c r="X23" s="708">
        <f>U23*(1+X$7)</f>
        <v>0</v>
      </c>
      <c r="Y23" s="717">
        <f t="shared" ca="1" si="7"/>
        <v>0</v>
      </c>
      <c r="AA23" s="709"/>
    </row>
    <row r="24" spans="1:27" x14ac:dyDescent="0.2">
      <c r="A24" s="718" t="s">
        <v>808</v>
      </c>
      <c r="B24" s="718"/>
      <c r="C24" s="720">
        <f ca="1">SUM(C17:C23)</f>
        <v>0</v>
      </c>
      <c r="D24" s="719" t="e">
        <f t="shared" ca="1" si="0"/>
        <v>#DIV/0!</v>
      </c>
      <c r="E24" s="713"/>
      <c r="F24" s="720">
        <f ca="1">SUM(F17:F23)</f>
        <v>1564933.5900000003</v>
      </c>
      <c r="G24" s="719">
        <f t="shared" ca="1" si="1"/>
        <v>1</v>
      </c>
      <c r="I24" s="720">
        <f ca="1">SUM(I17:I23)</f>
        <v>6352297.8552948013</v>
      </c>
      <c r="J24" s="719">
        <f t="shared" ca="1" si="2"/>
        <v>1</v>
      </c>
      <c r="L24" s="720">
        <f ca="1">SUM(L17:L23)</f>
        <v>19924228.317709632</v>
      </c>
      <c r="M24" s="719">
        <f t="shared" ca="1" si="3"/>
        <v>1</v>
      </c>
      <c r="O24" s="720">
        <f ca="1">SUM(O17:O23)</f>
        <v>27973192.062061951</v>
      </c>
      <c r="P24" s="719">
        <f t="shared" ca="1" si="4"/>
        <v>1</v>
      </c>
      <c r="R24" s="720">
        <f ca="1">SUM(R17:R23)</f>
        <v>36487161.825589478</v>
      </c>
      <c r="S24" s="719">
        <f t="shared" ca="1" si="5"/>
        <v>1</v>
      </c>
      <c r="U24" s="720">
        <f ca="1">SUM(U17:U23)</f>
        <v>43285060.917500995</v>
      </c>
      <c r="V24" s="719">
        <f t="shared" ca="1" si="6"/>
        <v>1</v>
      </c>
      <c r="X24" s="720">
        <f ca="1">SUM(X17:X23)</f>
        <v>44389812.123814687</v>
      </c>
      <c r="Y24" s="719">
        <f t="shared" ca="1" si="7"/>
        <v>1</v>
      </c>
      <c r="AA24" s="709"/>
    </row>
    <row r="25" spans="1:27" x14ac:dyDescent="0.2">
      <c r="A25" s="727"/>
      <c r="B25" s="727"/>
      <c r="C25" s="708"/>
      <c r="D25" s="717"/>
      <c r="E25" s="713"/>
      <c r="F25" s="708"/>
      <c r="G25" s="717"/>
      <c r="I25" s="708"/>
      <c r="J25" s="717"/>
      <c r="L25" s="708"/>
      <c r="M25" s="717"/>
      <c r="O25" s="708"/>
      <c r="P25" s="717"/>
      <c r="R25" s="708"/>
      <c r="S25" s="717"/>
      <c r="U25" s="708"/>
      <c r="V25" s="717"/>
      <c r="X25" s="708"/>
      <c r="Y25" s="717"/>
      <c r="AA25" s="709"/>
    </row>
    <row r="26" spans="1:27" x14ac:dyDescent="0.2">
      <c r="A26" s="727" t="s">
        <v>809</v>
      </c>
      <c r="B26" s="727"/>
      <c r="C26" s="709"/>
      <c r="D26" s="715"/>
      <c r="F26" s="709"/>
      <c r="G26" s="715"/>
      <c r="I26" s="709"/>
      <c r="J26" s="715"/>
      <c r="L26" s="709"/>
      <c r="M26" s="715"/>
      <c r="O26" s="709"/>
      <c r="P26" s="715"/>
      <c r="R26" s="709"/>
      <c r="S26" s="715"/>
      <c r="U26" s="709"/>
      <c r="V26" s="715"/>
      <c r="X26" s="709"/>
      <c r="Y26" s="715"/>
      <c r="AA26" s="709"/>
    </row>
    <row r="27" spans="1:27" x14ac:dyDescent="0.2">
      <c r="A27" s="721" t="s">
        <v>802</v>
      </c>
      <c r="B27" s="721"/>
      <c r="C27" s="708">
        <f ca="1">-OFFSET('A+H Monthly CF'!$C$61,0,C5-2)</f>
        <v>0</v>
      </c>
      <c r="D27" s="717">
        <f ca="1">IF(ISERROR(C27/C17),0,C27/C17)</f>
        <v>0</v>
      </c>
      <c r="E27" s="713"/>
      <c r="F27" s="708">
        <f ca="1">-OFFSET('A+H Monthly CF'!$C$61,0,F5-2)</f>
        <v>547726.75650000013</v>
      </c>
      <c r="G27" s="717">
        <f ca="1">IF(ISERROR(F27/F17),0,F27/F17)</f>
        <v>0.35000000000000003</v>
      </c>
      <c r="I27" s="708">
        <f ca="1">-OFFSET('A+H Monthly CF'!$C$61,0,I5-2)</f>
        <v>1057914.9032340001</v>
      </c>
      <c r="J27" s="717">
        <f ca="1">IF(ISERROR(I27/I17),0,I27/I17)</f>
        <v>0.35000000000000003</v>
      </c>
      <c r="L27" s="708">
        <f ca="1">-OFFSET('A+H Monthly CF'!$C$61,0,L5-2)</f>
        <v>4170886.9124129913</v>
      </c>
      <c r="M27" s="717">
        <f ca="1">IF(ISERROR(L27/L17),0,L27/L17)</f>
        <v>0.35000000000000003</v>
      </c>
      <c r="O27" s="708">
        <f ca="1">-OFFSET('A+H Monthly CF'!$C$61,0,O5-2)</f>
        <v>6011758.8574086437</v>
      </c>
      <c r="P27" s="717">
        <f ca="1">IF(ISERROR(O27/O17),0,O27/O17)</f>
        <v>0.35</v>
      </c>
      <c r="R27" s="708">
        <f ca="1">-OFFSET('A+H Monthly CF'!$C$61,0,R5-2)</f>
        <v>7959329.3208828652</v>
      </c>
      <c r="S27" s="717">
        <f ca="1">IF(ISERROR(R27/R17),0,R27/R17)</f>
        <v>0.35</v>
      </c>
      <c r="U27" s="708">
        <f ca="1">-OFFSET('A+H Monthly CF'!$C$61,0,U5-2)</f>
        <v>9511365.4393253643</v>
      </c>
      <c r="V27" s="717">
        <f ca="1">IF(ISERROR(U27/U17),0,U27/U17)</f>
        <v>0.34999999999999992</v>
      </c>
      <c r="X27" s="708">
        <f ca="1">-OFFSET('A+H Monthly CF'!$C$61,0,X5-2)</f>
        <v>9752081.2594630457</v>
      </c>
      <c r="Y27" s="717">
        <f ca="1">IF(ISERROR(X27/X17),0,X27/X17)</f>
        <v>0.35000000000000009</v>
      </c>
      <c r="AA27" s="709"/>
    </row>
    <row r="28" spans="1:27" x14ac:dyDescent="0.2">
      <c r="A28" s="721" t="s">
        <v>810</v>
      </c>
      <c r="B28" s="721"/>
      <c r="C28" s="708">
        <f ca="1">-OFFSET('A+H Monthly CF'!$C$63,0,C5-2)-OFFSET('A+H Monthly CF'!$C$64,0,C5-2)</f>
        <v>0</v>
      </c>
      <c r="D28" s="717">
        <f ca="1">IF(ISERROR(C28/C17),0,C28/C17)</f>
        <v>0</v>
      </c>
      <c r="E28" s="713"/>
      <c r="F28" s="708">
        <f ca="1">-OFFSET('A+H Monthly CF'!$C$63,0,F5-2)-OFFSET('A+H Monthly CF'!$C$64,0,F5-2)</f>
        <v>0</v>
      </c>
      <c r="G28" s="717">
        <f ca="1">IF(ISERROR(F28/F17),0,F28/F17)</f>
        <v>0</v>
      </c>
      <c r="I28" s="708">
        <f ca="1">-OFFSET('A+H Monthly CF'!$C$63,0,I5-2)-OFFSET('A+H Monthly CF'!$C$64,0,I5-2)</f>
        <v>116768.80722000002</v>
      </c>
      <c r="J28" s="717">
        <f ca="1">IF(ISERROR(I28/I17),0,I28/I17)</f>
        <v>3.8631729642965601E-2</v>
      </c>
      <c r="L28" s="708">
        <f ca="1">-OFFSET('A+H Monthly CF'!$C$63,0,L5-2)-OFFSET('A+H Monthly CF'!$C$64,0,L5-2)</f>
        <v>1898587.0463247003</v>
      </c>
      <c r="M28" s="717">
        <f ca="1">IF(ISERROR(L28/L17),0,L28/L17)</f>
        <v>0.15931994325619525</v>
      </c>
      <c r="O28" s="708">
        <f ca="1">-OFFSET('A+H Monthly CF'!$C$63,0,O5-2)-OFFSET('A+H Monthly CF'!$C$64,0,O5-2)</f>
        <v>3788339.5800716276</v>
      </c>
      <c r="P28" s="717">
        <f ca="1">IF(ISERROR(O28/O17),0,O28/O17)</f>
        <v>0.22055423121156328</v>
      </c>
      <c r="R28" s="708">
        <f ca="1">-OFFSET('A+H Monthly CF'!$C$63,0,R5-2)-OFFSET('A+H Monthly CF'!$C$64,0,R5-2)</f>
        <v>5789768.5375016779</v>
      </c>
      <c r="S28" s="717">
        <f ca="1">IF(ISERROR(R28/R17),0,R28/R17)</f>
        <v>0.25459670110757682</v>
      </c>
      <c r="U28" s="708">
        <f ca="1">-OFFSET('A+H Monthly CF'!$C$63,0,U5-2)-OFFSET('A+H Monthly CF'!$C$64,0,U5-2)</f>
        <v>7815651.6349565843</v>
      </c>
      <c r="V28" s="717">
        <f ca="1">IF(ISERROR(U28/U17),0,U28/U17)</f>
        <v>0.2876009853353747</v>
      </c>
      <c r="X28" s="708">
        <f ca="1">-OFFSET('A+H Monthly CF'!$C$63,0,X5-2)-OFFSET('A+H Monthly CF'!$C$64,0,X5-2)</f>
        <v>8010977.9884904046</v>
      </c>
      <c r="Y28" s="717">
        <f ca="1">IF(ISERROR(X28/X17),0,X28/X17)</f>
        <v>0.28751219574292425</v>
      </c>
      <c r="AA28" s="709"/>
    </row>
    <row r="29" spans="1:27" x14ac:dyDescent="0.2">
      <c r="A29" s="721" t="s">
        <v>803</v>
      </c>
      <c r="B29" s="721"/>
      <c r="C29" s="708">
        <f ca="1">-OFFSET('A+H Monthly CF'!$C$83,0,C5-2)</f>
        <v>0</v>
      </c>
      <c r="D29" s="717">
        <f ca="1">IF(ISERROR(C29/C18),0,C29/C18)</f>
        <v>0</v>
      </c>
      <c r="E29" s="713"/>
      <c r="F29" s="708">
        <f ca="1">-OFFSET('A+H Monthly CF'!$C$83,0,F5-2)</f>
        <v>0</v>
      </c>
      <c r="G29" s="717">
        <f ca="1">IF(ISERROR(F29/F18),0,F29/F18)</f>
        <v>0</v>
      </c>
      <c r="I29" s="708">
        <f ca="1">-OFFSET('A+H Monthly CF'!$C$83,0,I5-2)</f>
        <v>734495.20424532006</v>
      </c>
      <c r="J29" s="717">
        <f ca="1">IF(ISERROR(I29/I18),0,I29/I18)</f>
        <v>0.8999999999999998</v>
      </c>
      <c r="L29" s="708">
        <f ca="1">-OFFSET('A+H Monthly CF'!$C$83,0,L5-2)</f>
        <v>2895787.1991895912</v>
      </c>
      <c r="M29" s="717">
        <f ca="1">IF(ISERROR(L29/L18),0,L29/L18)</f>
        <v>0.90000000000000024</v>
      </c>
      <c r="O29" s="708">
        <f ca="1">-OFFSET('A+H Monthly CF'!$C$83,0,O5-2)</f>
        <v>4173878.2924294304</v>
      </c>
      <c r="P29" s="717">
        <f ca="1">IF(ISERROR(O29/O18),0,O29/O18)</f>
        <v>0.90000000000000024</v>
      </c>
      <c r="R29" s="708">
        <f ca="1">-OFFSET('A+H Monthly CF'!$C$83,0,R5-2)</f>
        <v>5526048.6427843897</v>
      </c>
      <c r="S29" s="717">
        <f ca="1">IF(ISERROR(R29/R18),0,R29/R18)</f>
        <v>0.89999999999999969</v>
      </c>
      <c r="U29" s="708">
        <f ca="1">-OFFSET('A+H Monthly CF'!$C$83,0,U5-2)</f>
        <v>6603605.1478744717</v>
      </c>
      <c r="V29" s="717">
        <f ca="1">IF(ISERROR(U29/U18),0,U29/U18)</f>
        <v>0.90000000000000024</v>
      </c>
      <c r="X29" s="708">
        <f ca="1">-OFFSET('A+H Monthly CF'!$C$83,0,X5-2)</f>
        <v>6770730.7029986279</v>
      </c>
      <c r="Y29" s="717">
        <f ca="1">IF(ISERROR(X29/X18),0,X29/X18)</f>
        <v>0.89999999999999991</v>
      </c>
      <c r="AA29" s="709"/>
    </row>
    <row r="30" spans="1:27" x14ac:dyDescent="0.2">
      <c r="A30" s="721" t="s">
        <v>804</v>
      </c>
      <c r="B30" s="721"/>
      <c r="C30" s="708">
        <f ca="1">-OFFSET('A+H Monthly CF'!$C$68,0,C5-2)</f>
        <v>0</v>
      </c>
      <c r="D30" s="717">
        <f t="shared" ref="D30:D34" ca="1" si="8">IF(ISERROR(C30/C19),0,C30/C19)</f>
        <v>0</v>
      </c>
      <c r="E30" s="713"/>
      <c r="F30" s="708">
        <f ca="1">-OFFSET('A+H Monthly CF'!$C$68,0,F5-2)</f>
        <v>0</v>
      </c>
      <c r="G30" s="717">
        <f t="shared" ref="G30:G34" ca="1" si="9">IF(ISERROR(F30/F19),0,F30/F19)</f>
        <v>0</v>
      </c>
      <c r="I30" s="708">
        <f ca="1">-OFFSET('A+H Monthly CF'!$C$68,0,I5-2)</f>
        <v>453392.10138599999</v>
      </c>
      <c r="J30" s="717">
        <f t="shared" ref="J30:J34" ca="1" si="10">IF(ISERROR(I30/I19),0,I30/I19)</f>
        <v>0.75</v>
      </c>
      <c r="L30" s="708">
        <f ca="1">-OFFSET('A+H Monthly CF'!$C$68,0,L5-2)</f>
        <v>1787522.9624627102</v>
      </c>
      <c r="M30" s="717">
        <f t="shared" ref="M30:M34" ca="1" si="11">IF(ISERROR(L30/L19),0,L30/L19)</f>
        <v>0.75</v>
      </c>
      <c r="O30" s="708">
        <f ca="1">-OFFSET('A+H Monthly CF'!$C$68,0,O5-2)</f>
        <v>2576468.0817465624</v>
      </c>
      <c r="P30" s="717">
        <f t="shared" ref="P30:P34" ca="1" si="12">IF(ISERROR(O30/O19),0,O30/O19)</f>
        <v>0.75000000000000022</v>
      </c>
      <c r="R30" s="708">
        <f ca="1">-OFFSET('A+H Monthly CF'!$C$68,0,R5-2)</f>
        <v>3411141.1375212288</v>
      </c>
      <c r="S30" s="717">
        <f t="shared" ref="S30:S34" ca="1" si="13">IF(ISERROR(R30/R19),0,R30/R19)</f>
        <v>0.75000000000000011</v>
      </c>
      <c r="U30" s="708">
        <f ca="1">-OFFSET('A+H Monthly CF'!$C$68,0,U5-2)</f>
        <v>4076299.4739965852</v>
      </c>
      <c r="V30" s="717">
        <f t="shared" ref="V30:V34" ca="1" si="14">IF(ISERROR(U30/U19),0,U30/U19)</f>
        <v>0.74999999999999989</v>
      </c>
      <c r="X30" s="708">
        <f ca="1">-OFFSET('A+H Monthly CF'!$C$68,0,X5-2)</f>
        <v>4179463.396912734</v>
      </c>
      <c r="Y30" s="717">
        <f t="shared" ref="Y30:Y34" ca="1" si="15">IF(ISERROR(X30/X19),0,X30/X19)</f>
        <v>0.75000000000000033</v>
      </c>
      <c r="AA30" s="709"/>
    </row>
    <row r="31" spans="1:27" x14ac:dyDescent="0.2">
      <c r="A31" s="721" t="s">
        <v>805</v>
      </c>
      <c r="B31" s="734"/>
      <c r="C31" s="731">
        <f ca="1">-OFFSET('A+H Monthly CF'!$C$72,0,C5-2)</f>
        <v>0</v>
      </c>
      <c r="D31" s="730">
        <f t="shared" ca="1" si="8"/>
        <v>0</v>
      </c>
      <c r="E31" s="733"/>
      <c r="F31" s="731">
        <f ca="1">-OFFSET('A+H Monthly CF'!$C$72,0,F5-2)</f>
        <v>0</v>
      </c>
      <c r="G31" s="717">
        <f t="shared" ca="1" si="9"/>
        <v>0</v>
      </c>
      <c r="H31" s="732"/>
      <c r="I31" s="731">
        <f ca="1">-OFFSET('A+H Monthly CF'!$C$72,0,I5-2)</f>
        <v>37782.675115500002</v>
      </c>
      <c r="J31" s="717">
        <f t="shared" ca="1" si="10"/>
        <v>0.25</v>
      </c>
      <c r="K31" s="732"/>
      <c r="L31" s="731">
        <f ca="1">-OFFSET('A+H Monthly CF'!$C$72,0,L5-2)</f>
        <v>148960.24687189251</v>
      </c>
      <c r="M31" s="730">
        <f t="shared" ca="1" si="11"/>
        <v>0.25</v>
      </c>
      <c r="N31" s="732"/>
      <c r="O31" s="731">
        <f ca="1">-OFFSET('A+H Monthly CF'!$C$72,0,O5-2)</f>
        <v>214705.67347888014</v>
      </c>
      <c r="P31" s="730">
        <f t="shared" ca="1" si="12"/>
        <v>0.25</v>
      </c>
      <c r="Q31" s="732"/>
      <c r="R31" s="731">
        <f ca="1">-OFFSET('A+H Monthly CF'!$C$72,0,R5-2)</f>
        <v>284261.76146010234</v>
      </c>
      <c r="S31" s="730">
        <f t="shared" ca="1" si="13"/>
        <v>0.25</v>
      </c>
      <c r="T31" s="732"/>
      <c r="U31" s="731">
        <f ca="1">-OFFSET('A+H Monthly CF'!$C$72,0,U5-2)</f>
        <v>339691.62283304881</v>
      </c>
      <c r="V31" s="730">
        <f t="shared" ca="1" si="14"/>
        <v>0.25</v>
      </c>
      <c r="W31" s="732"/>
      <c r="X31" s="731">
        <f ca="1">-OFFSET('A+H Monthly CF'!$C$72,0,X5-2)</f>
        <v>348288.61640939437</v>
      </c>
      <c r="Y31" s="730">
        <f t="shared" ca="1" si="15"/>
        <v>0.25</v>
      </c>
      <c r="AA31" s="709"/>
    </row>
    <row r="32" spans="1:27" x14ac:dyDescent="0.2">
      <c r="A32" s="721" t="s">
        <v>696</v>
      </c>
      <c r="B32" s="721"/>
      <c r="C32" s="708">
        <f ca="1">-OFFSET('A+H Monthly CF'!$C$79,0,C5-2)</f>
        <v>0</v>
      </c>
      <c r="D32" s="717">
        <f t="shared" ca="1" si="8"/>
        <v>0</v>
      </c>
      <c r="E32" s="713"/>
      <c r="F32" s="708">
        <f ca="1">-OFFSET('A+H Monthly CF'!$C$79,0,F5-2)</f>
        <v>0</v>
      </c>
      <c r="G32" s="717">
        <f t="shared" ca="1" si="9"/>
        <v>0</v>
      </c>
      <c r="I32" s="708">
        <f ca="1">-OFFSET('A+H Monthly CF'!$C$79,0,I5-2)</f>
        <v>40000</v>
      </c>
      <c r="J32" s="717">
        <f t="shared" ca="1" si="10"/>
        <v>2.2754104972261935E-2</v>
      </c>
      <c r="L32" s="708">
        <f ca="1">-OFFSET('A+H Monthly CF'!$C$79,0,L5-2)</f>
        <v>40000</v>
      </c>
      <c r="M32" s="717">
        <f t="shared" ca="1" si="11"/>
        <v>2.2091364050739741E-2</v>
      </c>
      <c r="O32" s="708">
        <f ca="1">-OFFSET('A+H Monthly CF'!$C$79,0,O5-2)</f>
        <v>40000</v>
      </c>
      <c r="P32" s="717">
        <f t="shared" ca="1" si="12"/>
        <v>2.1447926262854116E-2</v>
      </c>
      <c r="R32" s="708">
        <f ca="1">-OFFSET('A+H Monthly CF'!$C$79,0,R5-2)</f>
        <v>40000</v>
      </c>
      <c r="S32" s="717">
        <f t="shared" ca="1" si="13"/>
        <v>2.0823229381411765E-2</v>
      </c>
      <c r="U32" s="708">
        <f ca="1">-OFFSET('A+H Monthly CF'!$C$79,0,U5-2)</f>
        <v>40000</v>
      </c>
      <c r="V32" s="717">
        <f t="shared" ca="1" si="14"/>
        <v>2.02167275547687E-2</v>
      </c>
      <c r="X32" s="708">
        <f ca="1">-OFFSET('A+H Monthly CF'!$C$79,0,X5-2)</f>
        <v>40000</v>
      </c>
      <c r="Y32" s="717">
        <f t="shared" ca="1" si="15"/>
        <v>1.9627890829872527E-2</v>
      </c>
      <c r="AA32" s="709"/>
    </row>
    <row r="33" spans="1:27" x14ac:dyDescent="0.2">
      <c r="A33" s="721" t="s">
        <v>806</v>
      </c>
      <c r="B33" s="721"/>
      <c r="C33" s="708">
        <v>0</v>
      </c>
      <c r="D33" s="717">
        <f t="shared" si="8"/>
        <v>0</v>
      </c>
      <c r="E33" s="713"/>
      <c r="F33" s="708">
        <v>0</v>
      </c>
      <c r="G33" s="717">
        <f t="shared" si="9"/>
        <v>0</v>
      </c>
      <c r="I33" s="708">
        <v>0</v>
      </c>
      <c r="J33" s="717">
        <f t="shared" si="10"/>
        <v>0</v>
      </c>
      <c r="L33" s="708">
        <v>0</v>
      </c>
      <c r="M33" s="717">
        <f t="shared" si="11"/>
        <v>0</v>
      </c>
      <c r="O33" s="708">
        <v>0</v>
      </c>
      <c r="P33" s="717">
        <f t="shared" si="12"/>
        <v>0</v>
      </c>
      <c r="R33" s="708">
        <f>O33*(1+R$7)</f>
        <v>0</v>
      </c>
      <c r="S33" s="717">
        <f t="shared" si="13"/>
        <v>0</v>
      </c>
      <c r="U33" s="708">
        <f>R33*(1+U$7)</f>
        <v>0</v>
      </c>
      <c r="V33" s="717">
        <f t="shared" si="14"/>
        <v>0</v>
      </c>
      <c r="X33" s="708">
        <f>U33*(1+X$7)</f>
        <v>0</v>
      </c>
      <c r="Y33" s="717">
        <f t="shared" si="15"/>
        <v>0</v>
      </c>
      <c r="AA33" s="709"/>
    </row>
    <row r="34" spans="1:27" x14ac:dyDescent="0.2">
      <c r="A34" s="721" t="s">
        <v>811</v>
      </c>
      <c r="B34" s="721"/>
      <c r="C34" s="708">
        <v>0</v>
      </c>
      <c r="D34" s="717">
        <f t="shared" si="8"/>
        <v>0</v>
      </c>
      <c r="E34" s="713"/>
      <c r="F34" s="708">
        <v>0</v>
      </c>
      <c r="G34" s="717">
        <f t="shared" si="9"/>
        <v>0</v>
      </c>
      <c r="I34" s="708">
        <v>0</v>
      </c>
      <c r="J34" s="717">
        <f t="shared" si="10"/>
        <v>0</v>
      </c>
      <c r="L34" s="708">
        <v>0</v>
      </c>
      <c r="M34" s="717">
        <f t="shared" si="11"/>
        <v>0</v>
      </c>
      <c r="O34" s="708">
        <v>0</v>
      </c>
      <c r="P34" s="717">
        <f t="shared" si="12"/>
        <v>0</v>
      </c>
      <c r="R34" s="708">
        <f>O34*(1+R$7)</f>
        <v>0</v>
      </c>
      <c r="S34" s="717">
        <f t="shared" si="13"/>
        <v>0</v>
      </c>
      <c r="U34" s="708">
        <f>R34*(1+U$7)</f>
        <v>0</v>
      </c>
      <c r="V34" s="717">
        <f t="shared" si="14"/>
        <v>0</v>
      </c>
      <c r="X34" s="708">
        <f>U34*(1+X$7)</f>
        <v>0</v>
      </c>
      <c r="Y34" s="717">
        <f t="shared" si="15"/>
        <v>0</v>
      </c>
      <c r="AA34" s="709"/>
    </row>
    <row r="35" spans="1:27" x14ac:dyDescent="0.2">
      <c r="A35" s="718" t="s">
        <v>812</v>
      </c>
      <c r="B35" s="718"/>
      <c r="C35" s="720">
        <f ca="1">SUM(C27:C34)</f>
        <v>0</v>
      </c>
      <c r="D35" s="719" t="e">
        <f ca="1">C35/C$24</f>
        <v>#DIV/0!</v>
      </c>
      <c r="E35" s="713"/>
      <c r="F35" s="720">
        <f ca="1">SUM(F27:F34)</f>
        <v>547726.75650000013</v>
      </c>
      <c r="G35" s="719">
        <f ca="1">F35/F$24</f>
        <v>0.35000000000000003</v>
      </c>
      <c r="I35" s="720">
        <f ca="1">SUM(I27:I34)</f>
        <v>2440353.6912008203</v>
      </c>
      <c r="J35" s="719">
        <f ca="1">I35/I$24</f>
        <v>0.38416864995817596</v>
      </c>
      <c r="L35" s="720">
        <f ca="1">SUM(L27:L34)</f>
        <v>10941744.367261885</v>
      </c>
      <c r="M35" s="719">
        <f ca="1">L35/L$24</f>
        <v>0.54916778671605193</v>
      </c>
      <c r="O35" s="720">
        <f ca="1">SUM(O27:O34)</f>
        <v>16805150.485135145</v>
      </c>
      <c r="P35" s="719">
        <f ca="1">O35/O$24</f>
        <v>0.60075912852029412</v>
      </c>
      <c r="R35" s="720">
        <f ca="1">SUM(R27:R34)</f>
        <v>23010549.400150266</v>
      </c>
      <c r="S35" s="719">
        <f ca="1">R35/R$24</f>
        <v>0.63064782923215246</v>
      </c>
      <c r="U35" s="720">
        <f ca="1">SUM(U27:U34)</f>
        <v>28386613.318986055</v>
      </c>
      <c r="V35" s="719">
        <f ca="1">U35/U$24</f>
        <v>0.65580624624947204</v>
      </c>
      <c r="X35" s="720">
        <f ca="1">SUM(X27:X34)</f>
        <v>29101541.964274209</v>
      </c>
      <c r="Y35" s="719">
        <f ca="1">X35/X$24</f>
        <v>0.65559056395874049</v>
      </c>
      <c r="AA35" s="709"/>
    </row>
    <row r="36" spans="1:27" x14ac:dyDescent="0.2">
      <c r="A36" s="727" t="s">
        <v>813</v>
      </c>
      <c r="B36" s="727"/>
      <c r="C36" s="720">
        <f ca="1">C24-C35</f>
        <v>0</v>
      </c>
      <c r="D36" s="719" t="e">
        <f ca="1">C36/C$24</f>
        <v>#DIV/0!</v>
      </c>
      <c r="E36" s="713"/>
      <c r="F36" s="720">
        <f ca="1">F24-F35</f>
        <v>1017206.8335000002</v>
      </c>
      <c r="G36" s="719">
        <f ca="1">F36/F$24</f>
        <v>0.65</v>
      </c>
      <c r="I36" s="720">
        <f ca="1">I24-I35</f>
        <v>3911944.164093981</v>
      </c>
      <c r="J36" s="719">
        <f ca="1">I36/I$24</f>
        <v>0.6158313500418241</v>
      </c>
      <c r="L36" s="720">
        <f ca="1">L24-L35</f>
        <v>8982483.9504477475</v>
      </c>
      <c r="M36" s="719">
        <f ca="1">L36/L$24</f>
        <v>0.45083221328394812</v>
      </c>
      <c r="O36" s="720">
        <f ca="1">O24-O35</f>
        <v>11168041.576926805</v>
      </c>
      <c r="P36" s="719">
        <f ca="1">O36/O$24</f>
        <v>0.39924087147970594</v>
      </c>
      <c r="R36" s="720">
        <f ca="1">R24-R35</f>
        <v>13476612.425439212</v>
      </c>
      <c r="S36" s="719">
        <f ca="1">R36/R$24</f>
        <v>0.36935217076784754</v>
      </c>
      <c r="U36" s="720">
        <f ca="1">U24-U35</f>
        <v>14898447.598514941</v>
      </c>
      <c r="V36" s="719">
        <f ca="1">U36/U$24</f>
        <v>0.34419375375052796</v>
      </c>
      <c r="X36" s="720">
        <f ca="1">X24-X35</f>
        <v>15288270.159540478</v>
      </c>
      <c r="Y36" s="719">
        <f ca="1">X36/X$24</f>
        <v>0.34440943604125945</v>
      </c>
      <c r="AA36" s="709"/>
    </row>
    <row r="37" spans="1:27" x14ac:dyDescent="0.2">
      <c r="A37" s="727"/>
      <c r="B37" s="727"/>
      <c r="C37" s="708"/>
      <c r="D37" s="717"/>
      <c r="E37" s="713"/>
      <c r="F37" s="708"/>
      <c r="G37" s="717"/>
      <c r="I37" s="708"/>
      <c r="J37" s="717"/>
      <c r="L37" s="708"/>
      <c r="M37" s="717"/>
      <c r="O37" s="708"/>
      <c r="P37" s="717"/>
      <c r="R37" s="708"/>
      <c r="S37" s="717"/>
      <c r="U37" s="708"/>
      <c r="V37" s="717"/>
      <c r="X37" s="708"/>
      <c r="Y37" s="717"/>
      <c r="AA37" s="709"/>
    </row>
    <row r="38" spans="1:27" x14ac:dyDescent="0.2">
      <c r="A38" s="727" t="s">
        <v>814</v>
      </c>
      <c r="B38" s="727"/>
      <c r="C38" s="709"/>
      <c r="D38" s="715"/>
      <c r="F38" s="709"/>
      <c r="G38" s="715"/>
      <c r="I38" s="709"/>
      <c r="J38" s="715"/>
      <c r="L38" s="709"/>
      <c r="M38" s="715"/>
      <c r="O38" s="709"/>
      <c r="P38" s="715"/>
      <c r="R38" s="709"/>
      <c r="S38" s="715"/>
      <c r="U38" s="709"/>
      <c r="V38" s="715"/>
      <c r="X38" s="709"/>
      <c r="Y38" s="715"/>
      <c r="AA38" s="709"/>
    </row>
    <row r="39" spans="1:27" x14ac:dyDescent="0.2">
      <c r="A39" s="721" t="s">
        <v>815</v>
      </c>
      <c r="B39" s="721"/>
      <c r="C39" s="708">
        <f ca="1">-OFFSET('A+H Monthly CF'!$C$92,0,C5-2)</f>
        <v>0</v>
      </c>
      <c r="D39" s="717" t="e">
        <f t="shared" ref="D39:D46" ca="1" si="16">C39/C$24</f>
        <v>#DIV/0!</v>
      </c>
      <c r="E39" s="713" t="s">
        <v>816</v>
      </c>
      <c r="F39" s="708">
        <f ca="1">-OFFSET('A+H Monthly CF'!$C$92,0,F5-2)</f>
        <v>162753.09336000003</v>
      </c>
      <c r="G39" s="717">
        <f t="shared" ref="G39:G46" ca="1" si="17">F39/F$24</f>
        <v>0.104</v>
      </c>
      <c r="H39" s="729"/>
      <c r="I39" s="708">
        <f ca="1">-OFFSET('A+H Monthly CF'!$C$92,0,I5-2)</f>
        <v>625911.06625503697</v>
      </c>
      <c r="J39" s="717">
        <f t="shared" ref="J39:J46" ca="1" si="18">I39/I$24</f>
        <v>9.8533016006691856E-2</v>
      </c>
      <c r="K39" s="729"/>
      <c r="L39" s="708">
        <f ca="1">-OFFSET('A+H Monthly CF'!$C$92,0,L5-2)</f>
        <v>1437197.4320716395</v>
      </c>
      <c r="M39" s="717">
        <f t="shared" ref="M39:M46" ca="1" si="19">L39/L$24</f>
        <v>7.2133154125431684E-2</v>
      </c>
      <c r="O39" s="708">
        <f ca="1">-OFFSET('A+H Monthly CF'!$C$92,0,O5-2)</f>
        <v>1786886.6523082894</v>
      </c>
      <c r="P39" s="717">
        <f t="shared" ref="P39:P46" ca="1" si="20">O39/O$24</f>
        <v>6.3878539436752965E-2</v>
      </c>
      <c r="R39" s="708">
        <f ca="1">-OFFSET('A+H Monthly CF'!$C$92,0,R5-2)</f>
        <v>2156257.9880702742</v>
      </c>
      <c r="S39" s="717">
        <f t="shared" ref="S39:S46" ca="1" si="21">R39/R$24</f>
        <v>5.9096347322855611E-2</v>
      </c>
      <c r="U39" s="708">
        <f ca="1">-OFFSET('A+H Monthly CF'!$C$92,0,U5-2)</f>
        <v>2383751.6157623897</v>
      </c>
      <c r="V39" s="717">
        <f t="shared" ref="V39:V46" ca="1" si="22">U39/U$24</f>
        <v>5.5071000600084463E-2</v>
      </c>
      <c r="X39" s="708">
        <f ca="1">-OFFSET('A+H Monthly CF'!$C$92,0,X5-2)</f>
        <v>2446123.2255264781</v>
      </c>
      <c r="Y39" s="717">
        <f t="shared" ref="Y39:Y46" ca="1" si="23">X39/X$24</f>
        <v>5.510550976660155E-2</v>
      </c>
      <c r="AA39" s="709"/>
    </row>
    <row r="40" spans="1:27" x14ac:dyDescent="0.2">
      <c r="A40" s="721" t="s">
        <v>784</v>
      </c>
      <c r="B40" s="721"/>
      <c r="C40" s="708">
        <f ca="1">-OFFSET('A+H Monthly CF'!$C$93,0,C5-2)</f>
        <v>0</v>
      </c>
      <c r="D40" s="717" t="e">
        <f t="shared" ca="1" si="16"/>
        <v>#DIV/0!</v>
      </c>
      <c r="E40" s="713"/>
      <c r="F40" s="708">
        <f ca="1">-OFFSET('A+H Monthly CF'!$C$93,0,F5-2)</f>
        <v>93896.015399999989</v>
      </c>
      <c r="G40" s="717">
        <f t="shared" ca="1" si="17"/>
        <v>5.9999999999999984E-2</v>
      </c>
      <c r="H40" s="729"/>
      <c r="I40" s="708">
        <f ca="1">-OFFSET('A+H Monthly CF'!$C$93,0,I5-2)</f>
        <v>181356.8405544</v>
      </c>
      <c r="J40" s="717">
        <f t="shared" ca="1" si="18"/>
        <v>2.8549801140580092E-2</v>
      </c>
      <c r="K40" s="729"/>
      <c r="L40" s="708">
        <f ca="1">-OFFSET('A+H Monthly CF'!$C$93,0,L5-2)</f>
        <v>715009.18498508423</v>
      </c>
      <c r="M40" s="717">
        <f t="shared" ca="1" si="19"/>
        <v>3.588641796227305E-2</v>
      </c>
      <c r="O40" s="708">
        <f ca="1">-OFFSET('A+H Monthly CF'!$C$93,0,O5-2)</f>
        <v>1030587.2326986247</v>
      </c>
      <c r="P40" s="717">
        <f t="shared" ca="1" si="20"/>
        <v>3.6841960345896201E-2</v>
      </c>
      <c r="R40" s="708">
        <f ca="1">-OFFSET('A+H Monthly CF'!$C$93,0,R5-2)</f>
        <v>1364456.4550084912</v>
      </c>
      <c r="S40" s="717">
        <f t="shared" ca="1" si="21"/>
        <v>3.7395521787380002E-2</v>
      </c>
      <c r="U40" s="708">
        <f ca="1">-OFFSET('A+H Monthly CF'!$C$93,0,U5-2)</f>
        <v>1630519.7895986338</v>
      </c>
      <c r="V40" s="717">
        <f t="shared" ca="1" si="22"/>
        <v>3.7669342610059324E-2</v>
      </c>
      <c r="X40" s="708">
        <f ca="1">-OFFSET('A+H Monthly CF'!$C$93,0,X5-2)</f>
        <v>1671785.3587650931</v>
      </c>
      <c r="Y40" s="717">
        <f t="shared" ca="1" si="23"/>
        <v>3.766146507000414E-2</v>
      </c>
      <c r="AA40" s="709"/>
    </row>
    <row r="41" spans="1:27" x14ac:dyDescent="0.2">
      <c r="A41" s="721" t="s">
        <v>817</v>
      </c>
      <c r="B41" s="721"/>
      <c r="C41" s="708">
        <f ca="1">-OFFSET('A+H Monthly CF'!$C$94,0,C5-2)</f>
        <v>0</v>
      </c>
      <c r="D41" s="717" t="e">
        <f t="shared" ca="1" si="16"/>
        <v>#DIV/0!</v>
      </c>
      <c r="E41" s="713"/>
      <c r="F41" s="708">
        <f ca="1">-OFFSET('A+H Monthly CF'!$C$94,0,F5-2)</f>
        <v>93896.015399999989</v>
      </c>
      <c r="G41" s="717">
        <f t="shared" ca="1" si="17"/>
        <v>5.9999999999999984E-2</v>
      </c>
      <c r="H41" s="729"/>
      <c r="I41" s="708">
        <f ca="1">-OFFSET('A+H Monthly CF'!$C$94,0,I5-2)</f>
        <v>181356.8405544</v>
      </c>
      <c r="J41" s="717">
        <f t="shared" ca="1" si="18"/>
        <v>2.8549801140580092E-2</v>
      </c>
      <c r="K41" s="729"/>
      <c r="L41" s="708">
        <f ca="1">-OFFSET('A+H Monthly CF'!$C$94,0,L5-2)</f>
        <v>715009.18498508423</v>
      </c>
      <c r="M41" s="717">
        <f t="shared" ca="1" si="19"/>
        <v>3.588641796227305E-2</v>
      </c>
      <c r="O41" s="708">
        <f ca="1">-OFFSET('A+H Monthly CF'!$C$94,0,O5-2)</f>
        <v>1030587.2326986247</v>
      </c>
      <c r="P41" s="717">
        <f t="shared" ca="1" si="20"/>
        <v>3.6841960345896201E-2</v>
      </c>
      <c r="R41" s="708">
        <f ca="1">-OFFSET('A+H Monthly CF'!$C$94,0,R5-2)</f>
        <v>1364456.4550084912</v>
      </c>
      <c r="S41" s="717">
        <f t="shared" ca="1" si="21"/>
        <v>3.7395521787380002E-2</v>
      </c>
      <c r="U41" s="708">
        <f ca="1">-OFFSET('A+H Monthly CF'!$C$94,0,U5-2)</f>
        <v>1630519.7895986338</v>
      </c>
      <c r="V41" s="717">
        <f t="shared" ca="1" si="22"/>
        <v>3.7669342610059324E-2</v>
      </c>
      <c r="X41" s="708">
        <f ca="1">-OFFSET('A+H Monthly CF'!$C$94,0,X5-2)</f>
        <v>1671785.3587650931</v>
      </c>
      <c r="Y41" s="717">
        <f t="shared" ca="1" si="23"/>
        <v>3.766146507000414E-2</v>
      </c>
      <c r="AA41" s="709"/>
    </row>
    <row r="42" spans="1:27" x14ac:dyDescent="0.2">
      <c r="A42" s="721" t="s">
        <v>818</v>
      </c>
      <c r="B42" s="721"/>
      <c r="C42" s="708">
        <f ca="1">-OFFSET('A+H Monthly CF'!$C$95,0,C5-2)</f>
        <v>0</v>
      </c>
      <c r="D42" s="717" t="e">
        <f t="shared" ca="1" si="16"/>
        <v>#DIV/0!</v>
      </c>
      <c r="E42" s="713"/>
      <c r="F42" s="708">
        <f ca="1">-OFFSET('A+H Monthly CF'!$C$95,0,F5-2)</f>
        <v>62597.343599999993</v>
      </c>
      <c r="G42" s="717">
        <f t="shared" ca="1" si="17"/>
        <v>3.9999999999999987E-2</v>
      </c>
      <c r="H42" s="729"/>
      <c r="I42" s="708">
        <f ca="1">-OFFSET('A+H Monthly CF'!$C$95,0,I5-2)</f>
        <v>120904.56036960002</v>
      </c>
      <c r="J42" s="717">
        <f t="shared" ca="1" si="18"/>
        <v>1.9033200760386733E-2</v>
      </c>
      <c r="K42" s="729"/>
      <c r="L42" s="708">
        <f ca="1">-OFFSET('A+H Monthly CF'!$C$95,0,L5-2)</f>
        <v>476672.78999005619</v>
      </c>
      <c r="M42" s="717">
        <f t="shared" ca="1" si="19"/>
        <v>2.3924278641515365E-2</v>
      </c>
      <c r="O42" s="708">
        <f ca="1">-OFFSET('A+H Monthly CF'!$C$95,0,O5-2)</f>
        <v>687058.15513241652</v>
      </c>
      <c r="P42" s="717">
        <f t="shared" ca="1" si="20"/>
        <v>2.4561306897264136E-2</v>
      </c>
      <c r="R42" s="708">
        <f ca="1">-OFFSET('A+H Monthly CF'!$C$95,0,R5-2)</f>
        <v>909637.63667232764</v>
      </c>
      <c r="S42" s="717">
        <f t="shared" ca="1" si="21"/>
        <v>2.4930347858253338E-2</v>
      </c>
      <c r="U42" s="708">
        <f ca="1">-OFFSET('A+H Monthly CF'!$C$95,0,U5-2)</f>
        <v>1087013.1930657562</v>
      </c>
      <c r="V42" s="717">
        <f t="shared" ca="1" si="22"/>
        <v>2.5112895073372891E-2</v>
      </c>
      <c r="X42" s="708">
        <f ca="1">-OFFSET('A+H Monthly CF'!$C$95,0,X5-2)</f>
        <v>1114523.572510062</v>
      </c>
      <c r="Y42" s="717">
        <f t="shared" ca="1" si="23"/>
        <v>2.5107643380002757E-2</v>
      </c>
      <c r="AA42" s="709"/>
    </row>
    <row r="43" spans="1:27" x14ac:dyDescent="0.2">
      <c r="A43" s="721" t="s">
        <v>819</v>
      </c>
      <c r="B43" s="721"/>
      <c r="C43" s="708">
        <v>0</v>
      </c>
      <c r="D43" s="717" t="e">
        <f t="shared" ca="1" si="16"/>
        <v>#DIV/0!</v>
      </c>
      <c r="E43" s="713"/>
      <c r="F43" s="708">
        <v>0</v>
      </c>
      <c r="G43" s="717">
        <f t="shared" ca="1" si="17"/>
        <v>0</v>
      </c>
      <c r="H43" s="729"/>
      <c r="I43" s="708">
        <v>0</v>
      </c>
      <c r="J43" s="717">
        <f t="shared" ca="1" si="18"/>
        <v>0</v>
      </c>
      <c r="K43" s="729"/>
      <c r="L43" s="708">
        <v>0</v>
      </c>
      <c r="M43" s="717">
        <f t="shared" ca="1" si="19"/>
        <v>0</v>
      </c>
      <c r="O43" s="708">
        <v>0</v>
      </c>
      <c r="P43" s="717">
        <f t="shared" ca="1" si="20"/>
        <v>0</v>
      </c>
      <c r="R43" s="708">
        <f>O43*(1+R$7)</f>
        <v>0</v>
      </c>
      <c r="S43" s="717">
        <f t="shared" ca="1" si="21"/>
        <v>0</v>
      </c>
      <c r="U43" s="708">
        <f>R43*(1+U$7)</f>
        <v>0</v>
      </c>
      <c r="V43" s="717">
        <f t="shared" ca="1" si="22"/>
        <v>0</v>
      </c>
      <c r="X43" s="708">
        <f>U43*(1+X$7)</f>
        <v>0</v>
      </c>
      <c r="Y43" s="717">
        <f t="shared" ca="1" si="23"/>
        <v>0</v>
      </c>
      <c r="AA43" s="709"/>
    </row>
    <row r="44" spans="1:27" x14ac:dyDescent="0.2">
      <c r="A44" s="721" t="s">
        <v>820</v>
      </c>
      <c r="B44" s="721"/>
      <c r="C44" s="708">
        <v>0</v>
      </c>
      <c r="D44" s="717" t="e">
        <f t="shared" ca="1" si="16"/>
        <v>#DIV/0!</v>
      </c>
      <c r="E44" s="713"/>
      <c r="F44" s="708">
        <v>0</v>
      </c>
      <c r="G44" s="717">
        <f t="shared" ca="1" si="17"/>
        <v>0</v>
      </c>
      <c r="H44" s="729"/>
      <c r="I44" s="708">
        <v>0</v>
      </c>
      <c r="J44" s="717">
        <f t="shared" ca="1" si="18"/>
        <v>0</v>
      </c>
      <c r="K44" s="729"/>
      <c r="L44" s="708">
        <v>0</v>
      </c>
      <c r="M44" s="717">
        <f t="shared" ca="1" si="19"/>
        <v>0</v>
      </c>
      <c r="O44" s="708">
        <v>0</v>
      </c>
      <c r="P44" s="717">
        <f t="shared" ca="1" si="20"/>
        <v>0</v>
      </c>
      <c r="R44" s="708">
        <f>O44*(1+R$7)</f>
        <v>0</v>
      </c>
      <c r="S44" s="717">
        <f t="shared" ca="1" si="21"/>
        <v>0</v>
      </c>
      <c r="U44" s="708">
        <f>R44*(1+U$7)</f>
        <v>0</v>
      </c>
      <c r="V44" s="717">
        <f t="shared" ca="1" si="22"/>
        <v>0</v>
      </c>
      <c r="X44" s="708">
        <f>U44*(1+X$7)</f>
        <v>0</v>
      </c>
      <c r="Y44" s="717">
        <f t="shared" ca="1" si="23"/>
        <v>0</v>
      </c>
      <c r="AA44" s="709"/>
    </row>
    <row r="45" spans="1:27" x14ac:dyDescent="0.2">
      <c r="A45" s="721" t="s">
        <v>821</v>
      </c>
      <c r="B45" s="721"/>
      <c r="C45" s="708">
        <v>0</v>
      </c>
      <c r="D45" s="717" t="e">
        <f t="shared" ca="1" si="16"/>
        <v>#DIV/0!</v>
      </c>
      <c r="E45" s="713"/>
      <c r="F45" s="708">
        <v>0</v>
      </c>
      <c r="G45" s="717">
        <f t="shared" ca="1" si="17"/>
        <v>0</v>
      </c>
      <c r="H45" s="729"/>
      <c r="I45" s="708">
        <v>0</v>
      </c>
      <c r="J45" s="717">
        <f t="shared" ca="1" si="18"/>
        <v>0</v>
      </c>
      <c r="K45" s="729"/>
      <c r="L45" s="708">
        <v>0</v>
      </c>
      <c r="M45" s="717">
        <f t="shared" ca="1" si="19"/>
        <v>0</v>
      </c>
      <c r="O45" s="708">
        <v>0</v>
      </c>
      <c r="P45" s="717">
        <f t="shared" ca="1" si="20"/>
        <v>0</v>
      </c>
      <c r="R45" s="708">
        <f>O45*(1+R$7)</f>
        <v>0</v>
      </c>
      <c r="S45" s="717">
        <f t="shared" ca="1" si="21"/>
        <v>0</v>
      </c>
      <c r="U45" s="708">
        <f>R45*(1+U$7)</f>
        <v>0</v>
      </c>
      <c r="V45" s="717">
        <f t="shared" ca="1" si="22"/>
        <v>0</v>
      </c>
      <c r="X45" s="708">
        <f>U45*(1+X$7)</f>
        <v>0</v>
      </c>
      <c r="Y45" s="717">
        <f t="shared" ca="1" si="23"/>
        <v>0</v>
      </c>
      <c r="AA45" s="709"/>
    </row>
    <row r="46" spans="1:27" x14ac:dyDescent="0.2">
      <c r="A46" s="727" t="s">
        <v>822</v>
      </c>
      <c r="B46" s="727"/>
      <c r="C46" s="720">
        <f ca="1">SUM(C39:C45)</f>
        <v>0</v>
      </c>
      <c r="D46" s="719" t="e">
        <f t="shared" ca="1" si="16"/>
        <v>#DIV/0!</v>
      </c>
      <c r="E46" s="713"/>
      <c r="F46" s="720">
        <f ca="1">SUM(F39:F45)</f>
        <v>413142.46776000003</v>
      </c>
      <c r="G46" s="719">
        <f t="shared" ca="1" si="17"/>
        <v>0.26399999999999996</v>
      </c>
      <c r="H46" s="728"/>
      <c r="I46" s="720">
        <f ca="1">SUM(I39:I45)</f>
        <v>1109529.307733437</v>
      </c>
      <c r="J46" s="719">
        <f t="shared" ca="1" si="18"/>
        <v>0.17466581904823877</v>
      </c>
      <c r="L46" s="720">
        <f ca="1">SUM(L39:L45)</f>
        <v>3343888.5920318644</v>
      </c>
      <c r="M46" s="719">
        <f t="shared" ca="1" si="19"/>
        <v>0.16783026869149317</v>
      </c>
      <c r="O46" s="720">
        <f ca="1">SUM(O39:O45)</f>
        <v>4535119.2728379555</v>
      </c>
      <c r="P46" s="719">
        <f t="shared" ca="1" si="20"/>
        <v>0.1621237670258095</v>
      </c>
      <c r="R46" s="720">
        <f ca="1">SUM(R39:R45)</f>
        <v>5794808.5347595839</v>
      </c>
      <c r="S46" s="719">
        <f t="shared" ca="1" si="21"/>
        <v>0.15881773875586894</v>
      </c>
      <c r="U46" s="720">
        <f ca="1">SUM(U39:U45)</f>
        <v>6731804.3880254133</v>
      </c>
      <c r="V46" s="719">
        <f t="shared" ca="1" si="22"/>
        <v>0.15552258089357598</v>
      </c>
      <c r="X46" s="720">
        <f ca="1">SUM(X39:X45)</f>
        <v>6904217.5155667262</v>
      </c>
      <c r="Y46" s="719">
        <f t="shared" ca="1" si="23"/>
        <v>0.15553608328661259</v>
      </c>
      <c r="AA46" s="709"/>
    </row>
    <row r="47" spans="1:27" x14ac:dyDescent="0.2">
      <c r="A47" s="727"/>
      <c r="B47" s="727"/>
      <c r="C47" s="708"/>
      <c r="D47" s="717"/>
      <c r="E47" s="713"/>
      <c r="F47" s="708"/>
      <c r="G47" s="717"/>
      <c r="I47" s="708"/>
      <c r="J47" s="717"/>
      <c r="L47" s="708"/>
      <c r="M47" s="717"/>
      <c r="O47" s="708"/>
      <c r="P47" s="717"/>
      <c r="R47" s="708"/>
      <c r="S47" s="717"/>
      <c r="U47" s="708"/>
      <c r="V47" s="717"/>
      <c r="X47" s="708"/>
      <c r="Y47" s="717"/>
      <c r="AA47" s="709"/>
    </row>
    <row r="48" spans="1:27" x14ac:dyDescent="0.2">
      <c r="A48" s="727" t="s">
        <v>788</v>
      </c>
      <c r="B48" s="727"/>
      <c r="C48" s="708">
        <f ca="1">C36-C46</f>
        <v>0</v>
      </c>
      <c r="D48" s="717" t="e">
        <f ca="1">C48/C$24</f>
        <v>#DIV/0!</v>
      </c>
      <c r="E48" s="713"/>
      <c r="F48" s="708">
        <f ca="1">F36-F46</f>
        <v>604064.36574000015</v>
      </c>
      <c r="G48" s="717">
        <f ca="1">F48/F$24</f>
        <v>0.38600000000000001</v>
      </c>
      <c r="I48" s="708">
        <f ca="1">I36-I46</f>
        <v>2802414.856360544</v>
      </c>
      <c r="J48" s="717">
        <f ca="1">I48/I$24</f>
        <v>0.4411655309935853</v>
      </c>
      <c r="L48" s="708">
        <f ca="1">L36-L46</f>
        <v>5638595.358415883</v>
      </c>
      <c r="M48" s="717">
        <f ca="1">L48/L$24</f>
        <v>0.28300194459245492</v>
      </c>
      <c r="O48" s="708">
        <f ca="1">O36-O46</f>
        <v>6632922.3040888496</v>
      </c>
      <c r="P48" s="717">
        <f ca="1">O48/O$24</f>
        <v>0.23711710445389642</v>
      </c>
      <c r="R48" s="708">
        <f ca="1">R36-R46</f>
        <v>7681803.8906796286</v>
      </c>
      <c r="S48" s="717">
        <f ca="1">R48/R$24</f>
        <v>0.21053443201197858</v>
      </c>
      <c r="U48" s="708">
        <f ca="1">U36-U46</f>
        <v>8166643.2104895273</v>
      </c>
      <c r="V48" s="717">
        <f ca="1">U48/U$24</f>
        <v>0.18867117285695201</v>
      </c>
      <c r="X48" s="708">
        <f ca="1">X36-X46</f>
        <v>8384052.6439737519</v>
      </c>
      <c r="Y48" s="717">
        <f ca="1">X48/X$24</f>
        <v>0.18887335275464687</v>
      </c>
      <c r="AA48" s="709"/>
    </row>
    <row r="49" spans="1:27" x14ac:dyDescent="0.2">
      <c r="A49" s="721" t="s">
        <v>823</v>
      </c>
      <c r="B49" s="721"/>
      <c r="C49" s="708">
        <f ca="1">D49*C24</f>
        <v>0</v>
      </c>
      <c r="D49" s="717">
        <v>0</v>
      </c>
      <c r="E49" s="713"/>
      <c r="F49" s="708">
        <f ca="1">G49*F24</f>
        <v>0</v>
      </c>
      <c r="G49" s="717">
        <v>0</v>
      </c>
      <c r="I49" s="708">
        <f ca="1">J49*I24</f>
        <v>0</v>
      </c>
      <c r="J49" s="717">
        <v>0</v>
      </c>
      <c r="L49" s="708">
        <f ca="1">M49*L24</f>
        <v>0</v>
      </c>
      <c r="M49" s="717">
        <f>J49</f>
        <v>0</v>
      </c>
      <c r="O49" s="708">
        <f ca="1">P49*O24</f>
        <v>0</v>
      </c>
      <c r="P49" s="717">
        <f>M49</f>
        <v>0</v>
      </c>
      <c r="R49" s="708">
        <f ca="1">S49*R24</f>
        <v>0</v>
      </c>
      <c r="S49" s="717">
        <f>P49</f>
        <v>0</v>
      </c>
      <c r="U49" s="708">
        <f ca="1">V49*U24</f>
        <v>0</v>
      </c>
      <c r="V49" s="717">
        <f>S49</f>
        <v>0</v>
      </c>
      <c r="X49" s="708">
        <f ca="1">Y49*X24</f>
        <v>0</v>
      </c>
      <c r="Y49" s="717">
        <f>V49</f>
        <v>0</v>
      </c>
      <c r="AA49" s="709"/>
    </row>
    <row r="50" spans="1:27" x14ac:dyDescent="0.2">
      <c r="A50" s="721"/>
      <c r="B50" s="721"/>
      <c r="C50" s="708"/>
      <c r="D50" s="717"/>
      <c r="E50" s="713"/>
      <c r="F50" s="708"/>
      <c r="G50" s="717"/>
      <c r="I50" s="708"/>
      <c r="J50" s="717"/>
      <c r="L50" s="708"/>
      <c r="M50" s="717"/>
      <c r="O50" s="708"/>
      <c r="P50" s="717"/>
      <c r="R50" s="708"/>
      <c r="S50" s="717"/>
      <c r="U50" s="708"/>
      <c r="V50" s="717"/>
      <c r="X50" s="708"/>
      <c r="Y50" s="717"/>
      <c r="AA50" s="709"/>
    </row>
    <row r="51" spans="1:27" x14ac:dyDescent="0.2">
      <c r="A51" s="727" t="s">
        <v>824</v>
      </c>
      <c r="B51" s="727"/>
      <c r="C51" s="720">
        <f ca="1">C48-C49</f>
        <v>0</v>
      </c>
      <c r="D51" s="719" t="e">
        <f ca="1">C51/C$24</f>
        <v>#DIV/0!</v>
      </c>
      <c r="E51" s="713"/>
      <c r="F51" s="720">
        <f ca="1">F48-F49</f>
        <v>604064.36574000015</v>
      </c>
      <c r="G51" s="719">
        <f ca="1">F51/F$24</f>
        <v>0.38600000000000001</v>
      </c>
      <c r="I51" s="720">
        <f ca="1">I48-I49</f>
        <v>2802414.856360544</v>
      </c>
      <c r="J51" s="719">
        <f ca="1">I51/I$24</f>
        <v>0.4411655309935853</v>
      </c>
      <c r="L51" s="720">
        <f ca="1">L48-L49</f>
        <v>5638595.358415883</v>
      </c>
      <c r="M51" s="719">
        <f ca="1">L51/L$24</f>
        <v>0.28300194459245492</v>
      </c>
      <c r="O51" s="720">
        <f ca="1">O48-O49</f>
        <v>6632922.3040888496</v>
      </c>
      <c r="P51" s="719">
        <f ca="1">O51/O$24</f>
        <v>0.23711710445389642</v>
      </c>
      <c r="R51" s="720">
        <f ca="1">R48-R49</f>
        <v>7681803.8906796286</v>
      </c>
      <c r="S51" s="719">
        <f ca="1">R51/R$24</f>
        <v>0.21053443201197858</v>
      </c>
      <c r="U51" s="720">
        <f ca="1">U48-U49</f>
        <v>8166643.2104895273</v>
      </c>
      <c r="V51" s="719">
        <f ca="1">U51/U$24</f>
        <v>0.18867117285695201</v>
      </c>
      <c r="X51" s="720">
        <f ca="1">X48-X49</f>
        <v>8384052.6439737519</v>
      </c>
      <c r="Y51" s="719">
        <f ca="1">X51/X$24</f>
        <v>0.18887335275464687</v>
      </c>
      <c r="AA51" s="709"/>
    </row>
    <row r="52" spans="1:27" x14ac:dyDescent="0.2">
      <c r="C52" s="708"/>
      <c r="D52" s="717"/>
      <c r="E52" s="713"/>
      <c r="F52" s="708"/>
      <c r="G52" s="717"/>
      <c r="I52" s="708"/>
      <c r="J52" s="717"/>
      <c r="L52" s="708"/>
      <c r="M52" s="717"/>
      <c r="O52" s="708"/>
      <c r="P52" s="717"/>
      <c r="R52" s="708"/>
      <c r="S52" s="717"/>
      <c r="U52" s="708"/>
      <c r="V52" s="717"/>
      <c r="X52" s="708"/>
      <c r="Y52" s="717"/>
      <c r="AA52" s="709"/>
    </row>
    <row r="53" spans="1:27" x14ac:dyDescent="0.2">
      <c r="A53" s="716" t="s">
        <v>825</v>
      </c>
      <c r="B53" s="716"/>
      <c r="C53" s="709"/>
      <c r="F53" s="709"/>
      <c r="I53" s="709"/>
      <c r="L53" s="709"/>
      <c r="O53" s="709"/>
      <c r="R53" s="709"/>
      <c r="U53" s="709"/>
      <c r="X53" s="709"/>
      <c r="AA53" s="709"/>
    </row>
    <row r="54" spans="1:27" x14ac:dyDescent="0.2">
      <c r="A54" s="721" t="s">
        <v>826</v>
      </c>
      <c r="B54" s="721"/>
      <c r="C54" s="708">
        <v>0</v>
      </c>
      <c r="D54" s="717" t="e">
        <f ca="1">C54/C$24</f>
        <v>#DIV/0!</v>
      </c>
      <c r="E54" s="713"/>
      <c r="F54" s="708">
        <v>0</v>
      </c>
      <c r="G54" s="717">
        <f ca="1">F54/F$24</f>
        <v>0</v>
      </c>
      <c r="I54" s="708">
        <v>0</v>
      </c>
      <c r="J54" s="717">
        <f ca="1">I54/I$24</f>
        <v>0</v>
      </c>
      <c r="L54" s="708">
        <v>0</v>
      </c>
      <c r="M54" s="717">
        <f ca="1">L54/L$24</f>
        <v>0</v>
      </c>
      <c r="O54" s="708">
        <v>0</v>
      </c>
      <c r="P54" s="717">
        <f ca="1">O54/O$24</f>
        <v>0</v>
      </c>
      <c r="R54" s="708">
        <f>O54*(1+R$7)</f>
        <v>0</v>
      </c>
      <c r="S54" s="717">
        <f ca="1">R54/R$24</f>
        <v>0</v>
      </c>
      <c r="U54" s="708">
        <f>R54*(1+U$7)</f>
        <v>0</v>
      </c>
      <c r="V54" s="717">
        <f ca="1">U54/U$24</f>
        <v>0</v>
      </c>
      <c r="X54" s="708">
        <f>U54*(1+X$7)</f>
        <v>0</v>
      </c>
      <c r="Y54" s="717">
        <f ca="1">X54/X$24</f>
        <v>0</v>
      </c>
      <c r="AA54" s="709"/>
    </row>
    <row r="55" spans="1:27" x14ac:dyDescent="0.2">
      <c r="A55" s="721" t="s">
        <v>827</v>
      </c>
      <c r="B55" s="726"/>
      <c r="C55" s="723">
        <v>0</v>
      </c>
      <c r="D55" s="722">
        <v>0</v>
      </c>
      <c r="E55" s="725"/>
      <c r="F55" s="723">
        <f>C55*1.03</f>
        <v>0</v>
      </c>
      <c r="G55" s="722">
        <v>0</v>
      </c>
      <c r="H55" s="724"/>
      <c r="I55" s="723">
        <f>F55*1.03</f>
        <v>0</v>
      </c>
      <c r="J55" s="722">
        <v>0</v>
      </c>
      <c r="K55" s="724"/>
      <c r="L55" s="723">
        <f>I55*1.03</f>
        <v>0</v>
      </c>
      <c r="M55" s="722">
        <v>0</v>
      </c>
      <c r="N55" s="724"/>
      <c r="O55" s="723">
        <f>L55*1.03</f>
        <v>0</v>
      </c>
      <c r="P55" s="722">
        <v>0</v>
      </c>
      <c r="Q55" s="724"/>
      <c r="R55" s="723">
        <f>O55*1.03</f>
        <v>0</v>
      </c>
      <c r="S55" s="722">
        <v>0</v>
      </c>
      <c r="T55" s="724"/>
      <c r="U55" s="723">
        <f>R55*1.03</f>
        <v>0</v>
      </c>
      <c r="V55" s="722">
        <v>0</v>
      </c>
      <c r="W55" s="724"/>
      <c r="X55" s="723">
        <f>U55*1.03</f>
        <v>0</v>
      </c>
      <c r="Y55" s="722">
        <v>0</v>
      </c>
      <c r="AA55" s="709"/>
    </row>
    <row r="56" spans="1:27" x14ac:dyDescent="0.2">
      <c r="A56" s="721" t="s">
        <v>828</v>
      </c>
      <c r="B56" s="721"/>
      <c r="C56" s="708">
        <v>0</v>
      </c>
      <c r="D56" s="715" t="e">
        <f ca="1">C56/C$24</f>
        <v>#DIV/0!</v>
      </c>
      <c r="F56" s="708">
        <v>0</v>
      </c>
      <c r="G56" s="715">
        <f ca="1">F56/F$24</f>
        <v>0</v>
      </c>
      <c r="I56" s="708">
        <v>0</v>
      </c>
      <c r="J56" s="715">
        <f ca="1">I56/I$24</f>
        <v>0</v>
      </c>
      <c r="L56" s="708">
        <v>0</v>
      </c>
      <c r="M56" s="715">
        <f ca="1">L56/L$24</f>
        <v>0</v>
      </c>
      <c r="O56" s="708">
        <v>0</v>
      </c>
      <c r="P56" s="715">
        <f ca="1">O56/O$24</f>
        <v>0</v>
      </c>
      <c r="R56" s="708">
        <f>O56*(1+R$7)</f>
        <v>0</v>
      </c>
      <c r="S56" s="715">
        <f ca="1">R56/R$24</f>
        <v>0</v>
      </c>
      <c r="U56" s="708">
        <f>R56*(1+U$7)</f>
        <v>0</v>
      </c>
      <c r="V56" s="715">
        <f ca="1">U56/U$24</f>
        <v>0</v>
      </c>
      <c r="X56" s="708">
        <f>U56*(1+X$7)</f>
        <v>0</v>
      </c>
      <c r="Y56" s="715">
        <f ca="1">X56/X$24</f>
        <v>0</v>
      </c>
      <c r="AA56" s="709"/>
    </row>
    <row r="57" spans="1:27" x14ac:dyDescent="0.2">
      <c r="A57" s="721" t="s">
        <v>829</v>
      </c>
      <c r="B57" s="721"/>
      <c r="C57" s="708">
        <v>0</v>
      </c>
      <c r="D57" s="715" t="e">
        <f ca="1">C57/C$24</f>
        <v>#DIV/0!</v>
      </c>
      <c r="F57" s="708">
        <v>0</v>
      </c>
      <c r="G57" s="715">
        <f ca="1">F57/F$24</f>
        <v>0</v>
      </c>
      <c r="I57" s="708">
        <v>0</v>
      </c>
      <c r="J57" s="715">
        <f ca="1">I57/I$24</f>
        <v>0</v>
      </c>
      <c r="L57" s="708">
        <v>0</v>
      </c>
      <c r="M57" s="715">
        <f ca="1">L57/L$24</f>
        <v>0</v>
      </c>
      <c r="O57" s="708">
        <v>0</v>
      </c>
      <c r="P57" s="715">
        <f ca="1">O57/O$24</f>
        <v>0</v>
      </c>
      <c r="R57" s="708">
        <f>O57*(1+R$7)</f>
        <v>0</v>
      </c>
      <c r="S57" s="715">
        <f ca="1">R57/R$24</f>
        <v>0</v>
      </c>
      <c r="U57" s="708">
        <f>R57*(1+U$7)</f>
        <v>0</v>
      </c>
      <c r="V57" s="715">
        <f ca="1">U57/U$24</f>
        <v>0</v>
      </c>
      <c r="X57" s="708">
        <f>U57*(1+X$7)</f>
        <v>0</v>
      </c>
      <c r="Y57" s="715">
        <f ca="1">X57/X$24</f>
        <v>0</v>
      </c>
      <c r="AA57" s="709"/>
    </row>
    <row r="58" spans="1:27" x14ac:dyDescent="0.2">
      <c r="A58" s="721" t="s">
        <v>830</v>
      </c>
      <c r="B58" s="721"/>
      <c r="C58" s="708">
        <v>0</v>
      </c>
      <c r="D58" s="715" t="e">
        <f ca="1">C58/C$24</f>
        <v>#DIV/0!</v>
      </c>
      <c r="F58" s="708">
        <v>0</v>
      </c>
      <c r="G58" s="715">
        <f ca="1">F58/F$24</f>
        <v>0</v>
      </c>
      <c r="I58" s="708">
        <v>0</v>
      </c>
      <c r="J58" s="715">
        <f ca="1">I58/I$24</f>
        <v>0</v>
      </c>
      <c r="L58" s="708">
        <v>0</v>
      </c>
      <c r="M58" s="715">
        <f ca="1">L58/L$24</f>
        <v>0</v>
      </c>
      <c r="O58" s="708">
        <v>0</v>
      </c>
      <c r="P58" s="715">
        <f ca="1">O58/O$24</f>
        <v>0</v>
      </c>
      <c r="R58" s="708">
        <f>O58*(1+R$7)</f>
        <v>0</v>
      </c>
      <c r="S58" s="715">
        <f ca="1">R58/R$24</f>
        <v>0</v>
      </c>
      <c r="U58" s="708">
        <f>R58*(1+U$7)</f>
        <v>0</v>
      </c>
      <c r="V58" s="715">
        <f ca="1">U58/U$24</f>
        <v>0</v>
      </c>
      <c r="X58" s="708">
        <f>U58*(1+X$7)</f>
        <v>0</v>
      </c>
      <c r="Y58" s="715">
        <f ca="1">X58/X$24</f>
        <v>0</v>
      </c>
      <c r="AA58" s="709"/>
    </row>
    <row r="59" spans="1:27" x14ac:dyDescent="0.2">
      <c r="A59" s="721" t="s">
        <v>831</v>
      </c>
      <c r="B59" s="721"/>
      <c r="C59" s="708">
        <v>0</v>
      </c>
      <c r="D59" s="715" t="e">
        <f ca="1">C59/C$24</f>
        <v>#DIV/0!</v>
      </c>
      <c r="F59" s="708">
        <v>0</v>
      </c>
      <c r="G59" s="715">
        <f ca="1">F59/F$24</f>
        <v>0</v>
      </c>
      <c r="I59" s="708">
        <v>0</v>
      </c>
      <c r="J59" s="715">
        <f ca="1">I59/I$24</f>
        <v>0</v>
      </c>
      <c r="L59" s="708">
        <v>0</v>
      </c>
      <c r="M59" s="715">
        <f ca="1">L59/L$24</f>
        <v>0</v>
      </c>
      <c r="O59" s="708">
        <v>0</v>
      </c>
      <c r="P59" s="715">
        <f ca="1">O59/O$24</f>
        <v>0</v>
      </c>
      <c r="R59" s="708">
        <f>O59*(1+R$7)</f>
        <v>0</v>
      </c>
      <c r="S59" s="715">
        <f ca="1">R59/R$24</f>
        <v>0</v>
      </c>
      <c r="U59" s="708">
        <f>R59*(1+U$7)</f>
        <v>0</v>
      </c>
      <c r="V59" s="715">
        <f ca="1">U59/U$24</f>
        <v>0</v>
      </c>
      <c r="X59" s="708">
        <f>U59*(1+X$7)</f>
        <v>0</v>
      </c>
      <c r="Y59" s="715">
        <f ca="1">X59/X$24</f>
        <v>0</v>
      </c>
      <c r="AA59" s="709"/>
    </row>
    <row r="60" spans="1:27" x14ac:dyDescent="0.2">
      <c r="A60" s="721" t="s">
        <v>832</v>
      </c>
      <c r="B60" s="721"/>
      <c r="C60" s="708">
        <f ca="1">D60*C24</f>
        <v>0</v>
      </c>
      <c r="D60" s="715">
        <v>0</v>
      </c>
      <c r="F60" s="708">
        <f ca="1">G60*F24</f>
        <v>0</v>
      </c>
      <c r="G60" s="715">
        <f>D60</f>
        <v>0</v>
      </c>
      <c r="I60" s="708">
        <f ca="1">J60*I24</f>
        <v>0</v>
      </c>
      <c r="J60" s="715">
        <f>G60</f>
        <v>0</v>
      </c>
      <c r="L60" s="708">
        <f ca="1">M60*L24</f>
        <v>0</v>
      </c>
      <c r="M60" s="715">
        <f>J60</f>
        <v>0</v>
      </c>
      <c r="O60" s="708">
        <f ca="1">P60*O24</f>
        <v>0</v>
      </c>
      <c r="P60" s="715">
        <f>M60</f>
        <v>0</v>
      </c>
      <c r="R60" s="708">
        <f ca="1">S60*R24</f>
        <v>0</v>
      </c>
      <c r="S60" s="715">
        <f>P60</f>
        <v>0</v>
      </c>
      <c r="U60" s="708">
        <f ca="1">V60*U24</f>
        <v>0</v>
      </c>
      <c r="V60" s="715">
        <f>S60</f>
        <v>0</v>
      </c>
      <c r="X60" s="708">
        <f ca="1">Y60*X24</f>
        <v>0</v>
      </c>
      <c r="Y60" s="715">
        <f>V60</f>
        <v>0</v>
      </c>
      <c r="AA60" s="709"/>
    </row>
    <row r="61" spans="1:27" x14ac:dyDescent="0.2">
      <c r="A61" s="718" t="s">
        <v>833</v>
      </c>
      <c r="B61" s="718"/>
      <c r="C61" s="720">
        <f ca="1">SUM(C54:C60)</f>
        <v>0</v>
      </c>
      <c r="D61" s="719" t="e">
        <f ca="1">C61/C$24</f>
        <v>#DIV/0!</v>
      </c>
      <c r="E61" s="713"/>
      <c r="F61" s="720">
        <f ca="1">SUM(F54:F60)</f>
        <v>0</v>
      </c>
      <c r="G61" s="719">
        <f ca="1">F61/F$24</f>
        <v>0</v>
      </c>
      <c r="I61" s="720">
        <f ca="1">SUM(I54:I60)</f>
        <v>0</v>
      </c>
      <c r="J61" s="719">
        <f ca="1">I61/I$24</f>
        <v>0</v>
      </c>
      <c r="L61" s="720">
        <f ca="1">SUM(L54:L60)</f>
        <v>0</v>
      </c>
      <c r="M61" s="719">
        <f ca="1">L61/L$24</f>
        <v>0</v>
      </c>
      <c r="O61" s="720">
        <f ca="1">SUM(O54:O60)</f>
        <v>0</v>
      </c>
      <c r="P61" s="719">
        <f ca="1">O61/O$24</f>
        <v>0</v>
      </c>
      <c r="R61" s="720">
        <f ca="1">SUM(R54:R60)</f>
        <v>0</v>
      </c>
      <c r="S61" s="719">
        <f ca="1">R61/R$24</f>
        <v>0</v>
      </c>
      <c r="U61" s="720">
        <f ca="1">SUM(U54:U60)</f>
        <v>0</v>
      </c>
      <c r="V61" s="719">
        <f ca="1">U61/U$24</f>
        <v>0</v>
      </c>
      <c r="X61" s="720">
        <f ca="1">SUM(X54:X60)</f>
        <v>0</v>
      </c>
      <c r="Y61" s="719">
        <f ca="1">X61/X$24</f>
        <v>0</v>
      </c>
      <c r="AA61" s="709"/>
    </row>
    <row r="62" spans="1:27" x14ac:dyDescent="0.2">
      <c r="A62" s="718"/>
      <c r="B62" s="718"/>
      <c r="C62" s="708"/>
      <c r="D62" s="717"/>
      <c r="E62" s="713"/>
      <c r="F62" s="708"/>
      <c r="G62" s="717"/>
      <c r="I62" s="708"/>
      <c r="J62" s="717"/>
      <c r="L62" s="708"/>
      <c r="M62" s="717"/>
      <c r="O62" s="708"/>
      <c r="P62" s="717"/>
      <c r="R62" s="708"/>
      <c r="S62" s="717"/>
      <c r="U62" s="708"/>
      <c r="V62" s="717"/>
      <c r="X62" s="708"/>
      <c r="Y62" s="717"/>
      <c r="AA62" s="709"/>
    </row>
    <row r="63" spans="1:27" x14ac:dyDescent="0.2">
      <c r="A63" s="716" t="s">
        <v>834</v>
      </c>
      <c r="B63" s="716"/>
      <c r="C63" s="712">
        <f ca="1">C51-C61</f>
        <v>0</v>
      </c>
      <c r="D63" s="715" t="e">
        <f ca="1">C63/C24</f>
        <v>#DIV/0!</v>
      </c>
      <c r="F63" s="712">
        <f ca="1">F51-F61</f>
        <v>604064.36574000015</v>
      </c>
      <c r="G63" s="715">
        <f ca="1">F63/F24</f>
        <v>0.38600000000000001</v>
      </c>
      <c r="I63" s="712">
        <f ca="1">I51-I61</f>
        <v>2802414.856360544</v>
      </c>
      <c r="J63" s="715">
        <f ca="1">I63/I24</f>
        <v>0.4411655309935853</v>
      </c>
      <c r="L63" s="712">
        <f ca="1">L51-L61</f>
        <v>5638595.358415883</v>
      </c>
      <c r="M63" s="715">
        <f ca="1">L63/L24</f>
        <v>0.28300194459245492</v>
      </c>
      <c r="O63" s="712">
        <f ca="1">O51-O61</f>
        <v>6632922.3040888496</v>
      </c>
      <c r="P63" s="715">
        <f ca="1">O63/O24</f>
        <v>0.23711710445389642</v>
      </c>
      <c r="R63" s="712">
        <f ca="1">R51-R61</f>
        <v>7681803.8906796286</v>
      </c>
      <c r="S63" s="715">
        <f ca="1">R63/R24</f>
        <v>0.21053443201197858</v>
      </c>
      <c r="U63" s="712">
        <f ca="1">U51-U61</f>
        <v>8166643.2104895273</v>
      </c>
      <c r="V63" s="715">
        <f ca="1">U63/U24</f>
        <v>0.18867117285695201</v>
      </c>
      <c r="X63" s="712">
        <f ca="1">X51-X61</f>
        <v>8384052.6439737519</v>
      </c>
      <c r="Y63" s="715">
        <f ca="1">X63/X24</f>
        <v>0.18887335275464687</v>
      </c>
      <c r="AA63" s="709"/>
    </row>
    <row r="64" spans="1:27" x14ac:dyDescent="0.2">
      <c r="A64" s="716" t="s">
        <v>835</v>
      </c>
      <c r="B64" s="716"/>
      <c r="C64" s="708">
        <f ca="1">D64*C24</f>
        <v>0</v>
      </c>
      <c r="D64" s="715">
        <v>0.02</v>
      </c>
      <c r="F64" s="708">
        <f ca="1">G64*F24</f>
        <v>46948.007700000009</v>
      </c>
      <c r="G64" s="715">
        <v>0.03</v>
      </c>
      <c r="I64" s="708">
        <f ca="1">J64*I24</f>
        <v>254091.91421179206</v>
      </c>
      <c r="J64" s="715">
        <v>0.04</v>
      </c>
      <c r="L64" s="708">
        <f ca="1">M64*L24</f>
        <v>796969.13270838535</v>
      </c>
      <c r="M64" s="715">
        <v>0.04</v>
      </c>
      <c r="O64" s="708">
        <f ca="1">P64*O24</f>
        <v>1118927.682482478</v>
      </c>
      <c r="P64" s="715">
        <v>0.04</v>
      </c>
      <c r="R64" s="708">
        <f ca="1">S64*R24</f>
        <v>1459486.4730235792</v>
      </c>
      <c r="S64" s="715">
        <v>0.04</v>
      </c>
      <c r="U64" s="708">
        <f ca="1">V64*U24</f>
        <v>1731402.4367000398</v>
      </c>
      <c r="V64" s="715">
        <v>0.04</v>
      </c>
      <c r="X64" s="708">
        <f ca="1">Y64*X24</f>
        <v>1775592.4849525876</v>
      </c>
      <c r="Y64" s="715">
        <v>0.04</v>
      </c>
      <c r="AA64" s="709"/>
    </row>
    <row r="65" spans="1:27" x14ac:dyDescent="0.2">
      <c r="A65" s="714" t="s">
        <v>836</v>
      </c>
      <c r="B65" s="714"/>
      <c r="C65" s="712">
        <f ca="1">C63-C64</f>
        <v>0</v>
      </c>
      <c r="D65" s="711" t="e">
        <f ca="1">C65/C$24</f>
        <v>#DIV/0!</v>
      </c>
      <c r="E65" s="713"/>
      <c r="F65" s="712">
        <f ca="1">F63-F64</f>
        <v>557116.3580400002</v>
      </c>
      <c r="G65" s="711">
        <f ca="1">F65/F$24</f>
        <v>0.35600000000000004</v>
      </c>
      <c r="I65" s="712">
        <f ca="1">I63-I64</f>
        <v>2548322.942148752</v>
      </c>
      <c r="J65" s="711">
        <f ca="1">I65/I$24</f>
        <v>0.40116553099358532</v>
      </c>
      <c r="L65" s="712">
        <f ca="1">L63-L64</f>
        <v>4841626.2257074974</v>
      </c>
      <c r="M65" s="711">
        <f ca="1">L65/L$24</f>
        <v>0.24300194459245492</v>
      </c>
      <c r="O65" s="712">
        <f ca="1">O63-O64</f>
        <v>5513994.6216063714</v>
      </c>
      <c r="P65" s="711">
        <f ca="1">O65/O$24</f>
        <v>0.19711710445389641</v>
      </c>
      <c r="R65" s="712">
        <f ca="1">R63-R64</f>
        <v>6222317.4176560491</v>
      </c>
      <c r="S65" s="711">
        <f ca="1">R65/R$24</f>
        <v>0.17053443201197857</v>
      </c>
      <c r="U65" s="712">
        <f ca="1">U63-U64</f>
        <v>6435240.7737894878</v>
      </c>
      <c r="V65" s="711">
        <f ca="1">U65/U$24</f>
        <v>0.148671172856952</v>
      </c>
      <c r="X65" s="712">
        <f ca="1">X63-X64</f>
        <v>6608460.1590211643</v>
      </c>
      <c r="Y65" s="711">
        <f ca="1">X65/X$24</f>
        <v>0.14887335275464686</v>
      </c>
      <c r="AA65" s="709"/>
    </row>
    <row r="66" spans="1:27" x14ac:dyDescent="0.2">
      <c r="A66" s="710"/>
      <c r="B66" s="710"/>
      <c r="C66" s="709"/>
      <c r="F66" s="709"/>
      <c r="I66" s="709"/>
      <c r="L66" s="709"/>
      <c r="O66" s="709"/>
      <c r="R66" s="709"/>
      <c r="U66" s="709"/>
      <c r="X66" s="709"/>
    </row>
    <row r="67" spans="1:27" x14ac:dyDescent="0.2">
      <c r="A67" s="707" t="s">
        <v>837</v>
      </c>
      <c r="C67" s="708">
        <f ca="1">C65+C60</f>
        <v>0</v>
      </c>
      <c r="F67" s="708">
        <f ca="1">F65+F60</f>
        <v>557116.3580400002</v>
      </c>
      <c r="I67" s="708">
        <f ca="1">I65+I60</f>
        <v>2548322.942148752</v>
      </c>
      <c r="L67" s="708">
        <f ca="1">L65+L60</f>
        <v>4841626.2257074974</v>
      </c>
      <c r="O67" s="708">
        <f ca="1">O65+O60</f>
        <v>5513994.6216063714</v>
      </c>
      <c r="R67" s="708">
        <f ca="1">R65+R60</f>
        <v>6222317.4176560491</v>
      </c>
      <c r="U67" s="708">
        <f ca="1">U65+U60</f>
        <v>6435240.7737894878</v>
      </c>
      <c r="X67" s="708">
        <f ca="1">X65+X60</f>
        <v>6608460.1590211643</v>
      </c>
    </row>
  </sheetData>
  <pageMargins left="0.25" right="0.25" top="0.75" bottom="0.75" header="0.3" footer="0.3"/>
  <pageSetup scale="5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BE0F-5419-4A81-BF4E-E5AF5F861803}">
  <sheetPr codeName="Sheet3">
    <tabColor theme="5" tint="0.59999389629810485"/>
  </sheetPr>
  <dimension ref="A1:AK89"/>
  <sheetViews>
    <sheetView showGridLines="0" topLeftCell="B1" zoomScale="90" zoomScaleNormal="90" workbookViewId="0">
      <selection activeCell="M16" sqref="M16"/>
    </sheetView>
  </sheetViews>
  <sheetFormatPr baseColWidth="10" defaultColWidth="11" defaultRowHeight="16" outlineLevelCol="1" x14ac:dyDescent="0.2"/>
  <cols>
    <col min="1" max="1" width="1.6640625" style="2" customWidth="1"/>
    <col min="2" max="2" width="37.1640625" bestFit="1" customWidth="1"/>
    <col min="3" max="3" width="11.1640625" bestFit="1" customWidth="1"/>
    <col min="4" max="4" width="13" bestFit="1" customWidth="1"/>
    <col min="5" max="5" width="11.1640625" customWidth="1"/>
    <col min="6" max="9" width="14.1640625" customWidth="1"/>
    <col min="10" max="10" width="12" customWidth="1"/>
    <col min="11" max="11" width="13.5" customWidth="1"/>
    <col min="12" max="12" width="14.1640625" customWidth="1"/>
    <col min="13" max="13" width="13.6640625" customWidth="1"/>
    <col min="14" max="19" width="12.1640625" customWidth="1" outlineLevel="1"/>
    <col min="20" max="20" width="3.6640625" style="497" customWidth="1"/>
    <col min="21" max="21" width="14" style="497" bestFit="1" customWidth="1"/>
    <col min="22" max="22" width="13.1640625" style="497" bestFit="1" customWidth="1"/>
    <col min="23" max="16384" width="11" style="497"/>
  </cols>
  <sheetData>
    <row r="1" spans="1:20" ht="21" x14ac:dyDescent="0.25">
      <c r="A1" s="75"/>
      <c r="B1" s="301" t="s">
        <v>838</v>
      </c>
      <c r="C1" s="302"/>
      <c r="D1" s="302"/>
      <c r="E1" s="30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0" x14ac:dyDescent="0.2">
      <c r="A2" s="261"/>
      <c r="B2" s="1" t="s">
        <v>141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T2" s="666"/>
    </row>
    <row r="3" spans="1:20" x14ac:dyDescent="0.2">
      <c r="A3" s="261"/>
      <c r="H3" s="138"/>
    </row>
    <row r="4" spans="1:20" x14ac:dyDescent="0.2">
      <c r="A4" s="261"/>
      <c r="B4" s="194" t="s">
        <v>142</v>
      </c>
      <c r="C4" s="194"/>
      <c r="D4" s="194"/>
      <c r="E4" s="3"/>
      <c r="F4" s="194" t="s">
        <v>155</v>
      </c>
      <c r="G4" s="194"/>
      <c r="H4" s="194"/>
      <c r="J4" s="194" t="s">
        <v>839</v>
      </c>
      <c r="K4" s="194"/>
      <c r="L4" s="194"/>
      <c r="M4" s="275"/>
      <c r="N4" s="275"/>
      <c r="O4" s="275"/>
      <c r="P4" s="275"/>
      <c r="Q4" s="2"/>
      <c r="R4" s="2"/>
    </row>
    <row r="5" spans="1:20" x14ac:dyDescent="0.2">
      <c r="A5" s="261"/>
      <c r="B5" s="242" t="s">
        <v>403</v>
      </c>
      <c r="D5" s="323" t="e">
        <f ca="1">'Proforma A+H'!#REF!+'Proforma A+H'!T43</f>
        <v>#REF!</v>
      </c>
      <c r="F5" t="s">
        <v>404</v>
      </c>
      <c r="H5" s="290" t="e">
        <f ca="1">D24+D42</f>
        <v>#VALUE!</v>
      </c>
      <c r="Q5" s="2"/>
      <c r="R5" s="2"/>
    </row>
    <row r="6" spans="1:20" x14ac:dyDescent="0.2">
      <c r="A6" s="261"/>
      <c r="B6" s="242" t="s">
        <v>405</v>
      </c>
      <c r="D6" s="323">
        <f ca="1">'Proforma A+H'!T60+'Proforma A+H'!T60+'Proforma A+H'!T65</f>
        <v>328552089.90468657</v>
      </c>
      <c r="F6" t="s">
        <v>406</v>
      </c>
      <c r="H6" s="276">
        <f>D43+D25</f>
        <v>3312428.7992250002</v>
      </c>
    </row>
    <row r="7" spans="1:20" x14ac:dyDescent="0.2">
      <c r="A7" s="261"/>
      <c r="B7" s="242" t="s">
        <v>407</v>
      </c>
      <c r="D7" s="382" t="s">
        <v>27</v>
      </c>
      <c r="F7" s="242" t="s">
        <v>408</v>
      </c>
      <c r="H7" s="291" t="e">
        <f ca="1">H5-H6</f>
        <v>#VALUE!</v>
      </c>
    </row>
    <row r="8" spans="1:20" ht="15.5" customHeight="1" x14ac:dyDescent="0.2">
      <c r="A8" s="261"/>
      <c r="B8" s="242" t="s">
        <v>409</v>
      </c>
      <c r="D8" s="382" t="s">
        <v>27</v>
      </c>
      <c r="F8" s="242" t="s">
        <v>410</v>
      </c>
      <c r="H8" s="292" t="e">
        <f ca="1">H5/H6</f>
        <v>#VALUE!</v>
      </c>
    </row>
    <row r="9" spans="1:20" x14ac:dyDescent="0.2">
      <c r="A9" s="261"/>
      <c r="B9" s="242" t="s">
        <v>411</v>
      </c>
      <c r="D9" s="264" t="e">
        <f ca="1">'Proforma A+H'!T43/('Proforma A+H'!#REF!+'Proforma A+H'!T43)</f>
        <v>#VALUE!</v>
      </c>
      <c r="F9" s="242" t="s">
        <v>412</v>
      </c>
      <c r="H9" s="293" t="e">
        <f ca="1">H7/H6</f>
        <v>#VALUE!</v>
      </c>
      <c r="I9" s="11"/>
    </row>
    <row r="10" spans="1:20" x14ac:dyDescent="0.2">
      <c r="A10" s="261"/>
      <c r="B10" s="242" t="s">
        <v>413</v>
      </c>
      <c r="D10" s="264" t="e">
        <f ca="1">'Proforma A+H'!T43/('Proforma A+H'!T60+'Proforma A+H'!T65)</f>
        <v>#VALUE!</v>
      </c>
      <c r="F10" s="242" t="s">
        <v>173</v>
      </c>
      <c r="H10" s="293" t="e">
        <f ca="1">XIRR(F50:R50,F20:R20)</f>
        <v>#VALUE!</v>
      </c>
    </row>
    <row r="11" spans="1:20" x14ac:dyDescent="0.2">
      <c r="A11" s="261"/>
      <c r="B11" s="129"/>
      <c r="C11" s="63"/>
      <c r="D11" s="11"/>
      <c r="F11" t="s">
        <v>840</v>
      </c>
      <c r="H11" s="474" t="e">
        <f ca="1">'Proforma A+H'!L53/'Proforma A+H'!L187</f>
        <v>#VALUE!</v>
      </c>
      <c r="I11" s="294"/>
    </row>
    <row r="12" spans="1:20" x14ac:dyDescent="0.2">
      <c r="A12" s="261"/>
      <c r="B12" s="3" t="s">
        <v>143</v>
      </c>
      <c r="C12" s="3"/>
      <c r="D12" s="3"/>
      <c r="F12" t="s">
        <v>841</v>
      </c>
      <c r="H12" s="475">
        <f ca="1">'Proforma A+H'!L53/'Returns A+H'!H6</f>
        <v>2.2516998282833884</v>
      </c>
      <c r="I12" s="294"/>
    </row>
    <row r="13" spans="1:20" x14ac:dyDescent="0.2">
      <c r="A13" s="261"/>
      <c r="B13" s="242" t="s">
        <v>145</v>
      </c>
      <c r="D13" s="290">
        <f ca="1">'Proforma A+H'!T53+'Proforma A+H'!T60+'Proforma A+H'!T65-'Proforma A+H'!T167</f>
        <v>266952278.22051135</v>
      </c>
      <c r="F13" t="s">
        <v>842</v>
      </c>
      <c r="H13" s="475">
        <f>Assumptions!C31</f>
        <v>6.5000000000000002E-2</v>
      </c>
      <c r="I13" s="294"/>
      <c r="J13" s="280" t="s">
        <v>414</v>
      </c>
    </row>
    <row r="14" spans="1:20" x14ac:dyDescent="0.2">
      <c r="A14" s="261"/>
      <c r="B14" s="295" t="s">
        <v>415</v>
      </c>
      <c r="D14" s="296" t="e">
        <f ca="1">'Proforma A+H'!T183-'Proforma A+H'!T163+'Proforma A+H'!T187+'Proforma A+H'!T188</f>
        <v>#VALUE!</v>
      </c>
      <c r="F14" t="s">
        <v>843</v>
      </c>
      <c r="H14" s="276">
        <f>'Proforma A+H'!R65</f>
        <v>0</v>
      </c>
      <c r="I14" s="294"/>
      <c r="J14" s="277" t="s">
        <v>416</v>
      </c>
      <c r="K14" s="278"/>
      <c r="L14" s="279">
        <v>1</v>
      </c>
    </row>
    <row r="15" spans="1:20" x14ac:dyDescent="0.2">
      <c r="A15" s="261"/>
      <c r="B15" s="295" t="s">
        <v>149</v>
      </c>
      <c r="D15" s="290" t="e">
        <f ca="1">D13-D14</f>
        <v>#VALUE!</v>
      </c>
      <c r="E15" s="145"/>
      <c r="I15" s="294"/>
      <c r="J15" s="277" t="s">
        <v>66</v>
      </c>
      <c r="L15" s="321">
        <v>7</v>
      </c>
      <c r="M15" s="11"/>
      <c r="N15" s="11"/>
    </row>
    <row r="16" spans="1:20" x14ac:dyDescent="0.2">
      <c r="A16" s="261"/>
      <c r="B16" s="242" t="s">
        <v>151</v>
      </c>
      <c r="D16" s="264" t="e">
        <f ca="1">D15/D13</f>
        <v>#VALUE!</v>
      </c>
      <c r="I16" s="249"/>
      <c r="J16" s="11"/>
      <c r="K16" s="11"/>
      <c r="L16" s="11"/>
      <c r="M16" s="11"/>
      <c r="N16" s="11"/>
    </row>
    <row r="17" spans="1:37" x14ac:dyDescent="0.2">
      <c r="A17" s="261"/>
      <c r="B17" s="242" t="s">
        <v>153</v>
      </c>
      <c r="D17" s="297" t="e">
        <f ca="1">D15/H6</f>
        <v>#VALUE!</v>
      </c>
      <c r="I17" s="249"/>
      <c r="J17" s="11"/>
      <c r="K17" s="11"/>
      <c r="L17" s="11"/>
      <c r="M17" s="11"/>
      <c r="N17" s="11"/>
    </row>
    <row r="18" spans="1:37" customFormat="1" x14ac:dyDescent="0.2">
      <c r="A18" s="265"/>
      <c r="B18" s="606"/>
      <c r="E18" s="673"/>
      <c r="L18" s="7"/>
      <c r="M18" s="7"/>
      <c r="N18" s="7"/>
      <c r="O18" s="7"/>
      <c r="P18" s="7"/>
      <c r="Q18" s="7"/>
      <c r="R18" s="7"/>
    </row>
    <row r="19" spans="1:37" s="3" customFormat="1" x14ac:dyDescent="0.2">
      <c r="A19" s="265"/>
      <c r="F19" s="6">
        <f>'Proforma A+H'!G4</f>
        <v>2024</v>
      </c>
      <c r="G19" s="6">
        <f>'Proforma A+H'!H4</f>
        <v>2025</v>
      </c>
      <c r="H19" s="6">
        <f>'Proforma A+H'!I4</f>
        <v>2026</v>
      </c>
      <c r="I19" s="6">
        <f>'Proforma A+H'!J4</f>
        <v>2027</v>
      </c>
      <c r="J19" s="6">
        <f>'Proforma A+H'!K4</f>
        <v>2028</v>
      </c>
      <c r="K19" s="6">
        <f>'Proforma A+H'!L4</f>
        <v>2029</v>
      </c>
      <c r="L19" s="6">
        <f>'Proforma A+H'!M4</f>
        <v>2030</v>
      </c>
      <c r="M19" s="6">
        <f>'Proforma A+H'!N4</f>
        <v>2031</v>
      </c>
      <c r="N19" s="6">
        <f>'Proforma A+H'!O4</f>
        <v>2032</v>
      </c>
      <c r="O19" s="6">
        <f>'Proforma A+H'!P4</f>
        <v>2033</v>
      </c>
      <c r="P19" s="6">
        <f>'Proforma A+H'!Q4</f>
        <v>2034</v>
      </c>
      <c r="Q19" s="6">
        <f>'Proforma A+H'!R4</f>
        <v>2035</v>
      </c>
      <c r="R19" s="6">
        <f>'Proforma A+H'!S4</f>
        <v>2036</v>
      </c>
      <c r="S19"/>
      <c r="T19"/>
      <c r="U19"/>
      <c r="V19"/>
      <c r="W19"/>
      <c r="X19"/>
      <c r="Y19"/>
      <c r="Z19"/>
    </row>
    <row r="20" spans="1:37" customFormat="1" x14ac:dyDescent="0.2">
      <c r="A20" s="265"/>
      <c r="B20" s="3" t="s">
        <v>160</v>
      </c>
      <c r="F20" s="20">
        <f>'Proforma Land+Home'!E5</f>
        <v>45658</v>
      </c>
      <c r="G20" s="20">
        <f>'Proforma Land+Home'!F5</f>
        <v>46023</v>
      </c>
      <c r="H20" s="20">
        <f>'Proforma Land+Home'!G5</f>
        <v>46388</v>
      </c>
      <c r="I20" s="20">
        <f>'Proforma Land+Home'!H5</f>
        <v>46753</v>
      </c>
      <c r="J20" s="20">
        <f>'Proforma Land+Home'!I5</f>
        <v>47119</v>
      </c>
      <c r="K20" s="20">
        <f>'Proforma Land+Home'!J5</f>
        <v>47484</v>
      </c>
      <c r="L20" s="20">
        <f>'Proforma Land+Home'!K5</f>
        <v>47849</v>
      </c>
      <c r="M20" s="20">
        <f>'Proforma Land+Home'!L5</f>
        <v>48214</v>
      </c>
      <c r="N20" s="20">
        <f>'Proforma Land+Home'!M5</f>
        <v>48579</v>
      </c>
      <c r="O20" s="20">
        <f>'Proforma Land+Home'!N5</f>
        <v>48944</v>
      </c>
      <c r="P20" s="20">
        <f>'Proforma Land+Home'!O5</f>
        <v>49309</v>
      </c>
      <c r="Q20" s="20">
        <f>'Proforma Land+Home'!P5</f>
        <v>49675</v>
      </c>
      <c r="R20" s="20">
        <f>'Proforma Land+Home'!Q5</f>
        <v>50040</v>
      </c>
      <c r="T20" s="266"/>
      <c r="U20" s="266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</row>
    <row r="21" spans="1:37" x14ac:dyDescent="0.2">
      <c r="A21" s="261"/>
      <c r="B21" s="34" t="s">
        <v>844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266"/>
      <c r="T21" s="603"/>
      <c r="U21" s="603"/>
      <c r="V21" s="603"/>
      <c r="W21" s="603"/>
      <c r="X21" s="603"/>
      <c r="Y21" s="603"/>
      <c r="Z21" s="603"/>
      <c r="AA21" s="603"/>
      <c r="AB21" s="603"/>
      <c r="AC21" s="603"/>
      <c r="AD21" s="603"/>
      <c r="AE21" s="603"/>
      <c r="AF21" s="603"/>
      <c r="AG21" s="603"/>
      <c r="AH21" s="603"/>
      <c r="AI21" s="603"/>
      <c r="AJ21" s="603"/>
      <c r="AK21" s="603"/>
    </row>
    <row r="22" spans="1:37" x14ac:dyDescent="0.2">
      <c r="A22" s="265"/>
      <c r="B22" s="173" t="s">
        <v>32</v>
      </c>
      <c r="D22" s="148">
        <f t="shared" ref="D22:D23" si="0">SUM(F22:R22)</f>
        <v>0</v>
      </c>
      <c r="F22" s="92">
        <f>'Proforma A+H'!G214</f>
        <v>0</v>
      </c>
      <c r="G22" s="92">
        <f>'Proforma A+H'!H214</f>
        <v>0</v>
      </c>
      <c r="H22" s="92">
        <f>'Proforma A+H'!I214</f>
        <v>0</v>
      </c>
      <c r="I22" s="92">
        <f>'Proforma A+H'!J214</f>
        <v>0</v>
      </c>
      <c r="J22" s="92">
        <f>'Proforma A+H'!K214</f>
        <v>0</v>
      </c>
      <c r="K22" s="92">
        <f>'Proforma A+H'!L214</f>
        <v>0</v>
      </c>
      <c r="L22" s="92">
        <f>'Proforma A+H'!M214</f>
        <v>0</v>
      </c>
      <c r="M22" s="92">
        <f>'Proforma A+H'!N214</f>
        <v>0</v>
      </c>
      <c r="N22" s="92">
        <f>'Proforma A+H'!O214</f>
        <v>0</v>
      </c>
      <c r="O22" s="92">
        <f>'Proforma A+H'!P214</f>
        <v>0</v>
      </c>
      <c r="P22" s="92">
        <f>'Proforma A+H'!Q214</f>
        <v>0</v>
      </c>
      <c r="Q22" s="92">
        <f>'Proforma A+H'!R214</f>
        <v>0</v>
      </c>
      <c r="R22" s="92">
        <f>'Proforma A+H'!S214</f>
        <v>0</v>
      </c>
      <c r="S22" s="266"/>
      <c r="T22" s="603"/>
      <c r="U22" s="603"/>
      <c r="V22" s="603"/>
    </row>
    <row r="23" spans="1:37" x14ac:dyDescent="0.2">
      <c r="A23" s="265"/>
      <c r="B23" s="272" t="s">
        <v>162</v>
      </c>
      <c r="C23" s="225"/>
      <c r="D23" s="271" t="e">
        <f t="shared" ca="1" si="0"/>
        <v>#VALUE!</v>
      </c>
      <c r="E23" s="225"/>
      <c r="F23" s="77">
        <f>'Proforma A+H'!G240-F22</f>
        <v>0</v>
      </c>
      <c r="G23" s="77">
        <f>'Proforma A+H'!H240-G22</f>
        <v>0</v>
      </c>
      <c r="H23" s="77">
        <f>'Proforma A+H'!I240-H22</f>
        <v>0</v>
      </c>
      <c r="I23" s="77">
        <f>'Proforma A+H'!J240-I22</f>
        <v>0</v>
      </c>
      <c r="J23" s="77">
        <f>'Proforma A+H'!K240-J22</f>
        <v>0</v>
      </c>
      <c r="K23" s="77">
        <f>'Proforma A+H'!L240-K22</f>
        <v>0</v>
      </c>
      <c r="L23" s="77">
        <f>'Proforma A+H'!M240-L22</f>
        <v>0</v>
      </c>
      <c r="M23" s="77" t="e">
        <f ca="1">'Proforma A+H'!N240-M22</f>
        <v>#VALUE!</v>
      </c>
      <c r="N23" s="77">
        <f>'Proforma A+H'!O240-N22</f>
        <v>0</v>
      </c>
      <c r="O23" s="77">
        <f>'Proforma A+H'!P240-O22</f>
        <v>0</v>
      </c>
      <c r="P23" s="77">
        <f>'Proforma A+H'!Q240-P22</f>
        <v>0</v>
      </c>
      <c r="Q23" s="77">
        <f>'Proforma A+H'!R240-Q22</f>
        <v>0</v>
      </c>
      <c r="R23" s="77">
        <f>'Proforma A+H'!S240-R22</f>
        <v>0</v>
      </c>
      <c r="S23" s="266"/>
      <c r="T23" s="603"/>
      <c r="U23" s="603"/>
      <c r="V23" s="603"/>
    </row>
    <row r="24" spans="1:37" x14ac:dyDescent="0.2">
      <c r="A24" s="265"/>
      <c r="B24" s="133" t="s">
        <v>163</v>
      </c>
      <c r="D24" s="109" t="e">
        <f ca="1">SUM(F24:R24)</f>
        <v>#VALUE!</v>
      </c>
      <c r="F24" s="92">
        <f>F22+F23</f>
        <v>0</v>
      </c>
      <c r="G24" s="92">
        <f t="shared" ref="G24:R24" si="1">G22+G23</f>
        <v>0</v>
      </c>
      <c r="H24" s="92">
        <f t="shared" si="1"/>
        <v>0</v>
      </c>
      <c r="I24" s="92">
        <f t="shared" si="1"/>
        <v>0</v>
      </c>
      <c r="J24" s="92">
        <f t="shared" si="1"/>
        <v>0</v>
      </c>
      <c r="K24" s="92">
        <f t="shared" si="1"/>
        <v>0</v>
      </c>
      <c r="L24" s="92">
        <f t="shared" si="1"/>
        <v>0</v>
      </c>
      <c r="M24" s="92" t="e">
        <f t="shared" ca="1" si="1"/>
        <v>#VALUE!</v>
      </c>
      <c r="N24" s="92">
        <f t="shared" si="1"/>
        <v>0</v>
      </c>
      <c r="O24" s="92">
        <f t="shared" si="1"/>
        <v>0</v>
      </c>
      <c r="P24" s="92">
        <f t="shared" si="1"/>
        <v>0</v>
      </c>
      <c r="Q24" s="92">
        <f t="shared" si="1"/>
        <v>0</v>
      </c>
      <c r="R24" s="92">
        <f t="shared" si="1"/>
        <v>0</v>
      </c>
      <c r="S24" s="266"/>
      <c r="T24" s="603"/>
      <c r="U24" s="603"/>
      <c r="V24" s="603"/>
    </row>
    <row r="25" spans="1:37" x14ac:dyDescent="0.2">
      <c r="A25" s="265"/>
      <c r="B25" s="594" t="s">
        <v>164</v>
      </c>
      <c r="C25" s="2"/>
      <c r="D25" s="601">
        <f>SUM(F25:R25)</f>
        <v>0</v>
      </c>
      <c r="E25" s="2"/>
      <c r="F25" s="521">
        <f>'Proforma A+H'!H215</f>
        <v>0</v>
      </c>
      <c r="G25" s="521"/>
      <c r="H25" s="521"/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266"/>
      <c r="T25" s="603"/>
      <c r="U25" s="603"/>
      <c r="V25" s="603"/>
      <c r="W25" s="603"/>
      <c r="X25" s="603"/>
      <c r="Y25" s="603"/>
      <c r="Z25" s="603"/>
      <c r="AA25" s="603"/>
      <c r="AB25" s="603"/>
      <c r="AC25" s="603"/>
      <c r="AD25" s="603"/>
      <c r="AE25" s="603"/>
      <c r="AF25" s="603"/>
      <c r="AG25" s="603"/>
      <c r="AH25" s="603"/>
      <c r="AI25" s="603"/>
      <c r="AJ25" s="603"/>
      <c r="AK25" s="603"/>
    </row>
    <row r="26" spans="1:37" ht="17" thickBot="1" x14ac:dyDescent="0.25">
      <c r="A26" s="265"/>
      <c r="B26" s="594" t="s">
        <v>165</v>
      </c>
      <c r="C26" s="2"/>
      <c r="D26" s="604" t="e">
        <f ca="1">SUM(F26:R26)</f>
        <v>#VALUE!</v>
      </c>
      <c r="E26" s="2"/>
      <c r="F26" s="521">
        <f>F24-F25</f>
        <v>0</v>
      </c>
      <c r="G26" s="521">
        <f t="shared" ref="G26:R26" si="2">G24-G25</f>
        <v>0</v>
      </c>
      <c r="H26" s="521">
        <f t="shared" si="2"/>
        <v>0</v>
      </c>
      <c r="I26" s="521">
        <f t="shared" si="2"/>
        <v>0</v>
      </c>
      <c r="J26" s="521">
        <f t="shared" si="2"/>
        <v>0</v>
      </c>
      <c r="K26" s="521">
        <f t="shared" si="2"/>
        <v>0</v>
      </c>
      <c r="L26" s="521">
        <f t="shared" si="2"/>
        <v>0</v>
      </c>
      <c r="M26" s="521" t="e">
        <f t="shared" ca="1" si="2"/>
        <v>#VALUE!</v>
      </c>
      <c r="N26" s="521">
        <f t="shared" si="2"/>
        <v>0</v>
      </c>
      <c r="O26" s="521">
        <f t="shared" si="2"/>
        <v>0</v>
      </c>
      <c r="P26" s="521">
        <f t="shared" si="2"/>
        <v>0</v>
      </c>
      <c r="Q26" s="521">
        <f t="shared" si="2"/>
        <v>0</v>
      </c>
      <c r="R26" s="521">
        <f t="shared" si="2"/>
        <v>0</v>
      </c>
      <c r="S26" s="266"/>
      <c r="T26" s="603"/>
      <c r="U26" s="603"/>
      <c r="V26" s="603"/>
      <c r="W26" s="603"/>
      <c r="X26" s="603"/>
      <c r="Y26" s="603"/>
      <c r="Z26" s="603"/>
      <c r="AA26" s="603"/>
      <c r="AB26" s="603"/>
      <c r="AC26" s="603"/>
      <c r="AD26" s="603"/>
      <c r="AE26" s="603"/>
      <c r="AF26" s="603"/>
      <c r="AG26" s="603"/>
      <c r="AH26" s="603"/>
      <c r="AI26" s="603"/>
      <c r="AJ26" s="603"/>
      <c r="AK26" s="603"/>
    </row>
    <row r="27" spans="1:37" ht="17" thickTop="1" x14ac:dyDescent="0.2">
      <c r="A27" s="265"/>
      <c r="B27" s="594" t="s">
        <v>166</v>
      </c>
      <c r="C27" s="2"/>
      <c r="D27" s="2"/>
      <c r="E27" s="2"/>
      <c r="F27" s="593" t="e">
        <f ca="1">XIRR(F26:R26,F20:R20)</f>
        <v>#VALUE!</v>
      </c>
    </row>
    <row r="28" spans="1:37" x14ac:dyDescent="0.2">
      <c r="A28" s="265"/>
      <c r="B28" s="594" t="s">
        <v>167</v>
      </c>
      <c r="C28" s="2"/>
      <c r="D28" s="2"/>
      <c r="E28" s="2"/>
      <c r="F28" s="598" t="e">
        <f ca="1">SUMIF(F26:R26,"&gt;0")/-SUMIF(F26:R26,"&lt;0")</f>
        <v>#DIV/0!</v>
      </c>
    </row>
    <row r="29" spans="1:37" x14ac:dyDescent="0.2">
      <c r="A29" s="265"/>
      <c r="B29" s="594" t="s">
        <v>168</v>
      </c>
      <c r="C29" s="2"/>
      <c r="D29" s="2"/>
      <c r="E29" s="2"/>
      <c r="F29" s="521">
        <f t="shared" ref="F29:R29" si="3">F26+E29</f>
        <v>0</v>
      </c>
      <c r="G29" s="521">
        <f t="shared" si="3"/>
        <v>0</v>
      </c>
      <c r="H29" s="521">
        <f t="shared" si="3"/>
        <v>0</v>
      </c>
      <c r="I29" s="521">
        <f t="shared" si="3"/>
        <v>0</v>
      </c>
      <c r="J29" s="521">
        <f t="shared" si="3"/>
        <v>0</v>
      </c>
      <c r="K29" s="521">
        <f t="shared" si="3"/>
        <v>0</v>
      </c>
      <c r="L29" s="521">
        <f t="shared" si="3"/>
        <v>0</v>
      </c>
      <c r="M29" s="521" t="e">
        <f t="shared" ca="1" si="3"/>
        <v>#VALUE!</v>
      </c>
      <c r="N29" s="521" t="e">
        <f t="shared" ca="1" si="3"/>
        <v>#VALUE!</v>
      </c>
      <c r="O29" s="521" t="e">
        <f t="shared" ca="1" si="3"/>
        <v>#VALUE!</v>
      </c>
      <c r="P29" s="521" t="e">
        <f t="shared" ca="1" si="3"/>
        <v>#VALUE!</v>
      </c>
      <c r="Q29" s="521" t="e">
        <f t="shared" ca="1" si="3"/>
        <v>#VALUE!</v>
      </c>
      <c r="R29" s="521" t="e">
        <f t="shared" ca="1" si="3"/>
        <v>#VALUE!</v>
      </c>
    </row>
    <row r="30" spans="1:37" x14ac:dyDescent="0.2">
      <c r="A30" s="265"/>
      <c r="B30" s="594"/>
      <c r="C30" s="2"/>
      <c r="D30" s="2"/>
      <c r="E30" s="2"/>
      <c r="F30" s="521"/>
      <c r="G30" s="521"/>
      <c r="H30" s="521"/>
      <c r="I30" s="521"/>
      <c r="J30" s="521"/>
      <c r="K30" s="521"/>
      <c r="L30" s="521"/>
      <c r="M30" s="521"/>
      <c r="N30" s="521"/>
      <c r="O30" s="521"/>
      <c r="P30" s="521"/>
      <c r="Q30" s="521"/>
      <c r="R30" s="521"/>
    </row>
    <row r="31" spans="1:37" x14ac:dyDescent="0.2">
      <c r="A31" s="261"/>
      <c r="B31" s="34" t="s">
        <v>169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37" x14ac:dyDescent="0.2">
      <c r="A32" s="261"/>
      <c r="B32" s="173" t="s">
        <v>170</v>
      </c>
      <c r="D32" s="148"/>
      <c r="F32" s="92">
        <f>'Proforma A+H'!G220</f>
        <v>0</v>
      </c>
      <c r="G32" s="92">
        <f>'Proforma A+H'!H220</f>
        <v>0</v>
      </c>
      <c r="H32" s="92">
        <f>'Proforma A+H'!I220</f>
        <v>0</v>
      </c>
      <c r="I32" s="92">
        <f>'Proforma A+H'!J220</f>
        <v>0</v>
      </c>
      <c r="J32" s="92" t="e">
        <f ca="1">'Proforma A+H'!K220</f>
        <v>#VALUE!</v>
      </c>
      <c r="K32" s="92" t="e">
        <f ca="1">'Proforma A+H'!L220</f>
        <v>#VALUE!</v>
      </c>
      <c r="L32" s="92" t="e">
        <f ca="1">'Proforma A+H'!M220</f>
        <v>#VALUE!</v>
      </c>
      <c r="M32" s="92" t="e">
        <f ca="1">'Proforma A+H'!N220</f>
        <v>#VALUE!</v>
      </c>
      <c r="N32" s="92">
        <f>'Proforma A+H'!O220</f>
        <v>0</v>
      </c>
      <c r="O32" s="92">
        <f>'Proforma A+H'!P220</f>
        <v>0</v>
      </c>
      <c r="P32" s="92">
        <f>'Proforma A+H'!Q220</f>
        <v>0</v>
      </c>
      <c r="Q32" s="92">
        <f>'Proforma A+H'!R220</f>
        <v>0</v>
      </c>
      <c r="R32" s="92">
        <f>'Proforma A+H'!S220</f>
        <v>0</v>
      </c>
      <c r="S32" s="266"/>
      <c r="T32" s="603"/>
      <c r="U32" s="603"/>
      <c r="V32" s="603"/>
    </row>
    <row r="33" spans="1:37" x14ac:dyDescent="0.2">
      <c r="A33" s="261"/>
      <c r="B33" s="272" t="s">
        <v>162</v>
      </c>
      <c r="C33" s="225"/>
      <c r="D33" s="271"/>
      <c r="E33" s="225"/>
      <c r="F33" s="77">
        <f>'Proforma A+H'!G241-F32</f>
        <v>0</v>
      </c>
      <c r="G33" s="77">
        <f>'Proforma A+H'!H241-G32</f>
        <v>0</v>
      </c>
      <c r="H33" s="77">
        <f>'Proforma A+H'!I241-H32</f>
        <v>0</v>
      </c>
      <c r="I33" s="77">
        <f>'Proforma A+H'!J241-I32</f>
        <v>0</v>
      </c>
      <c r="J33" s="77" t="e">
        <f ca="1">'Proforma A+H'!K241-J32</f>
        <v>#VALUE!</v>
      </c>
      <c r="K33" s="77" t="e">
        <f ca="1">'Proforma A+H'!L241-K32</f>
        <v>#VALUE!</v>
      </c>
      <c r="L33" s="77" t="e">
        <f ca="1">'Proforma A+H'!M241-L32</f>
        <v>#VALUE!</v>
      </c>
      <c r="M33" s="77" t="e">
        <f ca="1">'Proforma A+H'!N241-M32</f>
        <v>#VALUE!</v>
      </c>
      <c r="N33" s="77">
        <f>'Proforma A+H'!O241-N32</f>
        <v>0</v>
      </c>
      <c r="O33" s="77">
        <f>'Proforma A+H'!P241-O32</f>
        <v>0</v>
      </c>
      <c r="P33" s="77">
        <f>'Proforma A+H'!Q241-P32</f>
        <v>0</v>
      </c>
      <c r="Q33" s="77">
        <f>'Proforma A+H'!R241-Q32</f>
        <v>0</v>
      </c>
      <c r="R33" s="77">
        <f>'Proforma A+H'!S241-R32</f>
        <v>0</v>
      </c>
      <c r="S33" s="266"/>
      <c r="T33" s="603"/>
      <c r="U33" s="603"/>
      <c r="V33" s="603"/>
    </row>
    <row r="34" spans="1:37" x14ac:dyDescent="0.2">
      <c r="A34" s="265"/>
      <c r="B34" s="594" t="s">
        <v>171</v>
      </c>
      <c r="C34" s="2"/>
      <c r="D34" s="601" t="e">
        <f t="shared" ref="D34:D35" ca="1" si="4">SUM(F34:R34)</f>
        <v>#VALUE!</v>
      </c>
      <c r="E34" s="2"/>
      <c r="F34" s="521">
        <f>SUM(F32:F33)</f>
        <v>0</v>
      </c>
      <c r="G34" s="521">
        <f t="shared" ref="G34:R34" si="5">SUM(G32:G33)</f>
        <v>0</v>
      </c>
      <c r="H34" s="521">
        <f t="shared" si="5"/>
        <v>0</v>
      </c>
      <c r="I34" s="521">
        <f t="shared" si="5"/>
        <v>0</v>
      </c>
      <c r="J34" s="521" t="e">
        <f t="shared" ca="1" si="5"/>
        <v>#VALUE!</v>
      </c>
      <c r="K34" s="521" t="e">
        <f t="shared" ca="1" si="5"/>
        <v>#VALUE!</v>
      </c>
      <c r="L34" s="521" t="e">
        <f t="shared" ca="1" si="5"/>
        <v>#VALUE!</v>
      </c>
      <c r="M34" s="521" t="e">
        <f t="shared" ca="1" si="5"/>
        <v>#VALUE!</v>
      </c>
      <c r="N34" s="521">
        <f t="shared" si="5"/>
        <v>0</v>
      </c>
      <c r="O34" s="521">
        <f t="shared" si="5"/>
        <v>0</v>
      </c>
      <c r="P34" s="521">
        <f t="shared" si="5"/>
        <v>0</v>
      </c>
      <c r="Q34" s="521">
        <f t="shared" si="5"/>
        <v>0</v>
      </c>
      <c r="R34" s="521">
        <f t="shared" si="5"/>
        <v>0</v>
      </c>
    </row>
    <row r="35" spans="1:37" x14ac:dyDescent="0.2">
      <c r="A35" s="265"/>
      <c r="B35" s="594" t="s">
        <v>164</v>
      </c>
      <c r="C35" s="2"/>
      <c r="D35" s="601">
        <f t="shared" si="4"/>
        <v>0</v>
      </c>
      <c r="E35" s="2"/>
      <c r="F35" s="521"/>
      <c r="G35" s="521">
        <f>'Proforma A+H'!H221</f>
        <v>0</v>
      </c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266"/>
      <c r="T35" s="603"/>
      <c r="U35" s="603"/>
      <c r="V35" s="603"/>
      <c r="W35" s="603"/>
      <c r="X35" s="603"/>
      <c r="Y35" s="603"/>
      <c r="Z35" s="603"/>
      <c r="AA35" s="603"/>
      <c r="AB35" s="603"/>
      <c r="AC35" s="603"/>
      <c r="AD35" s="603"/>
      <c r="AE35" s="603"/>
      <c r="AF35" s="603"/>
      <c r="AG35" s="603"/>
      <c r="AH35" s="603"/>
      <c r="AI35" s="603"/>
      <c r="AJ35" s="603"/>
      <c r="AK35" s="603"/>
    </row>
    <row r="36" spans="1:37" ht="17" thickBot="1" x14ac:dyDescent="0.25">
      <c r="A36" s="265"/>
      <c r="B36" s="594" t="s">
        <v>172</v>
      </c>
      <c r="C36" s="2"/>
      <c r="D36" s="604" t="e">
        <f ca="1">SUM(F36:R36)</f>
        <v>#VALUE!</v>
      </c>
      <c r="E36" s="2"/>
      <c r="F36" s="521">
        <f>F34-F35</f>
        <v>0</v>
      </c>
      <c r="G36" s="521">
        <f t="shared" ref="G36:R36" si="6">G34-G35</f>
        <v>0</v>
      </c>
      <c r="H36" s="521">
        <f t="shared" si="6"/>
        <v>0</v>
      </c>
      <c r="I36" s="521">
        <f t="shared" si="6"/>
        <v>0</v>
      </c>
      <c r="J36" s="521" t="e">
        <f t="shared" ca="1" si="6"/>
        <v>#VALUE!</v>
      </c>
      <c r="K36" s="521" t="e">
        <f t="shared" ca="1" si="6"/>
        <v>#VALUE!</v>
      </c>
      <c r="L36" s="521" t="e">
        <f t="shared" ca="1" si="6"/>
        <v>#VALUE!</v>
      </c>
      <c r="M36" s="521" t="e">
        <f t="shared" ca="1" si="6"/>
        <v>#VALUE!</v>
      </c>
      <c r="N36" s="521">
        <f t="shared" si="6"/>
        <v>0</v>
      </c>
      <c r="O36" s="521">
        <f t="shared" si="6"/>
        <v>0</v>
      </c>
      <c r="P36" s="521">
        <f t="shared" si="6"/>
        <v>0</v>
      </c>
      <c r="Q36" s="521">
        <f t="shared" si="6"/>
        <v>0</v>
      </c>
      <c r="R36" s="521">
        <f t="shared" si="6"/>
        <v>0</v>
      </c>
      <c r="S36" s="266"/>
      <c r="T36" s="603"/>
      <c r="U36" s="603"/>
      <c r="V36" s="603"/>
      <c r="W36" s="603"/>
      <c r="X36" s="603"/>
      <c r="Y36" s="603"/>
      <c r="Z36" s="603"/>
      <c r="AA36" s="603"/>
      <c r="AB36" s="603"/>
      <c r="AC36" s="603"/>
      <c r="AD36" s="603"/>
      <c r="AE36" s="603"/>
      <c r="AF36" s="603"/>
      <c r="AG36" s="603"/>
      <c r="AH36" s="603"/>
      <c r="AI36" s="603"/>
      <c r="AJ36" s="603"/>
      <c r="AK36" s="603"/>
    </row>
    <row r="37" spans="1:37" ht="17" thickTop="1" x14ac:dyDescent="0.2">
      <c r="A37" s="265"/>
      <c r="B37" s="594" t="s">
        <v>173</v>
      </c>
      <c r="C37" s="2"/>
      <c r="D37" s="2"/>
      <c r="E37" s="2"/>
      <c r="F37" s="593" t="e">
        <f ca="1">XIRR(G36:R36,G20:R20)</f>
        <v>#VALUE!</v>
      </c>
    </row>
    <row r="38" spans="1:37" x14ac:dyDescent="0.2">
      <c r="A38" s="265"/>
      <c r="B38" s="594" t="s">
        <v>174</v>
      </c>
      <c r="C38" s="2"/>
      <c r="D38" s="2"/>
      <c r="E38" s="2"/>
      <c r="F38" s="598" t="e">
        <f ca="1">SUMIF(F36:R36,"&gt;0")/-SUMIF(F36:R36,"&lt;0")</f>
        <v>#DIV/0!</v>
      </c>
    </row>
    <row r="39" spans="1:37" x14ac:dyDescent="0.2">
      <c r="A39" s="265"/>
      <c r="B39" s="594" t="s">
        <v>168</v>
      </c>
      <c r="C39" s="2"/>
      <c r="D39" s="2"/>
      <c r="E39" s="2"/>
      <c r="F39" s="521">
        <f t="shared" ref="F39:R39" si="7">F36+E39</f>
        <v>0</v>
      </c>
      <c r="G39" s="521">
        <f t="shared" si="7"/>
        <v>0</v>
      </c>
      <c r="H39" s="521">
        <f t="shared" si="7"/>
        <v>0</v>
      </c>
      <c r="I39" s="521">
        <f t="shared" si="7"/>
        <v>0</v>
      </c>
      <c r="J39" s="521" t="e">
        <f t="shared" ca="1" si="7"/>
        <v>#VALUE!</v>
      </c>
      <c r="K39" s="521" t="e">
        <f t="shared" ca="1" si="7"/>
        <v>#VALUE!</v>
      </c>
      <c r="L39" s="521" t="e">
        <f t="shared" ca="1" si="7"/>
        <v>#VALUE!</v>
      </c>
      <c r="M39" s="521" t="e">
        <f t="shared" ca="1" si="7"/>
        <v>#VALUE!</v>
      </c>
      <c r="N39" s="521" t="e">
        <f t="shared" ca="1" si="7"/>
        <v>#VALUE!</v>
      </c>
      <c r="O39" s="521" t="e">
        <f t="shared" ca="1" si="7"/>
        <v>#VALUE!</v>
      </c>
      <c r="P39" s="521" t="e">
        <f t="shared" ca="1" si="7"/>
        <v>#VALUE!</v>
      </c>
      <c r="Q39" s="521" t="e">
        <f t="shared" ca="1" si="7"/>
        <v>#VALUE!</v>
      </c>
      <c r="R39" s="521" t="e">
        <f t="shared" ca="1" si="7"/>
        <v>#VALUE!</v>
      </c>
    </row>
    <row r="40" spans="1:37" x14ac:dyDescent="0.2">
      <c r="A40" s="265"/>
      <c r="B40" s="133"/>
      <c r="F40" s="471"/>
      <c r="H40" s="61"/>
      <c r="I40" s="61"/>
      <c r="J40" s="61"/>
      <c r="K40" s="61"/>
      <c r="L40" s="61"/>
      <c r="M40" s="61"/>
      <c r="N40" s="61"/>
    </row>
    <row r="41" spans="1:37" x14ac:dyDescent="0.2">
      <c r="A41" s="261"/>
      <c r="B41" s="34" t="s">
        <v>845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37" customFormat="1" x14ac:dyDescent="0.2">
      <c r="A42" s="265"/>
      <c r="B42" s="133" t="s">
        <v>163</v>
      </c>
      <c r="D42" s="109" t="e">
        <f t="shared" ref="D42:D44" ca="1" si="8">SUM(F42:R42)</f>
        <v>#VALUE!</v>
      </c>
      <c r="F42" s="92">
        <f>'Proforma A+H'!G242</f>
        <v>0</v>
      </c>
      <c r="G42" s="92">
        <f>'Proforma A+H'!H242</f>
        <v>0</v>
      </c>
      <c r="H42" s="92">
        <f>'Proforma A+H'!I242</f>
        <v>0</v>
      </c>
      <c r="I42" s="92">
        <f>'Proforma A+H'!J242</f>
        <v>0</v>
      </c>
      <c r="J42" s="92">
        <f>'Proforma A+H'!K242</f>
        <v>0</v>
      </c>
      <c r="K42" s="92">
        <f>'Proforma A+H'!L242</f>
        <v>0</v>
      </c>
      <c r="L42" s="92">
        <f>'Proforma A+H'!M242</f>
        <v>0</v>
      </c>
      <c r="M42" s="92" t="e">
        <f ca="1">'Proforma A+H'!N242</f>
        <v>#VALUE!</v>
      </c>
      <c r="N42" s="92">
        <f>'Proforma A+H'!O242</f>
        <v>0</v>
      </c>
      <c r="O42" s="92">
        <f>'Proforma A+H'!P242</f>
        <v>0</v>
      </c>
      <c r="P42" s="92">
        <f>'Proforma A+H'!Q242</f>
        <v>0</v>
      </c>
      <c r="Q42" s="92">
        <f>'Proforma A+H'!R242</f>
        <v>0</v>
      </c>
      <c r="R42" s="92">
        <f>'Proforma A+H'!S242</f>
        <v>0</v>
      </c>
    </row>
    <row r="43" spans="1:37" customFormat="1" x14ac:dyDescent="0.2">
      <c r="A43" s="265"/>
      <c r="B43" s="133" t="s">
        <v>517</v>
      </c>
      <c r="D43" s="109">
        <f t="shared" si="8"/>
        <v>3312428.7992250002</v>
      </c>
      <c r="F43" s="92">
        <f>'Proforma A+H'!G180</f>
        <v>16832.3203125</v>
      </c>
      <c r="G43" s="92">
        <f>'Proforma A+H'!H180</f>
        <v>394445.87081249995</v>
      </c>
      <c r="H43" s="92">
        <f>'Proforma A+H'!I180</f>
        <v>1038660.7114406251</v>
      </c>
      <c r="I43" s="92">
        <f>'Proforma A+H'!J180</f>
        <v>1210170.5256843751</v>
      </c>
      <c r="J43" s="92">
        <f>'Proforma A+H'!K180</f>
        <v>492391.67733750003</v>
      </c>
      <c r="K43" s="92">
        <f>'Proforma A+H'!L180</f>
        <v>105066.73863749999</v>
      </c>
      <c r="L43" s="92">
        <f>'Proforma A+H'!M180</f>
        <v>37459.83</v>
      </c>
      <c r="M43" s="92">
        <f>'Proforma A+H'!N180</f>
        <v>17401.125</v>
      </c>
      <c r="N43" s="92">
        <f>'Proforma A+H'!O180</f>
        <v>0</v>
      </c>
      <c r="O43" s="92">
        <f>'Proforma A+H'!P180</f>
        <v>0</v>
      </c>
      <c r="P43" s="92">
        <f>'Proforma A+H'!Q180</f>
        <v>0</v>
      </c>
      <c r="Q43" s="92">
        <f>'Proforma A+H'!R180</f>
        <v>0</v>
      </c>
      <c r="R43" s="92">
        <f>'Proforma A+H'!S180</f>
        <v>0</v>
      </c>
      <c r="S43" s="266"/>
      <c r="T43" s="266"/>
      <c r="U43" s="266"/>
      <c r="V43" s="266"/>
      <c r="W43" s="266"/>
      <c r="X43" s="266"/>
      <c r="Y43" s="266"/>
      <c r="Z43" s="266"/>
      <c r="AA43" s="266"/>
      <c r="AB43" s="266"/>
      <c r="AC43" s="266"/>
      <c r="AD43" s="266"/>
      <c r="AE43" s="266"/>
      <c r="AF43" s="266"/>
      <c r="AG43" s="266"/>
      <c r="AH43" s="266"/>
      <c r="AI43" s="266"/>
      <c r="AJ43" s="266"/>
      <c r="AK43" s="266"/>
    </row>
    <row r="44" spans="1:37" customFormat="1" x14ac:dyDescent="0.2">
      <c r="A44" s="265"/>
      <c r="B44" s="133" t="s">
        <v>356</v>
      </c>
      <c r="D44" s="109">
        <f t="shared" si="8"/>
        <v>0</v>
      </c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</row>
    <row r="45" spans="1:37" customFormat="1" x14ac:dyDescent="0.2">
      <c r="A45" s="265"/>
      <c r="B45" s="688" t="s">
        <v>172</v>
      </c>
      <c r="C45" s="225"/>
      <c r="D45" s="689" t="e">
        <f ca="1">SUM(F45:R45)</f>
        <v>#VALUE!</v>
      </c>
      <c r="E45" s="225"/>
      <c r="F45" s="77">
        <f>SUM(F42:F44)</f>
        <v>16832.3203125</v>
      </c>
      <c r="G45" s="77">
        <f t="shared" ref="G45:R45" si="9">SUM(G42:G44)</f>
        <v>394445.87081249995</v>
      </c>
      <c r="H45" s="77">
        <f t="shared" si="9"/>
        <v>1038660.7114406251</v>
      </c>
      <c r="I45" s="77">
        <f t="shared" si="9"/>
        <v>1210170.5256843751</v>
      </c>
      <c r="J45" s="77">
        <f t="shared" si="9"/>
        <v>492391.67733750003</v>
      </c>
      <c r="K45" s="77">
        <f t="shared" si="9"/>
        <v>105066.73863749999</v>
      </c>
      <c r="L45" s="77">
        <f t="shared" si="9"/>
        <v>37459.83</v>
      </c>
      <c r="M45" s="77" t="e">
        <f t="shared" ca="1" si="9"/>
        <v>#VALUE!</v>
      </c>
      <c r="N45" s="77">
        <f t="shared" si="9"/>
        <v>0</v>
      </c>
      <c r="O45" s="77">
        <f t="shared" si="9"/>
        <v>0</v>
      </c>
      <c r="P45" s="77">
        <f t="shared" si="9"/>
        <v>0</v>
      </c>
      <c r="Q45" s="77">
        <f t="shared" si="9"/>
        <v>0</v>
      </c>
      <c r="R45" s="77">
        <f t="shared" si="9"/>
        <v>0</v>
      </c>
      <c r="S45" s="266"/>
      <c r="T45" s="266"/>
      <c r="U45" s="266"/>
      <c r="V45" s="266"/>
      <c r="W45" s="266"/>
      <c r="X45" s="266"/>
      <c r="Y45" s="266"/>
      <c r="Z45" s="266"/>
      <c r="AA45" s="266"/>
      <c r="AB45" s="266"/>
      <c r="AC45" s="266"/>
      <c r="AD45" s="266"/>
      <c r="AE45" s="266"/>
      <c r="AF45" s="266"/>
      <c r="AG45" s="266"/>
      <c r="AH45" s="266"/>
      <c r="AI45" s="266"/>
      <c r="AJ45" s="266"/>
      <c r="AK45" s="266"/>
    </row>
    <row r="46" spans="1:37" x14ac:dyDescent="0.2">
      <c r="A46" s="261"/>
      <c r="B46" s="594" t="s">
        <v>176</v>
      </c>
      <c r="C46" s="683">
        <f>Assumptions!L11</f>
        <v>0</v>
      </c>
      <c r="D46" s="601" t="e">
        <f t="shared" ref="D46:D47" ca="1" si="10">SUM(F46:R46)</f>
        <v>#VALUE!</v>
      </c>
      <c r="E46" s="2"/>
      <c r="F46" s="521">
        <f>F45*$C$46</f>
        <v>0</v>
      </c>
      <c r="G46" s="521">
        <f t="shared" ref="G46:R46" si="11">G45*$C$46</f>
        <v>0</v>
      </c>
      <c r="H46" s="521">
        <f t="shared" si="11"/>
        <v>0</v>
      </c>
      <c r="I46" s="521">
        <f t="shared" si="11"/>
        <v>0</v>
      </c>
      <c r="J46" s="521">
        <f t="shared" si="11"/>
        <v>0</v>
      </c>
      <c r="K46" s="521">
        <f t="shared" si="11"/>
        <v>0</v>
      </c>
      <c r="L46" s="521">
        <f t="shared" si="11"/>
        <v>0</v>
      </c>
      <c r="M46" s="521" t="e">
        <f t="shared" ca="1" si="11"/>
        <v>#VALUE!</v>
      </c>
      <c r="N46" s="521">
        <f t="shared" si="11"/>
        <v>0</v>
      </c>
      <c r="O46" s="521">
        <f t="shared" si="11"/>
        <v>0</v>
      </c>
      <c r="P46" s="521">
        <f t="shared" si="11"/>
        <v>0</v>
      </c>
      <c r="Q46" s="521">
        <f t="shared" si="11"/>
        <v>0</v>
      </c>
      <c r="R46" s="521">
        <f t="shared" si="11"/>
        <v>0</v>
      </c>
      <c r="S46" s="266"/>
      <c r="T46" s="603"/>
      <c r="U46" s="603"/>
      <c r="V46" s="603"/>
      <c r="W46" s="603"/>
      <c r="X46" s="603"/>
      <c r="Y46" s="603"/>
      <c r="Z46" s="603"/>
      <c r="AA46" s="603"/>
      <c r="AB46" s="603"/>
      <c r="AC46" s="603"/>
      <c r="AD46" s="603"/>
      <c r="AE46" s="603"/>
      <c r="AF46" s="603"/>
      <c r="AG46" s="603"/>
      <c r="AH46" s="603"/>
      <c r="AI46" s="603"/>
      <c r="AJ46" s="603"/>
      <c r="AK46" s="603"/>
    </row>
    <row r="47" spans="1:37" ht="16.25" customHeight="1" x14ac:dyDescent="0.2">
      <c r="A47" s="261"/>
      <c r="B47" s="594" t="s">
        <v>177</v>
      </c>
      <c r="C47" s="683">
        <f>1-C46</f>
        <v>1</v>
      </c>
      <c r="D47" s="601" t="e">
        <f t="shared" ca="1" si="10"/>
        <v>#VALUE!</v>
      </c>
      <c r="E47" s="2"/>
      <c r="F47" s="521">
        <f>F45*$C$47</f>
        <v>16832.3203125</v>
      </c>
      <c r="G47" s="521">
        <f t="shared" ref="G47:R47" si="12">G45*$C$47</f>
        <v>394445.87081249995</v>
      </c>
      <c r="H47" s="521">
        <f t="shared" si="12"/>
        <v>1038660.7114406251</v>
      </c>
      <c r="I47" s="521">
        <f t="shared" si="12"/>
        <v>1210170.5256843751</v>
      </c>
      <c r="J47" s="521">
        <f t="shared" si="12"/>
        <v>492391.67733750003</v>
      </c>
      <c r="K47" s="521">
        <f t="shared" si="12"/>
        <v>105066.73863749999</v>
      </c>
      <c r="L47" s="521">
        <f t="shared" si="12"/>
        <v>37459.83</v>
      </c>
      <c r="M47" s="521" t="e">
        <f t="shared" ca="1" si="12"/>
        <v>#VALUE!</v>
      </c>
      <c r="N47" s="521">
        <f t="shared" si="12"/>
        <v>0</v>
      </c>
      <c r="O47" s="521">
        <f t="shared" si="12"/>
        <v>0</v>
      </c>
      <c r="P47" s="521">
        <f t="shared" si="12"/>
        <v>0</v>
      </c>
      <c r="Q47" s="521">
        <f t="shared" si="12"/>
        <v>0</v>
      </c>
      <c r="R47" s="521">
        <f t="shared" si="12"/>
        <v>0</v>
      </c>
    </row>
    <row r="48" spans="1:37" customFormat="1" x14ac:dyDescent="0.2">
      <c r="A48" s="265"/>
      <c r="B48" s="133"/>
      <c r="F48" s="471"/>
      <c r="H48" s="61"/>
      <c r="I48" s="61"/>
      <c r="J48" s="61"/>
      <c r="K48" s="61"/>
      <c r="L48" s="61"/>
      <c r="M48" s="61"/>
      <c r="N48" s="61"/>
    </row>
    <row r="49" spans="1:20" x14ac:dyDescent="0.2">
      <c r="A49" s="261"/>
      <c r="B49" s="34" t="s">
        <v>178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270"/>
    </row>
    <row r="50" spans="1:20" x14ac:dyDescent="0.2">
      <c r="A50" s="265"/>
      <c r="B50" s="265" t="s">
        <v>179</v>
      </c>
      <c r="D50" s="148" t="e">
        <f t="shared" ref="D50" ca="1" si="13">SUM(F50:R50)</f>
        <v>#VALUE!</v>
      </c>
      <c r="F50" s="61">
        <f>'Proforma A+H'!G250</f>
        <v>0</v>
      </c>
      <c r="G50" s="61">
        <f>'Proforma A+H'!H250</f>
        <v>0</v>
      </c>
      <c r="H50" s="61" t="e">
        <f ca="1">'Proforma A+H'!I250</f>
        <v>#VALUE!</v>
      </c>
      <c r="I50" s="61" t="e">
        <f ca="1">'Proforma A+H'!J250</f>
        <v>#VALUE!</v>
      </c>
      <c r="J50" s="61" t="e">
        <f ca="1">'Proforma A+H'!K250</f>
        <v>#VALUE!</v>
      </c>
      <c r="K50" s="61" t="e">
        <f ca="1">'Proforma A+H'!L250</f>
        <v>#VALUE!</v>
      </c>
      <c r="L50" s="61" t="e">
        <f ca="1">'Proforma A+H'!M250</f>
        <v>#VALUE!</v>
      </c>
      <c r="M50" s="61" t="e">
        <f ca="1">'Proforma A+H'!N250</f>
        <v>#VALUE!</v>
      </c>
      <c r="N50" s="61">
        <f>'Proforma A+H'!O250</f>
        <v>0</v>
      </c>
      <c r="O50" s="61">
        <f>'Proforma A+H'!P250</f>
        <v>0</v>
      </c>
      <c r="P50" s="61">
        <f>'Proforma A+H'!Q250</f>
        <v>0</v>
      </c>
      <c r="Q50" s="61">
        <f>'Proforma A+H'!R250</f>
        <v>0</v>
      </c>
      <c r="R50" s="61">
        <f>'Proforma A+H'!S250</f>
        <v>0</v>
      </c>
    </row>
    <row r="51" spans="1:20" x14ac:dyDescent="0.2">
      <c r="A51" s="265"/>
      <c r="B51" s="133" t="s">
        <v>180</v>
      </c>
      <c r="F51" s="267" t="e">
        <f ca="1">XIRR(H50:R50,H20:R20)</f>
        <v>#VALUE!</v>
      </c>
      <c r="G51" s="61"/>
      <c r="H51" s="61"/>
      <c r="I51" s="61"/>
      <c r="J51" s="61"/>
      <c r="K51" s="61"/>
      <c r="L51" s="61"/>
      <c r="M51" s="61"/>
      <c r="N51" s="61"/>
    </row>
    <row r="52" spans="1:20" x14ac:dyDescent="0.2">
      <c r="A52" s="265"/>
      <c r="B52" s="133" t="s">
        <v>174</v>
      </c>
      <c r="F52" s="300" t="e">
        <f ca="1">SUMIF(F50:R50,"&gt;0")/-SUMIF(F50:R50,"&lt;0")</f>
        <v>#DIV/0!</v>
      </c>
      <c r="M52" s="111"/>
    </row>
    <row r="53" spans="1:20" x14ac:dyDescent="0.2">
      <c r="A53" s="265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spans="1:20" hidden="1" x14ac:dyDescent="0.2">
      <c r="A54" s="261"/>
      <c r="B54" s="34" t="s">
        <v>181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</row>
    <row r="55" spans="1:20" hidden="1" x14ac:dyDescent="0.2">
      <c r="A55" s="261"/>
      <c r="B55" s="261" t="s">
        <v>179</v>
      </c>
      <c r="F55" s="61">
        <f t="shared" ref="F55:M55" si="14">F50</f>
        <v>0</v>
      </c>
      <c r="G55" s="61">
        <f t="shared" si="14"/>
        <v>0</v>
      </c>
      <c r="H55" s="61" t="e">
        <f t="shared" ca="1" si="14"/>
        <v>#VALUE!</v>
      </c>
      <c r="I55" s="61" t="e">
        <f t="shared" ca="1" si="14"/>
        <v>#VALUE!</v>
      </c>
      <c r="J55" s="61" t="e">
        <f t="shared" ca="1" si="14"/>
        <v>#VALUE!</v>
      </c>
      <c r="K55" s="61" t="e">
        <f t="shared" ca="1" si="14"/>
        <v>#VALUE!</v>
      </c>
      <c r="L55" s="61" t="e">
        <f t="shared" ca="1" si="14"/>
        <v>#VALUE!</v>
      </c>
      <c r="M55" s="61" t="e">
        <f t="shared" ca="1" si="14"/>
        <v>#VALUE!</v>
      </c>
      <c r="N55" s="12">
        <f>'Proforma Land+Home'!M208</f>
        <v>0</v>
      </c>
      <c r="O55" s="12">
        <f>'Proforma Land+Home'!N208</f>
        <v>0</v>
      </c>
      <c r="P55" s="12">
        <f>'Proforma Land+Home'!O208</f>
        <v>0</v>
      </c>
      <c r="Q55" s="12">
        <f>'Proforma Land+Home'!P208</f>
        <v>0</v>
      </c>
      <c r="R55" s="12">
        <f>'Proforma Land+Home'!Q208</f>
        <v>0</v>
      </c>
    </row>
    <row r="56" spans="1:20" hidden="1" x14ac:dyDescent="0.2">
      <c r="A56" s="261"/>
      <c r="B56" s="133" t="s">
        <v>182</v>
      </c>
      <c r="F56" s="61">
        <f>F55</f>
        <v>0</v>
      </c>
      <c r="G56" s="12">
        <f>G55</f>
        <v>0</v>
      </c>
      <c r="H56" s="12" t="e">
        <f ca="1">H55</f>
        <v>#VALUE!</v>
      </c>
      <c r="I56" s="12" t="e">
        <f ca="1">I55</f>
        <v>#VALUE!</v>
      </c>
      <c r="J56" s="12" t="e">
        <f ca="1">J55</f>
        <v>#VALUE!</v>
      </c>
      <c r="K56" s="596"/>
      <c r="L56" s="596" t="e">
        <f ca="1">L55</f>
        <v>#VALUE!</v>
      </c>
      <c r="M56" s="12">
        <v>27400000</v>
      </c>
      <c r="N56" s="12">
        <f>N55</f>
        <v>0</v>
      </c>
      <c r="O56" s="12">
        <f>O55</f>
        <v>0</v>
      </c>
      <c r="P56" s="12">
        <f>P55</f>
        <v>0</v>
      </c>
      <c r="Q56" s="12">
        <f>Q55</f>
        <v>0</v>
      </c>
      <c r="R56" s="12">
        <f>R55</f>
        <v>0</v>
      </c>
      <c r="T56" s="501" t="e">
        <f ca="1">SUM(F56:S56)</f>
        <v>#VALUE!</v>
      </c>
    </row>
    <row r="57" spans="1:20" hidden="1" x14ac:dyDescent="0.2">
      <c r="A57" s="261"/>
      <c r="B57" s="594" t="s">
        <v>183</v>
      </c>
      <c r="E57" s="138"/>
      <c r="F57" s="593" t="e">
        <f>XIRR(F56:R56,#REF!)</f>
        <v>#REF!</v>
      </c>
      <c r="T57" s="592">
        <f>U79</f>
        <v>0</v>
      </c>
    </row>
    <row r="58" spans="1:20" hidden="1" x14ac:dyDescent="0.2">
      <c r="A58" s="261"/>
      <c r="B58" t="s">
        <v>184</v>
      </c>
      <c r="F58" s="12">
        <f t="shared" ref="F58:R58" si="15">F55-F56</f>
        <v>0</v>
      </c>
      <c r="G58" s="12">
        <f t="shared" si="15"/>
        <v>0</v>
      </c>
      <c r="H58" s="12" t="e">
        <f t="shared" ca="1" si="15"/>
        <v>#VALUE!</v>
      </c>
      <c r="I58" s="12" t="e">
        <f t="shared" ca="1" si="15"/>
        <v>#VALUE!</v>
      </c>
      <c r="J58" s="12" t="e">
        <f t="shared" ca="1" si="15"/>
        <v>#VALUE!</v>
      </c>
      <c r="K58" s="12" t="e">
        <f t="shared" ca="1" si="15"/>
        <v>#VALUE!</v>
      </c>
      <c r="L58" s="12" t="e">
        <f t="shared" ca="1" si="15"/>
        <v>#VALUE!</v>
      </c>
      <c r="M58" s="12" t="e">
        <f t="shared" ca="1" si="15"/>
        <v>#VALUE!</v>
      </c>
      <c r="N58" s="12">
        <f t="shared" si="15"/>
        <v>0</v>
      </c>
      <c r="O58" s="12">
        <f t="shared" si="15"/>
        <v>0</v>
      </c>
      <c r="P58" s="12">
        <f t="shared" si="15"/>
        <v>0</v>
      </c>
      <c r="Q58" s="12">
        <f t="shared" si="15"/>
        <v>0</v>
      </c>
      <c r="R58" s="12">
        <f t="shared" si="15"/>
        <v>0</v>
      </c>
    </row>
    <row r="59" spans="1:20" hidden="1" x14ac:dyDescent="0.2">
      <c r="A59" s="261"/>
      <c r="B59" s="591">
        <f>T82</f>
        <v>0</v>
      </c>
      <c r="C59" s="590">
        <f>U82</f>
        <v>0</v>
      </c>
      <c r="D59" s="590"/>
      <c r="E59" s="590"/>
      <c r="F59" s="57">
        <f t="shared" ref="F59:R60" si="16">F$54*$C59</f>
        <v>0</v>
      </c>
      <c r="G59" s="57">
        <f t="shared" si="16"/>
        <v>0</v>
      </c>
      <c r="H59" s="57">
        <f t="shared" si="16"/>
        <v>0</v>
      </c>
      <c r="I59" s="57">
        <f t="shared" si="16"/>
        <v>0</v>
      </c>
      <c r="J59" s="57">
        <f t="shared" si="16"/>
        <v>0</v>
      </c>
      <c r="K59" s="57">
        <f t="shared" si="16"/>
        <v>0</v>
      </c>
      <c r="L59" s="57">
        <f t="shared" si="16"/>
        <v>0</v>
      </c>
      <c r="M59" s="57">
        <f t="shared" si="16"/>
        <v>0</v>
      </c>
      <c r="N59" s="57">
        <f t="shared" si="16"/>
        <v>0</v>
      </c>
      <c r="O59" s="57">
        <f t="shared" si="16"/>
        <v>0</v>
      </c>
      <c r="P59" s="57">
        <f t="shared" si="16"/>
        <v>0</v>
      </c>
      <c r="Q59" s="57">
        <f t="shared" si="16"/>
        <v>0</v>
      </c>
      <c r="R59" s="57">
        <f t="shared" si="16"/>
        <v>0</v>
      </c>
      <c r="T59" s="501">
        <f>SUM(F59:S59)</f>
        <v>0</v>
      </c>
    </row>
    <row r="60" spans="1:20" hidden="1" x14ac:dyDescent="0.2">
      <c r="A60" s="261"/>
      <c r="B60" s="261">
        <f>T83</f>
        <v>0</v>
      </c>
      <c r="C60" s="415">
        <f>U83</f>
        <v>0</v>
      </c>
      <c r="D60" s="415"/>
      <c r="E60" s="415"/>
      <c r="F60" s="12">
        <f t="shared" si="16"/>
        <v>0</v>
      </c>
      <c r="G60" s="12">
        <f t="shared" si="16"/>
        <v>0</v>
      </c>
      <c r="H60" s="12">
        <f t="shared" si="16"/>
        <v>0</v>
      </c>
      <c r="I60" s="12">
        <f t="shared" si="16"/>
        <v>0</v>
      </c>
      <c r="J60" s="12">
        <f t="shared" si="16"/>
        <v>0</v>
      </c>
      <c r="K60" s="12">
        <f t="shared" si="16"/>
        <v>0</v>
      </c>
      <c r="L60" s="12">
        <f t="shared" si="16"/>
        <v>0</v>
      </c>
      <c r="M60" s="12">
        <f t="shared" si="16"/>
        <v>0</v>
      </c>
      <c r="N60" s="12">
        <f t="shared" si="16"/>
        <v>0</v>
      </c>
      <c r="O60" s="12">
        <f t="shared" si="16"/>
        <v>0</v>
      </c>
      <c r="P60" s="12">
        <f t="shared" si="16"/>
        <v>0</v>
      </c>
      <c r="Q60" s="12">
        <f t="shared" si="16"/>
        <v>0</v>
      </c>
      <c r="R60" s="12">
        <f t="shared" si="16"/>
        <v>0</v>
      </c>
      <c r="T60" s="501">
        <f>SUM(F60:S60)</f>
        <v>0</v>
      </c>
    </row>
    <row r="61" spans="1:20" hidden="1" x14ac:dyDescent="0.2">
      <c r="A61" s="261"/>
      <c r="B61" s="261"/>
      <c r="C61" s="415"/>
      <c r="D61" s="415"/>
      <c r="E61" s="415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20" hidden="1" x14ac:dyDescent="0.2">
      <c r="A62" s="497"/>
      <c r="B62" s="34" t="s">
        <v>185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1:20" hidden="1" x14ac:dyDescent="0.2">
      <c r="A63" s="497"/>
      <c r="B63" s="261" t="s">
        <v>179</v>
      </c>
      <c r="F63" s="12" t="e">
        <f>-#REF!</f>
        <v>#REF!</v>
      </c>
      <c r="G63" s="12" t="e">
        <f>-#REF!</f>
        <v>#REF!</v>
      </c>
      <c r="H63" s="12" t="e">
        <f>-#REF!</f>
        <v>#REF!</v>
      </c>
      <c r="I63" s="12">
        <f t="shared" ref="I63:R63" si="17">I60</f>
        <v>0</v>
      </c>
      <c r="J63" s="12">
        <f t="shared" si="17"/>
        <v>0</v>
      </c>
      <c r="K63" s="12">
        <f t="shared" si="17"/>
        <v>0</v>
      </c>
      <c r="L63" s="12">
        <f t="shared" si="17"/>
        <v>0</v>
      </c>
      <c r="M63" s="12">
        <f t="shared" si="17"/>
        <v>0</v>
      </c>
      <c r="N63" s="12">
        <f t="shared" si="17"/>
        <v>0</v>
      </c>
      <c r="O63" s="12">
        <f t="shared" si="17"/>
        <v>0</v>
      </c>
      <c r="P63" s="12">
        <f t="shared" si="17"/>
        <v>0</v>
      </c>
      <c r="Q63" s="12">
        <f t="shared" si="17"/>
        <v>0</v>
      </c>
      <c r="R63" s="12">
        <f t="shared" si="17"/>
        <v>0</v>
      </c>
    </row>
    <row r="64" spans="1:20" hidden="1" x14ac:dyDescent="0.2">
      <c r="A64" s="497"/>
      <c r="B64" s="133" t="s">
        <v>182</v>
      </c>
      <c r="F64" s="12" t="e">
        <f>F63</f>
        <v>#REF!</v>
      </c>
      <c r="G64" s="12" t="e">
        <f>G63</f>
        <v>#REF!</v>
      </c>
      <c r="H64" s="12"/>
      <c r="I64" s="12"/>
      <c r="J64" s="12"/>
      <c r="K64" s="595"/>
      <c r="L64" s="12"/>
      <c r="M64" s="12"/>
      <c r="N64" s="12"/>
      <c r="O64" s="12"/>
      <c r="P64" s="12"/>
      <c r="Q64" s="12"/>
      <c r="R64" s="12"/>
    </row>
    <row r="65" spans="1:30" hidden="1" x14ac:dyDescent="0.2">
      <c r="A65" s="497"/>
      <c r="B65" s="594" t="s">
        <v>183</v>
      </c>
      <c r="F65" s="593" t="e">
        <f>XIRR(F64:R64,#REF!)</f>
        <v>#REF!</v>
      </c>
      <c r="T65" s="592">
        <v>0.1</v>
      </c>
    </row>
    <row r="66" spans="1:30" hidden="1" x14ac:dyDescent="0.2">
      <c r="A66" s="497"/>
      <c r="B66" t="s">
        <v>184</v>
      </c>
      <c r="F66" s="12" t="e">
        <f t="shared" ref="F66:R66" si="18">F63-F64</f>
        <v>#REF!</v>
      </c>
      <c r="G66" s="12" t="e">
        <f t="shared" si="18"/>
        <v>#REF!</v>
      </c>
      <c r="H66" s="12" t="e">
        <f t="shared" si="18"/>
        <v>#REF!</v>
      </c>
      <c r="I66" s="12">
        <f t="shared" si="18"/>
        <v>0</v>
      </c>
      <c r="J66" s="12">
        <f t="shared" si="18"/>
        <v>0</v>
      </c>
      <c r="K66" s="12">
        <f t="shared" si="18"/>
        <v>0</v>
      </c>
      <c r="L66" s="12">
        <f t="shared" si="18"/>
        <v>0</v>
      </c>
      <c r="M66" s="12">
        <f t="shared" si="18"/>
        <v>0</v>
      </c>
      <c r="N66" s="12">
        <f t="shared" si="18"/>
        <v>0</v>
      </c>
      <c r="O66" s="12">
        <f t="shared" si="18"/>
        <v>0</v>
      </c>
      <c r="P66" s="12">
        <f t="shared" si="18"/>
        <v>0</v>
      </c>
      <c r="Q66" s="12">
        <f t="shared" si="18"/>
        <v>0</v>
      </c>
      <c r="R66" s="12">
        <f t="shared" si="18"/>
        <v>0</v>
      </c>
    </row>
    <row r="67" spans="1:30" hidden="1" x14ac:dyDescent="0.2">
      <c r="A67" s="497"/>
      <c r="B67" s="591" t="s">
        <v>186</v>
      </c>
      <c r="C67" s="590">
        <v>0</v>
      </c>
      <c r="D67" s="590"/>
      <c r="E67" s="590"/>
      <c r="F67" s="57">
        <f t="shared" ref="F67:R68" si="19">F$62*$C67</f>
        <v>0</v>
      </c>
      <c r="G67" s="57">
        <f t="shared" si="19"/>
        <v>0</v>
      </c>
      <c r="H67" s="57">
        <f t="shared" si="19"/>
        <v>0</v>
      </c>
      <c r="I67" s="57">
        <f t="shared" si="19"/>
        <v>0</v>
      </c>
      <c r="J67" s="57">
        <f t="shared" si="19"/>
        <v>0</v>
      </c>
      <c r="K67" s="57">
        <f t="shared" si="19"/>
        <v>0</v>
      </c>
      <c r="L67" s="57">
        <f t="shared" si="19"/>
        <v>0</v>
      </c>
      <c r="M67" s="57">
        <f t="shared" si="19"/>
        <v>0</v>
      </c>
      <c r="N67" s="57">
        <f t="shared" si="19"/>
        <v>0</v>
      </c>
      <c r="O67" s="57">
        <f t="shared" si="19"/>
        <v>0</v>
      </c>
      <c r="P67" s="57">
        <f t="shared" si="19"/>
        <v>0</v>
      </c>
      <c r="Q67" s="57">
        <f t="shared" si="19"/>
        <v>0</v>
      </c>
      <c r="R67" s="57">
        <f t="shared" si="19"/>
        <v>0</v>
      </c>
    </row>
    <row r="68" spans="1:30" hidden="1" x14ac:dyDescent="0.2">
      <c r="A68" s="497"/>
      <c r="B68" s="261" t="s">
        <v>187</v>
      </c>
      <c r="C68" s="415">
        <f>1-C67</f>
        <v>1</v>
      </c>
      <c r="D68" s="415"/>
      <c r="E68" s="415"/>
      <c r="F68" s="12">
        <f t="shared" si="19"/>
        <v>0</v>
      </c>
      <c r="G68" s="12">
        <f t="shared" si="19"/>
        <v>0</v>
      </c>
      <c r="H68" s="12">
        <f t="shared" si="19"/>
        <v>0</v>
      </c>
      <c r="I68" s="12">
        <f t="shared" si="19"/>
        <v>0</v>
      </c>
      <c r="J68" s="12">
        <f t="shared" si="19"/>
        <v>0</v>
      </c>
      <c r="K68" s="12">
        <f t="shared" si="19"/>
        <v>0</v>
      </c>
      <c r="L68" s="12">
        <f t="shared" si="19"/>
        <v>0</v>
      </c>
      <c r="M68" s="12">
        <f t="shared" si="19"/>
        <v>0</v>
      </c>
      <c r="N68" s="12">
        <f t="shared" si="19"/>
        <v>0</v>
      </c>
      <c r="O68" s="12">
        <f t="shared" si="19"/>
        <v>0</v>
      </c>
      <c r="P68" s="12">
        <f t="shared" si="19"/>
        <v>0</v>
      </c>
      <c r="Q68" s="12">
        <f t="shared" si="19"/>
        <v>0</v>
      </c>
      <c r="R68" s="12">
        <f t="shared" si="19"/>
        <v>0</v>
      </c>
      <c r="T68" s="501">
        <f>SUM(D68:S68)</f>
        <v>0</v>
      </c>
    </row>
    <row r="69" spans="1:30" hidden="1" x14ac:dyDescent="0.2">
      <c r="A69" s="497"/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497"/>
      <c r="P69" s="497"/>
      <c r="Q69" s="497"/>
      <c r="R69" s="497"/>
      <c r="S69" s="497"/>
      <c r="V69" s="587" t="s">
        <v>188</v>
      </c>
      <c r="W69" s="589" t="s">
        <v>189</v>
      </c>
      <c r="AA69" s="583" t="s">
        <v>190</v>
      </c>
      <c r="AB69" s="583" t="s">
        <v>191</v>
      </c>
      <c r="AC69" s="583" t="s">
        <v>192</v>
      </c>
      <c r="AD69" s="583" t="s">
        <v>193</v>
      </c>
    </row>
    <row r="70" spans="1:30" hidden="1" x14ac:dyDescent="0.2">
      <c r="A70" s="497"/>
      <c r="B70" s="588" t="s">
        <v>194</v>
      </c>
      <c r="O70" s="497"/>
      <c r="P70" s="497"/>
      <c r="Q70" s="497"/>
      <c r="R70" s="497"/>
    </row>
    <row r="71" spans="1:30" hidden="1" x14ac:dyDescent="0.2">
      <c r="A71" s="497"/>
      <c r="B71" s="265" t="s">
        <v>195</v>
      </c>
      <c r="O71" s="497"/>
      <c r="P71" s="497"/>
      <c r="Q71" s="497"/>
      <c r="R71" s="497"/>
    </row>
    <row r="72" spans="1:30" hidden="1" x14ac:dyDescent="0.2">
      <c r="A72" s="497"/>
      <c r="B72" s="265" t="s">
        <v>196</v>
      </c>
      <c r="O72" s="497"/>
      <c r="P72" s="497"/>
      <c r="Q72" s="497"/>
      <c r="R72" s="497"/>
    </row>
    <row r="73" spans="1:30" hidden="1" x14ac:dyDescent="0.2">
      <c r="A73" s="497"/>
      <c r="B73" s="265" t="s">
        <v>197</v>
      </c>
      <c r="O73" s="497"/>
      <c r="P73" s="497"/>
      <c r="Q73" s="497"/>
      <c r="R73" s="497"/>
    </row>
    <row r="74" spans="1:30" hidden="1" x14ac:dyDescent="0.2">
      <c r="A74" s="497"/>
      <c r="B74" s="497"/>
      <c r="C74" s="497"/>
      <c r="D74" s="497"/>
      <c r="E74" s="497"/>
      <c r="F74" s="497"/>
      <c r="G74" s="497"/>
      <c r="H74" s="497"/>
      <c r="I74" s="497"/>
      <c r="J74" s="497"/>
      <c r="K74" s="497"/>
      <c r="L74" s="497"/>
      <c r="M74" s="497"/>
      <c r="N74" s="497"/>
      <c r="O74" s="497"/>
      <c r="P74" s="497"/>
      <c r="Q74" s="497"/>
      <c r="R74" s="497"/>
      <c r="S74" s="497"/>
      <c r="T74" s="587" t="s">
        <v>198</v>
      </c>
      <c r="U74" s="586">
        <f>AA78</f>
        <v>0</v>
      </c>
      <c r="V74" s="501" t="e">
        <f ca="1">$T$56*U74</f>
        <v>#VALUE!</v>
      </c>
      <c r="W74" s="501" t="e">
        <f>(5000000/$D$21)*$T$55+5000000</f>
        <v>#DIV/0!</v>
      </c>
      <c r="Y74" s="497" t="s">
        <v>199</v>
      </c>
      <c r="Z74" s="585">
        <v>0.33333000000000002</v>
      </c>
      <c r="AA74" s="585">
        <f>1/3</f>
        <v>0.33333333333333331</v>
      </c>
      <c r="AB74" s="585">
        <f>1/3</f>
        <v>0.33333333333333331</v>
      </c>
      <c r="AC74" s="585">
        <f>1/3</f>
        <v>0.33333333333333331</v>
      </c>
      <c r="AD74" s="585">
        <f>SUM(AA74:AC74)</f>
        <v>1</v>
      </c>
    </row>
    <row r="75" spans="1:30" x14ac:dyDescent="0.2">
      <c r="A75" s="497"/>
      <c r="B75" s="497"/>
      <c r="C75" s="497"/>
      <c r="D75" s="497"/>
      <c r="E75" s="497"/>
      <c r="F75" s="497"/>
      <c r="G75" s="497"/>
      <c r="H75" s="497"/>
      <c r="I75" s="497"/>
      <c r="J75" s="497"/>
      <c r="K75" s="497"/>
      <c r="L75" s="497"/>
      <c r="M75" s="497"/>
      <c r="N75" s="497"/>
      <c r="O75" s="497"/>
      <c r="P75" s="497"/>
      <c r="Q75" s="497"/>
      <c r="R75" s="497"/>
      <c r="S75" s="497"/>
      <c r="T75" s="587"/>
      <c r="U75" s="677"/>
      <c r="V75" s="501"/>
      <c r="W75" s="501"/>
      <c r="Z75" s="678"/>
      <c r="AA75" s="678"/>
      <c r="AB75" s="678"/>
      <c r="AC75" s="678"/>
      <c r="AD75" s="678"/>
    </row>
    <row r="76" spans="1:30" x14ac:dyDescent="0.2">
      <c r="A76" s="497"/>
      <c r="B76" s="497"/>
      <c r="C76" s="497"/>
      <c r="D76" s="497"/>
      <c r="E76" s="497"/>
      <c r="F76" s="497"/>
      <c r="G76" s="497"/>
      <c r="H76" s="497"/>
      <c r="I76" s="497"/>
      <c r="J76" s="497"/>
      <c r="K76" s="497"/>
      <c r="L76" s="497"/>
      <c r="M76" s="497"/>
      <c r="N76" s="497"/>
      <c r="O76" s="497"/>
      <c r="P76" s="497"/>
      <c r="Q76" s="497"/>
      <c r="R76" s="497"/>
      <c r="S76" s="497"/>
      <c r="T76" s="587"/>
      <c r="U76" s="677"/>
      <c r="V76" s="501"/>
      <c r="W76" s="501"/>
      <c r="Z76" s="678"/>
      <c r="AA76" s="678"/>
      <c r="AB76" s="678"/>
      <c r="AC76" s="678"/>
      <c r="AD76" s="678"/>
    </row>
    <row r="77" spans="1:30" x14ac:dyDescent="0.2">
      <c r="A77" s="497"/>
      <c r="B77" s="497"/>
      <c r="C77" s="497"/>
      <c r="D77" s="497"/>
      <c r="E77" s="497"/>
      <c r="F77" s="497"/>
      <c r="G77" s="497"/>
      <c r="H77" s="497"/>
      <c r="I77" s="497"/>
      <c r="J77" s="497"/>
      <c r="K77" s="497"/>
      <c r="L77" s="497"/>
      <c r="M77" s="497"/>
      <c r="N77" s="497"/>
      <c r="O77" s="497"/>
      <c r="P77" s="497"/>
      <c r="Q77" s="497"/>
      <c r="R77" s="497"/>
      <c r="S77" s="497"/>
      <c r="Z77" s="678"/>
      <c r="AA77" s="678"/>
      <c r="AB77" s="678"/>
      <c r="AC77" s="677"/>
      <c r="AD77" s="678"/>
    </row>
    <row r="78" spans="1:30" x14ac:dyDescent="0.2">
      <c r="A78" s="497"/>
      <c r="B78" s="497"/>
      <c r="C78" s="497"/>
      <c r="D78" s="497"/>
      <c r="E78" s="497"/>
      <c r="F78" s="497"/>
      <c r="G78" s="497"/>
      <c r="H78" s="497"/>
      <c r="I78" s="497"/>
      <c r="J78" s="497"/>
      <c r="K78" s="497"/>
      <c r="L78" s="497"/>
      <c r="M78" s="497"/>
      <c r="N78" s="497"/>
      <c r="O78" s="497"/>
      <c r="P78" s="497"/>
      <c r="Q78" s="497"/>
      <c r="R78" s="497"/>
      <c r="S78" s="497"/>
      <c r="T78" s="619"/>
      <c r="AA78" s="679"/>
      <c r="AB78" s="679"/>
      <c r="AC78" s="679"/>
      <c r="AD78" s="679"/>
    </row>
    <row r="79" spans="1:30" x14ac:dyDescent="0.2">
      <c r="A79" s="497"/>
      <c r="B79" s="497"/>
      <c r="C79" s="497"/>
      <c r="D79" s="497"/>
      <c r="E79" s="497"/>
      <c r="F79" s="497"/>
      <c r="G79" s="497"/>
      <c r="H79" s="497"/>
      <c r="I79" s="497"/>
      <c r="J79" s="497"/>
      <c r="K79" s="497"/>
      <c r="L79" s="497"/>
      <c r="M79" s="497"/>
      <c r="N79" s="497"/>
      <c r="O79" s="497"/>
      <c r="P79" s="497"/>
      <c r="Q79" s="497"/>
      <c r="R79" s="497"/>
      <c r="S79" s="497"/>
      <c r="U79" s="680"/>
    </row>
    <row r="80" spans="1:30" x14ac:dyDescent="0.2">
      <c r="A80" s="497"/>
      <c r="B80" s="497"/>
      <c r="C80" s="497"/>
      <c r="D80" s="497"/>
      <c r="E80" s="497"/>
      <c r="F80" s="497"/>
      <c r="G80" s="497"/>
      <c r="H80" s="497"/>
      <c r="I80" s="497"/>
      <c r="J80" s="497"/>
      <c r="K80" s="497"/>
      <c r="L80" s="497"/>
      <c r="M80" s="497"/>
      <c r="N80" s="497"/>
      <c r="O80" s="497"/>
      <c r="P80" s="497"/>
      <c r="Q80" s="497"/>
      <c r="R80" s="497"/>
      <c r="S80" s="497"/>
      <c r="U80" s="677"/>
    </row>
    <row r="81" spans="1:22" x14ac:dyDescent="0.2">
      <c r="A81" s="497"/>
      <c r="B81" s="497"/>
      <c r="C81" s="497"/>
      <c r="D81" s="497"/>
      <c r="E81" s="497"/>
      <c r="F81" s="497"/>
      <c r="G81" s="497"/>
      <c r="H81" s="497"/>
      <c r="I81" s="497"/>
      <c r="J81" s="497"/>
      <c r="K81" s="497"/>
      <c r="L81" s="497"/>
      <c r="M81" s="497"/>
      <c r="N81" s="497"/>
      <c r="O81" s="497"/>
      <c r="P81" s="497"/>
      <c r="Q81" s="497"/>
      <c r="R81" s="497"/>
      <c r="S81" s="497"/>
      <c r="T81" s="619"/>
      <c r="U81" s="677"/>
      <c r="V81" s="501"/>
    </row>
    <row r="82" spans="1:22" x14ac:dyDescent="0.2">
      <c r="A82" s="497"/>
      <c r="B82" s="497"/>
      <c r="C82" s="497"/>
      <c r="D82" s="497"/>
      <c r="E82" s="497"/>
      <c r="F82" s="497"/>
      <c r="G82" s="497"/>
      <c r="H82" s="497"/>
      <c r="I82" s="497"/>
      <c r="J82" s="497"/>
      <c r="K82" s="497"/>
      <c r="L82" s="497"/>
      <c r="M82" s="497"/>
      <c r="N82" s="497"/>
      <c r="O82" s="497"/>
      <c r="P82" s="497"/>
      <c r="Q82" s="497"/>
      <c r="R82" s="497"/>
      <c r="S82" s="497"/>
      <c r="T82" s="681"/>
      <c r="U82" s="682"/>
      <c r="V82" s="501"/>
    </row>
    <row r="83" spans="1:22" x14ac:dyDescent="0.2">
      <c r="A83" s="497"/>
      <c r="B83" s="497"/>
      <c r="C83" s="497"/>
      <c r="D83" s="497"/>
      <c r="E83" s="497"/>
      <c r="F83" s="497"/>
      <c r="G83" s="497"/>
      <c r="H83" s="497"/>
      <c r="I83" s="497"/>
      <c r="J83" s="497"/>
      <c r="K83" s="497"/>
      <c r="L83" s="497"/>
      <c r="M83" s="497"/>
      <c r="N83" s="497"/>
      <c r="O83" s="497"/>
      <c r="P83" s="497"/>
      <c r="Q83" s="497"/>
      <c r="R83" s="497"/>
      <c r="S83" s="497"/>
      <c r="T83" s="681"/>
      <c r="U83" s="682"/>
      <c r="V83" s="501"/>
    </row>
    <row r="84" spans="1:22" x14ac:dyDescent="0.2">
      <c r="A84" s="497"/>
      <c r="B84" s="497"/>
      <c r="C84" s="497"/>
      <c r="D84" s="497"/>
      <c r="E84" s="497"/>
      <c r="F84" s="497"/>
      <c r="G84" s="497"/>
      <c r="H84" s="497"/>
      <c r="I84" s="497"/>
      <c r="J84" s="497"/>
      <c r="K84" s="497"/>
      <c r="L84" s="497"/>
      <c r="M84" s="497"/>
      <c r="N84" s="497"/>
      <c r="O84" s="497"/>
      <c r="P84" s="497"/>
      <c r="Q84" s="497"/>
      <c r="R84" s="497"/>
      <c r="S84" s="497"/>
    </row>
    <row r="85" spans="1:22" x14ac:dyDescent="0.2">
      <c r="A85" s="497"/>
      <c r="B85" s="497"/>
      <c r="C85" s="497"/>
      <c r="D85" s="497"/>
      <c r="E85" s="497"/>
      <c r="F85" s="497"/>
      <c r="G85" s="497"/>
      <c r="H85" s="497"/>
      <c r="I85" s="497"/>
      <c r="J85" s="497"/>
      <c r="K85" s="497"/>
      <c r="L85" s="497"/>
      <c r="M85" s="497"/>
      <c r="N85" s="497"/>
      <c r="O85" s="497"/>
      <c r="P85" s="497"/>
      <c r="Q85" s="497"/>
      <c r="R85" s="497"/>
      <c r="S85" s="497"/>
    </row>
    <row r="86" spans="1:22" x14ac:dyDescent="0.2">
      <c r="A86" s="497"/>
      <c r="B86" s="497"/>
      <c r="C86" s="497"/>
      <c r="D86" s="497"/>
      <c r="E86" s="497"/>
      <c r="F86" s="497"/>
      <c r="G86" s="497"/>
      <c r="H86" s="497"/>
      <c r="I86" s="497"/>
      <c r="J86" s="497"/>
      <c r="K86" s="497"/>
      <c r="L86" s="497"/>
      <c r="M86" s="497"/>
      <c r="N86" s="497"/>
      <c r="O86" s="497"/>
      <c r="P86" s="497"/>
      <c r="Q86" s="497"/>
      <c r="R86" s="497"/>
      <c r="S86" s="497"/>
    </row>
    <row r="87" spans="1:22" x14ac:dyDescent="0.2">
      <c r="A87" s="497"/>
      <c r="B87" s="497"/>
      <c r="C87" s="497"/>
      <c r="D87" s="497"/>
      <c r="E87" s="497"/>
      <c r="F87" s="497"/>
      <c r="G87" s="497"/>
      <c r="H87" s="497"/>
      <c r="I87" s="497"/>
      <c r="J87" s="497"/>
      <c r="K87" s="497"/>
      <c r="L87" s="497"/>
      <c r="M87" s="497"/>
      <c r="N87" s="497"/>
      <c r="O87" s="497"/>
      <c r="P87" s="497"/>
      <c r="Q87" s="497"/>
      <c r="R87" s="497"/>
      <c r="S87" s="497"/>
    </row>
    <row r="88" spans="1:22" x14ac:dyDescent="0.2">
      <c r="A88" s="497"/>
      <c r="B88" s="497"/>
      <c r="C88" s="497"/>
      <c r="D88" s="497"/>
      <c r="E88" s="497"/>
      <c r="F88" s="497"/>
      <c r="G88" s="497"/>
      <c r="H88" s="497"/>
      <c r="I88" s="497"/>
      <c r="J88" s="497"/>
      <c r="K88" s="497"/>
      <c r="L88" s="497"/>
      <c r="M88" s="497"/>
      <c r="N88" s="497"/>
      <c r="O88" s="497"/>
      <c r="P88" s="497"/>
      <c r="Q88" s="497"/>
      <c r="R88" s="497"/>
      <c r="S88" s="497"/>
    </row>
    <row r="89" spans="1:22" x14ac:dyDescent="0.2">
      <c r="A89" s="497"/>
      <c r="B89" s="497"/>
      <c r="C89" s="497"/>
      <c r="D89" s="497"/>
      <c r="E89" s="497"/>
      <c r="F89" s="497"/>
      <c r="G89" s="497"/>
      <c r="H89" s="497"/>
      <c r="I89" s="497"/>
      <c r="J89" s="497"/>
      <c r="K89" s="497"/>
      <c r="L89" s="497"/>
      <c r="M89" s="497"/>
      <c r="N89" s="497"/>
      <c r="O89" s="497"/>
      <c r="P89" s="497"/>
      <c r="Q89" s="497"/>
      <c r="R89" s="497"/>
      <c r="S89" s="497"/>
    </row>
  </sheetData>
  <conditionalFormatting sqref="D5:D6 D13:D15">
    <cfRule type="cellIs" dxfId="2" priority="8" operator="lessThan">
      <formula>$C$155</formula>
    </cfRule>
  </conditionalFormatting>
  <conditionalFormatting sqref="H5">
    <cfRule type="cellIs" dxfId="1" priority="2" operator="lessThan">
      <formula>$C$214</formula>
    </cfRule>
  </conditionalFormatting>
  <conditionalFormatting sqref="H7">
    <cfRule type="cellIs" dxfId="0" priority="1" operator="lessThan">
      <formula>$C$214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9" r:id="rId4" name="Button 3">
              <controlPr defaultSize="0" print="0" autoFill="0" autoPict="0" macro="[0]!IRRY4">
                <anchor moveWithCells="1" sizeWithCells="1">
                  <from>
                    <xdr:col>20</xdr:col>
                    <xdr:colOff>546100</xdr:colOff>
                    <xdr:row>49</xdr:row>
                    <xdr:rowOff>101600</xdr:rowOff>
                  </from>
                  <to>
                    <xdr:col>21</xdr:col>
                    <xdr:colOff>673100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5" name="Button 4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49</xdr:row>
                    <xdr:rowOff>114300</xdr:rowOff>
                  </from>
                  <to>
                    <xdr:col>23</xdr:col>
                    <xdr:colOff>304800</xdr:colOff>
                    <xdr:row>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6" name="Button 5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49</xdr:row>
                    <xdr:rowOff>101600</xdr:rowOff>
                  </from>
                  <to>
                    <xdr:col>20</xdr:col>
                    <xdr:colOff>228600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7" name="Button 6">
              <controlPr defaultSize="0" print="0" autoFill="0" autoPict="0" macro="[0]!IRRY6">
                <anchor moveWithCells="1" sizeWithCells="1">
                  <from>
                    <xdr:col>23</xdr:col>
                    <xdr:colOff>825500</xdr:colOff>
                    <xdr:row>49</xdr:row>
                    <xdr:rowOff>88900</xdr:rowOff>
                  </from>
                  <to>
                    <xdr:col>24</xdr:col>
                    <xdr:colOff>939800</xdr:colOff>
                    <xdr:row>52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252D7E75271943BB8A4607D6E892BE" ma:contentTypeVersion="15" ma:contentTypeDescription="Create a new document." ma:contentTypeScope="" ma:versionID="48df3c9536e503b7501cea1a91ed012e">
  <xsd:schema xmlns:xsd="http://www.w3.org/2001/XMLSchema" xmlns:xs="http://www.w3.org/2001/XMLSchema" xmlns:p="http://schemas.microsoft.com/office/2006/metadata/properties" xmlns:ns2="05a5ab23-7fc8-4cc3-938f-ad22d069fa30" xmlns:ns3="4789bdcd-11ea-4db7-b08b-7436f76fa1ae" targetNamespace="http://schemas.microsoft.com/office/2006/metadata/properties" ma:root="true" ma:fieldsID="6c1ec6253e5b77f0e1219b6ee67d1d12" ns2:_="" ns3:_="">
    <xsd:import namespace="05a5ab23-7fc8-4cc3-938f-ad22d069fa30"/>
    <xsd:import namespace="4789bdcd-11ea-4db7-b08b-7436f76fa1a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5ab23-7fc8-4cc3-938f-ad22d069fa3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600597d-47fc-434b-9f46-07f6642aa0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9bdcd-11ea-4db7-b08b-7436f76fa1a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fca2aac-8c98-4806-a0e7-88288e39c14a}" ma:internalName="TaxCatchAll" ma:showField="CatchAllData" ma:web="4789bdcd-11ea-4db7-b08b-7436f76fa1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a5ab23-7fc8-4cc3-938f-ad22d069fa30">
      <Terms xmlns="http://schemas.microsoft.com/office/infopath/2007/PartnerControls"/>
    </lcf76f155ced4ddcb4097134ff3c332f>
    <TaxCatchAll xmlns="4789bdcd-11ea-4db7-b08b-7436f76fa1ae" xsi:nil="true"/>
  </documentManagement>
</p:properties>
</file>

<file path=customXml/itemProps1.xml><?xml version="1.0" encoding="utf-8"?>
<ds:datastoreItem xmlns:ds="http://schemas.openxmlformats.org/officeDocument/2006/customXml" ds:itemID="{1AA5F92A-3DFB-4137-9557-3773F16EAE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a5ab23-7fc8-4cc3-938f-ad22d069fa30"/>
    <ds:schemaRef ds:uri="4789bdcd-11ea-4db7-b08b-7436f76fa1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7102AD-BCEB-42FC-BC30-5B0B9C62A7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327966-9C2D-428D-932D-006576FDF4DA}">
  <ds:schemaRefs>
    <ds:schemaRef ds:uri="http://www.w3.org/XML/1998/namespace"/>
    <ds:schemaRef ds:uri="http://purl.org/dc/dcmitype/"/>
    <ds:schemaRef ds:uri="http://purl.org/dc/elements/1.1/"/>
    <ds:schemaRef ds:uri="4789bdcd-11ea-4db7-b08b-7436f76fa1ae"/>
    <ds:schemaRef ds:uri="http://purl.org/dc/terms/"/>
    <ds:schemaRef ds:uri="http://schemas.microsoft.com/office/2006/documentManagement/types"/>
    <ds:schemaRef ds:uri="05a5ab23-7fc8-4cc3-938f-ad22d069fa30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Assumptions</vt:lpstr>
      <vt:lpstr>Exhibits</vt:lpstr>
      <vt:lpstr>COMB CASH FLOWS</vt:lpstr>
      <vt:lpstr>Combined Returns</vt:lpstr>
      <vt:lpstr>Proforma Resi</vt:lpstr>
      <vt:lpstr>Returns Resi</vt:lpstr>
      <vt:lpstr>Proforma Land+Home</vt:lpstr>
      <vt:lpstr>Returns Land+Home</vt:lpstr>
      <vt:lpstr>L+H Monthly Cash Flow</vt:lpstr>
      <vt:lpstr>Proforma A+H</vt:lpstr>
      <vt:lpstr>A+H Monthly CF</vt:lpstr>
      <vt:lpstr>A+H Annual CF</vt:lpstr>
      <vt:lpstr>Returns A+H</vt:lpstr>
      <vt:lpstr>'Combined Returns'!Print_Area</vt:lpstr>
      <vt:lpstr>'Proforma A+H'!Print_Area</vt:lpstr>
      <vt:lpstr>'Proforma Land+Home'!Print_Area</vt:lpstr>
      <vt:lpstr>'Proforma Resi'!Print_Area</vt:lpstr>
      <vt:lpstr>'Returns A+H'!Print_Area</vt:lpstr>
      <vt:lpstr>'Returns Land+Home'!Print_Area</vt:lpstr>
      <vt:lpstr>'Returns Resi'!Print_Area</vt:lpstr>
      <vt:lpstr>'Combined Returns'!Print_Titles</vt:lpstr>
      <vt:lpstr>'Proforma A+H'!Print_Titles</vt:lpstr>
      <vt:lpstr>'Proforma Land+Home'!Print_Titles</vt:lpstr>
      <vt:lpstr>'Proforma Resi'!Print_Titles</vt:lpstr>
      <vt:lpstr>'Returns A+H'!Print_Titles</vt:lpstr>
      <vt:lpstr>'Returns Land+Home'!Print_Titles</vt:lpstr>
      <vt:lpstr>'Returns Resi'!Print_Titles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rdavis@mcdonough.com</dc:creator>
  <cp:keywords/>
  <dc:description/>
  <cp:lastModifiedBy>Layne Thompson</cp:lastModifiedBy>
  <cp:revision/>
  <cp:lastPrinted>2024-09-21T04:26:36Z</cp:lastPrinted>
  <dcterms:created xsi:type="dcterms:W3CDTF">2018-09-25T10:16:16Z</dcterms:created>
  <dcterms:modified xsi:type="dcterms:W3CDTF">2025-01-28T19:47:26Z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0x010100D0252D7E75271943BB8A4607D6E892BE</vt:lpwstr>
  </property>
  <property fmtid="{D5CDD505-2E9C-101B-9397-08002B2CF9AE}" pid="3" name="MSIP_Label_d7ea93e3-e39d-47c1-8196-dda37fa8a38c_Enabled">
    <vt:lpwstr>true</vt:lpwstr>
  </property>
  <property fmtid="{D5CDD505-2E9C-101B-9397-08002B2CF9AE}" pid="4" name="MSIP_Label_d7ea93e3-e39d-47c1-8196-dda37fa8a38c_SetDate">
    <vt:lpwstr>2023-10-14T04:13:54Z</vt:lpwstr>
  </property>
  <property fmtid="{D5CDD505-2E9C-101B-9397-08002B2CF9AE}" pid="5" name="MSIP_Label_d7ea93e3-e39d-47c1-8196-dda37fa8a38c_Method">
    <vt:lpwstr>Privileged</vt:lpwstr>
  </property>
  <property fmtid="{D5CDD505-2E9C-101B-9397-08002B2CF9AE}" pid="6" name="MSIP_Label_d7ea93e3-e39d-47c1-8196-dda37fa8a38c_Name">
    <vt:lpwstr>d7ea93e3-e39d-47c1-8196-dda37fa8a38c</vt:lpwstr>
  </property>
  <property fmtid="{D5CDD505-2E9C-101B-9397-08002B2CF9AE}" pid="7" name="MSIP_Label_d7ea93e3-e39d-47c1-8196-dda37fa8a38c_SiteId">
    <vt:lpwstr>b397c653-5b19-463f-b9fc-af658ded9128</vt:lpwstr>
  </property>
  <property fmtid="{D5CDD505-2E9C-101B-9397-08002B2CF9AE}" pid="8" name="MSIP_Label_d7ea93e3-e39d-47c1-8196-dda37fa8a38c_ActionId">
    <vt:lpwstr>3324833b-c4de-4c0c-a1cb-94b80e8e688d</vt:lpwstr>
  </property>
  <property fmtid="{D5CDD505-2E9C-101B-9397-08002B2CF9AE}" pid="9" name="MSIP_Label_d7ea93e3-e39d-47c1-8196-dda37fa8a38c_ContentBits">
    <vt:lpwstr>1</vt:lpwstr>
  </property>
  <property fmtid="{D5CDD505-2E9C-101B-9397-08002B2CF9AE}" pid="10" name="Order">
    <vt:r8>5206400</vt:r8>
  </property>
  <property fmtid="{D5CDD505-2E9C-101B-9397-08002B2CF9AE}" pid="11" name="ComplianceAssetId">
    <vt:lpwstr/>
  </property>
  <property fmtid="{D5CDD505-2E9C-101B-9397-08002B2CF9AE}" pid="12" name="_activity">
    <vt:lpwstr>{"FileActivityType":"6","FileActivityTimeStamp":"2023-11-10T16:19:17.653Z","FileActivityUsersOnPage":[{"DisplayName":"Layne Thompson","Id":"layne@mtnorigins.com"}],"FileActivityNavigationId":null}</vt:lpwstr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MediaServiceImageTags">
    <vt:lpwstr/>
  </property>
</Properties>
</file>